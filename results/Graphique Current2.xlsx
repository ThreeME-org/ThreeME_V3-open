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 activeTab="1"/>
  </bookViews>
  <sheets>
    <sheet name="Données" sheetId="2" r:id="rId1"/>
    <sheet name="Gr Macro" sheetId="5" r:id="rId2"/>
    <sheet name="Gr inflation" sheetId="6" r:id="rId3"/>
    <sheet name="Gr émissions" sheetId="7" r:id="rId4"/>
    <sheet name="Gr conso éner" sheetId="28" r:id="rId5"/>
    <sheet name="GR macro ener" sheetId="30" r:id="rId6"/>
    <sheet name="Gr éner prim" sheetId="29" r:id="rId7"/>
    <sheet name="BUIL (class,base)" sheetId="25" r:id="rId8"/>
    <sheet name="BUIL (class,shock)" sheetId="26" r:id="rId9"/>
    <sheet name="Auto (class,base)" sheetId="24" r:id="rId10"/>
    <sheet name="Auto (class,shock)" sheetId="23" r:id="rId11"/>
    <sheet name="Auto (ener,shock)" sheetId="21" r:id="rId12"/>
    <sheet name="Auto (ener,base)" sheetId="22" r:id="rId13"/>
    <sheet name="Employment" sheetId="16" r:id="rId14"/>
    <sheet name="Investment" sheetId="20" r:id="rId15"/>
    <sheet name="Firms' emissions" sheetId="27" r:id="rId16"/>
    <sheet name="Capital intensity" sheetId="17" r:id="rId17"/>
    <sheet name="Energy intensity" sheetId="18" r:id="rId18"/>
    <sheet name="Gr VA secteurs (% dev)" sheetId="12" r:id="rId19"/>
    <sheet name="Gr VA secteurs (% share)" sheetId="13" r:id="rId20"/>
    <sheet name="Gr Y secteurs (% dev)" sheetId="14" r:id="rId21"/>
    <sheet name="Gr Y secteurs (% share)" sheetId="15" r:id="rId22"/>
  </sheets>
  <externalReferences>
    <externalReference r:id="rId2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F523" i="2" l="1"/>
  <c r="BE523" i="2"/>
  <c r="BD523" i="2"/>
  <c r="BC523" i="2"/>
  <c r="BB523" i="2"/>
  <c r="BA523" i="2"/>
  <c r="AZ523" i="2"/>
  <c r="AY523" i="2"/>
  <c r="AX523" i="2"/>
  <c r="AW523" i="2"/>
  <c r="AV523" i="2"/>
  <c r="AU523" i="2"/>
  <c r="AT523" i="2"/>
  <c r="AS523" i="2"/>
  <c r="AR523" i="2"/>
  <c r="AQ523" i="2"/>
  <c r="AP523" i="2"/>
  <c r="AO523" i="2"/>
  <c r="AN523" i="2"/>
  <c r="AM523" i="2"/>
  <c r="AL523" i="2"/>
  <c r="AK523" i="2"/>
  <c r="AJ523" i="2"/>
  <c r="AI523" i="2"/>
  <c r="AH523" i="2"/>
  <c r="AG523" i="2"/>
  <c r="AF523" i="2"/>
  <c r="AE523" i="2"/>
  <c r="AD523" i="2"/>
  <c r="AC523" i="2"/>
  <c r="AB523" i="2"/>
  <c r="AA523" i="2"/>
  <c r="Z523" i="2"/>
  <c r="Y523" i="2"/>
  <c r="X523" i="2"/>
  <c r="W523" i="2"/>
  <c r="V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BF522" i="2"/>
  <c r="BE522" i="2"/>
  <c r="BD522" i="2"/>
  <c r="BC522" i="2"/>
  <c r="BB522" i="2"/>
  <c r="BA522" i="2"/>
  <c r="AZ522" i="2"/>
  <c r="AY522" i="2"/>
  <c r="AX522" i="2"/>
  <c r="AW522" i="2"/>
  <c r="AV522" i="2"/>
  <c r="AU522" i="2"/>
  <c r="AT522" i="2"/>
  <c r="AS522" i="2"/>
  <c r="AR522" i="2"/>
  <c r="AQ522" i="2"/>
  <c r="AP522" i="2"/>
  <c r="AO522" i="2"/>
  <c r="AN522" i="2"/>
  <c r="AM522" i="2"/>
  <c r="AL522" i="2"/>
  <c r="AK522" i="2"/>
  <c r="AJ522" i="2"/>
  <c r="AI522" i="2"/>
  <c r="AH522" i="2"/>
  <c r="AG522" i="2"/>
  <c r="AF522" i="2"/>
  <c r="AE522" i="2"/>
  <c r="AD522" i="2"/>
  <c r="AC522" i="2"/>
  <c r="AB522" i="2"/>
  <c r="AA522" i="2"/>
  <c r="Z522" i="2"/>
  <c r="Y522" i="2"/>
  <c r="X522" i="2"/>
  <c r="W522" i="2"/>
  <c r="V522" i="2"/>
  <c r="U522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BF521" i="2"/>
  <c r="BE521" i="2"/>
  <c r="BD521" i="2"/>
  <c r="BC521" i="2"/>
  <c r="BB521" i="2"/>
  <c r="BA521" i="2"/>
  <c r="AZ521" i="2"/>
  <c r="AY521" i="2"/>
  <c r="AX521" i="2"/>
  <c r="AW521" i="2"/>
  <c r="AV521" i="2"/>
  <c r="AU521" i="2"/>
  <c r="AT521" i="2"/>
  <c r="AS521" i="2"/>
  <c r="AR521" i="2"/>
  <c r="AQ521" i="2"/>
  <c r="AP521" i="2"/>
  <c r="AO521" i="2"/>
  <c r="AN521" i="2"/>
  <c r="AM521" i="2"/>
  <c r="AL521" i="2"/>
  <c r="AK521" i="2"/>
  <c r="AJ521" i="2"/>
  <c r="AI521" i="2"/>
  <c r="AH521" i="2"/>
  <c r="AG521" i="2"/>
  <c r="AF521" i="2"/>
  <c r="AE521" i="2"/>
  <c r="AD521" i="2"/>
  <c r="AC521" i="2"/>
  <c r="AB521" i="2"/>
  <c r="AA521" i="2"/>
  <c r="Z521" i="2"/>
  <c r="Y521" i="2"/>
  <c r="X521" i="2"/>
  <c r="W521" i="2"/>
  <c r="V521" i="2"/>
  <c r="U521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BF520" i="2"/>
  <c r="BE520" i="2"/>
  <c r="BD520" i="2"/>
  <c r="BC520" i="2"/>
  <c r="BB520" i="2"/>
  <c r="BA520" i="2"/>
  <c r="AZ520" i="2"/>
  <c r="AY520" i="2"/>
  <c r="AX520" i="2"/>
  <c r="AW520" i="2"/>
  <c r="AV520" i="2"/>
  <c r="AU520" i="2"/>
  <c r="AT520" i="2"/>
  <c r="AS520" i="2"/>
  <c r="AR520" i="2"/>
  <c r="AQ520" i="2"/>
  <c r="AP520" i="2"/>
  <c r="AO520" i="2"/>
  <c r="AN520" i="2"/>
  <c r="AM520" i="2"/>
  <c r="AL520" i="2"/>
  <c r="AK520" i="2"/>
  <c r="AJ520" i="2"/>
  <c r="AI520" i="2"/>
  <c r="AH520" i="2"/>
  <c r="AG520" i="2"/>
  <c r="AF520" i="2"/>
  <c r="AE520" i="2"/>
  <c r="AD520" i="2"/>
  <c r="AC520" i="2"/>
  <c r="AB520" i="2"/>
  <c r="AA520" i="2"/>
  <c r="Z520" i="2"/>
  <c r="Y520" i="2"/>
  <c r="X520" i="2"/>
  <c r="W520" i="2"/>
  <c r="V520" i="2"/>
  <c r="U520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BF519" i="2"/>
  <c r="BE519" i="2"/>
  <c r="BD519" i="2"/>
  <c r="BC519" i="2"/>
  <c r="BB519" i="2"/>
  <c r="BA519" i="2"/>
  <c r="AZ519" i="2"/>
  <c r="AY519" i="2"/>
  <c r="AX519" i="2"/>
  <c r="AW519" i="2"/>
  <c r="AV519" i="2"/>
  <c r="AU519" i="2"/>
  <c r="AT519" i="2"/>
  <c r="AS519" i="2"/>
  <c r="AR519" i="2"/>
  <c r="AQ519" i="2"/>
  <c r="AP519" i="2"/>
  <c r="AO519" i="2"/>
  <c r="AN519" i="2"/>
  <c r="AM519" i="2"/>
  <c r="AL519" i="2"/>
  <c r="AK519" i="2"/>
  <c r="AJ519" i="2"/>
  <c r="AI519" i="2"/>
  <c r="AH519" i="2"/>
  <c r="AG519" i="2"/>
  <c r="AF519" i="2"/>
  <c r="AE519" i="2"/>
  <c r="AD519" i="2"/>
  <c r="AC519" i="2"/>
  <c r="AB519" i="2"/>
  <c r="AA519" i="2"/>
  <c r="Z519" i="2"/>
  <c r="Y519" i="2"/>
  <c r="X519" i="2"/>
  <c r="W519" i="2"/>
  <c r="V519" i="2"/>
  <c r="U519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BF517" i="2"/>
  <c r="BE517" i="2"/>
  <c r="BD517" i="2"/>
  <c r="BC517" i="2"/>
  <c r="BB517" i="2"/>
  <c r="BA517" i="2"/>
  <c r="AZ517" i="2"/>
  <c r="AY517" i="2"/>
  <c r="AX517" i="2"/>
  <c r="AW517" i="2"/>
  <c r="AV517" i="2"/>
  <c r="AU517" i="2"/>
  <c r="AT517" i="2"/>
  <c r="AS517" i="2"/>
  <c r="AR517" i="2"/>
  <c r="AQ517" i="2"/>
  <c r="AP517" i="2"/>
  <c r="AO517" i="2"/>
  <c r="AN517" i="2"/>
  <c r="AM517" i="2"/>
  <c r="AL517" i="2"/>
  <c r="AK517" i="2"/>
  <c r="AJ517" i="2"/>
  <c r="AI517" i="2"/>
  <c r="AH517" i="2"/>
  <c r="AG517" i="2"/>
  <c r="AF517" i="2"/>
  <c r="AE517" i="2"/>
  <c r="AD517" i="2"/>
  <c r="AC517" i="2"/>
  <c r="AB517" i="2"/>
  <c r="AA517" i="2"/>
  <c r="Z517" i="2"/>
  <c r="Y517" i="2"/>
  <c r="X517" i="2"/>
  <c r="W517" i="2"/>
  <c r="V517" i="2"/>
  <c r="U517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BF516" i="2"/>
  <c r="BE516" i="2"/>
  <c r="BD516" i="2"/>
  <c r="BC516" i="2"/>
  <c r="BB516" i="2"/>
  <c r="BA516" i="2"/>
  <c r="AZ516" i="2"/>
  <c r="AY516" i="2"/>
  <c r="AX516" i="2"/>
  <c r="AW516" i="2"/>
  <c r="AV516" i="2"/>
  <c r="AU516" i="2"/>
  <c r="AT516" i="2"/>
  <c r="AS516" i="2"/>
  <c r="AR516" i="2"/>
  <c r="AQ516" i="2"/>
  <c r="AP516" i="2"/>
  <c r="AO516" i="2"/>
  <c r="AN516" i="2"/>
  <c r="AM516" i="2"/>
  <c r="AL516" i="2"/>
  <c r="AK516" i="2"/>
  <c r="AJ516" i="2"/>
  <c r="AI516" i="2"/>
  <c r="AH516" i="2"/>
  <c r="AG516" i="2"/>
  <c r="AF516" i="2"/>
  <c r="AE516" i="2"/>
  <c r="AD516" i="2"/>
  <c r="AC516" i="2"/>
  <c r="AB516" i="2"/>
  <c r="AA516" i="2"/>
  <c r="Z516" i="2"/>
  <c r="Y516" i="2"/>
  <c r="X516" i="2"/>
  <c r="W516" i="2"/>
  <c r="V516" i="2"/>
  <c r="U516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BF515" i="2"/>
  <c r="BE515" i="2"/>
  <c r="BD515" i="2"/>
  <c r="BC515" i="2"/>
  <c r="BB515" i="2"/>
  <c r="BA515" i="2"/>
  <c r="AZ515" i="2"/>
  <c r="AY515" i="2"/>
  <c r="AX515" i="2"/>
  <c r="AW515" i="2"/>
  <c r="AV515" i="2"/>
  <c r="AU515" i="2"/>
  <c r="AT515" i="2"/>
  <c r="AS515" i="2"/>
  <c r="AR515" i="2"/>
  <c r="AQ515" i="2"/>
  <c r="AP515" i="2"/>
  <c r="AO515" i="2"/>
  <c r="AN515" i="2"/>
  <c r="AM515" i="2"/>
  <c r="AL515" i="2"/>
  <c r="AK515" i="2"/>
  <c r="AJ515" i="2"/>
  <c r="AI515" i="2"/>
  <c r="AH515" i="2"/>
  <c r="AG515" i="2"/>
  <c r="AF515" i="2"/>
  <c r="AE515" i="2"/>
  <c r="AD515" i="2"/>
  <c r="AC515" i="2"/>
  <c r="AB515" i="2"/>
  <c r="AA515" i="2"/>
  <c r="Z515" i="2"/>
  <c r="Y515" i="2"/>
  <c r="X515" i="2"/>
  <c r="W515" i="2"/>
  <c r="V515" i="2"/>
  <c r="U515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BF514" i="2"/>
  <c r="BE514" i="2"/>
  <c r="BD514" i="2"/>
  <c r="BC514" i="2"/>
  <c r="BB514" i="2"/>
  <c r="BA514" i="2"/>
  <c r="AZ514" i="2"/>
  <c r="AY514" i="2"/>
  <c r="AX514" i="2"/>
  <c r="AW514" i="2"/>
  <c r="AV514" i="2"/>
  <c r="AU514" i="2"/>
  <c r="AT514" i="2"/>
  <c r="AS514" i="2"/>
  <c r="AR514" i="2"/>
  <c r="AQ514" i="2"/>
  <c r="AP514" i="2"/>
  <c r="AO514" i="2"/>
  <c r="AN514" i="2"/>
  <c r="AM514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X514" i="2"/>
  <c r="W514" i="2"/>
  <c r="V514" i="2"/>
  <c r="U514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BF513" i="2"/>
  <c r="BE513" i="2"/>
  <c r="BD513" i="2"/>
  <c r="BC513" i="2"/>
  <c r="BB513" i="2"/>
  <c r="BA513" i="2"/>
  <c r="AZ513" i="2"/>
  <c r="AY513" i="2"/>
  <c r="AX513" i="2"/>
  <c r="AW513" i="2"/>
  <c r="AV513" i="2"/>
  <c r="AU513" i="2"/>
  <c r="AT513" i="2"/>
  <c r="AS513" i="2"/>
  <c r="AR513" i="2"/>
  <c r="AQ513" i="2"/>
  <c r="AP513" i="2"/>
  <c r="AO513" i="2"/>
  <c r="AN513" i="2"/>
  <c r="AM513" i="2"/>
  <c r="AL513" i="2"/>
  <c r="AK513" i="2"/>
  <c r="AJ513" i="2"/>
  <c r="AI513" i="2"/>
  <c r="AH513" i="2"/>
  <c r="AG513" i="2"/>
  <c r="AF513" i="2"/>
  <c r="AE513" i="2"/>
  <c r="AD513" i="2"/>
  <c r="AC513" i="2"/>
  <c r="AB513" i="2"/>
  <c r="AA513" i="2"/>
  <c r="Z513" i="2"/>
  <c r="Y513" i="2"/>
  <c r="X513" i="2"/>
  <c r="W513" i="2"/>
  <c r="V513" i="2"/>
  <c r="U513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BF359" i="2"/>
  <c r="BE359" i="2"/>
  <c r="BD359" i="2"/>
  <c r="BC359" i="2"/>
  <c r="BB359" i="2"/>
  <c r="BA359" i="2"/>
  <c r="AZ359" i="2"/>
  <c r="AY359" i="2"/>
  <c r="AX359" i="2"/>
  <c r="AW359" i="2"/>
  <c r="AV359" i="2"/>
  <c r="AU359" i="2"/>
  <c r="AT359" i="2"/>
  <c r="AS359" i="2"/>
  <c r="AR359" i="2"/>
  <c r="AQ359" i="2"/>
  <c r="AP359" i="2"/>
  <c r="AO359" i="2"/>
  <c r="AN359" i="2"/>
  <c r="AM359" i="2"/>
  <c r="AL359" i="2"/>
  <c r="AK359" i="2"/>
  <c r="AJ359" i="2"/>
  <c r="AI359" i="2"/>
  <c r="AH359" i="2"/>
  <c r="AG359" i="2"/>
  <c r="AF359" i="2"/>
  <c r="AE359" i="2"/>
  <c r="AD359" i="2"/>
  <c r="AC359" i="2"/>
  <c r="AB359" i="2"/>
  <c r="AA359" i="2"/>
  <c r="Z359" i="2"/>
  <c r="Y359" i="2"/>
  <c r="X359" i="2"/>
  <c r="W359" i="2"/>
  <c r="V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BF358" i="2"/>
  <c r="BE358" i="2"/>
  <c r="BD358" i="2"/>
  <c r="BC358" i="2"/>
  <c r="BB358" i="2"/>
  <c r="BA358" i="2"/>
  <c r="AZ358" i="2"/>
  <c r="AY358" i="2"/>
  <c r="AX358" i="2"/>
  <c r="AW358" i="2"/>
  <c r="AV358" i="2"/>
  <c r="AU358" i="2"/>
  <c r="AT358" i="2"/>
  <c r="AS358" i="2"/>
  <c r="AR358" i="2"/>
  <c r="AQ358" i="2"/>
  <c r="AP358" i="2"/>
  <c r="AO358" i="2"/>
  <c r="AN358" i="2"/>
  <c r="AM358" i="2"/>
  <c r="AL358" i="2"/>
  <c r="AK358" i="2"/>
  <c r="AJ358" i="2"/>
  <c r="AI358" i="2"/>
  <c r="AH358" i="2"/>
  <c r="AG358" i="2"/>
  <c r="AF358" i="2"/>
  <c r="AE358" i="2"/>
  <c r="AD358" i="2"/>
  <c r="AC358" i="2"/>
  <c r="AB358" i="2"/>
  <c r="AA358" i="2"/>
  <c r="Z358" i="2"/>
  <c r="Y358" i="2"/>
  <c r="X358" i="2"/>
  <c r="W358" i="2"/>
  <c r="V358" i="2"/>
  <c r="U358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BF357" i="2"/>
  <c r="BE357" i="2"/>
  <c r="BD357" i="2"/>
  <c r="BC357" i="2"/>
  <c r="BB357" i="2"/>
  <c r="BA357" i="2"/>
  <c r="AZ357" i="2"/>
  <c r="AY357" i="2"/>
  <c r="AX357" i="2"/>
  <c r="AW357" i="2"/>
  <c r="AV357" i="2"/>
  <c r="AU357" i="2"/>
  <c r="AT357" i="2"/>
  <c r="AS357" i="2"/>
  <c r="AR357" i="2"/>
  <c r="AQ357" i="2"/>
  <c r="AP357" i="2"/>
  <c r="AO357" i="2"/>
  <c r="AN357" i="2"/>
  <c r="AM357" i="2"/>
  <c r="AL357" i="2"/>
  <c r="AK357" i="2"/>
  <c r="AJ357" i="2"/>
  <c r="AI357" i="2"/>
  <c r="AH357" i="2"/>
  <c r="AG357" i="2"/>
  <c r="AF357" i="2"/>
  <c r="AE357" i="2"/>
  <c r="AD357" i="2"/>
  <c r="AC357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BF356" i="2"/>
  <c r="BE356" i="2"/>
  <c r="BD356" i="2"/>
  <c r="BC356" i="2"/>
  <c r="BB356" i="2"/>
  <c r="BA356" i="2"/>
  <c r="AZ356" i="2"/>
  <c r="AY356" i="2"/>
  <c r="AX356" i="2"/>
  <c r="AW356" i="2"/>
  <c r="AV356" i="2"/>
  <c r="AU356" i="2"/>
  <c r="AT356" i="2"/>
  <c r="AS356" i="2"/>
  <c r="AR356" i="2"/>
  <c r="AQ356" i="2"/>
  <c r="AP356" i="2"/>
  <c r="AO356" i="2"/>
  <c r="AN356" i="2"/>
  <c r="AM356" i="2"/>
  <c r="AL356" i="2"/>
  <c r="AK356" i="2"/>
  <c r="AJ356" i="2"/>
  <c r="AI356" i="2"/>
  <c r="AH356" i="2"/>
  <c r="AG356" i="2"/>
  <c r="AF356" i="2"/>
  <c r="AE356" i="2"/>
  <c r="AD356" i="2"/>
  <c r="AC356" i="2"/>
  <c r="AB356" i="2"/>
  <c r="AA356" i="2"/>
  <c r="Z356" i="2"/>
  <c r="Y356" i="2"/>
  <c r="X356" i="2"/>
  <c r="W356" i="2"/>
  <c r="V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BF355" i="2"/>
  <c r="BE355" i="2"/>
  <c r="BD355" i="2"/>
  <c r="BC355" i="2"/>
  <c r="BB355" i="2"/>
  <c r="BA355" i="2"/>
  <c r="AZ355" i="2"/>
  <c r="AY355" i="2"/>
  <c r="AX355" i="2"/>
  <c r="AW355" i="2"/>
  <c r="AV355" i="2"/>
  <c r="AU355" i="2"/>
  <c r="AT355" i="2"/>
  <c r="AS355" i="2"/>
  <c r="AR355" i="2"/>
  <c r="AQ355" i="2"/>
  <c r="AP355" i="2"/>
  <c r="AO355" i="2"/>
  <c r="AN355" i="2"/>
  <c r="AM355" i="2"/>
  <c r="AL355" i="2"/>
  <c r="AK355" i="2"/>
  <c r="AJ355" i="2"/>
  <c r="AI355" i="2"/>
  <c r="AH355" i="2"/>
  <c r="AG355" i="2"/>
  <c r="AF355" i="2"/>
  <c r="AE355" i="2"/>
  <c r="AD355" i="2"/>
  <c r="AC355" i="2"/>
  <c r="AB355" i="2"/>
  <c r="AA355" i="2"/>
  <c r="Z355" i="2"/>
  <c r="Y355" i="2"/>
  <c r="X355" i="2"/>
  <c r="W355" i="2"/>
  <c r="V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BF354" i="2"/>
  <c r="BE354" i="2"/>
  <c r="BD354" i="2"/>
  <c r="BC354" i="2"/>
  <c r="BB354" i="2"/>
  <c r="BA354" i="2"/>
  <c r="AZ354" i="2"/>
  <c r="AY354" i="2"/>
  <c r="AX354" i="2"/>
  <c r="AW354" i="2"/>
  <c r="AV354" i="2"/>
  <c r="AU354" i="2"/>
  <c r="AT354" i="2"/>
  <c r="AS354" i="2"/>
  <c r="AR354" i="2"/>
  <c r="AQ354" i="2"/>
  <c r="AP354" i="2"/>
  <c r="AO354" i="2"/>
  <c r="AN354" i="2"/>
  <c r="AM354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Z354" i="2"/>
  <c r="Y354" i="2"/>
  <c r="X354" i="2"/>
  <c r="W354" i="2"/>
  <c r="V354" i="2"/>
  <c r="U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BF353" i="2"/>
  <c r="BE353" i="2"/>
  <c r="BD353" i="2"/>
  <c r="BC353" i="2"/>
  <c r="BB353" i="2"/>
  <c r="BA353" i="2"/>
  <c r="AZ353" i="2"/>
  <c r="AY353" i="2"/>
  <c r="AX353" i="2"/>
  <c r="AW353" i="2"/>
  <c r="AV353" i="2"/>
  <c r="AU353" i="2"/>
  <c r="AT353" i="2"/>
  <c r="AS353" i="2"/>
  <c r="AR353" i="2"/>
  <c r="AQ353" i="2"/>
  <c r="AP353" i="2"/>
  <c r="AO353" i="2"/>
  <c r="AN353" i="2"/>
  <c r="AM353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BF352" i="2"/>
  <c r="BE352" i="2"/>
  <c r="BD352" i="2"/>
  <c r="BC352" i="2"/>
  <c r="BB352" i="2"/>
  <c r="BA352" i="2"/>
  <c r="AZ352" i="2"/>
  <c r="AY352" i="2"/>
  <c r="AX352" i="2"/>
  <c r="AW352" i="2"/>
  <c r="AV352" i="2"/>
  <c r="AU352" i="2"/>
  <c r="AT352" i="2"/>
  <c r="AS352" i="2"/>
  <c r="AR352" i="2"/>
  <c r="AQ352" i="2"/>
  <c r="AP352" i="2"/>
  <c r="AO352" i="2"/>
  <c r="AN352" i="2"/>
  <c r="AM352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BF351" i="2"/>
  <c r="BE351" i="2"/>
  <c r="BD351" i="2"/>
  <c r="BC351" i="2"/>
  <c r="BB351" i="2"/>
  <c r="BA351" i="2"/>
  <c r="AZ351" i="2"/>
  <c r="AY351" i="2"/>
  <c r="AX351" i="2"/>
  <c r="AW351" i="2"/>
  <c r="AV351" i="2"/>
  <c r="AU351" i="2"/>
  <c r="AT351" i="2"/>
  <c r="AS351" i="2"/>
  <c r="AR351" i="2"/>
  <c r="AQ351" i="2"/>
  <c r="AP351" i="2"/>
  <c r="AO351" i="2"/>
  <c r="AN351" i="2"/>
  <c r="AM351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BF350" i="2"/>
  <c r="BE350" i="2"/>
  <c r="BD350" i="2"/>
  <c r="BC350" i="2"/>
  <c r="BB350" i="2"/>
  <c r="BA350" i="2"/>
  <c r="AZ350" i="2"/>
  <c r="AY350" i="2"/>
  <c r="AX350" i="2"/>
  <c r="AW350" i="2"/>
  <c r="AV350" i="2"/>
  <c r="AU350" i="2"/>
  <c r="AT350" i="2"/>
  <c r="AS350" i="2"/>
  <c r="AR350" i="2"/>
  <c r="AQ350" i="2"/>
  <c r="AP350" i="2"/>
  <c r="AO350" i="2"/>
  <c r="AN350" i="2"/>
  <c r="AM350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BF349" i="2"/>
  <c r="BE349" i="2"/>
  <c r="BD349" i="2"/>
  <c r="BC349" i="2"/>
  <c r="BB349" i="2"/>
  <c r="BA349" i="2"/>
  <c r="AZ349" i="2"/>
  <c r="AY349" i="2"/>
  <c r="AX349" i="2"/>
  <c r="AW349" i="2"/>
  <c r="AV349" i="2"/>
  <c r="AU349" i="2"/>
  <c r="AT349" i="2"/>
  <c r="AS349" i="2"/>
  <c r="AR349" i="2"/>
  <c r="AQ349" i="2"/>
  <c r="AP349" i="2"/>
  <c r="AO349" i="2"/>
  <c r="AN349" i="2"/>
  <c r="AM349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BF348" i="2"/>
  <c r="BE348" i="2"/>
  <c r="BD348" i="2"/>
  <c r="BC348" i="2"/>
  <c r="BB348" i="2"/>
  <c r="BA348" i="2"/>
  <c r="AZ348" i="2"/>
  <c r="AY348" i="2"/>
  <c r="AX348" i="2"/>
  <c r="AW348" i="2"/>
  <c r="AV348" i="2"/>
  <c r="AU348" i="2"/>
  <c r="AT348" i="2"/>
  <c r="AS348" i="2"/>
  <c r="AR348" i="2"/>
  <c r="AQ348" i="2"/>
  <c r="AP348" i="2"/>
  <c r="AO348" i="2"/>
  <c r="AN348" i="2"/>
  <c r="AM348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BF347" i="2"/>
  <c r="BE347" i="2"/>
  <c r="BD347" i="2"/>
  <c r="BC347" i="2"/>
  <c r="BB347" i="2"/>
  <c r="BA347" i="2"/>
  <c r="AZ347" i="2"/>
  <c r="AY347" i="2"/>
  <c r="AX347" i="2"/>
  <c r="AW347" i="2"/>
  <c r="AV347" i="2"/>
  <c r="AU347" i="2"/>
  <c r="AT347" i="2"/>
  <c r="AS347" i="2"/>
  <c r="AR347" i="2"/>
  <c r="AQ347" i="2"/>
  <c r="AP347" i="2"/>
  <c r="AO347" i="2"/>
  <c r="AN347" i="2"/>
  <c r="AM347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BF346" i="2"/>
  <c r="BE346" i="2"/>
  <c r="BD346" i="2"/>
  <c r="BC346" i="2"/>
  <c r="BB346" i="2"/>
  <c r="BA346" i="2"/>
  <c r="AZ346" i="2"/>
  <c r="AY346" i="2"/>
  <c r="AX346" i="2"/>
  <c r="AW346" i="2"/>
  <c r="AV346" i="2"/>
  <c r="AU346" i="2"/>
  <c r="AT346" i="2"/>
  <c r="AS346" i="2"/>
  <c r="AR346" i="2"/>
  <c r="AQ346" i="2"/>
  <c r="AP346" i="2"/>
  <c r="AO346" i="2"/>
  <c r="AN346" i="2"/>
  <c r="AM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BF345" i="2"/>
  <c r="BE345" i="2"/>
  <c r="BD345" i="2"/>
  <c r="BC345" i="2"/>
  <c r="BB345" i="2"/>
  <c r="BA345" i="2"/>
  <c r="AZ345" i="2"/>
  <c r="AY345" i="2"/>
  <c r="AX345" i="2"/>
  <c r="AW345" i="2"/>
  <c r="AV345" i="2"/>
  <c r="AU345" i="2"/>
  <c r="AT345" i="2"/>
  <c r="AS345" i="2"/>
  <c r="AR345" i="2"/>
  <c r="AQ345" i="2"/>
  <c r="AP345" i="2"/>
  <c r="AO345" i="2"/>
  <c r="AN345" i="2"/>
  <c r="AM345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BF344" i="2"/>
  <c r="BE344" i="2"/>
  <c r="BD344" i="2"/>
  <c r="BC344" i="2"/>
  <c r="BB344" i="2"/>
  <c r="BA344" i="2"/>
  <c r="AZ344" i="2"/>
  <c r="AY344" i="2"/>
  <c r="AX344" i="2"/>
  <c r="AW344" i="2"/>
  <c r="AV344" i="2"/>
  <c r="AU344" i="2"/>
  <c r="AT344" i="2"/>
  <c r="AS344" i="2"/>
  <c r="AR344" i="2"/>
  <c r="AQ344" i="2"/>
  <c r="AP344" i="2"/>
  <c r="AO344" i="2"/>
  <c r="AN344" i="2"/>
  <c r="AM344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BF343" i="2"/>
  <c r="BE343" i="2"/>
  <c r="BD343" i="2"/>
  <c r="BC343" i="2"/>
  <c r="BB343" i="2"/>
  <c r="BA343" i="2"/>
  <c r="AZ343" i="2"/>
  <c r="AY343" i="2"/>
  <c r="AX343" i="2"/>
  <c r="AW343" i="2"/>
  <c r="AV343" i="2"/>
  <c r="AU343" i="2"/>
  <c r="AT343" i="2"/>
  <c r="AS343" i="2"/>
  <c r="AR343" i="2"/>
  <c r="AQ343" i="2"/>
  <c r="AP343" i="2"/>
  <c r="AO343" i="2"/>
  <c r="AN343" i="2"/>
  <c r="AM343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BF342" i="2"/>
  <c r="BE342" i="2"/>
  <c r="BD342" i="2"/>
  <c r="BC342" i="2"/>
  <c r="BB342" i="2"/>
  <c r="BA342" i="2"/>
  <c r="AZ342" i="2"/>
  <c r="AY342" i="2"/>
  <c r="AX342" i="2"/>
  <c r="AW342" i="2"/>
  <c r="AV342" i="2"/>
  <c r="AU342" i="2"/>
  <c r="AT342" i="2"/>
  <c r="AS342" i="2"/>
  <c r="AR342" i="2"/>
  <c r="AQ342" i="2"/>
  <c r="AP342" i="2"/>
  <c r="AO342" i="2"/>
  <c r="AN342" i="2"/>
  <c r="AM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BF341" i="2"/>
  <c r="BE341" i="2"/>
  <c r="BD341" i="2"/>
  <c r="BC341" i="2"/>
  <c r="BB341" i="2"/>
  <c r="BA341" i="2"/>
  <c r="AZ341" i="2"/>
  <c r="AY341" i="2"/>
  <c r="AX341" i="2"/>
  <c r="AW341" i="2"/>
  <c r="AV341" i="2"/>
  <c r="AU341" i="2"/>
  <c r="AT341" i="2"/>
  <c r="AS341" i="2"/>
  <c r="AR341" i="2"/>
  <c r="AQ341" i="2"/>
  <c r="AP341" i="2"/>
  <c r="AO341" i="2"/>
  <c r="AN341" i="2"/>
  <c r="AM341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BF340" i="2"/>
  <c r="BE340" i="2"/>
  <c r="BD340" i="2"/>
  <c r="BC340" i="2"/>
  <c r="BB340" i="2"/>
  <c r="BA340" i="2"/>
  <c r="AZ340" i="2"/>
  <c r="AY340" i="2"/>
  <c r="AX340" i="2"/>
  <c r="AW340" i="2"/>
  <c r="AV340" i="2"/>
  <c r="AU340" i="2"/>
  <c r="AT340" i="2"/>
  <c r="AS340" i="2"/>
  <c r="AR340" i="2"/>
  <c r="AQ340" i="2"/>
  <c r="AP340" i="2"/>
  <c r="AO340" i="2"/>
  <c r="AN340" i="2"/>
  <c r="AM340" i="2"/>
  <c r="AL340" i="2"/>
  <c r="AK340" i="2"/>
  <c r="AJ340" i="2"/>
  <c r="AI340" i="2"/>
  <c r="AH340" i="2"/>
  <c r="AG340" i="2"/>
  <c r="AF340" i="2"/>
  <c r="AE340" i="2"/>
  <c r="AD340" i="2"/>
  <c r="AC340" i="2"/>
  <c r="AB340" i="2"/>
  <c r="AA340" i="2"/>
  <c r="Z340" i="2"/>
  <c r="Y340" i="2"/>
  <c r="X340" i="2"/>
  <c r="W340" i="2"/>
  <c r="V340" i="2"/>
  <c r="U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BF339" i="2"/>
  <c r="BE339" i="2"/>
  <c r="BD339" i="2"/>
  <c r="BC339" i="2"/>
  <c r="BB339" i="2"/>
  <c r="BA339" i="2"/>
  <c r="AZ339" i="2"/>
  <c r="AY339" i="2"/>
  <c r="AX339" i="2"/>
  <c r="AW339" i="2"/>
  <c r="AV339" i="2"/>
  <c r="AU339" i="2"/>
  <c r="AT339" i="2"/>
  <c r="AS339" i="2"/>
  <c r="AR339" i="2"/>
  <c r="AQ339" i="2"/>
  <c r="AP339" i="2"/>
  <c r="AO339" i="2"/>
  <c r="AN339" i="2"/>
  <c r="AM339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BF328" i="2"/>
  <c r="BE328" i="2"/>
  <c r="BD328" i="2"/>
  <c r="BC328" i="2"/>
  <c r="BB328" i="2"/>
  <c r="BA328" i="2"/>
  <c r="AZ328" i="2"/>
  <c r="AY328" i="2"/>
  <c r="AX328" i="2"/>
  <c r="AW328" i="2"/>
  <c r="AV328" i="2"/>
  <c r="AU328" i="2"/>
  <c r="AT328" i="2"/>
  <c r="AS328" i="2"/>
  <c r="AR328" i="2"/>
  <c r="AQ328" i="2"/>
  <c r="AP328" i="2"/>
  <c r="AO328" i="2"/>
  <c r="AN328" i="2"/>
  <c r="AM328" i="2"/>
  <c r="AL328" i="2"/>
  <c r="AK328" i="2"/>
  <c r="AJ328" i="2"/>
  <c r="AI328" i="2"/>
  <c r="AH328" i="2"/>
  <c r="AG328" i="2"/>
  <c r="AF328" i="2"/>
  <c r="AE328" i="2"/>
  <c r="AD328" i="2"/>
  <c r="AC328" i="2"/>
  <c r="AB328" i="2"/>
  <c r="AA328" i="2"/>
  <c r="Z328" i="2"/>
  <c r="Y328" i="2"/>
  <c r="X328" i="2"/>
  <c r="W328" i="2"/>
  <c r="V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BF327" i="2"/>
  <c r="BE327" i="2"/>
  <c r="BD327" i="2"/>
  <c r="BC327" i="2"/>
  <c r="BB327" i="2"/>
  <c r="BA327" i="2"/>
  <c r="AZ327" i="2"/>
  <c r="AY327" i="2"/>
  <c r="AX327" i="2"/>
  <c r="AW327" i="2"/>
  <c r="AV327" i="2"/>
  <c r="AU327" i="2"/>
  <c r="AT327" i="2"/>
  <c r="AS327" i="2"/>
  <c r="AR327" i="2"/>
  <c r="AQ327" i="2"/>
  <c r="AP327" i="2"/>
  <c r="AO327" i="2"/>
  <c r="AN327" i="2"/>
  <c r="AM327" i="2"/>
  <c r="AL327" i="2"/>
  <c r="AK327" i="2"/>
  <c r="AJ327" i="2"/>
  <c r="AI327" i="2"/>
  <c r="AH327" i="2"/>
  <c r="AG327" i="2"/>
  <c r="AF327" i="2"/>
  <c r="AE327" i="2"/>
  <c r="AD327" i="2"/>
  <c r="AC327" i="2"/>
  <c r="AB327" i="2"/>
  <c r="AA327" i="2"/>
  <c r="Z327" i="2"/>
  <c r="Y327" i="2"/>
  <c r="X327" i="2"/>
  <c r="W327" i="2"/>
  <c r="V327" i="2"/>
  <c r="U327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BF326" i="2"/>
  <c r="BE326" i="2"/>
  <c r="BD326" i="2"/>
  <c r="BC326" i="2"/>
  <c r="BB326" i="2"/>
  <c r="BA326" i="2"/>
  <c r="AZ326" i="2"/>
  <c r="AY326" i="2"/>
  <c r="AX326" i="2"/>
  <c r="AW326" i="2"/>
  <c r="AV326" i="2"/>
  <c r="AU326" i="2"/>
  <c r="AT326" i="2"/>
  <c r="AS326" i="2"/>
  <c r="AR326" i="2"/>
  <c r="AQ326" i="2"/>
  <c r="AP326" i="2"/>
  <c r="AO326" i="2"/>
  <c r="AN326" i="2"/>
  <c r="AM326" i="2"/>
  <c r="AL326" i="2"/>
  <c r="AK326" i="2"/>
  <c r="AJ326" i="2"/>
  <c r="AI326" i="2"/>
  <c r="AH326" i="2"/>
  <c r="AG326" i="2"/>
  <c r="AF326" i="2"/>
  <c r="AE326" i="2"/>
  <c r="AD326" i="2"/>
  <c r="AC326" i="2"/>
  <c r="AB326" i="2"/>
  <c r="AA326" i="2"/>
  <c r="Z326" i="2"/>
  <c r="Y326" i="2"/>
  <c r="X326" i="2"/>
  <c r="W326" i="2"/>
  <c r="V326" i="2"/>
  <c r="U326" i="2"/>
  <c r="T326" i="2"/>
  <c r="S326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BF325" i="2"/>
  <c r="BE325" i="2"/>
  <c r="BD325" i="2"/>
  <c r="BC325" i="2"/>
  <c r="BB325" i="2"/>
  <c r="BA325" i="2"/>
  <c r="AZ325" i="2"/>
  <c r="AY325" i="2"/>
  <c r="AX325" i="2"/>
  <c r="AW325" i="2"/>
  <c r="AV325" i="2"/>
  <c r="AU325" i="2"/>
  <c r="AT325" i="2"/>
  <c r="AS325" i="2"/>
  <c r="AR325" i="2"/>
  <c r="AQ325" i="2"/>
  <c r="AP325" i="2"/>
  <c r="AO325" i="2"/>
  <c r="AN325" i="2"/>
  <c r="AM325" i="2"/>
  <c r="AL325" i="2"/>
  <c r="AK325" i="2"/>
  <c r="AJ325" i="2"/>
  <c r="AI325" i="2"/>
  <c r="AH325" i="2"/>
  <c r="AG325" i="2"/>
  <c r="AF325" i="2"/>
  <c r="AE325" i="2"/>
  <c r="AD325" i="2"/>
  <c r="AC325" i="2"/>
  <c r="AB325" i="2"/>
  <c r="AA325" i="2"/>
  <c r="Z325" i="2"/>
  <c r="Y325" i="2"/>
  <c r="X325" i="2"/>
  <c r="W325" i="2"/>
  <c r="V325" i="2"/>
  <c r="U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B325" i="2"/>
  <c r="BF324" i="2"/>
  <c r="BE324" i="2"/>
  <c r="BD324" i="2"/>
  <c r="BC324" i="2"/>
  <c r="BB324" i="2"/>
  <c r="BA324" i="2"/>
  <c r="AZ324" i="2"/>
  <c r="AY324" i="2"/>
  <c r="AX324" i="2"/>
  <c r="AW324" i="2"/>
  <c r="AV324" i="2"/>
  <c r="AU324" i="2"/>
  <c r="AT324" i="2"/>
  <c r="AS324" i="2"/>
  <c r="AR324" i="2"/>
  <c r="AQ324" i="2"/>
  <c r="AP324" i="2"/>
  <c r="AO324" i="2"/>
  <c r="AN324" i="2"/>
  <c r="AM324" i="2"/>
  <c r="AL324" i="2"/>
  <c r="AK324" i="2"/>
  <c r="AJ324" i="2"/>
  <c r="AI324" i="2"/>
  <c r="AH324" i="2"/>
  <c r="AG324" i="2"/>
  <c r="AF324" i="2"/>
  <c r="AE324" i="2"/>
  <c r="AD324" i="2"/>
  <c r="AC324" i="2"/>
  <c r="AB324" i="2"/>
  <c r="AA324" i="2"/>
  <c r="Z324" i="2"/>
  <c r="Y324" i="2"/>
  <c r="X324" i="2"/>
  <c r="W324" i="2"/>
  <c r="V324" i="2"/>
  <c r="U324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B324" i="2"/>
  <c r="BF323" i="2"/>
  <c r="BE323" i="2"/>
  <c r="BD323" i="2"/>
  <c r="BC323" i="2"/>
  <c r="BB323" i="2"/>
  <c r="BA323" i="2"/>
  <c r="AZ323" i="2"/>
  <c r="AY323" i="2"/>
  <c r="AX323" i="2"/>
  <c r="AW323" i="2"/>
  <c r="AV323" i="2"/>
  <c r="AU323" i="2"/>
  <c r="AT323" i="2"/>
  <c r="AS323" i="2"/>
  <c r="AR323" i="2"/>
  <c r="AQ323" i="2"/>
  <c r="AP323" i="2"/>
  <c r="AO323" i="2"/>
  <c r="AN323" i="2"/>
  <c r="AM323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Z323" i="2"/>
  <c r="Y323" i="2"/>
  <c r="X323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B323" i="2"/>
  <c r="BF322" i="2"/>
  <c r="BE322" i="2"/>
  <c r="BD322" i="2"/>
  <c r="BC322" i="2"/>
  <c r="BB322" i="2"/>
  <c r="BA322" i="2"/>
  <c r="AZ322" i="2"/>
  <c r="AY322" i="2"/>
  <c r="AX322" i="2"/>
  <c r="AW322" i="2"/>
  <c r="AV322" i="2"/>
  <c r="AU322" i="2"/>
  <c r="AT322" i="2"/>
  <c r="AS322" i="2"/>
  <c r="AR322" i="2"/>
  <c r="AQ322" i="2"/>
  <c r="AP322" i="2"/>
  <c r="AO322" i="2"/>
  <c r="AN322" i="2"/>
  <c r="AM322" i="2"/>
  <c r="AL322" i="2"/>
  <c r="AK322" i="2"/>
  <c r="AJ322" i="2"/>
  <c r="AI322" i="2"/>
  <c r="AH322" i="2"/>
  <c r="AG322" i="2"/>
  <c r="AF322" i="2"/>
  <c r="AE322" i="2"/>
  <c r="AD322" i="2"/>
  <c r="AC322" i="2"/>
  <c r="AB322" i="2"/>
  <c r="AA322" i="2"/>
  <c r="Z322" i="2"/>
  <c r="Y322" i="2"/>
  <c r="X322" i="2"/>
  <c r="W322" i="2"/>
  <c r="V322" i="2"/>
  <c r="U322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BF321" i="2"/>
  <c r="BE321" i="2"/>
  <c r="BD321" i="2"/>
  <c r="BC321" i="2"/>
  <c r="BB321" i="2"/>
  <c r="BA321" i="2"/>
  <c r="AZ321" i="2"/>
  <c r="AY321" i="2"/>
  <c r="AX321" i="2"/>
  <c r="AW321" i="2"/>
  <c r="AV321" i="2"/>
  <c r="AU321" i="2"/>
  <c r="AT321" i="2"/>
  <c r="AS321" i="2"/>
  <c r="AR321" i="2"/>
  <c r="AQ321" i="2"/>
  <c r="AP321" i="2"/>
  <c r="AO321" i="2"/>
  <c r="AN321" i="2"/>
  <c r="AM321" i="2"/>
  <c r="AL321" i="2"/>
  <c r="AK321" i="2"/>
  <c r="AJ321" i="2"/>
  <c r="AI321" i="2"/>
  <c r="AH321" i="2"/>
  <c r="AG321" i="2"/>
  <c r="AF321" i="2"/>
  <c r="AE321" i="2"/>
  <c r="AD321" i="2"/>
  <c r="AC321" i="2"/>
  <c r="AB321" i="2"/>
  <c r="AA321" i="2"/>
  <c r="Z321" i="2"/>
  <c r="Y321" i="2"/>
  <c r="X321" i="2"/>
  <c r="W321" i="2"/>
  <c r="V321" i="2"/>
  <c r="U321" i="2"/>
  <c r="T321" i="2"/>
  <c r="S321" i="2"/>
  <c r="R321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E321" i="2"/>
  <c r="D321" i="2"/>
  <c r="C321" i="2"/>
  <c r="B321" i="2"/>
  <c r="BF320" i="2"/>
  <c r="BE320" i="2"/>
  <c r="BD320" i="2"/>
  <c r="BC320" i="2"/>
  <c r="BB320" i="2"/>
  <c r="BA320" i="2"/>
  <c r="AZ320" i="2"/>
  <c r="AY320" i="2"/>
  <c r="AX320" i="2"/>
  <c r="AW320" i="2"/>
  <c r="AV320" i="2"/>
  <c r="AU320" i="2"/>
  <c r="AT320" i="2"/>
  <c r="AS320" i="2"/>
  <c r="AR320" i="2"/>
  <c r="AQ320" i="2"/>
  <c r="AP320" i="2"/>
  <c r="AO320" i="2"/>
  <c r="AN320" i="2"/>
  <c r="AM320" i="2"/>
  <c r="AL320" i="2"/>
  <c r="AK320" i="2"/>
  <c r="AJ320" i="2"/>
  <c r="AI320" i="2"/>
  <c r="AH320" i="2"/>
  <c r="AG320" i="2"/>
  <c r="AF320" i="2"/>
  <c r="AE320" i="2"/>
  <c r="AD320" i="2"/>
  <c r="AC320" i="2"/>
  <c r="AB320" i="2"/>
  <c r="AA320" i="2"/>
  <c r="Z320" i="2"/>
  <c r="Y320" i="2"/>
  <c r="X320" i="2"/>
  <c r="W320" i="2"/>
  <c r="V320" i="2"/>
  <c r="U320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BF319" i="2"/>
  <c r="BE319" i="2"/>
  <c r="BD319" i="2"/>
  <c r="BC319" i="2"/>
  <c r="BB319" i="2"/>
  <c r="BA319" i="2"/>
  <c r="AZ319" i="2"/>
  <c r="AY319" i="2"/>
  <c r="AX319" i="2"/>
  <c r="AW319" i="2"/>
  <c r="AV319" i="2"/>
  <c r="AU319" i="2"/>
  <c r="AT319" i="2"/>
  <c r="AS319" i="2"/>
  <c r="AR319" i="2"/>
  <c r="AQ319" i="2"/>
  <c r="AP319" i="2"/>
  <c r="AO319" i="2"/>
  <c r="AN319" i="2"/>
  <c r="AM319" i="2"/>
  <c r="AL319" i="2"/>
  <c r="AK319" i="2"/>
  <c r="AJ319" i="2"/>
  <c r="AI319" i="2"/>
  <c r="AH319" i="2"/>
  <c r="AG319" i="2"/>
  <c r="AF319" i="2"/>
  <c r="AE319" i="2"/>
  <c r="AD319" i="2"/>
  <c r="AC319" i="2"/>
  <c r="AB319" i="2"/>
  <c r="AA319" i="2"/>
  <c r="Z319" i="2"/>
  <c r="Y319" i="2"/>
  <c r="X319" i="2"/>
  <c r="W319" i="2"/>
  <c r="V319" i="2"/>
  <c r="U319" i="2"/>
  <c r="T319" i="2"/>
  <c r="S319" i="2"/>
  <c r="R319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E319" i="2"/>
  <c r="D319" i="2"/>
  <c r="C319" i="2"/>
  <c r="B319" i="2"/>
  <c r="BF318" i="2"/>
  <c r="BE318" i="2"/>
  <c r="BD318" i="2"/>
  <c r="BC318" i="2"/>
  <c r="BB318" i="2"/>
  <c r="BA318" i="2"/>
  <c r="AZ318" i="2"/>
  <c r="AY318" i="2"/>
  <c r="AX318" i="2"/>
  <c r="AW318" i="2"/>
  <c r="AV318" i="2"/>
  <c r="AU318" i="2"/>
  <c r="AT318" i="2"/>
  <c r="AS318" i="2"/>
  <c r="AR318" i="2"/>
  <c r="AQ318" i="2"/>
  <c r="AP318" i="2"/>
  <c r="AO318" i="2"/>
  <c r="AN318" i="2"/>
  <c r="AM318" i="2"/>
  <c r="AL318" i="2"/>
  <c r="AK318" i="2"/>
  <c r="AJ318" i="2"/>
  <c r="AI318" i="2"/>
  <c r="AH318" i="2"/>
  <c r="AG318" i="2"/>
  <c r="AF318" i="2"/>
  <c r="AE318" i="2"/>
  <c r="AD318" i="2"/>
  <c r="AC318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BF317" i="2"/>
  <c r="BE317" i="2"/>
  <c r="BD317" i="2"/>
  <c r="BC317" i="2"/>
  <c r="BB317" i="2"/>
  <c r="BA317" i="2"/>
  <c r="AZ317" i="2"/>
  <c r="AY317" i="2"/>
  <c r="AX317" i="2"/>
  <c r="AW317" i="2"/>
  <c r="AV317" i="2"/>
  <c r="AU317" i="2"/>
  <c r="AT317" i="2"/>
  <c r="AS317" i="2"/>
  <c r="AR317" i="2"/>
  <c r="AQ317" i="2"/>
  <c r="AP317" i="2"/>
  <c r="AO317" i="2"/>
  <c r="AN317" i="2"/>
  <c r="AM317" i="2"/>
  <c r="AL317" i="2"/>
  <c r="AK317" i="2"/>
  <c r="AJ317" i="2"/>
  <c r="AI317" i="2"/>
  <c r="AH317" i="2"/>
  <c r="AG317" i="2"/>
  <c r="AF317" i="2"/>
  <c r="AE317" i="2"/>
  <c r="AD317" i="2"/>
  <c r="AC317" i="2"/>
  <c r="AB317" i="2"/>
  <c r="AA317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B317" i="2"/>
  <c r="BF316" i="2"/>
  <c r="BE316" i="2"/>
  <c r="BD316" i="2"/>
  <c r="BC316" i="2"/>
  <c r="BB316" i="2"/>
  <c r="BA316" i="2"/>
  <c r="AZ316" i="2"/>
  <c r="AY316" i="2"/>
  <c r="AX316" i="2"/>
  <c r="AW316" i="2"/>
  <c r="AV316" i="2"/>
  <c r="AU316" i="2"/>
  <c r="AT316" i="2"/>
  <c r="AS316" i="2"/>
  <c r="AR316" i="2"/>
  <c r="AQ316" i="2"/>
  <c r="AP316" i="2"/>
  <c r="AO316" i="2"/>
  <c r="AN316" i="2"/>
  <c r="AM316" i="2"/>
  <c r="AL316" i="2"/>
  <c r="AK316" i="2"/>
  <c r="AJ316" i="2"/>
  <c r="AI316" i="2"/>
  <c r="AH316" i="2"/>
  <c r="AG316" i="2"/>
  <c r="AF316" i="2"/>
  <c r="AE316" i="2"/>
  <c r="AD316" i="2"/>
  <c r="AC316" i="2"/>
  <c r="AB316" i="2"/>
  <c r="AA316" i="2"/>
  <c r="Z316" i="2"/>
  <c r="Y316" i="2"/>
  <c r="X316" i="2"/>
  <c r="W316" i="2"/>
  <c r="V316" i="2"/>
  <c r="U316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BF315" i="2"/>
  <c r="BE315" i="2"/>
  <c r="BD315" i="2"/>
  <c r="BC315" i="2"/>
  <c r="BB315" i="2"/>
  <c r="BA315" i="2"/>
  <c r="AZ315" i="2"/>
  <c r="AY315" i="2"/>
  <c r="AX315" i="2"/>
  <c r="AW315" i="2"/>
  <c r="AV315" i="2"/>
  <c r="AU315" i="2"/>
  <c r="AT315" i="2"/>
  <c r="AS315" i="2"/>
  <c r="AR315" i="2"/>
  <c r="AQ315" i="2"/>
  <c r="AP315" i="2"/>
  <c r="AO315" i="2"/>
  <c r="AN315" i="2"/>
  <c r="AM315" i="2"/>
  <c r="AL315" i="2"/>
  <c r="AK315" i="2"/>
  <c r="AJ315" i="2"/>
  <c r="AI315" i="2"/>
  <c r="AH315" i="2"/>
  <c r="AG315" i="2"/>
  <c r="AF315" i="2"/>
  <c r="AE315" i="2"/>
  <c r="AD315" i="2"/>
  <c r="AC315" i="2"/>
  <c r="AB315" i="2"/>
  <c r="AA315" i="2"/>
  <c r="Z315" i="2"/>
  <c r="Y315" i="2"/>
  <c r="X315" i="2"/>
  <c r="W315" i="2"/>
  <c r="V315" i="2"/>
  <c r="U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BF314" i="2"/>
  <c r="BE314" i="2"/>
  <c r="BD314" i="2"/>
  <c r="BC314" i="2"/>
  <c r="BB314" i="2"/>
  <c r="BA314" i="2"/>
  <c r="AZ314" i="2"/>
  <c r="AY314" i="2"/>
  <c r="AX314" i="2"/>
  <c r="AW314" i="2"/>
  <c r="AV314" i="2"/>
  <c r="AU314" i="2"/>
  <c r="AT314" i="2"/>
  <c r="AS314" i="2"/>
  <c r="AR314" i="2"/>
  <c r="AQ314" i="2"/>
  <c r="AP314" i="2"/>
  <c r="AO314" i="2"/>
  <c r="AN314" i="2"/>
  <c r="AM314" i="2"/>
  <c r="AL314" i="2"/>
  <c r="AK314" i="2"/>
  <c r="AJ314" i="2"/>
  <c r="AI314" i="2"/>
  <c r="AH314" i="2"/>
  <c r="AG314" i="2"/>
  <c r="AF314" i="2"/>
  <c r="AE314" i="2"/>
  <c r="AD314" i="2"/>
  <c r="AC314" i="2"/>
  <c r="AB314" i="2"/>
  <c r="AA314" i="2"/>
  <c r="Z314" i="2"/>
  <c r="Y314" i="2"/>
  <c r="X314" i="2"/>
  <c r="W314" i="2"/>
  <c r="V314" i="2"/>
  <c r="U314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BF313" i="2"/>
  <c r="BE313" i="2"/>
  <c r="BD313" i="2"/>
  <c r="BC313" i="2"/>
  <c r="BB313" i="2"/>
  <c r="BA313" i="2"/>
  <c r="AZ313" i="2"/>
  <c r="AY313" i="2"/>
  <c r="AX313" i="2"/>
  <c r="AW313" i="2"/>
  <c r="AV313" i="2"/>
  <c r="AU313" i="2"/>
  <c r="AT313" i="2"/>
  <c r="AS313" i="2"/>
  <c r="AR313" i="2"/>
  <c r="AQ313" i="2"/>
  <c r="AP313" i="2"/>
  <c r="AO313" i="2"/>
  <c r="AN313" i="2"/>
  <c r="AM313" i="2"/>
  <c r="AL313" i="2"/>
  <c r="AK313" i="2"/>
  <c r="AJ313" i="2"/>
  <c r="AI313" i="2"/>
  <c r="AH313" i="2"/>
  <c r="AG313" i="2"/>
  <c r="AF313" i="2"/>
  <c r="AE313" i="2"/>
  <c r="AD313" i="2"/>
  <c r="AC313" i="2"/>
  <c r="AB313" i="2"/>
  <c r="AA313" i="2"/>
  <c r="Z313" i="2"/>
  <c r="Y313" i="2"/>
  <c r="X313" i="2"/>
  <c r="W313" i="2"/>
  <c r="V313" i="2"/>
  <c r="U313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BF312" i="2"/>
  <c r="BE312" i="2"/>
  <c r="BD312" i="2"/>
  <c r="BC312" i="2"/>
  <c r="BB312" i="2"/>
  <c r="BA312" i="2"/>
  <c r="AZ312" i="2"/>
  <c r="AY312" i="2"/>
  <c r="AX312" i="2"/>
  <c r="AW312" i="2"/>
  <c r="AV312" i="2"/>
  <c r="AU312" i="2"/>
  <c r="AT312" i="2"/>
  <c r="AS312" i="2"/>
  <c r="AR312" i="2"/>
  <c r="AQ312" i="2"/>
  <c r="AP312" i="2"/>
  <c r="AO312" i="2"/>
  <c r="AN312" i="2"/>
  <c r="AM312" i="2"/>
  <c r="AL312" i="2"/>
  <c r="AK312" i="2"/>
  <c r="AJ312" i="2"/>
  <c r="AI312" i="2"/>
  <c r="AH312" i="2"/>
  <c r="AG312" i="2"/>
  <c r="AF312" i="2"/>
  <c r="AE312" i="2"/>
  <c r="AD312" i="2"/>
  <c r="AC312" i="2"/>
  <c r="AB312" i="2"/>
  <c r="AA312" i="2"/>
  <c r="Z312" i="2"/>
  <c r="Y312" i="2"/>
  <c r="X312" i="2"/>
  <c r="W312" i="2"/>
  <c r="V312" i="2"/>
  <c r="U312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B312" i="2"/>
  <c r="BF311" i="2"/>
  <c r="BE311" i="2"/>
  <c r="BD311" i="2"/>
  <c r="BC311" i="2"/>
  <c r="BB311" i="2"/>
  <c r="BA311" i="2"/>
  <c r="AZ311" i="2"/>
  <c r="AY311" i="2"/>
  <c r="AX311" i="2"/>
  <c r="AW311" i="2"/>
  <c r="AV311" i="2"/>
  <c r="AU311" i="2"/>
  <c r="AT311" i="2"/>
  <c r="AS311" i="2"/>
  <c r="AR311" i="2"/>
  <c r="AQ311" i="2"/>
  <c r="AP311" i="2"/>
  <c r="AO311" i="2"/>
  <c r="AN311" i="2"/>
  <c r="AM311" i="2"/>
  <c r="AL311" i="2"/>
  <c r="AK311" i="2"/>
  <c r="AJ311" i="2"/>
  <c r="AI311" i="2"/>
  <c r="AH311" i="2"/>
  <c r="AG311" i="2"/>
  <c r="AF311" i="2"/>
  <c r="AE311" i="2"/>
  <c r="AD311" i="2"/>
  <c r="AC311" i="2"/>
  <c r="AB311" i="2"/>
  <c r="AA311" i="2"/>
  <c r="Z311" i="2"/>
  <c r="Y311" i="2"/>
  <c r="X311" i="2"/>
  <c r="W311" i="2"/>
  <c r="V311" i="2"/>
  <c r="U311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BF310" i="2"/>
  <c r="BE310" i="2"/>
  <c r="BD310" i="2"/>
  <c r="BC310" i="2"/>
  <c r="BB310" i="2"/>
  <c r="BA310" i="2"/>
  <c r="AZ310" i="2"/>
  <c r="AY310" i="2"/>
  <c r="AX310" i="2"/>
  <c r="AW310" i="2"/>
  <c r="AV310" i="2"/>
  <c r="AU310" i="2"/>
  <c r="AT310" i="2"/>
  <c r="AS310" i="2"/>
  <c r="AR310" i="2"/>
  <c r="AQ310" i="2"/>
  <c r="AP310" i="2"/>
  <c r="AO310" i="2"/>
  <c r="AN310" i="2"/>
  <c r="AM310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BF309" i="2"/>
  <c r="BE309" i="2"/>
  <c r="BD309" i="2"/>
  <c r="BC309" i="2"/>
  <c r="BB309" i="2"/>
  <c r="BA309" i="2"/>
  <c r="AZ309" i="2"/>
  <c r="AY309" i="2"/>
  <c r="AX309" i="2"/>
  <c r="AW309" i="2"/>
  <c r="AV309" i="2"/>
  <c r="AU309" i="2"/>
  <c r="AT309" i="2"/>
  <c r="AS309" i="2"/>
  <c r="AR309" i="2"/>
  <c r="AQ309" i="2"/>
  <c r="AP309" i="2"/>
  <c r="AO309" i="2"/>
  <c r="AN309" i="2"/>
  <c r="AM309" i="2"/>
  <c r="AL309" i="2"/>
  <c r="AK309" i="2"/>
  <c r="AJ309" i="2"/>
  <c r="AI309" i="2"/>
  <c r="AH309" i="2"/>
  <c r="AG309" i="2"/>
  <c r="AF309" i="2"/>
  <c r="AE309" i="2"/>
  <c r="AD309" i="2"/>
  <c r="AC309" i="2"/>
  <c r="AB309" i="2"/>
  <c r="AA309" i="2"/>
  <c r="Z309" i="2"/>
  <c r="Y309" i="2"/>
  <c r="X309" i="2"/>
  <c r="W309" i="2"/>
  <c r="V309" i="2"/>
  <c r="U309" i="2"/>
  <c r="T309" i="2"/>
  <c r="S309" i="2"/>
  <c r="R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BF308" i="2"/>
  <c r="BE308" i="2"/>
  <c r="BD308" i="2"/>
  <c r="BC308" i="2"/>
  <c r="BB308" i="2"/>
  <c r="BA308" i="2"/>
  <c r="AZ308" i="2"/>
  <c r="AY308" i="2"/>
  <c r="AX308" i="2"/>
  <c r="AW308" i="2"/>
  <c r="AV308" i="2"/>
  <c r="AU308" i="2"/>
  <c r="AT308" i="2"/>
  <c r="AS308" i="2"/>
  <c r="AR308" i="2"/>
  <c r="AQ308" i="2"/>
  <c r="AP308" i="2"/>
  <c r="AO308" i="2"/>
  <c r="AN308" i="2"/>
  <c r="AM308" i="2"/>
  <c r="AL308" i="2"/>
  <c r="AK308" i="2"/>
  <c r="AJ308" i="2"/>
  <c r="AI308" i="2"/>
  <c r="AH308" i="2"/>
  <c r="AG308" i="2"/>
  <c r="AF308" i="2"/>
  <c r="AE308" i="2"/>
  <c r="AD308" i="2"/>
  <c r="AC308" i="2"/>
  <c r="AB308" i="2"/>
  <c r="AA308" i="2"/>
  <c r="Z308" i="2"/>
  <c r="Y308" i="2"/>
  <c r="X308" i="2"/>
  <c r="W308" i="2"/>
  <c r="V308" i="2"/>
  <c r="U308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BF181" i="2"/>
  <c r="BE181" i="2"/>
  <c r="BD181" i="2"/>
  <c r="BC181" i="2"/>
  <c r="BB181" i="2"/>
  <c r="BA181" i="2"/>
  <c r="AZ181" i="2"/>
  <c r="AY181" i="2"/>
  <c r="AX181" i="2"/>
  <c r="AW181" i="2"/>
  <c r="AV181" i="2"/>
  <c r="AU181" i="2"/>
  <c r="AT181" i="2"/>
  <c r="AS181" i="2"/>
  <c r="AR181" i="2"/>
  <c r="AQ181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F180" i="2"/>
  <c r="BE180" i="2"/>
  <c r="BD180" i="2"/>
  <c r="BC180" i="2"/>
  <c r="BB180" i="2"/>
  <c r="BA180" i="2"/>
  <c r="AZ180" i="2"/>
  <c r="AY180" i="2"/>
  <c r="AX180" i="2"/>
  <c r="AW180" i="2"/>
  <c r="AV180" i="2"/>
  <c r="AU180" i="2"/>
  <c r="AT180" i="2"/>
  <c r="AS180" i="2"/>
  <c r="AR180" i="2"/>
  <c r="AQ180" i="2"/>
  <c r="AP180" i="2"/>
  <c r="AO180" i="2"/>
  <c r="AN180" i="2"/>
  <c r="AM180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F177" i="2"/>
  <c r="BE177" i="2"/>
  <c r="BD177" i="2"/>
  <c r="BC177" i="2"/>
  <c r="BB177" i="2"/>
  <c r="BA177" i="2"/>
  <c r="AZ177" i="2"/>
  <c r="AY177" i="2"/>
  <c r="AX177" i="2"/>
  <c r="AW177" i="2"/>
  <c r="AV177" i="2"/>
  <c r="AU177" i="2"/>
  <c r="AT177" i="2"/>
  <c r="AS177" i="2"/>
  <c r="AR177" i="2"/>
  <c r="AQ177" i="2"/>
  <c r="AP177" i="2"/>
  <c r="AO177" i="2"/>
  <c r="AN177" i="2"/>
  <c r="AM177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F176" i="2"/>
  <c r="BE176" i="2"/>
  <c r="BD176" i="2"/>
  <c r="BC176" i="2"/>
  <c r="BB176" i="2"/>
  <c r="BA176" i="2"/>
  <c r="AZ176" i="2"/>
  <c r="AY176" i="2"/>
  <c r="AX176" i="2"/>
  <c r="AW176" i="2"/>
  <c r="AV176" i="2"/>
  <c r="AU176" i="2"/>
  <c r="AT176" i="2"/>
  <c r="AS176" i="2"/>
  <c r="AR176" i="2"/>
  <c r="AQ176" i="2"/>
  <c r="AP176" i="2"/>
  <c r="AO176" i="2"/>
  <c r="AN176" i="2"/>
  <c r="AM176" i="2"/>
  <c r="AL176" i="2"/>
  <c r="AK176" i="2"/>
  <c r="AJ176" i="2"/>
  <c r="AI176" i="2"/>
  <c r="AH176" i="2"/>
  <c r="AG176" i="2"/>
  <c r="AF176" i="2"/>
  <c r="AE176" i="2"/>
  <c r="AD176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F175" i="2"/>
  <c r="BE175" i="2"/>
  <c r="BD175" i="2"/>
  <c r="BC175" i="2"/>
  <c r="BB175" i="2"/>
  <c r="BA175" i="2"/>
  <c r="AZ175" i="2"/>
  <c r="AY175" i="2"/>
  <c r="AX175" i="2"/>
  <c r="AW175" i="2"/>
  <c r="AV175" i="2"/>
  <c r="AU175" i="2"/>
  <c r="AT175" i="2"/>
  <c r="AS175" i="2"/>
  <c r="AR175" i="2"/>
  <c r="AQ175" i="2"/>
  <c r="AP175" i="2"/>
  <c r="AO175" i="2"/>
  <c r="AN175" i="2"/>
  <c r="AM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F174" i="2"/>
  <c r="BE174" i="2"/>
  <c r="BD174" i="2"/>
  <c r="BC174" i="2"/>
  <c r="BB174" i="2"/>
  <c r="BA174" i="2"/>
  <c r="AZ174" i="2"/>
  <c r="AY174" i="2"/>
  <c r="AX174" i="2"/>
  <c r="AW174" i="2"/>
  <c r="AV174" i="2"/>
  <c r="AU174" i="2"/>
  <c r="AT174" i="2"/>
  <c r="AS174" i="2"/>
  <c r="AR174" i="2"/>
  <c r="AQ174" i="2"/>
  <c r="AP174" i="2"/>
  <c r="AO174" i="2"/>
  <c r="AN174" i="2"/>
  <c r="AM174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F171" i="2"/>
  <c r="BE171" i="2"/>
  <c r="BD171" i="2"/>
  <c r="BC171" i="2"/>
  <c r="BB171" i="2"/>
  <c r="BA171" i="2"/>
  <c r="AZ171" i="2"/>
  <c r="AY171" i="2"/>
  <c r="AX171" i="2"/>
  <c r="AW171" i="2"/>
  <c r="AV171" i="2"/>
  <c r="AU171" i="2"/>
  <c r="AT171" i="2"/>
  <c r="AS171" i="2"/>
  <c r="AR171" i="2"/>
  <c r="AQ171" i="2"/>
  <c r="AP171" i="2"/>
  <c r="AO171" i="2"/>
  <c r="AN171" i="2"/>
  <c r="AM171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F170" i="2"/>
  <c r="BE170" i="2"/>
  <c r="BD170" i="2"/>
  <c r="BC170" i="2"/>
  <c r="BB170" i="2"/>
  <c r="BA170" i="2"/>
  <c r="AZ170" i="2"/>
  <c r="AY170" i="2"/>
  <c r="AX170" i="2"/>
  <c r="AW170" i="2"/>
  <c r="AV170" i="2"/>
  <c r="AU170" i="2"/>
  <c r="AT170" i="2"/>
  <c r="AS170" i="2"/>
  <c r="AR170" i="2"/>
  <c r="AQ170" i="2"/>
  <c r="AP170" i="2"/>
  <c r="AO170" i="2"/>
  <c r="AN170" i="2"/>
  <c r="AM170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F169" i="2"/>
  <c r="BE169" i="2"/>
  <c r="BD169" i="2"/>
  <c r="BC169" i="2"/>
  <c r="BB169" i="2"/>
  <c r="BA169" i="2"/>
  <c r="AZ169" i="2"/>
  <c r="AY169" i="2"/>
  <c r="AX169" i="2"/>
  <c r="AW169" i="2"/>
  <c r="AV169" i="2"/>
  <c r="AU169" i="2"/>
  <c r="AT169" i="2"/>
  <c r="AS169" i="2"/>
  <c r="AR169" i="2"/>
  <c r="AQ169" i="2"/>
  <c r="AP169" i="2"/>
  <c r="AO169" i="2"/>
  <c r="AN169" i="2"/>
  <c r="AM169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F168" i="2"/>
  <c r="BE168" i="2"/>
  <c r="BD168" i="2"/>
  <c r="BC168" i="2"/>
  <c r="BB168" i="2"/>
  <c r="BA168" i="2"/>
  <c r="AZ168" i="2"/>
  <c r="AY168" i="2"/>
  <c r="AX168" i="2"/>
  <c r="AW168" i="2"/>
  <c r="AV168" i="2"/>
  <c r="AU168" i="2"/>
  <c r="AT168" i="2"/>
  <c r="AS168" i="2"/>
  <c r="AR168" i="2"/>
  <c r="AQ168" i="2"/>
  <c r="AP168" i="2"/>
  <c r="AO168" i="2"/>
  <c r="AN168" i="2"/>
  <c r="AM168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F167" i="2"/>
  <c r="BE167" i="2"/>
  <c r="BD167" i="2"/>
  <c r="BC167" i="2"/>
  <c r="BB167" i="2"/>
  <c r="BA167" i="2"/>
  <c r="AZ167" i="2"/>
  <c r="AY167" i="2"/>
  <c r="AX167" i="2"/>
  <c r="AW167" i="2"/>
  <c r="AV167" i="2"/>
  <c r="AU167" i="2"/>
  <c r="AT167" i="2"/>
  <c r="AS167" i="2"/>
  <c r="AR167" i="2"/>
  <c r="AQ167" i="2"/>
  <c r="AP167" i="2"/>
  <c r="AO167" i="2"/>
  <c r="AN167" i="2"/>
  <c r="AM167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F166" i="2"/>
  <c r="BE166" i="2"/>
  <c r="BD166" i="2"/>
  <c r="BC166" i="2"/>
  <c r="BB166" i="2"/>
  <c r="BA166" i="2"/>
  <c r="AZ166" i="2"/>
  <c r="AY166" i="2"/>
  <c r="AX166" i="2"/>
  <c r="AW166" i="2"/>
  <c r="AV166" i="2"/>
  <c r="AU166" i="2"/>
  <c r="AT166" i="2"/>
  <c r="AS166" i="2"/>
  <c r="AR166" i="2"/>
  <c r="AQ166" i="2"/>
  <c r="AP166" i="2"/>
  <c r="AO166" i="2"/>
  <c r="AN166" i="2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F165" i="2"/>
  <c r="BE165" i="2"/>
  <c r="BD165" i="2"/>
  <c r="BC165" i="2"/>
  <c r="BB165" i="2"/>
  <c r="BA165" i="2"/>
  <c r="AZ165" i="2"/>
  <c r="AY165" i="2"/>
  <c r="AX165" i="2"/>
  <c r="AW165" i="2"/>
  <c r="AV165" i="2"/>
  <c r="AU165" i="2"/>
  <c r="AT165" i="2"/>
  <c r="AS165" i="2"/>
  <c r="AR165" i="2"/>
  <c r="AQ165" i="2"/>
  <c r="AP165" i="2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F164" i="2"/>
  <c r="BE164" i="2"/>
  <c r="BD164" i="2"/>
  <c r="BC164" i="2"/>
  <c r="BB164" i="2"/>
  <c r="BA164" i="2"/>
  <c r="AZ164" i="2"/>
  <c r="AY164" i="2"/>
  <c r="AX164" i="2"/>
  <c r="AW164" i="2"/>
  <c r="AV164" i="2"/>
  <c r="AU164" i="2"/>
  <c r="AT164" i="2"/>
  <c r="AS164" i="2"/>
  <c r="AR164" i="2"/>
  <c r="AQ164" i="2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F142" i="2"/>
  <c r="BE142" i="2"/>
  <c r="BD142" i="2"/>
  <c r="BC142" i="2"/>
  <c r="BB142" i="2"/>
  <c r="BA142" i="2"/>
  <c r="AZ142" i="2"/>
  <c r="AY142" i="2"/>
  <c r="AX142" i="2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F141" i="2"/>
  <c r="BE141" i="2"/>
  <c r="BD141" i="2"/>
  <c r="BC141" i="2"/>
  <c r="BB141" i="2"/>
  <c r="BA141" i="2"/>
  <c r="AZ141" i="2"/>
  <c r="AY141" i="2"/>
  <c r="AX141" i="2"/>
  <c r="AW141" i="2"/>
  <c r="AV141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F136" i="2"/>
  <c r="BE136" i="2"/>
  <c r="BD136" i="2"/>
  <c r="BC136" i="2"/>
  <c r="BB136" i="2"/>
  <c r="BA136" i="2"/>
  <c r="AZ136" i="2"/>
  <c r="AY136" i="2"/>
  <c r="AX136" i="2"/>
  <c r="AW136" i="2"/>
  <c r="AV136" i="2"/>
  <c r="AU136" i="2"/>
  <c r="AT136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F132" i="2"/>
  <c r="BE132" i="2"/>
  <c r="BD132" i="2"/>
  <c r="BC132" i="2"/>
  <c r="BB132" i="2"/>
  <c r="BA132" i="2"/>
  <c r="AZ132" i="2"/>
  <c r="AY132" i="2"/>
  <c r="AX132" i="2"/>
  <c r="AW132" i="2"/>
  <c r="AV132" i="2"/>
  <c r="AU132" i="2"/>
  <c r="AT132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F131" i="2"/>
  <c r="BE131" i="2"/>
  <c r="BD131" i="2"/>
  <c r="BC131" i="2"/>
  <c r="BB131" i="2"/>
  <c r="BA131" i="2"/>
  <c r="AZ131" i="2"/>
  <c r="AY131" i="2"/>
  <c r="AX131" i="2"/>
  <c r="AW131" i="2"/>
  <c r="AV131" i="2"/>
  <c r="AU131" i="2"/>
  <c r="AT131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F130" i="2"/>
  <c r="BE130" i="2"/>
  <c r="BD130" i="2"/>
  <c r="BC130" i="2"/>
  <c r="BB130" i="2"/>
  <c r="BA130" i="2"/>
  <c r="AZ130" i="2"/>
  <c r="AY130" i="2"/>
  <c r="AX130" i="2"/>
  <c r="AW130" i="2"/>
  <c r="AV130" i="2"/>
  <c r="AU130" i="2"/>
  <c r="AT130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F129" i="2"/>
  <c r="BE129" i="2"/>
  <c r="BD129" i="2"/>
  <c r="BC129" i="2"/>
  <c r="BB129" i="2"/>
  <c r="BA129" i="2"/>
  <c r="AZ129" i="2"/>
  <c r="AY129" i="2"/>
  <c r="AX129" i="2"/>
  <c r="AW129" i="2"/>
  <c r="AV129" i="2"/>
  <c r="AU129" i="2"/>
  <c r="AT129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F128" i="2"/>
  <c r="BE128" i="2"/>
  <c r="BD128" i="2"/>
  <c r="BC128" i="2"/>
  <c r="BB128" i="2"/>
  <c r="BA128" i="2"/>
  <c r="AZ128" i="2"/>
  <c r="AY128" i="2"/>
  <c r="AX128" i="2"/>
  <c r="AW128" i="2"/>
  <c r="AV128" i="2"/>
  <c r="AU128" i="2"/>
  <c r="AT128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F127" i="2"/>
  <c r="BE127" i="2"/>
  <c r="BD127" i="2"/>
  <c r="BC127" i="2"/>
  <c r="BB127" i="2"/>
  <c r="BA127" i="2"/>
  <c r="AZ127" i="2"/>
  <c r="AY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F126" i="2"/>
  <c r="BE126" i="2"/>
  <c r="BD126" i="2"/>
  <c r="BC126" i="2"/>
  <c r="BB126" i="2"/>
  <c r="BA126" i="2"/>
  <c r="AZ126" i="2"/>
  <c r="AY126" i="2"/>
  <c r="AX126" i="2"/>
  <c r="AW126" i="2"/>
  <c r="AV126" i="2"/>
  <c r="AU126" i="2"/>
  <c r="AT126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F125" i="2"/>
  <c r="BE125" i="2"/>
  <c r="BD125" i="2"/>
  <c r="BC125" i="2"/>
  <c r="BB125" i="2"/>
  <c r="BA125" i="2"/>
  <c r="AZ125" i="2"/>
  <c r="AY125" i="2"/>
  <c r="AX125" i="2"/>
  <c r="AW125" i="2"/>
  <c r="AV125" i="2"/>
  <c r="AU125" i="2"/>
  <c r="AT125" i="2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F416" i="2"/>
  <c r="BE416" i="2"/>
  <c r="BD416" i="2"/>
  <c r="BC416" i="2"/>
  <c r="BB416" i="2"/>
  <c r="BA416" i="2"/>
  <c r="AZ416" i="2"/>
  <c r="AY416" i="2"/>
  <c r="AX416" i="2"/>
  <c r="AW416" i="2"/>
  <c r="AV416" i="2"/>
  <c r="AU416" i="2"/>
  <c r="AT416" i="2"/>
  <c r="AS416" i="2"/>
  <c r="AR416" i="2"/>
  <c r="AQ416" i="2"/>
  <c r="AP416" i="2"/>
  <c r="AO416" i="2"/>
  <c r="AN416" i="2"/>
  <c r="AM416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Z416" i="2"/>
  <c r="Y416" i="2"/>
  <c r="X416" i="2"/>
  <c r="W416" i="2"/>
  <c r="V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BF415" i="2"/>
  <c r="BE415" i="2"/>
  <c r="BD415" i="2"/>
  <c r="BC415" i="2"/>
  <c r="BB415" i="2"/>
  <c r="BA415" i="2"/>
  <c r="AZ415" i="2"/>
  <c r="AY415" i="2"/>
  <c r="AX415" i="2"/>
  <c r="AW415" i="2"/>
  <c r="AV415" i="2"/>
  <c r="AU415" i="2"/>
  <c r="AT415" i="2"/>
  <c r="AS415" i="2"/>
  <c r="AR415" i="2"/>
  <c r="AQ415" i="2"/>
  <c r="AP415" i="2"/>
  <c r="AO415" i="2"/>
  <c r="AN415" i="2"/>
  <c r="AM415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Z415" i="2"/>
  <c r="Y415" i="2"/>
  <c r="X415" i="2"/>
  <c r="W415" i="2"/>
  <c r="V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BF414" i="2"/>
  <c r="BE414" i="2"/>
  <c r="BD414" i="2"/>
  <c r="BC414" i="2"/>
  <c r="BB414" i="2"/>
  <c r="BA414" i="2"/>
  <c r="AZ414" i="2"/>
  <c r="AY414" i="2"/>
  <c r="AX414" i="2"/>
  <c r="AW414" i="2"/>
  <c r="AV414" i="2"/>
  <c r="AU414" i="2"/>
  <c r="AT414" i="2"/>
  <c r="AS414" i="2"/>
  <c r="AR414" i="2"/>
  <c r="AQ414" i="2"/>
  <c r="AP414" i="2"/>
  <c r="AO414" i="2"/>
  <c r="AN414" i="2"/>
  <c r="AM414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Z414" i="2"/>
  <c r="Y414" i="2"/>
  <c r="X414" i="2"/>
  <c r="W414" i="2"/>
  <c r="V414" i="2"/>
  <c r="U414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BF413" i="2"/>
  <c r="BE413" i="2"/>
  <c r="BD413" i="2"/>
  <c r="BC413" i="2"/>
  <c r="BB413" i="2"/>
  <c r="BA413" i="2"/>
  <c r="AZ413" i="2"/>
  <c r="AY413" i="2"/>
  <c r="AX413" i="2"/>
  <c r="AW413" i="2"/>
  <c r="AV413" i="2"/>
  <c r="AU413" i="2"/>
  <c r="AT413" i="2"/>
  <c r="AS413" i="2"/>
  <c r="AR413" i="2"/>
  <c r="AQ413" i="2"/>
  <c r="AP413" i="2"/>
  <c r="AO413" i="2"/>
  <c r="AN413" i="2"/>
  <c r="AM413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Z413" i="2"/>
  <c r="Y413" i="2"/>
  <c r="X413" i="2"/>
  <c r="W413" i="2"/>
  <c r="V413" i="2"/>
  <c r="U413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BF412" i="2"/>
  <c r="BE412" i="2"/>
  <c r="BD412" i="2"/>
  <c r="BC412" i="2"/>
  <c r="BB412" i="2"/>
  <c r="BA412" i="2"/>
  <c r="AZ412" i="2"/>
  <c r="AY412" i="2"/>
  <c r="AX412" i="2"/>
  <c r="AW412" i="2"/>
  <c r="AV412" i="2"/>
  <c r="AU412" i="2"/>
  <c r="AT412" i="2"/>
  <c r="AS412" i="2"/>
  <c r="AR412" i="2"/>
  <c r="AQ412" i="2"/>
  <c r="AP412" i="2"/>
  <c r="AO412" i="2"/>
  <c r="AN412" i="2"/>
  <c r="AM412" i="2"/>
  <c r="AL412" i="2"/>
  <c r="AK412" i="2"/>
  <c r="AJ412" i="2"/>
  <c r="AI412" i="2"/>
  <c r="AH412" i="2"/>
  <c r="AG412" i="2"/>
  <c r="AF412" i="2"/>
  <c r="AE412" i="2"/>
  <c r="AD412" i="2"/>
  <c r="AC412" i="2"/>
  <c r="AB412" i="2"/>
  <c r="AA412" i="2"/>
  <c r="Z412" i="2"/>
  <c r="Y412" i="2"/>
  <c r="X412" i="2"/>
  <c r="W412" i="2"/>
  <c r="V412" i="2"/>
  <c r="U412" i="2"/>
  <c r="T412" i="2"/>
  <c r="S412" i="2"/>
  <c r="R412" i="2"/>
  <c r="Q412" i="2"/>
  <c r="P412" i="2"/>
  <c r="O412" i="2"/>
  <c r="N412" i="2"/>
  <c r="M412" i="2"/>
  <c r="L412" i="2"/>
  <c r="K412" i="2"/>
  <c r="J412" i="2"/>
  <c r="I412" i="2"/>
  <c r="H412" i="2"/>
  <c r="G412" i="2"/>
  <c r="F412" i="2"/>
  <c r="E412" i="2"/>
  <c r="D412" i="2"/>
  <c r="C412" i="2"/>
  <c r="B412" i="2"/>
  <c r="BF411" i="2"/>
  <c r="BE411" i="2"/>
  <c r="BD411" i="2"/>
  <c r="BC411" i="2"/>
  <c r="BB411" i="2"/>
  <c r="BA411" i="2"/>
  <c r="AZ411" i="2"/>
  <c r="AY411" i="2"/>
  <c r="AX411" i="2"/>
  <c r="AW411" i="2"/>
  <c r="AV411" i="2"/>
  <c r="AU411" i="2"/>
  <c r="AT411" i="2"/>
  <c r="AS411" i="2"/>
  <c r="AR411" i="2"/>
  <c r="AQ411" i="2"/>
  <c r="AP411" i="2"/>
  <c r="AO411" i="2"/>
  <c r="AN411" i="2"/>
  <c r="AM411" i="2"/>
  <c r="AL411" i="2"/>
  <c r="AK411" i="2"/>
  <c r="AJ411" i="2"/>
  <c r="AI411" i="2"/>
  <c r="AH411" i="2"/>
  <c r="AG411" i="2"/>
  <c r="AF411" i="2"/>
  <c r="AE411" i="2"/>
  <c r="AD411" i="2"/>
  <c r="AC411" i="2"/>
  <c r="AB411" i="2"/>
  <c r="AA411" i="2"/>
  <c r="Z411" i="2"/>
  <c r="Y411" i="2"/>
  <c r="X411" i="2"/>
  <c r="W411" i="2"/>
  <c r="V411" i="2"/>
  <c r="U411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B411" i="2"/>
  <c r="BF410" i="2"/>
  <c r="BE410" i="2"/>
  <c r="BD410" i="2"/>
  <c r="BC410" i="2"/>
  <c r="BB410" i="2"/>
  <c r="BA410" i="2"/>
  <c r="AZ410" i="2"/>
  <c r="AY410" i="2"/>
  <c r="AX410" i="2"/>
  <c r="AW410" i="2"/>
  <c r="AV410" i="2"/>
  <c r="AU410" i="2"/>
  <c r="AT410" i="2"/>
  <c r="AS410" i="2"/>
  <c r="AR410" i="2"/>
  <c r="AQ410" i="2"/>
  <c r="AP410" i="2"/>
  <c r="AO410" i="2"/>
  <c r="AN410" i="2"/>
  <c r="AM410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B410" i="2"/>
  <c r="BF409" i="2"/>
  <c r="BE409" i="2"/>
  <c r="BD409" i="2"/>
  <c r="BC409" i="2"/>
  <c r="BB409" i="2"/>
  <c r="BA409" i="2"/>
  <c r="AZ409" i="2"/>
  <c r="AY409" i="2"/>
  <c r="AX409" i="2"/>
  <c r="AW409" i="2"/>
  <c r="AV409" i="2"/>
  <c r="AU409" i="2"/>
  <c r="AT409" i="2"/>
  <c r="AS409" i="2"/>
  <c r="AR409" i="2"/>
  <c r="AQ409" i="2"/>
  <c r="AP409" i="2"/>
  <c r="AO409" i="2"/>
  <c r="AN409" i="2"/>
  <c r="AM409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Z409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B409" i="2"/>
  <c r="BF408" i="2"/>
  <c r="BE408" i="2"/>
  <c r="BD408" i="2"/>
  <c r="BC408" i="2"/>
  <c r="BB408" i="2"/>
  <c r="BA408" i="2"/>
  <c r="AZ408" i="2"/>
  <c r="AY408" i="2"/>
  <c r="AX408" i="2"/>
  <c r="AW408" i="2"/>
  <c r="AV408" i="2"/>
  <c r="AU408" i="2"/>
  <c r="AT408" i="2"/>
  <c r="AS408" i="2"/>
  <c r="AR408" i="2"/>
  <c r="AQ408" i="2"/>
  <c r="AP408" i="2"/>
  <c r="AO408" i="2"/>
  <c r="AN408" i="2"/>
  <c r="AM408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Z408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B408" i="2"/>
  <c r="BF407" i="2"/>
  <c r="BE407" i="2"/>
  <c r="BD407" i="2"/>
  <c r="BC407" i="2"/>
  <c r="BB407" i="2"/>
  <c r="BA407" i="2"/>
  <c r="AZ407" i="2"/>
  <c r="AY407" i="2"/>
  <c r="AX407" i="2"/>
  <c r="AW407" i="2"/>
  <c r="AV407" i="2"/>
  <c r="AU407" i="2"/>
  <c r="AT407" i="2"/>
  <c r="AS407" i="2"/>
  <c r="AR407" i="2"/>
  <c r="AQ407" i="2"/>
  <c r="AP407" i="2"/>
  <c r="AO407" i="2"/>
  <c r="AN407" i="2"/>
  <c r="AM407" i="2"/>
  <c r="AL407" i="2"/>
  <c r="AK407" i="2"/>
  <c r="AJ407" i="2"/>
  <c r="AI407" i="2"/>
  <c r="AH407" i="2"/>
  <c r="AG407" i="2"/>
  <c r="AF407" i="2"/>
  <c r="AE407" i="2"/>
  <c r="AD407" i="2"/>
  <c r="AC407" i="2"/>
  <c r="AB407" i="2"/>
  <c r="AA407" i="2"/>
  <c r="Z407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BF406" i="2"/>
  <c r="BE406" i="2"/>
  <c r="BD406" i="2"/>
  <c r="BC406" i="2"/>
  <c r="BB406" i="2"/>
  <c r="BA406" i="2"/>
  <c r="AZ406" i="2"/>
  <c r="AY406" i="2"/>
  <c r="AX406" i="2"/>
  <c r="AW406" i="2"/>
  <c r="AV406" i="2"/>
  <c r="AU406" i="2"/>
  <c r="AT406" i="2"/>
  <c r="AS406" i="2"/>
  <c r="AR406" i="2"/>
  <c r="AQ406" i="2"/>
  <c r="AP406" i="2"/>
  <c r="AO406" i="2"/>
  <c r="AN406" i="2"/>
  <c r="AM406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B406" i="2"/>
  <c r="BF405" i="2"/>
  <c r="BE405" i="2"/>
  <c r="BD405" i="2"/>
  <c r="BC405" i="2"/>
  <c r="BB405" i="2"/>
  <c r="BA405" i="2"/>
  <c r="AZ405" i="2"/>
  <c r="AY405" i="2"/>
  <c r="AX405" i="2"/>
  <c r="AW405" i="2"/>
  <c r="AV405" i="2"/>
  <c r="AU405" i="2"/>
  <c r="AT405" i="2"/>
  <c r="AS405" i="2"/>
  <c r="AR405" i="2"/>
  <c r="AQ405" i="2"/>
  <c r="AP405" i="2"/>
  <c r="AO405" i="2"/>
  <c r="AN405" i="2"/>
  <c r="AM405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Z405" i="2"/>
  <c r="Y405" i="2"/>
  <c r="X405" i="2"/>
  <c r="W405" i="2"/>
  <c r="V405" i="2"/>
  <c r="U405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B405" i="2"/>
  <c r="BF404" i="2"/>
  <c r="BE404" i="2"/>
  <c r="BD404" i="2"/>
  <c r="BC404" i="2"/>
  <c r="BB404" i="2"/>
  <c r="BA404" i="2"/>
  <c r="AZ404" i="2"/>
  <c r="AY404" i="2"/>
  <c r="AX404" i="2"/>
  <c r="AW404" i="2"/>
  <c r="AV404" i="2"/>
  <c r="AU404" i="2"/>
  <c r="AT404" i="2"/>
  <c r="AS404" i="2"/>
  <c r="AR404" i="2"/>
  <c r="AQ404" i="2"/>
  <c r="AP404" i="2"/>
  <c r="AO404" i="2"/>
  <c r="AN404" i="2"/>
  <c r="AM404" i="2"/>
  <c r="AL404" i="2"/>
  <c r="AK404" i="2"/>
  <c r="AJ404" i="2"/>
  <c r="AI404" i="2"/>
  <c r="AH404" i="2"/>
  <c r="AG404" i="2"/>
  <c r="AF404" i="2"/>
  <c r="AE404" i="2"/>
  <c r="AD404" i="2"/>
  <c r="AC404" i="2"/>
  <c r="AB404" i="2"/>
  <c r="AA404" i="2"/>
  <c r="Z404" i="2"/>
  <c r="Y404" i="2"/>
  <c r="X404" i="2"/>
  <c r="W404" i="2"/>
  <c r="V404" i="2"/>
  <c r="U404" i="2"/>
  <c r="T404" i="2"/>
  <c r="S404" i="2"/>
  <c r="R404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B404" i="2"/>
  <c r="BF403" i="2"/>
  <c r="BE403" i="2"/>
  <c r="BD403" i="2"/>
  <c r="BC403" i="2"/>
  <c r="BB403" i="2"/>
  <c r="BA403" i="2"/>
  <c r="AZ403" i="2"/>
  <c r="AY403" i="2"/>
  <c r="AX403" i="2"/>
  <c r="AW403" i="2"/>
  <c r="AV403" i="2"/>
  <c r="AU403" i="2"/>
  <c r="AT403" i="2"/>
  <c r="AS403" i="2"/>
  <c r="AR403" i="2"/>
  <c r="AQ403" i="2"/>
  <c r="AP403" i="2"/>
  <c r="AO403" i="2"/>
  <c r="AN403" i="2"/>
  <c r="AM403" i="2"/>
  <c r="AL403" i="2"/>
  <c r="AK403" i="2"/>
  <c r="AJ403" i="2"/>
  <c r="AI403" i="2"/>
  <c r="AH403" i="2"/>
  <c r="AG403" i="2"/>
  <c r="AF403" i="2"/>
  <c r="AE403" i="2"/>
  <c r="AD403" i="2"/>
  <c r="AC403" i="2"/>
  <c r="AB403" i="2"/>
  <c r="AA403" i="2"/>
  <c r="Z403" i="2"/>
  <c r="Y403" i="2"/>
  <c r="X403" i="2"/>
  <c r="W403" i="2"/>
  <c r="V403" i="2"/>
  <c r="U403" i="2"/>
  <c r="T403" i="2"/>
  <c r="S403" i="2"/>
  <c r="R403" i="2"/>
  <c r="Q403" i="2"/>
  <c r="P403" i="2"/>
  <c r="O403" i="2"/>
  <c r="N403" i="2"/>
  <c r="M403" i="2"/>
  <c r="L403" i="2"/>
  <c r="K403" i="2"/>
  <c r="J403" i="2"/>
  <c r="I403" i="2"/>
  <c r="H403" i="2"/>
  <c r="G403" i="2"/>
  <c r="F403" i="2"/>
  <c r="E403" i="2"/>
  <c r="D403" i="2"/>
  <c r="C403" i="2"/>
  <c r="B403" i="2"/>
  <c r="BF402" i="2"/>
  <c r="BE402" i="2"/>
  <c r="BD402" i="2"/>
  <c r="BC402" i="2"/>
  <c r="BB402" i="2"/>
  <c r="BA402" i="2"/>
  <c r="AZ402" i="2"/>
  <c r="AY402" i="2"/>
  <c r="AX402" i="2"/>
  <c r="AW402" i="2"/>
  <c r="AV402" i="2"/>
  <c r="AU402" i="2"/>
  <c r="AT402" i="2"/>
  <c r="AS402" i="2"/>
  <c r="AR402" i="2"/>
  <c r="AQ402" i="2"/>
  <c r="AP402" i="2"/>
  <c r="AO402" i="2"/>
  <c r="AN402" i="2"/>
  <c r="AM402" i="2"/>
  <c r="AL402" i="2"/>
  <c r="AK402" i="2"/>
  <c r="AJ402" i="2"/>
  <c r="AI402" i="2"/>
  <c r="AH402" i="2"/>
  <c r="AG402" i="2"/>
  <c r="AF402" i="2"/>
  <c r="AE402" i="2"/>
  <c r="AD402" i="2"/>
  <c r="AC402" i="2"/>
  <c r="AB402" i="2"/>
  <c r="AA402" i="2"/>
  <c r="Z402" i="2"/>
  <c r="Y402" i="2"/>
  <c r="X402" i="2"/>
  <c r="W402" i="2"/>
  <c r="V402" i="2"/>
  <c r="U402" i="2"/>
  <c r="T402" i="2"/>
  <c r="S402" i="2"/>
  <c r="R402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B402" i="2"/>
  <c r="BF401" i="2"/>
  <c r="BE401" i="2"/>
  <c r="BD401" i="2"/>
  <c r="BC401" i="2"/>
  <c r="BB401" i="2"/>
  <c r="BA401" i="2"/>
  <c r="AZ401" i="2"/>
  <c r="AY401" i="2"/>
  <c r="AX401" i="2"/>
  <c r="AW401" i="2"/>
  <c r="AV401" i="2"/>
  <c r="AU401" i="2"/>
  <c r="AT401" i="2"/>
  <c r="AS401" i="2"/>
  <c r="AR401" i="2"/>
  <c r="AQ401" i="2"/>
  <c r="AP401" i="2"/>
  <c r="AO401" i="2"/>
  <c r="AN401" i="2"/>
  <c r="AM401" i="2"/>
  <c r="AL401" i="2"/>
  <c r="AK401" i="2"/>
  <c r="AJ401" i="2"/>
  <c r="AI401" i="2"/>
  <c r="AH401" i="2"/>
  <c r="AG401" i="2"/>
  <c r="AF401" i="2"/>
  <c r="AE401" i="2"/>
  <c r="AD401" i="2"/>
  <c r="AC401" i="2"/>
  <c r="AB401" i="2"/>
  <c r="AA401" i="2"/>
  <c r="Z401" i="2"/>
  <c r="Y401" i="2"/>
  <c r="X401" i="2"/>
  <c r="W401" i="2"/>
  <c r="V401" i="2"/>
  <c r="U401" i="2"/>
  <c r="T401" i="2"/>
  <c r="S401" i="2"/>
  <c r="R401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B401" i="2"/>
  <c r="BF400" i="2"/>
  <c r="BE400" i="2"/>
  <c r="BD400" i="2"/>
  <c r="BC400" i="2"/>
  <c r="BB400" i="2"/>
  <c r="BA400" i="2"/>
  <c r="AZ400" i="2"/>
  <c r="AY400" i="2"/>
  <c r="AX400" i="2"/>
  <c r="AW400" i="2"/>
  <c r="AV400" i="2"/>
  <c r="AU400" i="2"/>
  <c r="AT400" i="2"/>
  <c r="AS400" i="2"/>
  <c r="AR400" i="2"/>
  <c r="AQ400" i="2"/>
  <c r="AP400" i="2"/>
  <c r="AO400" i="2"/>
  <c r="AN400" i="2"/>
  <c r="AM400" i="2"/>
  <c r="AL400" i="2"/>
  <c r="AK400" i="2"/>
  <c r="AJ400" i="2"/>
  <c r="AI400" i="2"/>
  <c r="AH400" i="2"/>
  <c r="AG400" i="2"/>
  <c r="AF400" i="2"/>
  <c r="AE400" i="2"/>
  <c r="AD400" i="2"/>
  <c r="AC400" i="2"/>
  <c r="AB400" i="2"/>
  <c r="AA400" i="2"/>
  <c r="Z400" i="2"/>
  <c r="Y400" i="2"/>
  <c r="X400" i="2"/>
  <c r="W400" i="2"/>
  <c r="V400" i="2"/>
  <c r="U400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B400" i="2"/>
  <c r="BF399" i="2"/>
  <c r="BE399" i="2"/>
  <c r="BD399" i="2"/>
  <c r="BC399" i="2"/>
  <c r="BB399" i="2"/>
  <c r="BA399" i="2"/>
  <c r="AZ399" i="2"/>
  <c r="AY399" i="2"/>
  <c r="AX399" i="2"/>
  <c r="AW399" i="2"/>
  <c r="AV399" i="2"/>
  <c r="AU399" i="2"/>
  <c r="AT399" i="2"/>
  <c r="AS399" i="2"/>
  <c r="AR399" i="2"/>
  <c r="AQ399" i="2"/>
  <c r="AP399" i="2"/>
  <c r="AO399" i="2"/>
  <c r="AN399" i="2"/>
  <c r="AM399" i="2"/>
  <c r="AL399" i="2"/>
  <c r="AK399" i="2"/>
  <c r="AJ399" i="2"/>
  <c r="AI399" i="2"/>
  <c r="AH399" i="2"/>
  <c r="AG399" i="2"/>
  <c r="AF399" i="2"/>
  <c r="AE399" i="2"/>
  <c r="AD399" i="2"/>
  <c r="AC399" i="2"/>
  <c r="AB399" i="2"/>
  <c r="AA399" i="2"/>
  <c r="Z399" i="2"/>
  <c r="Y399" i="2"/>
  <c r="X399" i="2"/>
  <c r="W399" i="2"/>
  <c r="V399" i="2"/>
  <c r="U399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B399" i="2"/>
  <c r="BF398" i="2"/>
  <c r="BE398" i="2"/>
  <c r="BD398" i="2"/>
  <c r="BC398" i="2"/>
  <c r="BB398" i="2"/>
  <c r="BA398" i="2"/>
  <c r="AZ398" i="2"/>
  <c r="AY398" i="2"/>
  <c r="AX398" i="2"/>
  <c r="AW398" i="2"/>
  <c r="AV398" i="2"/>
  <c r="AU398" i="2"/>
  <c r="AT398" i="2"/>
  <c r="AS398" i="2"/>
  <c r="AR398" i="2"/>
  <c r="AQ398" i="2"/>
  <c r="AP398" i="2"/>
  <c r="AO398" i="2"/>
  <c r="AN398" i="2"/>
  <c r="AM398" i="2"/>
  <c r="AL398" i="2"/>
  <c r="AK398" i="2"/>
  <c r="AJ398" i="2"/>
  <c r="AI398" i="2"/>
  <c r="AH398" i="2"/>
  <c r="AG398" i="2"/>
  <c r="AF398" i="2"/>
  <c r="AE398" i="2"/>
  <c r="AD398" i="2"/>
  <c r="AC398" i="2"/>
  <c r="AB398" i="2"/>
  <c r="AA398" i="2"/>
  <c r="Z398" i="2"/>
  <c r="Y398" i="2"/>
  <c r="X398" i="2"/>
  <c r="W398" i="2"/>
  <c r="V398" i="2"/>
  <c r="U398" i="2"/>
  <c r="T398" i="2"/>
  <c r="S398" i="2"/>
  <c r="R398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B398" i="2"/>
  <c r="BF397" i="2"/>
  <c r="BE397" i="2"/>
  <c r="BD397" i="2"/>
  <c r="BC397" i="2"/>
  <c r="BB397" i="2"/>
  <c r="BA397" i="2"/>
  <c r="AZ397" i="2"/>
  <c r="AY397" i="2"/>
  <c r="AX397" i="2"/>
  <c r="AW397" i="2"/>
  <c r="AV397" i="2"/>
  <c r="AU397" i="2"/>
  <c r="AT397" i="2"/>
  <c r="AS397" i="2"/>
  <c r="AR397" i="2"/>
  <c r="AQ397" i="2"/>
  <c r="AP397" i="2"/>
  <c r="AO397" i="2"/>
  <c r="AN397" i="2"/>
  <c r="AM397" i="2"/>
  <c r="AL397" i="2"/>
  <c r="AK397" i="2"/>
  <c r="AJ397" i="2"/>
  <c r="AI397" i="2"/>
  <c r="AH397" i="2"/>
  <c r="AG397" i="2"/>
  <c r="AF397" i="2"/>
  <c r="AE397" i="2"/>
  <c r="AD397" i="2"/>
  <c r="AC397" i="2"/>
  <c r="AB397" i="2"/>
  <c r="AA397" i="2"/>
  <c r="Z397" i="2"/>
  <c r="Y397" i="2"/>
  <c r="X397" i="2"/>
  <c r="W397" i="2"/>
  <c r="V397" i="2"/>
  <c r="U397" i="2"/>
  <c r="T397" i="2"/>
  <c r="S397" i="2"/>
  <c r="R397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B397" i="2"/>
  <c r="BF396" i="2"/>
  <c r="BE396" i="2"/>
  <c r="BD396" i="2"/>
  <c r="BC396" i="2"/>
  <c r="BB396" i="2"/>
  <c r="BA396" i="2"/>
  <c r="AZ396" i="2"/>
  <c r="AY396" i="2"/>
  <c r="AX396" i="2"/>
  <c r="AW396" i="2"/>
  <c r="AV396" i="2"/>
  <c r="AU396" i="2"/>
  <c r="AT396" i="2"/>
  <c r="AS396" i="2"/>
  <c r="AR396" i="2"/>
  <c r="AQ396" i="2"/>
  <c r="AP396" i="2"/>
  <c r="AO396" i="2"/>
  <c r="AN396" i="2"/>
  <c r="AM396" i="2"/>
  <c r="AL396" i="2"/>
  <c r="AK396" i="2"/>
  <c r="AJ396" i="2"/>
  <c r="AI396" i="2"/>
  <c r="AH396" i="2"/>
  <c r="AG396" i="2"/>
  <c r="AF396" i="2"/>
  <c r="AE396" i="2"/>
  <c r="AD396" i="2"/>
  <c r="AC396" i="2"/>
  <c r="AB396" i="2"/>
  <c r="AA396" i="2"/>
  <c r="Z396" i="2"/>
  <c r="Y396" i="2"/>
  <c r="X396" i="2"/>
  <c r="W396" i="2"/>
  <c r="V396" i="2"/>
  <c r="U396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B396" i="2"/>
  <c r="BF395" i="2"/>
  <c r="BE395" i="2"/>
  <c r="BD395" i="2"/>
  <c r="BC395" i="2"/>
  <c r="BB395" i="2"/>
  <c r="BA395" i="2"/>
  <c r="AZ395" i="2"/>
  <c r="AY395" i="2"/>
  <c r="AX395" i="2"/>
  <c r="AW395" i="2"/>
  <c r="AV395" i="2"/>
  <c r="AU395" i="2"/>
  <c r="AT395" i="2"/>
  <c r="AS395" i="2"/>
  <c r="AR395" i="2"/>
  <c r="AQ395" i="2"/>
  <c r="AP395" i="2"/>
  <c r="AO395" i="2"/>
  <c r="AN395" i="2"/>
  <c r="AM395" i="2"/>
  <c r="AL395" i="2"/>
  <c r="AK395" i="2"/>
  <c r="AJ395" i="2"/>
  <c r="AI395" i="2"/>
  <c r="AH395" i="2"/>
  <c r="AG395" i="2"/>
  <c r="AF395" i="2"/>
  <c r="AE395" i="2"/>
  <c r="AD395" i="2"/>
  <c r="AC395" i="2"/>
  <c r="AB395" i="2"/>
  <c r="AA395" i="2"/>
  <c r="Z395" i="2"/>
  <c r="Y395" i="2"/>
  <c r="X395" i="2"/>
  <c r="W395" i="2"/>
  <c r="V395" i="2"/>
  <c r="U395" i="2"/>
  <c r="T395" i="2"/>
  <c r="S395" i="2"/>
  <c r="R395" i="2"/>
  <c r="Q395" i="2"/>
  <c r="P395" i="2"/>
  <c r="O395" i="2"/>
  <c r="N395" i="2"/>
  <c r="M395" i="2"/>
  <c r="L395" i="2"/>
  <c r="K395" i="2"/>
  <c r="J395" i="2"/>
  <c r="I395" i="2"/>
  <c r="H395" i="2"/>
  <c r="G395" i="2"/>
  <c r="F395" i="2"/>
  <c r="E395" i="2"/>
  <c r="D395" i="2"/>
  <c r="C395" i="2"/>
  <c r="B395" i="2"/>
  <c r="BF394" i="2"/>
  <c r="BE394" i="2"/>
  <c r="BD394" i="2"/>
  <c r="BC394" i="2"/>
  <c r="BB394" i="2"/>
  <c r="BA394" i="2"/>
  <c r="AZ394" i="2"/>
  <c r="AY394" i="2"/>
  <c r="AX394" i="2"/>
  <c r="AW394" i="2"/>
  <c r="AV394" i="2"/>
  <c r="AU394" i="2"/>
  <c r="AT394" i="2"/>
  <c r="AS394" i="2"/>
  <c r="AR394" i="2"/>
  <c r="AQ394" i="2"/>
  <c r="AP394" i="2"/>
  <c r="AO394" i="2"/>
  <c r="AN394" i="2"/>
  <c r="AM394" i="2"/>
  <c r="AL394" i="2"/>
  <c r="AK394" i="2"/>
  <c r="AJ394" i="2"/>
  <c r="AI394" i="2"/>
  <c r="AH394" i="2"/>
  <c r="AG394" i="2"/>
  <c r="AF394" i="2"/>
  <c r="AE394" i="2"/>
  <c r="AD394" i="2"/>
  <c r="AC394" i="2"/>
  <c r="AB394" i="2"/>
  <c r="AA394" i="2"/>
  <c r="Z394" i="2"/>
  <c r="Y394" i="2"/>
  <c r="X394" i="2"/>
  <c r="W394" i="2"/>
  <c r="V394" i="2"/>
  <c r="U394" i="2"/>
  <c r="T394" i="2"/>
  <c r="S394" i="2"/>
  <c r="R394" i="2"/>
  <c r="Q394" i="2"/>
  <c r="P394" i="2"/>
  <c r="O394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B394" i="2"/>
  <c r="BF393" i="2"/>
  <c r="BE393" i="2"/>
  <c r="BD393" i="2"/>
  <c r="BC393" i="2"/>
  <c r="BB393" i="2"/>
  <c r="BA393" i="2"/>
  <c r="AZ393" i="2"/>
  <c r="AY393" i="2"/>
  <c r="AX393" i="2"/>
  <c r="AW393" i="2"/>
  <c r="AV393" i="2"/>
  <c r="AU393" i="2"/>
  <c r="AT393" i="2"/>
  <c r="AS393" i="2"/>
  <c r="AR393" i="2"/>
  <c r="AQ393" i="2"/>
  <c r="AP393" i="2"/>
  <c r="AO393" i="2"/>
  <c r="AN393" i="2"/>
  <c r="AM393" i="2"/>
  <c r="AL393" i="2"/>
  <c r="AK393" i="2"/>
  <c r="AJ393" i="2"/>
  <c r="AI393" i="2"/>
  <c r="AH393" i="2"/>
  <c r="AG393" i="2"/>
  <c r="AF393" i="2"/>
  <c r="AE393" i="2"/>
  <c r="AD393" i="2"/>
  <c r="AC393" i="2"/>
  <c r="AB393" i="2"/>
  <c r="AA393" i="2"/>
  <c r="Z393" i="2"/>
  <c r="Y393" i="2"/>
  <c r="X393" i="2"/>
  <c r="W393" i="2"/>
  <c r="V393" i="2"/>
  <c r="U393" i="2"/>
  <c r="T393" i="2"/>
  <c r="S393" i="2"/>
  <c r="R393" i="2"/>
  <c r="Q393" i="2"/>
  <c r="P393" i="2"/>
  <c r="O393" i="2"/>
  <c r="N393" i="2"/>
  <c r="M393" i="2"/>
  <c r="L393" i="2"/>
  <c r="K393" i="2"/>
  <c r="J393" i="2"/>
  <c r="I393" i="2"/>
  <c r="H393" i="2"/>
  <c r="G393" i="2"/>
  <c r="F393" i="2"/>
  <c r="E393" i="2"/>
  <c r="D393" i="2"/>
  <c r="C393" i="2"/>
  <c r="B393" i="2"/>
  <c r="BF392" i="2"/>
  <c r="BE392" i="2"/>
  <c r="BD392" i="2"/>
  <c r="BC392" i="2"/>
  <c r="BB392" i="2"/>
  <c r="BA392" i="2"/>
  <c r="AZ392" i="2"/>
  <c r="AY392" i="2"/>
  <c r="AX392" i="2"/>
  <c r="AW392" i="2"/>
  <c r="AV392" i="2"/>
  <c r="AU392" i="2"/>
  <c r="AT392" i="2"/>
  <c r="AS392" i="2"/>
  <c r="AR392" i="2"/>
  <c r="AQ392" i="2"/>
  <c r="AP392" i="2"/>
  <c r="AO392" i="2"/>
  <c r="AN392" i="2"/>
  <c r="AM392" i="2"/>
  <c r="AL392" i="2"/>
  <c r="AK392" i="2"/>
  <c r="AJ392" i="2"/>
  <c r="AI392" i="2"/>
  <c r="AH392" i="2"/>
  <c r="AG392" i="2"/>
  <c r="AF392" i="2"/>
  <c r="AE392" i="2"/>
  <c r="AD392" i="2"/>
  <c r="AC392" i="2"/>
  <c r="AB392" i="2"/>
  <c r="AA392" i="2"/>
  <c r="Z392" i="2"/>
  <c r="Y392" i="2"/>
  <c r="X392" i="2"/>
  <c r="W392" i="2"/>
  <c r="V392" i="2"/>
  <c r="U392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BF391" i="2"/>
  <c r="BE391" i="2"/>
  <c r="BD391" i="2"/>
  <c r="BC391" i="2"/>
  <c r="BB391" i="2"/>
  <c r="BA391" i="2"/>
  <c r="AZ391" i="2"/>
  <c r="AY391" i="2"/>
  <c r="AX391" i="2"/>
  <c r="AW391" i="2"/>
  <c r="AV391" i="2"/>
  <c r="AU391" i="2"/>
  <c r="AT391" i="2"/>
  <c r="AS391" i="2"/>
  <c r="AR391" i="2"/>
  <c r="AQ391" i="2"/>
  <c r="AP391" i="2"/>
  <c r="AO391" i="2"/>
  <c r="AN391" i="2"/>
  <c r="AM391" i="2"/>
  <c r="AL391" i="2"/>
  <c r="AK391" i="2"/>
  <c r="AJ391" i="2"/>
  <c r="AI391" i="2"/>
  <c r="AH391" i="2"/>
  <c r="AG391" i="2"/>
  <c r="AF391" i="2"/>
  <c r="AE391" i="2"/>
  <c r="AD391" i="2"/>
  <c r="AC391" i="2"/>
  <c r="AB391" i="2"/>
  <c r="AA391" i="2"/>
  <c r="Z391" i="2"/>
  <c r="Y391" i="2"/>
  <c r="X391" i="2"/>
  <c r="W391" i="2"/>
  <c r="V391" i="2"/>
  <c r="U391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BF390" i="2"/>
  <c r="BE390" i="2"/>
  <c r="BD390" i="2"/>
  <c r="BC390" i="2"/>
  <c r="BB390" i="2"/>
  <c r="BA390" i="2"/>
  <c r="AZ390" i="2"/>
  <c r="AY390" i="2"/>
  <c r="AX390" i="2"/>
  <c r="AW390" i="2"/>
  <c r="AV390" i="2"/>
  <c r="AU390" i="2"/>
  <c r="AT390" i="2"/>
  <c r="AS390" i="2"/>
  <c r="AR390" i="2"/>
  <c r="AQ390" i="2"/>
  <c r="AP390" i="2"/>
  <c r="AO390" i="2"/>
  <c r="AN390" i="2"/>
  <c r="AM390" i="2"/>
  <c r="AL390" i="2"/>
  <c r="AK390" i="2"/>
  <c r="AJ390" i="2"/>
  <c r="AI390" i="2"/>
  <c r="AH390" i="2"/>
  <c r="AG390" i="2"/>
  <c r="AF390" i="2"/>
  <c r="AE390" i="2"/>
  <c r="AD390" i="2"/>
  <c r="AC390" i="2"/>
  <c r="AB390" i="2"/>
  <c r="AA390" i="2"/>
  <c r="Z390" i="2"/>
  <c r="Y390" i="2"/>
  <c r="X390" i="2"/>
  <c r="W390" i="2"/>
  <c r="V390" i="2"/>
  <c r="U390" i="2"/>
  <c r="T390" i="2"/>
  <c r="S390" i="2"/>
  <c r="R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BF389" i="2"/>
  <c r="BE389" i="2"/>
  <c r="BD389" i="2"/>
  <c r="BC389" i="2"/>
  <c r="BB389" i="2"/>
  <c r="BA389" i="2"/>
  <c r="AZ389" i="2"/>
  <c r="AY389" i="2"/>
  <c r="AX389" i="2"/>
  <c r="AW389" i="2"/>
  <c r="AV389" i="2"/>
  <c r="AU389" i="2"/>
  <c r="AT389" i="2"/>
  <c r="AS389" i="2"/>
  <c r="AR389" i="2"/>
  <c r="AQ389" i="2"/>
  <c r="AP389" i="2"/>
  <c r="AO389" i="2"/>
  <c r="AN389" i="2"/>
  <c r="AM389" i="2"/>
  <c r="AL389" i="2"/>
  <c r="AK389" i="2"/>
  <c r="AJ389" i="2"/>
  <c r="AI389" i="2"/>
  <c r="AH389" i="2"/>
  <c r="AG389" i="2"/>
  <c r="AF389" i="2"/>
  <c r="AE389" i="2"/>
  <c r="AD389" i="2"/>
  <c r="AC389" i="2"/>
  <c r="AB389" i="2"/>
  <c r="AA389" i="2"/>
  <c r="Z389" i="2"/>
  <c r="Y389" i="2"/>
  <c r="X389" i="2"/>
  <c r="W389" i="2"/>
  <c r="V389" i="2"/>
  <c r="U389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BF388" i="2"/>
  <c r="BE388" i="2"/>
  <c r="BD388" i="2"/>
  <c r="BC388" i="2"/>
  <c r="BB388" i="2"/>
  <c r="BA388" i="2"/>
  <c r="AZ388" i="2"/>
  <c r="AY388" i="2"/>
  <c r="AX388" i="2"/>
  <c r="AW388" i="2"/>
  <c r="AV388" i="2"/>
  <c r="AU388" i="2"/>
  <c r="AT388" i="2"/>
  <c r="AS388" i="2"/>
  <c r="AR388" i="2"/>
  <c r="AQ388" i="2"/>
  <c r="AP388" i="2"/>
  <c r="AO388" i="2"/>
  <c r="AN388" i="2"/>
  <c r="AM388" i="2"/>
  <c r="AL388" i="2"/>
  <c r="AK388" i="2"/>
  <c r="AJ388" i="2"/>
  <c r="AI388" i="2"/>
  <c r="AH388" i="2"/>
  <c r="AG388" i="2"/>
  <c r="AF388" i="2"/>
  <c r="AE388" i="2"/>
  <c r="AD388" i="2"/>
  <c r="AC388" i="2"/>
  <c r="AB388" i="2"/>
  <c r="AA388" i="2"/>
  <c r="Z388" i="2"/>
  <c r="Y388" i="2"/>
  <c r="X388" i="2"/>
  <c r="W388" i="2"/>
  <c r="V388" i="2"/>
  <c r="U388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F503" i="2"/>
  <c r="BE503" i="2"/>
  <c r="BD503" i="2"/>
  <c r="BC503" i="2"/>
  <c r="BB503" i="2"/>
  <c r="BA503" i="2"/>
  <c r="AZ503" i="2"/>
  <c r="AY503" i="2"/>
  <c r="AX503" i="2"/>
  <c r="AW503" i="2"/>
  <c r="AV503" i="2"/>
  <c r="AU503" i="2"/>
  <c r="AT503" i="2"/>
  <c r="AS503" i="2"/>
  <c r="AR503" i="2"/>
  <c r="AQ503" i="2"/>
  <c r="AP503" i="2"/>
  <c r="AO503" i="2"/>
  <c r="AN503" i="2"/>
  <c r="AM503" i="2"/>
  <c r="AL503" i="2"/>
  <c r="AK503" i="2"/>
  <c r="AJ503" i="2"/>
  <c r="AI503" i="2"/>
  <c r="AH503" i="2"/>
  <c r="AG503" i="2"/>
  <c r="AF503" i="2"/>
  <c r="AE503" i="2"/>
  <c r="AD503" i="2"/>
  <c r="AC503" i="2"/>
  <c r="AB503" i="2"/>
  <c r="AA503" i="2"/>
  <c r="Z503" i="2"/>
  <c r="Y503" i="2"/>
  <c r="X503" i="2"/>
  <c r="W503" i="2"/>
  <c r="V503" i="2"/>
  <c r="U503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BF502" i="2"/>
  <c r="BE502" i="2"/>
  <c r="BD502" i="2"/>
  <c r="BC502" i="2"/>
  <c r="BB502" i="2"/>
  <c r="BA502" i="2"/>
  <c r="AZ502" i="2"/>
  <c r="AY502" i="2"/>
  <c r="AX502" i="2"/>
  <c r="AW502" i="2"/>
  <c r="AV502" i="2"/>
  <c r="AU502" i="2"/>
  <c r="AT502" i="2"/>
  <c r="AS502" i="2"/>
  <c r="AR502" i="2"/>
  <c r="AQ502" i="2"/>
  <c r="AP502" i="2"/>
  <c r="AO502" i="2"/>
  <c r="AN502" i="2"/>
  <c r="AM502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Z502" i="2"/>
  <c r="Y502" i="2"/>
  <c r="X502" i="2"/>
  <c r="W502" i="2"/>
  <c r="V502" i="2"/>
  <c r="U502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BF501" i="2"/>
  <c r="BE501" i="2"/>
  <c r="BD501" i="2"/>
  <c r="BC501" i="2"/>
  <c r="BB501" i="2"/>
  <c r="BA501" i="2"/>
  <c r="AZ501" i="2"/>
  <c r="AY501" i="2"/>
  <c r="AX501" i="2"/>
  <c r="AW501" i="2"/>
  <c r="AV501" i="2"/>
  <c r="AU501" i="2"/>
  <c r="AT501" i="2"/>
  <c r="AS501" i="2"/>
  <c r="AR501" i="2"/>
  <c r="AQ501" i="2"/>
  <c r="AP501" i="2"/>
  <c r="AO501" i="2"/>
  <c r="AN501" i="2"/>
  <c r="AM501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BF499" i="2"/>
  <c r="BE499" i="2"/>
  <c r="BD499" i="2"/>
  <c r="BC499" i="2"/>
  <c r="BB499" i="2"/>
  <c r="BA499" i="2"/>
  <c r="AZ499" i="2"/>
  <c r="AY499" i="2"/>
  <c r="AX499" i="2"/>
  <c r="AW499" i="2"/>
  <c r="AV499" i="2"/>
  <c r="AU499" i="2"/>
  <c r="AT499" i="2"/>
  <c r="AS499" i="2"/>
  <c r="AR499" i="2"/>
  <c r="AQ499" i="2"/>
  <c r="AP499" i="2"/>
  <c r="AO499" i="2"/>
  <c r="AN499" i="2"/>
  <c r="AM499" i="2"/>
  <c r="AL499" i="2"/>
  <c r="AK499" i="2"/>
  <c r="AJ499" i="2"/>
  <c r="AI499" i="2"/>
  <c r="AH499" i="2"/>
  <c r="AG499" i="2"/>
  <c r="AF499" i="2"/>
  <c r="AE499" i="2"/>
  <c r="AD499" i="2"/>
  <c r="AC499" i="2"/>
  <c r="AB499" i="2"/>
  <c r="AA499" i="2"/>
  <c r="Z499" i="2"/>
  <c r="Y499" i="2"/>
  <c r="X499" i="2"/>
  <c r="W499" i="2"/>
  <c r="V499" i="2"/>
  <c r="U499" i="2"/>
  <c r="T499" i="2"/>
  <c r="S499" i="2"/>
  <c r="R499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BF498" i="2"/>
  <c r="BE498" i="2"/>
  <c r="BD498" i="2"/>
  <c r="BC498" i="2"/>
  <c r="BB498" i="2"/>
  <c r="BA498" i="2"/>
  <c r="AZ498" i="2"/>
  <c r="AY498" i="2"/>
  <c r="AX498" i="2"/>
  <c r="AW498" i="2"/>
  <c r="AV498" i="2"/>
  <c r="AU498" i="2"/>
  <c r="AT498" i="2"/>
  <c r="AS498" i="2"/>
  <c r="AR498" i="2"/>
  <c r="AQ498" i="2"/>
  <c r="AP498" i="2"/>
  <c r="AO498" i="2"/>
  <c r="AN498" i="2"/>
  <c r="AM498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Z498" i="2"/>
  <c r="Y498" i="2"/>
  <c r="X498" i="2"/>
  <c r="W498" i="2"/>
  <c r="V498" i="2"/>
  <c r="U498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BF497" i="2"/>
  <c r="BE497" i="2"/>
  <c r="BD497" i="2"/>
  <c r="BC497" i="2"/>
  <c r="BB497" i="2"/>
  <c r="BA497" i="2"/>
  <c r="AZ497" i="2"/>
  <c r="AY497" i="2"/>
  <c r="AX497" i="2"/>
  <c r="AW497" i="2"/>
  <c r="AV497" i="2"/>
  <c r="AU497" i="2"/>
  <c r="AT497" i="2"/>
  <c r="AS497" i="2"/>
  <c r="AR497" i="2"/>
  <c r="AQ497" i="2"/>
  <c r="AP497" i="2"/>
  <c r="AO497" i="2"/>
  <c r="AN497" i="2"/>
  <c r="AM497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Z497" i="2"/>
  <c r="Y497" i="2"/>
  <c r="X497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BF496" i="2"/>
  <c r="BE496" i="2"/>
  <c r="BD496" i="2"/>
  <c r="BC496" i="2"/>
  <c r="BB496" i="2"/>
  <c r="BA496" i="2"/>
  <c r="AZ496" i="2"/>
  <c r="AY496" i="2"/>
  <c r="AX496" i="2"/>
  <c r="AW496" i="2"/>
  <c r="AV496" i="2"/>
  <c r="AU496" i="2"/>
  <c r="AT496" i="2"/>
  <c r="AS496" i="2"/>
  <c r="AR496" i="2"/>
  <c r="AQ496" i="2"/>
  <c r="AP496" i="2"/>
  <c r="AO496" i="2"/>
  <c r="AN496" i="2"/>
  <c r="AM496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BF495" i="2"/>
  <c r="BE495" i="2"/>
  <c r="BD495" i="2"/>
  <c r="BC495" i="2"/>
  <c r="BB495" i="2"/>
  <c r="BA495" i="2"/>
  <c r="AZ495" i="2"/>
  <c r="AY495" i="2"/>
  <c r="AX495" i="2"/>
  <c r="AW495" i="2"/>
  <c r="AV495" i="2"/>
  <c r="AU495" i="2"/>
  <c r="AT495" i="2"/>
  <c r="AS495" i="2"/>
  <c r="AR495" i="2"/>
  <c r="AQ495" i="2"/>
  <c r="AP495" i="2"/>
  <c r="AO495" i="2"/>
  <c r="AN495" i="2"/>
  <c r="AM495" i="2"/>
  <c r="AL495" i="2"/>
  <c r="AK495" i="2"/>
  <c r="AJ495" i="2"/>
  <c r="AI495" i="2"/>
  <c r="AH495" i="2"/>
  <c r="AG495" i="2"/>
  <c r="AF495" i="2"/>
  <c r="AE495" i="2"/>
  <c r="AD495" i="2"/>
  <c r="AC495" i="2"/>
  <c r="AB495" i="2"/>
  <c r="AA495" i="2"/>
  <c r="Z495" i="2"/>
  <c r="Y495" i="2"/>
  <c r="X495" i="2"/>
  <c r="W495" i="2"/>
  <c r="V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BF493" i="2"/>
  <c r="BE493" i="2"/>
  <c r="BD493" i="2"/>
  <c r="BC493" i="2"/>
  <c r="BB493" i="2"/>
  <c r="BA493" i="2"/>
  <c r="AZ493" i="2"/>
  <c r="AY493" i="2"/>
  <c r="AX493" i="2"/>
  <c r="AW493" i="2"/>
  <c r="AV493" i="2"/>
  <c r="AU493" i="2"/>
  <c r="AT493" i="2"/>
  <c r="AS493" i="2"/>
  <c r="AR493" i="2"/>
  <c r="AQ493" i="2"/>
  <c r="AP493" i="2"/>
  <c r="AO493" i="2"/>
  <c r="AN493" i="2"/>
  <c r="AM493" i="2"/>
  <c r="AL493" i="2"/>
  <c r="AK493" i="2"/>
  <c r="AJ493" i="2"/>
  <c r="AI493" i="2"/>
  <c r="AH493" i="2"/>
  <c r="AG493" i="2"/>
  <c r="AF493" i="2"/>
  <c r="AE493" i="2"/>
  <c r="AD493" i="2"/>
  <c r="AC493" i="2"/>
  <c r="AB493" i="2"/>
  <c r="AA493" i="2"/>
  <c r="Z493" i="2"/>
  <c r="Y493" i="2"/>
  <c r="X493" i="2"/>
  <c r="W493" i="2"/>
  <c r="V493" i="2"/>
  <c r="U493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BF492" i="2"/>
  <c r="BE492" i="2"/>
  <c r="BD492" i="2"/>
  <c r="BC492" i="2"/>
  <c r="BB492" i="2"/>
  <c r="BA492" i="2"/>
  <c r="AZ492" i="2"/>
  <c r="AY492" i="2"/>
  <c r="AX492" i="2"/>
  <c r="AW492" i="2"/>
  <c r="AV492" i="2"/>
  <c r="AU492" i="2"/>
  <c r="AT492" i="2"/>
  <c r="AS492" i="2"/>
  <c r="AR492" i="2"/>
  <c r="AQ492" i="2"/>
  <c r="AP492" i="2"/>
  <c r="AO492" i="2"/>
  <c r="AN492" i="2"/>
  <c r="AM492" i="2"/>
  <c r="AL492" i="2"/>
  <c r="AK492" i="2"/>
  <c r="AJ492" i="2"/>
  <c r="AI492" i="2"/>
  <c r="AH492" i="2"/>
  <c r="AG492" i="2"/>
  <c r="AF492" i="2"/>
  <c r="AE492" i="2"/>
  <c r="AD492" i="2"/>
  <c r="AC492" i="2"/>
  <c r="AB492" i="2"/>
  <c r="AA492" i="2"/>
  <c r="Z492" i="2"/>
  <c r="Y492" i="2"/>
  <c r="X492" i="2"/>
  <c r="W492" i="2"/>
  <c r="V492" i="2"/>
  <c r="U492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BF490" i="2"/>
  <c r="BE490" i="2"/>
  <c r="BD490" i="2"/>
  <c r="BC490" i="2"/>
  <c r="BB490" i="2"/>
  <c r="BA490" i="2"/>
  <c r="AZ490" i="2"/>
  <c r="AY490" i="2"/>
  <c r="AX490" i="2"/>
  <c r="AW490" i="2"/>
  <c r="AV490" i="2"/>
  <c r="AU490" i="2"/>
  <c r="AT490" i="2"/>
  <c r="AS490" i="2"/>
  <c r="AR490" i="2"/>
  <c r="AQ490" i="2"/>
  <c r="AP490" i="2"/>
  <c r="AO490" i="2"/>
  <c r="AN490" i="2"/>
  <c r="AM490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X490" i="2"/>
  <c r="W490" i="2"/>
  <c r="V490" i="2"/>
  <c r="U490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BF489" i="2"/>
  <c r="BE489" i="2"/>
  <c r="BD489" i="2"/>
  <c r="BC489" i="2"/>
  <c r="BB489" i="2"/>
  <c r="BA489" i="2"/>
  <c r="AZ489" i="2"/>
  <c r="AY489" i="2"/>
  <c r="AX489" i="2"/>
  <c r="AW489" i="2"/>
  <c r="AV489" i="2"/>
  <c r="AU489" i="2"/>
  <c r="AT489" i="2"/>
  <c r="AS489" i="2"/>
  <c r="AR489" i="2"/>
  <c r="AQ489" i="2"/>
  <c r="AP489" i="2"/>
  <c r="AO489" i="2"/>
  <c r="AN489" i="2"/>
  <c r="AM489" i="2"/>
  <c r="AL489" i="2"/>
  <c r="AK489" i="2"/>
  <c r="AJ489" i="2"/>
  <c r="AI489" i="2"/>
  <c r="AH489" i="2"/>
  <c r="AG489" i="2"/>
  <c r="AF489" i="2"/>
  <c r="AE489" i="2"/>
  <c r="AD489" i="2"/>
  <c r="AC489" i="2"/>
  <c r="AB489" i="2"/>
  <c r="AA489" i="2"/>
  <c r="Z489" i="2"/>
  <c r="Y489" i="2"/>
  <c r="X489" i="2"/>
  <c r="W489" i="2"/>
  <c r="V489" i="2"/>
  <c r="U489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BF488" i="2"/>
  <c r="BE488" i="2"/>
  <c r="BD488" i="2"/>
  <c r="BC488" i="2"/>
  <c r="BB488" i="2"/>
  <c r="BA488" i="2"/>
  <c r="AZ488" i="2"/>
  <c r="AY488" i="2"/>
  <c r="AX488" i="2"/>
  <c r="AW488" i="2"/>
  <c r="AV488" i="2"/>
  <c r="AU488" i="2"/>
  <c r="AT488" i="2"/>
  <c r="AS488" i="2"/>
  <c r="AR488" i="2"/>
  <c r="AQ488" i="2"/>
  <c r="AP488" i="2"/>
  <c r="AO488" i="2"/>
  <c r="AN488" i="2"/>
  <c r="AM488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Z488" i="2"/>
  <c r="Y488" i="2"/>
  <c r="X488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BF486" i="2"/>
  <c r="BE486" i="2"/>
  <c r="BD486" i="2"/>
  <c r="BC486" i="2"/>
  <c r="BB486" i="2"/>
  <c r="BA486" i="2"/>
  <c r="AZ486" i="2"/>
  <c r="AY486" i="2"/>
  <c r="AX486" i="2"/>
  <c r="AW486" i="2"/>
  <c r="AV486" i="2"/>
  <c r="AU486" i="2"/>
  <c r="AT486" i="2"/>
  <c r="AS486" i="2"/>
  <c r="AR486" i="2"/>
  <c r="AQ486" i="2"/>
  <c r="AP486" i="2"/>
  <c r="AO486" i="2"/>
  <c r="AN486" i="2"/>
  <c r="AM486" i="2"/>
  <c r="AL486" i="2"/>
  <c r="AK486" i="2"/>
  <c r="AJ486" i="2"/>
  <c r="AI486" i="2"/>
  <c r="AH486" i="2"/>
  <c r="AG486" i="2"/>
  <c r="AF486" i="2"/>
  <c r="AE486" i="2"/>
  <c r="AD486" i="2"/>
  <c r="AC486" i="2"/>
  <c r="AB486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BF485" i="2"/>
  <c r="BE485" i="2"/>
  <c r="BD485" i="2"/>
  <c r="BC485" i="2"/>
  <c r="BB485" i="2"/>
  <c r="BA485" i="2"/>
  <c r="AZ485" i="2"/>
  <c r="AY485" i="2"/>
  <c r="AX485" i="2"/>
  <c r="AW485" i="2"/>
  <c r="AV485" i="2"/>
  <c r="AU485" i="2"/>
  <c r="AT485" i="2"/>
  <c r="AS485" i="2"/>
  <c r="AR485" i="2"/>
  <c r="AQ485" i="2"/>
  <c r="AP485" i="2"/>
  <c r="AO485" i="2"/>
  <c r="AN485" i="2"/>
  <c r="AM485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BF484" i="2"/>
  <c r="BE484" i="2"/>
  <c r="BD484" i="2"/>
  <c r="BC484" i="2"/>
  <c r="BB484" i="2"/>
  <c r="BA484" i="2"/>
  <c r="AZ484" i="2"/>
  <c r="AY484" i="2"/>
  <c r="AX484" i="2"/>
  <c r="AW484" i="2"/>
  <c r="AV484" i="2"/>
  <c r="AU484" i="2"/>
  <c r="AT484" i="2"/>
  <c r="AS484" i="2"/>
  <c r="AR484" i="2"/>
  <c r="AQ484" i="2"/>
  <c r="AP484" i="2"/>
  <c r="AO484" i="2"/>
  <c r="AN484" i="2"/>
  <c r="AM484" i="2"/>
  <c r="AL484" i="2"/>
  <c r="AK484" i="2"/>
  <c r="AJ484" i="2"/>
  <c r="AI484" i="2"/>
  <c r="AH484" i="2"/>
  <c r="AG484" i="2"/>
  <c r="AF484" i="2"/>
  <c r="AE484" i="2"/>
  <c r="AD484" i="2"/>
  <c r="AC484" i="2"/>
  <c r="AB484" i="2"/>
  <c r="AA484" i="2"/>
  <c r="Z484" i="2"/>
  <c r="Y484" i="2"/>
  <c r="X484" i="2"/>
  <c r="W484" i="2"/>
  <c r="V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BF483" i="2"/>
  <c r="BE483" i="2"/>
  <c r="BD483" i="2"/>
  <c r="BC483" i="2"/>
  <c r="BB483" i="2"/>
  <c r="BA483" i="2"/>
  <c r="AZ483" i="2"/>
  <c r="AY483" i="2"/>
  <c r="AX483" i="2"/>
  <c r="AW483" i="2"/>
  <c r="AV483" i="2"/>
  <c r="AU483" i="2"/>
  <c r="AT483" i="2"/>
  <c r="AS483" i="2"/>
  <c r="AR483" i="2"/>
  <c r="AQ483" i="2"/>
  <c r="AP483" i="2"/>
  <c r="AO483" i="2"/>
  <c r="AN483" i="2"/>
  <c r="AM483" i="2"/>
  <c r="AL483" i="2"/>
  <c r="AK483" i="2"/>
  <c r="AJ483" i="2"/>
  <c r="AI483" i="2"/>
  <c r="AH483" i="2"/>
  <c r="AG483" i="2"/>
  <c r="AF483" i="2"/>
  <c r="AE483" i="2"/>
  <c r="AD483" i="2"/>
  <c r="AC483" i="2"/>
  <c r="AB483" i="2"/>
  <c r="AA483" i="2"/>
  <c r="Z483" i="2"/>
  <c r="Y483" i="2"/>
  <c r="X483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BF482" i="2"/>
  <c r="BE482" i="2"/>
  <c r="BD482" i="2"/>
  <c r="BC482" i="2"/>
  <c r="BB482" i="2"/>
  <c r="BA482" i="2"/>
  <c r="AZ482" i="2"/>
  <c r="AY482" i="2"/>
  <c r="AX482" i="2"/>
  <c r="AW482" i="2"/>
  <c r="AV482" i="2"/>
  <c r="AU482" i="2"/>
  <c r="AT482" i="2"/>
  <c r="AS482" i="2"/>
  <c r="AR482" i="2"/>
  <c r="AQ482" i="2"/>
  <c r="AP482" i="2"/>
  <c r="AO482" i="2"/>
  <c r="AN482" i="2"/>
  <c r="AM482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BF480" i="2"/>
  <c r="BE480" i="2"/>
  <c r="BD480" i="2"/>
  <c r="BC480" i="2"/>
  <c r="BB480" i="2"/>
  <c r="BA480" i="2"/>
  <c r="AZ480" i="2"/>
  <c r="AY480" i="2"/>
  <c r="AX480" i="2"/>
  <c r="AW480" i="2"/>
  <c r="AV480" i="2"/>
  <c r="AU480" i="2"/>
  <c r="AT480" i="2"/>
  <c r="AS480" i="2"/>
  <c r="AR480" i="2"/>
  <c r="AQ480" i="2"/>
  <c r="AP480" i="2"/>
  <c r="AO480" i="2"/>
  <c r="AN480" i="2"/>
  <c r="AM480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X480" i="2"/>
  <c r="W480" i="2"/>
  <c r="V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BF479" i="2"/>
  <c r="BE479" i="2"/>
  <c r="BD479" i="2"/>
  <c r="BC479" i="2"/>
  <c r="BB479" i="2"/>
  <c r="BA479" i="2"/>
  <c r="AZ479" i="2"/>
  <c r="AY479" i="2"/>
  <c r="AX479" i="2"/>
  <c r="AW479" i="2"/>
  <c r="AV479" i="2"/>
  <c r="AU479" i="2"/>
  <c r="AT479" i="2"/>
  <c r="AS479" i="2"/>
  <c r="AR479" i="2"/>
  <c r="AQ479" i="2"/>
  <c r="AP479" i="2"/>
  <c r="AO479" i="2"/>
  <c r="AN479" i="2"/>
  <c r="AM479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Z479" i="2"/>
  <c r="Y479" i="2"/>
  <c r="X479" i="2"/>
  <c r="W479" i="2"/>
  <c r="V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BF469" i="2"/>
  <c r="BE469" i="2"/>
  <c r="BD469" i="2"/>
  <c r="BC469" i="2"/>
  <c r="BB469" i="2"/>
  <c r="BA469" i="2"/>
  <c r="AZ469" i="2"/>
  <c r="AY469" i="2"/>
  <c r="AX469" i="2"/>
  <c r="AW469" i="2"/>
  <c r="AV469" i="2"/>
  <c r="AU469" i="2"/>
  <c r="AT469" i="2"/>
  <c r="AS469" i="2"/>
  <c r="AR469" i="2"/>
  <c r="AQ469" i="2"/>
  <c r="AP469" i="2"/>
  <c r="AO469" i="2"/>
  <c r="AN469" i="2"/>
  <c r="AM469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Z469" i="2"/>
  <c r="Y469" i="2"/>
  <c r="X469" i="2"/>
  <c r="W469" i="2"/>
  <c r="V469" i="2"/>
  <c r="U469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BF468" i="2"/>
  <c r="BE468" i="2"/>
  <c r="BD468" i="2"/>
  <c r="BC468" i="2"/>
  <c r="BB468" i="2"/>
  <c r="BA468" i="2"/>
  <c r="AZ468" i="2"/>
  <c r="AY468" i="2"/>
  <c r="AX468" i="2"/>
  <c r="AW468" i="2"/>
  <c r="AV468" i="2"/>
  <c r="AU468" i="2"/>
  <c r="AT468" i="2"/>
  <c r="AS468" i="2"/>
  <c r="AR468" i="2"/>
  <c r="AQ468" i="2"/>
  <c r="AP468" i="2"/>
  <c r="AO468" i="2"/>
  <c r="AN468" i="2"/>
  <c r="AM468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Z468" i="2"/>
  <c r="Y468" i="2"/>
  <c r="X468" i="2"/>
  <c r="W468" i="2"/>
  <c r="V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BF467" i="2"/>
  <c r="BE467" i="2"/>
  <c r="BD467" i="2"/>
  <c r="BC467" i="2"/>
  <c r="BB467" i="2"/>
  <c r="BA467" i="2"/>
  <c r="AZ467" i="2"/>
  <c r="AY467" i="2"/>
  <c r="AX467" i="2"/>
  <c r="AW467" i="2"/>
  <c r="AV467" i="2"/>
  <c r="AU467" i="2"/>
  <c r="AT467" i="2"/>
  <c r="AS467" i="2"/>
  <c r="AR467" i="2"/>
  <c r="AQ467" i="2"/>
  <c r="AP467" i="2"/>
  <c r="AO467" i="2"/>
  <c r="AN467" i="2"/>
  <c r="AM467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Z467" i="2"/>
  <c r="Y467" i="2"/>
  <c r="X467" i="2"/>
  <c r="W467" i="2"/>
  <c r="V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BF465" i="2"/>
  <c r="BE465" i="2"/>
  <c r="BD465" i="2"/>
  <c r="BC465" i="2"/>
  <c r="BB465" i="2"/>
  <c r="BA465" i="2"/>
  <c r="AZ465" i="2"/>
  <c r="AY465" i="2"/>
  <c r="AX465" i="2"/>
  <c r="AW465" i="2"/>
  <c r="AV465" i="2"/>
  <c r="AU465" i="2"/>
  <c r="AT465" i="2"/>
  <c r="AS465" i="2"/>
  <c r="AR465" i="2"/>
  <c r="AQ465" i="2"/>
  <c r="AP465" i="2"/>
  <c r="AO465" i="2"/>
  <c r="AN465" i="2"/>
  <c r="AM465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Z465" i="2"/>
  <c r="Y465" i="2"/>
  <c r="X465" i="2"/>
  <c r="W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BF464" i="2"/>
  <c r="BE464" i="2"/>
  <c r="BD464" i="2"/>
  <c r="BC464" i="2"/>
  <c r="BB464" i="2"/>
  <c r="BA464" i="2"/>
  <c r="AZ464" i="2"/>
  <c r="AY464" i="2"/>
  <c r="AX464" i="2"/>
  <c r="AW464" i="2"/>
  <c r="AV464" i="2"/>
  <c r="AU464" i="2"/>
  <c r="AT464" i="2"/>
  <c r="AS464" i="2"/>
  <c r="AR464" i="2"/>
  <c r="AQ464" i="2"/>
  <c r="AP464" i="2"/>
  <c r="AO464" i="2"/>
  <c r="AN464" i="2"/>
  <c r="AM464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Z464" i="2"/>
  <c r="Y464" i="2"/>
  <c r="X464" i="2"/>
  <c r="W464" i="2"/>
  <c r="V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BF463" i="2"/>
  <c r="BE463" i="2"/>
  <c r="BD463" i="2"/>
  <c r="BC463" i="2"/>
  <c r="BB463" i="2"/>
  <c r="BA463" i="2"/>
  <c r="AZ463" i="2"/>
  <c r="AY463" i="2"/>
  <c r="AX463" i="2"/>
  <c r="AW463" i="2"/>
  <c r="AV463" i="2"/>
  <c r="AU463" i="2"/>
  <c r="AT463" i="2"/>
  <c r="AS463" i="2"/>
  <c r="AR463" i="2"/>
  <c r="AQ463" i="2"/>
  <c r="AP463" i="2"/>
  <c r="AO463" i="2"/>
  <c r="AN463" i="2"/>
  <c r="AM463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X463" i="2"/>
  <c r="W463" i="2"/>
  <c r="V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BF462" i="2"/>
  <c r="BE462" i="2"/>
  <c r="BD462" i="2"/>
  <c r="BC462" i="2"/>
  <c r="BB462" i="2"/>
  <c r="BA462" i="2"/>
  <c r="AZ462" i="2"/>
  <c r="AY462" i="2"/>
  <c r="AX462" i="2"/>
  <c r="AW462" i="2"/>
  <c r="AV462" i="2"/>
  <c r="AU462" i="2"/>
  <c r="AT462" i="2"/>
  <c r="AS462" i="2"/>
  <c r="AR462" i="2"/>
  <c r="AQ462" i="2"/>
  <c r="AP462" i="2"/>
  <c r="AO462" i="2"/>
  <c r="AN462" i="2"/>
  <c r="AM462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X462" i="2"/>
  <c r="W462" i="2"/>
  <c r="V462" i="2"/>
  <c r="U462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BF461" i="2"/>
  <c r="BE461" i="2"/>
  <c r="BD461" i="2"/>
  <c r="BC461" i="2"/>
  <c r="BB461" i="2"/>
  <c r="BA461" i="2"/>
  <c r="AZ461" i="2"/>
  <c r="AY461" i="2"/>
  <c r="AX461" i="2"/>
  <c r="AW461" i="2"/>
  <c r="AV461" i="2"/>
  <c r="AU461" i="2"/>
  <c r="AT461" i="2"/>
  <c r="AS461" i="2"/>
  <c r="AR461" i="2"/>
  <c r="AQ461" i="2"/>
  <c r="AP461" i="2"/>
  <c r="AO461" i="2"/>
  <c r="AN461" i="2"/>
  <c r="AM461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Z461" i="2"/>
  <c r="Y461" i="2"/>
  <c r="X461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BF459" i="2"/>
  <c r="BE459" i="2"/>
  <c r="BD459" i="2"/>
  <c r="BC459" i="2"/>
  <c r="BB459" i="2"/>
  <c r="BA459" i="2"/>
  <c r="AZ459" i="2"/>
  <c r="AY459" i="2"/>
  <c r="AX459" i="2"/>
  <c r="AW459" i="2"/>
  <c r="AV459" i="2"/>
  <c r="AU459" i="2"/>
  <c r="AT459" i="2"/>
  <c r="AS459" i="2"/>
  <c r="AR459" i="2"/>
  <c r="AQ459" i="2"/>
  <c r="AP459" i="2"/>
  <c r="AO459" i="2"/>
  <c r="AN459" i="2"/>
  <c r="AM459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Z459" i="2"/>
  <c r="Y459" i="2"/>
  <c r="X459" i="2"/>
  <c r="W459" i="2"/>
  <c r="V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BF458" i="2"/>
  <c r="BE458" i="2"/>
  <c r="BD458" i="2"/>
  <c r="BC458" i="2"/>
  <c r="BB458" i="2"/>
  <c r="BA458" i="2"/>
  <c r="AZ458" i="2"/>
  <c r="AY458" i="2"/>
  <c r="AX458" i="2"/>
  <c r="AW458" i="2"/>
  <c r="AV458" i="2"/>
  <c r="AU458" i="2"/>
  <c r="AT458" i="2"/>
  <c r="AS458" i="2"/>
  <c r="AR458" i="2"/>
  <c r="AQ458" i="2"/>
  <c r="AP458" i="2"/>
  <c r="AO458" i="2"/>
  <c r="AN458" i="2"/>
  <c r="AM458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X458" i="2"/>
  <c r="W458" i="2"/>
  <c r="V458" i="2"/>
  <c r="U458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BF456" i="2"/>
  <c r="BE456" i="2"/>
  <c r="BD456" i="2"/>
  <c r="BC456" i="2"/>
  <c r="BB456" i="2"/>
  <c r="BA456" i="2"/>
  <c r="AZ456" i="2"/>
  <c r="AY456" i="2"/>
  <c r="AX456" i="2"/>
  <c r="AW456" i="2"/>
  <c r="AV456" i="2"/>
  <c r="AU456" i="2"/>
  <c r="AT456" i="2"/>
  <c r="AS456" i="2"/>
  <c r="AR456" i="2"/>
  <c r="AQ456" i="2"/>
  <c r="AP456" i="2"/>
  <c r="AO456" i="2"/>
  <c r="AN456" i="2"/>
  <c r="AM456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Z456" i="2"/>
  <c r="Y456" i="2"/>
  <c r="X456" i="2"/>
  <c r="W456" i="2"/>
  <c r="V456" i="2"/>
  <c r="U456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BF455" i="2"/>
  <c r="BE455" i="2"/>
  <c r="BD455" i="2"/>
  <c r="BC455" i="2"/>
  <c r="BB455" i="2"/>
  <c r="BA455" i="2"/>
  <c r="AZ455" i="2"/>
  <c r="AY455" i="2"/>
  <c r="AX455" i="2"/>
  <c r="AW455" i="2"/>
  <c r="AV455" i="2"/>
  <c r="AU455" i="2"/>
  <c r="AT455" i="2"/>
  <c r="AS455" i="2"/>
  <c r="AR455" i="2"/>
  <c r="AQ455" i="2"/>
  <c r="AP455" i="2"/>
  <c r="AO455" i="2"/>
  <c r="AN455" i="2"/>
  <c r="AM455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Z455" i="2"/>
  <c r="Y455" i="2"/>
  <c r="X455" i="2"/>
  <c r="W455" i="2"/>
  <c r="V455" i="2"/>
  <c r="U455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BF454" i="2"/>
  <c r="BE454" i="2"/>
  <c r="BD454" i="2"/>
  <c r="BC454" i="2"/>
  <c r="BB454" i="2"/>
  <c r="BA454" i="2"/>
  <c r="AZ454" i="2"/>
  <c r="AY454" i="2"/>
  <c r="AX454" i="2"/>
  <c r="AW454" i="2"/>
  <c r="AV454" i="2"/>
  <c r="AU454" i="2"/>
  <c r="AT454" i="2"/>
  <c r="AS454" i="2"/>
  <c r="AR454" i="2"/>
  <c r="AQ454" i="2"/>
  <c r="AP454" i="2"/>
  <c r="AO454" i="2"/>
  <c r="AN454" i="2"/>
  <c r="AM454" i="2"/>
  <c r="AL454" i="2"/>
  <c r="AK454" i="2"/>
  <c r="AJ454" i="2"/>
  <c r="AI454" i="2"/>
  <c r="AH454" i="2"/>
  <c r="AG454" i="2"/>
  <c r="AF454" i="2"/>
  <c r="AE454" i="2"/>
  <c r="AD454" i="2"/>
  <c r="AC454" i="2"/>
  <c r="AB454" i="2"/>
  <c r="AA454" i="2"/>
  <c r="Z454" i="2"/>
  <c r="Y454" i="2"/>
  <c r="X454" i="2"/>
  <c r="W454" i="2"/>
  <c r="V454" i="2"/>
  <c r="U454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BF452" i="2"/>
  <c r="BE452" i="2"/>
  <c r="BD452" i="2"/>
  <c r="BC452" i="2"/>
  <c r="BB452" i="2"/>
  <c r="BA452" i="2"/>
  <c r="AZ452" i="2"/>
  <c r="AY452" i="2"/>
  <c r="AX452" i="2"/>
  <c r="AW452" i="2"/>
  <c r="AV452" i="2"/>
  <c r="AU452" i="2"/>
  <c r="AT452" i="2"/>
  <c r="AS452" i="2"/>
  <c r="AR452" i="2"/>
  <c r="AQ452" i="2"/>
  <c r="AP452" i="2"/>
  <c r="AO452" i="2"/>
  <c r="AN452" i="2"/>
  <c r="AM452" i="2"/>
  <c r="AL452" i="2"/>
  <c r="AK452" i="2"/>
  <c r="AJ452" i="2"/>
  <c r="AI452" i="2"/>
  <c r="AH452" i="2"/>
  <c r="AG452" i="2"/>
  <c r="AF452" i="2"/>
  <c r="AE452" i="2"/>
  <c r="AD452" i="2"/>
  <c r="AC452" i="2"/>
  <c r="AB452" i="2"/>
  <c r="AA452" i="2"/>
  <c r="Z452" i="2"/>
  <c r="Y452" i="2"/>
  <c r="X452" i="2"/>
  <c r="W452" i="2"/>
  <c r="V452" i="2"/>
  <c r="U452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BF451" i="2"/>
  <c r="BE451" i="2"/>
  <c r="BD451" i="2"/>
  <c r="BC451" i="2"/>
  <c r="BB451" i="2"/>
  <c r="BA451" i="2"/>
  <c r="AZ451" i="2"/>
  <c r="AY451" i="2"/>
  <c r="AX451" i="2"/>
  <c r="AW451" i="2"/>
  <c r="AV451" i="2"/>
  <c r="AU451" i="2"/>
  <c r="AT451" i="2"/>
  <c r="AS451" i="2"/>
  <c r="AR451" i="2"/>
  <c r="AQ451" i="2"/>
  <c r="AP451" i="2"/>
  <c r="AO451" i="2"/>
  <c r="AN451" i="2"/>
  <c r="AM451" i="2"/>
  <c r="AL451" i="2"/>
  <c r="AK451" i="2"/>
  <c r="AJ451" i="2"/>
  <c r="AI451" i="2"/>
  <c r="AH451" i="2"/>
  <c r="AG451" i="2"/>
  <c r="AF451" i="2"/>
  <c r="AE451" i="2"/>
  <c r="AD451" i="2"/>
  <c r="AC451" i="2"/>
  <c r="AB451" i="2"/>
  <c r="AA451" i="2"/>
  <c r="Z451" i="2"/>
  <c r="Y451" i="2"/>
  <c r="X451" i="2"/>
  <c r="W451" i="2"/>
  <c r="V451" i="2"/>
  <c r="U451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BF450" i="2"/>
  <c r="BE450" i="2"/>
  <c r="BD450" i="2"/>
  <c r="BC450" i="2"/>
  <c r="BB450" i="2"/>
  <c r="BA450" i="2"/>
  <c r="AZ450" i="2"/>
  <c r="AY450" i="2"/>
  <c r="AX450" i="2"/>
  <c r="AW450" i="2"/>
  <c r="AV450" i="2"/>
  <c r="AU450" i="2"/>
  <c r="AT450" i="2"/>
  <c r="AS450" i="2"/>
  <c r="AR450" i="2"/>
  <c r="AQ450" i="2"/>
  <c r="AP450" i="2"/>
  <c r="AO450" i="2"/>
  <c r="AN450" i="2"/>
  <c r="AM450" i="2"/>
  <c r="AL450" i="2"/>
  <c r="AK450" i="2"/>
  <c r="AJ450" i="2"/>
  <c r="AI450" i="2"/>
  <c r="AH450" i="2"/>
  <c r="AG450" i="2"/>
  <c r="AF450" i="2"/>
  <c r="AE450" i="2"/>
  <c r="AD450" i="2"/>
  <c r="AC450" i="2"/>
  <c r="AB450" i="2"/>
  <c r="AA450" i="2"/>
  <c r="Z450" i="2"/>
  <c r="Y450" i="2"/>
  <c r="X450" i="2"/>
  <c r="W450" i="2"/>
  <c r="V450" i="2"/>
  <c r="U450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BF449" i="2"/>
  <c r="BE449" i="2"/>
  <c r="BD449" i="2"/>
  <c r="BC449" i="2"/>
  <c r="BB449" i="2"/>
  <c r="BA449" i="2"/>
  <c r="AZ449" i="2"/>
  <c r="AY449" i="2"/>
  <c r="AX449" i="2"/>
  <c r="AW449" i="2"/>
  <c r="AV449" i="2"/>
  <c r="AU449" i="2"/>
  <c r="AT449" i="2"/>
  <c r="AS449" i="2"/>
  <c r="AR449" i="2"/>
  <c r="AQ449" i="2"/>
  <c r="AP449" i="2"/>
  <c r="AO449" i="2"/>
  <c r="AN449" i="2"/>
  <c r="AM449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Z449" i="2"/>
  <c r="Y449" i="2"/>
  <c r="X449" i="2"/>
  <c r="W449" i="2"/>
  <c r="V449" i="2"/>
  <c r="U449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BF448" i="2"/>
  <c r="BE448" i="2"/>
  <c r="BD448" i="2"/>
  <c r="BC448" i="2"/>
  <c r="BB448" i="2"/>
  <c r="BA448" i="2"/>
  <c r="AZ448" i="2"/>
  <c r="AY448" i="2"/>
  <c r="AX448" i="2"/>
  <c r="AW448" i="2"/>
  <c r="AV448" i="2"/>
  <c r="AU448" i="2"/>
  <c r="AT448" i="2"/>
  <c r="AS448" i="2"/>
  <c r="AR448" i="2"/>
  <c r="AQ448" i="2"/>
  <c r="AP448" i="2"/>
  <c r="AO448" i="2"/>
  <c r="AN448" i="2"/>
  <c r="AM448" i="2"/>
  <c r="AL448" i="2"/>
  <c r="AK448" i="2"/>
  <c r="AJ448" i="2"/>
  <c r="AI448" i="2"/>
  <c r="AH448" i="2"/>
  <c r="AG448" i="2"/>
  <c r="AF448" i="2"/>
  <c r="AE448" i="2"/>
  <c r="AD448" i="2"/>
  <c r="AC448" i="2"/>
  <c r="AB448" i="2"/>
  <c r="AA448" i="2"/>
  <c r="Z448" i="2"/>
  <c r="Y448" i="2"/>
  <c r="X448" i="2"/>
  <c r="W448" i="2"/>
  <c r="V448" i="2"/>
  <c r="U448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BF446" i="2"/>
  <c r="BE446" i="2"/>
  <c r="BD446" i="2"/>
  <c r="BC446" i="2"/>
  <c r="BB446" i="2"/>
  <c r="BA446" i="2"/>
  <c r="AZ446" i="2"/>
  <c r="AY446" i="2"/>
  <c r="AX446" i="2"/>
  <c r="AW446" i="2"/>
  <c r="AV446" i="2"/>
  <c r="AU446" i="2"/>
  <c r="AT446" i="2"/>
  <c r="AS446" i="2"/>
  <c r="AR446" i="2"/>
  <c r="AQ446" i="2"/>
  <c r="AP446" i="2"/>
  <c r="AO446" i="2"/>
  <c r="AN446" i="2"/>
  <c r="AM446" i="2"/>
  <c r="AL446" i="2"/>
  <c r="AK446" i="2"/>
  <c r="AJ446" i="2"/>
  <c r="AI446" i="2"/>
  <c r="AH446" i="2"/>
  <c r="AG446" i="2"/>
  <c r="AF446" i="2"/>
  <c r="AE446" i="2"/>
  <c r="AD446" i="2"/>
  <c r="AC446" i="2"/>
  <c r="AB446" i="2"/>
  <c r="AA446" i="2"/>
  <c r="Z446" i="2"/>
  <c r="Y446" i="2"/>
  <c r="X446" i="2"/>
  <c r="W446" i="2"/>
  <c r="V446" i="2"/>
  <c r="U446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BF445" i="2"/>
  <c r="BE445" i="2"/>
  <c r="BD445" i="2"/>
  <c r="BC445" i="2"/>
  <c r="BB445" i="2"/>
  <c r="BA445" i="2"/>
  <c r="AZ445" i="2"/>
  <c r="AY445" i="2"/>
  <c r="AX445" i="2"/>
  <c r="AW445" i="2"/>
  <c r="AV445" i="2"/>
  <c r="AU445" i="2"/>
  <c r="AT445" i="2"/>
  <c r="AS445" i="2"/>
  <c r="AR445" i="2"/>
  <c r="AQ445" i="2"/>
  <c r="AP445" i="2"/>
  <c r="AO445" i="2"/>
  <c r="AN445" i="2"/>
  <c r="AM445" i="2"/>
  <c r="AL445" i="2"/>
  <c r="AK445" i="2"/>
  <c r="AJ445" i="2"/>
  <c r="AI445" i="2"/>
  <c r="AH445" i="2"/>
  <c r="AG445" i="2"/>
  <c r="AF445" i="2"/>
  <c r="AE445" i="2"/>
  <c r="AD445" i="2"/>
  <c r="AC445" i="2"/>
  <c r="AB445" i="2"/>
  <c r="AA445" i="2"/>
  <c r="Z445" i="2"/>
  <c r="Y445" i="2"/>
  <c r="X445" i="2"/>
  <c r="W445" i="2"/>
  <c r="V445" i="2"/>
  <c r="U445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F386" i="2"/>
  <c r="BE386" i="2"/>
  <c r="BD386" i="2"/>
  <c r="BC386" i="2"/>
  <c r="BB386" i="2"/>
  <c r="BA386" i="2"/>
  <c r="AZ386" i="2"/>
  <c r="AY386" i="2"/>
  <c r="AX386" i="2"/>
  <c r="AW386" i="2"/>
  <c r="AV386" i="2"/>
  <c r="AU386" i="2"/>
  <c r="AT386" i="2"/>
  <c r="AS386" i="2"/>
  <c r="AR386" i="2"/>
  <c r="AQ386" i="2"/>
  <c r="AP386" i="2"/>
  <c r="AO386" i="2"/>
  <c r="AN386" i="2"/>
  <c r="AM386" i="2"/>
  <c r="AL386" i="2"/>
  <c r="AK386" i="2"/>
  <c r="AJ386" i="2"/>
  <c r="AI386" i="2"/>
  <c r="AH386" i="2"/>
  <c r="AG386" i="2"/>
  <c r="AF386" i="2"/>
  <c r="AE386" i="2"/>
  <c r="AD386" i="2"/>
  <c r="AC386" i="2"/>
  <c r="AB386" i="2"/>
  <c r="AA386" i="2"/>
  <c r="Z386" i="2"/>
  <c r="Y386" i="2"/>
  <c r="X386" i="2"/>
  <c r="W386" i="2"/>
  <c r="V386" i="2"/>
  <c r="U386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BF385" i="2"/>
  <c r="BE385" i="2"/>
  <c r="BD385" i="2"/>
  <c r="BC385" i="2"/>
  <c r="BB385" i="2"/>
  <c r="BA385" i="2"/>
  <c r="AZ385" i="2"/>
  <c r="AY385" i="2"/>
  <c r="AX385" i="2"/>
  <c r="AW385" i="2"/>
  <c r="AV385" i="2"/>
  <c r="AU385" i="2"/>
  <c r="AT385" i="2"/>
  <c r="AS385" i="2"/>
  <c r="AR385" i="2"/>
  <c r="AQ385" i="2"/>
  <c r="AP385" i="2"/>
  <c r="AO385" i="2"/>
  <c r="AN385" i="2"/>
  <c r="AM385" i="2"/>
  <c r="AL385" i="2"/>
  <c r="AK385" i="2"/>
  <c r="AJ385" i="2"/>
  <c r="AI385" i="2"/>
  <c r="AH385" i="2"/>
  <c r="AG385" i="2"/>
  <c r="AF385" i="2"/>
  <c r="AE385" i="2"/>
  <c r="AD385" i="2"/>
  <c r="AC385" i="2"/>
  <c r="AB385" i="2"/>
  <c r="AA385" i="2"/>
  <c r="Z385" i="2"/>
  <c r="Y385" i="2"/>
  <c r="X385" i="2"/>
  <c r="W385" i="2"/>
  <c r="V385" i="2"/>
  <c r="U385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BF384" i="2"/>
  <c r="BE384" i="2"/>
  <c r="BD384" i="2"/>
  <c r="BC384" i="2"/>
  <c r="BB384" i="2"/>
  <c r="BA384" i="2"/>
  <c r="AZ384" i="2"/>
  <c r="AY384" i="2"/>
  <c r="AX384" i="2"/>
  <c r="AW384" i="2"/>
  <c r="AV384" i="2"/>
  <c r="AU384" i="2"/>
  <c r="AT384" i="2"/>
  <c r="AS384" i="2"/>
  <c r="AR384" i="2"/>
  <c r="AQ384" i="2"/>
  <c r="AP384" i="2"/>
  <c r="AO384" i="2"/>
  <c r="AN384" i="2"/>
  <c r="AM384" i="2"/>
  <c r="AL384" i="2"/>
  <c r="AK384" i="2"/>
  <c r="AJ384" i="2"/>
  <c r="AI384" i="2"/>
  <c r="AH384" i="2"/>
  <c r="AG384" i="2"/>
  <c r="AF384" i="2"/>
  <c r="AE384" i="2"/>
  <c r="AD384" i="2"/>
  <c r="AC384" i="2"/>
  <c r="AB384" i="2"/>
  <c r="AA384" i="2"/>
  <c r="Z384" i="2"/>
  <c r="Y384" i="2"/>
  <c r="X384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F383" i="2"/>
  <c r="BE383" i="2"/>
  <c r="BD383" i="2"/>
  <c r="BC383" i="2"/>
  <c r="BB383" i="2"/>
  <c r="BA383" i="2"/>
  <c r="AZ383" i="2"/>
  <c r="AY383" i="2"/>
  <c r="AX383" i="2"/>
  <c r="AW383" i="2"/>
  <c r="AV383" i="2"/>
  <c r="AU383" i="2"/>
  <c r="AT383" i="2"/>
  <c r="AS383" i="2"/>
  <c r="AR383" i="2"/>
  <c r="AQ383" i="2"/>
  <c r="AP383" i="2"/>
  <c r="AO383" i="2"/>
  <c r="AN383" i="2"/>
  <c r="AM383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F382" i="2"/>
  <c r="BE382" i="2"/>
  <c r="BD382" i="2"/>
  <c r="BC382" i="2"/>
  <c r="BB382" i="2"/>
  <c r="BA382" i="2"/>
  <c r="AZ382" i="2"/>
  <c r="AY382" i="2"/>
  <c r="AX382" i="2"/>
  <c r="AW382" i="2"/>
  <c r="AV382" i="2"/>
  <c r="AU382" i="2"/>
  <c r="AT382" i="2"/>
  <c r="AS382" i="2"/>
  <c r="AR382" i="2"/>
  <c r="AQ382" i="2"/>
  <c r="AP382" i="2"/>
  <c r="AO382" i="2"/>
  <c r="AN382" i="2"/>
  <c r="AM382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Z382" i="2"/>
  <c r="Y382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F381" i="2"/>
  <c r="BE381" i="2"/>
  <c r="BD381" i="2"/>
  <c r="BC381" i="2"/>
  <c r="BB381" i="2"/>
  <c r="BA381" i="2"/>
  <c r="AZ381" i="2"/>
  <c r="AY381" i="2"/>
  <c r="AX381" i="2"/>
  <c r="AW381" i="2"/>
  <c r="AV381" i="2"/>
  <c r="AU381" i="2"/>
  <c r="AT381" i="2"/>
  <c r="AS381" i="2"/>
  <c r="AR381" i="2"/>
  <c r="AQ381" i="2"/>
  <c r="AP381" i="2"/>
  <c r="AO381" i="2"/>
  <c r="AN381" i="2"/>
  <c r="AM381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F380" i="2"/>
  <c r="BE380" i="2"/>
  <c r="BD380" i="2"/>
  <c r="BC380" i="2"/>
  <c r="BB380" i="2"/>
  <c r="BA380" i="2"/>
  <c r="AZ380" i="2"/>
  <c r="AY380" i="2"/>
  <c r="AX380" i="2"/>
  <c r="AW380" i="2"/>
  <c r="AV380" i="2"/>
  <c r="AU380" i="2"/>
  <c r="AT380" i="2"/>
  <c r="AS380" i="2"/>
  <c r="AR380" i="2"/>
  <c r="AQ380" i="2"/>
  <c r="AP380" i="2"/>
  <c r="AO380" i="2"/>
  <c r="AN380" i="2"/>
  <c r="AM380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Z380" i="2"/>
  <c r="Y380" i="2"/>
  <c r="X380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F377" i="2"/>
  <c r="BE377" i="2"/>
  <c r="BD377" i="2"/>
  <c r="BC377" i="2"/>
  <c r="BB377" i="2"/>
  <c r="BA377" i="2"/>
  <c r="AZ377" i="2"/>
  <c r="AY377" i="2"/>
  <c r="AX377" i="2"/>
  <c r="AW377" i="2"/>
  <c r="AV377" i="2"/>
  <c r="AU377" i="2"/>
  <c r="AT377" i="2"/>
  <c r="AS377" i="2"/>
  <c r="AR377" i="2"/>
  <c r="AQ377" i="2"/>
  <c r="AP377" i="2"/>
  <c r="AO377" i="2"/>
  <c r="AN377" i="2"/>
  <c r="AM377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Z377" i="2"/>
  <c r="Y377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F376" i="2"/>
  <c r="BE376" i="2"/>
  <c r="BD376" i="2"/>
  <c r="BC376" i="2"/>
  <c r="BB376" i="2"/>
  <c r="BA376" i="2"/>
  <c r="AZ376" i="2"/>
  <c r="AY376" i="2"/>
  <c r="AX376" i="2"/>
  <c r="AW376" i="2"/>
  <c r="AV376" i="2"/>
  <c r="AU376" i="2"/>
  <c r="AT376" i="2"/>
  <c r="AS376" i="2"/>
  <c r="AR376" i="2"/>
  <c r="AQ376" i="2"/>
  <c r="AP376" i="2"/>
  <c r="AO376" i="2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F375" i="2"/>
  <c r="BE375" i="2"/>
  <c r="BD375" i="2"/>
  <c r="BC375" i="2"/>
  <c r="BB375" i="2"/>
  <c r="BA375" i="2"/>
  <c r="AZ375" i="2"/>
  <c r="AY375" i="2"/>
  <c r="AX375" i="2"/>
  <c r="AW375" i="2"/>
  <c r="AV375" i="2"/>
  <c r="AU375" i="2"/>
  <c r="AT375" i="2"/>
  <c r="AS375" i="2"/>
  <c r="AR375" i="2"/>
  <c r="AQ375" i="2"/>
  <c r="AP375" i="2"/>
  <c r="AO375" i="2"/>
  <c r="AN375" i="2"/>
  <c r="AM375" i="2"/>
  <c r="AL375" i="2"/>
  <c r="AK375" i="2"/>
  <c r="AJ375" i="2"/>
  <c r="AI375" i="2"/>
  <c r="AH375" i="2"/>
  <c r="AG375" i="2"/>
  <c r="AF375" i="2"/>
  <c r="AE375" i="2"/>
  <c r="AD375" i="2"/>
  <c r="AC375" i="2"/>
  <c r="AB375" i="2"/>
  <c r="AA375" i="2"/>
  <c r="Z375" i="2"/>
  <c r="Y375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F374" i="2"/>
  <c r="BE374" i="2"/>
  <c r="BD374" i="2"/>
  <c r="BC374" i="2"/>
  <c r="BB374" i="2"/>
  <c r="BA374" i="2"/>
  <c r="AZ374" i="2"/>
  <c r="AY374" i="2"/>
  <c r="AX374" i="2"/>
  <c r="AW374" i="2"/>
  <c r="AV374" i="2"/>
  <c r="AU374" i="2"/>
  <c r="AT374" i="2"/>
  <c r="AS374" i="2"/>
  <c r="AR374" i="2"/>
  <c r="AQ374" i="2"/>
  <c r="AP374" i="2"/>
  <c r="AO374" i="2"/>
  <c r="AN374" i="2"/>
  <c r="AM374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Z374" i="2"/>
  <c r="Y374" i="2"/>
  <c r="X374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F373" i="2"/>
  <c r="BE373" i="2"/>
  <c r="BD373" i="2"/>
  <c r="BC373" i="2"/>
  <c r="BB373" i="2"/>
  <c r="BA373" i="2"/>
  <c r="AZ373" i="2"/>
  <c r="AY373" i="2"/>
  <c r="AX373" i="2"/>
  <c r="AW373" i="2"/>
  <c r="AV373" i="2"/>
  <c r="AU373" i="2"/>
  <c r="AT373" i="2"/>
  <c r="AS373" i="2"/>
  <c r="AR373" i="2"/>
  <c r="AQ373" i="2"/>
  <c r="AP373" i="2"/>
  <c r="AO373" i="2"/>
  <c r="AN373" i="2"/>
  <c r="AM373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F372" i="2"/>
  <c r="BE372" i="2"/>
  <c r="BD372" i="2"/>
  <c r="BC372" i="2"/>
  <c r="BB372" i="2"/>
  <c r="BA372" i="2"/>
  <c r="AZ372" i="2"/>
  <c r="AY372" i="2"/>
  <c r="AX372" i="2"/>
  <c r="AW372" i="2"/>
  <c r="AV372" i="2"/>
  <c r="AU372" i="2"/>
  <c r="AT372" i="2"/>
  <c r="AS372" i="2"/>
  <c r="AR372" i="2"/>
  <c r="AQ372" i="2"/>
  <c r="AP372" i="2"/>
  <c r="AO372" i="2"/>
  <c r="AN372" i="2"/>
  <c r="AM372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X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F371" i="2"/>
  <c r="BE371" i="2"/>
  <c r="BD371" i="2"/>
  <c r="BC371" i="2"/>
  <c r="BB371" i="2"/>
  <c r="BA371" i="2"/>
  <c r="AZ371" i="2"/>
  <c r="AY371" i="2"/>
  <c r="AX371" i="2"/>
  <c r="AW371" i="2"/>
  <c r="AV371" i="2"/>
  <c r="AU371" i="2"/>
  <c r="AT371" i="2"/>
  <c r="AS371" i="2"/>
  <c r="AR371" i="2"/>
  <c r="AQ371" i="2"/>
  <c r="AP371" i="2"/>
  <c r="AO371" i="2"/>
  <c r="AN371" i="2"/>
  <c r="AM371" i="2"/>
  <c r="AL371" i="2"/>
  <c r="AK371" i="2"/>
  <c r="AJ371" i="2"/>
  <c r="AI371" i="2"/>
  <c r="AH371" i="2"/>
  <c r="AG371" i="2"/>
  <c r="AF371" i="2"/>
  <c r="AE371" i="2"/>
  <c r="AD371" i="2"/>
  <c r="AC371" i="2"/>
  <c r="AB371" i="2"/>
  <c r="AA371" i="2"/>
  <c r="Z371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BF306" i="2"/>
  <c r="BE306" i="2"/>
  <c r="BD306" i="2"/>
  <c r="BC306" i="2"/>
  <c r="BB306" i="2"/>
  <c r="BA306" i="2"/>
  <c r="AZ306" i="2"/>
  <c r="AY306" i="2"/>
  <c r="AX306" i="2"/>
  <c r="AW306" i="2"/>
  <c r="AV306" i="2"/>
  <c r="AU306" i="2"/>
  <c r="AT306" i="2"/>
  <c r="AS306" i="2"/>
  <c r="AR306" i="2"/>
  <c r="AQ306" i="2"/>
  <c r="AP306" i="2"/>
  <c r="AO306" i="2"/>
  <c r="AN306" i="2"/>
  <c r="AM306" i="2"/>
  <c r="AL306" i="2"/>
  <c r="AK306" i="2"/>
  <c r="AJ306" i="2"/>
  <c r="AI306" i="2"/>
  <c r="AH306" i="2"/>
  <c r="AG306" i="2"/>
  <c r="AF306" i="2"/>
  <c r="AE306" i="2"/>
  <c r="AD306" i="2"/>
  <c r="AC306" i="2"/>
  <c r="AB306" i="2"/>
  <c r="AA306" i="2"/>
  <c r="Z306" i="2"/>
  <c r="Y306" i="2"/>
  <c r="X306" i="2"/>
  <c r="W306" i="2"/>
  <c r="V306" i="2"/>
  <c r="U306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BF305" i="2"/>
  <c r="BE305" i="2"/>
  <c r="BD305" i="2"/>
  <c r="BC305" i="2"/>
  <c r="BB305" i="2"/>
  <c r="BA305" i="2"/>
  <c r="AZ305" i="2"/>
  <c r="AY305" i="2"/>
  <c r="AX305" i="2"/>
  <c r="AW305" i="2"/>
  <c r="AV305" i="2"/>
  <c r="AU305" i="2"/>
  <c r="AT305" i="2"/>
  <c r="AS305" i="2"/>
  <c r="AR305" i="2"/>
  <c r="AQ305" i="2"/>
  <c r="AP305" i="2"/>
  <c r="AO305" i="2"/>
  <c r="AN305" i="2"/>
  <c r="AM305" i="2"/>
  <c r="AL305" i="2"/>
  <c r="AK305" i="2"/>
  <c r="AJ305" i="2"/>
  <c r="AI305" i="2"/>
  <c r="AH305" i="2"/>
  <c r="AG305" i="2"/>
  <c r="AF305" i="2"/>
  <c r="AE305" i="2"/>
  <c r="AD305" i="2"/>
  <c r="AC305" i="2"/>
  <c r="AB305" i="2"/>
  <c r="AA305" i="2"/>
  <c r="Z305" i="2"/>
  <c r="Y305" i="2"/>
  <c r="X305" i="2"/>
  <c r="W305" i="2"/>
  <c r="V305" i="2"/>
  <c r="U305" i="2"/>
  <c r="T305" i="2"/>
  <c r="S305" i="2"/>
  <c r="R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BF304" i="2"/>
  <c r="BE304" i="2"/>
  <c r="BD304" i="2"/>
  <c r="BC304" i="2"/>
  <c r="BB304" i="2"/>
  <c r="BA304" i="2"/>
  <c r="AZ304" i="2"/>
  <c r="AY304" i="2"/>
  <c r="AX304" i="2"/>
  <c r="AW304" i="2"/>
  <c r="AV304" i="2"/>
  <c r="AU304" i="2"/>
  <c r="AT304" i="2"/>
  <c r="AS304" i="2"/>
  <c r="AR304" i="2"/>
  <c r="AQ304" i="2"/>
  <c r="AP304" i="2"/>
  <c r="AO304" i="2"/>
  <c r="AN304" i="2"/>
  <c r="AM304" i="2"/>
  <c r="AL304" i="2"/>
  <c r="AK304" i="2"/>
  <c r="AJ304" i="2"/>
  <c r="AI304" i="2"/>
  <c r="AH304" i="2"/>
  <c r="AG304" i="2"/>
  <c r="AF304" i="2"/>
  <c r="AE304" i="2"/>
  <c r="AD304" i="2"/>
  <c r="AC304" i="2"/>
  <c r="AB304" i="2"/>
  <c r="AA304" i="2"/>
  <c r="Z304" i="2"/>
  <c r="Y304" i="2"/>
  <c r="X304" i="2"/>
  <c r="W304" i="2"/>
  <c r="V304" i="2"/>
  <c r="U304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BF303" i="2"/>
  <c r="BE303" i="2"/>
  <c r="BD303" i="2"/>
  <c r="BC303" i="2"/>
  <c r="BB303" i="2"/>
  <c r="BA303" i="2"/>
  <c r="AZ303" i="2"/>
  <c r="AY303" i="2"/>
  <c r="AX303" i="2"/>
  <c r="AW303" i="2"/>
  <c r="AV303" i="2"/>
  <c r="AU303" i="2"/>
  <c r="AT303" i="2"/>
  <c r="AS303" i="2"/>
  <c r="AR303" i="2"/>
  <c r="AQ303" i="2"/>
  <c r="AP303" i="2"/>
  <c r="AO303" i="2"/>
  <c r="AN303" i="2"/>
  <c r="AM303" i="2"/>
  <c r="AL303" i="2"/>
  <c r="AK303" i="2"/>
  <c r="AJ303" i="2"/>
  <c r="AI303" i="2"/>
  <c r="AH303" i="2"/>
  <c r="AG303" i="2"/>
  <c r="AF303" i="2"/>
  <c r="AE303" i="2"/>
  <c r="AD303" i="2"/>
  <c r="AC303" i="2"/>
  <c r="AB303" i="2"/>
  <c r="AA303" i="2"/>
  <c r="Z303" i="2"/>
  <c r="Y303" i="2"/>
  <c r="X303" i="2"/>
  <c r="W303" i="2"/>
  <c r="V303" i="2"/>
  <c r="U303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BF300" i="2"/>
  <c r="BE300" i="2"/>
  <c r="BD300" i="2"/>
  <c r="BC300" i="2"/>
  <c r="BB300" i="2"/>
  <c r="BA300" i="2"/>
  <c r="AZ300" i="2"/>
  <c r="AY300" i="2"/>
  <c r="AX300" i="2"/>
  <c r="AW300" i="2"/>
  <c r="AV300" i="2"/>
  <c r="AU300" i="2"/>
  <c r="AT300" i="2"/>
  <c r="AS300" i="2"/>
  <c r="AR300" i="2"/>
  <c r="AQ300" i="2"/>
  <c r="AP300" i="2"/>
  <c r="AO300" i="2"/>
  <c r="AN300" i="2"/>
  <c r="AM300" i="2"/>
  <c r="AL300" i="2"/>
  <c r="AK300" i="2"/>
  <c r="AJ300" i="2"/>
  <c r="AI300" i="2"/>
  <c r="AH300" i="2"/>
  <c r="AG300" i="2"/>
  <c r="AF300" i="2"/>
  <c r="AE300" i="2"/>
  <c r="AD300" i="2"/>
  <c r="AC300" i="2"/>
  <c r="AB300" i="2"/>
  <c r="AA300" i="2"/>
  <c r="Z300" i="2"/>
  <c r="Y300" i="2"/>
  <c r="X300" i="2"/>
  <c r="W300" i="2"/>
  <c r="V300" i="2"/>
  <c r="U300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BF299" i="2"/>
  <c r="BE299" i="2"/>
  <c r="BD299" i="2"/>
  <c r="BC299" i="2"/>
  <c r="BB299" i="2"/>
  <c r="BA299" i="2"/>
  <c r="AZ299" i="2"/>
  <c r="AY299" i="2"/>
  <c r="AX299" i="2"/>
  <c r="AW299" i="2"/>
  <c r="AV299" i="2"/>
  <c r="AU299" i="2"/>
  <c r="AT299" i="2"/>
  <c r="AS299" i="2"/>
  <c r="AR299" i="2"/>
  <c r="AQ299" i="2"/>
  <c r="AP299" i="2"/>
  <c r="AO299" i="2"/>
  <c r="AN299" i="2"/>
  <c r="AM299" i="2"/>
  <c r="AL299" i="2"/>
  <c r="AK299" i="2"/>
  <c r="AJ299" i="2"/>
  <c r="AI299" i="2"/>
  <c r="AH299" i="2"/>
  <c r="AG299" i="2"/>
  <c r="AF299" i="2"/>
  <c r="AE299" i="2"/>
  <c r="AD299" i="2"/>
  <c r="AC299" i="2"/>
  <c r="AB299" i="2"/>
  <c r="AA299" i="2"/>
  <c r="Z299" i="2"/>
  <c r="Y299" i="2"/>
  <c r="X299" i="2"/>
  <c r="W299" i="2"/>
  <c r="V299" i="2"/>
  <c r="U299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BF298" i="2"/>
  <c r="BE298" i="2"/>
  <c r="BD298" i="2"/>
  <c r="BC298" i="2"/>
  <c r="BB298" i="2"/>
  <c r="BA298" i="2"/>
  <c r="AZ298" i="2"/>
  <c r="AY298" i="2"/>
  <c r="AX298" i="2"/>
  <c r="AW298" i="2"/>
  <c r="AV298" i="2"/>
  <c r="AU298" i="2"/>
  <c r="AT298" i="2"/>
  <c r="AS298" i="2"/>
  <c r="AR298" i="2"/>
  <c r="AQ298" i="2"/>
  <c r="AP298" i="2"/>
  <c r="AO298" i="2"/>
  <c r="AN298" i="2"/>
  <c r="AM298" i="2"/>
  <c r="AL298" i="2"/>
  <c r="AK298" i="2"/>
  <c r="AJ298" i="2"/>
  <c r="AI298" i="2"/>
  <c r="AH298" i="2"/>
  <c r="AG298" i="2"/>
  <c r="AF298" i="2"/>
  <c r="AE298" i="2"/>
  <c r="AD298" i="2"/>
  <c r="AC298" i="2"/>
  <c r="AB298" i="2"/>
  <c r="AA298" i="2"/>
  <c r="Z298" i="2"/>
  <c r="Y298" i="2"/>
  <c r="X298" i="2"/>
  <c r="W298" i="2"/>
  <c r="V298" i="2"/>
  <c r="U298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BF297" i="2"/>
  <c r="BE297" i="2"/>
  <c r="BD297" i="2"/>
  <c r="BC297" i="2"/>
  <c r="BB297" i="2"/>
  <c r="BA297" i="2"/>
  <c r="AZ297" i="2"/>
  <c r="AY297" i="2"/>
  <c r="AX297" i="2"/>
  <c r="AW297" i="2"/>
  <c r="AV297" i="2"/>
  <c r="AU297" i="2"/>
  <c r="AT297" i="2"/>
  <c r="AS297" i="2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BF277" i="2"/>
  <c r="BE277" i="2"/>
  <c r="BD277" i="2"/>
  <c r="BC277" i="2"/>
  <c r="BB277" i="2"/>
  <c r="BA277" i="2"/>
  <c r="AZ277" i="2"/>
  <c r="AY277" i="2"/>
  <c r="AX277" i="2"/>
  <c r="AW277" i="2"/>
  <c r="AV277" i="2"/>
  <c r="AU277" i="2"/>
  <c r="AT277" i="2"/>
  <c r="AS277" i="2"/>
  <c r="AR277" i="2"/>
  <c r="AQ277" i="2"/>
  <c r="AP277" i="2"/>
  <c r="AO277" i="2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F276" i="2"/>
  <c r="BE276" i="2"/>
  <c r="BD276" i="2"/>
  <c r="BC276" i="2"/>
  <c r="BB276" i="2"/>
  <c r="BA276" i="2"/>
  <c r="AZ276" i="2"/>
  <c r="AY276" i="2"/>
  <c r="AX276" i="2"/>
  <c r="AW276" i="2"/>
  <c r="AV276" i="2"/>
  <c r="AU276" i="2"/>
  <c r="AT276" i="2"/>
  <c r="AS276" i="2"/>
  <c r="AR276" i="2"/>
  <c r="AQ276" i="2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F275" i="2"/>
  <c r="BE275" i="2"/>
  <c r="BD275" i="2"/>
  <c r="BC275" i="2"/>
  <c r="BB275" i="2"/>
  <c r="BA275" i="2"/>
  <c r="AZ275" i="2"/>
  <c r="AY275" i="2"/>
  <c r="AX275" i="2"/>
  <c r="AW275" i="2"/>
  <c r="AV275" i="2"/>
  <c r="AU275" i="2"/>
  <c r="AT275" i="2"/>
  <c r="AS275" i="2"/>
  <c r="AR275" i="2"/>
  <c r="AQ275" i="2"/>
  <c r="AP275" i="2"/>
  <c r="AO275" i="2"/>
  <c r="AN275" i="2"/>
  <c r="AM275" i="2"/>
  <c r="AL275" i="2"/>
  <c r="AK275" i="2"/>
  <c r="AJ275" i="2"/>
  <c r="AI275" i="2"/>
  <c r="AH275" i="2"/>
  <c r="AG275" i="2"/>
  <c r="AF275" i="2"/>
  <c r="AE275" i="2"/>
  <c r="AD275" i="2"/>
  <c r="AC275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F274" i="2"/>
  <c r="BE274" i="2"/>
  <c r="BD274" i="2"/>
  <c r="BC274" i="2"/>
  <c r="BB274" i="2"/>
  <c r="BA274" i="2"/>
  <c r="AZ274" i="2"/>
  <c r="AY274" i="2"/>
  <c r="AX274" i="2"/>
  <c r="AW274" i="2"/>
  <c r="AV274" i="2"/>
  <c r="AU274" i="2"/>
  <c r="AT274" i="2"/>
  <c r="AS274" i="2"/>
  <c r="AR274" i="2"/>
  <c r="AQ274" i="2"/>
  <c r="AP274" i="2"/>
  <c r="AO274" i="2"/>
  <c r="AN274" i="2"/>
  <c r="AM274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F273" i="2"/>
  <c r="BE273" i="2"/>
  <c r="BD273" i="2"/>
  <c r="BC273" i="2"/>
  <c r="BB273" i="2"/>
  <c r="BA273" i="2"/>
  <c r="AZ273" i="2"/>
  <c r="AY273" i="2"/>
  <c r="AX273" i="2"/>
  <c r="AW273" i="2"/>
  <c r="AV273" i="2"/>
  <c r="AU273" i="2"/>
  <c r="AT273" i="2"/>
  <c r="AS273" i="2"/>
  <c r="AR273" i="2"/>
  <c r="AQ273" i="2"/>
  <c r="AP273" i="2"/>
  <c r="AO273" i="2"/>
  <c r="AN273" i="2"/>
  <c r="AM273" i="2"/>
  <c r="AL273" i="2"/>
  <c r="AK273" i="2"/>
  <c r="AJ273" i="2"/>
  <c r="AI273" i="2"/>
  <c r="AH273" i="2"/>
  <c r="AG273" i="2"/>
  <c r="AF273" i="2"/>
  <c r="AE273" i="2"/>
  <c r="AD273" i="2"/>
  <c r="AC273" i="2"/>
  <c r="AB273" i="2"/>
  <c r="AA273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F272" i="2"/>
  <c r="BE272" i="2"/>
  <c r="BD272" i="2"/>
  <c r="BC272" i="2"/>
  <c r="BB272" i="2"/>
  <c r="BA272" i="2"/>
  <c r="AZ272" i="2"/>
  <c r="AY272" i="2"/>
  <c r="AX272" i="2"/>
  <c r="AW272" i="2"/>
  <c r="AV272" i="2"/>
  <c r="AU272" i="2"/>
  <c r="AT272" i="2"/>
  <c r="AS272" i="2"/>
  <c r="AR272" i="2"/>
  <c r="AQ272" i="2"/>
  <c r="AP272" i="2"/>
  <c r="AO272" i="2"/>
  <c r="AN272" i="2"/>
  <c r="AM272" i="2"/>
  <c r="AL272" i="2"/>
  <c r="AK272" i="2"/>
  <c r="AJ272" i="2"/>
  <c r="AI272" i="2"/>
  <c r="AH272" i="2"/>
  <c r="AG272" i="2"/>
  <c r="AF272" i="2"/>
  <c r="AE272" i="2"/>
  <c r="AD272" i="2"/>
  <c r="AC272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F271" i="2"/>
  <c r="BE271" i="2"/>
  <c r="BD271" i="2"/>
  <c r="BC271" i="2"/>
  <c r="BB271" i="2"/>
  <c r="BA271" i="2"/>
  <c r="AZ271" i="2"/>
  <c r="AY271" i="2"/>
  <c r="AX271" i="2"/>
  <c r="AW271" i="2"/>
  <c r="AV271" i="2"/>
  <c r="AU271" i="2"/>
  <c r="AT271" i="2"/>
  <c r="AS271" i="2"/>
  <c r="AR271" i="2"/>
  <c r="AQ271" i="2"/>
  <c r="AP271" i="2"/>
  <c r="AO271" i="2"/>
  <c r="AN271" i="2"/>
  <c r="AM271" i="2"/>
  <c r="AL271" i="2"/>
  <c r="AK271" i="2"/>
  <c r="AJ271" i="2"/>
  <c r="AI271" i="2"/>
  <c r="AH271" i="2"/>
  <c r="AG271" i="2"/>
  <c r="AF271" i="2"/>
  <c r="AE271" i="2"/>
  <c r="AD271" i="2"/>
  <c r="AC271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F269" i="2"/>
  <c r="BE269" i="2"/>
  <c r="BD269" i="2"/>
  <c r="BC269" i="2"/>
  <c r="BB269" i="2"/>
  <c r="BA269" i="2"/>
  <c r="AZ269" i="2"/>
  <c r="AY269" i="2"/>
  <c r="AX269" i="2"/>
  <c r="AW269" i="2"/>
  <c r="AV269" i="2"/>
  <c r="AU269" i="2"/>
  <c r="AT269" i="2"/>
  <c r="AS269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F268" i="2"/>
  <c r="BE268" i="2"/>
  <c r="BD268" i="2"/>
  <c r="BC268" i="2"/>
  <c r="BB268" i="2"/>
  <c r="BA268" i="2"/>
  <c r="AZ268" i="2"/>
  <c r="AY268" i="2"/>
  <c r="AX268" i="2"/>
  <c r="AW268" i="2"/>
  <c r="AV268" i="2"/>
  <c r="AU268" i="2"/>
  <c r="AT268" i="2"/>
  <c r="AS268" i="2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F267" i="2"/>
  <c r="BE267" i="2"/>
  <c r="BD267" i="2"/>
  <c r="BC267" i="2"/>
  <c r="BB267" i="2"/>
  <c r="BA267" i="2"/>
  <c r="AZ267" i="2"/>
  <c r="AY267" i="2"/>
  <c r="AX267" i="2"/>
  <c r="AW267" i="2"/>
  <c r="AV267" i="2"/>
  <c r="AU267" i="2"/>
  <c r="AT267" i="2"/>
  <c r="AS267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F266" i="2"/>
  <c r="BE266" i="2"/>
  <c r="BD266" i="2"/>
  <c r="BC266" i="2"/>
  <c r="BB266" i="2"/>
  <c r="BA266" i="2"/>
  <c r="AZ266" i="2"/>
  <c r="AY266" i="2"/>
  <c r="AX266" i="2"/>
  <c r="AW266" i="2"/>
  <c r="AV266" i="2"/>
  <c r="AU266" i="2"/>
  <c r="AT266" i="2"/>
  <c r="AS266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F265" i="2"/>
  <c r="BE265" i="2"/>
  <c r="BD265" i="2"/>
  <c r="BC265" i="2"/>
  <c r="BB265" i="2"/>
  <c r="BA265" i="2"/>
  <c r="AZ265" i="2"/>
  <c r="AY265" i="2"/>
  <c r="AX265" i="2"/>
  <c r="AW265" i="2"/>
  <c r="AV265" i="2"/>
  <c r="AU265" i="2"/>
  <c r="AT265" i="2"/>
  <c r="AS265" i="2"/>
  <c r="AR265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F264" i="2"/>
  <c r="BE264" i="2"/>
  <c r="BD264" i="2"/>
  <c r="BC264" i="2"/>
  <c r="BB264" i="2"/>
  <c r="BA264" i="2"/>
  <c r="AZ264" i="2"/>
  <c r="AY264" i="2"/>
  <c r="AX264" i="2"/>
  <c r="AW264" i="2"/>
  <c r="AV264" i="2"/>
  <c r="AU264" i="2"/>
  <c r="AT264" i="2"/>
  <c r="AS264" i="2"/>
  <c r="AR264" i="2"/>
  <c r="AQ264" i="2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F263" i="2"/>
  <c r="BE263" i="2"/>
  <c r="BD263" i="2"/>
  <c r="BC263" i="2"/>
  <c r="BB263" i="2"/>
  <c r="BA263" i="2"/>
  <c r="AZ263" i="2"/>
  <c r="AY263" i="2"/>
  <c r="AX263" i="2"/>
  <c r="AW263" i="2"/>
  <c r="AV263" i="2"/>
  <c r="AU263" i="2"/>
  <c r="AT263" i="2"/>
  <c r="AS263" i="2"/>
  <c r="AR263" i="2"/>
  <c r="AQ263" i="2"/>
  <c r="AP263" i="2"/>
  <c r="AO263" i="2"/>
  <c r="AN263" i="2"/>
  <c r="AM263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F251" i="2"/>
  <c r="BE251" i="2"/>
  <c r="BD251" i="2"/>
  <c r="BC251" i="2"/>
  <c r="BB251" i="2"/>
  <c r="BA251" i="2"/>
  <c r="AZ251" i="2"/>
  <c r="AY251" i="2"/>
  <c r="AX251" i="2"/>
  <c r="AW251" i="2"/>
  <c r="AV251" i="2"/>
  <c r="AU251" i="2"/>
  <c r="AT251" i="2"/>
  <c r="AS251" i="2"/>
  <c r="AR251" i="2"/>
  <c r="AQ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F250" i="2"/>
  <c r="BE250" i="2"/>
  <c r="BD250" i="2"/>
  <c r="BC250" i="2"/>
  <c r="BB250" i="2"/>
  <c r="BA250" i="2"/>
  <c r="AZ250" i="2"/>
  <c r="AY250" i="2"/>
  <c r="AX250" i="2"/>
  <c r="AW250" i="2"/>
  <c r="AV250" i="2"/>
  <c r="AU250" i="2"/>
  <c r="AT250" i="2"/>
  <c r="AS250" i="2"/>
  <c r="AR250" i="2"/>
  <c r="AQ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F249" i="2"/>
  <c r="BE249" i="2"/>
  <c r="BD249" i="2"/>
  <c r="BC249" i="2"/>
  <c r="BB249" i="2"/>
  <c r="BA249" i="2"/>
  <c r="AZ249" i="2"/>
  <c r="AY249" i="2"/>
  <c r="AX249" i="2"/>
  <c r="AW249" i="2"/>
  <c r="AV249" i="2"/>
  <c r="AU249" i="2"/>
  <c r="AT249" i="2"/>
  <c r="AS249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BF248" i="2"/>
  <c r="BE248" i="2"/>
  <c r="BD248" i="2"/>
  <c r="BC248" i="2"/>
  <c r="BB248" i="2"/>
  <c r="BA248" i="2"/>
  <c r="AZ248" i="2"/>
  <c r="AY248" i="2"/>
  <c r="AX248" i="2"/>
  <c r="AW248" i="2"/>
  <c r="AV248" i="2"/>
  <c r="AU248" i="2"/>
  <c r="AT248" i="2"/>
  <c r="AS248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F247" i="2"/>
  <c r="BE247" i="2"/>
  <c r="BD247" i="2"/>
  <c r="BC247" i="2"/>
  <c r="BB247" i="2"/>
  <c r="BA247" i="2"/>
  <c r="AZ247" i="2"/>
  <c r="AY247" i="2"/>
  <c r="AX247" i="2"/>
  <c r="AW247" i="2"/>
  <c r="AV247" i="2"/>
  <c r="AU247" i="2"/>
  <c r="AT247" i="2"/>
  <c r="AS247" i="2"/>
  <c r="AR247" i="2"/>
  <c r="AQ247" i="2"/>
  <c r="AP247" i="2"/>
  <c r="AO247" i="2"/>
  <c r="AN247" i="2"/>
  <c r="AM247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F246" i="2"/>
  <c r="BE246" i="2"/>
  <c r="BD246" i="2"/>
  <c r="BC246" i="2"/>
  <c r="BB246" i="2"/>
  <c r="BA246" i="2"/>
  <c r="AZ246" i="2"/>
  <c r="AY246" i="2"/>
  <c r="AX246" i="2"/>
  <c r="AW246" i="2"/>
  <c r="AV246" i="2"/>
  <c r="AU246" i="2"/>
  <c r="AT246" i="2"/>
  <c r="AS246" i="2"/>
  <c r="AR246" i="2"/>
  <c r="AQ246" i="2"/>
  <c r="AP246" i="2"/>
  <c r="AO246" i="2"/>
  <c r="AN246" i="2"/>
  <c r="AM246" i="2"/>
  <c r="AL246" i="2"/>
  <c r="AK246" i="2"/>
  <c r="AJ246" i="2"/>
  <c r="AI246" i="2"/>
  <c r="AH246" i="2"/>
  <c r="AG246" i="2"/>
  <c r="AF246" i="2"/>
  <c r="AE246" i="2"/>
  <c r="AD246" i="2"/>
  <c r="AC246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F245" i="2"/>
  <c r="BE245" i="2"/>
  <c r="BD245" i="2"/>
  <c r="BC245" i="2"/>
  <c r="BB245" i="2"/>
  <c r="BA245" i="2"/>
  <c r="AZ245" i="2"/>
  <c r="AY245" i="2"/>
  <c r="AX245" i="2"/>
  <c r="AW245" i="2"/>
  <c r="AV245" i="2"/>
  <c r="AU245" i="2"/>
  <c r="AT245" i="2"/>
  <c r="AS245" i="2"/>
  <c r="AR245" i="2"/>
  <c r="AQ245" i="2"/>
  <c r="AP245" i="2"/>
  <c r="AO245" i="2"/>
  <c r="AN245" i="2"/>
  <c r="AM245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F242" i="2"/>
  <c r="BE242" i="2"/>
  <c r="BD242" i="2"/>
  <c r="BC242" i="2"/>
  <c r="BB242" i="2"/>
  <c r="BA242" i="2"/>
  <c r="AZ242" i="2"/>
  <c r="AY242" i="2"/>
  <c r="AX242" i="2"/>
  <c r="AW242" i="2"/>
  <c r="AV242" i="2"/>
  <c r="AU242" i="2"/>
  <c r="AT242" i="2"/>
  <c r="AS242" i="2"/>
  <c r="AR242" i="2"/>
  <c r="AQ242" i="2"/>
  <c r="AP242" i="2"/>
  <c r="AO242" i="2"/>
  <c r="AN242" i="2"/>
  <c r="AM242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F241" i="2"/>
  <c r="BE241" i="2"/>
  <c r="BD241" i="2"/>
  <c r="BC241" i="2"/>
  <c r="BB241" i="2"/>
  <c r="BA241" i="2"/>
  <c r="AZ241" i="2"/>
  <c r="AY241" i="2"/>
  <c r="AX241" i="2"/>
  <c r="AW241" i="2"/>
  <c r="AV241" i="2"/>
  <c r="AU241" i="2"/>
  <c r="AT241" i="2"/>
  <c r="AS241" i="2"/>
  <c r="AR241" i="2"/>
  <c r="AQ241" i="2"/>
  <c r="AP241" i="2"/>
  <c r="AO241" i="2"/>
  <c r="AN241" i="2"/>
  <c r="AM241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F240" i="2"/>
  <c r="BE240" i="2"/>
  <c r="BD240" i="2"/>
  <c r="BC240" i="2"/>
  <c r="BB240" i="2"/>
  <c r="BA240" i="2"/>
  <c r="AZ240" i="2"/>
  <c r="AY240" i="2"/>
  <c r="AX240" i="2"/>
  <c r="AW240" i="2"/>
  <c r="AV240" i="2"/>
  <c r="AU240" i="2"/>
  <c r="AT240" i="2"/>
  <c r="AS240" i="2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F239" i="2"/>
  <c r="BE239" i="2"/>
  <c r="BD239" i="2"/>
  <c r="BC239" i="2"/>
  <c r="BB239" i="2"/>
  <c r="BA239" i="2"/>
  <c r="AZ239" i="2"/>
  <c r="AY239" i="2"/>
  <c r="AX239" i="2"/>
  <c r="AW239" i="2"/>
  <c r="AV239" i="2"/>
  <c r="AU239" i="2"/>
  <c r="AT239" i="2"/>
  <c r="AS239" i="2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F238" i="2"/>
  <c r="BE238" i="2"/>
  <c r="BD238" i="2"/>
  <c r="BC238" i="2"/>
  <c r="BB238" i="2"/>
  <c r="BA238" i="2"/>
  <c r="AZ238" i="2"/>
  <c r="AY238" i="2"/>
  <c r="AX238" i="2"/>
  <c r="AW238" i="2"/>
  <c r="AV238" i="2"/>
  <c r="AU238" i="2"/>
  <c r="AT238" i="2"/>
  <c r="AS238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F237" i="2"/>
  <c r="BE237" i="2"/>
  <c r="BD237" i="2"/>
  <c r="BC237" i="2"/>
  <c r="BB237" i="2"/>
  <c r="BA237" i="2"/>
  <c r="AZ237" i="2"/>
  <c r="AY237" i="2"/>
  <c r="AX237" i="2"/>
  <c r="AW237" i="2"/>
  <c r="AV237" i="2"/>
  <c r="AU237" i="2"/>
  <c r="AT237" i="2"/>
  <c r="AS237" i="2"/>
  <c r="AR237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X237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F236" i="2"/>
  <c r="BE236" i="2"/>
  <c r="BD236" i="2"/>
  <c r="BC236" i="2"/>
  <c r="BB236" i="2"/>
  <c r="BA236" i="2"/>
  <c r="AZ236" i="2"/>
  <c r="AY236" i="2"/>
  <c r="AX236" i="2"/>
  <c r="AW236" i="2"/>
  <c r="AV236" i="2"/>
  <c r="AU236" i="2"/>
  <c r="AT236" i="2"/>
  <c r="AS236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X236" i="2"/>
  <c r="W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F214" i="2"/>
  <c r="BE214" i="2"/>
  <c r="BD214" i="2"/>
  <c r="BC214" i="2"/>
  <c r="BB214" i="2"/>
  <c r="BA214" i="2"/>
  <c r="AZ214" i="2"/>
  <c r="AY214" i="2"/>
  <c r="AX214" i="2"/>
  <c r="AW214" i="2"/>
  <c r="AV214" i="2"/>
  <c r="AU214" i="2"/>
  <c r="AT214" i="2"/>
  <c r="AS214" i="2"/>
  <c r="AR214" i="2"/>
  <c r="AQ214" i="2"/>
  <c r="AP214" i="2"/>
  <c r="AO214" i="2"/>
  <c r="AN214" i="2"/>
  <c r="AM214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F213" i="2"/>
  <c r="BE213" i="2"/>
  <c r="BD213" i="2"/>
  <c r="BC213" i="2"/>
  <c r="BB213" i="2"/>
  <c r="BA213" i="2"/>
  <c r="AZ213" i="2"/>
  <c r="AY213" i="2"/>
  <c r="AX213" i="2"/>
  <c r="AW213" i="2"/>
  <c r="AV213" i="2"/>
  <c r="AU213" i="2"/>
  <c r="AT213" i="2"/>
  <c r="AS213" i="2"/>
  <c r="AR213" i="2"/>
  <c r="AQ213" i="2"/>
  <c r="AP213" i="2"/>
  <c r="AO213" i="2"/>
  <c r="AN213" i="2"/>
  <c r="AM213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F212" i="2"/>
  <c r="BE212" i="2"/>
  <c r="BD212" i="2"/>
  <c r="BC212" i="2"/>
  <c r="BB212" i="2"/>
  <c r="BA212" i="2"/>
  <c r="AZ212" i="2"/>
  <c r="AY212" i="2"/>
  <c r="AX212" i="2"/>
  <c r="AW212" i="2"/>
  <c r="AV212" i="2"/>
  <c r="AU212" i="2"/>
  <c r="AT212" i="2"/>
  <c r="AS212" i="2"/>
  <c r="AR212" i="2"/>
  <c r="AQ212" i="2"/>
  <c r="AP212" i="2"/>
  <c r="AO212" i="2"/>
  <c r="AN212" i="2"/>
  <c r="AM212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F211" i="2"/>
  <c r="BE211" i="2"/>
  <c r="BD211" i="2"/>
  <c r="BC211" i="2"/>
  <c r="BB211" i="2"/>
  <c r="BA211" i="2"/>
  <c r="AZ211" i="2"/>
  <c r="AY211" i="2"/>
  <c r="AX211" i="2"/>
  <c r="AW211" i="2"/>
  <c r="AV211" i="2"/>
  <c r="AU211" i="2"/>
  <c r="AT211" i="2"/>
  <c r="AS211" i="2"/>
  <c r="AR211" i="2"/>
  <c r="AQ211" i="2"/>
  <c r="AP211" i="2"/>
  <c r="AO211" i="2"/>
  <c r="AN211" i="2"/>
  <c r="AM211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F208" i="2"/>
  <c r="BE208" i="2"/>
  <c r="BD208" i="2"/>
  <c r="BC208" i="2"/>
  <c r="BB208" i="2"/>
  <c r="BA208" i="2"/>
  <c r="AZ208" i="2"/>
  <c r="AY208" i="2"/>
  <c r="AX208" i="2"/>
  <c r="AW208" i="2"/>
  <c r="AV208" i="2"/>
  <c r="AU208" i="2"/>
  <c r="AT208" i="2"/>
  <c r="AS208" i="2"/>
  <c r="AR208" i="2"/>
  <c r="AQ208" i="2"/>
  <c r="AP208" i="2"/>
  <c r="AO208" i="2"/>
  <c r="AN208" i="2"/>
  <c r="AM208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F207" i="2"/>
  <c r="BE207" i="2"/>
  <c r="BD207" i="2"/>
  <c r="BC207" i="2"/>
  <c r="BB207" i="2"/>
  <c r="BA207" i="2"/>
  <c r="AZ207" i="2"/>
  <c r="AY207" i="2"/>
  <c r="AX207" i="2"/>
  <c r="AW207" i="2"/>
  <c r="AV207" i="2"/>
  <c r="AU207" i="2"/>
  <c r="AT207" i="2"/>
  <c r="AS207" i="2"/>
  <c r="AR207" i="2"/>
  <c r="AQ207" i="2"/>
  <c r="AP207" i="2"/>
  <c r="AO207" i="2"/>
  <c r="AN207" i="2"/>
  <c r="AM207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F206" i="2"/>
  <c r="BE206" i="2"/>
  <c r="BD206" i="2"/>
  <c r="BC206" i="2"/>
  <c r="BB206" i="2"/>
  <c r="BA206" i="2"/>
  <c r="AZ206" i="2"/>
  <c r="AY206" i="2"/>
  <c r="AX206" i="2"/>
  <c r="AW206" i="2"/>
  <c r="AV206" i="2"/>
  <c r="AU206" i="2"/>
  <c r="AT206" i="2"/>
  <c r="AS206" i="2"/>
  <c r="AR206" i="2"/>
  <c r="AQ206" i="2"/>
  <c r="AP206" i="2"/>
  <c r="AO206" i="2"/>
  <c r="AN206" i="2"/>
  <c r="AM206" i="2"/>
  <c r="AL206" i="2"/>
  <c r="AK206" i="2"/>
  <c r="AJ206" i="2"/>
  <c r="AI206" i="2"/>
  <c r="AH206" i="2"/>
  <c r="AG206" i="2"/>
  <c r="AF206" i="2"/>
  <c r="AE206" i="2"/>
  <c r="AD206" i="2"/>
  <c r="AC206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F205" i="2"/>
  <c r="BE205" i="2"/>
  <c r="BD205" i="2"/>
  <c r="BC205" i="2"/>
  <c r="BB205" i="2"/>
  <c r="BA205" i="2"/>
  <c r="AZ205" i="2"/>
  <c r="AY205" i="2"/>
  <c r="AX205" i="2"/>
  <c r="AW205" i="2"/>
  <c r="AV205" i="2"/>
  <c r="AU205" i="2"/>
  <c r="AT205" i="2"/>
  <c r="AS205" i="2"/>
  <c r="AR205" i="2"/>
  <c r="AQ205" i="2"/>
  <c r="AP205" i="2"/>
  <c r="AO205" i="2"/>
  <c r="AN205" i="2"/>
  <c r="AM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F204" i="2"/>
  <c r="BE204" i="2"/>
  <c r="BD204" i="2"/>
  <c r="BC204" i="2"/>
  <c r="BB204" i="2"/>
  <c r="BA204" i="2"/>
  <c r="AZ204" i="2"/>
  <c r="AY204" i="2"/>
  <c r="AX204" i="2"/>
  <c r="AW204" i="2"/>
  <c r="AV204" i="2"/>
  <c r="AU204" i="2"/>
  <c r="AT204" i="2"/>
  <c r="AS204" i="2"/>
  <c r="AR204" i="2"/>
  <c r="AQ204" i="2"/>
  <c r="AP204" i="2"/>
  <c r="AO204" i="2"/>
  <c r="AN204" i="2"/>
  <c r="AM204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F202" i="2"/>
  <c r="BE202" i="2"/>
  <c r="BD202" i="2"/>
  <c r="BC202" i="2"/>
  <c r="BB202" i="2"/>
  <c r="BA202" i="2"/>
  <c r="AZ202" i="2"/>
  <c r="AY202" i="2"/>
  <c r="AX202" i="2"/>
  <c r="AW202" i="2"/>
  <c r="AV202" i="2"/>
  <c r="AU202" i="2"/>
  <c r="AT202" i="2"/>
  <c r="AS202" i="2"/>
  <c r="AR202" i="2"/>
  <c r="AQ202" i="2"/>
  <c r="AP202" i="2"/>
  <c r="AO202" i="2"/>
  <c r="AN202" i="2"/>
  <c r="AM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F201" i="2"/>
  <c r="BE201" i="2"/>
  <c r="BD201" i="2"/>
  <c r="BC201" i="2"/>
  <c r="BB201" i="2"/>
  <c r="BA201" i="2"/>
  <c r="AZ201" i="2"/>
  <c r="AY201" i="2"/>
  <c r="AX201" i="2"/>
  <c r="AW201" i="2"/>
  <c r="AV201" i="2"/>
  <c r="AU201" i="2"/>
  <c r="AT201" i="2"/>
  <c r="AS201" i="2"/>
  <c r="AR201" i="2"/>
  <c r="AQ201" i="2"/>
  <c r="AP201" i="2"/>
  <c r="AO201" i="2"/>
  <c r="AN201" i="2"/>
  <c r="AM201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F200" i="2"/>
  <c r="BE200" i="2"/>
  <c r="BD200" i="2"/>
  <c r="BC200" i="2"/>
  <c r="BB200" i="2"/>
  <c r="BA200" i="2"/>
  <c r="AZ200" i="2"/>
  <c r="AY200" i="2"/>
  <c r="AX200" i="2"/>
  <c r="AW200" i="2"/>
  <c r="AV200" i="2"/>
  <c r="AU200" i="2"/>
  <c r="AT200" i="2"/>
  <c r="AS200" i="2"/>
  <c r="AR200" i="2"/>
  <c r="AQ200" i="2"/>
  <c r="AP200" i="2"/>
  <c r="AO200" i="2"/>
  <c r="AN200" i="2"/>
  <c r="AM200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F199" i="2"/>
  <c r="BE199" i="2"/>
  <c r="BD199" i="2"/>
  <c r="BC199" i="2"/>
  <c r="BB199" i="2"/>
  <c r="BA199" i="2"/>
  <c r="AZ199" i="2"/>
  <c r="AY199" i="2"/>
  <c r="AX199" i="2"/>
  <c r="AW199" i="2"/>
  <c r="AV199" i="2"/>
  <c r="AU199" i="2"/>
  <c r="AT199" i="2"/>
  <c r="AS199" i="2"/>
  <c r="AR199" i="2"/>
  <c r="AQ199" i="2"/>
  <c r="AP199" i="2"/>
  <c r="AO199" i="2"/>
  <c r="AN199" i="2"/>
  <c r="AM199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F196" i="2"/>
  <c r="BE196" i="2"/>
  <c r="BD196" i="2"/>
  <c r="BC196" i="2"/>
  <c r="BB196" i="2"/>
  <c r="BA196" i="2"/>
  <c r="AZ196" i="2"/>
  <c r="AY196" i="2"/>
  <c r="AX196" i="2"/>
  <c r="AW196" i="2"/>
  <c r="AV196" i="2"/>
  <c r="AU196" i="2"/>
  <c r="AT196" i="2"/>
  <c r="AS196" i="2"/>
  <c r="AR196" i="2"/>
  <c r="AQ196" i="2"/>
  <c r="AP196" i="2"/>
  <c r="AO196" i="2"/>
  <c r="AN196" i="2"/>
  <c r="AM196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F195" i="2"/>
  <c r="BE195" i="2"/>
  <c r="BD195" i="2"/>
  <c r="BC195" i="2"/>
  <c r="BB195" i="2"/>
  <c r="BA195" i="2"/>
  <c r="AZ195" i="2"/>
  <c r="AY195" i="2"/>
  <c r="AX195" i="2"/>
  <c r="AW195" i="2"/>
  <c r="AV195" i="2"/>
  <c r="AU195" i="2"/>
  <c r="AT195" i="2"/>
  <c r="AS195" i="2"/>
  <c r="AR195" i="2"/>
  <c r="AQ195" i="2"/>
  <c r="AP195" i="2"/>
  <c r="AO195" i="2"/>
  <c r="AN195" i="2"/>
  <c r="AM195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F194" i="2"/>
  <c r="BE194" i="2"/>
  <c r="BD194" i="2"/>
  <c r="BC194" i="2"/>
  <c r="BB194" i="2"/>
  <c r="BA194" i="2"/>
  <c r="AZ194" i="2"/>
  <c r="AY194" i="2"/>
  <c r="AX194" i="2"/>
  <c r="AW194" i="2"/>
  <c r="AV194" i="2"/>
  <c r="AU194" i="2"/>
  <c r="AT194" i="2"/>
  <c r="AS194" i="2"/>
  <c r="AR194" i="2"/>
  <c r="AQ194" i="2"/>
  <c r="AP194" i="2"/>
  <c r="AO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F193" i="2"/>
  <c r="BE193" i="2"/>
  <c r="BD193" i="2"/>
  <c r="BC193" i="2"/>
  <c r="BB193" i="2"/>
  <c r="BA193" i="2"/>
  <c r="AZ193" i="2"/>
  <c r="AY193" i="2"/>
  <c r="AX193" i="2"/>
  <c r="AW193" i="2"/>
  <c r="AV193" i="2"/>
  <c r="AU193" i="2"/>
  <c r="AT193" i="2"/>
  <c r="AS193" i="2"/>
  <c r="AR193" i="2"/>
  <c r="AQ193" i="2"/>
  <c r="AP193" i="2"/>
  <c r="AO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F192" i="2"/>
  <c r="BE192" i="2"/>
  <c r="BD192" i="2"/>
  <c r="BC192" i="2"/>
  <c r="BB192" i="2"/>
  <c r="BA192" i="2"/>
  <c r="AZ192" i="2"/>
  <c r="AY192" i="2"/>
  <c r="AX192" i="2"/>
  <c r="AW192" i="2"/>
  <c r="AV192" i="2"/>
  <c r="AU192" i="2"/>
  <c r="AT192" i="2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A24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14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12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10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7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5" i="2"/>
  <c r="BF216" i="2" l="1"/>
  <c r="BE217" i="2"/>
  <c r="BF218" i="2"/>
  <c r="BF219" i="2"/>
  <c r="BE210" i="2"/>
  <c r="BE209" i="2" s="1"/>
  <c r="BF281" i="2"/>
  <c r="BF284" i="2"/>
  <c r="AM223" i="2"/>
  <c r="AU87" i="2"/>
  <c r="BD87" i="2"/>
  <c r="AP279" i="2"/>
  <c r="AT64" i="2"/>
  <c r="BF60" i="2"/>
  <c r="BF65" i="2"/>
  <c r="BE69" i="2"/>
  <c r="BD75" i="2"/>
  <c r="BF75" i="2"/>
  <c r="BF99" i="2"/>
  <c r="BF258" i="2"/>
  <c r="BF186" i="2"/>
  <c r="BE188" i="2"/>
  <c r="BF188" i="2"/>
  <c r="BD189" i="2"/>
  <c r="BE189" i="2"/>
  <c r="BE190" i="2"/>
  <c r="BF190" i="2"/>
  <c r="BD184" i="2"/>
  <c r="BE184" i="2"/>
  <c r="BF184" i="2"/>
  <c r="BD185" i="2"/>
  <c r="BE185" i="2"/>
  <c r="BF185" i="2"/>
  <c r="BD186" i="2"/>
  <c r="BE186" i="2"/>
  <c r="BD187" i="2"/>
  <c r="BE187" i="2"/>
  <c r="BF187" i="2"/>
  <c r="BD188" i="2"/>
  <c r="BF189" i="2"/>
  <c r="BD190" i="2"/>
  <c r="BE223" i="2"/>
  <c r="BE198" i="2"/>
  <c r="BE216" i="2"/>
  <c r="BE258" i="2"/>
  <c r="BF279" i="2"/>
  <c r="BE282" i="2"/>
  <c r="BF331" i="2"/>
  <c r="BD332" i="2"/>
  <c r="BE332" i="2"/>
  <c r="BE334" i="2"/>
  <c r="BF334" i="2"/>
  <c r="BD337" i="2"/>
  <c r="BE337" i="2"/>
  <c r="BF337" i="2"/>
  <c r="BF332" i="2"/>
  <c r="BD333" i="2"/>
  <c r="BE335" i="2"/>
  <c r="BF335" i="2"/>
  <c r="BD331" i="2"/>
  <c r="BE331" i="2"/>
  <c r="BF333" i="2"/>
  <c r="BD334" i="2"/>
  <c r="BD336" i="2"/>
  <c r="BE336" i="2"/>
  <c r="BF336" i="2"/>
  <c r="BE333" i="2"/>
  <c r="BD335" i="2"/>
  <c r="BD363" i="2"/>
  <c r="BE368" i="2"/>
  <c r="BE364" i="2"/>
  <c r="BF364" i="2"/>
  <c r="BE367" i="2"/>
  <c r="BF365" i="2"/>
  <c r="BD367" i="2"/>
  <c r="BD418" i="2"/>
  <c r="BF419" i="2"/>
  <c r="BD421" i="2"/>
  <c r="BD422" i="2"/>
  <c r="BE422" i="2"/>
  <c r="BD424" i="2"/>
  <c r="BE424" i="2"/>
  <c r="BF424" i="2"/>
  <c r="BD426" i="2"/>
  <c r="BF425" i="2"/>
  <c r="BE427" i="2"/>
  <c r="BE428" i="2"/>
  <c r="BF428" i="2"/>
  <c r="BD428" i="2"/>
  <c r="BF418" i="2"/>
  <c r="BE418" i="2"/>
  <c r="BD419" i="2"/>
  <c r="BE419" i="2"/>
  <c r="BD420" i="2"/>
  <c r="BE420" i="2"/>
  <c r="BF420" i="2"/>
  <c r="BE421" i="2"/>
  <c r="BF421" i="2"/>
  <c r="BF422" i="2"/>
  <c r="BF423" i="2"/>
  <c r="BD425" i="2"/>
  <c r="BE425" i="2"/>
  <c r="BE426" i="2"/>
  <c r="BF426" i="2"/>
  <c r="BF427" i="2"/>
  <c r="BF466" i="2"/>
  <c r="BF507" i="2"/>
  <c r="BE481" i="2"/>
  <c r="BF509" i="2"/>
  <c r="BE506" i="2"/>
  <c r="BF506" i="2"/>
  <c r="BD526" i="2"/>
  <c r="BE529" i="2"/>
  <c r="BD529" i="2"/>
  <c r="BD528" i="2"/>
  <c r="AO60" i="2"/>
  <c r="BA65" i="2"/>
  <c r="AO69" i="2"/>
  <c r="AP69" i="2"/>
  <c r="AW69" i="2"/>
  <c r="AX69" i="2"/>
  <c r="AM75" i="2"/>
  <c r="AN75" i="2"/>
  <c r="AO75" i="2"/>
  <c r="AR75" i="2"/>
  <c r="AT75" i="2"/>
  <c r="AU75" i="2"/>
  <c r="AV75" i="2"/>
  <c r="AW75" i="2"/>
  <c r="BB75" i="2"/>
  <c r="BC75" i="2"/>
  <c r="AS75" i="2"/>
  <c r="BA75" i="2"/>
  <c r="AZ75" i="2"/>
  <c r="AO87" i="2"/>
  <c r="AQ87" i="2"/>
  <c r="AR87" i="2"/>
  <c r="AR189" i="2"/>
  <c r="AZ189" i="2"/>
  <c r="BB189" i="2"/>
  <c r="BC189" i="2"/>
  <c r="AQ189" i="2"/>
  <c r="AY189" i="2"/>
  <c r="AP190" i="2"/>
  <c r="AQ190" i="2"/>
  <c r="AR190" i="2"/>
  <c r="AS190" i="2"/>
  <c r="AX190" i="2"/>
  <c r="AY190" i="2"/>
  <c r="AZ190" i="2"/>
  <c r="BA190" i="2"/>
  <c r="AM184" i="2"/>
  <c r="AN184" i="2"/>
  <c r="AO184" i="2"/>
  <c r="AP184" i="2"/>
  <c r="AQ184" i="2"/>
  <c r="AR184" i="2"/>
  <c r="AS184" i="2"/>
  <c r="AT184" i="2"/>
  <c r="AU184" i="2"/>
  <c r="AV184" i="2"/>
  <c r="AW184" i="2"/>
  <c r="AX184" i="2"/>
  <c r="AY184" i="2"/>
  <c r="AZ184" i="2"/>
  <c r="BA184" i="2"/>
  <c r="BB184" i="2"/>
  <c r="BC184" i="2"/>
  <c r="AM185" i="2"/>
  <c r="AN185" i="2"/>
  <c r="AO185" i="2"/>
  <c r="AP185" i="2"/>
  <c r="AQ185" i="2"/>
  <c r="AR185" i="2"/>
  <c r="AS185" i="2"/>
  <c r="AT185" i="2"/>
  <c r="AU185" i="2"/>
  <c r="AV185" i="2"/>
  <c r="AW185" i="2"/>
  <c r="AX185" i="2"/>
  <c r="AY185" i="2"/>
  <c r="AZ185" i="2"/>
  <c r="BA185" i="2"/>
  <c r="BB185" i="2"/>
  <c r="BC185" i="2"/>
  <c r="AM186" i="2"/>
  <c r="AN186" i="2"/>
  <c r="AO186" i="2"/>
  <c r="AP186" i="2"/>
  <c r="AQ186" i="2"/>
  <c r="AR186" i="2"/>
  <c r="AS186" i="2"/>
  <c r="AT186" i="2"/>
  <c r="AU186" i="2"/>
  <c r="AV186" i="2"/>
  <c r="AW186" i="2"/>
  <c r="AX186" i="2"/>
  <c r="AY186" i="2"/>
  <c r="AZ186" i="2"/>
  <c r="BA186" i="2"/>
  <c r="BB186" i="2"/>
  <c r="BC186" i="2"/>
  <c r="AM187" i="2"/>
  <c r="AN187" i="2"/>
  <c r="AO187" i="2"/>
  <c r="AP187" i="2"/>
  <c r="AQ187" i="2"/>
  <c r="AR187" i="2"/>
  <c r="AS187" i="2"/>
  <c r="AT187" i="2"/>
  <c r="AU187" i="2"/>
  <c r="AV187" i="2"/>
  <c r="AW187" i="2"/>
  <c r="AX187" i="2"/>
  <c r="AY187" i="2"/>
  <c r="AZ187" i="2"/>
  <c r="BA187" i="2"/>
  <c r="BB187" i="2"/>
  <c r="BC187" i="2"/>
  <c r="AM188" i="2"/>
  <c r="AN188" i="2"/>
  <c r="AO188" i="2"/>
  <c r="AP188" i="2"/>
  <c r="AQ188" i="2"/>
  <c r="AR188" i="2"/>
  <c r="AS188" i="2"/>
  <c r="AT188" i="2"/>
  <c r="AU188" i="2"/>
  <c r="AV188" i="2"/>
  <c r="AW188" i="2"/>
  <c r="AX188" i="2"/>
  <c r="AY188" i="2"/>
  <c r="AZ188" i="2"/>
  <c r="BA188" i="2"/>
  <c r="BB188" i="2"/>
  <c r="BC188" i="2"/>
  <c r="AM189" i="2"/>
  <c r="AN189" i="2"/>
  <c r="AO189" i="2"/>
  <c r="AP189" i="2"/>
  <c r="AT189" i="2"/>
  <c r="AU189" i="2"/>
  <c r="AV189" i="2"/>
  <c r="AW189" i="2"/>
  <c r="AX189" i="2"/>
  <c r="AM190" i="2"/>
  <c r="AN190" i="2"/>
  <c r="AO190" i="2"/>
  <c r="AT190" i="2"/>
  <c r="AU190" i="2"/>
  <c r="AV190" i="2"/>
  <c r="AW190" i="2"/>
  <c r="BB190" i="2"/>
  <c r="BC190" i="2"/>
  <c r="AR216" i="2"/>
  <c r="AN217" i="2"/>
  <c r="AV217" i="2"/>
  <c r="BC217" i="2"/>
  <c r="AX218" i="2"/>
  <c r="AV220" i="2"/>
  <c r="AW216" i="2"/>
  <c r="AT218" i="2"/>
  <c r="AZ218" i="2"/>
  <c r="AO219" i="2"/>
  <c r="BB219" i="2"/>
  <c r="AO216" i="2"/>
  <c r="AZ255" i="2"/>
  <c r="AT256" i="2"/>
  <c r="AR256" i="2"/>
  <c r="AZ257" i="2"/>
  <c r="AR258" i="2"/>
  <c r="BC258" i="2"/>
  <c r="AV259" i="2"/>
  <c r="AQ256" i="2"/>
  <c r="AT283" i="2"/>
  <c r="AZ331" i="2"/>
  <c r="AQ332" i="2"/>
  <c r="AR332" i="2"/>
  <c r="AY332" i="2"/>
  <c r="AP333" i="2"/>
  <c r="AX333" i="2"/>
  <c r="AY333" i="2"/>
  <c r="AO334" i="2"/>
  <c r="AW334" i="2"/>
  <c r="AN335" i="2"/>
  <c r="AO335" i="2"/>
  <c r="AV335" i="2"/>
  <c r="AM336" i="2"/>
  <c r="AN336" i="2"/>
  <c r="AU336" i="2"/>
  <c r="BC336" i="2"/>
  <c r="AT337" i="2"/>
  <c r="BB337" i="2"/>
  <c r="AR335" i="2"/>
  <c r="AZ335" i="2"/>
  <c r="AQ336" i="2"/>
  <c r="AY336" i="2"/>
  <c r="AP337" i="2"/>
  <c r="AU337" i="2"/>
  <c r="AX337" i="2"/>
  <c r="AZ337" i="2"/>
  <c r="AS331" i="2"/>
  <c r="AT331" i="2"/>
  <c r="BB331" i="2"/>
  <c r="AS332" i="2"/>
  <c r="BA332" i="2"/>
  <c r="AR333" i="2"/>
  <c r="AZ333" i="2"/>
  <c r="AQ334" i="2"/>
  <c r="AP335" i="2"/>
  <c r="AX335" i="2"/>
  <c r="AO336" i="2"/>
  <c r="AW336" i="2"/>
  <c r="AN337" i="2"/>
  <c r="AR331" i="2"/>
  <c r="AY334" i="2"/>
  <c r="AV337" i="2"/>
  <c r="AP362" i="2"/>
  <c r="AX362" i="2"/>
  <c r="AW363" i="2"/>
  <c r="AN364" i="2"/>
  <c r="AM365" i="2"/>
  <c r="AU365" i="2"/>
  <c r="BC365" i="2"/>
  <c r="AT366" i="2"/>
  <c r="AM362" i="2"/>
  <c r="AO362" i="2"/>
  <c r="AU362" i="2"/>
  <c r="BC362" i="2"/>
  <c r="AN363" i="2"/>
  <c r="AU363" i="2"/>
  <c r="AV363" i="2"/>
  <c r="BB363" i="2"/>
  <c r="AM364" i="2"/>
  <c r="AS364" i="2"/>
  <c r="AT364" i="2"/>
  <c r="BA364" i="2"/>
  <c r="BC364" i="2"/>
  <c r="AR365" i="2"/>
  <c r="AT365" i="2"/>
  <c r="AZ365" i="2"/>
  <c r="BB365" i="2"/>
  <c r="AQ366" i="2"/>
  <c r="AS366" i="2"/>
  <c r="AX366" i="2"/>
  <c r="AY366" i="2"/>
  <c r="BA366" i="2"/>
  <c r="AR367" i="2"/>
  <c r="AX367" i="2"/>
  <c r="AZ367" i="2"/>
  <c r="AO368" i="2"/>
  <c r="AQ368" i="2"/>
  <c r="AW368" i="2"/>
  <c r="AY368" i="2"/>
  <c r="AN362" i="2"/>
  <c r="AV362" i="2"/>
  <c r="AW362" i="2"/>
  <c r="AZ362" i="2"/>
  <c r="AM363" i="2"/>
  <c r="AO363" i="2"/>
  <c r="AT363" i="2"/>
  <c r="BC363" i="2"/>
  <c r="AU364" i="2"/>
  <c r="AV364" i="2"/>
  <c r="AX364" i="2"/>
  <c r="BB364" i="2"/>
  <c r="AS365" i="2"/>
  <c r="AW365" i="2"/>
  <c r="BA365" i="2"/>
  <c r="AR366" i="2"/>
  <c r="BB366" i="2"/>
  <c r="AP367" i="2"/>
  <c r="AU367" i="2"/>
  <c r="AY367" i="2"/>
  <c r="AR419" i="2"/>
  <c r="AS419" i="2"/>
  <c r="AT419" i="2"/>
  <c r="BA419" i="2"/>
  <c r="BB419" i="2"/>
  <c r="AN423" i="2"/>
  <c r="AM421" i="2"/>
  <c r="AP421" i="2"/>
  <c r="AT421" i="2"/>
  <c r="AU421" i="2"/>
  <c r="AV421" i="2"/>
  <c r="AW421" i="2"/>
  <c r="BB421" i="2"/>
  <c r="BC421" i="2"/>
  <c r="AM422" i="2"/>
  <c r="AN422" i="2"/>
  <c r="AP422" i="2"/>
  <c r="AR422" i="2"/>
  <c r="AT422" i="2"/>
  <c r="AV422" i="2"/>
  <c r="AX422" i="2"/>
  <c r="AZ422" i="2"/>
  <c r="BA422" i="2"/>
  <c r="BB422" i="2"/>
  <c r="BC422" i="2"/>
  <c r="AQ426" i="2"/>
  <c r="AN424" i="2"/>
  <c r="AO424" i="2"/>
  <c r="AP424" i="2"/>
  <c r="AQ424" i="2"/>
  <c r="AV424" i="2"/>
  <c r="AW424" i="2"/>
  <c r="AX424" i="2"/>
  <c r="AY424" i="2"/>
  <c r="BC424" i="2"/>
  <c r="AN426" i="2"/>
  <c r="AT426" i="2"/>
  <c r="AU426" i="2"/>
  <c r="AV426" i="2"/>
  <c r="AW426" i="2"/>
  <c r="BB426" i="2"/>
  <c r="AM425" i="2"/>
  <c r="AO425" i="2"/>
  <c r="AQ425" i="2"/>
  <c r="AS425" i="2"/>
  <c r="AT425" i="2"/>
  <c r="AU425" i="2"/>
  <c r="AV425" i="2"/>
  <c r="AW425" i="2"/>
  <c r="AY425" i="2"/>
  <c r="BA425" i="2"/>
  <c r="BC425" i="2"/>
  <c r="AT427" i="2"/>
  <c r="BB427" i="2"/>
  <c r="AM428" i="2"/>
  <c r="AU428" i="2"/>
  <c r="AY428" i="2"/>
  <c r="BC428" i="2"/>
  <c r="AN428" i="2"/>
  <c r="AP428" i="2"/>
  <c r="AV428" i="2"/>
  <c r="AX428" i="2"/>
  <c r="AX429" i="2"/>
  <c r="AZ429" i="2"/>
  <c r="AY418" i="2"/>
  <c r="AX427" i="2"/>
  <c r="AO418" i="2"/>
  <c r="AQ418" i="2"/>
  <c r="AS418" i="2"/>
  <c r="AU418" i="2"/>
  <c r="AW418" i="2"/>
  <c r="AM419" i="2"/>
  <c r="AN419" i="2"/>
  <c r="AO419" i="2"/>
  <c r="AP419" i="2"/>
  <c r="AQ419" i="2"/>
  <c r="AU419" i="2"/>
  <c r="AV419" i="2"/>
  <c r="AW419" i="2"/>
  <c r="AX419" i="2"/>
  <c r="AY419" i="2"/>
  <c r="AZ419" i="2"/>
  <c r="BC419" i="2"/>
  <c r="AM420" i="2"/>
  <c r="AS420" i="2"/>
  <c r="AU420" i="2"/>
  <c r="AW420" i="2"/>
  <c r="BA420" i="2"/>
  <c r="BC420" i="2"/>
  <c r="AN421" i="2"/>
  <c r="AO421" i="2"/>
  <c r="AQ421" i="2"/>
  <c r="AR421" i="2"/>
  <c r="AS421" i="2"/>
  <c r="AX421" i="2"/>
  <c r="AY421" i="2"/>
  <c r="AZ421" i="2"/>
  <c r="BA421" i="2"/>
  <c r="AO422" i="2"/>
  <c r="AQ422" i="2"/>
  <c r="AS422" i="2"/>
  <c r="AU422" i="2"/>
  <c r="AW422" i="2"/>
  <c r="AY422" i="2"/>
  <c r="AR423" i="2"/>
  <c r="AV423" i="2"/>
  <c r="AX423" i="2"/>
  <c r="AZ423" i="2"/>
  <c r="AM424" i="2"/>
  <c r="AR424" i="2"/>
  <c r="AS424" i="2"/>
  <c r="AT424" i="2"/>
  <c r="AU424" i="2"/>
  <c r="AZ424" i="2"/>
  <c r="BA424" i="2"/>
  <c r="BB424" i="2"/>
  <c r="AN425" i="2"/>
  <c r="AP425" i="2"/>
  <c r="AR425" i="2"/>
  <c r="AX425" i="2"/>
  <c r="AZ425" i="2"/>
  <c r="BB425" i="2"/>
  <c r="AM426" i="2"/>
  <c r="AO426" i="2"/>
  <c r="AS426" i="2"/>
  <c r="AY426" i="2"/>
  <c r="BA426" i="2"/>
  <c r="BC426" i="2"/>
  <c r="AP427" i="2"/>
  <c r="AQ428" i="2"/>
  <c r="AS428" i="2"/>
  <c r="AW428" i="2"/>
  <c r="AO481" i="2"/>
  <c r="AR487" i="2"/>
  <c r="AR509" i="2"/>
  <c r="AO494" i="2"/>
  <c r="BC494" i="2"/>
  <c r="AZ510" i="2"/>
  <c r="AQ500" i="2"/>
  <c r="AM526" i="2"/>
  <c r="AS526" i="2"/>
  <c r="AU526" i="2"/>
  <c r="BA526" i="2"/>
  <c r="AR529" i="2"/>
  <c r="AZ529" i="2"/>
  <c r="AQ528" i="2"/>
  <c r="AY528" i="2"/>
  <c r="AT527" i="2"/>
  <c r="AU527" i="2"/>
  <c r="BB527" i="2"/>
  <c r="BC527" i="2"/>
  <c r="AP529" i="2"/>
  <c r="AX529" i="2"/>
  <c r="AN527" i="2"/>
  <c r="AR526" i="2"/>
  <c r="AV527" i="2"/>
  <c r="AZ526" i="2"/>
  <c r="BB528" i="2"/>
  <c r="BC526" i="2"/>
  <c r="AM527" i="2"/>
  <c r="AS528" i="2"/>
  <c r="AT528" i="2"/>
  <c r="BA528" i="2"/>
  <c r="BE510" i="2" l="1"/>
  <c r="BE476" i="2"/>
  <c r="AV279" i="2"/>
  <c r="AV526" i="2"/>
  <c r="AT466" i="2"/>
  <c r="AO473" i="2"/>
  <c r="AY420" i="2"/>
  <c r="AQ420" i="2"/>
  <c r="AU368" i="2"/>
  <c r="AS362" i="2"/>
  <c r="AV366" i="2"/>
  <c r="AY363" i="2"/>
  <c r="BE500" i="2"/>
  <c r="BE507" i="2"/>
  <c r="BE466" i="2"/>
  <c r="BF429" i="2"/>
  <c r="BD423" i="2"/>
  <c r="AY527" i="2"/>
  <c r="AQ527" i="2"/>
  <c r="AZ528" i="2"/>
  <c r="AR528" i="2"/>
  <c r="BB526" i="2"/>
  <c r="AT526" i="2"/>
  <c r="BC529" i="2"/>
  <c r="AU529" i="2"/>
  <c r="AM529" i="2"/>
  <c r="AW528" i="2"/>
  <c r="AO528" i="2"/>
  <c r="AY526" i="2"/>
  <c r="AQ526" i="2"/>
  <c r="AO466" i="2"/>
  <c r="AO476" i="2"/>
  <c r="AX420" i="2"/>
  <c r="AP420" i="2"/>
  <c r="BB368" i="2"/>
  <c r="AT368" i="2"/>
  <c r="BC367" i="2"/>
  <c r="AM367" i="2"/>
  <c r="AN366" i="2"/>
  <c r="AO365" i="2"/>
  <c r="AP364" i="2"/>
  <c r="AQ363" i="2"/>
  <c r="AR362" i="2"/>
  <c r="AU69" i="2"/>
  <c r="AV69" i="2"/>
  <c r="AN69" i="2"/>
  <c r="BE527" i="2"/>
  <c r="BF527" i="2"/>
  <c r="BF529" i="2"/>
  <c r="BD527" i="2"/>
  <c r="BE526" i="2"/>
  <c r="BE429" i="2"/>
  <c r="BD427" i="2"/>
  <c r="BE423" i="2"/>
  <c r="AO453" i="2"/>
  <c r="AO477" i="2" s="1"/>
  <c r="AZ427" i="2"/>
  <c r="AR427" i="2"/>
  <c r="AO420" i="2"/>
  <c r="AP423" i="2"/>
  <c r="BA418" i="2"/>
  <c r="BC69" i="2"/>
  <c r="AM69" i="2"/>
  <c r="BD429" i="2"/>
  <c r="BD362" i="2"/>
  <c r="AN526" i="2"/>
  <c r="AP527" i="2"/>
  <c r="AS527" i="2"/>
  <c r="AT529" i="2"/>
  <c r="AV528" i="2"/>
  <c r="AW529" i="2"/>
  <c r="AX526" i="2"/>
  <c r="AW527" i="2"/>
  <c r="AO527" i="2"/>
  <c r="AX528" i="2"/>
  <c r="AP528" i="2"/>
  <c r="AY529" i="2"/>
  <c r="AQ529" i="2"/>
  <c r="BA529" i="2"/>
  <c r="AS529" i="2"/>
  <c r="BC528" i="2"/>
  <c r="AU528" i="2"/>
  <c r="AM528" i="2"/>
  <c r="AV529" i="2"/>
  <c r="AN529" i="2"/>
  <c r="AW526" i="2"/>
  <c r="AO526" i="2"/>
  <c r="AV500" i="2"/>
  <c r="BB69" i="2"/>
  <c r="AT69" i="2"/>
  <c r="BE528" i="2"/>
  <c r="BF260" i="2"/>
  <c r="AX527" i="2"/>
  <c r="BA527" i="2"/>
  <c r="BB529" i="2"/>
  <c r="AN528" i="2"/>
  <c r="AO529" i="2"/>
  <c r="AP526" i="2"/>
  <c r="AZ466" i="2"/>
  <c r="AT472" i="2"/>
  <c r="BA189" i="2"/>
  <c r="AS189" i="2"/>
  <c r="BE260" i="2"/>
  <c r="BE256" i="2"/>
  <c r="BE75" i="2"/>
  <c r="AR472" i="2"/>
  <c r="BC337" i="2"/>
  <c r="AM337" i="2"/>
  <c r="AV336" i="2"/>
  <c r="AW335" i="2"/>
  <c r="AX334" i="2"/>
  <c r="AP334" i="2"/>
  <c r="AQ333" i="2"/>
  <c r="AZ332" i="2"/>
  <c r="BA331" i="2"/>
  <c r="BF259" i="2"/>
  <c r="BF235" i="2"/>
  <c r="BF255" i="2"/>
  <c r="BE285" i="2"/>
  <c r="BE284" i="2"/>
  <c r="BE281" i="2"/>
  <c r="BE218" i="2"/>
  <c r="AR429" i="2"/>
  <c r="BB429" i="2"/>
  <c r="AT429" i="2"/>
  <c r="AO428" i="2"/>
  <c r="AY427" i="2"/>
  <c r="AQ427" i="2"/>
  <c r="AZ418" i="2"/>
  <c r="AR418" i="2"/>
  <c r="BA368" i="2"/>
  <c r="AS368" i="2"/>
  <c r="AZ368" i="2"/>
  <c r="AR368" i="2"/>
  <c r="BA367" i="2"/>
  <c r="AS367" i="2"/>
  <c r="AW258" i="2"/>
  <c r="AZ220" i="2"/>
  <c r="AR217" i="2"/>
  <c r="AT216" i="2"/>
  <c r="BC87" i="2"/>
  <c r="AN87" i="2"/>
  <c r="BF510" i="2"/>
  <c r="BF494" i="2"/>
  <c r="BF476" i="2"/>
  <c r="BF460" i="2"/>
  <c r="BE259" i="2"/>
  <c r="BE235" i="2"/>
  <c r="BF87" i="2"/>
  <c r="AZ472" i="2"/>
  <c r="BA337" i="2"/>
  <c r="AS337" i="2"/>
  <c r="BB336" i="2"/>
  <c r="AT336" i="2"/>
  <c r="BC335" i="2"/>
  <c r="AU335" i="2"/>
  <c r="AM335" i="2"/>
  <c r="AV334" i="2"/>
  <c r="AN334" i="2"/>
  <c r="AW333" i="2"/>
  <c r="AO333" i="2"/>
  <c r="AX332" i="2"/>
  <c r="AP332" i="2"/>
  <c r="AY331" i="2"/>
  <c r="AQ331" i="2"/>
  <c r="AR337" i="2"/>
  <c r="BA336" i="2"/>
  <c r="AS336" i="2"/>
  <c r="BB335" i="2"/>
  <c r="AT335" i="2"/>
  <c r="BC334" i="2"/>
  <c r="AU334" i="2"/>
  <c r="AM334" i="2"/>
  <c r="AV333" i="2"/>
  <c r="AN333" i="2"/>
  <c r="AW332" i="2"/>
  <c r="AO332" i="2"/>
  <c r="AX331" i="2"/>
  <c r="AP331" i="2"/>
  <c r="AY337" i="2"/>
  <c r="AQ337" i="2"/>
  <c r="AZ336" i="2"/>
  <c r="AR336" i="2"/>
  <c r="BA335" i="2"/>
  <c r="AS335" i="2"/>
  <c r="BB334" i="2"/>
  <c r="AT334" i="2"/>
  <c r="BC333" i="2"/>
  <c r="AU333" i="2"/>
  <c r="AM333" i="2"/>
  <c r="AV332" i="2"/>
  <c r="AN332" i="2"/>
  <c r="AW331" i="2"/>
  <c r="AO331" i="2"/>
  <c r="AW99" i="2"/>
  <c r="BA69" i="2"/>
  <c r="AS69" i="2"/>
  <c r="BE494" i="2"/>
  <c r="BE460" i="2"/>
  <c r="BF244" i="2"/>
  <c r="BE220" i="2"/>
  <c r="BF69" i="2"/>
  <c r="AY87" i="2"/>
  <c r="AP87" i="2"/>
  <c r="AR223" i="2"/>
  <c r="AV473" i="2"/>
  <c r="AT420" i="2"/>
  <c r="AX368" i="2"/>
  <c r="AP368" i="2"/>
  <c r="AQ367" i="2"/>
  <c r="AZ366" i="2"/>
  <c r="AR255" i="2"/>
  <c r="AU218" i="2"/>
  <c r="AT99" i="2"/>
  <c r="AZ87" i="2"/>
  <c r="AZ86" i="2" s="1"/>
  <c r="AY75" i="2"/>
  <c r="AQ75" i="2"/>
  <c r="AY69" i="2"/>
  <c r="AQ69" i="2"/>
  <c r="AZ69" i="2"/>
  <c r="AR69" i="2"/>
  <c r="BF473" i="2"/>
  <c r="BE366" i="2"/>
  <c r="BF363" i="2"/>
  <c r="BD368" i="2"/>
  <c r="BE365" i="2"/>
  <c r="BF362" i="2"/>
  <c r="BE244" i="2"/>
  <c r="BE219" i="2"/>
  <c r="AX87" i="2"/>
  <c r="BA334" i="2"/>
  <c r="AS334" i="2"/>
  <c r="BB333" i="2"/>
  <c r="AT333" i="2"/>
  <c r="BC332" i="2"/>
  <c r="AU332" i="2"/>
  <c r="AM332" i="2"/>
  <c r="AV331" i="2"/>
  <c r="AN331" i="2"/>
  <c r="AW337" i="2"/>
  <c r="AO337" i="2"/>
  <c r="AX336" i="2"/>
  <c r="AP336" i="2"/>
  <c r="AY335" i="2"/>
  <c r="AQ335" i="2"/>
  <c r="AZ334" i="2"/>
  <c r="AR334" i="2"/>
  <c r="BA333" i="2"/>
  <c r="AS333" i="2"/>
  <c r="BB332" i="2"/>
  <c r="AT332" i="2"/>
  <c r="BC331" i="2"/>
  <c r="AU331" i="2"/>
  <c r="AM331" i="2"/>
  <c r="AV257" i="2"/>
  <c r="AW87" i="2"/>
  <c r="AW86" i="2" s="1"/>
  <c r="AX75" i="2"/>
  <c r="AP75" i="2"/>
  <c r="BF368" i="2"/>
  <c r="BD366" i="2"/>
  <c r="BE363" i="2"/>
  <c r="BF367" i="2"/>
  <c r="BD365" i="2"/>
  <c r="BE362" i="2"/>
  <c r="BF366" i="2"/>
  <c r="BD364" i="2"/>
  <c r="BF261" i="2"/>
  <c r="BF257" i="2"/>
  <c r="BF98" i="2"/>
  <c r="BD69" i="2"/>
  <c r="AR284" i="2"/>
  <c r="AV429" i="2"/>
  <c r="AN429" i="2"/>
  <c r="AP429" i="2"/>
  <c r="AY429" i="2"/>
  <c r="AQ429" i="2"/>
  <c r="AZ428" i="2"/>
  <c r="AR428" i="2"/>
  <c r="BA428" i="2"/>
  <c r="BC427" i="2"/>
  <c r="AU427" i="2"/>
  <c r="AM427" i="2"/>
  <c r="AV427" i="2"/>
  <c r="AN427" i="2"/>
  <c r="AX426" i="2"/>
  <c r="AP426" i="2"/>
  <c r="BB423" i="2"/>
  <c r="AT423" i="2"/>
  <c r="BC418" i="2"/>
  <c r="AM418" i="2"/>
  <c r="AV418" i="2"/>
  <c r="AN418" i="2"/>
  <c r="AV368" i="2"/>
  <c r="AN368" i="2"/>
  <c r="AW367" i="2"/>
  <c r="AO367" i="2"/>
  <c r="AP366" i="2"/>
  <c r="AY365" i="2"/>
  <c r="AQ365" i="2"/>
  <c r="AZ364" i="2"/>
  <c r="AR364" i="2"/>
  <c r="BA363" i="2"/>
  <c r="AS363" i="2"/>
  <c r="BB362" i="2"/>
  <c r="AT362" i="2"/>
  <c r="BC368" i="2"/>
  <c r="AM368" i="2"/>
  <c r="AV367" i="2"/>
  <c r="AN367" i="2"/>
  <c r="AW366" i="2"/>
  <c r="AO366" i="2"/>
  <c r="AX365" i="2"/>
  <c r="AP365" i="2"/>
  <c r="AY364" i="2"/>
  <c r="AQ364" i="2"/>
  <c r="AZ363" i="2"/>
  <c r="AR363" i="2"/>
  <c r="BA362" i="2"/>
  <c r="AP220" i="2"/>
  <c r="BE261" i="2"/>
  <c r="BE257" i="2"/>
  <c r="BE99" i="2"/>
  <c r="AV87" i="2"/>
  <c r="AM87" i="2"/>
  <c r="BF64" i="2"/>
  <c r="BF283" i="2"/>
  <c r="BF210" i="2"/>
  <c r="BF209" i="2" s="1"/>
  <c r="BF223" i="2"/>
  <c r="BF220" i="2"/>
  <c r="BF217" i="2"/>
  <c r="BF285" i="2"/>
  <c r="BF280" i="2"/>
  <c r="BE197" i="2"/>
  <c r="BE283" i="2"/>
  <c r="BF256" i="2"/>
  <c r="BF472" i="2"/>
  <c r="BE447" i="2"/>
  <c r="BE474" i="2" s="1"/>
  <c r="BE87" i="2"/>
  <c r="BE86" i="2" s="1"/>
  <c r="BE64" i="2"/>
  <c r="BF453" i="2"/>
  <c r="BF477" i="2" s="1"/>
  <c r="BF447" i="2"/>
  <c r="BE280" i="2"/>
  <c r="BE509" i="2"/>
  <c r="BE472" i="2"/>
  <c r="BE487" i="2"/>
  <c r="BE511" i="2" s="1"/>
  <c r="BE255" i="2"/>
  <c r="BE453" i="2"/>
  <c r="BF282" i="2"/>
  <c r="BF487" i="2"/>
  <c r="BF500" i="2"/>
  <c r="BF481" i="2"/>
  <c r="BE508" i="2"/>
  <c r="BE279" i="2"/>
  <c r="BF198" i="2"/>
  <c r="BD64" i="2"/>
  <c r="BD510" i="2"/>
  <c r="BD506" i="2"/>
  <c r="BD509" i="2"/>
  <c r="BD460" i="2"/>
  <c r="BD261" i="2"/>
  <c r="BD256" i="2"/>
  <c r="AT284" i="2"/>
  <c r="AR198" i="2"/>
  <c r="AN261" i="2"/>
  <c r="BB99" i="2"/>
  <c r="AV507" i="2"/>
  <c r="AT475" i="2"/>
  <c r="AO258" i="2"/>
  <c r="AZ198" i="2"/>
  <c r="AZ197" i="2" s="1"/>
  <c r="AZ221" i="2" s="1"/>
  <c r="AU60" i="2"/>
  <c r="AO509" i="2"/>
  <c r="AO487" i="2"/>
  <c r="AR466" i="2"/>
  <c r="AR99" i="2"/>
  <c r="AR98" i="2" s="1"/>
  <c r="AW60" i="2"/>
  <c r="AO500" i="2"/>
  <c r="AQ481" i="2"/>
  <c r="AV453" i="2"/>
  <c r="AR244" i="2"/>
  <c r="AN500" i="2"/>
  <c r="AY509" i="2"/>
  <c r="AT453" i="2"/>
  <c r="AT477" i="2" s="1"/>
  <c r="AZ475" i="2"/>
  <c r="AQ510" i="2"/>
  <c r="AQ453" i="2"/>
  <c r="AP283" i="2"/>
  <c r="BC223" i="2"/>
  <c r="AZ99" i="2"/>
  <c r="AZ487" i="2"/>
  <c r="AN260" i="2"/>
  <c r="AT494" i="2"/>
  <c r="AN453" i="2"/>
  <c r="BB280" i="2"/>
  <c r="AN259" i="2"/>
  <c r="AU217" i="2"/>
  <c r="AT281" i="2"/>
  <c r="AU257" i="2"/>
  <c r="BC466" i="2"/>
  <c r="BC453" i="2"/>
  <c r="AW500" i="2"/>
  <c r="BB259" i="2"/>
  <c r="AU487" i="2"/>
  <c r="AW487" i="2"/>
  <c r="BB256" i="2"/>
  <c r="BB261" i="2"/>
  <c r="BB260" i="2"/>
  <c r="AW481" i="2"/>
  <c r="AU481" i="2"/>
  <c r="BB472" i="2"/>
  <c r="AV256" i="2"/>
  <c r="AN257" i="2"/>
  <c r="AW466" i="2"/>
  <c r="AO281" i="2"/>
  <c r="AO244" i="2"/>
  <c r="AX99" i="2"/>
  <c r="AX98" i="2" s="1"/>
  <c r="AR86" i="2"/>
  <c r="AT282" i="2"/>
  <c r="AV506" i="2"/>
  <c r="AN475" i="2"/>
  <c r="AZ473" i="2"/>
  <c r="AR282" i="2"/>
  <c r="AT219" i="2"/>
  <c r="BC198" i="2"/>
  <c r="BC197" i="2" s="1"/>
  <c r="AZ217" i="2"/>
  <c r="AQ494" i="2"/>
  <c r="AV509" i="2"/>
  <c r="AR460" i="2"/>
  <c r="AV472" i="2"/>
  <c r="BC476" i="2"/>
  <c r="AY510" i="2"/>
  <c r="AU223" i="2"/>
  <c r="AX220" i="2"/>
  <c r="AV510" i="2"/>
  <c r="AN506" i="2"/>
  <c r="BC487" i="2"/>
  <c r="AT473" i="2"/>
  <c r="AR257" i="2"/>
  <c r="AT255" i="2"/>
  <c r="AP218" i="2"/>
  <c r="AZ216" i="2"/>
  <c r="AR220" i="2"/>
  <c r="AP510" i="2"/>
  <c r="AX472" i="2"/>
  <c r="AX509" i="2"/>
  <c r="BD65" i="2"/>
  <c r="AP60" i="2"/>
  <c r="AR261" i="2"/>
  <c r="BD283" i="2"/>
  <c r="BD280" i="2"/>
  <c r="AN280" i="2"/>
  <c r="AT285" i="2"/>
  <c r="BD284" i="2"/>
  <c r="AZ283" i="2"/>
  <c r="AY282" i="2"/>
  <c r="BB281" i="2"/>
  <c r="AP219" i="2"/>
  <c r="AM218" i="2"/>
  <c r="AT261" i="2"/>
  <c r="AO259" i="2"/>
  <c r="AN216" i="2"/>
  <c r="BD466" i="2"/>
  <c r="BD473" i="2"/>
  <c r="BD210" i="2"/>
  <c r="BD209" i="2" s="1"/>
  <c r="AM217" i="2"/>
  <c r="BB284" i="2"/>
  <c r="AV260" i="2"/>
  <c r="AW255" i="2"/>
  <c r="AR218" i="2"/>
  <c r="BC218" i="2"/>
  <c r="BD218" i="2"/>
  <c r="AT280" i="2"/>
  <c r="AO261" i="2"/>
  <c r="AN258" i="2"/>
  <c r="AT244" i="2"/>
  <c r="AZ256" i="2"/>
  <c r="AO256" i="2"/>
  <c r="BB216" i="2"/>
  <c r="AO99" i="2"/>
  <c r="AO98" i="2" s="1"/>
  <c r="AR64" i="2"/>
  <c r="BD472" i="2"/>
  <c r="AM244" i="2"/>
  <c r="AM258" i="2"/>
  <c r="AM261" i="2"/>
  <c r="AM466" i="2"/>
  <c r="AM453" i="2"/>
  <c r="AM487" i="2"/>
  <c r="AM494" i="2"/>
  <c r="AP285" i="2"/>
  <c r="AX60" i="2"/>
  <c r="AW509" i="2"/>
  <c r="AR506" i="2"/>
  <c r="AX475" i="2"/>
  <c r="AV475" i="2"/>
  <c r="AZ460" i="2"/>
  <c r="AX473" i="2"/>
  <c r="AW473" i="2"/>
  <c r="AN472" i="2"/>
  <c r="AP475" i="2"/>
  <c r="AZ285" i="2"/>
  <c r="BB282" i="2"/>
  <c r="AW281" i="2"/>
  <c r="AZ279" i="2"/>
  <c r="BC257" i="2"/>
  <c r="AN220" i="2"/>
  <c r="BB218" i="2"/>
  <c r="AV216" i="2"/>
  <c r="BD258" i="2"/>
  <c r="AW280" i="2"/>
  <c r="AO280" i="2"/>
  <c r="BA460" i="2"/>
  <c r="BA481" i="2"/>
  <c r="BA99" i="2"/>
  <c r="BA98" i="2" s="1"/>
  <c r="BA220" i="2"/>
  <c r="BA216" i="2"/>
  <c r="BA87" i="2"/>
  <c r="AS481" i="2"/>
  <c r="AS99" i="2"/>
  <c r="AS220" i="2"/>
  <c r="AS216" i="2"/>
  <c r="AS219" i="2"/>
  <c r="AS210" i="2"/>
  <c r="AS209" i="2" s="1"/>
  <c r="AS98" i="2"/>
  <c r="AS87" i="2"/>
  <c r="AN510" i="2"/>
  <c r="AN509" i="2"/>
  <c r="AZ506" i="2"/>
  <c r="AM476" i="2"/>
  <c r="AO279" i="2"/>
  <c r="AR260" i="2"/>
  <c r="AV261" i="2"/>
  <c r="BC259" i="2"/>
  <c r="AT258" i="2"/>
  <c r="AP255" i="2"/>
  <c r="AT98" i="2"/>
  <c r="AV99" i="2"/>
  <c r="AV98" i="2" s="1"/>
  <c r="AN282" i="2"/>
  <c r="AR279" i="2"/>
  <c r="AR510" i="2"/>
  <c r="AZ507" i="2"/>
  <c r="AW279" i="2"/>
  <c r="AN279" i="2"/>
  <c r="AT260" i="2"/>
  <c r="AT259" i="2"/>
  <c r="BB258" i="2"/>
  <c r="AO255" i="2"/>
  <c r="AZ223" i="2"/>
  <c r="AP65" i="2"/>
  <c r="AU64" i="2"/>
  <c r="AQ284" i="2"/>
  <c r="AV282" i="2"/>
  <c r="AQ210" i="2"/>
  <c r="AQ209" i="2" s="1"/>
  <c r="AY284" i="2"/>
  <c r="BD282" i="2"/>
  <c r="BD279" i="2"/>
  <c r="AY64" i="2"/>
  <c r="AY494" i="2"/>
  <c r="AQ507" i="2"/>
  <c r="AS281" i="2"/>
  <c r="AW244" i="2"/>
  <c r="AW256" i="2"/>
  <c r="AN256" i="2"/>
  <c r="AY210" i="2"/>
  <c r="AY209" i="2" s="1"/>
  <c r="AP210" i="2"/>
  <c r="AP209" i="2" s="1"/>
  <c r="AU198" i="2"/>
  <c r="AM198" i="2"/>
  <c r="AM197" i="2" s="1"/>
  <c r="AY65" i="2"/>
  <c r="AQ65" i="2"/>
  <c r="BA60" i="2"/>
  <c r="AS60" i="2"/>
  <c r="AU260" i="2"/>
  <c r="AM260" i="2"/>
  <c r="AY285" i="2"/>
  <c r="AY283" i="2"/>
  <c r="AQ283" i="2"/>
  <c r="BA281" i="2"/>
  <c r="AV281" i="2"/>
  <c r="AZ509" i="2"/>
  <c r="AY507" i="2"/>
  <c r="AU510" i="2"/>
  <c r="AR473" i="2"/>
  <c r="AQ473" i="2"/>
  <c r="AW283" i="2"/>
  <c r="AP281" i="2"/>
  <c r="AV280" i="2"/>
  <c r="BC244" i="2"/>
  <c r="AX258" i="2"/>
  <c r="AU235" i="2"/>
  <c r="AT235" i="2"/>
  <c r="AT254" i="2" s="1"/>
  <c r="AX210" i="2"/>
  <c r="AX209" i="2" s="1"/>
  <c r="AW260" i="2"/>
  <c r="AZ261" i="2"/>
  <c r="BD281" i="2"/>
  <c r="AX506" i="2"/>
  <c r="AO508" i="2"/>
  <c r="AR475" i="2"/>
  <c r="AR285" i="2"/>
  <c r="AN284" i="2"/>
  <c r="AZ281" i="2"/>
  <c r="BB255" i="2"/>
  <c r="AM257" i="2"/>
  <c r="AW65" i="2"/>
  <c r="AQ282" i="2"/>
  <c r="AY279" i="2"/>
  <c r="AQ279" i="2"/>
  <c r="AY99" i="2"/>
  <c r="AQ99" i="2"/>
  <c r="AQ98" i="2" s="1"/>
  <c r="AW210" i="2"/>
  <c r="AO210" i="2"/>
  <c r="AY220" i="2"/>
  <c r="AQ220" i="2"/>
  <c r="AQ217" i="2"/>
  <c r="AW223" i="2"/>
  <c r="AO223" i="2"/>
  <c r="AW220" i="2"/>
  <c r="AO220" i="2"/>
  <c r="AY219" i="2"/>
  <c r="AQ219" i="2"/>
  <c r="AY218" i="2"/>
  <c r="AQ218" i="2"/>
  <c r="AW217" i="2"/>
  <c r="AO217" i="2"/>
  <c r="AN99" i="2"/>
  <c r="AN98" i="2" s="1"/>
  <c r="BD223" i="2"/>
  <c r="AV223" i="2"/>
  <c r="BD220" i="2"/>
  <c r="AX219" i="2"/>
  <c r="BB223" i="2"/>
  <c r="BD198" i="2"/>
  <c r="BB220" i="2"/>
  <c r="AT220" i="2"/>
  <c r="BD219" i="2"/>
  <c r="AV218" i="2"/>
  <c r="AN218" i="2"/>
  <c r="BD216" i="2"/>
  <c r="AQ466" i="2"/>
  <c r="AY466" i="2"/>
  <c r="AY258" i="2"/>
  <c r="AQ258" i="2"/>
  <c r="AY257" i="2"/>
  <c r="AQ257" i="2"/>
  <c r="AW460" i="2"/>
  <c r="AW474" i="2" s="1"/>
  <c r="AO460" i="2"/>
  <c r="BC473" i="2"/>
  <c r="AU473" i="2"/>
  <c r="AM473" i="2"/>
  <c r="AY453" i="2"/>
  <c r="AW447" i="2"/>
  <c r="BC447" i="2"/>
  <c r="AU447" i="2"/>
  <c r="AU474" i="2" s="1"/>
  <c r="BC472" i="2"/>
  <c r="AU472" i="2"/>
  <c r="AM472" i="2"/>
  <c r="AY500" i="2"/>
  <c r="AW494" i="2"/>
  <c r="AW508" i="2" s="1"/>
  <c r="AU507" i="2"/>
  <c r="AY487" i="2"/>
  <c r="AQ487" i="2"/>
  <c r="AQ511" i="2" s="1"/>
  <c r="AM477" i="2"/>
  <c r="AY476" i="2"/>
  <c r="BC507" i="2"/>
  <c r="BC510" i="2"/>
  <c r="AM507" i="2"/>
  <c r="AM510" i="2"/>
  <c r="AX285" i="2"/>
  <c r="AX279" i="2"/>
  <c r="AY217" i="2"/>
  <c r="AU509" i="2"/>
  <c r="AO447" i="2"/>
  <c r="AO283" i="2"/>
  <c r="AV285" i="2"/>
  <c r="AS244" i="2"/>
  <c r="AM235" i="2"/>
  <c r="AM255" i="2"/>
  <c r="AM99" i="2"/>
  <c r="AM98" i="2" s="1"/>
  <c r="AQ244" i="2"/>
  <c r="BD60" i="2"/>
  <c r="BE60" i="2"/>
  <c r="AS235" i="2"/>
  <c r="AS254" i="2" s="1"/>
  <c r="AO472" i="2"/>
  <c r="AU460" i="2"/>
  <c r="BC460" i="2"/>
  <c r="AW259" i="2"/>
  <c r="BC235" i="2"/>
  <c r="BC255" i="2"/>
  <c r="AU99" i="2"/>
  <c r="AU98" i="2" s="1"/>
  <c r="AQ506" i="2"/>
  <c r="AT510" i="2"/>
  <c r="BB475" i="2"/>
  <c r="AN473" i="2"/>
  <c r="AV284" i="2"/>
  <c r="AX280" i="2"/>
  <c r="BA261" i="2"/>
  <c r="BB235" i="2"/>
  <c r="AX64" i="2"/>
  <c r="AS256" i="2"/>
  <c r="BA507" i="2"/>
  <c r="AQ285" i="2"/>
  <c r="AW209" i="2"/>
  <c r="AS65" i="2"/>
  <c r="AT65" i="2"/>
  <c r="BB64" i="2"/>
  <c r="BC64" i="2"/>
  <c r="AZ259" i="2"/>
  <c r="AZ260" i="2"/>
  <c r="AX284" i="2"/>
  <c r="AP284" i="2"/>
  <c r="AX282" i="2"/>
  <c r="AP282" i="2"/>
  <c r="BB285" i="2"/>
  <c r="BB283" i="2"/>
  <c r="AN281" i="2"/>
  <c r="AX86" i="2"/>
  <c r="AP86" i="2"/>
  <c r="AM509" i="2"/>
  <c r="BA219" i="2"/>
  <c r="AY244" i="2"/>
  <c r="BA235" i="2"/>
  <c r="AS261" i="2"/>
  <c r="AU259" i="2"/>
  <c r="AS507" i="2"/>
  <c r="AR507" i="2"/>
  <c r="AW261" i="2"/>
  <c r="AY506" i="2"/>
  <c r="AS473" i="2"/>
  <c r="AX283" i="2"/>
  <c r="AU255" i="2"/>
  <c r="AN507" i="2"/>
  <c r="AW507" i="2"/>
  <c r="AO507" i="2"/>
  <c r="AW472" i="2"/>
  <c r="AY460" i="2"/>
  <c r="AQ460" i="2"/>
  <c r="BA473" i="2"/>
  <c r="BB473" i="2"/>
  <c r="AV283" i="2"/>
  <c r="AS280" i="2"/>
  <c r="AS255" i="2"/>
  <c r="AU244" i="2"/>
  <c r="AU254" i="2" s="1"/>
  <c r="AU261" i="2"/>
  <c r="BC260" i="2"/>
  <c r="AX223" i="2"/>
  <c r="AO65" i="2"/>
  <c r="BA282" i="2"/>
  <c r="BC509" i="2"/>
  <c r="BB510" i="2"/>
  <c r="AW476" i="2"/>
  <c r="BC500" i="2"/>
  <c r="BC511" i="2" s="1"/>
  <c r="AU500" i="2"/>
  <c r="AM500" i="2"/>
  <c r="BC261" i="2"/>
  <c r="AZ284" i="2"/>
  <c r="AR281" i="2"/>
  <c r="AY280" i="2"/>
  <c r="AM259" i="2"/>
  <c r="AY256" i="2"/>
  <c r="AO209" i="2"/>
  <c r="AY198" i="2"/>
  <c r="AY197" i="2" s="1"/>
  <c r="AQ198" i="2"/>
  <c r="AQ197" i="2" s="1"/>
  <c r="AP223" i="2"/>
  <c r="BB60" i="2"/>
  <c r="BD260" i="2"/>
  <c r="BD257" i="2"/>
  <c r="AP64" i="2"/>
  <c r="AZ65" i="2"/>
  <c r="AR65" i="2"/>
  <c r="BC481" i="2"/>
  <c r="BC508" i="2" s="1"/>
  <c r="AM481" i="2"/>
  <c r="AM460" i="2"/>
  <c r="AV460" i="2"/>
  <c r="AN460" i="2"/>
  <c r="AY473" i="2"/>
  <c r="AV476" i="2"/>
  <c r="AN476" i="2"/>
  <c r="AW475" i="2"/>
  <c r="AO475" i="2"/>
  <c r="AY447" i="2"/>
  <c r="AQ447" i="2"/>
  <c r="AZ447" i="2"/>
  <c r="AZ474" i="2" s="1"/>
  <c r="AR447" i="2"/>
  <c r="AR474" i="2" s="1"/>
  <c r="AN285" i="2"/>
  <c r="AW284" i="2"/>
  <c r="AO284" i="2"/>
  <c r="AN283" i="2"/>
  <c r="AW282" i="2"/>
  <c r="AO282" i="2"/>
  <c r="AX281" i="2"/>
  <c r="BB279" i="2"/>
  <c r="AT279" i="2"/>
  <c r="BB244" i="2"/>
  <c r="AU258" i="2"/>
  <c r="AV235" i="2"/>
  <c r="AN235" i="2"/>
  <c r="BA258" i="2"/>
  <c r="AS258" i="2"/>
  <c r="BB257" i="2"/>
  <c r="AT257" i="2"/>
  <c r="BC256" i="2"/>
  <c r="AU256" i="2"/>
  <c r="AM256" i="2"/>
  <c r="AV255" i="2"/>
  <c r="AN255" i="2"/>
  <c r="BB65" i="2"/>
  <c r="BD285" i="2"/>
  <c r="AN223" i="2"/>
  <c r="AT223" i="2"/>
  <c r="AS460" i="2"/>
  <c r="AZ282" i="2"/>
  <c r="BA280" i="2"/>
  <c r="AQ280" i="2"/>
  <c r="AP258" i="2"/>
  <c r="AP244" i="2"/>
  <c r="AR259" i="2"/>
  <c r="AZ258" i="2"/>
  <c r="AR235" i="2"/>
  <c r="AR254" i="2" s="1"/>
  <c r="BA210" i="2"/>
  <c r="BA209" i="2" s="1"/>
  <c r="BC99" i="2"/>
  <c r="BC98" i="2" s="1"/>
  <c r="AO260" i="2"/>
  <c r="AY481" i="2"/>
  <c r="AU453" i="2"/>
  <c r="AM447" i="2"/>
  <c r="AV447" i="2"/>
  <c r="AN447" i="2"/>
  <c r="AW285" i="2"/>
  <c r="AO285" i="2"/>
  <c r="AY281" i="2"/>
  <c r="AQ281" i="2"/>
  <c r="AZ280" i="2"/>
  <c r="AR280" i="2"/>
  <c r="AR283" i="2"/>
  <c r="AS282" i="2"/>
  <c r="AP280" i="2"/>
  <c r="AX244" i="2"/>
  <c r="AZ235" i="2"/>
  <c r="AW219" i="2"/>
  <c r="BB98" i="2"/>
  <c r="BC60" i="2"/>
  <c r="AT60" i="2"/>
  <c r="BD217" i="2"/>
  <c r="BD447" i="2"/>
  <c r="AX476" i="2"/>
  <c r="AP476" i="2"/>
  <c r="AS447" i="2"/>
  <c r="BB447" i="2"/>
  <c r="AT447" i="2"/>
  <c r="AV198" i="2"/>
  <c r="AV197" i="2" s="1"/>
  <c r="AN198" i="2"/>
  <c r="AY98" i="2"/>
  <c r="AW98" i="2"/>
  <c r="AX65" i="2"/>
  <c r="AQ64" i="2"/>
  <c r="BA64" i="2"/>
  <c r="AS64" i="2"/>
  <c r="AX460" i="2"/>
  <c r="AP460" i="2"/>
  <c r="AW453" i="2"/>
  <c r="AW477" i="2" s="1"/>
  <c r="AV258" i="2"/>
  <c r="AW235" i="2"/>
  <c r="AO235" i="2"/>
  <c r="AZ210" i="2"/>
  <c r="AZ209" i="2" s="1"/>
  <c r="AR210" i="2"/>
  <c r="AR209" i="2" s="1"/>
  <c r="AP99" i="2"/>
  <c r="AP98" i="2" s="1"/>
  <c r="AZ64" i="2"/>
  <c r="BD255" i="2"/>
  <c r="BD259" i="2"/>
  <c r="BB506" i="2"/>
  <c r="BB481" i="2"/>
  <c r="BB509" i="2"/>
  <c r="BB507" i="2"/>
  <c r="AT506" i="2"/>
  <c r="AT481" i="2"/>
  <c r="AT509" i="2"/>
  <c r="AT507" i="2"/>
  <c r="AZ219" i="2"/>
  <c r="AR219" i="2"/>
  <c r="BB217" i="2"/>
  <c r="AT217" i="2"/>
  <c r="BC216" i="2"/>
  <c r="AU216" i="2"/>
  <c r="AM216" i="2"/>
  <c r="AW198" i="2"/>
  <c r="AW197" i="2" s="1"/>
  <c r="AO198" i="2"/>
  <c r="AX198" i="2"/>
  <c r="AP198" i="2"/>
  <c r="AP222" i="2" s="1"/>
  <c r="AY223" i="2"/>
  <c r="AQ223" i="2"/>
  <c r="BC219" i="2"/>
  <c r="AU219" i="2"/>
  <c r="AM219" i="2"/>
  <c r="AX216" i="2"/>
  <c r="AP216" i="2"/>
  <c r="AZ98" i="2"/>
  <c r="BA86" i="2"/>
  <c r="AS86" i="2"/>
  <c r="BD476" i="2"/>
  <c r="BD99" i="2"/>
  <c r="BD98" i="2" s="1"/>
  <c r="BD86" i="2"/>
  <c r="BE65" i="2"/>
  <c r="AV210" i="2"/>
  <c r="AV209" i="2" s="1"/>
  <c r="AN210" i="2"/>
  <c r="AN209" i="2" s="1"/>
  <c r="BC220" i="2"/>
  <c r="AU220" i="2"/>
  <c r="AM220" i="2"/>
  <c r="AV219" i="2"/>
  <c r="AN219" i="2"/>
  <c r="AW218" i="2"/>
  <c r="AO218" i="2"/>
  <c r="AX217" i="2"/>
  <c r="AP217" i="2"/>
  <c r="AY216" i="2"/>
  <c r="AQ216" i="2"/>
  <c r="BB198" i="2"/>
  <c r="BB197" i="2" s="1"/>
  <c r="AT198" i="2"/>
  <c r="AT197" i="2" s="1"/>
  <c r="AY86" i="2"/>
  <c r="AQ86" i="2"/>
  <c r="BB210" i="2"/>
  <c r="AT210" i="2"/>
  <c r="AT209" i="2" s="1"/>
  <c r="BC210" i="2"/>
  <c r="BC209" i="2" s="1"/>
  <c r="AU210" i="2"/>
  <c r="AU209" i="2" s="1"/>
  <c r="AM210" i="2"/>
  <c r="AM209" i="2" s="1"/>
  <c r="BA198" i="2"/>
  <c r="BA197" i="2" s="1"/>
  <c r="AS198" i="2"/>
  <c r="AS197" i="2" s="1"/>
  <c r="AV86" i="2"/>
  <c r="AN86" i="2"/>
  <c r="BC65" i="2"/>
  <c r="AV60" i="2"/>
  <c r="AN60" i="2"/>
  <c r="BD475" i="2"/>
  <c r="BF511" i="2"/>
  <c r="BE222" i="2"/>
  <c r="BF222" i="2"/>
  <c r="BF197" i="2"/>
  <c r="BF221" i="2" s="1"/>
  <c r="BE98" i="2"/>
  <c r="BE221" i="2"/>
  <c r="BF86" i="2"/>
  <c r="BF526" i="2"/>
  <c r="BE473" i="2"/>
  <c r="BF475" i="2"/>
  <c r="BF528" i="2"/>
  <c r="BE475" i="2"/>
  <c r="AZ420" i="2"/>
  <c r="AR420" i="2"/>
  <c r="BA423" i="2"/>
  <c r="AS423" i="2"/>
  <c r="BB500" i="2"/>
  <c r="AT500" i="2"/>
  <c r="AZ494" i="2"/>
  <c r="AR494" i="2"/>
  <c r="AX487" i="2"/>
  <c r="AP487" i="2"/>
  <c r="AV481" i="2"/>
  <c r="AN481" i="2"/>
  <c r="AW429" i="2"/>
  <c r="AO429" i="2"/>
  <c r="BA427" i="2"/>
  <c r="AS427" i="2"/>
  <c r="AY423" i="2"/>
  <c r="AQ423" i="2"/>
  <c r="BB418" i="2"/>
  <c r="AT418" i="2"/>
  <c r="AZ527" i="2"/>
  <c r="AR527" i="2"/>
  <c r="AW510" i="2"/>
  <c r="AO510" i="2"/>
  <c r="AU476" i="2"/>
  <c r="BA472" i="2"/>
  <c r="AS472" i="2"/>
  <c r="AV466" i="2"/>
  <c r="AV477" i="2" s="1"/>
  <c r="AN466" i="2"/>
  <c r="BB460" i="2"/>
  <c r="BB474" i="2" s="1"/>
  <c r="AT460" i="2"/>
  <c r="AT474" i="2" s="1"/>
  <c r="AZ453" i="2"/>
  <c r="AZ477" i="2" s="1"/>
  <c r="AR453" i="2"/>
  <c r="AR477" i="2" s="1"/>
  <c r="BB476" i="2"/>
  <c r="AT476" i="2"/>
  <c r="BC475" i="2"/>
  <c r="AU475" i="2"/>
  <c r="AM475" i="2"/>
  <c r="AX447" i="2"/>
  <c r="AX474" i="2" s="1"/>
  <c r="AP447" i="2"/>
  <c r="BC279" i="2"/>
  <c r="BC281" i="2"/>
  <c r="BC282" i="2"/>
  <c r="BC283" i="2"/>
  <c r="BC280" i="2"/>
  <c r="AU279" i="2"/>
  <c r="AU281" i="2"/>
  <c r="AU282" i="2"/>
  <c r="AU283" i="2"/>
  <c r="AU280" i="2"/>
  <c r="AM279" i="2"/>
  <c r="AM281" i="2"/>
  <c r="AM282" i="2"/>
  <c r="AM283" i="2"/>
  <c r="AM280" i="2"/>
  <c r="AW506" i="2"/>
  <c r="AO506" i="2"/>
  <c r="AZ500" i="2"/>
  <c r="AZ511" i="2" s="1"/>
  <c r="AR500" i="2"/>
  <c r="AR511" i="2" s="1"/>
  <c r="AX494" i="2"/>
  <c r="AP494" i="2"/>
  <c r="AV487" i="2"/>
  <c r="AN487" i="2"/>
  <c r="AN511" i="2" s="1"/>
  <c r="AQ509" i="2"/>
  <c r="AS476" i="2"/>
  <c r="BC429" i="2"/>
  <c r="AU429" i="2"/>
  <c r="AM429" i="2"/>
  <c r="AV420" i="2"/>
  <c r="AN420" i="2"/>
  <c r="AW423" i="2"/>
  <c r="AO423" i="2"/>
  <c r="AQ476" i="2"/>
  <c r="AY472" i="2"/>
  <c r="AQ472" i="2"/>
  <c r="AZ476" i="2"/>
  <c r="AR476" i="2"/>
  <c r="BA475" i="2"/>
  <c r="AS475" i="2"/>
  <c r="BC506" i="2"/>
  <c r="AU506" i="2"/>
  <c r="AM506" i="2"/>
  <c r="AX500" i="2"/>
  <c r="AP500" i="2"/>
  <c r="AV494" i="2"/>
  <c r="AN494" i="2"/>
  <c r="BB487" i="2"/>
  <c r="AT487" i="2"/>
  <c r="AZ481" i="2"/>
  <c r="AR481" i="2"/>
  <c r="BA429" i="2"/>
  <c r="AS429" i="2"/>
  <c r="BB428" i="2"/>
  <c r="AT428" i="2"/>
  <c r="AW427" i="2"/>
  <c r="AO427" i="2"/>
  <c r="AZ426" i="2"/>
  <c r="AR426" i="2"/>
  <c r="BB420" i="2"/>
  <c r="BC423" i="2"/>
  <c r="AU423" i="2"/>
  <c r="AM423" i="2"/>
  <c r="AX418" i="2"/>
  <c r="AP418" i="2"/>
  <c r="AY475" i="2"/>
  <c r="AQ475" i="2"/>
  <c r="AW257" i="2"/>
  <c r="AV244" i="2"/>
  <c r="AV254" i="2" s="1"/>
  <c r="AN244" i="2"/>
  <c r="AX235" i="2"/>
  <c r="AP235" i="2"/>
  <c r="AP254" i="2" s="1"/>
  <c r="AY235" i="2"/>
  <c r="AY254" i="2" s="1"/>
  <c r="AQ235" i="2"/>
  <c r="AO86" i="2"/>
  <c r="AX259" i="2"/>
  <c r="AX260" i="2"/>
  <c r="AX261" i="2"/>
  <c r="AP259" i="2"/>
  <c r="AP260" i="2"/>
  <c r="AP261" i="2"/>
  <c r="AY60" i="2"/>
  <c r="AZ60" i="2"/>
  <c r="AY259" i="2"/>
  <c r="AY260" i="2"/>
  <c r="AY261" i="2"/>
  <c r="AQ60" i="2"/>
  <c r="AR60" i="2"/>
  <c r="AQ259" i="2"/>
  <c r="AQ260" i="2"/>
  <c r="AQ261" i="2"/>
  <c r="BA255" i="2"/>
  <c r="AU197" i="2"/>
  <c r="BC86" i="2"/>
  <c r="AU86" i="2"/>
  <c r="AM86" i="2"/>
  <c r="AQ255" i="2"/>
  <c r="AZ244" i="2"/>
  <c r="AR197" i="2"/>
  <c r="AR221" i="2" s="1"/>
  <c r="AU65" i="2"/>
  <c r="AV65" i="2"/>
  <c r="AN65" i="2"/>
  <c r="AV64" i="2"/>
  <c r="AW64" i="2"/>
  <c r="AN64" i="2"/>
  <c r="AO64" i="2"/>
  <c r="AY255" i="2"/>
  <c r="BB87" i="2"/>
  <c r="BB86" i="2" s="1"/>
  <c r="AT87" i="2"/>
  <c r="AT86" i="2" s="1"/>
  <c r="AX256" i="2"/>
  <c r="AY222" i="2"/>
  <c r="BB367" i="2"/>
  <c r="AT367" i="2"/>
  <c r="BC366" i="2"/>
  <c r="AU366" i="2"/>
  <c r="AM366" i="2"/>
  <c r="AV365" i="2"/>
  <c r="AN365" i="2"/>
  <c r="AW364" i="2"/>
  <c r="AO364" i="2"/>
  <c r="AX363" i="2"/>
  <c r="AP363" i="2"/>
  <c r="AY362" i="2"/>
  <c r="AQ362" i="2"/>
  <c r="BC285" i="2"/>
  <c r="AU285" i="2"/>
  <c r="AM285" i="2"/>
  <c r="BA283" i="2"/>
  <c r="BA284" i="2"/>
  <c r="BA285" i="2"/>
  <c r="BA279" i="2"/>
  <c r="AS283" i="2"/>
  <c r="AS284" i="2"/>
  <c r="AS285" i="2"/>
  <c r="AS279" i="2"/>
  <c r="BC284" i="2"/>
  <c r="AU284" i="2"/>
  <c r="AM284" i="2"/>
  <c r="AO257" i="2"/>
  <c r="AN197" i="2"/>
  <c r="I526" i="2"/>
  <c r="Q526" i="2"/>
  <c r="Y526" i="2"/>
  <c r="AG526" i="2"/>
  <c r="I528" i="2"/>
  <c r="Q528" i="2"/>
  <c r="Y528" i="2"/>
  <c r="AG528" i="2"/>
  <c r="E527" i="2"/>
  <c r="H527" i="2"/>
  <c r="M527" i="2"/>
  <c r="U527" i="2"/>
  <c r="AC527" i="2"/>
  <c r="AK527" i="2"/>
  <c r="BC477" i="2" l="1"/>
  <c r="AO511" i="2"/>
  <c r="AQ508" i="2"/>
  <c r="AR508" i="2"/>
  <c r="AY477" i="2"/>
  <c r="BF474" i="2"/>
  <c r="AY508" i="2"/>
  <c r="AM254" i="2"/>
  <c r="AY511" i="2"/>
  <c r="BC254" i="2"/>
  <c r="AS222" i="2"/>
  <c r="AQ477" i="2"/>
  <c r="AN474" i="2"/>
  <c r="AM508" i="2"/>
  <c r="AT508" i="2"/>
  <c r="BD222" i="2"/>
  <c r="BF508" i="2"/>
  <c r="AV511" i="2"/>
  <c r="AQ222" i="2"/>
  <c r="AN254" i="2"/>
  <c r="AN477" i="2"/>
  <c r="AM474" i="2"/>
  <c r="AM511" i="2"/>
  <c r="AO254" i="2"/>
  <c r="BE477" i="2"/>
  <c r="AW254" i="2"/>
  <c r="AU222" i="2"/>
  <c r="AY474" i="2"/>
  <c r="AS487" i="2"/>
  <c r="AW511" i="2"/>
  <c r="BF254" i="2"/>
  <c r="BE254" i="2"/>
  <c r="AP466" i="2"/>
  <c r="AP481" i="2"/>
  <c r="AP508" i="2" s="1"/>
  <c r="BD500" i="2"/>
  <c r="BD244" i="2"/>
  <c r="BD235" i="2"/>
  <c r="BD453" i="2"/>
  <c r="BD477" i="2" s="1"/>
  <c r="BD197" i="2"/>
  <c r="BD221" i="2" s="1"/>
  <c r="BD481" i="2"/>
  <c r="BD487" i="2"/>
  <c r="BD494" i="2"/>
  <c r="BD507" i="2"/>
  <c r="AX222" i="2"/>
  <c r="AU511" i="2"/>
  <c r="AQ474" i="2"/>
  <c r="AO474" i="2"/>
  <c r="BA494" i="2"/>
  <c r="BA508" i="2" s="1"/>
  <c r="AU494" i="2"/>
  <c r="AU508" i="2" s="1"/>
  <c r="AU466" i="2"/>
  <c r="AU477" i="2" s="1"/>
  <c r="AZ254" i="2"/>
  <c r="AO222" i="2"/>
  <c r="AX254" i="2"/>
  <c r="AW222" i="2"/>
  <c r="AV474" i="2"/>
  <c r="BC221" i="2"/>
  <c r="AS474" i="2"/>
  <c r="BA223" i="2"/>
  <c r="AX466" i="2"/>
  <c r="AP453" i="2"/>
  <c r="BC222" i="2"/>
  <c r="AP474" i="2"/>
  <c r="AX453" i="2"/>
  <c r="AX481" i="2"/>
  <c r="AX508" i="2" s="1"/>
  <c r="BA500" i="2"/>
  <c r="BB453" i="2"/>
  <c r="AS509" i="2"/>
  <c r="BA218" i="2"/>
  <c r="BB494" i="2"/>
  <c r="BB508" i="2" s="1"/>
  <c r="BB466" i="2"/>
  <c r="AW221" i="2"/>
  <c r="AQ254" i="2"/>
  <c r="BA222" i="2"/>
  <c r="AS453" i="2"/>
  <c r="AS500" i="2"/>
  <c r="BA487" i="2"/>
  <c r="AO197" i="2"/>
  <c r="AO221" i="2" s="1"/>
  <c r="AP506" i="2"/>
  <c r="AX507" i="2"/>
  <c r="AP507" i="2"/>
  <c r="AX257" i="2"/>
  <c r="AS223" i="2"/>
  <c r="AS259" i="2"/>
  <c r="AP472" i="2"/>
  <c r="BD474" i="2"/>
  <c r="BC474" i="2"/>
  <c r="AS506" i="2"/>
  <c r="AP256" i="2"/>
  <c r="AP257" i="2"/>
  <c r="AP509" i="2"/>
  <c r="AS221" i="2"/>
  <c r="BA257" i="2"/>
  <c r="BA466" i="2"/>
  <c r="AX255" i="2"/>
  <c r="AX510" i="2"/>
  <c r="AP473" i="2"/>
  <c r="AS218" i="2"/>
  <c r="AS494" i="2"/>
  <c r="AS508" i="2" s="1"/>
  <c r="BA506" i="2"/>
  <c r="AQ221" i="2"/>
  <c r="BB254" i="2"/>
  <c r="AY221" i="2"/>
  <c r="BA217" i="2"/>
  <c r="BA453" i="2"/>
  <c r="AT222" i="2"/>
  <c r="BA256" i="2"/>
  <c r="BB222" i="2"/>
  <c r="AS257" i="2"/>
  <c r="BA260" i="2"/>
  <c r="AS466" i="2"/>
  <c r="BA244" i="2"/>
  <c r="BA254" i="2" s="1"/>
  <c r="BA259" i="2"/>
  <c r="BA476" i="2"/>
  <c r="BA510" i="2"/>
  <c r="AM222" i="2"/>
  <c r="BA511" i="2"/>
  <c r="BA509" i="2"/>
  <c r="AU221" i="2"/>
  <c r="AS217" i="2"/>
  <c r="AS260" i="2"/>
  <c r="AS510" i="2"/>
  <c r="BA447" i="2"/>
  <c r="BA474" i="2" s="1"/>
  <c r="BB209" i="2"/>
  <c r="BB221" i="2" s="1"/>
  <c r="BB511" i="2"/>
  <c r="AN222" i="2"/>
  <c r="AN221" i="2"/>
  <c r="AM221" i="2"/>
  <c r="AV222" i="2"/>
  <c r="AX197" i="2"/>
  <c r="AX221" i="2" s="1"/>
  <c r="BA221" i="2"/>
  <c r="AP197" i="2"/>
  <c r="AP221" i="2" s="1"/>
  <c r="AZ222" i="2"/>
  <c r="AV221" i="2"/>
  <c r="AT221" i="2"/>
  <c r="AR222" i="2"/>
  <c r="AV508" i="2"/>
  <c r="AP511" i="2"/>
  <c r="AX511" i="2"/>
  <c r="AZ508" i="2"/>
  <c r="AT511" i="2"/>
  <c r="AN508" i="2"/>
  <c r="AL528" i="2"/>
  <c r="AD528" i="2"/>
  <c r="V528" i="2"/>
  <c r="N528" i="2"/>
  <c r="F528" i="2"/>
  <c r="AL526" i="2"/>
  <c r="AD526" i="2"/>
  <c r="V526" i="2"/>
  <c r="N526" i="2"/>
  <c r="F526" i="2"/>
  <c r="AK528" i="2"/>
  <c r="AC528" i="2"/>
  <c r="U528" i="2"/>
  <c r="M528" i="2"/>
  <c r="E528" i="2"/>
  <c r="X527" i="2"/>
  <c r="AF527" i="2"/>
  <c r="P527" i="2"/>
  <c r="AI528" i="2"/>
  <c r="AA528" i="2"/>
  <c r="S528" i="2"/>
  <c r="K528" i="2"/>
  <c r="C528" i="2"/>
  <c r="AI526" i="2"/>
  <c r="AA526" i="2"/>
  <c r="S526" i="2"/>
  <c r="K526" i="2"/>
  <c r="C526" i="2"/>
  <c r="AF528" i="2"/>
  <c r="X528" i="2"/>
  <c r="P528" i="2"/>
  <c r="H528" i="2"/>
  <c r="AF526" i="2"/>
  <c r="X526" i="2"/>
  <c r="P526" i="2"/>
  <c r="H526" i="2"/>
  <c r="AJ529" i="2"/>
  <c r="AB529" i="2"/>
  <c r="T529" i="2"/>
  <c r="L529" i="2"/>
  <c r="D529" i="2"/>
  <c r="AJ528" i="2"/>
  <c r="AB528" i="2"/>
  <c r="T528" i="2"/>
  <c r="L528" i="2"/>
  <c r="D528" i="2"/>
  <c r="AJ526" i="2"/>
  <c r="AB526" i="2"/>
  <c r="T526" i="2"/>
  <c r="L526" i="2"/>
  <c r="D526" i="2"/>
  <c r="AI529" i="2"/>
  <c r="AA529" i="2"/>
  <c r="S529" i="2"/>
  <c r="K529" i="2"/>
  <c r="C529" i="2"/>
  <c r="AE527" i="2"/>
  <c r="W527" i="2"/>
  <c r="O527" i="2"/>
  <c r="G527" i="2"/>
  <c r="AH529" i="2"/>
  <c r="Z529" i="2"/>
  <c r="R529" i="2"/>
  <c r="J529" i="2"/>
  <c r="AL527" i="2"/>
  <c r="AD527" i="2"/>
  <c r="V527" i="2"/>
  <c r="N527" i="2"/>
  <c r="F527" i="2"/>
  <c r="AH528" i="2"/>
  <c r="Z528" i="2"/>
  <c r="R528" i="2"/>
  <c r="J528" i="2"/>
  <c r="AH526" i="2"/>
  <c r="Z526" i="2"/>
  <c r="R526" i="2"/>
  <c r="J526" i="2"/>
  <c r="AG529" i="2"/>
  <c r="Y529" i="2"/>
  <c r="Q529" i="2"/>
  <c r="I529" i="2"/>
  <c r="AF529" i="2"/>
  <c r="X529" i="2"/>
  <c r="P529" i="2"/>
  <c r="H529" i="2"/>
  <c r="AJ527" i="2"/>
  <c r="AB527" i="2"/>
  <c r="T527" i="2"/>
  <c r="L527" i="2"/>
  <c r="D527" i="2"/>
  <c r="AE529" i="2"/>
  <c r="W529" i="2"/>
  <c r="O529" i="2"/>
  <c r="G529" i="2"/>
  <c r="AI527" i="2"/>
  <c r="AA527" i="2"/>
  <c r="S527" i="2"/>
  <c r="K527" i="2"/>
  <c r="C527" i="2"/>
  <c r="AE528" i="2"/>
  <c r="W528" i="2"/>
  <c r="O528" i="2"/>
  <c r="G528" i="2"/>
  <c r="AE526" i="2"/>
  <c r="W526" i="2"/>
  <c r="O526" i="2"/>
  <c r="G526" i="2"/>
  <c r="AL529" i="2"/>
  <c r="AD529" i="2"/>
  <c r="V529" i="2"/>
  <c r="N529" i="2"/>
  <c r="F529" i="2"/>
  <c r="AH527" i="2"/>
  <c r="Z527" i="2"/>
  <c r="R527" i="2"/>
  <c r="J527" i="2"/>
  <c r="AK529" i="2"/>
  <c r="AC529" i="2"/>
  <c r="U529" i="2"/>
  <c r="M529" i="2"/>
  <c r="E529" i="2"/>
  <c r="AG527" i="2"/>
  <c r="Y527" i="2"/>
  <c r="Q527" i="2"/>
  <c r="I527" i="2"/>
  <c r="AK526" i="2"/>
  <c r="AC526" i="2"/>
  <c r="U526" i="2"/>
  <c r="M526" i="2"/>
  <c r="E526" i="2"/>
  <c r="C506" i="2"/>
  <c r="G506" i="2"/>
  <c r="O506" i="2"/>
  <c r="W506" i="2"/>
  <c r="AE506" i="2"/>
  <c r="K510" i="2"/>
  <c r="AS511" i="2" l="1"/>
  <c r="AP477" i="2"/>
  <c r="BD254" i="2"/>
  <c r="BD508" i="2"/>
  <c r="BD511" i="2"/>
  <c r="AX477" i="2"/>
  <c r="BB477" i="2"/>
  <c r="BA477" i="2"/>
  <c r="AS477" i="2"/>
  <c r="F507" i="2"/>
  <c r="AF510" i="2"/>
  <c r="X510" i="2"/>
  <c r="P510" i="2"/>
  <c r="H510" i="2"/>
  <c r="AF506" i="2"/>
  <c r="X506" i="2"/>
  <c r="P506" i="2"/>
  <c r="H506" i="2"/>
  <c r="C509" i="2"/>
  <c r="AH509" i="2"/>
  <c r="R509" i="2"/>
  <c r="Z509" i="2"/>
  <c r="J509" i="2"/>
  <c r="AI510" i="2"/>
  <c r="AA510" i="2"/>
  <c r="S510" i="2"/>
  <c r="AI506" i="2"/>
  <c r="AA506" i="2"/>
  <c r="S506" i="2"/>
  <c r="K506" i="2"/>
  <c r="AD507" i="2"/>
  <c r="V507" i="2"/>
  <c r="N507" i="2"/>
  <c r="AG507" i="2"/>
  <c r="Y507" i="2"/>
  <c r="Q507" i="2"/>
  <c r="I507" i="2"/>
  <c r="AG510" i="2"/>
  <c r="Y510" i="2"/>
  <c r="Q510" i="2"/>
  <c r="I510" i="2"/>
  <c r="AK509" i="2"/>
  <c r="AC509" i="2"/>
  <c r="U509" i="2"/>
  <c r="M509" i="2"/>
  <c r="E509" i="2"/>
  <c r="AK507" i="2"/>
  <c r="AC507" i="2"/>
  <c r="U507" i="2"/>
  <c r="M507" i="2"/>
  <c r="E507" i="2"/>
  <c r="AG506" i="2"/>
  <c r="Y506" i="2"/>
  <c r="Q506" i="2"/>
  <c r="I506" i="2"/>
  <c r="AJ509" i="2"/>
  <c r="AB509" i="2"/>
  <c r="T509" i="2"/>
  <c r="L509" i="2"/>
  <c r="D509" i="2"/>
  <c r="AE510" i="2"/>
  <c r="W510" i="2"/>
  <c r="O510" i="2"/>
  <c r="G510" i="2"/>
  <c r="AI509" i="2"/>
  <c r="AA509" i="2"/>
  <c r="S509" i="2"/>
  <c r="K509" i="2"/>
  <c r="AI507" i="2"/>
  <c r="AA507" i="2"/>
  <c r="S507" i="2"/>
  <c r="K507" i="2"/>
  <c r="AD510" i="2"/>
  <c r="V510" i="2"/>
  <c r="N510" i="2"/>
  <c r="F510" i="2"/>
  <c r="AH507" i="2"/>
  <c r="Z507" i="2"/>
  <c r="R507" i="2"/>
  <c r="J507" i="2"/>
  <c r="AD506" i="2"/>
  <c r="V506" i="2"/>
  <c r="N506" i="2"/>
  <c r="F506" i="2"/>
  <c r="AK510" i="2"/>
  <c r="AC510" i="2"/>
  <c r="U510" i="2"/>
  <c r="M510" i="2"/>
  <c r="E510" i="2"/>
  <c r="AG509" i="2"/>
  <c r="Y509" i="2"/>
  <c r="Q509" i="2"/>
  <c r="I509" i="2"/>
  <c r="AK506" i="2"/>
  <c r="AC506" i="2"/>
  <c r="U506" i="2"/>
  <c r="M506" i="2"/>
  <c r="E506" i="2"/>
  <c r="AJ507" i="2"/>
  <c r="AB507" i="2"/>
  <c r="T507" i="2"/>
  <c r="L507" i="2"/>
  <c r="D507" i="2"/>
  <c r="AJ510" i="2"/>
  <c r="AB510" i="2"/>
  <c r="T510" i="2"/>
  <c r="L510" i="2"/>
  <c r="D510" i="2"/>
  <c r="AF509" i="2"/>
  <c r="X509" i="2"/>
  <c r="P509" i="2"/>
  <c r="H509" i="2"/>
  <c r="AF507" i="2"/>
  <c r="X507" i="2"/>
  <c r="P507" i="2"/>
  <c r="H507" i="2"/>
  <c r="AJ506" i="2"/>
  <c r="AB506" i="2"/>
  <c r="T506" i="2"/>
  <c r="L506" i="2"/>
  <c r="D506" i="2"/>
  <c r="C510" i="2"/>
  <c r="AE509" i="2"/>
  <c r="W509" i="2"/>
  <c r="O509" i="2"/>
  <c r="G509" i="2"/>
  <c r="AE507" i="2"/>
  <c r="W507" i="2"/>
  <c r="O507" i="2"/>
  <c r="G507" i="2"/>
  <c r="AH510" i="2"/>
  <c r="Z510" i="2"/>
  <c r="R510" i="2"/>
  <c r="J510" i="2"/>
  <c r="AD509" i="2"/>
  <c r="V509" i="2"/>
  <c r="N509" i="2"/>
  <c r="F509" i="2"/>
  <c r="AH506" i="2"/>
  <c r="Z506" i="2"/>
  <c r="R506" i="2"/>
  <c r="J506" i="2"/>
  <c r="C507" i="2"/>
  <c r="AH494" i="2"/>
  <c r="R500" i="2"/>
  <c r="M494" i="2"/>
  <c r="AJ500" i="2"/>
  <c r="AB500" i="2"/>
  <c r="T500" i="2"/>
  <c r="L500" i="2"/>
  <c r="D500" i="2"/>
  <c r="AI500" i="2"/>
  <c r="AA500" i="2"/>
  <c r="S500" i="2"/>
  <c r="K500" i="2"/>
  <c r="C500" i="2"/>
  <c r="AA487" i="2"/>
  <c r="AE481" i="2"/>
  <c r="J500" i="2"/>
  <c r="AG500" i="2"/>
  <c r="Y500" i="2"/>
  <c r="Q500" i="2"/>
  <c r="I500" i="2"/>
  <c r="AK494" i="2"/>
  <c r="AC494" i="2"/>
  <c r="U494" i="2"/>
  <c r="E494" i="2"/>
  <c r="AF500" i="2"/>
  <c r="X500" i="2"/>
  <c r="P500" i="2"/>
  <c r="H500" i="2"/>
  <c r="AE500" i="2"/>
  <c r="W500" i="2"/>
  <c r="O500" i="2"/>
  <c r="G500" i="2"/>
  <c r="Z500" i="2"/>
  <c r="AD500" i="2"/>
  <c r="V500" i="2"/>
  <c r="N500" i="2"/>
  <c r="F500" i="2"/>
  <c r="Z494" i="2"/>
  <c r="R494" i="2"/>
  <c r="J494" i="2"/>
  <c r="AH500" i="2"/>
  <c r="AK500" i="2"/>
  <c r="AC500" i="2"/>
  <c r="U500" i="2"/>
  <c r="M500" i="2"/>
  <c r="E500" i="2"/>
  <c r="AG494" i="2"/>
  <c r="Y494" i="2"/>
  <c r="Q494" i="2"/>
  <c r="I494" i="2"/>
  <c r="AI487" i="2"/>
  <c r="AD494" i="2"/>
  <c r="V494" i="2"/>
  <c r="N494" i="2"/>
  <c r="F494" i="2"/>
  <c r="S487" i="2"/>
  <c r="W494" i="2"/>
  <c r="G481" i="2"/>
  <c r="AJ494" i="2"/>
  <c r="AB494" i="2"/>
  <c r="T494" i="2"/>
  <c r="L494" i="2"/>
  <c r="D494" i="2"/>
  <c r="AE494" i="2"/>
  <c r="AI494" i="2"/>
  <c r="AA494" i="2"/>
  <c r="S494" i="2"/>
  <c r="K494" i="2"/>
  <c r="C494" i="2"/>
  <c r="C481" i="2"/>
  <c r="G494" i="2"/>
  <c r="O481" i="2"/>
  <c r="O494" i="2"/>
  <c r="W481" i="2"/>
  <c r="K487" i="2"/>
  <c r="AF494" i="2"/>
  <c r="X494" i="2"/>
  <c r="P494" i="2"/>
  <c r="H494" i="2"/>
  <c r="AF481" i="2"/>
  <c r="X481" i="2"/>
  <c r="P481" i="2"/>
  <c r="H481" i="2"/>
  <c r="AK487" i="2"/>
  <c r="AC487" i="2"/>
  <c r="U487" i="2"/>
  <c r="M487" i="2"/>
  <c r="E487" i="2"/>
  <c r="AG481" i="2"/>
  <c r="Y481" i="2"/>
  <c r="Q481" i="2"/>
  <c r="I481" i="2"/>
  <c r="AH487" i="2"/>
  <c r="Z487" i="2"/>
  <c r="R487" i="2"/>
  <c r="J487" i="2"/>
  <c r="AD481" i="2"/>
  <c r="V481" i="2"/>
  <c r="N481" i="2"/>
  <c r="F481" i="2"/>
  <c r="AG487" i="2"/>
  <c r="Y487" i="2"/>
  <c r="Q487" i="2"/>
  <c r="I487" i="2"/>
  <c r="AK481" i="2"/>
  <c r="AC481" i="2"/>
  <c r="U481" i="2"/>
  <c r="M481" i="2"/>
  <c r="E481" i="2"/>
  <c r="AJ487" i="2"/>
  <c r="AB487" i="2"/>
  <c r="T487" i="2"/>
  <c r="L487" i="2"/>
  <c r="AF487" i="2"/>
  <c r="X487" i="2"/>
  <c r="P487" i="2"/>
  <c r="H487" i="2"/>
  <c r="AJ481" i="2"/>
  <c r="AB481" i="2"/>
  <c r="T481" i="2"/>
  <c r="L481" i="2"/>
  <c r="D481" i="2"/>
  <c r="C487" i="2"/>
  <c r="AE487" i="2"/>
  <c r="W487" i="2"/>
  <c r="O487" i="2"/>
  <c r="G487" i="2"/>
  <c r="AI481" i="2"/>
  <c r="AA481" i="2"/>
  <c r="S481" i="2"/>
  <c r="K481" i="2"/>
  <c r="D487" i="2"/>
  <c r="AD487" i="2"/>
  <c r="V487" i="2"/>
  <c r="N487" i="2"/>
  <c r="F487" i="2"/>
  <c r="AH481" i="2"/>
  <c r="Z481" i="2"/>
  <c r="R481" i="2"/>
  <c r="J481" i="2"/>
  <c r="AE476" i="2"/>
  <c r="AD453" i="2"/>
  <c r="V453" i="2"/>
  <c r="N453" i="2"/>
  <c r="F453" i="2"/>
  <c r="AI472" i="2"/>
  <c r="AA472" i="2"/>
  <c r="S472" i="2"/>
  <c r="K472" i="2"/>
  <c r="AE473" i="2"/>
  <c r="W473" i="2"/>
  <c r="O473" i="2"/>
  <c r="G473" i="2"/>
  <c r="AH472" i="2"/>
  <c r="Z472" i="2"/>
  <c r="R472" i="2"/>
  <c r="J472" i="2"/>
  <c r="C472" i="2"/>
  <c r="C475" i="2"/>
  <c r="AI466" i="2"/>
  <c r="AA466" i="2"/>
  <c r="S466" i="2"/>
  <c r="K466" i="2"/>
  <c r="AD466" i="2"/>
  <c r="V466" i="2"/>
  <c r="N466" i="2"/>
  <c r="F466" i="2"/>
  <c r="AK460" i="2"/>
  <c r="AC460" i="2"/>
  <c r="U460" i="2"/>
  <c r="M460" i="2"/>
  <c r="E460" i="2"/>
  <c r="AJ453" i="2"/>
  <c r="AB453" i="2"/>
  <c r="T453" i="2"/>
  <c r="L453" i="2"/>
  <c r="D453" i="2"/>
  <c r="W476" i="2"/>
  <c r="O476" i="2"/>
  <c r="G476" i="2"/>
  <c r="AH475" i="2"/>
  <c r="Z475" i="2"/>
  <c r="R475" i="2"/>
  <c r="J475" i="2"/>
  <c r="AD473" i="2"/>
  <c r="V473" i="2"/>
  <c r="N473" i="2"/>
  <c r="F473" i="2"/>
  <c r="AG472" i="2"/>
  <c r="Y472" i="2"/>
  <c r="Q472" i="2"/>
  <c r="I472" i="2"/>
  <c r="AE475" i="2"/>
  <c r="W475" i="2"/>
  <c r="O475" i="2"/>
  <c r="G475" i="2"/>
  <c r="AD472" i="2"/>
  <c r="V472" i="2"/>
  <c r="N472" i="2"/>
  <c r="F472" i="2"/>
  <c r="AG476" i="2"/>
  <c r="Y476" i="2"/>
  <c r="Q476" i="2"/>
  <c r="I476" i="2"/>
  <c r="AJ475" i="2"/>
  <c r="AB475" i="2"/>
  <c r="T475" i="2"/>
  <c r="L475" i="2"/>
  <c r="D475" i="2"/>
  <c r="AF473" i="2"/>
  <c r="X473" i="2"/>
  <c r="P473" i="2"/>
  <c r="H473" i="2"/>
  <c r="C476" i="2"/>
  <c r="AD476" i="2"/>
  <c r="V476" i="2"/>
  <c r="N476" i="2"/>
  <c r="F476" i="2"/>
  <c r="AG475" i="2"/>
  <c r="Y475" i="2"/>
  <c r="Q475" i="2"/>
  <c r="I475" i="2"/>
  <c r="AK473" i="2"/>
  <c r="AC473" i="2"/>
  <c r="U473" i="2"/>
  <c r="M473" i="2"/>
  <c r="E473" i="2"/>
  <c r="AF472" i="2"/>
  <c r="X472" i="2"/>
  <c r="P472" i="2"/>
  <c r="H472" i="2"/>
  <c r="AJ473" i="2"/>
  <c r="AB473" i="2"/>
  <c r="T473" i="2"/>
  <c r="L473" i="2"/>
  <c r="D473" i="2"/>
  <c r="AE472" i="2"/>
  <c r="W472" i="2"/>
  <c r="O472" i="2"/>
  <c r="G472" i="2"/>
  <c r="AJ476" i="2"/>
  <c r="AB476" i="2"/>
  <c r="T476" i="2"/>
  <c r="L476" i="2"/>
  <c r="D476" i="2"/>
  <c r="AI473" i="2"/>
  <c r="AA473" i="2"/>
  <c r="S473" i="2"/>
  <c r="K473" i="2"/>
  <c r="AK476" i="2"/>
  <c r="U476" i="2"/>
  <c r="E476" i="2"/>
  <c r="X475" i="2"/>
  <c r="P475" i="2"/>
  <c r="AI476" i="2"/>
  <c r="AA476" i="2"/>
  <c r="S476" i="2"/>
  <c r="K476" i="2"/>
  <c r="AD475" i="2"/>
  <c r="V475" i="2"/>
  <c r="N475" i="2"/>
  <c r="F475" i="2"/>
  <c r="AH473" i="2"/>
  <c r="Z473" i="2"/>
  <c r="R473" i="2"/>
  <c r="J473" i="2"/>
  <c r="AK472" i="2"/>
  <c r="AC472" i="2"/>
  <c r="U472" i="2"/>
  <c r="M472" i="2"/>
  <c r="E472" i="2"/>
  <c r="AC476" i="2"/>
  <c r="M476" i="2"/>
  <c r="AF475" i="2"/>
  <c r="H475" i="2"/>
  <c r="AE453" i="2"/>
  <c r="W453" i="2"/>
  <c r="O453" i="2"/>
  <c r="G453" i="2"/>
  <c r="AH476" i="2"/>
  <c r="Z476" i="2"/>
  <c r="R476" i="2"/>
  <c r="J476" i="2"/>
  <c r="AK475" i="2"/>
  <c r="AC475" i="2"/>
  <c r="U475" i="2"/>
  <c r="M475" i="2"/>
  <c r="E475" i="2"/>
  <c r="AG473" i="2"/>
  <c r="Y473" i="2"/>
  <c r="Q473" i="2"/>
  <c r="I473" i="2"/>
  <c r="AJ472" i="2"/>
  <c r="AB472" i="2"/>
  <c r="T472" i="2"/>
  <c r="L472" i="2"/>
  <c r="D472" i="2"/>
  <c r="AF476" i="2"/>
  <c r="X476" i="2"/>
  <c r="P476" i="2"/>
  <c r="H476" i="2"/>
  <c r="AI475" i="2"/>
  <c r="AA475" i="2"/>
  <c r="S475" i="2"/>
  <c r="K475" i="2"/>
  <c r="AE466" i="2"/>
  <c r="W466" i="2"/>
  <c r="O466" i="2"/>
  <c r="G466" i="2"/>
  <c r="AH453" i="2"/>
  <c r="Z453" i="2"/>
  <c r="R453" i="2"/>
  <c r="J453" i="2"/>
  <c r="AK453" i="2"/>
  <c r="AC453" i="2"/>
  <c r="U453" i="2"/>
  <c r="M453" i="2"/>
  <c r="E453" i="2"/>
  <c r="AF466" i="2"/>
  <c r="AI453" i="2"/>
  <c r="AA453" i="2"/>
  <c r="S453" i="2"/>
  <c r="K453" i="2"/>
  <c r="H466" i="2"/>
  <c r="P466" i="2"/>
  <c r="C453" i="2"/>
  <c r="AG453" i="2"/>
  <c r="Y453" i="2"/>
  <c r="Q453" i="2"/>
  <c r="I453" i="2"/>
  <c r="AF453" i="2"/>
  <c r="X453" i="2"/>
  <c r="P453" i="2"/>
  <c r="H453" i="2"/>
  <c r="X466" i="2"/>
  <c r="C473" i="2"/>
  <c r="C466" i="2"/>
  <c r="AK466" i="2"/>
  <c r="AC466" i="2"/>
  <c r="U466" i="2"/>
  <c r="M466" i="2"/>
  <c r="E466" i="2"/>
  <c r="AJ460" i="2"/>
  <c r="AB460" i="2"/>
  <c r="T460" i="2"/>
  <c r="L460" i="2"/>
  <c r="D460" i="2"/>
  <c r="AJ466" i="2"/>
  <c r="AB466" i="2"/>
  <c r="T466" i="2"/>
  <c r="L466" i="2"/>
  <c r="D466" i="2"/>
  <c r="AH466" i="2"/>
  <c r="Z466" i="2"/>
  <c r="R466" i="2"/>
  <c r="J466" i="2"/>
  <c r="C447" i="2"/>
  <c r="AG466" i="2"/>
  <c r="Y466" i="2"/>
  <c r="Q466" i="2"/>
  <c r="I466" i="2"/>
  <c r="AI460" i="2"/>
  <c r="AA460" i="2"/>
  <c r="S460" i="2"/>
  <c r="K460" i="2"/>
  <c r="AE460" i="2"/>
  <c r="W460" i="2"/>
  <c r="O460" i="2"/>
  <c r="G460" i="2"/>
  <c r="AH460" i="2"/>
  <c r="Z460" i="2"/>
  <c r="R460" i="2"/>
  <c r="J460" i="2"/>
  <c r="AH447" i="2"/>
  <c r="Z447" i="2"/>
  <c r="R447" i="2"/>
  <c r="J447" i="2"/>
  <c r="AF447" i="2"/>
  <c r="X447" i="2"/>
  <c r="P447" i="2"/>
  <c r="H447" i="2"/>
  <c r="I460" i="2"/>
  <c r="H460" i="2"/>
  <c r="Y460" i="2"/>
  <c r="P460" i="2"/>
  <c r="AG460" i="2"/>
  <c r="Q460" i="2"/>
  <c r="AF460" i="2"/>
  <c r="X460" i="2"/>
  <c r="C460" i="2"/>
  <c r="AD460" i="2"/>
  <c r="V460" i="2"/>
  <c r="N460" i="2"/>
  <c r="F460" i="2"/>
  <c r="AE447" i="2"/>
  <c r="W447" i="2"/>
  <c r="O447" i="2"/>
  <c r="G447" i="2"/>
  <c r="AK447" i="2"/>
  <c r="AC447" i="2"/>
  <c r="U447" i="2"/>
  <c r="M447" i="2"/>
  <c r="E447" i="2"/>
  <c r="AD447" i="2"/>
  <c r="V447" i="2"/>
  <c r="N447" i="2"/>
  <c r="F447" i="2"/>
  <c r="AG447" i="2"/>
  <c r="Y447" i="2"/>
  <c r="Q447" i="2"/>
  <c r="I447" i="2"/>
  <c r="AJ447" i="2"/>
  <c r="AB447" i="2"/>
  <c r="T447" i="2"/>
  <c r="L447" i="2"/>
  <c r="D447" i="2"/>
  <c r="AI447" i="2"/>
  <c r="AA447" i="2"/>
  <c r="S447" i="2"/>
  <c r="K447" i="2"/>
  <c r="AI508" i="2" l="1"/>
  <c r="S508" i="2"/>
  <c r="E508" i="2"/>
  <c r="K508" i="2"/>
  <c r="AA508" i="2"/>
  <c r="M508" i="2"/>
  <c r="P511" i="2"/>
  <c r="I508" i="2"/>
  <c r="AK511" i="2"/>
  <c r="AD511" i="2"/>
  <c r="AC511" i="2"/>
  <c r="X511" i="2"/>
  <c r="AH508" i="2"/>
  <c r="D508" i="2"/>
  <c r="AF511" i="2"/>
  <c r="N508" i="2"/>
  <c r="Q508" i="2"/>
  <c r="L508" i="2"/>
  <c r="AG508" i="2"/>
  <c r="G511" i="2"/>
  <c r="J511" i="2"/>
  <c r="R508" i="2"/>
  <c r="D511" i="2"/>
  <c r="AH511" i="2"/>
  <c r="V508" i="2"/>
  <c r="H508" i="2"/>
  <c r="K511" i="2"/>
  <c r="L511" i="2"/>
  <c r="Z508" i="2"/>
  <c r="T508" i="2"/>
  <c r="I511" i="2"/>
  <c r="X508" i="2"/>
  <c r="C511" i="2"/>
  <c r="O511" i="2"/>
  <c r="AJ511" i="2"/>
  <c r="U508" i="2"/>
  <c r="AJ508" i="2"/>
  <c r="AE511" i="2"/>
  <c r="F508" i="2"/>
  <c r="AC508" i="2"/>
  <c r="F511" i="2"/>
  <c r="AK508" i="2"/>
  <c r="AD508" i="2"/>
  <c r="Y508" i="2"/>
  <c r="G508" i="2"/>
  <c r="AI511" i="2"/>
  <c r="N511" i="2"/>
  <c r="T511" i="2"/>
  <c r="V511" i="2"/>
  <c r="AB508" i="2"/>
  <c r="AB511" i="2"/>
  <c r="Q511" i="2"/>
  <c r="E511" i="2"/>
  <c r="AF508" i="2"/>
  <c r="O508" i="2"/>
  <c r="S511" i="2"/>
  <c r="J508" i="2"/>
  <c r="W511" i="2"/>
  <c r="H511" i="2"/>
  <c r="AG511" i="2"/>
  <c r="Z511" i="2"/>
  <c r="U511" i="2"/>
  <c r="C508" i="2"/>
  <c r="AE508" i="2"/>
  <c r="AA511" i="2"/>
  <c r="P508" i="2"/>
  <c r="W508" i="2"/>
  <c r="Y511" i="2"/>
  <c r="R511" i="2"/>
  <c r="M511" i="2"/>
  <c r="U474" i="2"/>
  <c r="T477" i="2"/>
  <c r="L477" i="2"/>
  <c r="P477" i="2"/>
  <c r="I477" i="2"/>
  <c r="S477" i="2"/>
  <c r="F477" i="2"/>
  <c r="M474" i="2"/>
  <c r="K477" i="2"/>
  <c r="N477" i="2"/>
  <c r="V477" i="2"/>
  <c r="AD477" i="2"/>
  <c r="AA474" i="2"/>
  <c r="Q474" i="2"/>
  <c r="E474" i="2"/>
  <c r="AJ477" i="2"/>
  <c r="O477" i="2"/>
  <c r="AE477" i="2"/>
  <c r="AA477" i="2"/>
  <c r="AK474" i="2"/>
  <c r="AI477" i="2"/>
  <c r="G477" i="2"/>
  <c r="W477" i="2"/>
  <c r="AC474" i="2"/>
  <c r="D477" i="2"/>
  <c r="Z474" i="2"/>
  <c r="K474" i="2"/>
  <c r="AB477" i="2"/>
  <c r="AG474" i="2"/>
  <c r="T474" i="2"/>
  <c r="AB474" i="2"/>
  <c r="V474" i="2"/>
  <c r="G474" i="2"/>
  <c r="AG477" i="2"/>
  <c r="Z477" i="2"/>
  <c r="C477" i="2"/>
  <c r="L474" i="2"/>
  <c r="AD474" i="2"/>
  <c r="AH474" i="2"/>
  <c r="AE474" i="2"/>
  <c r="P474" i="2"/>
  <c r="O474" i="2"/>
  <c r="AH477" i="2"/>
  <c r="AI474" i="2"/>
  <c r="Y474" i="2"/>
  <c r="X474" i="2"/>
  <c r="AJ474" i="2"/>
  <c r="H477" i="2"/>
  <c r="E477" i="2"/>
  <c r="S474" i="2"/>
  <c r="I474" i="2"/>
  <c r="W474" i="2"/>
  <c r="H474" i="2"/>
  <c r="C474" i="2"/>
  <c r="M477" i="2"/>
  <c r="AF474" i="2"/>
  <c r="AK477" i="2"/>
  <c r="U477" i="2"/>
  <c r="AF477" i="2"/>
  <c r="AC477" i="2"/>
  <c r="D474" i="2"/>
  <c r="F474" i="2"/>
  <c r="J474" i="2"/>
  <c r="Q477" i="2"/>
  <c r="J477" i="2"/>
  <c r="X477" i="2"/>
  <c r="N474" i="2"/>
  <c r="R474" i="2"/>
  <c r="Y477" i="2"/>
  <c r="R477" i="2"/>
  <c r="C419" i="2" l="1"/>
  <c r="D419" i="2"/>
  <c r="E419" i="2"/>
  <c r="F419" i="2"/>
  <c r="G419" i="2"/>
  <c r="H419" i="2"/>
  <c r="C433" i="2" s="1"/>
  <c r="I419" i="2"/>
  <c r="J419" i="2"/>
  <c r="K419" i="2"/>
  <c r="L419" i="2"/>
  <c r="M419" i="2"/>
  <c r="N419" i="2"/>
  <c r="O419" i="2"/>
  <c r="P419" i="2"/>
  <c r="Q419" i="2"/>
  <c r="R419" i="2"/>
  <c r="D433" i="2" s="1"/>
  <c r="S419" i="2"/>
  <c r="T419" i="2"/>
  <c r="U419" i="2"/>
  <c r="V419" i="2"/>
  <c r="W419" i="2"/>
  <c r="X419" i="2"/>
  <c r="Y419" i="2"/>
  <c r="Z419" i="2"/>
  <c r="AA419" i="2"/>
  <c r="AB419" i="2"/>
  <c r="E433" i="2" s="1"/>
  <c r="AC419" i="2"/>
  <c r="AD419" i="2"/>
  <c r="AE419" i="2"/>
  <c r="AF419" i="2"/>
  <c r="AG419" i="2"/>
  <c r="AH419" i="2"/>
  <c r="AI419" i="2"/>
  <c r="AJ419" i="2"/>
  <c r="AK419" i="2"/>
  <c r="AL419" i="2"/>
  <c r="F433" i="2" s="1"/>
  <c r="C421" i="2"/>
  <c r="D421" i="2"/>
  <c r="E421" i="2"/>
  <c r="F421" i="2"/>
  <c r="G421" i="2"/>
  <c r="H421" i="2"/>
  <c r="C435" i="2" s="1"/>
  <c r="I421" i="2"/>
  <c r="J421" i="2"/>
  <c r="K421" i="2"/>
  <c r="L421" i="2"/>
  <c r="M421" i="2"/>
  <c r="N421" i="2"/>
  <c r="O421" i="2"/>
  <c r="P421" i="2"/>
  <c r="Q421" i="2"/>
  <c r="R421" i="2"/>
  <c r="D435" i="2" s="1"/>
  <c r="S421" i="2"/>
  <c r="T421" i="2"/>
  <c r="U421" i="2"/>
  <c r="V421" i="2"/>
  <c r="W421" i="2"/>
  <c r="X421" i="2"/>
  <c r="Y421" i="2"/>
  <c r="Z421" i="2"/>
  <c r="AA421" i="2"/>
  <c r="AB421" i="2"/>
  <c r="E435" i="2" s="1"/>
  <c r="AC421" i="2"/>
  <c r="AD421" i="2"/>
  <c r="AE421" i="2"/>
  <c r="AF421" i="2"/>
  <c r="AG421" i="2"/>
  <c r="AH421" i="2"/>
  <c r="AI421" i="2"/>
  <c r="AJ421" i="2"/>
  <c r="AK421" i="2"/>
  <c r="AL421" i="2"/>
  <c r="F435" i="2" s="1"/>
  <c r="C422" i="2"/>
  <c r="D422" i="2"/>
  <c r="E422" i="2"/>
  <c r="F422" i="2"/>
  <c r="G422" i="2"/>
  <c r="H422" i="2"/>
  <c r="C436" i="2" s="1"/>
  <c r="I422" i="2"/>
  <c r="J422" i="2"/>
  <c r="K422" i="2"/>
  <c r="L422" i="2"/>
  <c r="M422" i="2"/>
  <c r="N422" i="2"/>
  <c r="O422" i="2"/>
  <c r="P422" i="2"/>
  <c r="Q422" i="2"/>
  <c r="R422" i="2"/>
  <c r="D436" i="2" s="1"/>
  <c r="S422" i="2"/>
  <c r="T422" i="2"/>
  <c r="U422" i="2"/>
  <c r="V422" i="2"/>
  <c r="W422" i="2"/>
  <c r="X422" i="2"/>
  <c r="Y422" i="2"/>
  <c r="Z422" i="2"/>
  <c r="AA422" i="2"/>
  <c r="AB422" i="2"/>
  <c r="E436" i="2" s="1"/>
  <c r="AC422" i="2"/>
  <c r="AD422" i="2"/>
  <c r="AE422" i="2"/>
  <c r="AF422" i="2"/>
  <c r="AG422" i="2"/>
  <c r="AH422" i="2"/>
  <c r="AI422" i="2"/>
  <c r="AJ422" i="2"/>
  <c r="AK422" i="2"/>
  <c r="AL422" i="2"/>
  <c r="F436" i="2" s="1"/>
  <c r="C424" i="2"/>
  <c r="D424" i="2"/>
  <c r="E424" i="2"/>
  <c r="F424" i="2"/>
  <c r="G424" i="2"/>
  <c r="H424" i="2"/>
  <c r="C438" i="2" s="1"/>
  <c r="I424" i="2"/>
  <c r="J424" i="2"/>
  <c r="K424" i="2"/>
  <c r="L424" i="2"/>
  <c r="M424" i="2"/>
  <c r="N424" i="2"/>
  <c r="O424" i="2"/>
  <c r="P424" i="2"/>
  <c r="Q424" i="2"/>
  <c r="R424" i="2"/>
  <c r="D438" i="2" s="1"/>
  <c r="S424" i="2"/>
  <c r="T424" i="2"/>
  <c r="U424" i="2"/>
  <c r="V424" i="2"/>
  <c r="W424" i="2"/>
  <c r="X424" i="2"/>
  <c r="Y424" i="2"/>
  <c r="Z424" i="2"/>
  <c r="AA424" i="2"/>
  <c r="AB424" i="2"/>
  <c r="E438" i="2" s="1"/>
  <c r="AC424" i="2"/>
  <c r="AD424" i="2"/>
  <c r="AE424" i="2"/>
  <c r="AF424" i="2"/>
  <c r="AG424" i="2"/>
  <c r="AH424" i="2"/>
  <c r="AI424" i="2"/>
  <c r="AJ424" i="2"/>
  <c r="AK424" i="2"/>
  <c r="AL424" i="2"/>
  <c r="F438" i="2" s="1"/>
  <c r="C426" i="2"/>
  <c r="D426" i="2"/>
  <c r="E426" i="2"/>
  <c r="F426" i="2"/>
  <c r="G426" i="2"/>
  <c r="H426" i="2"/>
  <c r="C440" i="2" s="1"/>
  <c r="I426" i="2"/>
  <c r="J426" i="2"/>
  <c r="K426" i="2"/>
  <c r="L426" i="2"/>
  <c r="M426" i="2"/>
  <c r="N426" i="2"/>
  <c r="O426" i="2"/>
  <c r="P426" i="2"/>
  <c r="Q426" i="2"/>
  <c r="R426" i="2"/>
  <c r="D440" i="2" s="1"/>
  <c r="S426" i="2"/>
  <c r="T426" i="2"/>
  <c r="U426" i="2"/>
  <c r="V426" i="2"/>
  <c r="W426" i="2"/>
  <c r="X426" i="2"/>
  <c r="Y426" i="2"/>
  <c r="Z426" i="2"/>
  <c r="AA426" i="2"/>
  <c r="AB426" i="2"/>
  <c r="E440" i="2" s="1"/>
  <c r="AC426" i="2"/>
  <c r="AD426" i="2"/>
  <c r="AE426" i="2"/>
  <c r="AF426" i="2"/>
  <c r="AG426" i="2"/>
  <c r="AH426" i="2"/>
  <c r="AI426" i="2"/>
  <c r="AJ426" i="2"/>
  <c r="AK426" i="2"/>
  <c r="AL426" i="2"/>
  <c r="F440" i="2" s="1"/>
  <c r="C425" i="2"/>
  <c r="D425" i="2"/>
  <c r="E425" i="2"/>
  <c r="F425" i="2"/>
  <c r="G425" i="2"/>
  <c r="H425" i="2"/>
  <c r="C439" i="2" s="1"/>
  <c r="I425" i="2"/>
  <c r="J425" i="2"/>
  <c r="K425" i="2"/>
  <c r="L425" i="2"/>
  <c r="M425" i="2"/>
  <c r="N425" i="2"/>
  <c r="O425" i="2"/>
  <c r="P425" i="2"/>
  <c r="Q425" i="2"/>
  <c r="R425" i="2"/>
  <c r="D439" i="2" s="1"/>
  <c r="S425" i="2"/>
  <c r="T425" i="2"/>
  <c r="U425" i="2"/>
  <c r="V425" i="2"/>
  <c r="W425" i="2"/>
  <c r="X425" i="2"/>
  <c r="Y425" i="2"/>
  <c r="Z425" i="2"/>
  <c r="AA425" i="2"/>
  <c r="AB425" i="2"/>
  <c r="E439" i="2" s="1"/>
  <c r="AC425" i="2"/>
  <c r="AD425" i="2"/>
  <c r="AE425" i="2"/>
  <c r="AF425" i="2"/>
  <c r="AG425" i="2"/>
  <c r="AH425" i="2"/>
  <c r="AI425" i="2"/>
  <c r="AJ425" i="2"/>
  <c r="AK425" i="2"/>
  <c r="AL425" i="2"/>
  <c r="F439" i="2" s="1"/>
  <c r="AJ428" i="2" l="1"/>
  <c r="AB428" i="2"/>
  <c r="E442" i="2" s="1"/>
  <c r="T428" i="2"/>
  <c r="L428" i="2"/>
  <c r="D428" i="2"/>
  <c r="AL428" i="2"/>
  <c r="F442" i="2" s="1"/>
  <c r="AD428" i="2"/>
  <c r="V428" i="2"/>
  <c r="N428" i="2"/>
  <c r="F428" i="2"/>
  <c r="AH427" i="2"/>
  <c r="Z427" i="2"/>
  <c r="R427" i="2"/>
  <c r="D441" i="2" s="1"/>
  <c r="J427" i="2"/>
  <c r="AH418" i="2"/>
  <c r="J418" i="2"/>
  <c r="AI428" i="2"/>
  <c r="AA428" i="2"/>
  <c r="S428" i="2"/>
  <c r="K428" i="2"/>
  <c r="C428" i="2"/>
  <c r="AE427" i="2"/>
  <c r="W427" i="2"/>
  <c r="O427" i="2"/>
  <c r="G427" i="2"/>
  <c r="AK429" i="2"/>
  <c r="AC429" i="2"/>
  <c r="U429" i="2"/>
  <c r="M429" i="2"/>
  <c r="E429" i="2"/>
  <c r="AK428" i="2"/>
  <c r="AC428" i="2"/>
  <c r="U428" i="2"/>
  <c r="M428" i="2"/>
  <c r="E428" i="2"/>
  <c r="AG427" i="2"/>
  <c r="Y427" i="2"/>
  <c r="Q427" i="2"/>
  <c r="I427" i="2"/>
  <c r="AG420" i="2"/>
  <c r="Y420" i="2"/>
  <c r="Q420" i="2"/>
  <c r="I420" i="2"/>
  <c r="AK423" i="2"/>
  <c r="AC423" i="2"/>
  <c r="U423" i="2"/>
  <c r="M423" i="2"/>
  <c r="E423" i="2"/>
  <c r="AG418" i="2"/>
  <c r="Y418" i="2"/>
  <c r="Q418" i="2"/>
  <c r="I418" i="2"/>
  <c r="V429" i="2"/>
  <c r="Z420" i="2"/>
  <c r="AD423" i="2"/>
  <c r="AJ429" i="2"/>
  <c r="AB429" i="2"/>
  <c r="E443" i="2" s="1"/>
  <c r="T429" i="2"/>
  <c r="L429" i="2"/>
  <c r="D429" i="2"/>
  <c r="AF427" i="2"/>
  <c r="X427" i="2"/>
  <c r="P427" i="2"/>
  <c r="H427" i="2"/>
  <c r="C441" i="2" s="1"/>
  <c r="AF420" i="2"/>
  <c r="X420" i="2"/>
  <c r="P420" i="2"/>
  <c r="H420" i="2"/>
  <c r="C434" i="2" s="1"/>
  <c r="AJ423" i="2"/>
  <c r="AB423" i="2"/>
  <c r="E437" i="2" s="1"/>
  <c r="T423" i="2"/>
  <c r="L423" i="2"/>
  <c r="D423" i="2"/>
  <c r="AF418" i="2"/>
  <c r="X418" i="2"/>
  <c r="P418" i="2"/>
  <c r="H418" i="2"/>
  <c r="C432" i="2" s="1"/>
  <c r="AI429" i="2"/>
  <c r="K429" i="2"/>
  <c r="AE420" i="2"/>
  <c r="O420" i="2"/>
  <c r="AI423" i="2"/>
  <c r="S423" i="2"/>
  <c r="K423" i="2"/>
  <c r="AE418" i="2"/>
  <c r="G418" i="2"/>
  <c r="AL429" i="2"/>
  <c r="F443" i="2" s="1"/>
  <c r="F429" i="2"/>
  <c r="AH420" i="2"/>
  <c r="AL423" i="2"/>
  <c r="F437" i="2" s="1"/>
  <c r="F423" i="2"/>
  <c r="S429" i="2"/>
  <c r="W420" i="2"/>
  <c r="G420" i="2"/>
  <c r="AA423" i="2"/>
  <c r="C423" i="2"/>
  <c r="O418" i="2"/>
  <c r="AH429" i="2"/>
  <c r="Z429" i="2"/>
  <c r="R429" i="2"/>
  <c r="D443" i="2" s="1"/>
  <c r="J429" i="2"/>
  <c r="AH428" i="2"/>
  <c r="Z428" i="2"/>
  <c r="R428" i="2"/>
  <c r="D442" i="2" s="1"/>
  <c r="J428" i="2"/>
  <c r="AL427" i="2"/>
  <c r="F441" i="2" s="1"/>
  <c r="AD427" i="2"/>
  <c r="V427" i="2"/>
  <c r="N427" i="2"/>
  <c r="F427" i="2"/>
  <c r="AL420" i="2"/>
  <c r="F434" i="2" s="1"/>
  <c r="AD420" i="2"/>
  <c r="V420" i="2"/>
  <c r="N420" i="2"/>
  <c r="F420" i="2"/>
  <c r="AH423" i="2"/>
  <c r="Z423" i="2"/>
  <c r="R423" i="2"/>
  <c r="D437" i="2" s="1"/>
  <c r="J423" i="2"/>
  <c r="AL418" i="2"/>
  <c r="F432" i="2" s="1"/>
  <c r="AD418" i="2"/>
  <c r="V418" i="2"/>
  <c r="N418" i="2"/>
  <c r="F418" i="2"/>
  <c r="AD429" i="2"/>
  <c r="J420" i="2"/>
  <c r="N423" i="2"/>
  <c r="R418" i="2"/>
  <c r="D432" i="2" s="1"/>
  <c r="AA429" i="2"/>
  <c r="C429" i="2"/>
  <c r="W418" i="2"/>
  <c r="AG429" i="2"/>
  <c r="Y429" i="2"/>
  <c r="Q429" i="2"/>
  <c r="I429" i="2"/>
  <c r="AG428" i="2"/>
  <c r="Y428" i="2"/>
  <c r="Q428" i="2"/>
  <c r="I428" i="2"/>
  <c r="AK427" i="2"/>
  <c r="AC427" i="2"/>
  <c r="U427" i="2"/>
  <c r="M427" i="2"/>
  <c r="E427" i="2"/>
  <c r="AK420" i="2"/>
  <c r="AC420" i="2"/>
  <c r="U420" i="2"/>
  <c r="M420" i="2"/>
  <c r="E420" i="2"/>
  <c r="AG423" i="2"/>
  <c r="Y423" i="2"/>
  <c r="Q423" i="2"/>
  <c r="I423" i="2"/>
  <c r="AK418" i="2"/>
  <c r="AC418" i="2"/>
  <c r="U418" i="2"/>
  <c r="M418" i="2"/>
  <c r="E418" i="2"/>
  <c r="AF429" i="2"/>
  <c r="X429" i="2"/>
  <c r="P429" i="2"/>
  <c r="H429" i="2"/>
  <c r="C443" i="2" s="1"/>
  <c r="AF428" i="2"/>
  <c r="X428" i="2"/>
  <c r="P428" i="2"/>
  <c r="H428" i="2"/>
  <c r="C442" i="2" s="1"/>
  <c r="AJ427" i="2"/>
  <c r="AB427" i="2"/>
  <c r="E441" i="2" s="1"/>
  <c r="T427" i="2"/>
  <c r="L427" i="2"/>
  <c r="D427" i="2"/>
  <c r="AJ420" i="2"/>
  <c r="AB420" i="2"/>
  <c r="E434" i="2" s="1"/>
  <c r="T420" i="2"/>
  <c r="L420" i="2"/>
  <c r="D420" i="2"/>
  <c r="AF423" i="2"/>
  <c r="X423" i="2"/>
  <c r="P423" i="2"/>
  <c r="H423" i="2"/>
  <c r="C437" i="2" s="1"/>
  <c r="AJ418" i="2"/>
  <c r="AB418" i="2"/>
  <c r="E432" i="2" s="1"/>
  <c r="T418" i="2"/>
  <c r="L418" i="2"/>
  <c r="D418" i="2"/>
  <c r="N429" i="2"/>
  <c r="R420" i="2"/>
  <c r="D434" i="2" s="1"/>
  <c r="V423" i="2"/>
  <c r="Z418" i="2"/>
  <c r="AE429" i="2"/>
  <c r="W429" i="2"/>
  <c r="O429" i="2"/>
  <c r="G429" i="2"/>
  <c r="AE428" i="2"/>
  <c r="W428" i="2"/>
  <c r="O428" i="2"/>
  <c r="G428" i="2"/>
  <c r="AI427" i="2"/>
  <c r="AA427" i="2"/>
  <c r="S427" i="2"/>
  <c r="K427" i="2"/>
  <c r="C427" i="2"/>
  <c r="AI420" i="2"/>
  <c r="AA420" i="2"/>
  <c r="S420" i="2"/>
  <c r="K420" i="2"/>
  <c r="C420" i="2"/>
  <c r="AE423" i="2"/>
  <c r="W423" i="2"/>
  <c r="O423" i="2"/>
  <c r="G423" i="2"/>
  <c r="AI418" i="2"/>
  <c r="AA418" i="2"/>
  <c r="S418" i="2"/>
  <c r="K418" i="2"/>
  <c r="C418" i="2"/>
  <c r="D362" i="2"/>
  <c r="T365" i="2"/>
  <c r="L367" i="2"/>
  <c r="AB363" i="2"/>
  <c r="X368" i="2"/>
  <c r="P368" i="2"/>
  <c r="AJ367" i="2"/>
  <c r="AB367" i="2"/>
  <c r="T367" i="2"/>
  <c r="AF366" i="2"/>
  <c r="X366" i="2"/>
  <c r="H366" i="2"/>
  <c r="AJ365" i="2"/>
  <c r="AB365" i="2"/>
  <c r="D365" i="2"/>
  <c r="AF364" i="2"/>
  <c r="P364" i="2"/>
  <c r="H364" i="2"/>
  <c r="AJ363" i="2"/>
  <c r="L363" i="2"/>
  <c r="D363" i="2"/>
  <c r="X362" i="2"/>
  <c r="P362" i="2"/>
  <c r="H362" i="2"/>
  <c r="AF368" i="2"/>
  <c r="H368" i="2"/>
  <c r="D367" i="2"/>
  <c r="P366" i="2"/>
  <c r="L365" i="2"/>
  <c r="X364" i="2"/>
  <c r="T363" i="2"/>
  <c r="AF362" i="2"/>
  <c r="AE362" i="2"/>
  <c r="W362" i="2"/>
  <c r="O362" i="2"/>
  <c r="G362" i="2"/>
  <c r="AI368" i="2"/>
  <c r="AA368" i="2"/>
  <c r="S368" i="2"/>
  <c r="K368" i="2"/>
  <c r="C368" i="2"/>
  <c r="AE367" i="2"/>
  <c r="W367" i="2"/>
  <c r="O367" i="2"/>
  <c r="G367" i="2"/>
  <c r="AI366" i="2"/>
  <c r="AA366" i="2"/>
  <c r="S366" i="2"/>
  <c r="K366" i="2"/>
  <c r="C366" i="2"/>
  <c r="AE365" i="2"/>
  <c r="W365" i="2"/>
  <c r="O365" i="2"/>
  <c r="G365" i="2"/>
  <c r="AI364" i="2"/>
  <c r="AA364" i="2"/>
  <c r="S364" i="2"/>
  <c r="K364" i="2"/>
  <c r="C364" i="2"/>
  <c r="AE363" i="2"/>
  <c r="W363" i="2"/>
  <c r="O363" i="2"/>
  <c r="G363" i="2"/>
  <c r="AI362" i="2"/>
  <c r="AA362" i="2"/>
  <c r="S362" i="2"/>
  <c r="K362" i="2"/>
  <c r="AH368" i="2"/>
  <c r="Z368" i="2"/>
  <c r="R368" i="2"/>
  <c r="J368" i="2"/>
  <c r="AL367" i="2"/>
  <c r="AD367" i="2"/>
  <c r="V367" i="2"/>
  <c r="N367" i="2"/>
  <c r="F367" i="2"/>
  <c r="AH366" i="2"/>
  <c r="Z366" i="2"/>
  <c r="R366" i="2"/>
  <c r="J366" i="2"/>
  <c r="AL365" i="2"/>
  <c r="AD365" i="2"/>
  <c r="V365" i="2"/>
  <c r="N365" i="2"/>
  <c r="F365" i="2"/>
  <c r="AH364" i="2"/>
  <c r="Z364" i="2"/>
  <c r="R364" i="2"/>
  <c r="J364" i="2"/>
  <c r="AL363" i="2"/>
  <c r="AD363" i="2"/>
  <c r="V363" i="2"/>
  <c r="N363" i="2"/>
  <c r="F363" i="2"/>
  <c r="AH362" i="2"/>
  <c r="Z362" i="2"/>
  <c r="R362" i="2"/>
  <c r="J362" i="2"/>
  <c r="AG368" i="2"/>
  <c r="Y368" i="2"/>
  <c r="Q368" i="2"/>
  <c r="I368" i="2"/>
  <c r="AK367" i="2"/>
  <c r="AC367" i="2"/>
  <c r="U367" i="2"/>
  <c r="M367" i="2"/>
  <c r="E367" i="2"/>
  <c r="AG366" i="2"/>
  <c r="Y366" i="2"/>
  <c r="Q366" i="2"/>
  <c r="I366" i="2"/>
  <c r="AK365" i="2"/>
  <c r="AC365" i="2"/>
  <c r="U365" i="2"/>
  <c r="M365" i="2"/>
  <c r="E365" i="2"/>
  <c r="AG364" i="2"/>
  <c r="Y364" i="2"/>
  <c r="Q364" i="2"/>
  <c r="I364" i="2"/>
  <c r="AK363" i="2"/>
  <c r="AC363" i="2"/>
  <c r="U363" i="2"/>
  <c r="M363" i="2"/>
  <c r="E363" i="2"/>
  <c r="AG362" i="2"/>
  <c r="Y362" i="2"/>
  <c r="Q362" i="2"/>
  <c r="I362" i="2"/>
  <c r="AJ364" i="2"/>
  <c r="AB364" i="2"/>
  <c r="T364" i="2"/>
  <c r="L364" i="2"/>
  <c r="D364" i="2"/>
  <c r="AF363" i="2"/>
  <c r="X363" i="2"/>
  <c r="P363" i="2"/>
  <c r="H363" i="2"/>
  <c r="AJ362" i="2"/>
  <c r="AB362" i="2"/>
  <c r="T362" i="2"/>
  <c r="L362" i="2"/>
  <c r="C362" i="2"/>
  <c r="AE368" i="2"/>
  <c r="W368" i="2"/>
  <c r="O368" i="2"/>
  <c r="G368" i="2"/>
  <c r="AI367" i="2"/>
  <c r="AA367" i="2"/>
  <c r="S367" i="2"/>
  <c r="K367" i="2"/>
  <c r="C367" i="2"/>
  <c r="AE366" i="2"/>
  <c r="W366" i="2"/>
  <c r="O366" i="2"/>
  <c r="G366" i="2"/>
  <c r="AI365" i="2"/>
  <c r="AA365" i="2"/>
  <c r="S365" i="2"/>
  <c r="K365" i="2"/>
  <c r="C365" i="2"/>
  <c r="AE364" i="2"/>
  <c r="W364" i="2"/>
  <c r="O364" i="2"/>
  <c r="G364" i="2"/>
  <c r="AI363" i="2"/>
  <c r="AA363" i="2"/>
  <c r="S363" i="2"/>
  <c r="K363" i="2"/>
  <c r="C363" i="2"/>
  <c r="AL368" i="2"/>
  <c r="AD368" i="2"/>
  <c r="V368" i="2"/>
  <c r="N368" i="2"/>
  <c r="F368" i="2"/>
  <c r="AH367" i="2"/>
  <c r="Z367" i="2"/>
  <c r="R367" i="2"/>
  <c r="J367" i="2"/>
  <c r="AL366" i="2"/>
  <c r="AD366" i="2"/>
  <c r="V366" i="2"/>
  <c r="N366" i="2"/>
  <c r="F366" i="2"/>
  <c r="AH365" i="2"/>
  <c r="Z365" i="2"/>
  <c r="R365" i="2"/>
  <c r="J365" i="2"/>
  <c r="AL364" i="2"/>
  <c r="AD364" i="2"/>
  <c r="V364" i="2"/>
  <c r="N364" i="2"/>
  <c r="F364" i="2"/>
  <c r="AH363" i="2"/>
  <c r="Z363" i="2"/>
  <c r="R363" i="2"/>
  <c r="J363" i="2"/>
  <c r="AL362" i="2"/>
  <c r="AD362" i="2"/>
  <c r="V362" i="2"/>
  <c r="N362" i="2"/>
  <c r="F362" i="2"/>
  <c r="AK368" i="2"/>
  <c r="AC368" i="2"/>
  <c r="U368" i="2"/>
  <c r="M368" i="2"/>
  <c r="E368" i="2"/>
  <c r="AG367" i="2"/>
  <c r="Y367" i="2"/>
  <c r="Q367" i="2"/>
  <c r="I367" i="2"/>
  <c r="AK366" i="2"/>
  <c r="AC366" i="2"/>
  <c r="U366" i="2"/>
  <c r="M366" i="2"/>
  <c r="E366" i="2"/>
  <c r="AG365" i="2"/>
  <c r="Y365" i="2"/>
  <c r="Q365" i="2"/>
  <c r="I365" i="2"/>
  <c r="AK364" i="2"/>
  <c r="AC364" i="2"/>
  <c r="U364" i="2"/>
  <c r="M364" i="2"/>
  <c r="E364" i="2"/>
  <c r="AG363" i="2"/>
  <c r="Y363" i="2"/>
  <c r="Q363" i="2"/>
  <c r="I363" i="2"/>
  <c r="AK362" i="2"/>
  <c r="AC362" i="2"/>
  <c r="U362" i="2"/>
  <c r="M362" i="2"/>
  <c r="E362" i="2"/>
  <c r="AJ368" i="2"/>
  <c r="AB368" i="2"/>
  <c r="T368" i="2"/>
  <c r="L368" i="2"/>
  <c r="D368" i="2"/>
  <c r="AF367" i="2"/>
  <c r="X367" i="2"/>
  <c r="P367" i="2"/>
  <c r="H367" i="2"/>
  <c r="AJ366" i="2"/>
  <c r="AB366" i="2"/>
  <c r="T366" i="2"/>
  <c r="L366" i="2"/>
  <c r="D366" i="2"/>
  <c r="AF365" i="2"/>
  <c r="X365" i="2"/>
  <c r="P365" i="2"/>
  <c r="H365" i="2"/>
  <c r="AF337" i="2"/>
  <c r="X337" i="2"/>
  <c r="P337" i="2"/>
  <c r="H337" i="2"/>
  <c r="AJ336" i="2"/>
  <c r="AB336" i="2"/>
  <c r="T336" i="2"/>
  <c r="L336" i="2"/>
  <c r="D336" i="2"/>
  <c r="AF335" i="2"/>
  <c r="X335" i="2"/>
  <c r="P335" i="2"/>
  <c r="H335" i="2"/>
  <c r="AJ334" i="2"/>
  <c r="AB334" i="2"/>
  <c r="T334" i="2"/>
  <c r="L334" i="2"/>
  <c r="D334" i="2"/>
  <c r="AF333" i="2"/>
  <c r="X333" i="2"/>
  <c r="P333" i="2"/>
  <c r="H333" i="2"/>
  <c r="O334" i="2"/>
  <c r="AI333" i="2"/>
  <c r="U336" i="2"/>
  <c r="M336" i="2"/>
  <c r="E336" i="2"/>
  <c r="AG335" i="2"/>
  <c r="Y335" i="2"/>
  <c r="Q335" i="2"/>
  <c r="I335" i="2"/>
  <c r="AK334" i="2"/>
  <c r="AC334" i="2"/>
  <c r="U334" i="2"/>
  <c r="M334" i="2"/>
  <c r="E334" i="2"/>
  <c r="AG333" i="2"/>
  <c r="Y333" i="2"/>
  <c r="Q333" i="2"/>
  <c r="I333" i="2"/>
  <c r="AK332" i="2"/>
  <c r="AC332" i="2"/>
  <c r="U332" i="2"/>
  <c r="M332" i="2"/>
  <c r="E332" i="2"/>
  <c r="AG331" i="2"/>
  <c r="Y331" i="2"/>
  <c r="Q331" i="2"/>
  <c r="I331" i="2"/>
  <c r="S337" i="2"/>
  <c r="K337" i="2"/>
  <c r="W332" i="2"/>
  <c r="G332" i="2"/>
  <c r="G336" i="2"/>
  <c r="AA335" i="2"/>
  <c r="S335" i="2"/>
  <c r="AA333" i="2"/>
  <c r="AI331" i="2"/>
  <c r="AI337" i="2"/>
  <c r="AA337" i="2"/>
  <c r="C337" i="2"/>
  <c r="AE336" i="2"/>
  <c r="W336" i="2"/>
  <c r="O336" i="2"/>
  <c r="AI335" i="2"/>
  <c r="K335" i="2"/>
  <c r="C335" i="2"/>
  <c r="AE334" i="2"/>
  <c r="W334" i="2"/>
  <c r="G334" i="2"/>
  <c r="S333" i="2"/>
  <c r="K333" i="2"/>
  <c r="C333" i="2"/>
  <c r="AE332" i="2"/>
  <c r="O332" i="2"/>
  <c r="AA331" i="2"/>
  <c r="S331" i="2"/>
  <c r="K331" i="2"/>
  <c r="C331" i="2"/>
  <c r="AL331" i="2"/>
  <c r="V337" i="2"/>
  <c r="Z336" i="2"/>
  <c r="AD335" i="2"/>
  <c r="N335" i="2"/>
  <c r="J334" i="2"/>
  <c r="V333" i="2"/>
  <c r="AH332" i="2"/>
  <c r="J332" i="2"/>
  <c r="N331" i="2"/>
  <c r="AK337" i="2"/>
  <c r="AC337" i="2"/>
  <c r="U337" i="2"/>
  <c r="M337" i="2"/>
  <c r="E337" i="2"/>
  <c r="AG336" i="2"/>
  <c r="Y336" i="2"/>
  <c r="Q336" i="2"/>
  <c r="I336" i="2"/>
  <c r="AK335" i="2"/>
  <c r="AC335" i="2"/>
  <c r="U335" i="2"/>
  <c r="M335" i="2"/>
  <c r="E335" i="2"/>
  <c r="F337" i="2"/>
  <c r="J336" i="2"/>
  <c r="AH334" i="2"/>
  <c r="AL333" i="2"/>
  <c r="Z332" i="2"/>
  <c r="N337" i="2"/>
  <c r="R336" i="2"/>
  <c r="V335" i="2"/>
  <c r="F335" i="2"/>
  <c r="R334" i="2"/>
  <c r="AD333" i="2"/>
  <c r="F333" i="2"/>
  <c r="R332" i="2"/>
  <c r="F331" i="2"/>
  <c r="AL337" i="2"/>
  <c r="AD331" i="2"/>
  <c r="AD337" i="2"/>
  <c r="AH336" i="2"/>
  <c r="AL335" i="2"/>
  <c r="Z334" i="2"/>
  <c r="N333" i="2"/>
  <c r="V331" i="2"/>
  <c r="AG334" i="2"/>
  <c r="Y334" i="2"/>
  <c r="Q334" i="2"/>
  <c r="I334" i="2"/>
  <c r="AK333" i="2"/>
  <c r="AC333" i="2"/>
  <c r="U333" i="2"/>
  <c r="M333" i="2"/>
  <c r="E333" i="2"/>
  <c r="AG332" i="2"/>
  <c r="Y332" i="2"/>
  <c r="Q332" i="2"/>
  <c r="I332" i="2"/>
  <c r="AK331" i="2"/>
  <c r="AC331" i="2"/>
  <c r="U331" i="2"/>
  <c r="M331" i="2"/>
  <c r="E331" i="2"/>
  <c r="AJ337" i="2"/>
  <c r="AB337" i="2"/>
  <c r="T337" i="2"/>
  <c r="L337" i="2"/>
  <c r="D337" i="2"/>
  <c r="AF336" i="2"/>
  <c r="X336" i="2"/>
  <c r="P336" i="2"/>
  <c r="H336" i="2"/>
  <c r="AJ335" i="2"/>
  <c r="AB335" i="2"/>
  <c r="T335" i="2"/>
  <c r="L335" i="2"/>
  <c r="D335" i="2"/>
  <c r="AF334" i="2"/>
  <c r="X334" i="2"/>
  <c r="P334" i="2"/>
  <c r="H334" i="2"/>
  <c r="AJ333" i="2"/>
  <c r="AB333" i="2"/>
  <c r="T333" i="2"/>
  <c r="L333" i="2"/>
  <c r="D333" i="2"/>
  <c r="AF332" i="2"/>
  <c r="X332" i="2"/>
  <c r="P332" i="2"/>
  <c r="H332" i="2"/>
  <c r="AJ331" i="2"/>
  <c r="AB331" i="2"/>
  <c r="T331" i="2"/>
  <c r="L331" i="2"/>
  <c r="D331" i="2"/>
  <c r="AH337" i="2"/>
  <c r="Z337" i="2"/>
  <c r="R337" i="2"/>
  <c r="J337" i="2"/>
  <c r="AL336" i="2"/>
  <c r="AD336" i="2"/>
  <c r="V336" i="2"/>
  <c r="N336" i="2"/>
  <c r="F336" i="2"/>
  <c r="AH335" i="2"/>
  <c r="Z335" i="2"/>
  <c r="R335" i="2"/>
  <c r="J335" i="2"/>
  <c r="AL334" i="2"/>
  <c r="AD334" i="2"/>
  <c r="V334" i="2"/>
  <c r="N334" i="2"/>
  <c r="F334" i="2"/>
  <c r="AH333" i="2"/>
  <c r="Z333" i="2"/>
  <c r="R333" i="2"/>
  <c r="J333" i="2"/>
  <c r="AL332" i="2"/>
  <c r="AD332" i="2"/>
  <c r="V332" i="2"/>
  <c r="N332" i="2"/>
  <c r="F332" i="2"/>
  <c r="AH331" i="2"/>
  <c r="Z331" i="2"/>
  <c r="R331" i="2"/>
  <c r="J331" i="2"/>
  <c r="AG337" i="2"/>
  <c r="Y337" i="2"/>
  <c r="Q337" i="2"/>
  <c r="I337" i="2"/>
  <c r="AK336" i="2"/>
  <c r="AC336" i="2"/>
  <c r="AE337" i="2"/>
  <c r="W337" i="2"/>
  <c r="O337" i="2"/>
  <c r="G337" i="2"/>
  <c r="AI336" i="2"/>
  <c r="AA336" i="2"/>
  <c r="S336" i="2"/>
  <c r="K336" i="2"/>
  <c r="C336" i="2"/>
  <c r="AE335" i="2"/>
  <c r="W335" i="2"/>
  <c r="O335" i="2"/>
  <c r="G335" i="2"/>
  <c r="AI334" i="2"/>
  <c r="AA334" i="2"/>
  <c r="S334" i="2"/>
  <c r="K334" i="2"/>
  <c r="C334" i="2"/>
  <c r="AE333" i="2"/>
  <c r="W333" i="2"/>
  <c r="O333" i="2"/>
  <c r="G333" i="2"/>
  <c r="AI332" i="2"/>
  <c r="AA332" i="2"/>
  <c r="S332" i="2"/>
  <c r="K332" i="2"/>
  <c r="C332" i="2"/>
  <c r="G331" i="2"/>
  <c r="O331" i="2"/>
  <c r="W331" i="2"/>
  <c r="AE331" i="2"/>
  <c r="H331" i="2"/>
  <c r="P331" i="2"/>
  <c r="X331" i="2"/>
  <c r="AF331" i="2"/>
  <c r="D332" i="2"/>
  <c r="L332" i="2"/>
  <c r="T332" i="2"/>
  <c r="AB332" i="2"/>
  <c r="AJ332" i="2"/>
  <c r="C283" i="2"/>
  <c r="AE283" i="2"/>
  <c r="W283" i="2"/>
  <c r="O283" i="2"/>
  <c r="G283" i="2"/>
  <c r="AI279" i="2"/>
  <c r="AA279" i="2"/>
  <c r="S279" i="2"/>
  <c r="K279" i="2"/>
  <c r="AI280" i="2"/>
  <c r="S280" i="2"/>
  <c r="K280" i="2"/>
  <c r="C281" i="2"/>
  <c r="C279" i="2"/>
  <c r="AH280" i="2"/>
  <c r="Z280" i="2"/>
  <c r="R280" i="2"/>
  <c r="C289" i="2" s="1"/>
  <c r="J280" i="2"/>
  <c r="AH282" i="2"/>
  <c r="Z282" i="2"/>
  <c r="R282" i="2"/>
  <c r="C291" i="2" s="1"/>
  <c r="J282" i="2"/>
  <c r="C284" i="2"/>
  <c r="AI284" i="2"/>
  <c r="AA284" i="2"/>
  <c r="S284" i="2"/>
  <c r="K284" i="2"/>
  <c r="AD283" i="2"/>
  <c r="V283" i="2"/>
  <c r="N283" i="2"/>
  <c r="F283" i="2"/>
  <c r="AH279" i="2"/>
  <c r="Z279" i="2"/>
  <c r="R279" i="2"/>
  <c r="C288" i="2" s="1"/>
  <c r="J279" i="2"/>
  <c r="AH284" i="2"/>
  <c r="AG285" i="2"/>
  <c r="Y285" i="2"/>
  <c r="Q285" i="2"/>
  <c r="I285" i="2"/>
  <c r="AF280" i="2"/>
  <c r="X280" i="2"/>
  <c r="P280" i="2"/>
  <c r="H280" i="2"/>
  <c r="AF285" i="2"/>
  <c r="X285" i="2"/>
  <c r="P285" i="2"/>
  <c r="H285" i="2"/>
  <c r="AG282" i="2"/>
  <c r="Y282" i="2"/>
  <c r="Q282" i="2"/>
  <c r="I282" i="2"/>
  <c r="C285" i="2"/>
  <c r="Z284" i="2"/>
  <c r="R284" i="2"/>
  <c r="C293" i="2" s="1"/>
  <c r="J284" i="2"/>
  <c r="AK283" i="2"/>
  <c r="AC283" i="2"/>
  <c r="U283" i="2"/>
  <c r="M283" i="2"/>
  <c r="E283" i="2"/>
  <c r="AF282" i="2"/>
  <c r="X282" i="2"/>
  <c r="P282" i="2"/>
  <c r="H282" i="2"/>
  <c r="AI281" i="2"/>
  <c r="AA281" i="2"/>
  <c r="S281" i="2"/>
  <c r="K281" i="2"/>
  <c r="AG279" i="2"/>
  <c r="Y279" i="2"/>
  <c r="Q279" i="2"/>
  <c r="I279" i="2"/>
  <c r="AG284" i="2"/>
  <c r="Y284" i="2"/>
  <c r="Q284" i="2"/>
  <c r="I284" i="2"/>
  <c r="AJ283" i="2"/>
  <c r="AB283" i="2"/>
  <c r="D292" i="2" s="1"/>
  <c r="T283" i="2"/>
  <c r="L283" i="2"/>
  <c r="D283" i="2"/>
  <c r="AE282" i="2"/>
  <c r="W282" i="2"/>
  <c r="O282" i="2"/>
  <c r="G282" i="2"/>
  <c r="AH281" i="2"/>
  <c r="Z281" i="2"/>
  <c r="R281" i="2"/>
  <c r="C290" i="2" s="1"/>
  <c r="J281" i="2"/>
  <c r="AK280" i="2"/>
  <c r="AC280" i="2"/>
  <c r="U280" i="2"/>
  <c r="M280" i="2"/>
  <c r="E280" i="2"/>
  <c r="AF279" i="2"/>
  <c r="X279" i="2"/>
  <c r="P279" i="2"/>
  <c r="H279" i="2"/>
  <c r="AF284" i="2"/>
  <c r="X284" i="2"/>
  <c r="P284" i="2"/>
  <c r="H284" i="2"/>
  <c r="AI283" i="2"/>
  <c r="AA283" i="2"/>
  <c r="S283" i="2"/>
  <c r="K283" i="2"/>
  <c r="AG281" i="2"/>
  <c r="Y281" i="2"/>
  <c r="Q281" i="2"/>
  <c r="I281" i="2"/>
  <c r="AE279" i="2"/>
  <c r="W279" i="2"/>
  <c r="O279" i="2"/>
  <c r="G279" i="2"/>
  <c r="C282" i="2"/>
  <c r="AJ281" i="2"/>
  <c r="AB281" i="2"/>
  <c r="D290" i="2" s="1"/>
  <c r="T281" i="2"/>
  <c r="L281" i="2"/>
  <c r="D281" i="2"/>
  <c r="AE280" i="2"/>
  <c r="W280" i="2"/>
  <c r="O280" i="2"/>
  <c r="G280" i="2"/>
  <c r="AA280" i="2"/>
  <c r="AK285" i="2"/>
  <c r="AC285" i="2"/>
  <c r="U285" i="2"/>
  <c r="M285" i="2"/>
  <c r="E285" i="2"/>
  <c r="AD282" i="2"/>
  <c r="V282" i="2"/>
  <c r="N282" i="2"/>
  <c r="F282" i="2"/>
  <c r="AJ280" i="2"/>
  <c r="AB280" i="2"/>
  <c r="D289" i="2" s="1"/>
  <c r="T280" i="2"/>
  <c r="L280" i="2"/>
  <c r="D280" i="2"/>
  <c r="AJ285" i="2"/>
  <c r="AB285" i="2"/>
  <c r="D294" i="2" s="1"/>
  <c r="T285" i="2"/>
  <c r="L285" i="2"/>
  <c r="D285" i="2"/>
  <c r="AE284" i="2"/>
  <c r="W284" i="2"/>
  <c r="O284" i="2"/>
  <c r="G284" i="2"/>
  <c r="AH283" i="2"/>
  <c r="Z283" i="2"/>
  <c r="R283" i="2"/>
  <c r="C292" i="2" s="1"/>
  <c r="J283" i="2"/>
  <c r="AK282" i="2"/>
  <c r="AC282" i="2"/>
  <c r="U282" i="2"/>
  <c r="M282" i="2"/>
  <c r="E282" i="2"/>
  <c r="AF281" i="2"/>
  <c r="X281" i="2"/>
  <c r="P281" i="2"/>
  <c r="H281" i="2"/>
  <c r="AD279" i="2"/>
  <c r="V279" i="2"/>
  <c r="N279" i="2"/>
  <c r="F279" i="2"/>
  <c r="AI285" i="2"/>
  <c r="AA285" i="2"/>
  <c r="S285" i="2"/>
  <c r="K285" i="2"/>
  <c r="AD284" i="2"/>
  <c r="V284" i="2"/>
  <c r="N284" i="2"/>
  <c r="F284" i="2"/>
  <c r="AG283" i="2"/>
  <c r="Y283" i="2"/>
  <c r="Q283" i="2"/>
  <c r="I283" i="2"/>
  <c r="AJ282" i="2"/>
  <c r="AB282" i="2"/>
  <c r="D291" i="2" s="1"/>
  <c r="T282" i="2"/>
  <c r="L282" i="2"/>
  <c r="D282" i="2"/>
  <c r="AK279" i="2"/>
  <c r="AC279" i="2"/>
  <c r="U279" i="2"/>
  <c r="M279" i="2"/>
  <c r="E279" i="2"/>
  <c r="AH285" i="2"/>
  <c r="Z285" i="2"/>
  <c r="R285" i="2"/>
  <c r="C294" i="2" s="1"/>
  <c r="J285" i="2"/>
  <c r="AK284" i="2"/>
  <c r="AC284" i="2"/>
  <c r="U284" i="2"/>
  <c r="M284" i="2"/>
  <c r="E284" i="2"/>
  <c r="AF283" i="2"/>
  <c r="X283" i="2"/>
  <c r="P283" i="2"/>
  <c r="H283" i="2"/>
  <c r="AI282" i="2"/>
  <c r="AA282" i="2"/>
  <c r="S282" i="2"/>
  <c r="K282" i="2"/>
  <c r="AD281" i="2"/>
  <c r="V281" i="2"/>
  <c r="N281" i="2"/>
  <c r="F281" i="2"/>
  <c r="AG280" i="2"/>
  <c r="Y280" i="2"/>
  <c r="Q280" i="2"/>
  <c r="I280" i="2"/>
  <c r="AJ279" i="2"/>
  <c r="AB279" i="2"/>
  <c r="D288" i="2" s="1"/>
  <c r="T279" i="2"/>
  <c r="L279" i="2"/>
  <c r="D279" i="2"/>
  <c r="AD285" i="2"/>
  <c r="V285" i="2"/>
  <c r="N285" i="2"/>
  <c r="F285" i="2"/>
  <c r="AJ284" i="2"/>
  <c r="AB284" i="2"/>
  <c r="D293" i="2" s="1"/>
  <c r="T284" i="2"/>
  <c r="L284" i="2"/>
  <c r="D284" i="2"/>
  <c r="AK281" i="2"/>
  <c r="AC281" i="2"/>
  <c r="U281" i="2"/>
  <c r="M281" i="2"/>
  <c r="E281" i="2"/>
  <c r="C280" i="2"/>
  <c r="AE285" i="2"/>
  <c r="W285" i="2"/>
  <c r="O285" i="2"/>
  <c r="G285" i="2"/>
  <c r="AD280" i="2"/>
  <c r="V280" i="2"/>
  <c r="N280" i="2"/>
  <c r="F280" i="2"/>
  <c r="G281" i="2"/>
  <c r="O281" i="2"/>
  <c r="W281" i="2"/>
  <c r="AE281" i="2"/>
  <c r="F69" i="2" l="1"/>
  <c r="J69" i="2"/>
  <c r="N69" i="2"/>
  <c r="R69" i="2"/>
  <c r="V69" i="2"/>
  <c r="Z69" i="2"/>
  <c r="AD69" i="2"/>
  <c r="AH69" i="2"/>
  <c r="AL69" i="2"/>
  <c r="G69" i="2"/>
  <c r="K69" i="2"/>
  <c r="O69" i="2"/>
  <c r="S69" i="2"/>
  <c r="W69" i="2"/>
  <c r="AA69" i="2"/>
  <c r="AE69" i="2"/>
  <c r="AI69" i="2"/>
  <c r="D69" i="2"/>
  <c r="H69" i="2"/>
  <c r="L69" i="2"/>
  <c r="P69" i="2"/>
  <c r="T69" i="2"/>
  <c r="X69" i="2"/>
  <c r="AB69" i="2"/>
  <c r="AF69" i="2"/>
  <c r="AJ69" i="2"/>
  <c r="E69" i="2"/>
  <c r="I69" i="2"/>
  <c r="M69" i="2"/>
  <c r="Q69" i="2"/>
  <c r="U69" i="2"/>
  <c r="Y69" i="2"/>
  <c r="AC69" i="2"/>
  <c r="AG69" i="2"/>
  <c r="AK69" i="2"/>
  <c r="C69" i="2"/>
  <c r="AL190" i="2" l="1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90" i="2"/>
  <c r="C189" i="2"/>
  <c r="C188" i="2"/>
  <c r="C187" i="2"/>
  <c r="C186" i="2"/>
  <c r="C185" i="2"/>
  <c r="C184" i="2"/>
  <c r="D146" i="2"/>
  <c r="C151" i="2"/>
  <c r="D147" i="2" l="1"/>
  <c r="D152" i="2"/>
  <c r="C152" i="2"/>
  <c r="E151" i="2"/>
  <c r="D153" i="2"/>
  <c r="E152" i="2"/>
  <c r="C146" i="2"/>
  <c r="E146" i="2"/>
  <c r="D149" i="2" l="1"/>
  <c r="D151" i="2"/>
  <c r="C147" i="2"/>
  <c r="E148" i="2"/>
  <c r="C149" i="2"/>
  <c r="E150" i="2"/>
  <c r="C153" i="2"/>
  <c r="D148" i="2"/>
  <c r="D150" i="2"/>
  <c r="E147" i="2"/>
  <c r="C148" i="2"/>
  <c r="E149" i="2"/>
  <c r="C150" i="2"/>
  <c r="E153" i="2"/>
  <c r="AL75" i="2"/>
  <c r="R75" i="2"/>
  <c r="F75" i="2" l="1"/>
  <c r="AJ75" i="2"/>
  <c r="AB75" i="2"/>
  <c r="V75" i="2"/>
  <c r="AH75" i="2"/>
  <c r="T75" i="2"/>
  <c r="Z75" i="2"/>
  <c r="J75" i="2"/>
  <c r="AK75" i="2"/>
  <c r="M75" i="2"/>
  <c r="AF75" i="2"/>
  <c r="X75" i="2"/>
  <c r="P75" i="2"/>
  <c r="H75" i="2"/>
  <c r="C75" i="2"/>
  <c r="L75" i="2"/>
  <c r="D75" i="2"/>
  <c r="AE75" i="2"/>
  <c r="W75" i="2"/>
  <c r="O75" i="2"/>
  <c r="G75" i="2"/>
  <c r="AD75" i="2"/>
  <c r="N75" i="2"/>
  <c r="K75" i="2"/>
  <c r="AI75" i="2"/>
  <c r="S75" i="2"/>
  <c r="AG75" i="2"/>
  <c r="Y75" i="2"/>
  <c r="Q75" i="2"/>
  <c r="I75" i="2"/>
  <c r="AA75" i="2"/>
  <c r="AC75" i="2"/>
  <c r="U75" i="2"/>
  <c r="E75" i="2"/>
  <c r="E159" i="2" l="1"/>
  <c r="C157" i="2"/>
  <c r="E161" i="2"/>
  <c r="D161" i="2"/>
  <c r="C161" i="2"/>
  <c r="E160" i="2"/>
  <c r="C160" i="2"/>
  <c r="C159" i="2"/>
  <c r="E158" i="2"/>
  <c r="D158" i="2"/>
  <c r="C158" i="2"/>
  <c r="E157" i="2"/>
  <c r="D157" i="2"/>
  <c r="C156" i="2"/>
  <c r="D160" i="2"/>
  <c r="D156" i="2"/>
  <c r="E156" i="2" l="1"/>
  <c r="D159" i="2"/>
  <c r="B65" i="2" l="1"/>
  <c r="B73" i="2" s="1"/>
  <c r="B64" i="2"/>
  <c r="B67" i="2" s="1"/>
  <c r="AD216" i="2" l="1"/>
  <c r="AD99" i="2"/>
  <c r="AD198" i="2"/>
  <c r="Z217" i="2"/>
  <c r="R218" i="2"/>
  <c r="C228" i="2" s="1"/>
  <c r="R259" i="2"/>
  <c r="J220" i="2"/>
  <c r="J198" i="2"/>
  <c r="F219" i="2"/>
  <c r="AG210" i="2"/>
  <c r="AG256" i="2"/>
  <c r="Y256" i="2"/>
  <c r="Y258" i="2"/>
  <c r="Q220" i="2"/>
  <c r="Q210" i="2"/>
  <c r="Q209" i="2" s="1"/>
  <c r="Q258" i="2"/>
  <c r="Q256" i="2"/>
  <c r="E256" i="2"/>
  <c r="AJ219" i="2"/>
  <c r="AJ210" i="2"/>
  <c r="AF223" i="2"/>
  <c r="AF210" i="2"/>
  <c r="AF260" i="2"/>
  <c r="AF257" i="2"/>
  <c r="AF256" i="2"/>
  <c r="AF258" i="2"/>
  <c r="P257" i="2"/>
  <c r="P256" i="2"/>
  <c r="P258" i="2"/>
  <c r="H261" i="2"/>
  <c r="H257" i="2"/>
  <c r="H256" i="2"/>
  <c r="H258" i="2"/>
  <c r="D99" i="2"/>
  <c r="AH60" i="2"/>
  <c r="AH65" i="2"/>
  <c r="AH64" i="2"/>
  <c r="V198" i="2"/>
  <c r="AK60" i="2"/>
  <c r="AK65" i="2"/>
  <c r="AK64" i="2"/>
  <c r="AC60" i="2"/>
  <c r="AC65" i="2"/>
  <c r="AC64" i="2"/>
  <c r="U60" i="2"/>
  <c r="U65" i="2"/>
  <c r="U64" i="2"/>
  <c r="U210" i="2"/>
  <c r="M60" i="2"/>
  <c r="M65" i="2"/>
  <c r="M64" i="2"/>
  <c r="I60" i="2"/>
  <c r="I65" i="2"/>
  <c r="I64" i="2"/>
  <c r="I257" i="2"/>
  <c r="AI60" i="2"/>
  <c r="AI65" i="2"/>
  <c r="AI64" i="2"/>
  <c r="AE60" i="2"/>
  <c r="AE65" i="2"/>
  <c r="AE64" i="2"/>
  <c r="AA60" i="2"/>
  <c r="AA65" i="2"/>
  <c r="AA64" i="2"/>
  <c r="W60" i="2"/>
  <c r="W65" i="2"/>
  <c r="W64" i="2"/>
  <c r="S60" i="2"/>
  <c r="S65" i="2"/>
  <c r="S64" i="2"/>
  <c r="O60" i="2"/>
  <c r="O65" i="2"/>
  <c r="O64" i="2"/>
  <c r="K60" i="2"/>
  <c r="K65" i="2"/>
  <c r="K64" i="2"/>
  <c r="G65" i="2"/>
  <c r="G64" i="2"/>
  <c r="C219" i="2"/>
  <c r="AJ261" i="2" l="1"/>
  <c r="H260" i="2"/>
  <c r="AB258" i="2"/>
  <c r="AF261" i="2"/>
  <c r="AJ256" i="2"/>
  <c r="E257" i="2"/>
  <c r="AG99" i="2"/>
  <c r="AG98" i="2" s="1"/>
  <c r="AG216" i="2"/>
  <c r="F259" i="2"/>
  <c r="F210" i="2"/>
  <c r="F209" i="2" s="1"/>
  <c r="Z216" i="2"/>
  <c r="AD98" i="2"/>
  <c r="P260" i="2"/>
  <c r="T260" i="2"/>
  <c r="AF209" i="2"/>
  <c r="AF220" i="2"/>
  <c r="C259" i="2"/>
  <c r="K260" i="2"/>
  <c r="E218" i="2"/>
  <c r="Y257" i="2"/>
  <c r="Z259" i="2"/>
  <c r="AD244" i="2"/>
  <c r="AD223" i="2"/>
  <c r="O218" i="2"/>
  <c r="I261" i="2"/>
  <c r="P261" i="2"/>
  <c r="AJ209" i="2"/>
  <c r="AG218" i="2"/>
  <c r="C258" i="2"/>
  <c r="C220" i="2"/>
  <c r="S210" i="2"/>
  <c r="S209" i="2" s="1"/>
  <c r="W223" i="2"/>
  <c r="AE218" i="2"/>
  <c r="AI99" i="2"/>
  <c r="AI98" i="2" s="1"/>
  <c r="AC198" i="2"/>
  <c r="AC197" i="2" s="1"/>
  <c r="AC218" i="2"/>
  <c r="V259" i="2"/>
  <c r="D98" i="2"/>
  <c r="J218" i="2"/>
  <c r="AA256" i="2"/>
  <c r="F216" i="2"/>
  <c r="F223" i="2"/>
  <c r="Z210" i="2"/>
  <c r="Z209" i="2" s="1"/>
  <c r="Q261" i="2"/>
  <c r="J210" i="2"/>
  <c r="J222" i="2" s="1"/>
  <c r="J259" i="2"/>
  <c r="G223" i="2"/>
  <c r="U260" i="2"/>
  <c r="J219" i="2"/>
  <c r="Z244" i="2"/>
  <c r="K223" i="2"/>
  <c r="D198" i="2"/>
  <c r="D197" i="2" s="1"/>
  <c r="C210" i="2"/>
  <c r="G261" i="2"/>
  <c r="AE210" i="2"/>
  <c r="AE209" i="2" s="1"/>
  <c r="AE217" i="2"/>
  <c r="M99" i="2"/>
  <c r="M98" i="2" s="1"/>
  <c r="O99" i="2"/>
  <c r="O98" i="2" s="1"/>
  <c r="W218" i="2"/>
  <c r="AE259" i="2"/>
  <c r="U258" i="2"/>
  <c r="AC261" i="2"/>
  <c r="AK256" i="2"/>
  <c r="N217" i="2"/>
  <c r="Y220" i="2"/>
  <c r="O198" i="2"/>
  <c r="O197" i="2" s="1"/>
  <c r="L256" i="2"/>
  <c r="L217" i="2"/>
  <c r="P223" i="2"/>
  <c r="T261" i="2"/>
  <c r="X256" i="2"/>
  <c r="AG257" i="2"/>
  <c r="W256" i="2"/>
  <c r="AC220" i="2"/>
  <c r="D260" i="2"/>
  <c r="H217" i="2"/>
  <c r="AB257" i="2"/>
  <c r="AB223" i="2"/>
  <c r="D233" i="2" s="1"/>
  <c r="AJ260" i="2"/>
  <c r="AD219" i="2"/>
  <c r="K256" i="2"/>
  <c r="O210" i="2"/>
  <c r="O209" i="2" s="1"/>
  <c r="AA260" i="2"/>
  <c r="I223" i="2"/>
  <c r="U223" i="2"/>
  <c r="U209" i="2"/>
  <c r="U219" i="2"/>
  <c r="U216" i="2"/>
  <c r="AC260" i="2"/>
  <c r="AK210" i="2"/>
  <c r="AK209" i="2" s="1"/>
  <c r="N256" i="2"/>
  <c r="V257" i="2"/>
  <c r="V218" i="2"/>
  <c r="AH244" i="2"/>
  <c r="D218" i="2"/>
  <c r="P198" i="2"/>
  <c r="P197" i="2" s="1"/>
  <c r="X219" i="2"/>
  <c r="AB218" i="2"/>
  <c r="D228" i="2" s="1"/>
  <c r="Q219" i="2"/>
  <c r="Q218" i="2"/>
  <c r="Y261" i="2"/>
  <c r="U259" i="2"/>
  <c r="G256" i="2"/>
  <c r="K99" i="2"/>
  <c r="K98" i="2" s="1"/>
  <c r="O259" i="2"/>
  <c r="O219" i="2"/>
  <c r="AA99" i="2"/>
  <c r="AA98" i="2" s="1"/>
  <c r="AE219" i="2"/>
  <c r="I258" i="2"/>
  <c r="I210" i="2"/>
  <c r="I209" i="2" s="1"/>
  <c r="AK260" i="2"/>
  <c r="AK218" i="2"/>
  <c r="V256" i="2"/>
  <c r="V210" i="2"/>
  <c r="V209" i="2" s="1"/>
  <c r="AH99" i="2"/>
  <c r="AH98" i="2" s="1"/>
  <c r="AH223" i="2"/>
  <c r="D219" i="2"/>
  <c r="D223" i="2"/>
  <c r="L258" i="2"/>
  <c r="C198" i="2"/>
  <c r="C197" i="2" s="1"/>
  <c r="O261" i="2"/>
  <c r="H198" i="2"/>
  <c r="H197" i="2" s="1"/>
  <c r="H218" i="2"/>
  <c r="L261" i="2"/>
  <c r="T219" i="2"/>
  <c r="C218" i="2"/>
  <c r="G259" i="2"/>
  <c r="G217" i="2"/>
  <c r="G218" i="2"/>
  <c r="K210" i="2"/>
  <c r="K209" i="2" s="1"/>
  <c r="O216" i="2"/>
  <c r="W257" i="2"/>
  <c r="W219" i="2"/>
  <c r="W210" i="2"/>
  <c r="W209" i="2" s="1"/>
  <c r="AA223" i="2"/>
  <c r="AE261" i="2"/>
  <c r="AE198" i="2"/>
  <c r="AE197" i="2" s="1"/>
  <c r="AI257" i="2"/>
  <c r="AI198" i="2"/>
  <c r="AI197" i="2" s="1"/>
  <c r="I260" i="2"/>
  <c r="I256" i="2"/>
  <c r="M256" i="2"/>
  <c r="M244" i="2"/>
  <c r="M216" i="2"/>
  <c r="U261" i="2"/>
  <c r="U244" i="2"/>
  <c r="AC223" i="2"/>
  <c r="AC99" i="2"/>
  <c r="AC98" i="2" s="1"/>
  <c r="AK261" i="2"/>
  <c r="AK99" i="2"/>
  <c r="AK98" i="2" s="1"/>
  <c r="N258" i="2"/>
  <c r="N219" i="2"/>
  <c r="N210" i="2"/>
  <c r="N209" i="2" s="1"/>
  <c r="V216" i="2"/>
  <c r="V220" i="2"/>
  <c r="AH256" i="2"/>
  <c r="D261" i="2"/>
  <c r="H216" i="2"/>
  <c r="AB259" i="2"/>
  <c r="E210" i="2"/>
  <c r="E209" i="2" s="1"/>
  <c r="Q223" i="2"/>
  <c r="Y99" i="2"/>
  <c r="Y98" i="2" s="1"/>
  <c r="Y198" i="2"/>
  <c r="Y197" i="2" s="1"/>
  <c r="R220" i="2"/>
  <c r="C230" i="2" s="1"/>
  <c r="AD259" i="2"/>
  <c r="S99" i="2"/>
  <c r="S98" i="2" s="1"/>
  <c r="X217" i="2"/>
  <c r="AC257" i="2"/>
  <c r="L259" i="2"/>
  <c r="P218" i="2"/>
  <c r="T218" i="2"/>
  <c r="X99" i="2"/>
  <c r="X98" i="2" s="1"/>
  <c r="AB261" i="2"/>
  <c r="Z198" i="2"/>
  <c r="C256" i="2"/>
  <c r="S220" i="2"/>
  <c r="AA217" i="2"/>
  <c r="AI223" i="2"/>
  <c r="I244" i="2"/>
  <c r="I220" i="2"/>
  <c r="I219" i="2"/>
  <c r="M198" i="2"/>
  <c r="M197" i="2" s="1"/>
  <c r="AK223" i="2"/>
  <c r="AH210" i="2"/>
  <c r="AH209" i="2" s="1"/>
  <c r="D210" i="2"/>
  <c r="D209" i="2" s="1"/>
  <c r="P244" i="2"/>
  <c r="AB210" i="2"/>
  <c r="AB209" i="2" s="1"/>
  <c r="AB216" i="2"/>
  <c r="D226" i="2" s="1"/>
  <c r="E258" i="2"/>
  <c r="Q260" i="2"/>
  <c r="AG220" i="2"/>
  <c r="O258" i="2"/>
  <c r="S258" i="2"/>
  <c r="M223" i="2"/>
  <c r="AK257" i="2"/>
  <c r="AH258" i="2"/>
  <c r="L219" i="2"/>
  <c r="P219" i="2"/>
  <c r="X258" i="2"/>
  <c r="AB244" i="2"/>
  <c r="AB99" i="2"/>
  <c r="AB98" i="2" s="1"/>
  <c r="E223" i="2"/>
  <c r="C99" i="2"/>
  <c r="C98" i="2" s="1"/>
  <c r="O257" i="2"/>
  <c r="O220" i="2"/>
  <c r="AI220" i="2"/>
  <c r="R223" i="2"/>
  <c r="C233" i="2" s="1"/>
  <c r="AD220" i="2"/>
  <c r="AD217" i="2"/>
  <c r="C261" i="2"/>
  <c r="C257" i="2"/>
  <c r="C255" i="2"/>
  <c r="C235" i="2"/>
  <c r="C216" i="2"/>
  <c r="G219" i="2"/>
  <c r="G210" i="2"/>
  <c r="G209" i="2" s="1"/>
  <c r="G198" i="2"/>
  <c r="G197" i="2" s="1"/>
  <c r="K259" i="2"/>
  <c r="K217" i="2"/>
  <c r="K219" i="2"/>
  <c r="O244" i="2"/>
  <c r="S259" i="2"/>
  <c r="S261" i="2"/>
  <c r="S244" i="2"/>
  <c r="S217" i="2"/>
  <c r="S198" i="2"/>
  <c r="S216" i="2"/>
  <c r="W258" i="2"/>
  <c r="AA258" i="2"/>
  <c r="AA219" i="2"/>
  <c r="AA210" i="2"/>
  <c r="AA209" i="2" s="1"/>
  <c r="AE257" i="2"/>
  <c r="AE244" i="2"/>
  <c r="AE220" i="2"/>
  <c r="AI258" i="2"/>
  <c r="AI244" i="2"/>
  <c r="AI216" i="2"/>
  <c r="I255" i="2"/>
  <c r="I235" i="2"/>
  <c r="I99" i="2"/>
  <c r="I98" i="2" s="1"/>
  <c r="M258" i="2"/>
  <c r="M218" i="2"/>
  <c r="AC210" i="2"/>
  <c r="AC209" i="2" s="1"/>
  <c r="AK259" i="2"/>
  <c r="N198" i="2"/>
  <c r="N218" i="2"/>
  <c r="V244" i="2"/>
  <c r="V99" i="2"/>
  <c r="V98" i="2" s="1"/>
  <c r="V65" i="2"/>
  <c r="AH259" i="2"/>
  <c r="AH261" i="2"/>
  <c r="AH220" i="2"/>
  <c r="D257" i="2"/>
  <c r="D220" i="2"/>
  <c r="H259" i="2"/>
  <c r="P210" i="2"/>
  <c r="P209" i="2" s="1"/>
  <c r="P217" i="2"/>
  <c r="P60" i="2"/>
  <c r="T257" i="2"/>
  <c r="X261" i="2"/>
  <c r="X244" i="2"/>
  <c r="X210" i="2"/>
  <c r="X209" i="2" s="1"/>
  <c r="X220" i="2"/>
  <c r="X218" i="2"/>
  <c r="X64" i="2"/>
  <c r="X60" i="2"/>
  <c r="AB255" i="2"/>
  <c r="AB235" i="2"/>
  <c r="AB198" i="2"/>
  <c r="AB217" i="2"/>
  <c r="D227" i="2" s="1"/>
  <c r="AF99" i="2"/>
  <c r="AF98" i="2" s="1"/>
  <c r="AF219" i="2"/>
  <c r="AJ257" i="2"/>
  <c r="AJ99" i="2"/>
  <c r="AJ98" i="2" s="1"/>
  <c r="AJ220" i="2"/>
  <c r="AJ217" i="2"/>
  <c r="E260" i="2"/>
  <c r="E244" i="2"/>
  <c r="E65" i="2"/>
  <c r="Q257" i="2"/>
  <c r="Q217" i="2"/>
  <c r="Y260" i="2"/>
  <c r="Y210" i="2"/>
  <c r="Y209" i="2" s="1"/>
  <c r="Y219" i="2"/>
  <c r="Y216" i="2"/>
  <c r="Y65" i="2"/>
  <c r="AG260" i="2"/>
  <c r="AG209" i="2"/>
  <c r="AG198" i="2"/>
  <c r="AG222" i="2" s="1"/>
  <c r="F260" i="2"/>
  <c r="F218" i="2"/>
  <c r="J258" i="2"/>
  <c r="J216" i="2"/>
  <c r="J223" i="2"/>
  <c r="J64" i="2"/>
  <c r="J65" i="2"/>
  <c r="R258" i="2"/>
  <c r="R219" i="2"/>
  <c r="C229" i="2" s="1"/>
  <c r="Z260" i="2"/>
  <c r="AD218" i="2"/>
  <c r="C244" i="2"/>
  <c r="AI87" i="2"/>
  <c r="AI86" i="2" s="1"/>
  <c r="S87" i="2"/>
  <c r="S86" i="2" s="1"/>
  <c r="C87" i="2"/>
  <c r="C86" i="2" s="1"/>
  <c r="AH87" i="2"/>
  <c r="AH86" i="2" s="1"/>
  <c r="Z87" i="2"/>
  <c r="Z86" i="2" s="1"/>
  <c r="R87" i="2"/>
  <c r="R86" i="2" s="1"/>
  <c r="J87" i="2"/>
  <c r="J86" i="2" s="1"/>
  <c r="AG87" i="2"/>
  <c r="AG86" i="2" s="1"/>
  <c r="Y87" i="2"/>
  <c r="Y86" i="2" s="1"/>
  <c r="AF87" i="2"/>
  <c r="AF86" i="2" s="1"/>
  <c r="X87" i="2"/>
  <c r="X86" i="2" s="1"/>
  <c r="P87" i="2"/>
  <c r="P86" i="2" s="1"/>
  <c r="AE87" i="2"/>
  <c r="AE86" i="2" s="1"/>
  <c r="W87" i="2"/>
  <c r="W86" i="2" s="1"/>
  <c r="O87" i="2"/>
  <c r="O86" i="2" s="1"/>
  <c r="G87" i="2"/>
  <c r="G86" i="2" s="1"/>
  <c r="AD87" i="2"/>
  <c r="AD86" i="2" s="1"/>
  <c r="V87" i="2"/>
  <c r="V86" i="2" s="1"/>
  <c r="N87" i="2"/>
  <c r="N86" i="2" s="1"/>
  <c r="AK87" i="2"/>
  <c r="AK86" i="2" s="1"/>
  <c r="AC87" i="2"/>
  <c r="AC86" i="2" s="1"/>
  <c r="U87" i="2"/>
  <c r="U86" i="2" s="1"/>
  <c r="M87" i="2"/>
  <c r="M86" i="2" s="1"/>
  <c r="AJ87" i="2"/>
  <c r="AJ86" i="2" s="1"/>
  <c r="AB87" i="2"/>
  <c r="D87" i="2"/>
  <c r="D86" i="2" s="1"/>
  <c r="G99" i="2"/>
  <c r="G98" i="2" s="1"/>
  <c r="K258" i="2"/>
  <c r="O256" i="2"/>
  <c r="S256" i="2"/>
  <c r="AA259" i="2"/>
  <c r="AA257" i="2"/>
  <c r="AI259" i="2"/>
  <c r="U255" i="2"/>
  <c r="U235" i="2"/>
  <c r="N259" i="2"/>
  <c r="V255" i="2"/>
  <c r="V235" i="2"/>
  <c r="AH217" i="2"/>
  <c r="D244" i="2"/>
  <c r="D64" i="2"/>
  <c r="H65" i="2"/>
  <c r="L210" i="2"/>
  <c r="L209" i="2" s="1"/>
  <c r="P99" i="2"/>
  <c r="P98" i="2" s="1"/>
  <c r="T259" i="2"/>
  <c r="T244" i="2"/>
  <c r="T87" i="2"/>
  <c r="T86" i="2" s="1"/>
  <c r="T210" i="2"/>
  <c r="T209" i="2" s="1"/>
  <c r="T64" i="2"/>
  <c r="X216" i="2"/>
  <c r="AF217" i="2"/>
  <c r="E87" i="2"/>
  <c r="E86" i="2" s="1"/>
  <c r="Q60" i="2"/>
  <c r="F99" i="2"/>
  <c r="F98" i="2" s="1"/>
  <c r="F64" i="2"/>
  <c r="J257" i="2"/>
  <c r="R257" i="2"/>
  <c r="R99" i="2"/>
  <c r="AD255" i="2"/>
  <c r="AD235" i="2"/>
  <c r="AD197" i="2"/>
  <c r="G255" i="2"/>
  <c r="G235" i="2"/>
  <c r="G216" i="2"/>
  <c r="K257" i="2"/>
  <c r="O260" i="2"/>
  <c r="S260" i="2"/>
  <c r="W261" i="2"/>
  <c r="W99" i="2"/>
  <c r="W98" i="2" s="1"/>
  <c r="AA261" i="2"/>
  <c r="AA244" i="2"/>
  <c r="AE256" i="2"/>
  <c r="AI261" i="2"/>
  <c r="AI217" i="2"/>
  <c r="I259" i="2"/>
  <c r="M255" i="2"/>
  <c r="M235" i="2"/>
  <c r="U257" i="2"/>
  <c r="AC219" i="2"/>
  <c r="AK220" i="2"/>
  <c r="AK217" i="2"/>
  <c r="N257" i="2"/>
  <c r="N223" i="2"/>
  <c r="AH260" i="2"/>
  <c r="AH218" i="2"/>
  <c r="D259" i="2"/>
  <c r="D256" i="2"/>
  <c r="D65" i="2"/>
  <c r="H87" i="2"/>
  <c r="H86" i="2" s="1"/>
  <c r="H210" i="2"/>
  <c r="H209" i="2" s="1"/>
  <c r="L260" i="2"/>
  <c r="L99" i="2"/>
  <c r="L98" i="2" s="1"/>
  <c r="L223" i="2"/>
  <c r="T256" i="2"/>
  <c r="T99" i="2"/>
  <c r="T98" i="2" s="1"/>
  <c r="T198" i="2"/>
  <c r="X260" i="2"/>
  <c r="X65" i="2"/>
  <c r="D110" i="2"/>
  <c r="D119" i="2"/>
  <c r="D108" i="2"/>
  <c r="D117" i="2"/>
  <c r="AF259" i="2"/>
  <c r="AJ244" i="2"/>
  <c r="Q65" i="2"/>
  <c r="Q64" i="2"/>
  <c r="F255" i="2"/>
  <c r="F235" i="2"/>
  <c r="F87" i="2"/>
  <c r="F86" i="2" s="1"/>
  <c r="F65" i="2"/>
  <c r="J261" i="2"/>
  <c r="R261" i="2"/>
  <c r="R217" i="2"/>
  <c r="C227" i="2" s="1"/>
  <c r="R64" i="2"/>
  <c r="R65" i="2"/>
  <c r="Z255" i="2"/>
  <c r="Z235" i="2"/>
  <c r="C223" i="2"/>
  <c r="G258" i="2"/>
  <c r="G244" i="2"/>
  <c r="G220" i="2"/>
  <c r="K261" i="2"/>
  <c r="K244" i="2"/>
  <c r="K87" i="2"/>
  <c r="K86" i="2" s="1"/>
  <c r="K218" i="2"/>
  <c r="S219" i="2"/>
  <c r="S223" i="2"/>
  <c r="W244" i="2"/>
  <c r="W217" i="2"/>
  <c r="AA220" i="2"/>
  <c r="AA218" i="2"/>
  <c r="AE260" i="2"/>
  <c r="AE216" i="2"/>
  <c r="AI256" i="2"/>
  <c r="AI219" i="2"/>
  <c r="I87" i="2"/>
  <c r="I86" i="2" s="1"/>
  <c r="M260" i="2"/>
  <c r="M261" i="2"/>
  <c r="M220" i="2"/>
  <c r="U218" i="2"/>
  <c r="AC259" i="2"/>
  <c r="AC216" i="2"/>
  <c r="AK258" i="2"/>
  <c r="N261" i="2"/>
  <c r="N99" i="2"/>
  <c r="N98" i="2" s="1"/>
  <c r="V258" i="2"/>
  <c r="V217" i="2"/>
  <c r="AH216" i="2"/>
  <c r="H99" i="2"/>
  <c r="H98" i="2" s="1"/>
  <c r="H219" i="2"/>
  <c r="H223" i="2"/>
  <c r="L244" i="2"/>
  <c r="L64" i="2"/>
  <c r="L60" i="2"/>
  <c r="P220" i="2"/>
  <c r="P64" i="2"/>
  <c r="T65" i="2"/>
  <c r="T60" i="2"/>
  <c r="D114" i="2"/>
  <c r="D122" i="2"/>
  <c r="AJ64" i="2"/>
  <c r="AJ65" i="2"/>
  <c r="AJ60" i="2"/>
  <c r="Y255" i="2"/>
  <c r="Y235" i="2"/>
  <c r="Y259" i="2"/>
  <c r="Y217" i="2"/>
  <c r="Y64" i="2"/>
  <c r="AG259" i="2"/>
  <c r="AG64" i="2"/>
  <c r="F244" i="2"/>
  <c r="J244" i="2"/>
  <c r="J256" i="2"/>
  <c r="R256" i="2"/>
  <c r="C109" i="2"/>
  <c r="C118" i="2"/>
  <c r="R60" i="2"/>
  <c r="Z99" i="2"/>
  <c r="Z98" i="2" s="1"/>
  <c r="Z60" i="2"/>
  <c r="AD258" i="2"/>
  <c r="G257" i="2"/>
  <c r="K220" i="2"/>
  <c r="K216" i="2"/>
  <c r="O255" i="2"/>
  <c r="O235" i="2"/>
  <c r="O217" i="2"/>
  <c r="S255" i="2"/>
  <c r="S235" i="2"/>
  <c r="W259" i="2"/>
  <c r="W260" i="2"/>
  <c r="W220" i="2"/>
  <c r="AA87" i="2"/>
  <c r="AA86" i="2" s="1"/>
  <c r="AA216" i="2"/>
  <c r="AI260" i="2"/>
  <c r="AI210" i="2"/>
  <c r="AI209" i="2" s="1"/>
  <c r="U256" i="2"/>
  <c r="U99" i="2"/>
  <c r="U98" i="2" s="1"/>
  <c r="U198" i="2"/>
  <c r="U222" i="2" s="1"/>
  <c r="N220" i="2"/>
  <c r="V60" i="2"/>
  <c r="AH255" i="2"/>
  <c r="AH235" i="2"/>
  <c r="H255" i="2"/>
  <c r="H235" i="2"/>
  <c r="H244" i="2"/>
  <c r="L255" i="2"/>
  <c r="L235" i="2"/>
  <c r="L87" i="2"/>
  <c r="L86" i="2" s="1"/>
  <c r="L220" i="2"/>
  <c r="L218" i="2"/>
  <c r="X255" i="2"/>
  <c r="X235" i="2"/>
  <c r="X198" i="2"/>
  <c r="X197" i="2" s="1"/>
  <c r="AJ198" i="2"/>
  <c r="Q244" i="2"/>
  <c r="Q198" i="2"/>
  <c r="Q222" i="2" s="1"/>
  <c r="Y244" i="2"/>
  <c r="AG223" i="2"/>
  <c r="F258" i="2"/>
  <c r="J260" i="2"/>
  <c r="J217" i="2"/>
  <c r="R260" i="2"/>
  <c r="C110" i="2"/>
  <c r="C119" i="2"/>
  <c r="C108" i="2"/>
  <c r="C117" i="2"/>
  <c r="R216" i="2"/>
  <c r="C226" i="2" s="1"/>
  <c r="Z258" i="2"/>
  <c r="Z219" i="2"/>
  <c r="Z223" i="2"/>
  <c r="Z65" i="2"/>
  <c r="AD257" i="2"/>
  <c r="AD210" i="2"/>
  <c r="AD209" i="2" s="1"/>
  <c r="AD60" i="2"/>
  <c r="K198" i="2"/>
  <c r="K197" i="2" s="1"/>
  <c r="O223" i="2"/>
  <c r="AA198" i="2"/>
  <c r="AA197" i="2" s="1"/>
  <c r="AE255" i="2"/>
  <c r="AE235" i="2"/>
  <c r="I218" i="2"/>
  <c r="M217" i="2"/>
  <c r="U220" i="2"/>
  <c r="U217" i="2"/>
  <c r="AC256" i="2"/>
  <c r="AC255" i="2"/>
  <c r="AC235" i="2"/>
  <c r="AC217" i="2"/>
  <c r="AK255" i="2"/>
  <c r="AK235" i="2"/>
  <c r="N244" i="2"/>
  <c r="N260" i="2"/>
  <c r="N60" i="2"/>
  <c r="V261" i="2"/>
  <c r="V197" i="2"/>
  <c r="AH198" i="2"/>
  <c r="D255" i="2"/>
  <c r="D235" i="2"/>
  <c r="D216" i="2"/>
  <c r="H220" i="2"/>
  <c r="L216" i="2"/>
  <c r="P259" i="2"/>
  <c r="P255" i="2"/>
  <c r="P235" i="2"/>
  <c r="P216" i="2"/>
  <c r="T255" i="2"/>
  <c r="T235" i="2"/>
  <c r="T223" i="2"/>
  <c r="T216" i="2"/>
  <c r="X259" i="2"/>
  <c r="AB256" i="2"/>
  <c r="D109" i="2"/>
  <c r="D118" i="2"/>
  <c r="D111" i="2"/>
  <c r="D120" i="2"/>
  <c r="AB220" i="2"/>
  <c r="D230" i="2" s="1"/>
  <c r="AB64" i="2"/>
  <c r="AB65" i="2"/>
  <c r="AF218" i="2"/>
  <c r="AJ255" i="2"/>
  <c r="AJ235" i="2"/>
  <c r="AJ218" i="2"/>
  <c r="E64" i="2"/>
  <c r="Q259" i="2"/>
  <c r="Q216" i="2"/>
  <c r="Y223" i="2"/>
  <c r="AG255" i="2"/>
  <c r="AG235" i="2"/>
  <c r="AG258" i="2"/>
  <c r="AG244" i="2"/>
  <c r="AG217" i="2"/>
  <c r="AG60" i="2"/>
  <c r="F257" i="2"/>
  <c r="F198" i="2"/>
  <c r="F220" i="2"/>
  <c r="R244" i="2"/>
  <c r="C107" i="2"/>
  <c r="C114" i="2"/>
  <c r="C122" i="2"/>
  <c r="Z257" i="2"/>
  <c r="AD261" i="2"/>
  <c r="AD65" i="2"/>
  <c r="W255" i="2"/>
  <c r="W235" i="2"/>
  <c r="AA255" i="2"/>
  <c r="AA235" i="2"/>
  <c r="AE223" i="2"/>
  <c r="AI255" i="2"/>
  <c r="AI235" i="2"/>
  <c r="I216" i="2"/>
  <c r="AC258" i="2"/>
  <c r="N64" i="2"/>
  <c r="N65" i="2"/>
  <c r="L65" i="2"/>
  <c r="P65" i="2"/>
  <c r="X223" i="2"/>
  <c r="AB260" i="2"/>
  <c r="AB219" i="2"/>
  <c r="D229" i="2" s="1"/>
  <c r="D107" i="2"/>
  <c r="AF255" i="2"/>
  <c r="AF235" i="2"/>
  <c r="AF244" i="2"/>
  <c r="AF198" i="2"/>
  <c r="AF222" i="2" s="1"/>
  <c r="AF216" i="2"/>
  <c r="AF64" i="2"/>
  <c r="AF65" i="2"/>
  <c r="AF60" i="2"/>
  <c r="AJ259" i="2"/>
  <c r="AJ223" i="2"/>
  <c r="AJ216" i="2"/>
  <c r="E255" i="2"/>
  <c r="E235" i="2"/>
  <c r="E259" i="2"/>
  <c r="E198" i="2"/>
  <c r="E216" i="2"/>
  <c r="Q255" i="2"/>
  <c r="Q235" i="2"/>
  <c r="Q87" i="2"/>
  <c r="Q86" i="2" s="1"/>
  <c r="Q99" i="2"/>
  <c r="Q98" i="2" s="1"/>
  <c r="Y60" i="2"/>
  <c r="AG261" i="2"/>
  <c r="AG65" i="2"/>
  <c r="F261" i="2"/>
  <c r="F217" i="2"/>
  <c r="J255" i="2"/>
  <c r="J235" i="2"/>
  <c r="J99" i="2"/>
  <c r="J98" i="2" s="1"/>
  <c r="R255" i="2"/>
  <c r="R235" i="2"/>
  <c r="R198" i="2"/>
  <c r="R197" i="2" s="1"/>
  <c r="R210" i="2"/>
  <c r="R209" i="2" s="1"/>
  <c r="Z261" i="2"/>
  <c r="Z218" i="2"/>
  <c r="Z220" i="2"/>
  <c r="AD256" i="2"/>
  <c r="C217" i="2"/>
  <c r="G260" i="2"/>
  <c r="K255" i="2"/>
  <c r="K235" i="2"/>
  <c r="S257" i="2"/>
  <c r="S218" i="2"/>
  <c r="W198" i="2"/>
  <c r="W222" i="2" s="1"/>
  <c r="W216" i="2"/>
  <c r="AE258" i="2"/>
  <c r="AE99" i="2"/>
  <c r="AE98" i="2" s="1"/>
  <c r="AI218" i="2"/>
  <c r="I198" i="2"/>
  <c r="I217" i="2"/>
  <c r="M257" i="2"/>
  <c r="M259" i="2"/>
  <c r="M210" i="2"/>
  <c r="M209" i="2" s="1"/>
  <c r="M219" i="2"/>
  <c r="AC244" i="2"/>
  <c r="AK244" i="2"/>
  <c r="AK198" i="2"/>
  <c r="AK219" i="2"/>
  <c r="AK216" i="2"/>
  <c r="N255" i="2"/>
  <c r="N235" i="2"/>
  <c r="N216" i="2"/>
  <c r="V260" i="2"/>
  <c r="V219" i="2"/>
  <c r="V223" i="2"/>
  <c r="V64" i="2"/>
  <c r="AH257" i="2"/>
  <c r="AH219" i="2"/>
  <c r="D258" i="2"/>
  <c r="D217" i="2"/>
  <c r="H64" i="2"/>
  <c r="H60" i="2"/>
  <c r="L257" i="2"/>
  <c r="L198" i="2"/>
  <c r="L197" i="2" s="1"/>
  <c r="T258" i="2"/>
  <c r="T220" i="2"/>
  <c r="T217" i="2"/>
  <c r="X257" i="2"/>
  <c r="AB60" i="2"/>
  <c r="AJ258" i="2"/>
  <c r="E261" i="2"/>
  <c r="E220" i="2"/>
  <c r="E99" i="2"/>
  <c r="E98" i="2" s="1"/>
  <c r="E219" i="2"/>
  <c r="E217" i="2"/>
  <c r="Y218" i="2"/>
  <c r="AG219" i="2"/>
  <c r="F256" i="2"/>
  <c r="J197" i="2"/>
  <c r="J60" i="2"/>
  <c r="C111" i="2"/>
  <c r="C120" i="2"/>
  <c r="Z256" i="2"/>
  <c r="Z64" i="2"/>
  <c r="AD260" i="2"/>
  <c r="AD64" i="2"/>
  <c r="C260" i="2"/>
  <c r="AD254" i="2" l="1"/>
  <c r="F222" i="2"/>
  <c r="Z222" i="2"/>
  <c r="AE254" i="2"/>
  <c r="N222" i="2"/>
  <c r="AE222" i="2"/>
  <c r="AB222" i="2"/>
  <c r="D232" i="2" s="1"/>
  <c r="J209" i="2"/>
  <c r="J221" i="2" s="1"/>
  <c r="V221" i="2"/>
  <c r="AC221" i="2"/>
  <c r="X221" i="2"/>
  <c r="I254" i="2"/>
  <c r="Z254" i="2"/>
  <c r="C222" i="2"/>
  <c r="AB254" i="2"/>
  <c r="D221" i="2"/>
  <c r="E254" i="2"/>
  <c r="P254" i="2"/>
  <c r="X222" i="2"/>
  <c r="S222" i="2"/>
  <c r="D222" i="2"/>
  <c r="AH222" i="2"/>
  <c r="Y254" i="2"/>
  <c r="AC222" i="2"/>
  <c r="C209" i="2"/>
  <c r="C221" i="2" s="1"/>
  <c r="I222" i="2"/>
  <c r="H254" i="2"/>
  <c r="AI221" i="2"/>
  <c r="M254" i="2"/>
  <c r="AD222" i="2"/>
  <c r="M222" i="2"/>
  <c r="AE221" i="2"/>
  <c r="J254" i="2"/>
  <c r="T222" i="2"/>
  <c r="V222" i="2"/>
  <c r="AK222" i="2"/>
  <c r="AG254" i="2"/>
  <c r="AA254" i="2"/>
  <c r="T254" i="2"/>
  <c r="S197" i="2"/>
  <c r="S221" i="2" s="1"/>
  <c r="N197" i="2"/>
  <c r="N221" i="2" s="1"/>
  <c r="K254" i="2"/>
  <c r="O221" i="2"/>
  <c r="W254" i="2"/>
  <c r="K222" i="2"/>
  <c r="P222" i="2"/>
  <c r="O254" i="2"/>
  <c r="U254" i="2"/>
  <c r="W197" i="2"/>
  <c r="W221" i="2" s="1"/>
  <c r="E222" i="2"/>
  <c r="N254" i="2"/>
  <c r="Y221" i="2"/>
  <c r="AI254" i="2"/>
  <c r="AH254" i="2"/>
  <c r="H221" i="2"/>
  <c r="O222" i="2"/>
  <c r="AH197" i="2"/>
  <c r="AH221" i="2" s="1"/>
  <c r="Q197" i="2"/>
  <c r="Q221" i="2" s="1"/>
  <c r="V254" i="2"/>
  <c r="E197" i="2"/>
  <c r="E221" i="2" s="1"/>
  <c r="AJ254" i="2"/>
  <c r="X254" i="2"/>
  <c r="AB197" i="2"/>
  <c r="AB221" i="2" s="1"/>
  <c r="D231" i="2" s="1"/>
  <c r="AI222" i="2"/>
  <c r="Z197" i="2"/>
  <c r="Z221" i="2" s="1"/>
  <c r="H222" i="2"/>
  <c r="AB86" i="2"/>
  <c r="D112" i="2" s="1"/>
  <c r="D113" i="2"/>
  <c r="R221" i="2"/>
  <c r="C231" i="2" s="1"/>
  <c r="R254" i="2"/>
  <c r="AF197" i="2"/>
  <c r="AF221" i="2" s="1"/>
  <c r="P221" i="2"/>
  <c r="AK197" i="2"/>
  <c r="AK221" i="2" s="1"/>
  <c r="U197" i="2"/>
  <c r="U221" i="2" s="1"/>
  <c r="T197" i="2"/>
  <c r="T221" i="2" s="1"/>
  <c r="I197" i="2"/>
  <c r="I221" i="2" s="1"/>
  <c r="D254" i="2"/>
  <c r="L254" i="2"/>
  <c r="G221" i="2"/>
  <c r="AK254" i="2"/>
  <c r="AD221" i="2"/>
  <c r="Y222" i="2"/>
  <c r="G254" i="2"/>
  <c r="AC254" i="2"/>
  <c r="AJ197" i="2"/>
  <c r="AJ221" i="2" s="1"/>
  <c r="AJ222" i="2"/>
  <c r="C113" i="2"/>
  <c r="R222" i="2"/>
  <c r="C232" i="2" s="1"/>
  <c r="R98" i="2"/>
  <c r="Q254" i="2"/>
  <c r="AF254" i="2"/>
  <c r="K221" i="2"/>
  <c r="S254" i="2"/>
  <c r="L221" i="2"/>
  <c r="L222" i="2"/>
  <c r="AA221" i="2"/>
  <c r="AG197" i="2"/>
  <c r="AG221" i="2" s="1"/>
  <c r="AA222" i="2"/>
  <c r="C254" i="2"/>
  <c r="M221" i="2"/>
  <c r="F254" i="2"/>
  <c r="F197" i="2"/>
  <c r="F221" i="2" s="1"/>
  <c r="G222" i="2"/>
  <c r="D121" i="2" l="1"/>
  <c r="C112" i="2"/>
  <c r="C121" i="2"/>
  <c r="AL198" i="2" l="1"/>
  <c r="AL87" i="2"/>
  <c r="AL259" i="2"/>
  <c r="AL447" i="2"/>
  <c r="AL460" i="2" l="1"/>
  <c r="AL216" i="2"/>
  <c r="E226" i="2" s="1"/>
  <c r="AL220" i="2"/>
  <c r="E230" i="2" s="1"/>
  <c r="AL285" i="2"/>
  <c r="E294" i="2" s="1"/>
  <c r="AL284" i="2"/>
  <c r="E293" i="2" s="1"/>
  <c r="AL99" i="2"/>
  <c r="AL98" i="2" s="1"/>
  <c r="AL218" i="2"/>
  <c r="E228" i="2" s="1"/>
  <c r="AL453" i="2"/>
  <c r="AL473" i="2"/>
  <c r="AL86" i="2"/>
  <c r="AL280" i="2"/>
  <c r="E289" i="2" s="1"/>
  <c r="AL466" i="2"/>
  <c r="AL472" i="2"/>
  <c r="AL258" i="2"/>
  <c r="E119" i="2"/>
  <c r="E110" i="2"/>
  <c r="AM65" i="2"/>
  <c r="AL65" i="2"/>
  <c r="AL509" i="2"/>
  <c r="AL257" i="2"/>
  <c r="E107" i="2"/>
  <c r="AL244" i="2"/>
  <c r="AL510" i="2"/>
  <c r="AL494" i="2"/>
  <c r="AL261" i="2"/>
  <c r="E108" i="2"/>
  <c r="E117" i="2"/>
  <c r="AL282" i="2"/>
  <c r="E291" i="2" s="1"/>
  <c r="AL283" i="2"/>
  <c r="E292" i="2" s="1"/>
  <c r="AM60" i="2"/>
  <c r="AL60" i="2"/>
  <c r="AL481" i="2"/>
  <c r="AL508" i="2" s="1"/>
  <c r="AL256" i="2"/>
  <c r="E114" i="2"/>
  <c r="E122" i="2"/>
  <c r="AL217" i="2"/>
  <c r="E227" i="2" s="1"/>
  <c r="AL475" i="2"/>
  <c r="AL474" i="2"/>
  <c r="AL500" i="2"/>
  <c r="AL506" i="2"/>
  <c r="AL260" i="2"/>
  <c r="AL197" i="2"/>
  <c r="AL487" i="2"/>
  <c r="AL507" i="2"/>
  <c r="E120" i="2"/>
  <c r="E111" i="2"/>
  <c r="AL210" i="2"/>
  <c r="AL209" i="2" s="1"/>
  <c r="AL281" i="2"/>
  <c r="E290" i="2" s="1"/>
  <c r="AL476" i="2"/>
  <c r="AL255" i="2"/>
  <c r="AL235" i="2"/>
  <c r="E118" i="2"/>
  <c r="E109" i="2"/>
  <c r="AL219" i="2"/>
  <c r="E229" i="2" s="1"/>
  <c r="AL223" i="2"/>
  <c r="E233" i="2" s="1"/>
  <c r="AL279" i="2"/>
  <c r="E288" i="2" s="1"/>
  <c r="AM64" i="2"/>
  <c r="AL64" i="2"/>
  <c r="E113" i="2" l="1"/>
  <c r="AL477" i="2"/>
  <c r="AL222" i="2"/>
  <c r="E232" i="2" s="1"/>
  <c r="AL254" i="2"/>
  <c r="AL221" i="2"/>
  <c r="E231" i="2" s="1"/>
  <c r="E121" i="2"/>
  <c r="E112" i="2"/>
  <c r="AL511" i="2"/>
</calcChain>
</file>

<file path=xl/sharedStrings.xml><?xml version="1.0" encoding="utf-8"?>
<sst xmlns="http://schemas.openxmlformats.org/spreadsheetml/2006/main" count="400" uniqueCount="106">
  <si>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</si>
  <si>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</si>
  <si>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</si>
  <si>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</si>
  <si>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</si>
  <si>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</si>
  <si>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</si>
  <si>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</si>
  <si>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</si>
  <si>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</si>
  <si>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</si>
  <si>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</si>
  <si>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</si>
  <si>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</t>
  </si>
  <si>
    <t>Année</t>
  </si>
  <si>
    <t>2030</t>
  </si>
  <si>
    <t>2040</t>
  </si>
  <si>
    <t>2050</t>
  </si>
  <si>
    <t>GDP</t>
  </si>
  <si>
    <t>Consumption</t>
  </si>
  <si>
    <t>Net exports</t>
  </si>
  <si>
    <t>Investment</t>
  </si>
  <si>
    <t>Exports</t>
  </si>
  <si>
    <t>Imports</t>
  </si>
  <si>
    <t>Production</t>
  </si>
  <si>
    <t>Households</t>
  </si>
  <si>
    <t>Firms</t>
  </si>
  <si>
    <t>Total</t>
  </si>
  <si>
    <t>Transport</t>
  </si>
  <si>
    <t>Oil&amp;Gas</t>
  </si>
  <si>
    <t>Industry</t>
  </si>
  <si>
    <t>Oil &amp; Gas</t>
  </si>
  <si>
    <t>Renewable Oil &amp; Gas</t>
  </si>
  <si>
    <t>Electricity</t>
  </si>
  <si>
    <t>biogas</t>
  </si>
  <si>
    <t>biofuel</t>
  </si>
  <si>
    <t>Renewable Oil&amp;Gas</t>
  </si>
  <si>
    <t>total oil&amp;gas</t>
  </si>
  <si>
    <t>baseline</t>
  </si>
  <si>
    <t>shock</t>
  </si>
  <si>
    <t>Average</t>
  </si>
  <si>
    <t>Capital</t>
  </si>
  <si>
    <t>Capital intensity</t>
  </si>
  <si>
    <t>Energy intensity</t>
  </si>
  <si>
    <t>Ménages</t>
  </si>
  <si>
    <t>Ménages (logement)</t>
  </si>
  <si>
    <t>Ménages (transport)</t>
  </si>
  <si>
    <t>Households (housing)</t>
  </si>
  <si>
    <t>Households (transport)</t>
  </si>
  <si>
    <t>Consommation</t>
  </si>
  <si>
    <t>CI</t>
  </si>
  <si>
    <t>Y</t>
  </si>
  <si>
    <t>MAT</t>
  </si>
  <si>
    <t>Fuel</t>
  </si>
  <si>
    <t>Gas</t>
  </si>
  <si>
    <t>Electric</t>
  </si>
  <si>
    <t>Vehicles</t>
  </si>
  <si>
    <t>A</t>
  </si>
  <si>
    <t>B</t>
  </si>
  <si>
    <t>C</t>
  </si>
  <si>
    <t>D</t>
  </si>
  <si>
    <t>E</t>
  </si>
  <si>
    <t>F</t>
  </si>
  <si>
    <t>G</t>
  </si>
  <si>
    <t>Food</t>
  </si>
  <si>
    <t>Glass</t>
  </si>
  <si>
    <t>Chemicals</t>
  </si>
  <si>
    <t>Metal</t>
  </si>
  <si>
    <t>Road transport</t>
  </si>
  <si>
    <t>Air transport</t>
  </si>
  <si>
    <t>Other transport</t>
  </si>
  <si>
    <t>Other industry</t>
  </si>
  <si>
    <t>2020</t>
  </si>
  <si>
    <t>CF toe</t>
  </si>
  <si>
    <t>Carburant</t>
  </si>
  <si>
    <t>Autre</t>
  </si>
  <si>
    <t>Charbon</t>
  </si>
  <si>
    <t>Consommation énergétique</t>
  </si>
  <si>
    <t>Valeur ajoutée sectorielle</t>
  </si>
  <si>
    <t>VA graphique</t>
  </si>
  <si>
    <t>%deviation</t>
  </si>
  <si>
    <t>share evolution</t>
  </si>
  <si>
    <t>Production sectorielle</t>
  </si>
  <si>
    <t>Production graphique</t>
  </si>
  <si>
    <t>%share</t>
  </si>
  <si>
    <t>%deviation from baseline</t>
  </si>
  <si>
    <t>Employment</t>
  </si>
  <si>
    <t>deviation in thousands</t>
  </si>
  <si>
    <t>%deviation + contributions</t>
  </si>
  <si>
    <t>Vehicles stock by energy</t>
  </si>
  <si>
    <t>Vehicles stock by class</t>
  </si>
  <si>
    <t>Buildings by class</t>
  </si>
  <si>
    <t>Firms' CO2 emissions</t>
  </si>
  <si>
    <t>Final energy</t>
  </si>
  <si>
    <t>Primary energy</t>
  </si>
  <si>
    <t>%deviation + contribution</t>
  </si>
  <si>
    <t>AUTO_CA_0</t>
  </si>
  <si>
    <t>AUTO_CB_0</t>
  </si>
  <si>
    <t>AUTO_CC_0</t>
  </si>
  <si>
    <t>AUTO_CD_0</t>
  </si>
  <si>
    <t>AUTO_CE_0</t>
  </si>
  <si>
    <t>AUTO_CF_0</t>
  </si>
  <si>
    <t>AUTO_CG_0</t>
  </si>
  <si>
    <t>Households' consumption</t>
  </si>
  <si>
    <t>Firms' consumption</t>
  </si>
  <si>
    <t>Net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</si>
</sst>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quotePrefix="1"/>
    <xf numFmtId="0" fontId="0" fillId="0" borderId="0" xfId="0" applyAlignment="1">
      <alignment horizontal="center" vertical="center"/>
    </xf>
    <xf numFmtId="9" fontId="0" fillId="0" borderId="0" xfId="0" applyNumberFormat="1"/>
    <xf numFmtId="165" fontId="0" fillId="0" borderId="0" xfId="0" quotePrefix="1" applyNumberFormat="1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hartsheet" Target="chartsheets/sheet12.xml"/><Relationship Id="rId18" Type="http://schemas.openxmlformats.org/officeDocument/2006/relationships/chartsheet" Target="chartsheets/sheet17.xml"/><Relationship Id="rId26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21" Type="http://schemas.openxmlformats.org/officeDocument/2006/relationships/chartsheet" Target="chartsheets/sheet20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chartsheet" Target="chartsheets/sheet16.xml"/><Relationship Id="rId25" Type="http://schemas.openxmlformats.org/officeDocument/2006/relationships/styles" Target="styles.xml"/><Relationship Id="rId2" Type="http://schemas.openxmlformats.org/officeDocument/2006/relationships/chartsheet" Target="chartsheets/sheet1.xml"/><Relationship Id="rId16" Type="http://schemas.openxmlformats.org/officeDocument/2006/relationships/chartsheet" Target="chartsheets/sheet15.xml"/><Relationship Id="rId20" Type="http://schemas.openxmlformats.org/officeDocument/2006/relationships/chartsheet" Target="chartsheets/sheet19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24" Type="http://schemas.openxmlformats.org/officeDocument/2006/relationships/theme" Target="theme/theme1.xml"/><Relationship Id="rId5" Type="http://schemas.openxmlformats.org/officeDocument/2006/relationships/chartsheet" Target="chartsheets/sheet4.xml"/><Relationship Id="rId15" Type="http://schemas.openxmlformats.org/officeDocument/2006/relationships/chartsheet" Target="chartsheets/sheet14.xml"/><Relationship Id="rId23" Type="http://schemas.openxmlformats.org/officeDocument/2006/relationships/externalLink" Target="externalLinks/externalLink1.xml"/><Relationship Id="rId10" Type="http://schemas.openxmlformats.org/officeDocument/2006/relationships/chartsheet" Target="chartsheets/sheet9.xml"/><Relationship Id="rId19" Type="http://schemas.openxmlformats.org/officeDocument/2006/relationships/chartsheet" Target="chartsheets/sheet18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hartsheet" Target="chartsheets/sheet13.xml"/><Relationship Id="rId22" Type="http://schemas.openxmlformats.org/officeDocument/2006/relationships/chartsheet" Target="chart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</a:t>
            </a:r>
            <a:r>
              <a:rPr lang="fr-FR" sz="2400" baseline="0"/>
              <a:t> on GDP - </a:t>
            </a:r>
            <a:r>
              <a:rPr lang="fr-FR" sz="2400" b="1" u="sng" baseline="0"/>
              <a:t>Physical damages of a 3°C Scenario </a:t>
            </a:r>
            <a:r>
              <a:rPr lang="fr-FR" sz="1600" baseline="0"/>
              <a:t>(% deviation from status quo)</a:t>
            </a:r>
            <a:endParaRPr lang="fr-FR" sz="16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Données!$B$7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Données!$C$7:$BF$7</c:f>
              <c:numCache>
                <c:formatCode>#\ ##0.0</c:formatCode>
                <c:ptCount val="56"/>
                <c:pt idx="0">
                  <c:v>-2.2219321315265921E-2</c:v>
                </c:pt>
                <c:pt idx="1">
                  <c:v>-7.0460409543374736E-2</c:v>
                </c:pt>
                <c:pt idx="2">
                  <c:v>-0.13641332857266328</c:v>
                </c:pt>
                <c:pt idx="3">
                  <c:v>-0.21450563499979014</c:v>
                </c:pt>
                <c:pt idx="4">
                  <c:v>-0.30007091231723121</c:v>
                </c:pt>
                <c:pt idx="5">
                  <c:v>-0.38962158057239177</c:v>
                </c:pt>
                <c:pt idx="6">
                  <c:v>-0.48118156225359476</c:v>
                </c:pt>
                <c:pt idx="7">
                  <c:v>-0.57269091044210019</c:v>
                </c:pt>
                <c:pt idx="8">
                  <c:v>-0.66267428933280292</c:v>
                </c:pt>
                <c:pt idx="9">
                  <c:v>-0.75004369162499585</c:v>
                </c:pt>
                <c:pt idx="10">
                  <c:v>-0.83343939307139059</c:v>
                </c:pt>
                <c:pt idx="11">
                  <c:v>-0.91465553000259914</c:v>
                </c:pt>
                <c:pt idx="12">
                  <c:v>-0.99269726894413901</c:v>
                </c:pt>
                <c:pt idx="13">
                  <c:v>-1.0669788198868455</c:v>
                </c:pt>
                <c:pt idx="14">
                  <c:v>-1.136999515268734</c:v>
                </c:pt>
                <c:pt idx="15">
                  <c:v>-1.2024054064787457</c:v>
                </c:pt>
                <c:pt idx="16">
                  <c:v>-1.2640344532047931</c:v>
                </c:pt>
                <c:pt idx="17">
                  <c:v>-1.3219303320470692</c:v>
                </c:pt>
                <c:pt idx="18">
                  <c:v>-1.3759742611067245</c:v>
                </c:pt>
                <c:pt idx="19">
                  <c:v>-1.4261023314471122</c:v>
                </c:pt>
                <c:pt idx="20">
                  <c:v>-1.4729009405044446</c:v>
                </c:pt>
                <c:pt idx="21">
                  <c:v>-1.5151380820829512</c:v>
                </c:pt>
                <c:pt idx="22">
                  <c:v>-1.5538127279544276</c:v>
                </c:pt>
                <c:pt idx="23">
                  <c:v>-1.5892766427787099</c:v>
                </c:pt>
                <c:pt idx="24">
                  <c:v>-1.6218821272494621</c:v>
                </c:pt>
                <c:pt idx="25">
                  <c:v>-1.6535453586966187</c:v>
                </c:pt>
                <c:pt idx="26">
                  <c:v>-1.6809485345981232</c:v>
                </c:pt>
                <c:pt idx="27">
                  <c:v>-1.7055980865658447</c:v>
                </c:pt>
                <c:pt idx="28">
                  <c:v>-1.7280296126995709</c:v>
                </c:pt>
                <c:pt idx="29">
                  <c:v>-1.7487427669167073</c:v>
                </c:pt>
                <c:pt idx="30">
                  <c:v>-1.7681551494941063</c:v>
                </c:pt>
                <c:pt idx="31">
                  <c:v>-1.7864094792652767</c:v>
                </c:pt>
                <c:pt idx="32">
                  <c:v>-1.8037577288788333</c:v>
                </c:pt>
                <c:pt idx="33">
                  <c:v>-1.8204491383966501</c:v>
                </c:pt>
                <c:pt idx="34">
                  <c:v>-1.8366956923626685</c:v>
                </c:pt>
                <c:pt idx="35">
                  <c:v>-1.8526670666298415</c:v>
                </c:pt>
                <c:pt idx="36">
                  <c:v>-1.8672375303771729</c:v>
                </c:pt>
                <c:pt idx="37">
                  <c:v>-1.8798191305544432</c:v>
                </c:pt>
                <c:pt idx="38">
                  <c:v>-1.8908044162987205</c:v>
                </c:pt>
                <c:pt idx="39">
                  <c:v>-1.9006818008692625</c:v>
                </c:pt>
                <c:pt idx="40">
                  <c:v>-1.9099006825284432</c:v>
                </c:pt>
                <c:pt idx="41">
                  <c:v>-1.9185944025158621</c:v>
                </c:pt>
                <c:pt idx="42">
                  <c:v>-1.9270386557708126</c:v>
                </c:pt>
                <c:pt idx="43">
                  <c:v>-1.9355056736138294</c:v>
                </c:pt>
                <c:pt idx="44">
                  <c:v>-1.9442179559600679</c:v>
                </c:pt>
                <c:pt idx="45">
                  <c:v>-1.9533427646029338</c:v>
                </c:pt>
                <c:pt idx="46">
                  <c:v>-1.96220608672112</c:v>
                </c:pt>
                <c:pt idx="47">
                  <c:v>-1.9708698248734522</c:v>
                </c:pt>
                <c:pt idx="48">
                  <c:v>-1.9795343346046836</c:v>
                </c:pt>
                <c:pt idx="49">
                  <c:v>-1.9884091805694857</c:v>
                </c:pt>
                <c:pt idx="50">
                  <c:v>-1.99766948204562</c:v>
                </c:pt>
                <c:pt idx="51">
                  <c:v>-2.0070009544159979</c:v>
                </c:pt>
                <c:pt idx="52">
                  <c:v>-2.0164695925540008</c:v>
                </c:pt>
                <c:pt idx="53">
                  <c:v>-2.0262408641795346</c:v>
                </c:pt>
                <c:pt idx="54">
                  <c:v>-2.0364763969777893</c:v>
                </c:pt>
                <c:pt idx="55">
                  <c:v>-2.0473060655915294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Données!$B$10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Données!$C$10:$BF$10</c:f>
              <c:numCache>
                <c:formatCode>#\ ##0.0</c:formatCode>
                <c:ptCount val="56"/>
                <c:pt idx="0">
                  <c:v>-1.8525592318490047E-2</c:v>
                </c:pt>
                <c:pt idx="1">
                  <c:v>-4.6927357378518365E-2</c:v>
                </c:pt>
                <c:pt idx="2">
                  <c:v>-8.0007173478490401E-2</c:v>
                </c:pt>
                <c:pt idx="3">
                  <c:v>-0.11629315034392236</c:v>
                </c:pt>
                <c:pt idx="4">
                  <c:v>-0.15473456384983703</c:v>
                </c:pt>
                <c:pt idx="5">
                  <c:v>-0.19470040061895019</c:v>
                </c:pt>
                <c:pt idx="6">
                  <c:v>-0.23611111746325184</c:v>
                </c:pt>
                <c:pt idx="7">
                  <c:v>-0.27851671693580754</c:v>
                </c:pt>
                <c:pt idx="8">
                  <c:v>-0.32165138832272816</c:v>
                </c:pt>
                <c:pt idx="9">
                  <c:v>-0.36531843176308149</c:v>
                </c:pt>
                <c:pt idx="10">
                  <c:v>-0.40915887318795902</c:v>
                </c:pt>
                <c:pt idx="11">
                  <c:v>-0.45439232912949706</c:v>
                </c:pt>
                <c:pt idx="12">
                  <c:v>-0.50021401992476655</c:v>
                </c:pt>
                <c:pt idx="13">
                  <c:v>-0.54628580421484585</c:v>
                </c:pt>
                <c:pt idx="14">
                  <c:v>-0.59238280138935906</c:v>
                </c:pt>
                <c:pt idx="15">
                  <c:v>-0.63833902791058483</c:v>
                </c:pt>
                <c:pt idx="16">
                  <c:v>-0.68489845893643631</c:v>
                </c:pt>
                <c:pt idx="17">
                  <c:v>-0.73156006845508004</c:v>
                </c:pt>
                <c:pt idx="18">
                  <c:v>-0.77802282679785106</c:v>
                </c:pt>
                <c:pt idx="19">
                  <c:v>-0.82410868345878885</c:v>
                </c:pt>
                <c:pt idx="20">
                  <c:v>-0.86997060709686613</c:v>
                </c:pt>
                <c:pt idx="21">
                  <c:v>-0.91487547834815641</c:v>
                </c:pt>
                <c:pt idx="22">
                  <c:v>-0.95913002202356101</c:v>
                </c:pt>
                <c:pt idx="23">
                  <c:v>-1.0026712359586287</c:v>
                </c:pt>
                <c:pt idx="24">
                  <c:v>-1.0454513307302744</c:v>
                </c:pt>
                <c:pt idx="25">
                  <c:v>-1.0883381307581319</c:v>
                </c:pt>
                <c:pt idx="26">
                  <c:v>-1.1292728875887903</c:v>
                </c:pt>
                <c:pt idx="27">
                  <c:v>-1.1690383345120281</c:v>
                </c:pt>
                <c:pt idx="28">
                  <c:v>-1.2076462452880041</c:v>
                </c:pt>
                <c:pt idx="29">
                  <c:v>-1.2450855864434183</c:v>
                </c:pt>
                <c:pt idx="30">
                  <c:v>-1.2813310104626396</c:v>
                </c:pt>
                <c:pt idx="31">
                  <c:v>-1.3161879695144161</c:v>
                </c:pt>
                <c:pt idx="32">
                  <c:v>-1.3496856603282985</c:v>
                </c:pt>
                <c:pt idx="33">
                  <c:v>-1.3818213870384877</c:v>
                </c:pt>
                <c:pt idx="34">
                  <c:v>-1.4125744941983425</c:v>
                </c:pt>
                <c:pt idx="35">
                  <c:v>-1.4419179254289234</c:v>
                </c:pt>
                <c:pt idx="36">
                  <c:v>-1.4687555097992664</c:v>
                </c:pt>
                <c:pt idx="37">
                  <c:v>-1.4932831709889112</c:v>
                </c:pt>
                <c:pt idx="38">
                  <c:v>-1.5158069124984064</c:v>
                </c:pt>
                <c:pt idx="39">
                  <c:v>-1.5364788217259637</c:v>
                </c:pt>
                <c:pt idx="40">
                  <c:v>-1.5553873857380305</c:v>
                </c:pt>
                <c:pt idx="41">
                  <c:v>-1.5723954893574694</c:v>
                </c:pt>
                <c:pt idx="42">
                  <c:v>-1.5876395432525603</c:v>
                </c:pt>
                <c:pt idx="43">
                  <c:v>-1.6012194919564979</c:v>
                </c:pt>
                <c:pt idx="44">
                  <c:v>-1.613215152222685</c:v>
                </c:pt>
                <c:pt idx="45">
                  <c:v>-1.6236983433557035</c:v>
                </c:pt>
                <c:pt idx="46">
                  <c:v>-1.6320759923307404</c:v>
                </c:pt>
                <c:pt idx="47">
                  <c:v>-1.6387046552970235</c:v>
                </c:pt>
                <c:pt idx="48">
                  <c:v>-1.6438025473251989</c:v>
                </c:pt>
                <c:pt idx="49">
                  <c:v>-1.6475241236363347</c:v>
                </c:pt>
                <c:pt idx="50">
                  <c:v>-1.649993833606743</c:v>
                </c:pt>
                <c:pt idx="51">
                  <c:v>-1.6509451620244304</c:v>
                </c:pt>
                <c:pt idx="52">
                  <c:v>-1.6506318983299306</c:v>
                </c:pt>
                <c:pt idx="53">
                  <c:v>-1.6492416219538923</c:v>
                </c:pt>
                <c:pt idx="54">
                  <c:v>-1.6469207198579514</c:v>
                </c:pt>
                <c:pt idx="55">
                  <c:v>-1.6437945365436906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Données!$B$12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Données!$C$12:$BF$12</c:f>
              <c:numCache>
                <c:formatCode>#\ ##0.0</c:formatCode>
                <c:ptCount val="56"/>
                <c:pt idx="0">
                  <c:v>-8.3133220466124355E-2</c:v>
                </c:pt>
                <c:pt idx="1">
                  <c:v>-0.1426347927770735</c:v>
                </c:pt>
                <c:pt idx="2">
                  <c:v>-0.19042540826890231</c:v>
                </c:pt>
                <c:pt idx="3">
                  <c:v>-0.22961004653457745</c:v>
                </c:pt>
                <c:pt idx="4">
                  <c:v>-0.26179771463502577</c:v>
                </c:pt>
                <c:pt idx="5">
                  <c:v>-0.28824860045273981</c:v>
                </c:pt>
                <c:pt idx="6">
                  <c:v>-0.31087447471518703</c:v>
                </c:pt>
                <c:pt idx="7">
                  <c:v>-0.32940630693465039</c:v>
                </c:pt>
                <c:pt idx="8">
                  <c:v>-0.3446412759541162</c:v>
                </c:pt>
                <c:pt idx="9">
                  <c:v>-0.35726237860605392</c:v>
                </c:pt>
                <c:pt idx="10">
                  <c:v>-0.36846226443440011</c:v>
                </c:pt>
                <c:pt idx="11">
                  <c:v>-0.38165906661360482</c:v>
                </c:pt>
                <c:pt idx="12">
                  <c:v>-0.39307630507971636</c:v>
                </c:pt>
                <c:pt idx="13">
                  <c:v>-0.40346524598282063</c:v>
                </c:pt>
                <c:pt idx="14">
                  <c:v>-0.41339629868150285</c:v>
                </c:pt>
                <c:pt idx="15">
                  <c:v>-0.42335284184413591</c:v>
                </c:pt>
                <c:pt idx="16">
                  <c:v>-0.43769621531246372</c:v>
                </c:pt>
                <c:pt idx="17">
                  <c:v>-0.45192331020718912</c:v>
                </c:pt>
                <c:pt idx="18">
                  <c:v>-0.46656266076811437</c:v>
                </c:pt>
                <c:pt idx="19">
                  <c:v>-0.48193887878045572</c:v>
                </c:pt>
                <c:pt idx="20">
                  <c:v>-0.4976591748150061</c:v>
                </c:pt>
                <c:pt idx="21">
                  <c:v>-0.51534552513291443</c:v>
                </c:pt>
                <c:pt idx="22">
                  <c:v>-0.53421713204627186</c:v>
                </c:pt>
                <c:pt idx="23">
                  <c:v>-0.55434811608177381</c:v>
                </c:pt>
                <c:pt idx="24">
                  <c:v>-0.57575076562865846</c:v>
                </c:pt>
                <c:pt idx="25">
                  <c:v>-0.59643501583429703</c:v>
                </c:pt>
                <c:pt idx="26">
                  <c:v>-0.61886916684639393</c:v>
                </c:pt>
                <c:pt idx="27">
                  <c:v>-0.64308659774369548</c:v>
                </c:pt>
                <c:pt idx="28">
                  <c:v>-0.66888808392881383</c:v>
                </c:pt>
                <c:pt idx="29">
                  <c:v>-0.69608854463273584</c:v>
                </c:pt>
                <c:pt idx="30">
                  <c:v>-0.72451468212491532</c:v>
                </c:pt>
                <c:pt idx="31">
                  <c:v>-0.75330266598963469</c:v>
                </c:pt>
                <c:pt idx="32">
                  <c:v>-0.78316178983149221</c:v>
                </c:pt>
                <c:pt idx="33">
                  <c:v>-0.81391284972271127</c:v>
                </c:pt>
                <c:pt idx="34">
                  <c:v>-0.84541152872393877</c:v>
                </c:pt>
                <c:pt idx="35">
                  <c:v>-0.87752955710031588</c:v>
                </c:pt>
                <c:pt idx="36">
                  <c:v>-0.9038563927418235</c:v>
                </c:pt>
                <c:pt idx="37">
                  <c:v>-0.93210186521726279</c:v>
                </c:pt>
                <c:pt idx="38">
                  <c:v>-0.96173093182478597</c:v>
                </c:pt>
                <c:pt idx="39">
                  <c:v>-0.9924486375498125</c:v>
                </c:pt>
                <c:pt idx="40">
                  <c:v>-1.0240243818272183</c:v>
                </c:pt>
                <c:pt idx="41">
                  <c:v>-1.0553916917597053</c:v>
                </c:pt>
                <c:pt idx="42">
                  <c:v>-1.0874244936826525</c:v>
                </c:pt>
                <c:pt idx="43">
                  <c:v>-1.1199239830240093</c:v>
                </c:pt>
                <c:pt idx="44">
                  <c:v>-1.1527417390936217</c:v>
                </c:pt>
                <c:pt idx="45">
                  <c:v>-1.1857541099866884</c:v>
                </c:pt>
                <c:pt idx="46">
                  <c:v>-1.2161314667031684</c:v>
                </c:pt>
                <c:pt idx="47">
                  <c:v>-1.247013142061443</c:v>
                </c:pt>
                <c:pt idx="48">
                  <c:v>-1.2781599196341591</c:v>
                </c:pt>
                <c:pt idx="49">
                  <c:v>-1.3094339042898837</c:v>
                </c:pt>
                <c:pt idx="50">
                  <c:v>-1.3407268112956507</c:v>
                </c:pt>
                <c:pt idx="51">
                  <c:v>-1.3703204993950635</c:v>
                </c:pt>
                <c:pt idx="52">
                  <c:v>-1.4000680841917053</c:v>
                </c:pt>
                <c:pt idx="53">
                  <c:v>-1.4297989276783145</c:v>
                </c:pt>
                <c:pt idx="54">
                  <c:v>-1.4594053655825792</c:v>
                </c:pt>
                <c:pt idx="55">
                  <c:v>-1.4888003014650679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Données!$B$6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Données!$C$6:$BF$6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-0.15527509467913037</c:v>
                      </c:pt>
                      <c:pt idx="1">
                        <c:v>-0.3213202792026193</c:v>
                      </c:pt>
                      <c:pt idx="2">
                        <c:v>-0.49714236517072186</c:v>
                      </c:pt>
                      <c:pt idx="3">
                        <c:v>-0.67936456329736883</c:v>
                      </c:pt>
                      <c:pt idx="4">
                        <c:v>-0.86350875818760331</c:v>
                      </c:pt>
                      <c:pt idx="5">
                        <c:v>-1.0465169536737484</c:v>
                      </c:pt>
                      <c:pt idx="6">
                        <c:v>-1.2285118130466621</c:v>
                      </c:pt>
                      <c:pt idx="7">
                        <c:v>-1.4063722808156598</c:v>
                      </c:pt>
                      <c:pt idx="8">
                        <c:v>-1.5792020797268713</c:v>
                      </c:pt>
                      <c:pt idx="9">
                        <c:v>-1.7464655612317137</c:v>
                      </c:pt>
                      <c:pt idx="10">
                        <c:v>-1.9078315649924904</c:v>
                      </c:pt>
                      <c:pt idx="11">
                        <c:v>-2.0710123715143247</c:v>
                      </c:pt>
                      <c:pt idx="12">
                        <c:v>-2.2291330078397675</c:v>
                      </c:pt>
                      <c:pt idx="13">
                        <c:v>-2.382135269382446</c:v>
                      </c:pt>
                      <c:pt idx="14">
                        <c:v>-2.5299273677689471</c:v>
                      </c:pt>
                      <c:pt idx="15">
                        <c:v>-2.6725304863339572</c:v>
                      </c:pt>
                      <c:pt idx="16">
                        <c:v>-2.8174712758985532</c:v>
                      </c:pt>
                      <c:pt idx="17">
                        <c:v>-2.9582633606147324</c:v>
                      </c:pt>
                      <c:pt idx="18">
                        <c:v>-3.095117441576134</c:v>
                      </c:pt>
                      <c:pt idx="19">
                        <c:v>-3.2281586249019778</c:v>
                      </c:pt>
                      <c:pt idx="20">
                        <c:v>-3.3575915344050467</c:v>
                      </c:pt>
                      <c:pt idx="21">
                        <c:v>-3.4835292797540718</c:v>
                      </c:pt>
                      <c:pt idx="22">
                        <c:v>-3.6062336415627283</c:v>
                      </c:pt>
                      <c:pt idx="23">
                        <c:v>-3.7261155057061734</c:v>
                      </c:pt>
                      <c:pt idx="24">
                        <c:v>-3.8435131180938442</c:v>
                      </c:pt>
                      <c:pt idx="25">
                        <c:v>-3.9586642383695025</c:v>
                      </c:pt>
                      <c:pt idx="26">
                        <c:v>-4.0692868397940618</c:v>
                      </c:pt>
                      <c:pt idx="27">
                        <c:v>-4.1777011640221513</c:v>
                      </c:pt>
                      <c:pt idx="28">
                        <c:v>-4.2842503472950266</c:v>
                      </c:pt>
                      <c:pt idx="29">
                        <c:v>-4.3892232643341744</c:v>
                      </c:pt>
                      <c:pt idx="30">
                        <c:v>-4.4928163035339308</c:v>
                      </c:pt>
                      <c:pt idx="31">
                        <c:v>-4.5938141557026242</c:v>
                      </c:pt>
                      <c:pt idx="32">
                        <c:v>-4.6934608704463638</c:v>
                      </c:pt>
                      <c:pt idx="33">
                        <c:v>-4.791790013438546</c:v>
                      </c:pt>
                      <c:pt idx="34">
                        <c:v>-4.8888244744461744</c:v>
                      </c:pt>
                      <c:pt idx="35">
                        <c:v>-4.984555705969651</c:v>
                      </c:pt>
                      <c:pt idx="36">
                        <c:v>-5.0679296996952505</c:v>
                      </c:pt>
                      <c:pt idx="37">
                        <c:v>-5.1487894116417525</c:v>
                      </c:pt>
                      <c:pt idx="38">
                        <c:v>-5.2271880358545575</c:v>
                      </c:pt>
                      <c:pt idx="39">
                        <c:v>-5.3034657197350228</c:v>
                      </c:pt>
                      <c:pt idx="40">
                        <c:v>-5.3779318769280104</c:v>
                      </c:pt>
                      <c:pt idx="41">
                        <c:v>-5.4491779709464838</c:v>
                      </c:pt>
                      <c:pt idx="42">
                        <c:v>-5.5188276288405387</c:v>
                      </c:pt>
                      <c:pt idx="43">
                        <c:v>-5.5870438421598223</c:v>
                      </c:pt>
                      <c:pt idx="44">
                        <c:v>-5.6539824498805569</c:v>
                      </c:pt>
                      <c:pt idx="45">
                        <c:v>-5.7197603502595618</c:v>
                      </c:pt>
                      <c:pt idx="46">
                        <c:v>-5.7792209606024603</c:v>
                      </c:pt>
                      <c:pt idx="47">
                        <c:v>-5.8369746928079502</c:v>
                      </c:pt>
                      <c:pt idx="48">
                        <c:v>-5.8931831201812335</c:v>
                      </c:pt>
                      <c:pt idx="49">
                        <c:v>-5.9480908722395087</c:v>
                      </c:pt>
                      <c:pt idx="50">
                        <c:v>-6.0019080554303939</c:v>
                      </c:pt>
                      <c:pt idx="51">
                        <c:v>-6.051720435508912</c:v>
                      </c:pt>
                      <c:pt idx="52">
                        <c:v>-6.1003442944666748</c:v>
                      </c:pt>
                      <c:pt idx="53">
                        <c:v>-6.1479610979539139</c:v>
                      </c:pt>
                      <c:pt idx="54">
                        <c:v>-6.1947910309679832</c:v>
                      </c:pt>
                      <c:pt idx="55">
                        <c:v>-6.2410207409614333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Données!$C$8:$BF$8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-1.9345825700419495E-5</c:v>
                      </c:pt>
                      <c:pt idx="1">
                        <c:v>-4.0252317373844415E-3</c:v>
                      </c:pt>
                      <c:pt idx="2">
                        <c:v>-1.0181535431738355E-2</c:v>
                      </c:pt>
                      <c:pt idx="3">
                        <c:v>-1.7083691533886676E-2</c:v>
                      </c:pt>
                      <c:pt idx="4">
                        <c:v>-2.3889202238781129E-2</c:v>
                      </c:pt>
                      <c:pt idx="5">
                        <c:v>-3.0158272074737109E-2</c:v>
                      </c:pt>
                      <c:pt idx="6">
                        <c:v>-3.577395484841308E-2</c:v>
                      </c:pt>
                      <c:pt idx="7">
                        <c:v>-4.068476342848007E-2</c:v>
                      </c:pt>
                      <c:pt idx="8">
                        <c:v>-4.491636804242765E-2</c:v>
                      </c:pt>
                      <c:pt idx="9">
                        <c:v>-4.852430176743816E-2</c:v>
                      </c:pt>
                      <c:pt idx="10">
                        <c:v>-5.1534762214542881E-2</c:v>
                      </c:pt>
                      <c:pt idx="11">
                        <c:v>-5.4206823965879947E-2</c:v>
                      </c:pt>
                      <c:pt idx="12">
                        <c:v>-5.6523572951230977E-2</c:v>
                      </c:pt>
                      <c:pt idx="13">
                        <c:v>-5.84795818330405E-2</c:v>
                      </c:pt>
                      <c:pt idx="14">
                        <c:v>-6.0078431239928641E-2</c:v>
                      </c:pt>
                      <c:pt idx="15">
                        <c:v>-6.1335620546894128E-2</c:v>
                      </c:pt>
                      <c:pt idx="16">
                        <c:v>-6.2390631397966356E-2</c:v>
                      </c:pt>
                      <c:pt idx="17">
                        <c:v>-6.3253322809597501E-2</c:v>
                      </c:pt>
                      <c:pt idx="18">
                        <c:v>-6.3917502351823391E-2</c:v>
                      </c:pt>
                      <c:pt idx="19">
                        <c:v>-6.4389072554538393E-2</c:v>
                      </c:pt>
                      <c:pt idx="20">
                        <c:v>-6.4705666052181865E-2</c:v>
                      </c:pt>
                      <c:pt idx="21">
                        <c:v>-6.4833337258192625E-2</c:v>
                      </c:pt>
                      <c:pt idx="22">
                        <c:v>-6.4841172792021201E-2</c:v>
                      </c:pt>
                      <c:pt idx="23">
                        <c:v>-6.4760463277383259E-2</c:v>
                      </c:pt>
                      <c:pt idx="24">
                        <c:v>-6.4616418385344487E-2</c:v>
                      </c:pt>
                      <c:pt idx="25">
                        <c:v>-6.4476381258962559E-2</c:v>
                      </c:pt>
                      <c:pt idx="26">
                        <c:v>-6.4191019096559235E-2</c:v>
                      </c:pt>
                      <c:pt idx="27">
                        <c:v>-6.3853818531627679E-2</c:v>
                      </c:pt>
                      <c:pt idx="28">
                        <c:v>-6.3508292119302007E-2</c:v>
                      </c:pt>
                      <c:pt idx="29">
                        <c:v>-6.3180883135418142E-2</c:v>
                      </c:pt>
                      <c:pt idx="30">
                        <c:v>-6.2884742252690209E-2</c:v>
                      </c:pt>
                      <c:pt idx="31">
                        <c:v>-6.260577108128923E-2</c:v>
                      </c:pt>
                      <c:pt idx="32">
                        <c:v>-6.2349150332558986E-2</c:v>
                      </c:pt>
                      <c:pt idx="33">
                        <c:v>-6.2121230761128715E-2</c:v>
                      </c:pt>
                      <c:pt idx="34">
                        <c:v>-6.1925090356928399E-2</c:v>
                      </c:pt>
                      <c:pt idx="35">
                        <c:v>-6.1760961437780315E-2</c:v>
                      </c:pt>
                      <c:pt idx="36">
                        <c:v>-6.1479776463003649E-2</c:v>
                      </c:pt>
                      <c:pt idx="37">
                        <c:v>-6.1091989663780148E-2</c:v>
                      </c:pt>
                      <c:pt idx="38">
                        <c:v>-6.0660229678918584E-2</c:v>
                      </c:pt>
                      <c:pt idx="39">
                        <c:v>-6.0231664995578929E-2</c:v>
                      </c:pt>
                      <c:pt idx="40">
                        <c:v>-5.9833958800456291E-2</c:v>
                      </c:pt>
                      <c:pt idx="41">
                        <c:v>-5.9458487804835952E-2</c:v>
                      </c:pt>
                      <c:pt idx="42">
                        <c:v>-5.9115112688585256E-2</c:v>
                      </c:pt>
                      <c:pt idx="43">
                        <c:v>-5.8812692801867003E-2</c:v>
                      </c:pt>
                      <c:pt idx="44">
                        <c:v>-5.8554671286447681E-2</c:v>
                      </c:pt>
                      <c:pt idx="45">
                        <c:v>-5.8340309083533992E-2</c:v>
                      </c:pt>
                      <c:pt idx="46">
                        <c:v>-5.8097127276563722E-2</c:v>
                      </c:pt>
                      <c:pt idx="47">
                        <c:v>-5.78367609267239E-2</c:v>
                      </c:pt>
                      <c:pt idx="48">
                        <c:v>-5.7581748307322288E-2</c:v>
                      </c:pt>
                      <c:pt idx="49">
                        <c:v>-5.7347031628983081E-2</c:v>
                      </c:pt>
                      <c:pt idx="50">
                        <c:v>-5.7139947011215345E-2</c:v>
                      </c:pt>
                      <c:pt idx="51">
                        <c:v>-5.6923912008845556E-2</c:v>
                      </c:pt>
                      <c:pt idx="52">
                        <c:v>-5.6707295693882533E-2</c:v>
                      </c:pt>
                      <c:pt idx="53">
                        <c:v>-5.650468111265982E-2</c:v>
                      </c:pt>
                      <c:pt idx="54">
                        <c:v>-5.6325328077502658E-2</c:v>
                      </c:pt>
                      <c:pt idx="55">
                        <c:v>-5.617314722186665E-2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Données!$B$9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Données!$C$9:$BF$9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Données!$B$11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Données!$C$11:$BF$11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Données!$B$5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Données!$C$5:$BF$5</c:f>
              <c:numCache>
                <c:formatCode>#\ ##0.0</c:formatCode>
                <c:ptCount val="56"/>
                <c:pt idx="0">
                  <c:v>-0.12387812955572119</c:v>
                </c:pt>
                <c:pt idx="1">
                  <c:v>-0.26002258249444576</c:v>
                </c:pt>
                <c:pt idx="2">
                  <c:v>-0.40684591032005279</c:v>
                </c:pt>
                <c:pt idx="3">
                  <c:v>-0.56040879623990847</c:v>
                </c:pt>
                <c:pt idx="4">
                  <c:v>-0.71660320838492497</c:v>
                </c:pt>
                <c:pt idx="5">
                  <c:v>-0.8725705903099068</c:v>
                </c:pt>
                <c:pt idx="6">
                  <c:v>-1.0281671843244578</c:v>
                </c:pt>
                <c:pt idx="7">
                  <c:v>-1.1806139343125577</c:v>
                </c:pt>
                <c:pt idx="8">
                  <c:v>-1.3289669784647185</c:v>
                </c:pt>
                <c:pt idx="9">
                  <c:v>-1.4726244897594332</c:v>
                </c:pt>
                <c:pt idx="10">
                  <c:v>-1.6110605066345207</c:v>
                </c:pt>
                <c:pt idx="11">
                  <c:v>-1.7507069691454991</c:v>
                </c:pt>
                <c:pt idx="12">
                  <c:v>-1.88598760947708</c:v>
                </c:pt>
                <c:pt idx="13">
                  <c:v>-2.0167298471643447</c:v>
                </c:pt>
                <c:pt idx="14">
                  <c:v>-2.1427786003025973</c:v>
                </c:pt>
                <c:pt idx="15">
                  <c:v>-2.2640973132313391</c:v>
                </c:pt>
                <c:pt idx="16">
                  <c:v>-2.3866291310953081</c:v>
                </c:pt>
                <c:pt idx="17">
                  <c:v>-2.5054136927858961</c:v>
                </c:pt>
                <c:pt idx="18">
                  <c:v>-2.6205597380858148</c:v>
                </c:pt>
                <c:pt idx="19">
                  <c:v>-2.7321499110581793</c:v>
                </c:pt>
                <c:pt idx="20">
                  <c:v>-2.8405307498020282</c:v>
                </c:pt>
                <c:pt idx="21">
                  <c:v>-2.9453591024204862</c:v>
                </c:pt>
                <c:pt idx="22">
                  <c:v>-3.047159888664619</c:v>
                </c:pt>
                <c:pt idx="23">
                  <c:v>-3.1462960177082056</c:v>
                </c:pt>
                <c:pt idx="24">
                  <c:v>-3.2430842203880927</c:v>
                </c:pt>
                <c:pt idx="25">
                  <c:v>-3.3383185211761313</c:v>
                </c:pt>
                <c:pt idx="26">
                  <c:v>-3.4290906047009573</c:v>
                </c:pt>
                <c:pt idx="27">
                  <c:v>-3.5177230435464946</c:v>
                </c:pt>
                <c:pt idx="28">
                  <c:v>-3.6045639632559023</c:v>
                </c:pt>
                <c:pt idx="29">
                  <c:v>-3.689916885964617</c:v>
                </c:pt>
                <c:pt idx="30">
                  <c:v>-3.7740008450478757</c:v>
                </c:pt>
                <c:pt idx="31">
                  <c:v>-3.8559000942881116</c:v>
                </c:pt>
                <c:pt idx="32">
                  <c:v>-3.9366051472919716</c:v>
                </c:pt>
                <c:pt idx="33">
                  <c:v>-4.0161833979315382</c:v>
                </c:pt>
                <c:pt idx="34">
                  <c:v>-4.0946817180927848</c:v>
                </c:pt>
                <c:pt idx="35">
                  <c:v>-4.1721145546979592</c:v>
                </c:pt>
                <c:pt idx="36">
                  <c:v>-4.2398494465811343</c:v>
                </c:pt>
                <c:pt idx="37">
                  <c:v>-4.305204172153509</c:v>
                </c:pt>
                <c:pt idx="38">
                  <c:v>-4.3683422765877999</c:v>
                </c:pt>
                <c:pt idx="39">
                  <c:v>-4.4296092732756147</c:v>
                </c:pt>
                <c:pt idx="40">
                  <c:v>-4.4893124319510864</c:v>
                </c:pt>
                <c:pt idx="41">
                  <c:v>-4.5463815657271089</c:v>
                </c:pt>
                <c:pt idx="42">
                  <c:v>-4.6021027053292807</c:v>
                </c:pt>
                <c:pt idx="43">
                  <c:v>-4.6566491162013612</c:v>
                </c:pt>
                <c:pt idx="44">
                  <c:v>-4.7101748644916004</c:v>
                </c:pt>
                <c:pt idx="45">
                  <c:v>-4.7627952082361258</c:v>
                </c:pt>
                <c:pt idx="46">
                  <c:v>-4.8104135337768916</c:v>
                </c:pt>
                <c:pt idx="47">
                  <c:v>-4.8565876269606179</c:v>
                </c:pt>
                <c:pt idx="48">
                  <c:v>-4.9014968178984208</c:v>
                </c:pt>
                <c:pt idx="49">
                  <c:v>-4.9453672269198385</c:v>
                </c:pt>
                <c:pt idx="50">
                  <c:v>-4.9883901337668739</c:v>
                </c:pt>
                <c:pt idx="51">
                  <c:v>-5.0282666158354861</c:v>
                </c:pt>
                <c:pt idx="52">
                  <c:v>-5.0671696082860818</c:v>
                </c:pt>
                <c:pt idx="53">
                  <c:v>-5.1052814334782042</c:v>
                </c:pt>
                <c:pt idx="54">
                  <c:v>-5.1428024673215162</c:v>
                </c:pt>
                <c:pt idx="55">
                  <c:v>-5.1799008759286336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  <c:max val="62094"/>
          <c:min val="42005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  <c:min val="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v>Constant 1 degree scenario</c:v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Données!$C$64:$AL$64</c:f>
              <c:numCache>
                <c:formatCode>#\ ##0.0</c:formatCode>
                <c:ptCount val="36"/>
                <c:pt idx="1">
                  <c:v>1.7077549631245859</c:v>
                </c:pt>
                <c:pt idx="2">
                  <c:v>1.5877069834440372</c:v>
                </c:pt>
                <c:pt idx="3">
                  <c:v>1.5710188489403309</c:v>
                </c:pt>
                <c:pt idx="4">
                  <c:v>1.6088372049092969</c:v>
                </c:pt>
                <c:pt idx="5">
                  <c:v>1.6705829082972468</c:v>
                </c:pt>
                <c:pt idx="6">
                  <c:v>1.7370475010186848</c:v>
                </c:pt>
                <c:pt idx="7">
                  <c:v>1.8023832550569718</c:v>
                </c:pt>
                <c:pt idx="8">
                  <c:v>1.864566404566137</c:v>
                </c:pt>
                <c:pt idx="9">
                  <c:v>1.9229009584478707</c:v>
                </c:pt>
                <c:pt idx="10">
                  <c:v>1.9815995734927094</c:v>
                </c:pt>
                <c:pt idx="11">
                  <c:v>2.0326873193174499</c:v>
                </c:pt>
                <c:pt idx="12">
                  <c:v>2.076928676794787</c:v>
                </c:pt>
                <c:pt idx="13">
                  <c:v>2.1145056775175863</c:v>
                </c:pt>
                <c:pt idx="14">
                  <c:v>2.1453396464673036</c:v>
                </c:pt>
                <c:pt idx="15">
                  <c:v>2.16937430913966</c:v>
                </c:pt>
                <c:pt idx="16">
                  <c:v>2.1867375905366249</c:v>
                </c:pt>
                <c:pt idx="17">
                  <c:v>2.197777341480367</c:v>
                </c:pt>
                <c:pt idx="18">
                  <c:v>2.2030250994524048</c:v>
                </c:pt>
                <c:pt idx="19">
                  <c:v>2.2031349999003691</c:v>
                </c:pt>
                <c:pt idx="20">
                  <c:v>2.1959044426627106</c:v>
                </c:pt>
                <c:pt idx="21">
                  <c:v>2.1865802315127691</c:v>
                </c:pt>
                <c:pt idx="22">
                  <c:v>2.1751015367585058</c:v>
                </c:pt>
                <c:pt idx="23">
                  <c:v>2.1617292424545909</c:v>
                </c:pt>
                <c:pt idx="24">
                  <c:v>2.1469256389197167</c:v>
                </c:pt>
                <c:pt idx="25">
                  <c:v>2.1235017581220372</c:v>
                </c:pt>
                <c:pt idx="26">
                  <c:v>2.1001560535939934</c:v>
                </c:pt>
                <c:pt idx="27">
                  <c:v>2.0773116889049703</c:v>
                </c:pt>
                <c:pt idx="28">
                  <c:v>2.0552241644528291</c:v>
                </c:pt>
                <c:pt idx="29">
                  <c:v>2.0342132515282607</c:v>
                </c:pt>
                <c:pt idx="30">
                  <c:v>2.0146358607127324</c:v>
                </c:pt>
                <c:pt idx="31">
                  <c:v>1.9968088231242076</c:v>
                </c:pt>
                <c:pt idx="32">
                  <c:v>1.9809581520109809</c:v>
                </c:pt>
                <c:pt idx="33">
                  <c:v>1.9672013834789448</c:v>
                </c:pt>
                <c:pt idx="34">
                  <c:v>1.9555549991963073</c:v>
                </c:pt>
                <c:pt idx="35">
                  <c:v>1.9459540809560139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v>3 degrees scenario</c:v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Données!$C$65:$AL$65</c:f>
              <c:numCache>
                <c:formatCode>#\ ##0.0</c:formatCode>
                <c:ptCount val="36"/>
                <c:pt idx="1">
                  <c:v>1.673815416021629</c:v>
                </c:pt>
                <c:pt idx="2">
                  <c:v>1.5335758826380719</c:v>
                </c:pt>
                <c:pt idx="3">
                  <c:v>1.498849722347928</c:v>
                </c:pt>
                <c:pt idx="4">
                  <c:v>1.5214461380079092</c:v>
                </c:pt>
                <c:pt idx="5">
                  <c:v>1.5707836404261544</c:v>
                </c:pt>
                <c:pt idx="6">
                  <c:v>1.6272270905508757</c:v>
                </c:pt>
                <c:pt idx="7">
                  <c:v>1.6847943508136121</c:v>
                </c:pt>
                <c:pt idx="8">
                  <c:v>1.7413724620394255</c:v>
                </c:pt>
                <c:pt idx="9">
                  <c:v>1.7961596647023903</c:v>
                </c:pt>
                <c:pt idx="10">
                  <c:v>1.8533406838316946</c:v>
                </c:pt>
                <c:pt idx="11">
                  <c:v>1.9039744642190382</c:v>
                </c:pt>
                <c:pt idx="12">
                  <c:v>1.9489905940494712</c:v>
                </c:pt>
                <c:pt idx="13">
                  <c:v>1.9887083928866067</c:v>
                </c:pt>
                <c:pt idx="14">
                  <c:v>2.0230014707939725</c:v>
                </c:pt>
                <c:pt idx="15">
                  <c:v>2.0516643373575283</c:v>
                </c:pt>
                <c:pt idx="16">
                  <c:v>2.0740884149885952</c:v>
                </c:pt>
                <c:pt idx="17">
                  <c:v>2.0906185406303956</c:v>
                </c:pt>
                <c:pt idx="18">
                  <c:v>2.1018531686043174</c:v>
                </c:pt>
                <c:pt idx="19">
                  <c:v>2.1083728556485104</c:v>
                </c:pt>
                <c:pt idx="20">
                  <c:v>2.1077094651033468</c:v>
                </c:pt>
                <c:pt idx="21">
                  <c:v>2.1052546499723324</c:v>
                </c:pt>
                <c:pt idx="22">
                  <c:v>2.1006933152763585</c:v>
                </c:pt>
                <c:pt idx="23">
                  <c:v>2.0941208268742795</c:v>
                </c:pt>
                <c:pt idx="24">
                  <c:v>2.0858699141393711</c:v>
                </c:pt>
                <c:pt idx="25">
                  <c:v>2.0682434581978715</c:v>
                </c:pt>
                <c:pt idx="26">
                  <c:v>2.050735869828535</c:v>
                </c:pt>
                <c:pt idx="27">
                  <c:v>2.0335761542099151</c:v>
                </c:pt>
                <c:pt idx="28">
                  <c:v>2.0168458011068369</c:v>
                </c:pt>
                <c:pt idx="29">
                  <c:v>2.0007499725426259</c:v>
                </c:pt>
                <c:pt idx="30">
                  <c:v>1.9855832027919185</c:v>
                </c:pt>
                <c:pt idx="31">
                  <c:v>1.971709458930393</c:v>
                </c:pt>
                <c:pt idx="32">
                  <c:v>1.9593621360824098</c:v>
                </c:pt>
                <c:pt idx="33">
                  <c:v>1.9486322002287171</c:v>
                </c:pt>
                <c:pt idx="34">
                  <c:v>1.9395460178863511</c:v>
                </c:pt>
                <c:pt idx="35">
                  <c:v>1.9320695853510816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Marianne Light" panose="02000000000000000000" pitchFamily="50" charset="0"/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CO2 emissions (MtCO2/y)</a:t>
            </a:r>
          </a:p>
        </c:rich>
      </c:tx>
      <c:layout>
        <c:manualLayout>
          <c:xMode val="edge"/>
          <c:yMode val="edge"/>
          <c:x val="0.2902562701424663"/>
          <c:y val="2.72455102666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96873672845803E-2"/>
          <c:y val="0.12425008837050726"/>
          <c:w val="0.90139843901638717"/>
          <c:h val="0.70629059391251803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Données!$B$67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Données!$C$67:$AL$67</c:f>
              <c:numCache>
                <c:formatCode>#,##0</c:formatCode>
                <c:ptCount val="36"/>
                <c:pt idx="0">
                  <c:v>350.59143469999998</c:v>
                </c:pt>
                <c:pt idx="1">
                  <c:v>348.57112899999998</c:v>
                </c:pt>
                <c:pt idx="2">
                  <c:v>349.25957519999997</c:v>
                </c:pt>
                <c:pt idx="3">
                  <c:v>350.77754779999998</c:v>
                </c:pt>
                <c:pt idx="4">
                  <c:v>352.9341068</c:v>
                </c:pt>
                <c:pt idx="5">
                  <c:v>355.68807750000002</c:v>
                </c:pt>
                <c:pt idx="6">
                  <c:v>358.80161670000001</c:v>
                </c:pt>
                <c:pt idx="7">
                  <c:v>362.27945019999999</c:v>
                </c:pt>
                <c:pt idx="8">
                  <c:v>366.06210160000001</c:v>
                </c:pt>
                <c:pt idx="9">
                  <c:v>370.078641</c:v>
                </c:pt>
                <c:pt idx="10">
                  <c:v>374.5803353</c:v>
                </c:pt>
                <c:pt idx="11">
                  <c:v>379.06849629999999</c:v>
                </c:pt>
                <c:pt idx="12">
                  <c:v>383.6156259</c:v>
                </c:pt>
                <c:pt idx="13">
                  <c:v>388.22095039999999</c:v>
                </c:pt>
                <c:pt idx="14">
                  <c:v>392.87563469999998</c:v>
                </c:pt>
                <c:pt idx="15">
                  <c:v>397.5723587</c:v>
                </c:pt>
                <c:pt idx="16">
                  <c:v>402.30577019999998</c:v>
                </c:pt>
                <c:pt idx="17">
                  <c:v>407.07220310000002</c:v>
                </c:pt>
                <c:pt idx="18">
                  <c:v>411.86946399999999</c:v>
                </c:pt>
                <c:pt idx="19">
                  <c:v>416.6968056</c:v>
                </c:pt>
                <c:pt idx="20">
                  <c:v>421.337107</c:v>
                </c:pt>
                <c:pt idx="21">
                  <c:v>426.12716110000002</c:v>
                </c:pt>
                <c:pt idx="22">
                  <c:v>430.98797530000002</c:v>
                </c:pt>
                <c:pt idx="23">
                  <c:v>435.90534689999998</c:v>
                </c:pt>
                <c:pt idx="24">
                  <c:v>440.87901069999998</c:v>
                </c:pt>
                <c:pt idx="25">
                  <c:v>445.28698509999998</c:v>
                </c:pt>
                <c:pt idx="26">
                  <c:v>449.79721740000002</c:v>
                </c:pt>
                <c:pt idx="27">
                  <c:v>454.33379830000001</c:v>
                </c:pt>
                <c:pt idx="28">
                  <c:v>458.89450540000001</c:v>
                </c:pt>
                <c:pt idx="29">
                  <c:v>463.49037170000003</c:v>
                </c:pt>
                <c:pt idx="30">
                  <c:v>468.133486</c:v>
                </c:pt>
                <c:pt idx="31">
                  <c:v>472.8342887</c:v>
                </c:pt>
                <c:pt idx="32">
                  <c:v>477.6005662</c:v>
                </c:pt>
                <c:pt idx="33">
                  <c:v>482.43848539999999</c:v>
                </c:pt>
                <c:pt idx="34">
                  <c:v>487.35259550000001</c:v>
                </c:pt>
                <c:pt idx="35">
                  <c:v>492.34595660000002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Données!$B$73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Données!$C$73:$AL$73</c:f>
              <c:numCache>
                <c:formatCode>#,##0</c:formatCode>
                <c:ptCount val="36"/>
                <c:pt idx="0">
                  <c:v>350.28895519999998</c:v>
                </c:pt>
                <c:pt idx="1">
                  <c:v>347.67222390000001</c:v>
                </c:pt>
                <c:pt idx="2">
                  <c:v>347.72183239999998</c:v>
                </c:pt>
                <c:pt idx="3">
                  <c:v>348.57148480000001</c:v>
                </c:pt>
                <c:pt idx="4">
                  <c:v>350.03832729999999</c:v>
                </c:pt>
                <c:pt idx="5">
                  <c:v>352.08584919999998</c:v>
                </c:pt>
                <c:pt idx="6">
                  <c:v>354.47016109999998</c:v>
                </c:pt>
                <c:pt idx="7">
                  <c:v>357.21584280000002</c:v>
                </c:pt>
                <c:pt idx="8">
                  <c:v>360.2808263</c:v>
                </c:pt>
                <c:pt idx="9">
                  <c:v>363.61040930000001</c:v>
                </c:pt>
                <c:pt idx="10">
                  <c:v>367.442519</c:v>
                </c:pt>
                <c:pt idx="11">
                  <c:v>371.26485359999998</c:v>
                </c:pt>
                <c:pt idx="12">
                  <c:v>375.16605340000001</c:v>
                </c:pt>
                <c:pt idx="13">
                  <c:v>379.14742360000002</c:v>
                </c:pt>
                <c:pt idx="14">
                  <c:v>383.1956313</c:v>
                </c:pt>
                <c:pt idx="15">
                  <c:v>387.29762060000002</c:v>
                </c:pt>
                <c:pt idx="16">
                  <c:v>391.42072560000003</c:v>
                </c:pt>
                <c:pt idx="17">
                  <c:v>395.57389419999998</c:v>
                </c:pt>
                <c:pt idx="18">
                  <c:v>399.75815460000001</c:v>
                </c:pt>
                <c:pt idx="19">
                  <c:v>403.97406430000001</c:v>
                </c:pt>
                <c:pt idx="20">
                  <c:v>408.01326030000001</c:v>
                </c:pt>
                <c:pt idx="21">
                  <c:v>412.20121</c:v>
                </c:pt>
                <c:pt idx="22">
                  <c:v>416.46189170000002</c:v>
                </c:pt>
                <c:pt idx="23">
                  <c:v>420.78084059999998</c:v>
                </c:pt>
                <c:pt idx="24">
                  <c:v>425.15653429999998</c:v>
                </c:pt>
                <c:pt idx="25">
                  <c:v>428.99258950000001</c:v>
                </c:pt>
                <c:pt idx="26">
                  <c:v>432.93680849999998</c:v>
                </c:pt>
                <c:pt idx="27">
                  <c:v>436.91087599999997</c:v>
                </c:pt>
                <c:pt idx="28">
                  <c:v>440.9105275</c:v>
                </c:pt>
                <c:pt idx="29">
                  <c:v>444.94505830000003</c:v>
                </c:pt>
                <c:pt idx="30">
                  <c:v>449.02444059999999</c:v>
                </c:pt>
                <c:pt idx="31">
                  <c:v>453.16245120000002</c:v>
                </c:pt>
                <c:pt idx="32">
                  <c:v>457.3631575</c:v>
                </c:pt>
                <c:pt idx="33">
                  <c:v>461.63098309999998</c:v>
                </c:pt>
                <c:pt idx="34">
                  <c:v>465.96932779999997</c:v>
                </c:pt>
                <c:pt idx="35">
                  <c:v>470.38048759999998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ser>
          <c:idx val="4"/>
          <c:order val="2"/>
          <c:tx>
            <c:v>Baseline - Households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Données!$C$68:$AL$68</c:f>
              <c:numCache>
                <c:formatCode>#,##0</c:formatCode>
                <c:ptCount val="36"/>
                <c:pt idx="0">
                  <c:v>119.490486</c:v>
                </c:pt>
                <c:pt idx="1">
                  <c:v>119.46702000000001</c:v>
                </c:pt>
                <c:pt idx="2">
                  <c:v>118.91176129999999</c:v>
                </c:pt>
                <c:pt idx="3">
                  <c:v>118.34272300000001</c:v>
                </c:pt>
                <c:pt idx="4">
                  <c:v>117.92491579999999</c:v>
                </c:pt>
                <c:pt idx="5">
                  <c:v>117.68464229999999</c:v>
                </c:pt>
                <c:pt idx="6">
                  <c:v>117.5737389</c:v>
                </c:pt>
                <c:pt idx="7">
                  <c:v>117.5717202</c:v>
                </c:pt>
                <c:pt idx="8">
                  <c:v>117.6513046</c:v>
                </c:pt>
                <c:pt idx="9">
                  <c:v>117.7810617</c:v>
                </c:pt>
                <c:pt idx="10">
                  <c:v>118.00411630000001</c:v>
                </c:pt>
                <c:pt idx="11">
                  <c:v>118.2427553</c:v>
                </c:pt>
                <c:pt idx="12">
                  <c:v>118.4926863</c:v>
                </c:pt>
                <c:pt idx="13">
                  <c:v>118.7509831</c:v>
                </c:pt>
                <c:pt idx="14">
                  <c:v>119.01751609999999</c:v>
                </c:pt>
                <c:pt idx="15">
                  <c:v>119.2927598</c:v>
                </c:pt>
                <c:pt idx="16">
                  <c:v>119.5764588</c:v>
                </c:pt>
                <c:pt idx="17">
                  <c:v>119.8674484</c:v>
                </c:pt>
                <c:pt idx="18">
                  <c:v>120.1638579</c:v>
                </c:pt>
                <c:pt idx="19">
                  <c:v>120.4635172</c:v>
                </c:pt>
                <c:pt idx="20">
                  <c:v>120.73375729999999</c:v>
                </c:pt>
                <c:pt idx="21">
                  <c:v>121.0162636</c:v>
                </c:pt>
                <c:pt idx="22">
                  <c:v>121.3027763</c:v>
                </c:pt>
                <c:pt idx="23">
                  <c:v>121.58927</c:v>
                </c:pt>
                <c:pt idx="24">
                  <c:v>121.8739807</c:v>
                </c:pt>
                <c:pt idx="25">
                  <c:v>122.0724977</c:v>
                </c:pt>
                <c:pt idx="26">
                  <c:v>122.26460830000001</c:v>
                </c:pt>
                <c:pt idx="27">
                  <c:v>122.448491</c:v>
                </c:pt>
                <c:pt idx="28">
                  <c:v>122.6239274</c:v>
                </c:pt>
                <c:pt idx="29">
                  <c:v>122.7916391</c:v>
                </c:pt>
                <c:pt idx="30">
                  <c:v>122.9528432</c:v>
                </c:pt>
                <c:pt idx="31">
                  <c:v>123.108914</c:v>
                </c:pt>
                <c:pt idx="32">
                  <c:v>123.2607254</c:v>
                </c:pt>
                <c:pt idx="33">
                  <c:v>123.4095234</c:v>
                </c:pt>
                <c:pt idx="34">
                  <c:v>123.5566213</c:v>
                </c:pt>
                <c:pt idx="35">
                  <c:v>123.7032123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5-4A82-96A0-76304CD4EC78}"/>
            </c:ext>
          </c:extLst>
        </c:ser>
        <c:ser>
          <c:idx val="2"/>
          <c:order val="3"/>
          <c:tx>
            <c:v>NZ50 - Households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Données!$C$74:$AL$74</c:f>
              <c:numCache>
                <c:formatCode>#,##0</c:formatCode>
                <c:ptCount val="36"/>
                <c:pt idx="0">
                  <c:v>119.490486</c:v>
                </c:pt>
                <c:pt idx="1">
                  <c:v>119.28571100000001</c:v>
                </c:pt>
                <c:pt idx="2">
                  <c:v>118.5566462</c:v>
                </c:pt>
                <c:pt idx="3">
                  <c:v>117.8188914</c:v>
                </c:pt>
                <c:pt idx="4">
                  <c:v>117.233137</c:v>
                </c:pt>
                <c:pt idx="5">
                  <c:v>116.8212235</c:v>
                </c:pt>
                <c:pt idx="6">
                  <c:v>116.52421940000001</c:v>
                </c:pt>
                <c:pt idx="7">
                  <c:v>116.3376287</c:v>
                </c:pt>
                <c:pt idx="8">
                  <c:v>116.24911160000001</c:v>
                </c:pt>
                <c:pt idx="9">
                  <c:v>116.2414941</c:v>
                </c:pt>
                <c:pt idx="10">
                  <c:v>116.3427483</c:v>
                </c:pt>
                <c:pt idx="11">
                  <c:v>116.4688912</c:v>
                </c:pt>
                <c:pt idx="12">
                  <c:v>116.62208699999999</c:v>
                </c:pt>
                <c:pt idx="13">
                  <c:v>116.7995974</c:v>
                </c:pt>
                <c:pt idx="14">
                  <c:v>116.9966821</c:v>
                </c:pt>
                <c:pt idx="15">
                  <c:v>117.20839599999999</c:v>
                </c:pt>
                <c:pt idx="16">
                  <c:v>117.42523970000001</c:v>
                </c:pt>
                <c:pt idx="17">
                  <c:v>117.64762</c:v>
                </c:pt>
                <c:pt idx="18">
                  <c:v>117.8747504</c:v>
                </c:pt>
                <c:pt idx="19">
                  <c:v>118.105459</c:v>
                </c:pt>
                <c:pt idx="20">
                  <c:v>118.30909920000001</c:v>
                </c:pt>
                <c:pt idx="21">
                  <c:v>118.52689049999999</c:v>
                </c:pt>
                <c:pt idx="22">
                  <c:v>118.7512945</c:v>
                </c:pt>
                <c:pt idx="23">
                  <c:v>118.9785432</c:v>
                </c:pt>
                <c:pt idx="24">
                  <c:v>119.2066938</c:v>
                </c:pt>
                <c:pt idx="25">
                  <c:v>119.35462320000001</c:v>
                </c:pt>
                <c:pt idx="26">
                  <c:v>119.5012761</c:v>
                </c:pt>
                <c:pt idx="27">
                  <c:v>119.6432887</c:v>
                </c:pt>
                <c:pt idx="28">
                  <c:v>119.7797637</c:v>
                </c:pt>
                <c:pt idx="29">
                  <c:v>119.9110369</c:v>
                </c:pt>
                <c:pt idx="30">
                  <c:v>120.03744349999999</c:v>
                </c:pt>
                <c:pt idx="31">
                  <c:v>120.1611193</c:v>
                </c:pt>
                <c:pt idx="32">
                  <c:v>120.2822441</c:v>
                </c:pt>
                <c:pt idx="33">
                  <c:v>120.4013973</c:v>
                </c:pt>
                <c:pt idx="34">
                  <c:v>120.51925300000001</c:v>
                </c:pt>
                <c:pt idx="35">
                  <c:v>120.6364593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Données!$B$75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Données!$C$4:$AL$4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Données!$C$75:$AL$75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230.79846922519999</c:v>
                      </c:pt>
                      <c:pt idx="1">
                        <c:v>228.38651288980003</c:v>
                      </c:pt>
                      <c:pt idx="2">
                        <c:v>229.1651861103</c:v>
                      </c:pt>
                      <c:pt idx="3">
                        <c:v>230.75259347870002</c:v>
                      </c:pt>
                      <c:pt idx="4">
                        <c:v>232.80519030049999</c:v>
                      </c:pt>
                      <c:pt idx="5">
                        <c:v>235.2646256502</c:v>
                      </c:pt>
                      <c:pt idx="6">
                        <c:v>237.94594160930001</c:v>
                      </c:pt>
                      <c:pt idx="7">
                        <c:v>240.8782141483</c:v>
                      </c:pt>
                      <c:pt idx="8">
                        <c:v>244.0317146678</c:v>
                      </c:pt>
                      <c:pt idx="9">
                        <c:v>247.36891516170002</c:v>
                      </c:pt>
                      <c:pt idx="10">
                        <c:v>251.09977072700002</c:v>
                      </c:pt>
                      <c:pt idx="11">
                        <c:v>254.79596242279999</c:v>
                      </c:pt>
                      <c:pt idx="12">
                        <c:v>258.5439664173</c:v>
                      </c:pt>
                      <c:pt idx="13">
                        <c:v>262.34782618269998</c:v>
                      </c:pt>
                      <c:pt idx="14">
                        <c:v>266.19894922329996</c:v>
                      </c:pt>
                      <c:pt idx="15">
                        <c:v>270.08922471489996</c:v>
                      </c:pt>
                      <c:pt idx="16">
                        <c:v>273.99548598460001</c:v>
                      </c:pt>
                      <c:pt idx="17">
                        <c:v>277.92627422390001</c:v>
                      </c:pt>
                      <c:pt idx="18">
                        <c:v>281.8834042231</c:v>
                      </c:pt>
                      <c:pt idx="19">
                        <c:v>285.8686053495</c:v>
                      </c:pt>
                      <c:pt idx="20">
                        <c:v>289.70416110919996</c:v>
                      </c:pt>
                      <c:pt idx="21">
                        <c:v>293.67431946380003</c:v>
                      </c:pt>
                      <c:pt idx="22">
                        <c:v>297.71059715780001</c:v>
                      </c:pt>
                      <c:pt idx="23">
                        <c:v>301.80229748440001</c:v>
                      </c:pt>
                      <c:pt idx="24">
                        <c:v>305.94984043210002</c:v>
                      </c:pt>
                      <c:pt idx="25">
                        <c:v>309.63796627549999</c:v>
                      </c:pt>
                      <c:pt idx="26">
                        <c:v>313.43553238269993</c:v>
                      </c:pt>
                      <c:pt idx="27">
                        <c:v>317.26758728139998</c:v>
                      </c:pt>
                      <c:pt idx="28">
                        <c:v>321.13076376020001</c:v>
                      </c:pt>
                      <c:pt idx="29">
                        <c:v>325.0340214098</c:v>
                      </c:pt>
                      <c:pt idx="30">
                        <c:v>328.98699700409998</c:v>
                      </c:pt>
                      <c:pt idx="31">
                        <c:v>333.00133194999995</c:v>
                      </c:pt>
                      <c:pt idx="32">
                        <c:v>337.08091345849999</c:v>
                      </c:pt>
                      <c:pt idx="33">
                        <c:v>341.22958573640005</c:v>
                      </c:pt>
                      <c:pt idx="34">
                        <c:v>345.45007485190001</c:v>
                      </c:pt>
                      <c:pt idx="35">
                        <c:v>349.7440283139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7F9-419D-90DC-C3E392523E4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Données!$B$69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Données!$C$69:$AL$69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231.10094871929999</c:v>
                      </c:pt>
                      <c:pt idx="1">
                        <c:v>229.1041089</c:v>
                      </c:pt>
                      <c:pt idx="2">
                        <c:v>230.34781387369998</c:v>
                      </c:pt>
                      <c:pt idx="3">
                        <c:v>232.43482481550001</c:v>
                      </c:pt>
                      <c:pt idx="4">
                        <c:v>235.00919097029998</c:v>
                      </c:pt>
                      <c:pt idx="5">
                        <c:v>238.0034351916</c:v>
                      </c:pt>
                      <c:pt idx="6">
                        <c:v>241.22787767540001</c:v>
                      </c:pt>
                      <c:pt idx="7">
                        <c:v>244.70773004</c:v>
                      </c:pt>
                      <c:pt idx="8">
                        <c:v>248.41079694229998</c:v>
                      </c:pt>
                      <c:pt idx="9">
                        <c:v>252.2975792764</c:v>
                      </c:pt>
                      <c:pt idx="10">
                        <c:v>256.57621898899998</c:v>
                      </c:pt>
                      <c:pt idx="11">
                        <c:v>260.8257409995</c:v>
                      </c:pt>
                      <c:pt idx="12">
                        <c:v>265.12293958010002</c:v>
                      </c:pt>
                      <c:pt idx="13">
                        <c:v>269.4699672694</c:v>
                      </c:pt>
                      <c:pt idx="14">
                        <c:v>273.8581185475</c:v>
                      </c:pt>
                      <c:pt idx="15">
                        <c:v>278.27959886550002</c:v>
                      </c:pt>
                      <c:pt idx="16">
                        <c:v>282.72931140380001</c:v>
                      </c:pt>
                      <c:pt idx="17">
                        <c:v>287.20475477900004</c:v>
                      </c:pt>
                      <c:pt idx="18">
                        <c:v>291.70560608540006</c:v>
                      </c:pt>
                      <c:pt idx="19">
                        <c:v>296.23328839199996</c:v>
                      </c:pt>
                      <c:pt idx="20">
                        <c:v>300.60334970740001</c:v>
                      </c:pt>
                      <c:pt idx="21">
                        <c:v>305.11089746089999</c:v>
                      </c:pt>
                      <c:pt idx="22">
                        <c:v>309.68519897809995</c:v>
                      </c:pt>
                      <c:pt idx="23">
                        <c:v>314.3160769035</c:v>
                      </c:pt>
                      <c:pt idx="24">
                        <c:v>319.00503003759997</c:v>
                      </c:pt>
                      <c:pt idx="25">
                        <c:v>323.21448739830004</c:v>
                      </c:pt>
                      <c:pt idx="26">
                        <c:v>327.53260905809998</c:v>
                      </c:pt>
                      <c:pt idx="27">
                        <c:v>331.88530731089998</c:v>
                      </c:pt>
                      <c:pt idx="28">
                        <c:v>336.27057796930001</c:v>
                      </c:pt>
                      <c:pt idx="29">
                        <c:v>340.69873260430001</c:v>
                      </c:pt>
                      <c:pt idx="30">
                        <c:v>345.18064285500003</c:v>
                      </c:pt>
                      <c:pt idx="31">
                        <c:v>349.72537469499997</c:v>
                      </c:pt>
                      <c:pt idx="32">
                        <c:v>354.33984073619996</c:v>
                      </c:pt>
                      <c:pt idx="33">
                        <c:v>359.02896202680006</c:v>
                      </c:pt>
                      <c:pt idx="34">
                        <c:v>363.79597415800004</c:v>
                      </c:pt>
                      <c:pt idx="35">
                        <c:v>368.64274426219998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775-4A82-96A0-76304CD4EC78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Consommation énergétique (Mtep)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Données!$B$473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Données!$C$473:$AL$473</c:f>
              <c:numCache>
                <c:formatCode>0.0%</c:formatCode>
                <c:ptCount val="36"/>
                <c:pt idx="0">
                  <c:v>-7.6411095590400799E-5</c:v>
                </c:pt>
                <c:pt idx="1">
                  <c:v>-1.6511697429727289E-4</c:v>
                </c:pt>
                <c:pt idx="2">
                  <c:v>-2.5597300256824195E-4</c:v>
                </c:pt>
                <c:pt idx="3">
                  <c:v>-3.4789374862312416E-4</c:v>
                </c:pt>
                <c:pt idx="4">
                  <c:v>-4.3951163032444933E-4</c:v>
                </c:pt>
                <c:pt idx="5">
                  <c:v>-5.2990546278065234E-4</c:v>
                </c:pt>
                <c:pt idx="6">
                  <c:v>-6.1958457421334837E-4</c:v>
                </c:pt>
                <c:pt idx="7">
                  <c:v>-7.0735731893354866E-4</c:v>
                </c:pt>
                <c:pt idx="8">
                  <c:v>-7.9285906065889613E-4</c:v>
                </c:pt>
                <c:pt idx="9">
                  <c:v>-8.7598972010457425E-4</c:v>
                </c:pt>
                <c:pt idx="10">
                  <c:v>-9.5740208251398696E-4</c:v>
                </c:pt>
                <c:pt idx="11">
                  <c:v>-1.0407942642810574E-3</c:v>
                </c:pt>
                <c:pt idx="12">
                  <c:v>-1.1232487402727343E-3</c:v>
                </c:pt>
                <c:pt idx="13">
                  <c:v>-1.2042916275647765E-3</c:v>
                </c:pt>
                <c:pt idx="14">
                  <c:v>-1.2839158741625484E-3</c:v>
                </c:pt>
                <c:pt idx="15">
                  <c:v>-1.3622245539072395E-3</c:v>
                </c:pt>
                <c:pt idx="16">
                  <c:v>-1.4432956808737691E-3</c:v>
                </c:pt>
                <c:pt idx="17">
                  <c:v>-1.5240743365967501E-3</c:v>
                </c:pt>
                <c:pt idx="18">
                  <c:v>-1.6041061402534544E-3</c:v>
                </c:pt>
                <c:pt idx="19">
                  <c:v>-1.6834167938598696E-3</c:v>
                </c:pt>
                <c:pt idx="20">
                  <c:v>-1.7618169480595445E-3</c:v>
                </c:pt>
                <c:pt idx="21">
                  <c:v>-1.8399488578411366E-3</c:v>
                </c:pt>
                <c:pt idx="22">
                  <c:v>-1.9176861000257215E-3</c:v>
                </c:pt>
                <c:pt idx="23">
                  <c:v>-1.9951037499824956E-3</c:v>
                </c:pt>
                <c:pt idx="24">
                  <c:v>-2.0722866947324946E-3</c:v>
                </c:pt>
                <c:pt idx="25">
                  <c:v>-2.1483577625785628E-3</c:v>
                </c:pt>
                <c:pt idx="26">
                  <c:v>-2.2233296781259525E-3</c:v>
                </c:pt>
                <c:pt idx="27">
                  <c:v>-2.2980386956478003E-3</c:v>
                </c:pt>
                <c:pt idx="28">
                  <c:v>-2.3726433744279693E-3</c:v>
                </c:pt>
                <c:pt idx="29">
                  <c:v>-2.4471613378878529E-3</c:v>
                </c:pt>
                <c:pt idx="30">
                  <c:v>-2.5215675941382939E-3</c:v>
                </c:pt>
                <c:pt idx="31">
                  <c:v>-2.5950652335091509E-3</c:v>
                </c:pt>
                <c:pt idx="32">
                  <c:v>-2.6681965651850492E-3</c:v>
                </c:pt>
                <c:pt idx="33">
                  <c:v>-2.7410011264844309E-3</c:v>
                </c:pt>
                <c:pt idx="34">
                  <c:v>-2.8134188068600838E-3</c:v>
                </c:pt>
                <c:pt idx="35">
                  <c:v>-2.8853672756182724E-3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74-494A-BB6C-F115A0D57B8C}"/>
            </c:ext>
          </c:extLst>
        </c:ser>
        <c:ser>
          <c:idx val="2"/>
          <c:order val="2"/>
          <c:tx>
            <c:strRef>
              <c:f>Données!$B$474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Données!$C$474:$AL$474</c:f>
              <c:numCache>
                <c:formatCode>0.0%</c:formatCode>
                <c:ptCount val="36"/>
                <c:pt idx="0">
                  <c:v>-2.8648061123420223E-4</c:v>
                </c:pt>
                <c:pt idx="1">
                  <c:v>-7.7195421666921918E-4</c:v>
                </c:pt>
                <c:pt idx="2">
                  <c:v>-1.3074823334328133E-3</c:v>
                </c:pt>
                <c:pt idx="3">
                  <c:v>-1.8802201830372504E-3</c:v>
                </c:pt>
                <c:pt idx="4">
                  <c:v>-2.4765749295542713E-3</c:v>
                </c:pt>
                <c:pt idx="5">
                  <c:v>-3.0858920142550128E-3</c:v>
                </c:pt>
                <c:pt idx="6">
                  <c:v>-3.7096477546318058E-3</c:v>
                </c:pt>
                <c:pt idx="7">
                  <c:v>-4.3266368324480246E-3</c:v>
                </c:pt>
                <c:pt idx="8">
                  <c:v>-4.9203762583822823E-3</c:v>
                </c:pt>
                <c:pt idx="9">
                  <c:v>-5.477402885911615E-3</c:v>
                </c:pt>
                <c:pt idx="10">
                  <c:v>-6.0082702959390749E-3</c:v>
                </c:pt>
                <c:pt idx="11">
                  <c:v>-6.53315967494253E-3</c:v>
                </c:pt>
                <c:pt idx="12">
                  <c:v>-7.0371303348990208E-3</c:v>
                </c:pt>
                <c:pt idx="13">
                  <c:v>-7.5169343009045628E-3</c:v>
                </c:pt>
                <c:pt idx="14">
                  <c:v>-7.9735438558942041E-3</c:v>
                </c:pt>
                <c:pt idx="15">
                  <c:v>-8.4096010169969933E-3</c:v>
                </c:pt>
                <c:pt idx="16">
                  <c:v>-8.8447531915229853E-3</c:v>
                </c:pt>
                <c:pt idx="17">
                  <c:v>-9.2683220486849145E-3</c:v>
                </c:pt>
                <c:pt idx="18">
                  <c:v>-9.6782849900180785E-3</c:v>
                </c:pt>
                <c:pt idx="19">
                  <c:v>-1.0074263462522014E-2</c:v>
                </c:pt>
                <c:pt idx="20">
                  <c:v>-1.0456397586801962E-2</c:v>
                </c:pt>
                <c:pt idx="21">
                  <c:v>-1.0824515599110351E-2</c:v>
                </c:pt>
                <c:pt idx="22">
                  <c:v>-1.1179276056424983E-2</c:v>
                </c:pt>
                <c:pt idx="23">
                  <c:v>-1.1521872726111573E-2</c:v>
                </c:pt>
                <c:pt idx="24">
                  <c:v>-1.1853679126858922E-2</c:v>
                </c:pt>
                <c:pt idx="25">
                  <c:v>-1.2175934308025816E-2</c:v>
                </c:pt>
                <c:pt idx="26">
                  <c:v>-1.2483022371886516E-2</c:v>
                </c:pt>
                <c:pt idx="27">
                  <c:v>-1.2779790999769166E-2</c:v>
                </c:pt>
                <c:pt idx="28">
                  <c:v>-1.306826450643926E-2</c:v>
                </c:pt>
                <c:pt idx="29">
                  <c:v>-1.3349823582296404E-2</c:v>
                </c:pt>
                <c:pt idx="30">
                  <c:v>-1.3625928328404601E-2</c:v>
                </c:pt>
                <c:pt idx="31">
                  <c:v>-1.389440436180012E-2</c:v>
                </c:pt>
                <c:pt idx="32">
                  <c:v>-1.4157881041184451E-2</c:v>
                </c:pt>
                <c:pt idx="33">
                  <c:v>-1.4417391023736856E-2</c:v>
                </c:pt>
                <c:pt idx="34">
                  <c:v>-1.4673591982914038E-2</c:v>
                </c:pt>
                <c:pt idx="35">
                  <c:v>-1.4926935572485811E-2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74-494A-BB6C-F115A0D57B8C}"/>
            </c:ext>
          </c:extLst>
        </c:ser>
        <c:ser>
          <c:idx val="3"/>
          <c:order val="3"/>
          <c:tx>
            <c:strRef>
              <c:f>Données!$B$475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Données!$C$475:$AL$475</c:f>
              <c:numCache>
                <c:formatCode>0.0%</c:formatCode>
                <c:ptCount val="36"/>
                <c:pt idx="0">
                  <c:v>-1.7949433170825132E-4</c:v>
                </c:pt>
                <c:pt idx="1">
                  <c:v>-6.3474986353268025E-4</c:v>
                </c:pt>
                <c:pt idx="2">
                  <c:v>-1.1008154936292874E-3</c:v>
                </c:pt>
                <c:pt idx="3">
                  <c:v>-1.5734014605145561E-3</c:v>
                </c:pt>
                <c:pt idx="4">
                  <c:v>-2.0483907578919256E-3</c:v>
                </c:pt>
                <c:pt idx="5">
                  <c:v>-2.5235775391767132E-3</c:v>
                </c:pt>
                <c:pt idx="6">
                  <c:v>-3.0077413319973367E-3</c:v>
                </c:pt>
                <c:pt idx="7">
                  <c:v>-3.4747679123252021E-3</c:v>
                </c:pt>
                <c:pt idx="8">
                  <c:v>-3.9107485988218666E-3</c:v>
                </c:pt>
                <c:pt idx="9">
                  <c:v>-4.3056361569570921E-3</c:v>
                </c:pt>
                <c:pt idx="10">
                  <c:v>-4.6594346109170015E-3</c:v>
                </c:pt>
                <c:pt idx="11">
                  <c:v>-4.9779338810774527E-3</c:v>
                </c:pt>
                <c:pt idx="12">
                  <c:v>-5.2471114377830481E-3</c:v>
                </c:pt>
                <c:pt idx="13">
                  <c:v>-5.4713023371912514E-3</c:v>
                </c:pt>
                <c:pt idx="14">
                  <c:v>-5.6635742247479279E-3</c:v>
                </c:pt>
                <c:pt idx="15">
                  <c:v>-5.8369123043295664E-3</c:v>
                </c:pt>
                <c:pt idx="16">
                  <c:v>-6.0139576740890271E-3</c:v>
                </c:pt>
                <c:pt idx="17">
                  <c:v>-6.1896163187511472E-3</c:v>
                </c:pt>
                <c:pt idx="18">
                  <c:v>-6.3625387486148212E-3</c:v>
                </c:pt>
                <c:pt idx="19">
                  <c:v>-6.53167222287542E-3</c:v>
                </c:pt>
                <c:pt idx="20">
                  <c:v>-6.6945838523450735E-3</c:v>
                </c:pt>
                <c:pt idx="21">
                  <c:v>-6.85231794125289E-3</c:v>
                </c:pt>
                <c:pt idx="22">
                  <c:v>-7.0037070068039112E-3</c:v>
                </c:pt>
                <c:pt idx="23">
                  <c:v>-7.1488915073999572E-3</c:v>
                </c:pt>
                <c:pt idx="24">
                  <c:v>-7.288717621101992E-3</c:v>
                </c:pt>
                <c:pt idx="25">
                  <c:v>-7.4192462296568031E-3</c:v>
                </c:pt>
                <c:pt idx="26">
                  <c:v>-7.5417029704718174E-3</c:v>
                </c:pt>
                <c:pt idx="27">
                  <c:v>-7.6585710309136495E-3</c:v>
                </c:pt>
                <c:pt idx="28">
                  <c:v>-7.7709721815367909E-3</c:v>
                </c:pt>
                <c:pt idx="29">
                  <c:v>-7.879618149044542E-3</c:v>
                </c:pt>
                <c:pt idx="30">
                  <c:v>-7.9860754835308651E-3</c:v>
                </c:pt>
                <c:pt idx="31">
                  <c:v>-8.088663421193092E-3</c:v>
                </c:pt>
                <c:pt idx="32">
                  <c:v>-8.1889293698677451E-3</c:v>
                </c:pt>
                <c:pt idx="33">
                  <c:v>-8.2878936050392107E-3</c:v>
                </c:pt>
                <c:pt idx="34">
                  <c:v>-8.386412200251386E-3</c:v>
                </c:pt>
                <c:pt idx="35">
                  <c:v>-8.4851356034618478E-3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74-494A-BB6C-F115A0D57B8C}"/>
            </c:ext>
          </c:extLst>
        </c:ser>
        <c:ser>
          <c:idx val="4"/>
          <c:order val="4"/>
          <c:tx>
            <c:strRef>
              <c:f>Données!$B$476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Données!$C$476:$AL$476</c:f>
              <c:numCache>
                <c:formatCode>0.0%</c:formatCode>
                <c:ptCount val="36"/>
                <c:pt idx="0">
                  <c:v>-1.5814376116341848E-4</c:v>
                </c:pt>
                <c:pt idx="1">
                  <c:v>-5.944172981915618E-4</c:v>
                </c:pt>
                <c:pt idx="2">
                  <c:v>-1.0389851315869979E-3</c:v>
                </c:pt>
                <c:pt idx="3">
                  <c:v>-1.4826416310389412E-3</c:v>
                </c:pt>
                <c:pt idx="4">
                  <c:v>-1.9177288434787635E-3</c:v>
                </c:pt>
                <c:pt idx="5">
                  <c:v>-2.3399232239460894E-3</c:v>
                </c:pt>
                <c:pt idx="6">
                  <c:v>-2.7548800669360612E-3</c:v>
                </c:pt>
                <c:pt idx="7">
                  <c:v>-3.1475281983024614E-3</c:v>
                </c:pt>
                <c:pt idx="8">
                  <c:v>-3.5041389448445801E-3</c:v>
                </c:pt>
                <c:pt idx="9">
                  <c:v>-3.8142668117638781E-3</c:v>
                </c:pt>
                <c:pt idx="10">
                  <c:v>-4.0907438549108582E-3</c:v>
                </c:pt>
                <c:pt idx="11">
                  <c:v>-4.3508727301224057E-3</c:v>
                </c:pt>
                <c:pt idx="12">
                  <c:v>-4.5876571541016917E-3</c:v>
                </c:pt>
                <c:pt idx="13">
                  <c:v>-4.8006965853729915E-3</c:v>
                </c:pt>
                <c:pt idx="14">
                  <c:v>-4.9934499010279975E-3</c:v>
                </c:pt>
                <c:pt idx="15">
                  <c:v>-5.1702002428990713E-3</c:v>
                </c:pt>
                <c:pt idx="16">
                  <c:v>-5.3469359272727956E-3</c:v>
                </c:pt>
                <c:pt idx="17">
                  <c:v>-5.5194870759019748E-3</c:v>
                </c:pt>
                <c:pt idx="18">
                  <c:v>-5.6866823417130157E-3</c:v>
                </c:pt>
                <c:pt idx="19">
                  <c:v>-5.8483574417755391E-3</c:v>
                </c:pt>
                <c:pt idx="20">
                  <c:v>-6.0043737707788604E-3</c:v>
                </c:pt>
                <c:pt idx="21">
                  <c:v>-6.1555623176277842E-3</c:v>
                </c:pt>
                <c:pt idx="22">
                  <c:v>-6.3021500472911201E-3</c:v>
                </c:pt>
                <c:pt idx="23">
                  <c:v>-6.445126708833163E-3</c:v>
                </c:pt>
                <c:pt idx="24">
                  <c:v>-6.5856745391735371E-3</c:v>
                </c:pt>
                <c:pt idx="25">
                  <c:v>-6.7234486598720137E-3</c:v>
                </c:pt>
                <c:pt idx="26">
                  <c:v>-6.8569571130424785E-3</c:v>
                </c:pt>
                <c:pt idx="27">
                  <c:v>-6.9876765588539596E-3</c:v>
                </c:pt>
                <c:pt idx="28">
                  <c:v>-7.116916328972777E-3</c:v>
                </c:pt>
                <c:pt idx="29">
                  <c:v>-7.2455875906171771E-3</c:v>
                </c:pt>
                <c:pt idx="30">
                  <c:v>-7.3743819171136569E-3</c:v>
                </c:pt>
                <c:pt idx="31">
                  <c:v>-7.5017800077168267E-3</c:v>
                </c:pt>
                <c:pt idx="32">
                  <c:v>-7.6290897696502996E-3</c:v>
                </c:pt>
                <c:pt idx="33">
                  <c:v>-7.7571042927753074E-3</c:v>
                </c:pt>
                <c:pt idx="34">
                  <c:v>-7.8861896627823343E-3</c:v>
                </c:pt>
                <c:pt idx="35">
                  <c:v>-8.016423106527823E-3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74-494A-BB6C-F115A0D57B8C}"/>
            </c:ext>
          </c:extLst>
        </c:ser>
        <c:ser>
          <c:idx val="5"/>
          <c:order val="5"/>
          <c:tx>
            <c:strRef>
              <c:f>Données!$B$477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Données!$C$477:$AL$477</c:f>
              <c:numCache>
                <c:formatCode>0.0%</c:formatCode>
                <c:ptCount val="36"/>
                <c:pt idx="0">
                  <c:v>-1.7035958163899662E-4</c:v>
                </c:pt>
                <c:pt idx="1">
                  <c:v>-5.0927293168635107E-4</c:v>
                </c:pt>
                <c:pt idx="2">
                  <c:v>-8.4204742760725165E-4</c:v>
                </c:pt>
                <c:pt idx="3">
                  <c:v>-1.1671518818503249E-3</c:v>
                </c:pt>
                <c:pt idx="4">
                  <c:v>-1.4826750276941603E-3</c:v>
                </c:pt>
                <c:pt idx="5">
                  <c:v>-1.7861780294711914E-3</c:v>
                </c:pt>
                <c:pt idx="6">
                  <c:v>-2.0757038399927077E-3</c:v>
                </c:pt>
                <c:pt idx="7">
                  <c:v>-2.3628333614174554E-3</c:v>
                </c:pt>
                <c:pt idx="8">
                  <c:v>-2.6485421873866694E-3</c:v>
                </c:pt>
                <c:pt idx="9">
                  <c:v>-2.9306905366948341E-3</c:v>
                </c:pt>
                <c:pt idx="10">
                  <c:v>-3.1897643280446798E-3</c:v>
                </c:pt>
                <c:pt idx="11">
                  <c:v>-3.44049088266335E-3</c:v>
                </c:pt>
                <c:pt idx="12">
                  <c:v>-3.6773083090027412E-3</c:v>
                </c:pt>
                <c:pt idx="13">
                  <c:v>-3.9018332225388233E-3</c:v>
                </c:pt>
                <c:pt idx="14">
                  <c:v>-4.1172059085155983E-3</c:v>
                </c:pt>
                <c:pt idx="15">
                  <c:v>-4.3259768499213942E-3</c:v>
                </c:pt>
                <c:pt idx="16">
                  <c:v>-4.5431743420657374E-3</c:v>
                </c:pt>
                <c:pt idx="17">
                  <c:v>-4.76017683384947E-3</c:v>
                </c:pt>
                <c:pt idx="18">
                  <c:v>-4.9753779799565504E-3</c:v>
                </c:pt>
                <c:pt idx="19">
                  <c:v>-5.1885090494119754E-3</c:v>
                </c:pt>
                <c:pt idx="20">
                  <c:v>-5.398469234537435E-3</c:v>
                </c:pt>
                <c:pt idx="21">
                  <c:v>-5.6071622153011395E-3</c:v>
                </c:pt>
                <c:pt idx="22">
                  <c:v>-5.8142326215959526E-3</c:v>
                </c:pt>
                <c:pt idx="23">
                  <c:v>-6.0198896233187105E-3</c:v>
                </c:pt>
                <c:pt idx="24">
                  <c:v>-6.2244471596405049E-3</c:v>
                </c:pt>
                <c:pt idx="25">
                  <c:v>-6.424465645216604E-3</c:v>
                </c:pt>
                <c:pt idx="26">
                  <c:v>-6.6199629343247869E-3</c:v>
                </c:pt>
                <c:pt idx="27">
                  <c:v>-6.8140463231050694E-3</c:v>
                </c:pt>
                <c:pt idx="28">
                  <c:v>-7.0076095319341987E-3</c:v>
                </c:pt>
                <c:pt idx="29">
                  <c:v>-7.2009324522512037E-3</c:v>
                </c:pt>
                <c:pt idx="30">
                  <c:v>-7.3940848516769403E-3</c:v>
                </c:pt>
                <c:pt idx="31">
                  <c:v>-7.5844835142774049E-3</c:v>
                </c:pt>
                <c:pt idx="32">
                  <c:v>-7.77394655658832E-3</c:v>
                </c:pt>
                <c:pt idx="33">
                  <c:v>-7.9628139088622051E-3</c:v>
                </c:pt>
                <c:pt idx="34">
                  <c:v>-8.1511330489154026E-3</c:v>
                </c:pt>
                <c:pt idx="35">
                  <c:v>-8.3388449538623205E-3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Données!$B$472</c:f>
              <c:strCache>
                <c:ptCount val="1"/>
                <c:pt idx="0">
                  <c:v>Consommation énergétique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Données!$C$472:$AL$472</c:f>
              <c:numCache>
                <c:formatCode>0.0%</c:formatCode>
                <c:ptCount val="36"/>
                <c:pt idx="0">
                  <c:v>-8.7088955937275614E-4</c:v>
                </c:pt>
                <c:pt idx="1">
                  <c:v>-2.6755114101549848E-3</c:v>
                </c:pt>
                <c:pt idx="2">
                  <c:v>-4.5453032577539298E-3</c:v>
                </c:pt>
                <c:pt idx="3">
                  <c:v>-6.4513089604599783E-3</c:v>
                </c:pt>
                <c:pt idx="4">
                  <c:v>-8.3648813700147873E-3</c:v>
                </c:pt>
                <c:pt idx="5">
                  <c:v>-1.0265476633842696E-2</c:v>
                </c:pt>
                <c:pt idx="6">
                  <c:v>-1.2167557714620525E-2</c:v>
                </c:pt>
                <c:pt idx="7">
                  <c:v>-1.401912354830559E-2</c:v>
                </c:pt>
                <c:pt idx="8">
                  <c:v>-1.5776665234241705E-2</c:v>
                </c:pt>
                <c:pt idx="9">
                  <c:v>-1.7403985940311673E-2</c:v>
                </c:pt>
                <c:pt idx="10">
                  <c:v>-1.8905614970857632E-2</c:v>
                </c:pt>
                <c:pt idx="11">
                  <c:v>-2.0343251197935786E-2</c:v>
                </c:pt>
                <c:pt idx="12">
                  <c:v>-2.1672455773457777E-2</c:v>
                </c:pt>
                <c:pt idx="13">
                  <c:v>-2.2895058469787011E-2</c:v>
                </c:pt>
                <c:pt idx="14">
                  <c:v>-2.4031689830571246E-2</c:v>
                </c:pt>
                <c:pt idx="15">
                  <c:v>-2.5104915155801155E-2</c:v>
                </c:pt>
                <c:pt idx="16">
                  <c:v>-2.619211699288071E-2</c:v>
                </c:pt>
                <c:pt idx="17">
                  <c:v>-2.726167671042834E-2</c:v>
                </c:pt>
                <c:pt idx="18">
                  <c:v>-2.8306990227493389E-2</c:v>
                </c:pt>
                <c:pt idx="19">
                  <c:v>-2.932621887743414E-2</c:v>
                </c:pt>
                <c:pt idx="20">
                  <c:v>-3.0315641439591534E-2</c:v>
                </c:pt>
                <c:pt idx="21">
                  <c:v>-3.1279506836948245E-2</c:v>
                </c:pt>
                <c:pt idx="22">
                  <c:v>-3.2217051836194166E-2</c:v>
                </c:pt>
                <c:pt idx="23">
                  <c:v>-3.3130884861518939E-2</c:v>
                </c:pt>
                <c:pt idx="24">
                  <c:v>-3.4024804972362488E-2</c:v>
                </c:pt>
                <c:pt idx="25">
                  <c:v>-3.4891452430364733E-2</c:v>
                </c:pt>
                <c:pt idx="26">
                  <c:v>-3.5724975053241792E-2</c:v>
                </c:pt>
                <c:pt idx="27">
                  <c:v>-3.6538123729396688E-2</c:v>
                </c:pt>
                <c:pt idx="28">
                  <c:v>-3.7336406005057832E-2</c:v>
                </c:pt>
                <c:pt idx="29">
                  <c:v>-3.8123123002686055E-2</c:v>
                </c:pt>
                <c:pt idx="30">
                  <c:v>-3.890203825463745E-2</c:v>
                </c:pt>
                <c:pt idx="31">
                  <c:v>-3.9664396430644233E-2</c:v>
                </c:pt>
                <c:pt idx="32">
                  <c:v>-4.041804343925004E-2</c:v>
                </c:pt>
                <c:pt idx="33">
                  <c:v>-4.1166204257508721E-2</c:v>
                </c:pt>
                <c:pt idx="34">
                  <c:v>-4.1910745549011752E-2</c:v>
                </c:pt>
                <c:pt idx="35">
                  <c:v>-4.265270629404283E-2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5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9274551549754362E-2"/>
          <c:y val="0.83157658690065972"/>
          <c:w val="0.91015582410303764"/>
          <c:h val="0.155849883942365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Net energy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Données!$B$527</c:f>
              <c:strCache>
                <c:ptCount val="1"/>
                <c:pt idx="0">
                  <c:v>Households' consumption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Données!$C$527:$AL$527</c:f>
              <c:numCache>
                <c:formatCode>0%</c:formatCode>
                <c:ptCount val="36"/>
                <c:pt idx="0">
                  <c:v>0</c:v>
                </c:pt>
                <c:pt idx="1">
                  <c:v>-8.2076420597864774E-4</c:v>
                </c:pt>
                <c:pt idx="2">
                  <c:v>-1.5828768405144336E-3</c:v>
                </c:pt>
                <c:pt idx="3">
                  <c:v>-2.2998333430413816E-3</c:v>
                </c:pt>
                <c:pt idx="4">
                  <c:v>-2.9872130555183177E-3</c:v>
                </c:pt>
                <c:pt idx="5">
                  <c:v>-3.6590028988388282E-3</c:v>
                </c:pt>
                <c:pt idx="6">
                  <c:v>-4.3462468097477227E-3</c:v>
                </c:pt>
                <c:pt idx="7">
                  <c:v>-5.0136149303060566E-3</c:v>
                </c:pt>
                <c:pt idx="8">
                  <c:v>-5.6226923454839135E-3</c:v>
                </c:pt>
                <c:pt idx="9">
                  <c:v>-6.1369480490654753E-3</c:v>
                </c:pt>
                <c:pt idx="10">
                  <c:v>-6.5596571481999688E-3</c:v>
                </c:pt>
                <c:pt idx="11">
                  <c:v>-6.9195075979004836E-3</c:v>
                </c:pt>
                <c:pt idx="12">
                  <c:v>-7.1941820320047525E-3</c:v>
                </c:pt>
                <c:pt idx="13">
                  <c:v>-7.3911425770621072E-3</c:v>
                </c:pt>
                <c:pt idx="14">
                  <c:v>-7.5348851119656189E-3</c:v>
                </c:pt>
                <c:pt idx="15">
                  <c:v>-7.6507163751599779E-3</c:v>
                </c:pt>
                <c:pt idx="16">
                  <c:v>-7.7780363415616682E-3</c:v>
                </c:pt>
                <c:pt idx="17">
                  <c:v>-7.9108685215526098E-3</c:v>
                </c:pt>
                <c:pt idx="18">
                  <c:v>-8.045220921099161E-3</c:v>
                </c:pt>
                <c:pt idx="19">
                  <c:v>-8.177489243338781E-3</c:v>
                </c:pt>
                <c:pt idx="20">
                  <c:v>-8.3048378560716726E-3</c:v>
                </c:pt>
                <c:pt idx="21">
                  <c:v>-8.4216495792838065E-3</c:v>
                </c:pt>
                <c:pt idx="22">
                  <c:v>-8.528094114874131E-3</c:v>
                </c:pt>
                <c:pt idx="23">
                  <c:v>-8.6236362442433396E-3</c:v>
                </c:pt>
                <c:pt idx="24">
                  <c:v>-8.7090502133899683E-3</c:v>
                </c:pt>
                <c:pt idx="25">
                  <c:v>-8.7855954163530928E-3</c:v>
                </c:pt>
                <c:pt idx="26">
                  <c:v>-8.8406049975668522E-3</c:v>
                </c:pt>
                <c:pt idx="27">
                  <c:v>-8.8834512878898774E-3</c:v>
                </c:pt>
                <c:pt idx="28">
                  <c:v>-8.916802561378662E-3</c:v>
                </c:pt>
                <c:pt idx="29">
                  <c:v>-8.9419015788475397E-3</c:v>
                </c:pt>
                <c:pt idx="30">
                  <c:v>-8.9611457662810874E-3</c:v>
                </c:pt>
                <c:pt idx="31">
                  <c:v>-8.9714354674078119E-3</c:v>
                </c:pt>
                <c:pt idx="32">
                  <c:v>-8.9755308021498836E-3</c:v>
                </c:pt>
                <c:pt idx="33">
                  <c:v>-8.9757196109249704E-3</c:v>
                </c:pt>
                <c:pt idx="34">
                  <c:v>-8.9740192083435193E-3</c:v>
                </c:pt>
                <c:pt idx="35">
                  <c:v>-8.9720528882701288E-3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2D-49AA-BF88-C168E58AAE98}"/>
            </c:ext>
          </c:extLst>
        </c:ser>
        <c:ser>
          <c:idx val="2"/>
          <c:order val="2"/>
          <c:tx>
            <c:strRef>
              <c:f>Données!$B$528</c:f>
              <c:strCache>
                <c:ptCount val="1"/>
                <c:pt idx="0">
                  <c:v>Firms' consumption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Données!$C$528:$AL$528</c:f>
              <c:numCache>
                <c:formatCode>0%</c:formatCode>
                <c:ptCount val="36"/>
                <c:pt idx="0">
                  <c:v>-1.989595058122102E-3</c:v>
                </c:pt>
                <c:pt idx="1">
                  <c:v>-4.7322191300310677E-3</c:v>
                </c:pt>
                <c:pt idx="2">
                  <c:v>-7.6505953498630114E-3</c:v>
                </c:pt>
                <c:pt idx="3">
                  <c:v>-1.0669066948835029E-2</c:v>
                </c:pt>
                <c:pt idx="4">
                  <c:v>-1.3717331415495681E-2</c:v>
                </c:pt>
                <c:pt idx="5">
                  <c:v>-1.6743809650173375E-2</c:v>
                </c:pt>
                <c:pt idx="6">
                  <c:v>-1.973985915589559E-2</c:v>
                </c:pt>
                <c:pt idx="7">
                  <c:v>-2.2670073555319307E-2</c:v>
                </c:pt>
                <c:pt idx="8">
                  <c:v>-2.5514194271991721E-2</c:v>
                </c:pt>
                <c:pt idx="9">
                  <c:v>-2.825846113140125E-2</c:v>
                </c:pt>
                <c:pt idx="10">
                  <c:v>-3.088212671751614E-2</c:v>
                </c:pt>
                <c:pt idx="11">
                  <c:v>-3.348818829865443E-2</c:v>
                </c:pt>
                <c:pt idx="12">
                  <c:v>-3.60021943290222E-2</c:v>
                </c:pt>
                <c:pt idx="13">
                  <c:v>-3.8416053135298223E-2</c:v>
                </c:pt>
                <c:pt idx="14">
                  <c:v>-4.0736361566592778E-2</c:v>
                </c:pt>
                <c:pt idx="15">
                  <c:v>-4.2972959897697886E-2</c:v>
                </c:pt>
                <c:pt idx="16">
                  <c:v>-4.5239790201461315E-2</c:v>
                </c:pt>
                <c:pt idx="17">
                  <c:v>-4.7468991163709506E-2</c:v>
                </c:pt>
                <c:pt idx="18">
                  <c:v>-4.9649144987043523E-2</c:v>
                </c:pt>
                <c:pt idx="19">
                  <c:v>-5.1780378486108523E-2</c:v>
                </c:pt>
                <c:pt idx="20">
                  <c:v>-5.3861065280906305E-2</c:v>
                </c:pt>
                <c:pt idx="21">
                  <c:v>-5.5898466464240348E-2</c:v>
                </c:pt>
                <c:pt idx="22">
                  <c:v>-5.7897247979151349E-2</c:v>
                </c:pt>
                <c:pt idx="23">
                  <c:v>-5.9861522082285012E-2</c:v>
                </c:pt>
                <c:pt idx="24">
                  <c:v>-6.1796760442226643E-2</c:v>
                </c:pt>
                <c:pt idx="25">
                  <c:v>-6.3693720939813611E-2</c:v>
                </c:pt>
                <c:pt idx="26">
                  <c:v>-6.5530737527774746E-2</c:v>
                </c:pt>
                <c:pt idx="27">
                  <c:v>-6.7339496052993567E-2</c:v>
                </c:pt>
                <c:pt idx="28">
                  <c:v>-6.9127005202593489E-2</c:v>
                </c:pt>
                <c:pt idx="29">
                  <c:v>-7.0897821104716707E-2</c:v>
                </c:pt>
                <c:pt idx="30">
                  <c:v>-7.2655649438989361E-2</c:v>
                </c:pt>
                <c:pt idx="31">
                  <c:v>-7.4384118813507677E-2</c:v>
                </c:pt>
                <c:pt idx="32">
                  <c:v>-7.6097949058088851E-2</c:v>
                </c:pt>
                <c:pt idx="33">
                  <c:v>-7.7801128755017754E-2</c:v>
                </c:pt>
                <c:pt idx="34">
                  <c:v>-7.949491507688182E-2</c:v>
                </c:pt>
                <c:pt idx="35">
                  <c:v>-8.1179468686422535E-2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2D-49AA-BF88-C168E58AAE98}"/>
            </c:ext>
          </c:extLst>
        </c:ser>
        <c:ser>
          <c:idx val="3"/>
          <c:order val="3"/>
          <c:tx>
            <c:strRef>
              <c:f>Données!$B$529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Données!$C$529:$AL$529</c:f>
              <c:numCache>
                <c:formatCode>0%</c:formatCode>
                <c:ptCount val="36"/>
                <c:pt idx="0">
                  <c:v>5.6767112141591124E-4</c:v>
                </c:pt>
                <c:pt idx="1">
                  <c:v>1.9110520711858692E-3</c:v>
                </c:pt>
                <c:pt idx="2">
                  <c:v>3.3567568740660121E-3</c:v>
                </c:pt>
                <c:pt idx="3">
                  <c:v>4.8645919893341317E-3</c:v>
                </c:pt>
                <c:pt idx="4">
                  <c:v>6.4024980460013177E-3</c:v>
                </c:pt>
                <c:pt idx="5">
                  <c:v>7.9482831855929165E-3</c:v>
                </c:pt>
                <c:pt idx="6">
                  <c:v>9.5060294430452646E-3</c:v>
                </c:pt>
                <c:pt idx="7">
                  <c:v>1.1035519091033929E-2</c:v>
                </c:pt>
                <c:pt idx="8">
                  <c:v>1.2505252172097657E-2</c:v>
                </c:pt>
                <c:pt idx="9">
                  <c:v>1.3889564129573876E-2</c:v>
                </c:pt>
                <c:pt idx="10">
                  <c:v>1.5178245437208079E-2</c:v>
                </c:pt>
                <c:pt idx="11">
                  <c:v>1.6412435355754974E-2</c:v>
                </c:pt>
                <c:pt idx="12">
                  <c:v>1.7562340784640185E-2</c:v>
                </c:pt>
                <c:pt idx="13">
                  <c:v>1.8624154276975155E-2</c:v>
                </c:pt>
                <c:pt idx="14">
                  <c:v>1.9612360741236963E-2</c:v>
                </c:pt>
                <c:pt idx="15">
                  <c:v>2.0544270824668118E-2</c:v>
                </c:pt>
                <c:pt idx="16">
                  <c:v>2.1470995872125712E-2</c:v>
                </c:pt>
                <c:pt idx="17">
                  <c:v>2.2382409402176617E-2</c:v>
                </c:pt>
                <c:pt idx="18">
                  <c:v>2.3268300268843571E-2</c:v>
                </c:pt>
                <c:pt idx="19">
                  <c:v>2.412617848590224E-2</c:v>
                </c:pt>
                <c:pt idx="20">
                  <c:v>2.4957362758235235E-2</c:v>
                </c:pt>
                <c:pt idx="21">
                  <c:v>2.5752829952054888E-2</c:v>
                </c:pt>
                <c:pt idx="22">
                  <c:v>2.6521080725315459E-2</c:v>
                </c:pt>
                <c:pt idx="23">
                  <c:v>2.7263007509891118E-2</c:v>
                </c:pt>
                <c:pt idx="24">
                  <c:v>2.7981636402214169E-2</c:v>
                </c:pt>
                <c:pt idx="25">
                  <c:v>2.8686400195631623E-2</c:v>
                </c:pt>
                <c:pt idx="26">
                  <c:v>2.9343788653685508E-2</c:v>
                </c:pt>
                <c:pt idx="27">
                  <c:v>2.9977264760703046E-2</c:v>
                </c:pt>
                <c:pt idx="28">
                  <c:v>3.0591709215758725E-2</c:v>
                </c:pt>
                <c:pt idx="29">
                  <c:v>3.1190357429692037E-2</c:v>
                </c:pt>
                <c:pt idx="30">
                  <c:v>3.17770868261558E-2</c:v>
                </c:pt>
                <c:pt idx="31">
                  <c:v>3.2347628938554078E-2</c:v>
                </c:pt>
                <c:pt idx="32">
                  <c:v>3.2905798649535363E-2</c:v>
                </c:pt>
                <c:pt idx="33">
                  <c:v>3.3455450969555614E-2</c:v>
                </c:pt>
                <c:pt idx="34">
                  <c:v>3.3998678399832373E-2</c:v>
                </c:pt>
                <c:pt idx="35">
                  <c:v>3.4536800487210265E-2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8449744"/>
        <c:axId val="778454336"/>
      </c:barChart>
      <c:lineChart>
        <c:grouping val="standard"/>
        <c:varyColors val="0"/>
        <c:ser>
          <c:idx val="0"/>
          <c:order val="0"/>
          <c:tx>
            <c:strRef>
              <c:f>Données!$B$526</c:f>
              <c:strCache>
                <c:ptCount val="1"/>
                <c:pt idx="0">
                  <c:v>Net production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Données!$C$526:$AL$526</c:f>
              <c:numCache>
                <c:formatCode>0%</c:formatCode>
                <c:ptCount val="36"/>
                <c:pt idx="0">
                  <c:v>-1.4219242948586563E-3</c:v>
                </c:pt>
                <c:pt idx="1">
                  <c:v>-3.6419315546526443E-3</c:v>
                </c:pt>
                <c:pt idx="2">
                  <c:v>-5.8767147391057817E-3</c:v>
                </c:pt>
                <c:pt idx="3">
                  <c:v>-8.1043083742527999E-3</c:v>
                </c:pt>
                <c:pt idx="4">
                  <c:v>-1.0302046425012645E-2</c:v>
                </c:pt>
                <c:pt idx="5">
                  <c:v>-1.2454529010697102E-2</c:v>
                </c:pt>
                <c:pt idx="6">
                  <c:v>-1.4580076732260472E-2</c:v>
                </c:pt>
                <c:pt idx="7">
                  <c:v>-1.664816967135907E-2</c:v>
                </c:pt>
                <c:pt idx="8">
                  <c:v>-1.8631634582318313E-2</c:v>
                </c:pt>
                <c:pt idx="9">
                  <c:v>-2.0505844983157884E-2</c:v>
                </c:pt>
                <c:pt idx="10">
                  <c:v>-2.2263539030928481E-2</c:v>
                </c:pt>
                <c:pt idx="11">
                  <c:v>-2.3995261070259066E-2</c:v>
                </c:pt>
                <c:pt idx="12">
                  <c:v>-2.5634036165394725E-2</c:v>
                </c:pt>
                <c:pt idx="13">
                  <c:v>-2.7183041241217176E-2</c:v>
                </c:pt>
                <c:pt idx="14">
                  <c:v>-2.8658886001335371E-2</c:v>
                </c:pt>
                <c:pt idx="15">
                  <c:v>-3.0079405954737903E-2</c:v>
                </c:pt>
                <c:pt idx="16">
                  <c:v>-3.1546830670897363E-2</c:v>
                </c:pt>
                <c:pt idx="17">
                  <c:v>-3.2997450283085539E-2</c:v>
                </c:pt>
                <c:pt idx="18">
                  <c:v>-3.4426065148845164E-2</c:v>
                </c:pt>
                <c:pt idx="19">
                  <c:v>-3.5831688940254569E-2</c:v>
                </c:pt>
                <c:pt idx="20">
                  <c:v>-3.7208540258633516E-2</c:v>
                </c:pt>
                <c:pt idx="21">
                  <c:v>-3.8567285259386797E-2</c:v>
                </c:pt>
                <c:pt idx="22">
                  <c:v>-3.9904261368710059E-2</c:v>
                </c:pt>
                <c:pt idx="23">
                  <c:v>-4.1222151165860366E-2</c:v>
                </c:pt>
                <c:pt idx="24">
                  <c:v>-4.2524173792641617E-2</c:v>
                </c:pt>
                <c:pt idx="25">
                  <c:v>-4.3792916560111306E-2</c:v>
                </c:pt>
                <c:pt idx="26">
                  <c:v>-4.5027553815105925E-2</c:v>
                </c:pt>
                <c:pt idx="27">
                  <c:v>-4.6245681851910359E-2</c:v>
                </c:pt>
                <c:pt idx="28">
                  <c:v>-4.7452098936674458E-2</c:v>
                </c:pt>
                <c:pt idx="29">
                  <c:v>-4.8649365308842452E-2</c:v>
                </c:pt>
                <c:pt idx="30">
                  <c:v>-4.9839708161323548E-2</c:v>
                </c:pt>
                <c:pt idx="31">
                  <c:v>-5.1007925665916831E-2</c:v>
                </c:pt>
                <c:pt idx="32">
                  <c:v>-5.2167681157299195E-2</c:v>
                </c:pt>
                <c:pt idx="33">
                  <c:v>-5.3321397555035954E-2</c:v>
                </c:pt>
                <c:pt idx="34">
                  <c:v>-5.4470255833031223E-2</c:v>
                </c:pt>
                <c:pt idx="35">
                  <c:v>-5.5614720672754414E-2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8449744"/>
        <c:axId val="778454336"/>
      </c:lineChart>
      <c:dateAx>
        <c:axId val="77844974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54336"/>
        <c:crosses val="autoZero"/>
        <c:auto val="1"/>
        <c:lblOffset val="100"/>
        <c:baseTimeUnit val="years"/>
        <c:majorUnit val="5"/>
        <c:majorTimeUnit val="years"/>
      </c:dateAx>
      <c:valAx>
        <c:axId val="77845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497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Primary energy (Mtep)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Données!$B$507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Données!$C$507:$AL$507</c:f>
              <c:numCache>
                <c:formatCode>0.0%</c:formatCode>
                <c:ptCount val="36"/>
                <c:pt idx="0">
                  <c:v>-3.8679729624183398E-5</c:v>
                </c:pt>
                <c:pt idx="1">
                  <c:v>-8.1482340181982088E-5</c:v>
                </c:pt>
                <c:pt idx="2">
                  <c:v>-1.2435494174861062E-4</c:v>
                </c:pt>
                <c:pt idx="3">
                  <c:v>-1.6760261970901857E-4</c:v>
                </c:pt>
                <c:pt idx="4">
                  <c:v>-2.1079522513825732E-4</c:v>
                </c:pt>
                <c:pt idx="5">
                  <c:v>-2.5365238242180862E-4</c:v>
                </c:pt>
                <c:pt idx="6">
                  <c:v>-2.9663023002524488E-4</c:v>
                </c:pt>
                <c:pt idx="7">
                  <c:v>-3.3893200352993195E-4</c:v>
                </c:pt>
                <c:pt idx="8">
                  <c:v>-3.8028021853888592E-4</c:v>
                </c:pt>
                <c:pt idx="9">
                  <c:v>-4.2055110581670156E-4</c:v>
                </c:pt>
                <c:pt idx="10">
                  <c:v>-4.6034652787279716E-4</c:v>
                </c:pt>
                <c:pt idx="11">
                  <c:v>-5.0161893192269907E-4</c:v>
                </c:pt>
                <c:pt idx="12">
                  <c:v>-5.4271470158736841E-4</c:v>
                </c:pt>
                <c:pt idx="13">
                  <c:v>-5.8333846745623743E-4</c:v>
                </c:pt>
                <c:pt idx="14">
                  <c:v>-6.2344417098301032E-4</c:v>
                </c:pt>
                <c:pt idx="15">
                  <c:v>-6.6305336345619421E-4</c:v>
                </c:pt>
                <c:pt idx="16">
                  <c:v>-7.0415287840908515E-4</c:v>
                </c:pt>
                <c:pt idx="17">
                  <c:v>-7.4512753391413312E-4</c:v>
                </c:pt>
                <c:pt idx="18">
                  <c:v>-7.8572002813571463E-4</c:v>
                </c:pt>
                <c:pt idx="19">
                  <c:v>-8.2592585414655148E-4</c:v>
                </c:pt>
                <c:pt idx="20">
                  <c:v>-8.6567390765388474E-4</c:v>
                </c:pt>
                <c:pt idx="21">
                  <c:v>-9.0515215653671089E-4</c:v>
                </c:pt>
                <c:pt idx="22">
                  <c:v>-9.443621704713352E-4</c:v>
                </c:pt>
                <c:pt idx="23">
                  <c:v>-9.8330826763559187E-4</c:v>
                </c:pt>
                <c:pt idx="24">
                  <c:v>-1.0220129067812166E-3</c:v>
                </c:pt>
                <c:pt idx="25">
                  <c:v>-1.0601639959820085E-3</c:v>
                </c:pt>
                <c:pt idx="26">
                  <c:v>-1.0974482271814683E-3</c:v>
                </c:pt>
                <c:pt idx="27">
                  <c:v>-1.134480859055697E-3</c:v>
                </c:pt>
                <c:pt idx="28">
                  <c:v>-1.1713174053779869E-3</c:v>
                </c:pt>
                <c:pt idx="29">
                  <c:v>-1.2079569175165047E-3</c:v>
                </c:pt>
                <c:pt idx="30">
                  <c:v>-1.2443902476416485E-3</c:v>
                </c:pt>
                <c:pt idx="31">
                  <c:v>-1.2802239474987405E-3</c:v>
                </c:pt>
                <c:pt idx="32">
                  <c:v>-1.3157464864162794E-3</c:v>
                </c:pt>
                <c:pt idx="33">
                  <c:v>-1.350987531842368E-3</c:v>
                </c:pt>
                <c:pt idx="34">
                  <c:v>-1.3859293065269166E-3</c:v>
                </c:pt>
                <c:pt idx="35">
                  <c:v>-1.4205466145571113E-3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B-4269-9B2A-85A0A366EDCC}"/>
            </c:ext>
          </c:extLst>
        </c:ser>
        <c:ser>
          <c:idx val="2"/>
          <c:order val="2"/>
          <c:tx>
            <c:strRef>
              <c:f>Données!$B$508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Données!$C$508:$AL$508</c:f>
              <c:numCache>
                <c:formatCode>0.0%</c:formatCode>
                <c:ptCount val="36"/>
                <c:pt idx="0">
                  <c:v>-3.1863547470618418E-2</c:v>
                </c:pt>
                <c:pt idx="1">
                  <c:v>-1.1411292650995157E-3</c:v>
                </c:pt>
                <c:pt idx="2">
                  <c:v>-1.7962639657788226E-3</c:v>
                </c:pt>
                <c:pt idx="3">
                  <c:v>-2.4734943239014661E-3</c:v>
                </c:pt>
                <c:pt idx="4">
                  <c:v>-3.1626805874744521E-3</c:v>
                </c:pt>
                <c:pt idx="5">
                  <c:v>-3.8557551144653866E-3</c:v>
                </c:pt>
                <c:pt idx="6">
                  <c:v>-4.5564083205773516E-3</c:v>
                </c:pt>
                <c:pt idx="7">
                  <c:v>-5.2481609666086152E-3</c:v>
                </c:pt>
                <c:pt idx="8">
                  <c:v>-5.9214343037754108E-3</c:v>
                </c:pt>
                <c:pt idx="9">
                  <c:v>-6.5687518021033684E-3</c:v>
                </c:pt>
                <c:pt idx="10">
                  <c:v>-7.1968146364036773E-3</c:v>
                </c:pt>
                <c:pt idx="11">
                  <c:v>-7.8326128918874329E-3</c:v>
                </c:pt>
                <c:pt idx="12">
                  <c:v>-8.4517496004091492E-3</c:v>
                </c:pt>
                <c:pt idx="13">
                  <c:v>-9.0520165548149713E-3</c:v>
                </c:pt>
                <c:pt idx="14">
                  <c:v>-9.6340370508044022E-3</c:v>
                </c:pt>
                <c:pt idx="15">
                  <c:v>-1.0199450024819709E-2</c:v>
                </c:pt>
                <c:pt idx="16">
                  <c:v>-1.0777372177307518E-2</c:v>
                </c:pt>
                <c:pt idx="17">
                  <c:v>-1.1344695786797702E-2</c:v>
                </c:pt>
                <c:pt idx="18">
                  <c:v>-1.1899908693419777E-2</c:v>
                </c:pt>
                <c:pt idx="19">
                  <c:v>-1.2442893693385302E-2</c:v>
                </c:pt>
                <c:pt idx="20">
                  <c:v>-1.2972292523286287E-2</c:v>
                </c:pt>
                <c:pt idx="21">
                  <c:v>-1.3491347846043051E-2</c:v>
                </c:pt>
                <c:pt idx="22">
                  <c:v>-1.399883789098734E-2</c:v>
                </c:pt>
                <c:pt idx="23">
                  <c:v>-1.449573444199745E-2</c:v>
                </c:pt>
                <c:pt idx="24">
                  <c:v>-1.4983051822339187E-2</c:v>
                </c:pt>
                <c:pt idx="25">
                  <c:v>-1.545639561212765E-2</c:v>
                </c:pt>
                <c:pt idx="26">
                  <c:v>-1.5914943417361473E-2</c:v>
                </c:pt>
                <c:pt idx="27">
                  <c:v>-1.636454846138603E-2</c:v>
                </c:pt>
                <c:pt idx="28">
                  <c:v>-1.6806670883796653E-2</c:v>
                </c:pt>
                <c:pt idx="29">
                  <c:v>-1.7242220863358814E-2</c:v>
                </c:pt>
                <c:pt idx="30">
                  <c:v>-1.7672077396457944E-2</c:v>
                </c:pt>
                <c:pt idx="31">
                  <c:v>-1.8091633447151336E-2</c:v>
                </c:pt>
                <c:pt idx="32">
                  <c:v>-1.8505729786406966E-2</c:v>
                </c:pt>
                <c:pt idx="33">
                  <c:v>-1.8915109956524571E-2</c:v>
                </c:pt>
                <c:pt idx="34">
                  <c:v>-1.9320211521963594E-2</c:v>
                </c:pt>
                <c:pt idx="35">
                  <c:v>-1.9721336671194162E-2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DB-4269-9B2A-85A0A366EDCC}"/>
            </c:ext>
          </c:extLst>
        </c:ser>
        <c:ser>
          <c:idx val="3"/>
          <c:order val="3"/>
          <c:tx>
            <c:strRef>
              <c:f>Données!$B$509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Données!$C$509:$AL$509</c:f>
              <c:numCache>
                <c:formatCode>0.0%</c:formatCode>
                <c:ptCount val="36"/>
                <c:pt idx="0">
                  <c:v>-1.1404630007388337E-4</c:v>
                </c:pt>
                <c:pt idx="1">
                  <c:v>-3.1974834693210502E-4</c:v>
                </c:pt>
                <c:pt idx="2">
                  <c:v>-5.0666837476471323E-4</c:v>
                </c:pt>
                <c:pt idx="3">
                  <c:v>-6.7939256784873496E-4</c:v>
                </c:pt>
                <c:pt idx="4">
                  <c:v>-8.4271829519735636E-4</c:v>
                </c:pt>
                <c:pt idx="5">
                  <c:v>-1.0012605747163319E-3</c:v>
                </c:pt>
                <c:pt idx="6">
                  <c:v>-1.1648872942278269E-3</c:v>
                </c:pt>
                <c:pt idx="7">
                  <c:v>-1.3200080263353776E-3</c:v>
                </c:pt>
                <c:pt idx="8">
                  <c:v>-1.4603525444678508E-3</c:v>
                </c:pt>
                <c:pt idx="9">
                  <c:v>-1.5812959284841306E-3</c:v>
                </c:pt>
                <c:pt idx="10">
                  <c:v>-1.6874393826375698E-3</c:v>
                </c:pt>
                <c:pt idx="11">
                  <c:v>-1.7832966729037995E-3</c:v>
                </c:pt>
                <c:pt idx="12">
                  <c:v>-1.85835133135625E-3</c:v>
                </c:pt>
                <c:pt idx="13">
                  <c:v>-1.9158282278659915E-3</c:v>
                </c:pt>
                <c:pt idx="14">
                  <c:v>-1.9628946122529976E-3</c:v>
                </c:pt>
                <c:pt idx="15">
                  <c:v>-2.0065295630826356E-3</c:v>
                </c:pt>
                <c:pt idx="16">
                  <c:v>-2.0601299576215371E-3</c:v>
                </c:pt>
                <c:pt idx="17">
                  <c:v>-2.1167922950545651E-3</c:v>
                </c:pt>
                <c:pt idx="18">
                  <c:v>-2.1766397618797804E-3</c:v>
                </c:pt>
                <c:pt idx="19">
                  <c:v>-2.2390654637072351E-3</c:v>
                </c:pt>
                <c:pt idx="20">
                  <c:v>-2.3018414362756608E-3</c:v>
                </c:pt>
                <c:pt idx="21">
                  <c:v>-2.3669240377096356E-3</c:v>
                </c:pt>
                <c:pt idx="22">
                  <c:v>-2.4320569792813567E-3</c:v>
                </c:pt>
                <c:pt idx="23">
                  <c:v>-2.4969769871292396E-3</c:v>
                </c:pt>
                <c:pt idx="24">
                  <c:v>-2.5616087656189436E-3</c:v>
                </c:pt>
                <c:pt idx="25">
                  <c:v>-2.6210314053899978E-3</c:v>
                </c:pt>
                <c:pt idx="26">
                  <c:v>-2.6795861731174829E-3</c:v>
                </c:pt>
                <c:pt idx="27">
                  <c:v>-2.7373679248327656E-3</c:v>
                </c:pt>
                <c:pt idx="28">
                  <c:v>-2.7944311277514127E-3</c:v>
                </c:pt>
                <c:pt idx="29">
                  <c:v>-2.8506417056295597E-3</c:v>
                </c:pt>
                <c:pt idx="30">
                  <c:v>-2.9063720400499997E-3</c:v>
                </c:pt>
                <c:pt idx="31">
                  <c:v>-2.9599254272039094E-3</c:v>
                </c:pt>
                <c:pt idx="32">
                  <c:v>-3.0127279626936099E-3</c:v>
                </c:pt>
                <c:pt idx="33">
                  <c:v>-3.0649372802129767E-3</c:v>
                </c:pt>
                <c:pt idx="34">
                  <c:v>-3.1168471591042474E-3</c:v>
                </c:pt>
                <c:pt idx="35">
                  <c:v>-3.1687403326920325E-3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DB-4269-9B2A-85A0A366EDCC}"/>
            </c:ext>
          </c:extLst>
        </c:ser>
        <c:ser>
          <c:idx val="4"/>
          <c:order val="4"/>
          <c:tx>
            <c:strRef>
              <c:f>Données!$B$510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Données!$C$510:$AL$510</c:f>
              <c:numCache>
                <c:formatCode>0.0%</c:formatCode>
                <c:ptCount val="36"/>
                <c:pt idx="0">
                  <c:v>-2.7819346735348801E-2</c:v>
                </c:pt>
                <c:pt idx="1">
                  <c:v>-1.2898733288191609E-3</c:v>
                </c:pt>
                <c:pt idx="2">
                  <c:v>-2.1376354645483452E-3</c:v>
                </c:pt>
                <c:pt idx="3">
                  <c:v>-2.9744750973403761E-3</c:v>
                </c:pt>
                <c:pt idx="4">
                  <c:v>-3.7888218152346024E-3</c:v>
                </c:pt>
                <c:pt idx="5">
                  <c:v>-4.5751070901145783E-3</c:v>
                </c:pt>
                <c:pt idx="6">
                  <c:v>-5.3452213692056442E-3</c:v>
                </c:pt>
                <c:pt idx="7">
                  <c:v>-6.0761754983720481E-3</c:v>
                </c:pt>
                <c:pt idx="8">
                  <c:v>-6.749185200322771E-3</c:v>
                </c:pt>
                <c:pt idx="9">
                  <c:v>-7.3500648425697144E-3</c:v>
                </c:pt>
                <c:pt idx="10">
                  <c:v>-7.8976024116432179E-3</c:v>
                </c:pt>
                <c:pt idx="11">
                  <c:v>-8.4289745257851035E-3</c:v>
                </c:pt>
                <c:pt idx="12">
                  <c:v>-8.9233697172276354E-3</c:v>
                </c:pt>
                <c:pt idx="13">
                  <c:v>-9.3807346961219465E-3</c:v>
                </c:pt>
                <c:pt idx="14">
                  <c:v>-9.8067143345547166E-3</c:v>
                </c:pt>
                <c:pt idx="15">
                  <c:v>-1.0208220439031968E-2</c:v>
                </c:pt>
                <c:pt idx="16">
                  <c:v>-1.0620677765234348E-2</c:v>
                </c:pt>
                <c:pt idx="17">
                  <c:v>-1.1026907829279082E-2</c:v>
                </c:pt>
                <c:pt idx="18">
                  <c:v>-1.1425393636107986E-2</c:v>
                </c:pt>
                <c:pt idx="19">
                  <c:v>-1.1816124130471169E-2</c:v>
                </c:pt>
                <c:pt idx="20">
                  <c:v>-1.2198419963381313E-2</c:v>
                </c:pt>
                <c:pt idx="21">
                  <c:v>-1.2574787779366423E-2</c:v>
                </c:pt>
                <c:pt idx="22">
                  <c:v>-1.2945343753955804E-2</c:v>
                </c:pt>
                <c:pt idx="23">
                  <c:v>-1.3311707625577195E-2</c:v>
                </c:pt>
                <c:pt idx="24">
                  <c:v>-1.3675710163918043E-2</c:v>
                </c:pt>
                <c:pt idx="25">
                  <c:v>-1.4034458721499887E-2</c:v>
                </c:pt>
                <c:pt idx="26">
                  <c:v>-1.4384770418671498E-2</c:v>
                </c:pt>
                <c:pt idx="27">
                  <c:v>-1.4732253111626374E-2</c:v>
                </c:pt>
                <c:pt idx="28">
                  <c:v>-1.5078907293907848E-2</c:v>
                </c:pt>
                <c:pt idx="29">
                  <c:v>-1.5426075077753629E-2</c:v>
                </c:pt>
                <c:pt idx="30">
                  <c:v>-1.5774709227950549E-2</c:v>
                </c:pt>
                <c:pt idx="31">
                  <c:v>-1.6120250073509951E-2</c:v>
                </c:pt>
                <c:pt idx="32">
                  <c:v>-1.646668430141688E-2</c:v>
                </c:pt>
                <c:pt idx="33">
                  <c:v>-1.6815047505931831E-2</c:v>
                </c:pt>
                <c:pt idx="34">
                  <c:v>-1.7165726409040381E-2</c:v>
                </c:pt>
                <c:pt idx="35">
                  <c:v>-1.7518669809696713E-2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DB-4269-9B2A-85A0A366EDCC}"/>
            </c:ext>
          </c:extLst>
        </c:ser>
        <c:ser>
          <c:idx val="5"/>
          <c:order val="5"/>
          <c:tx>
            <c:strRef>
              <c:f>Données!$B$511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Données!$C$511:$AL$511</c:f>
              <c:numCache>
                <c:formatCode>0.0%</c:formatCode>
                <c:ptCount val="36"/>
                <c:pt idx="0">
                  <c:v>-9.1509031692664023E-4</c:v>
                </c:pt>
                <c:pt idx="1">
                  <c:v>-8.5541565398202586E-4</c:v>
                </c:pt>
                <c:pt idx="2">
                  <c:v>-1.3872839885827294E-3</c:v>
                </c:pt>
                <c:pt idx="3">
                  <c:v>-1.9094390686377422E-3</c:v>
                </c:pt>
                <c:pt idx="4">
                  <c:v>-2.4182610982656249E-3</c:v>
                </c:pt>
                <c:pt idx="5">
                  <c:v>-2.9092816200204604E-3</c:v>
                </c:pt>
                <c:pt idx="6">
                  <c:v>-3.3774661214730373E-3</c:v>
                </c:pt>
                <c:pt idx="7">
                  <c:v>-3.8432949906555464E-3</c:v>
                </c:pt>
                <c:pt idx="8">
                  <c:v>-4.3133767274628927E-3</c:v>
                </c:pt>
                <c:pt idx="9">
                  <c:v>-4.7887851285708972E-3</c:v>
                </c:pt>
                <c:pt idx="10">
                  <c:v>-5.2310932387150556E-3</c:v>
                </c:pt>
                <c:pt idx="11">
                  <c:v>-5.6604930122014048E-3</c:v>
                </c:pt>
                <c:pt idx="12">
                  <c:v>-6.0653532170017038E-3</c:v>
                </c:pt>
                <c:pt idx="13">
                  <c:v>-6.4494710737775353E-3</c:v>
                </c:pt>
                <c:pt idx="14">
                  <c:v>-6.8184237005755625E-3</c:v>
                </c:pt>
                <c:pt idx="15">
                  <c:v>-7.1767384774307757E-3</c:v>
                </c:pt>
                <c:pt idx="16">
                  <c:v>-7.5496809805191143E-3</c:v>
                </c:pt>
                <c:pt idx="17">
                  <c:v>-7.9215038617437197E-3</c:v>
                </c:pt>
                <c:pt idx="18">
                  <c:v>-8.2902862982890679E-3</c:v>
                </c:pt>
                <c:pt idx="19">
                  <c:v>-8.6555903332996668E-3</c:v>
                </c:pt>
                <c:pt idx="20">
                  <c:v>-9.0154886656213552E-3</c:v>
                </c:pt>
                <c:pt idx="21">
                  <c:v>-9.3728170334857232E-3</c:v>
                </c:pt>
                <c:pt idx="22">
                  <c:v>-9.7268929201520544E-3</c:v>
                </c:pt>
                <c:pt idx="23">
                  <c:v>-1.0077954973636291E-2</c:v>
                </c:pt>
                <c:pt idx="24">
                  <c:v>-1.0426393546724384E-2</c:v>
                </c:pt>
                <c:pt idx="25">
                  <c:v>-1.0766494571296322E-2</c:v>
                </c:pt>
                <c:pt idx="26">
                  <c:v>-1.1097740022167729E-2</c:v>
                </c:pt>
                <c:pt idx="27">
                  <c:v>-1.1425714272994998E-2</c:v>
                </c:pt>
                <c:pt idx="28">
                  <c:v>-1.1751598296056718E-2</c:v>
                </c:pt>
                <c:pt idx="29">
                  <c:v>-1.207580045289971E-2</c:v>
                </c:pt>
                <c:pt idx="30">
                  <c:v>-1.2398464559479837E-2</c:v>
                </c:pt>
                <c:pt idx="31">
                  <c:v>-1.2715337028998984E-2</c:v>
                </c:pt>
                <c:pt idx="32">
                  <c:v>-1.3029763563734312E-2</c:v>
                </c:pt>
                <c:pt idx="33">
                  <c:v>-1.3342230235149926E-2</c:v>
                </c:pt>
                <c:pt idx="34">
                  <c:v>-1.3652888336151301E-2</c:v>
                </c:pt>
                <c:pt idx="35">
                  <c:v>-1.3961753767928879E-2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Données!$B$506</c:f>
              <c:strCache>
                <c:ptCount val="1"/>
                <c:pt idx="0">
                  <c:v>Primary energy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Données!$C$506:$AL$506</c:f>
              <c:numCache>
                <c:formatCode>0.0%</c:formatCode>
                <c:ptCount val="36"/>
                <c:pt idx="0">
                  <c:v>-1.4302380402311243E-3</c:v>
                </c:pt>
                <c:pt idx="1">
                  <c:v>-3.6876488534104412E-3</c:v>
                </c:pt>
                <c:pt idx="2">
                  <c:v>-5.9522070739590482E-3</c:v>
                </c:pt>
                <c:pt idx="3">
                  <c:v>-8.2044036774374662E-3</c:v>
                </c:pt>
                <c:pt idx="4">
                  <c:v>-1.0423277074740445E-2</c:v>
                </c:pt>
                <c:pt idx="5">
                  <c:v>-1.2595056516921832E-2</c:v>
                </c:pt>
                <c:pt idx="6">
                  <c:v>-1.4740613486374454E-2</c:v>
                </c:pt>
                <c:pt idx="7">
                  <c:v>-1.682657125818332E-2</c:v>
                </c:pt>
                <c:pt idx="8">
                  <c:v>-1.8824628846726643E-2</c:v>
                </c:pt>
                <c:pt idx="9">
                  <c:v>-2.0709449208207498E-2</c:v>
                </c:pt>
                <c:pt idx="10">
                  <c:v>-2.247329622870009E-2</c:v>
                </c:pt>
                <c:pt idx="11">
                  <c:v>-2.4206996183880669E-2</c:v>
                </c:pt>
                <c:pt idx="12">
                  <c:v>-2.5841538469219327E-2</c:v>
                </c:pt>
                <c:pt idx="13">
                  <c:v>-2.7381388764640469E-2</c:v>
                </c:pt>
                <c:pt idx="14">
                  <c:v>-2.8845513893232089E-2</c:v>
                </c:pt>
                <c:pt idx="15">
                  <c:v>-3.0253991492902643E-2</c:v>
                </c:pt>
                <c:pt idx="16">
                  <c:v>-3.1712013653107718E-2</c:v>
                </c:pt>
                <c:pt idx="17">
                  <c:v>-3.315502751069932E-2</c:v>
                </c:pt>
                <c:pt idx="18">
                  <c:v>-3.4577948446657403E-2</c:v>
                </c:pt>
                <c:pt idx="19">
                  <c:v>-3.597959964615971E-2</c:v>
                </c:pt>
                <c:pt idx="20">
                  <c:v>-3.7353716710887386E-2</c:v>
                </c:pt>
                <c:pt idx="21">
                  <c:v>-3.8711028914650281E-2</c:v>
                </c:pt>
                <c:pt idx="22">
                  <c:v>-4.0047493958364599E-2</c:v>
                </c:pt>
                <c:pt idx="23">
                  <c:v>-4.1365682104259616E-2</c:v>
                </c:pt>
                <c:pt idx="24">
                  <c:v>-4.2668777221645082E-2</c:v>
                </c:pt>
                <c:pt idx="25">
                  <c:v>-4.393854452124335E-2</c:v>
                </c:pt>
                <c:pt idx="26">
                  <c:v>-4.5174488066823559E-2</c:v>
                </c:pt>
                <c:pt idx="27">
                  <c:v>-4.6394364793427512E-2</c:v>
                </c:pt>
                <c:pt idx="28">
                  <c:v>-4.7602924933721869E-2</c:v>
                </c:pt>
                <c:pt idx="29">
                  <c:v>-4.8802695105178096E-2</c:v>
                </c:pt>
                <c:pt idx="30">
                  <c:v>-4.9996013569031938E-2</c:v>
                </c:pt>
                <c:pt idx="31">
                  <c:v>-5.116736959412993E-2</c:v>
                </c:pt>
                <c:pt idx="32">
                  <c:v>-5.2330652075508244E-2</c:v>
                </c:pt>
                <c:pt idx="33">
                  <c:v>-5.3488312679097927E-2</c:v>
                </c:pt>
                <c:pt idx="34">
                  <c:v>-5.4641602821614121E-2</c:v>
                </c:pt>
                <c:pt idx="35">
                  <c:v>-5.5791047274250216E-2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5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Buildings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Données!$B$380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Données!$C$380:$AL$380</c:f>
              <c:numCache>
                <c:formatCode>#,##0</c:formatCode>
                <c:ptCount val="36"/>
                <c:pt idx="0">
                  <c:v>3.476542051</c:v>
                </c:pt>
                <c:pt idx="1">
                  <c:v>7.164823524</c:v>
                </c:pt>
                <c:pt idx="2">
                  <c:v>12.68276996</c:v>
                </c:pt>
                <c:pt idx="3">
                  <c:v>18.617455240000002</c:v>
                </c:pt>
                <c:pt idx="4">
                  <c:v>24.518504400000001</c:v>
                </c:pt>
                <c:pt idx="5">
                  <c:v>30.217247740000001</c:v>
                </c:pt>
                <c:pt idx="6">
                  <c:v>35.585701380000003</c:v>
                </c:pt>
                <c:pt idx="7">
                  <c:v>40.533124839999999</c:v>
                </c:pt>
                <c:pt idx="8">
                  <c:v>44.88846083</c:v>
                </c:pt>
                <c:pt idx="9">
                  <c:v>48.34342582</c:v>
                </c:pt>
                <c:pt idx="10">
                  <c:v>53.37464052</c:v>
                </c:pt>
                <c:pt idx="11">
                  <c:v>58.662766910000002</c:v>
                </c:pt>
                <c:pt idx="12">
                  <c:v>63.95373799</c:v>
                </c:pt>
                <c:pt idx="13">
                  <c:v>69.216960580000006</c:v>
                </c:pt>
                <c:pt idx="14">
                  <c:v>74.464430329999999</c:v>
                </c:pt>
                <c:pt idx="15">
                  <c:v>79.696521419999996</c:v>
                </c:pt>
                <c:pt idx="16">
                  <c:v>84.903412639999999</c:v>
                </c:pt>
                <c:pt idx="17">
                  <c:v>90.073562330000001</c:v>
                </c:pt>
                <c:pt idx="18">
                  <c:v>95.197940369999998</c:v>
                </c:pt>
                <c:pt idx="19">
                  <c:v>100.2709492</c:v>
                </c:pt>
                <c:pt idx="20">
                  <c:v>105.2622471</c:v>
                </c:pt>
                <c:pt idx="21">
                  <c:v>110.2216806</c:v>
                </c:pt>
                <c:pt idx="22">
                  <c:v>115.1236342</c:v>
                </c:pt>
                <c:pt idx="23">
                  <c:v>119.97155410000001</c:v>
                </c:pt>
                <c:pt idx="24">
                  <c:v>124.7705921</c:v>
                </c:pt>
                <c:pt idx="25">
                  <c:v>129.45060609999999</c:v>
                </c:pt>
                <c:pt idx="26">
                  <c:v>134.11789759999999</c:v>
                </c:pt>
                <c:pt idx="27">
                  <c:v>138.73147499999999</c:v>
                </c:pt>
                <c:pt idx="28">
                  <c:v>143.29049459999999</c:v>
                </c:pt>
                <c:pt idx="29">
                  <c:v>147.7957931</c:v>
                </c:pt>
                <c:pt idx="30">
                  <c:v>152.2494318</c:v>
                </c:pt>
                <c:pt idx="31">
                  <c:v>156.6541981</c:v>
                </c:pt>
                <c:pt idx="32">
                  <c:v>161.0133347</c:v>
                </c:pt>
                <c:pt idx="33">
                  <c:v>165.33038389999999</c:v>
                </c:pt>
                <c:pt idx="34">
                  <c:v>169.60810889999999</c:v>
                </c:pt>
                <c:pt idx="35">
                  <c:v>173.84794350000001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B-4BFF-9D6E-7891C58785EB}"/>
            </c:ext>
          </c:extLst>
        </c:ser>
        <c:ser>
          <c:idx val="1"/>
          <c:order val="1"/>
          <c:tx>
            <c:strRef>
              <c:f>Données!$B$381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Données!$C$381:$AL$381</c:f>
              <c:numCache>
                <c:formatCode>#,##0</c:formatCode>
                <c:ptCount val="36"/>
                <c:pt idx="0">
                  <c:v>68.80476281</c:v>
                </c:pt>
                <c:pt idx="1">
                  <c:v>75.564438429999996</c:v>
                </c:pt>
                <c:pt idx="2">
                  <c:v>81.149063909999995</c:v>
                </c:pt>
                <c:pt idx="3">
                  <c:v>85.943075129999997</c:v>
                </c:pt>
                <c:pt idx="4">
                  <c:v>90.419673419999995</c:v>
                </c:pt>
                <c:pt idx="5">
                  <c:v>94.821297830000006</c:v>
                </c:pt>
                <c:pt idx="6">
                  <c:v>98.681995229999998</c:v>
                </c:pt>
                <c:pt idx="7">
                  <c:v>102.7684896</c:v>
                </c:pt>
                <c:pt idx="8">
                  <c:v>107.2785799</c:v>
                </c:pt>
                <c:pt idx="9">
                  <c:v>112.5806486</c:v>
                </c:pt>
                <c:pt idx="10">
                  <c:v>119.02852559999999</c:v>
                </c:pt>
                <c:pt idx="11">
                  <c:v>125.1316916</c:v>
                </c:pt>
                <c:pt idx="12">
                  <c:v>132.04581870000001</c:v>
                </c:pt>
                <c:pt idx="13">
                  <c:v>139.53871090000001</c:v>
                </c:pt>
                <c:pt idx="14">
                  <c:v>147.32515459999999</c:v>
                </c:pt>
                <c:pt idx="15">
                  <c:v>155.21064419999999</c:v>
                </c:pt>
                <c:pt idx="16">
                  <c:v>163.10030040000001</c:v>
                </c:pt>
                <c:pt idx="17">
                  <c:v>170.96561489999999</c:v>
                </c:pt>
                <c:pt idx="18">
                  <c:v>178.81234069999999</c:v>
                </c:pt>
                <c:pt idx="19">
                  <c:v>186.65889139999999</c:v>
                </c:pt>
                <c:pt idx="20">
                  <c:v>193.84094039999999</c:v>
                </c:pt>
                <c:pt idx="21">
                  <c:v>201.7532933</c:v>
                </c:pt>
                <c:pt idx="22">
                  <c:v>209.72219670000001</c:v>
                </c:pt>
                <c:pt idx="23">
                  <c:v>217.74438000000001</c:v>
                </c:pt>
                <c:pt idx="24">
                  <c:v>225.80349480000001</c:v>
                </c:pt>
                <c:pt idx="25">
                  <c:v>232.0103421</c:v>
                </c:pt>
                <c:pt idx="26">
                  <c:v>239.23406069999999</c:v>
                </c:pt>
                <c:pt idx="27">
                  <c:v>246.49059360000001</c:v>
                </c:pt>
                <c:pt idx="28">
                  <c:v>253.7865639</c:v>
                </c:pt>
                <c:pt idx="29">
                  <c:v>261.12243109999997</c:v>
                </c:pt>
                <c:pt idx="30">
                  <c:v>268.4919812</c:v>
                </c:pt>
                <c:pt idx="31">
                  <c:v>275.88356520000002</c:v>
                </c:pt>
                <c:pt idx="32">
                  <c:v>283.28156899999999</c:v>
                </c:pt>
                <c:pt idx="33">
                  <c:v>290.66769779999998</c:v>
                </c:pt>
                <c:pt idx="34">
                  <c:v>298.02502459999999</c:v>
                </c:pt>
                <c:pt idx="35">
                  <c:v>305.34133689999999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6B-4BFF-9D6E-7891C58785EB}"/>
            </c:ext>
          </c:extLst>
        </c:ser>
        <c:ser>
          <c:idx val="2"/>
          <c:order val="2"/>
          <c:tx>
            <c:strRef>
              <c:f>Données!$B$382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Données!$C$382:$AL$382</c:f>
              <c:numCache>
                <c:formatCode>#,##0</c:formatCode>
                <c:ptCount val="36"/>
                <c:pt idx="0">
                  <c:v>408.28039699999999</c:v>
                </c:pt>
                <c:pt idx="1">
                  <c:v>423.16628309999999</c:v>
                </c:pt>
                <c:pt idx="2">
                  <c:v>436.78217960000001</c:v>
                </c:pt>
                <c:pt idx="3">
                  <c:v>448.99166509999998</c:v>
                </c:pt>
                <c:pt idx="4">
                  <c:v>460.63421290000002</c:v>
                </c:pt>
                <c:pt idx="5">
                  <c:v>472.16333409999999</c:v>
                </c:pt>
                <c:pt idx="6">
                  <c:v>482.13761540000002</c:v>
                </c:pt>
                <c:pt idx="7">
                  <c:v>492.6020082</c:v>
                </c:pt>
                <c:pt idx="8">
                  <c:v>503.98830170000002</c:v>
                </c:pt>
                <c:pt idx="9">
                  <c:v>517.12044109999999</c:v>
                </c:pt>
                <c:pt idx="10">
                  <c:v>531.45723080000005</c:v>
                </c:pt>
                <c:pt idx="11">
                  <c:v>542.86396000000002</c:v>
                </c:pt>
                <c:pt idx="12">
                  <c:v>554.79422469999997</c:v>
                </c:pt>
                <c:pt idx="13">
                  <c:v>567.19032890000005</c:v>
                </c:pt>
                <c:pt idx="14">
                  <c:v>579.84199899999999</c:v>
                </c:pt>
                <c:pt idx="15">
                  <c:v>592.58667969999999</c:v>
                </c:pt>
                <c:pt idx="16">
                  <c:v>605.34230830000001</c:v>
                </c:pt>
                <c:pt idx="17">
                  <c:v>618.08481759999995</c:v>
                </c:pt>
                <c:pt idx="18">
                  <c:v>630.8209018</c:v>
                </c:pt>
                <c:pt idx="19">
                  <c:v>643.56859420000001</c:v>
                </c:pt>
                <c:pt idx="20">
                  <c:v>654.42061309999997</c:v>
                </c:pt>
                <c:pt idx="21">
                  <c:v>667.25055120000002</c:v>
                </c:pt>
                <c:pt idx="22">
                  <c:v>680.14590190000001</c:v>
                </c:pt>
                <c:pt idx="23">
                  <c:v>693.1029297</c:v>
                </c:pt>
                <c:pt idx="24">
                  <c:v>706.10515659999999</c:v>
                </c:pt>
                <c:pt idx="25">
                  <c:v>713.87262350000003</c:v>
                </c:pt>
                <c:pt idx="26">
                  <c:v>724.45071210000003</c:v>
                </c:pt>
                <c:pt idx="27">
                  <c:v>735.05864919999999</c:v>
                </c:pt>
                <c:pt idx="28">
                  <c:v>745.70209880000004</c:v>
                </c:pt>
                <c:pt idx="29">
                  <c:v>756.3808659</c:v>
                </c:pt>
                <c:pt idx="30">
                  <c:v>767.08842240000001</c:v>
                </c:pt>
                <c:pt idx="31">
                  <c:v>777.81311800000003</c:v>
                </c:pt>
                <c:pt idx="32">
                  <c:v>788.53961809999998</c:v>
                </c:pt>
                <c:pt idx="33">
                  <c:v>799.25018699999998</c:v>
                </c:pt>
                <c:pt idx="34">
                  <c:v>809.92856099999995</c:v>
                </c:pt>
                <c:pt idx="35">
                  <c:v>820.56312349999996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6B-4BFF-9D6E-7891C58785EB}"/>
            </c:ext>
          </c:extLst>
        </c:ser>
        <c:ser>
          <c:idx val="3"/>
          <c:order val="3"/>
          <c:tx>
            <c:strRef>
              <c:f>Données!$B$383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Données!$C$383:$AL$383</c:f>
              <c:numCache>
                <c:formatCode>#,##0</c:formatCode>
                <c:ptCount val="36"/>
                <c:pt idx="0">
                  <c:v>954.38155940000001</c:v>
                </c:pt>
                <c:pt idx="1">
                  <c:v>949.5560868</c:v>
                </c:pt>
                <c:pt idx="2">
                  <c:v>946.45585149999999</c:v>
                </c:pt>
                <c:pt idx="3">
                  <c:v>944.02171710000005</c:v>
                </c:pt>
                <c:pt idx="4">
                  <c:v>941.77160570000001</c:v>
                </c:pt>
                <c:pt idx="5">
                  <c:v>939.48538580000002</c:v>
                </c:pt>
                <c:pt idx="6">
                  <c:v>937.0459108</c:v>
                </c:pt>
                <c:pt idx="7">
                  <c:v>934.36407020000001</c:v>
                </c:pt>
                <c:pt idx="8">
                  <c:v>931.32350299999996</c:v>
                </c:pt>
                <c:pt idx="9">
                  <c:v>927.67296280000005</c:v>
                </c:pt>
                <c:pt idx="10">
                  <c:v>922.69675370000004</c:v>
                </c:pt>
                <c:pt idx="11">
                  <c:v>915.89020789999995</c:v>
                </c:pt>
                <c:pt idx="12">
                  <c:v>907.26037129999997</c:v>
                </c:pt>
                <c:pt idx="13">
                  <c:v>897.34651959999997</c:v>
                </c:pt>
                <c:pt idx="14">
                  <c:v>886.75118239999995</c:v>
                </c:pt>
                <c:pt idx="15">
                  <c:v>875.89489360000005</c:v>
                </c:pt>
                <c:pt idx="16">
                  <c:v>864.99854400000004</c:v>
                </c:pt>
                <c:pt idx="17">
                  <c:v>854.14450950000003</c:v>
                </c:pt>
                <c:pt idx="18">
                  <c:v>843.33915830000001</c:v>
                </c:pt>
                <c:pt idx="19">
                  <c:v>832.55686939999998</c:v>
                </c:pt>
                <c:pt idx="20">
                  <c:v>821.75980679999998</c:v>
                </c:pt>
                <c:pt idx="21">
                  <c:v>810.90773119999994</c:v>
                </c:pt>
                <c:pt idx="22">
                  <c:v>799.97929769999996</c:v>
                </c:pt>
                <c:pt idx="23">
                  <c:v>788.97823189999997</c:v>
                </c:pt>
                <c:pt idx="24">
                  <c:v>777.93212319999998</c:v>
                </c:pt>
                <c:pt idx="25">
                  <c:v>766.8666379</c:v>
                </c:pt>
                <c:pt idx="26">
                  <c:v>755.77681029999997</c:v>
                </c:pt>
                <c:pt idx="27">
                  <c:v>744.64821919999997</c:v>
                </c:pt>
                <c:pt idx="28">
                  <c:v>733.46951609999996</c:v>
                </c:pt>
                <c:pt idx="29">
                  <c:v>722.23964120000005</c:v>
                </c:pt>
                <c:pt idx="30">
                  <c:v>710.96930239999995</c:v>
                </c:pt>
                <c:pt idx="31">
                  <c:v>699.67905949999999</c:v>
                </c:pt>
                <c:pt idx="32">
                  <c:v>688.39671120000003</c:v>
                </c:pt>
                <c:pt idx="33">
                  <c:v>677.15490150000005</c:v>
                </c:pt>
                <c:pt idx="34">
                  <c:v>665.98430529999996</c:v>
                </c:pt>
                <c:pt idx="35">
                  <c:v>654.90766299999996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6B-4BFF-9D6E-7891C58785EB}"/>
            </c:ext>
          </c:extLst>
        </c:ser>
        <c:ser>
          <c:idx val="4"/>
          <c:order val="4"/>
          <c:tx>
            <c:strRef>
              <c:f>Données!$B$384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Données!$C$384:$AL$384</c:f>
              <c:numCache>
                <c:formatCode>#,##0</c:formatCode>
                <c:ptCount val="36"/>
                <c:pt idx="0">
                  <c:v>878.79999729999997</c:v>
                </c:pt>
                <c:pt idx="1">
                  <c:v>868.61704910000003</c:v>
                </c:pt>
                <c:pt idx="2">
                  <c:v>859.85198549999996</c:v>
                </c:pt>
                <c:pt idx="3">
                  <c:v>852.22813329999997</c:v>
                </c:pt>
                <c:pt idx="4">
                  <c:v>845.34785380000005</c:v>
                </c:pt>
                <c:pt idx="5">
                  <c:v>838.89406829999996</c:v>
                </c:pt>
                <c:pt idx="6">
                  <c:v>832.61473320000005</c:v>
                </c:pt>
                <c:pt idx="7">
                  <c:v>826.26335289999997</c:v>
                </c:pt>
                <c:pt idx="8">
                  <c:v>819.50252039999998</c:v>
                </c:pt>
                <c:pt idx="9">
                  <c:v>811.70494989999997</c:v>
                </c:pt>
                <c:pt idx="10">
                  <c:v>805.29440550000004</c:v>
                </c:pt>
                <c:pt idx="11">
                  <c:v>799.75321970000005</c:v>
                </c:pt>
                <c:pt idx="12">
                  <c:v>794.70104619999995</c:v>
                </c:pt>
                <c:pt idx="13">
                  <c:v>789.92168470000001</c:v>
                </c:pt>
                <c:pt idx="14">
                  <c:v>785.29807730000005</c:v>
                </c:pt>
                <c:pt idx="15">
                  <c:v>780.76783690000002</c:v>
                </c:pt>
                <c:pt idx="16">
                  <c:v>776.29787190000002</c:v>
                </c:pt>
                <c:pt idx="17">
                  <c:v>771.87061630000005</c:v>
                </c:pt>
                <c:pt idx="18">
                  <c:v>767.47670330000005</c:v>
                </c:pt>
                <c:pt idx="19">
                  <c:v>763.11110889999998</c:v>
                </c:pt>
                <c:pt idx="20">
                  <c:v>758.77108080000005</c:v>
                </c:pt>
                <c:pt idx="21">
                  <c:v>754.45479620000003</c:v>
                </c:pt>
                <c:pt idx="22">
                  <c:v>750.16171810000003</c:v>
                </c:pt>
                <c:pt idx="23">
                  <c:v>745.89149680000003</c:v>
                </c:pt>
                <c:pt idx="24">
                  <c:v>741.64404139999999</c:v>
                </c:pt>
                <c:pt idx="25">
                  <c:v>737.41927390000001</c:v>
                </c:pt>
                <c:pt idx="26">
                  <c:v>733.21623669999997</c:v>
                </c:pt>
                <c:pt idx="27">
                  <c:v>729.03512330000001</c:v>
                </c:pt>
                <c:pt idx="28">
                  <c:v>724.87583649999999</c:v>
                </c:pt>
                <c:pt idx="29">
                  <c:v>720.73836610000001</c:v>
                </c:pt>
                <c:pt idx="30">
                  <c:v>716.62276450000002</c:v>
                </c:pt>
                <c:pt idx="31">
                  <c:v>712.52911779999999</c:v>
                </c:pt>
                <c:pt idx="32">
                  <c:v>708.45752919999995</c:v>
                </c:pt>
                <c:pt idx="33">
                  <c:v>704.40811069999995</c:v>
                </c:pt>
                <c:pt idx="34">
                  <c:v>700.38094650000005</c:v>
                </c:pt>
                <c:pt idx="35">
                  <c:v>696.3760747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6B-4BFF-9D6E-7891C58785EB}"/>
            </c:ext>
          </c:extLst>
        </c:ser>
        <c:ser>
          <c:idx val="5"/>
          <c:order val="5"/>
          <c:tx>
            <c:strRef>
              <c:f>Données!$B$385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Données!$C$385:$AL$385</c:f>
              <c:numCache>
                <c:formatCode>#,##0</c:formatCode>
                <c:ptCount val="36"/>
                <c:pt idx="0">
                  <c:v>139.85209269999999</c:v>
                </c:pt>
                <c:pt idx="1">
                  <c:v>137.93459580000001</c:v>
                </c:pt>
                <c:pt idx="2">
                  <c:v>136.0108396</c:v>
                </c:pt>
                <c:pt idx="3">
                  <c:v>134.10192330000001</c:v>
                </c:pt>
                <c:pt idx="4">
                  <c:v>132.22446170000001</c:v>
                </c:pt>
                <c:pt idx="5">
                  <c:v>130.3881542</c:v>
                </c:pt>
                <c:pt idx="6">
                  <c:v>128.59604289999999</c:v>
                </c:pt>
                <c:pt idx="7">
                  <c:v>126.84644590000001</c:v>
                </c:pt>
                <c:pt idx="8">
                  <c:v>125.1352256</c:v>
                </c:pt>
                <c:pt idx="9">
                  <c:v>123.4575146</c:v>
                </c:pt>
                <c:pt idx="10">
                  <c:v>121.80881340000001</c:v>
                </c:pt>
                <c:pt idx="11">
                  <c:v>120.18569429999999</c:v>
                </c:pt>
                <c:pt idx="12">
                  <c:v>118.58534779999999</c:v>
                </c:pt>
                <c:pt idx="13">
                  <c:v>117.0055679</c:v>
                </c:pt>
                <c:pt idx="14">
                  <c:v>115.44470990000001</c:v>
                </c:pt>
                <c:pt idx="15">
                  <c:v>113.9016086</c:v>
                </c:pt>
                <c:pt idx="16">
                  <c:v>112.3754927</c:v>
                </c:pt>
                <c:pt idx="17">
                  <c:v>110.86590990000001</c:v>
                </c:pt>
                <c:pt idx="18">
                  <c:v>109.3726637</c:v>
                </c:pt>
                <c:pt idx="19">
                  <c:v>107.895758</c:v>
                </c:pt>
                <c:pt idx="20">
                  <c:v>106.4353163</c:v>
                </c:pt>
                <c:pt idx="21">
                  <c:v>104.9915515</c:v>
                </c:pt>
                <c:pt idx="22">
                  <c:v>103.5647872</c:v>
                </c:pt>
                <c:pt idx="23">
                  <c:v>102.15538909999999</c:v>
                </c:pt>
                <c:pt idx="24">
                  <c:v>100.76371349999999</c:v>
                </c:pt>
                <c:pt idx="25">
                  <c:v>99.390001040000001</c:v>
                </c:pt>
                <c:pt idx="26">
                  <c:v>98.034366739999996</c:v>
                </c:pt>
                <c:pt idx="27">
                  <c:v>96.69692981</c:v>
                </c:pt>
                <c:pt idx="28">
                  <c:v>95.377795340000006</c:v>
                </c:pt>
                <c:pt idx="29">
                  <c:v>94.07703291</c:v>
                </c:pt>
                <c:pt idx="30">
                  <c:v>92.794663330000006</c:v>
                </c:pt>
                <c:pt idx="31">
                  <c:v>91.530651120000002</c:v>
                </c:pt>
                <c:pt idx="32">
                  <c:v>90.28489845</c:v>
                </c:pt>
                <c:pt idx="33">
                  <c:v>89.057235430000006</c:v>
                </c:pt>
                <c:pt idx="34">
                  <c:v>87.847426839999997</c:v>
                </c:pt>
                <c:pt idx="35">
                  <c:v>86.655184719999994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6B-4BFF-9D6E-7891C58785EB}"/>
            </c:ext>
          </c:extLst>
        </c:ser>
        <c:ser>
          <c:idx val="6"/>
          <c:order val="6"/>
          <c:tx>
            <c:strRef>
              <c:f>Données!$B$386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Données!$C$386:$AL$386</c:f>
              <c:numCache>
                <c:formatCode>#,##0</c:formatCode>
                <c:ptCount val="36"/>
                <c:pt idx="0">
                  <c:v>3.874567114</c:v>
                </c:pt>
                <c:pt idx="1">
                  <c:v>3.7230967220000002</c:v>
                </c:pt>
                <c:pt idx="2">
                  <c:v>3.5754166349999998</c:v>
                </c:pt>
                <c:pt idx="3">
                  <c:v>3.433015648</c:v>
                </c:pt>
                <c:pt idx="4">
                  <c:v>3.2969015559999999</c:v>
                </c:pt>
                <c:pt idx="5">
                  <c:v>3.1675121509999999</c:v>
                </c:pt>
                <c:pt idx="6">
                  <c:v>3.0447906800000002</c:v>
                </c:pt>
                <c:pt idx="7">
                  <c:v>2.9283571880000001</c:v>
                </c:pt>
                <c:pt idx="8">
                  <c:v>2.8176860559999999</c:v>
                </c:pt>
                <c:pt idx="9">
                  <c:v>2.7122332029999998</c:v>
                </c:pt>
                <c:pt idx="10">
                  <c:v>2.6115123100000002</c:v>
                </c:pt>
                <c:pt idx="11">
                  <c:v>2.5151169759999998</c:v>
                </c:pt>
                <c:pt idx="12">
                  <c:v>2.4227058010000002</c:v>
                </c:pt>
                <c:pt idx="13">
                  <c:v>2.3339959779999999</c:v>
                </c:pt>
                <c:pt idx="14">
                  <c:v>2.2487547530000001</c:v>
                </c:pt>
                <c:pt idx="15">
                  <c:v>2.1667893920000001</c:v>
                </c:pt>
                <c:pt idx="16">
                  <c:v>2.0879383809999998</c:v>
                </c:pt>
                <c:pt idx="17">
                  <c:v>2.0120644369999998</c:v>
                </c:pt>
                <c:pt idx="18">
                  <c:v>1.939049048</c:v>
                </c:pt>
                <c:pt idx="19">
                  <c:v>1.868788052</c:v>
                </c:pt>
                <c:pt idx="20">
                  <c:v>1.801186336</c:v>
                </c:pt>
                <c:pt idx="21">
                  <c:v>1.736155683</c:v>
                </c:pt>
                <c:pt idx="22">
                  <c:v>1.673615552</c:v>
                </c:pt>
                <c:pt idx="23">
                  <c:v>1.61348954</c:v>
                </c:pt>
                <c:pt idx="24">
                  <c:v>1.5557029229999999</c:v>
                </c:pt>
                <c:pt idx="25">
                  <c:v>1.500177815</c:v>
                </c:pt>
                <c:pt idx="26">
                  <c:v>1.4468330279999999</c:v>
                </c:pt>
                <c:pt idx="27">
                  <c:v>1.395590264</c:v>
                </c:pt>
                <c:pt idx="28">
                  <c:v>1.346373633</c:v>
                </c:pt>
                <c:pt idx="29">
                  <c:v>1.2991088989999999</c:v>
                </c:pt>
                <c:pt idx="30">
                  <c:v>1.2537230239999999</c:v>
                </c:pt>
                <c:pt idx="31">
                  <c:v>1.2101439380000001</c:v>
                </c:pt>
                <c:pt idx="32">
                  <c:v>1.1683004400000001</c:v>
                </c:pt>
                <c:pt idx="33">
                  <c:v>1.12812201</c:v>
                </c:pt>
                <c:pt idx="34">
                  <c:v>1.0895390680000001</c:v>
                </c:pt>
                <c:pt idx="35">
                  <c:v>1.0524833309999999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6B-4BFF-9D6E-7891C5878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Buildings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Données!$B$371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Données!$C$371:$AL$371</c:f>
              <c:numCache>
                <c:formatCode>#,##0</c:formatCode>
                <c:ptCount val="36"/>
                <c:pt idx="0">
                  <c:v>3.476542051</c:v>
                </c:pt>
                <c:pt idx="1">
                  <c:v>6.2772806750000001</c:v>
                </c:pt>
                <c:pt idx="2">
                  <c:v>11.80238196</c:v>
                </c:pt>
                <c:pt idx="3">
                  <c:v>17.890060200000001</c:v>
                </c:pt>
                <c:pt idx="4">
                  <c:v>23.845427480000001</c:v>
                </c:pt>
                <c:pt idx="5">
                  <c:v>29.27281773</c:v>
                </c:pt>
                <c:pt idx="6">
                  <c:v>33.186749450000001</c:v>
                </c:pt>
                <c:pt idx="7">
                  <c:v>38.16050319</c:v>
                </c:pt>
                <c:pt idx="8">
                  <c:v>43.806886210000002</c:v>
                </c:pt>
                <c:pt idx="9">
                  <c:v>49.795081000000003</c:v>
                </c:pt>
                <c:pt idx="10">
                  <c:v>55.992995299999997</c:v>
                </c:pt>
                <c:pt idx="11">
                  <c:v>62.237648290000003</c:v>
                </c:pt>
                <c:pt idx="12">
                  <c:v>68.528272680000001</c:v>
                </c:pt>
                <c:pt idx="13">
                  <c:v>74.842592679999996</c:v>
                </c:pt>
                <c:pt idx="14">
                  <c:v>81.168009490000003</c:v>
                </c:pt>
                <c:pt idx="15">
                  <c:v>87.497199379999998</c:v>
                </c:pt>
                <c:pt idx="16">
                  <c:v>93.826115549999997</c:v>
                </c:pt>
                <c:pt idx="17">
                  <c:v>100.152895</c:v>
                </c:pt>
                <c:pt idx="18">
                  <c:v>106.4756526</c:v>
                </c:pt>
                <c:pt idx="19">
                  <c:v>112.79271919999999</c:v>
                </c:pt>
                <c:pt idx="20">
                  <c:v>119.0761621</c:v>
                </c:pt>
                <c:pt idx="21">
                  <c:v>125.37737629999999</c:v>
                </c:pt>
                <c:pt idx="22">
                  <c:v>131.6687019</c:v>
                </c:pt>
                <c:pt idx="23">
                  <c:v>137.94884740000001</c:v>
                </c:pt>
                <c:pt idx="24">
                  <c:v>144.21651069999999</c:v>
                </c:pt>
                <c:pt idx="25">
                  <c:v>150.39821040000001</c:v>
                </c:pt>
                <c:pt idx="26">
                  <c:v>156.60278400000001</c:v>
                </c:pt>
                <c:pt idx="27">
                  <c:v>162.79056750000001</c:v>
                </c:pt>
                <c:pt idx="28">
                  <c:v>168.96027950000001</c:v>
                </c:pt>
                <c:pt idx="29">
                  <c:v>175.110716</c:v>
                </c:pt>
                <c:pt idx="30">
                  <c:v>181.2407704</c:v>
                </c:pt>
                <c:pt idx="31">
                  <c:v>187.34945339999999</c:v>
                </c:pt>
                <c:pt idx="32">
                  <c:v>193.43588439999999</c:v>
                </c:pt>
                <c:pt idx="33">
                  <c:v>199.49940720000001</c:v>
                </c:pt>
                <c:pt idx="34">
                  <c:v>205.53955060000001</c:v>
                </c:pt>
                <c:pt idx="35">
                  <c:v>211.5560002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F-4D83-A0F0-AAB37D9DB6AC}"/>
            </c:ext>
          </c:extLst>
        </c:ser>
        <c:ser>
          <c:idx val="1"/>
          <c:order val="1"/>
          <c:tx>
            <c:strRef>
              <c:f>Données!$B$372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Données!$C$372:$AL$372</c:f>
              <c:numCache>
                <c:formatCode>#,##0</c:formatCode>
                <c:ptCount val="36"/>
                <c:pt idx="0">
                  <c:v>68.80476281</c:v>
                </c:pt>
                <c:pt idx="1">
                  <c:v>76.373641719999995</c:v>
                </c:pt>
                <c:pt idx="2">
                  <c:v>82.196093480000002</c:v>
                </c:pt>
                <c:pt idx="3">
                  <c:v>87.058392029999993</c:v>
                </c:pt>
                <c:pt idx="4">
                  <c:v>91.604372229999996</c:v>
                </c:pt>
                <c:pt idx="5">
                  <c:v>96.247249359999998</c:v>
                </c:pt>
                <c:pt idx="6">
                  <c:v>101.1416002</c:v>
                </c:pt>
                <c:pt idx="7">
                  <c:v>105.30223650000001</c:v>
                </c:pt>
                <c:pt idx="8">
                  <c:v>108.91258740000001</c:v>
                </c:pt>
                <c:pt idx="9">
                  <c:v>112.19876379999999</c:v>
                </c:pt>
                <c:pt idx="10">
                  <c:v>116.3386134</c:v>
                </c:pt>
                <c:pt idx="11">
                  <c:v>119.3375441</c:v>
                </c:pt>
                <c:pt idx="12">
                  <c:v>122.2736031</c:v>
                </c:pt>
                <c:pt idx="13">
                  <c:v>125.17213649999999</c:v>
                </c:pt>
                <c:pt idx="14">
                  <c:v>128.04817199999999</c:v>
                </c:pt>
                <c:pt idx="15">
                  <c:v>130.91075570000001</c:v>
                </c:pt>
                <c:pt idx="16">
                  <c:v>133.76521990000001</c:v>
                </c:pt>
                <c:pt idx="17">
                  <c:v>136.61441160000001</c:v>
                </c:pt>
                <c:pt idx="18">
                  <c:v>139.46043800000001</c:v>
                </c:pt>
                <c:pt idx="19">
                  <c:v>142.30478009999999</c:v>
                </c:pt>
                <c:pt idx="20">
                  <c:v>144.4614134</c:v>
                </c:pt>
                <c:pt idx="21">
                  <c:v>147.30311549999999</c:v>
                </c:pt>
                <c:pt idx="22">
                  <c:v>150.14535799999999</c:v>
                </c:pt>
                <c:pt idx="23">
                  <c:v>152.98828779999999</c:v>
                </c:pt>
                <c:pt idx="24">
                  <c:v>155.83190540000001</c:v>
                </c:pt>
                <c:pt idx="25">
                  <c:v>156.80074089999999</c:v>
                </c:pt>
                <c:pt idx="26">
                  <c:v>158.75954469999999</c:v>
                </c:pt>
                <c:pt idx="27">
                  <c:v>160.7152183</c:v>
                </c:pt>
                <c:pt idx="28">
                  <c:v>162.6678933</c:v>
                </c:pt>
                <c:pt idx="29">
                  <c:v>164.61756639999999</c:v>
                </c:pt>
                <c:pt idx="30">
                  <c:v>166.56418049999999</c:v>
                </c:pt>
                <c:pt idx="31">
                  <c:v>168.50768830000001</c:v>
                </c:pt>
                <c:pt idx="32">
                  <c:v>170.4481231</c:v>
                </c:pt>
                <c:pt idx="33">
                  <c:v>172.38549459999999</c:v>
                </c:pt>
                <c:pt idx="34">
                  <c:v>174.31983930000001</c:v>
                </c:pt>
                <c:pt idx="35">
                  <c:v>176.251237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F-4D83-A0F0-AAB37D9DB6AC}"/>
            </c:ext>
          </c:extLst>
        </c:ser>
        <c:ser>
          <c:idx val="2"/>
          <c:order val="2"/>
          <c:tx>
            <c:strRef>
              <c:f>Données!$B$373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Données!$C$373:$AL$373</c:f>
              <c:numCache>
                <c:formatCode>#,##0</c:formatCode>
                <c:ptCount val="36"/>
                <c:pt idx="0">
                  <c:v>408.28039699999999</c:v>
                </c:pt>
                <c:pt idx="1">
                  <c:v>424.40206000000001</c:v>
                </c:pt>
                <c:pt idx="2">
                  <c:v>438.4699506</c:v>
                </c:pt>
                <c:pt idx="3">
                  <c:v>450.91325569999998</c:v>
                </c:pt>
                <c:pt idx="4">
                  <c:v>462.85212080000002</c:v>
                </c:pt>
                <c:pt idx="5">
                  <c:v>475.07029890000001</c:v>
                </c:pt>
                <c:pt idx="6">
                  <c:v>487.26280120000001</c:v>
                </c:pt>
                <c:pt idx="7">
                  <c:v>498.01896149999999</c:v>
                </c:pt>
                <c:pt idx="8">
                  <c:v>507.61299380000003</c:v>
                </c:pt>
                <c:pt idx="9">
                  <c:v>516.51537729999995</c:v>
                </c:pt>
                <c:pt idx="10">
                  <c:v>527.93913220000002</c:v>
                </c:pt>
                <c:pt idx="11">
                  <c:v>536.23189879999995</c:v>
                </c:pt>
                <c:pt idx="12">
                  <c:v>544.39093390000005</c:v>
                </c:pt>
                <c:pt idx="13">
                  <c:v>552.47067760000004</c:v>
                </c:pt>
                <c:pt idx="14">
                  <c:v>560.50370889999999</c:v>
                </c:pt>
                <c:pt idx="15">
                  <c:v>568.50984960000005</c:v>
                </c:pt>
                <c:pt idx="16">
                  <c:v>576.50088170000004</c:v>
                </c:pt>
                <c:pt idx="17">
                  <c:v>584.4830528</c:v>
                </c:pt>
                <c:pt idx="18">
                  <c:v>592.46103819999996</c:v>
                </c:pt>
                <c:pt idx="19">
                  <c:v>600.43811219999998</c:v>
                </c:pt>
                <c:pt idx="20">
                  <c:v>606.48747189999995</c:v>
                </c:pt>
                <c:pt idx="21">
                  <c:v>614.46268650000002</c:v>
                </c:pt>
                <c:pt idx="22">
                  <c:v>622.44168420000005</c:v>
                </c:pt>
                <c:pt idx="23">
                  <c:v>630.42459329999997</c:v>
                </c:pt>
                <c:pt idx="24">
                  <c:v>638.41119300000003</c:v>
                </c:pt>
                <c:pt idx="25">
                  <c:v>641.13552019999997</c:v>
                </c:pt>
                <c:pt idx="26">
                  <c:v>646.63993970000001</c:v>
                </c:pt>
                <c:pt idx="27">
                  <c:v>652.13621269999999</c:v>
                </c:pt>
                <c:pt idx="28">
                  <c:v>657.62450060000003</c:v>
                </c:pt>
                <c:pt idx="29">
                  <c:v>663.10464460000003</c:v>
                </c:pt>
                <c:pt idx="30">
                  <c:v>668.57637550000004</c:v>
                </c:pt>
                <c:pt idx="31">
                  <c:v>674.03948160000004</c:v>
                </c:pt>
                <c:pt idx="32">
                  <c:v>679.49398399999995</c:v>
                </c:pt>
                <c:pt idx="33">
                  <c:v>684.93987519999996</c:v>
                </c:pt>
                <c:pt idx="34">
                  <c:v>690.37724019999996</c:v>
                </c:pt>
                <c:pt idx="35">
                  <c:v>695.80629320000003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F-4D83-A0F0-AAB37D9DB6AC}"/>
            </c:ext>
          </c:extLst>
        </c:ser>
        <c:ser>
          <c:idx val="3"/>
          <c:order val="3"/>
          <c:tx>
            <c:strRef>
              <c:f>Données!$B$374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Données!$C$374:$AL$374</c:f>
              <c:numCache>
                <c:formatCode>#,##0</c:formatCode>
                <c:ptCount val="36"/>
                <c:pt idx="0">
                  <c:v>954.38155940000001</c:v>
                </c:pt>
                <c:pt idx="1">
                  <c:v>948.7629723</c:v>
                </c:pt>
                <c:pt idx="2">
                  <c:v>945.11127590000001</c:v>
                </c:pt>
                <c:pt idx="3">
                  <c:v>942.22732129999997</c:v>
                </c:pt>
                <c:pt idx="4">
                  <c:v>939.5436962</c:v>
                </c:pt>
                <c:pt idx="5">
                  <c:v>936.74349219999999</c:v>
                </c:pt>
                <c:pt idx="6">
                  <c:v>933.42798100000005</c:v>
                </c:pt>
                <c:pt idx="7">
                  <c:v>930.62771980000002</c:v>
                </c:pt>
                <c:pt idx="8">
                  <c:v>928.15075430000002</c:v>
                </c:pt>
                <c:pt idx="9">
                  <c:v>925.81525920000001</c:v>
                </c:pt>
                <c:pt idx="10">
                  <c:v>923.53643390000002</c:v>
                </c:pt>
                <c:pt idx="11">
                  <c:v>921.27998960000002</c:v>
                </c:pt>
                <c:pt idx="12">
                  <c:v>919.03050870000004</c:v>
                </c:pt>
                <c:pt idx="13">
                  <c:v>916.78016720000005</c:v>
                </c:pt>
                <c:pt idx="14">
                  <c:v>914.52437620000001</c:v>
                </c:pt>
                <c:pt idx="15">
                  <c:v>912.26019329999997</c:v>
                </c:pt>
                <c:pt idx="16">
                  <c:v>909.98581720000004</c:v>
                </c:pt>
                <c:pt idx="17">
                  <c:v>907.70034120000003</c:v>
                </c:pt>
                <c:pt idx="18">
                  <c:v>905.40315210000006</c:v>
                </c:pt>
                <c:pt idx="19">
                  <c:v>903.09404930000005</c:v>
                </c:pt>
                <c:pt idx="20">
                  <c:v>900.77316919999998</c:v>
                </c:pt>
                <c:pt idx="21">
                  <c:v>898.44063149999999</c:v>
                </c:pt>
                <c:pt idx="22">
                  <c:v>896.09764589999997</c:v>
                </c:pt>
                <c:pt idx="23">
                  <c:v>893.74564559999999</c:v>
                </c:pt>
                <c:pt idx="24">
                  <c:v>891.38633849999997</c:v>
                </c:pt>
                <c:pt idx="25">
                  <c:v>889.02125260000003</c:v>
                </c:pt>
                <c:pt idx="26">
                  <c:v>886.65055759999996</c:v>
                </c:pt>
                <c:pt idx="27">
                  <c:v>884.27550359999998</c:v>
                </c:pt>
                <c:pt idx="28">
                  <c:v>881.89739850000001</c:v>
                </c:pt>
                <c:pt idx="29">
                  <c:v>879.51776270000005</c:v>
                </c:pt>
                <c:pt idx="30">
                  <c:v>877.13813149999999</c:v>
                </c:pt>
                <c:pt idx="31">
                  <c:v>874.75989440000001</c:v>
                </c:pt>
                <c:pt idx="32">
                  <c:v>872.38417749999996</c:v>
                </c:pt>
                <c:pt idx="33">
                  <c:v>870.01191770000003</c:v>
                </c:pt>
                <c:pt idx="34">
                  <c:v>867.64379970000005</c:v>
                </c:pt>
                <c:pt idx="35">
                  <c:v>865.2802557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F-4D83-A0F0-AAB37D9DB6AC}"/>
            </c:ext>
          </c:extLst>
        </c:ser>
        <c:ser>
          <c:idx val="4"/>
          <c:order val="4"/>
          <c:tx>
            <c:strRef>
              <c:f>Données!$B$375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Données!$C$375:$AL$375</c:f>
              <c:numCache>
                <c:formatCode>#,##0</c:formatCode>
                <c:ptCount val="36"/>
                <c:pt idx="0">
                  <c:v>878.79999729999997</c:v>
                </c:pt>
                <c:pt idx="1">
                  <c:v>868.24190099999998</c:v>
                </c:pt>
                <c:pt idx="2">
                  <c:v>859.31049370000005</c:v>
                </c:pt>
                <c:pt idx="3">
                  <c:v>851.65156539999998</c:v>
                </c:pt>
                <c:pt idx="4">
                  <c:v>844.74742330000004</c:v>
                </c:pt>
                <c:pt idx="5">
                  <c:v>838.10504200000003</c:v>
                </c:pt>
                <c:pt idx="6">
                  <c:v>830.85550249999994</c:v>
                </c:pt>
                <c:pt idx="7">
                  <c:v>824.17685280000001</c:v>
                </c:pt>
                <c:pt idx="8">
                  <c:v>818.19579580000004</c:v>
                </c:pt>
                <c:pt idx="9">
                  <c:v>812.73415390000002</c:v>
                </c:pt>
                <c:pt idx="10">
                  <c:v>807.61538870000004</c:v>
                </c:pt>
                <c:pt idx="11">
                  <c:v>802.71715740000002</c:v>
                </c:pt>
                <c:pt idx="12">
                  <c:v>797.96228580000002</c:v>
                </c:pt>
                <c:pt idx="13">
                  <c:v>793.30396599999995</c:v>
                </c:pt>
                <c:pt idx="14">
                  <c:v>788.71411929999999</c:v>
                </c:pt>
                <c:pt idx="15">
                  <c:v>784.17597639999997</c:v>
                </c:pt>
                <c:pt idx="16">
                  <c:v>779.67956140000001</c:v>
                </c:pt>
                <c:pt idx="17">
                  <c:v>775.21922429999995</c:v>
                </c:pt>
                <c:pt idx="18">
                  <c:v>770.79134439999996</c:v>
                </c:pt>
                <c:pt idx="19">
                  <c:v>766.39356229999999</c:v>
                </c:pt>
                <c:pt idx="20">
                  <c:v>762.02428610000004</c:v>
                </c:pt>
                <c:pt idx="21">
                  <c:v>757.68213800000001</c:v>
                </c:pt>
                <c:pt idx="22">
                  <c:v>753.36669180000001</c:v>
                </c:pt>
                <c:pt idx="23">
                  <c:v>749.077583</c:v>
                </c:pt>
                <c:pt idx="24">
                  <c:v>744.81465079999998</c:v>
                </c:pt>
                <c:pt idx="25">
                  <c:v>740.57773169999996</c:v>
                </c:pt>
                <c:pt idx="26">
                  <c:v>736.36577450000004</c:v>
                </c:pt>
                <c:pt idx="27">
                  <c:v>732.17873359999999</c:v>
                </c:pt>
                <c:pt idx="28">
                  <c:v>728.01637979999998</c:v>
                </c:pt>
                <c:pt idx="29">
                  <c:v>723.87862029999997</c:v>
                </c:pt>
                <c:pt idx="30">
                  <c:v>719.76544139999999</c:v>
                </c:pt>
                <c:pt idx="31">
                  <c:v>715.67686549999996</c:v>
                </c:pt>
                <c:pt idx="32">
                  <c:v>711.61286189999998</c:v>
                </c:pt>
                <c:pt idx="33">
                  <c:v>707.57341440000005</c:v>
                </c:pt>
                <c:pt idx="34">
                  <c:v>703.55848590000005</c:v>
                </c:pt>
                <c:pt idx="35">
                  <c:v>699.56800190000001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F-4D83-A0F0-AAB37D9DB6AC}"/>
            </c:ext>
          </c:extLst>
        </c:ser>
        <c:ser>
          <c:idx val="5"/>
          <c:order val="5"/>
          <c:tx>
            <c:strRef>
              <c:f>Données!$B$376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Données!$C$376:$AL$376</c:f>
              <c:numCache>
                <c:formatCode>#,##0</c:formatCode>
                <c:ptCount val="36"/>
                <c:pt idx="0">
                  <c:v>139.85209269999999</c:v>
                </c:pt>
                <c:pt idx="1">
                  <c:v>137.9445575</c:v>
                </c:pt>
                <c:pt idx="2">
                  <c:v>136.04007129999999</c:v>
                </c:pt>
                <c:pt idx="3">
                  <c:v>134.15881429999999</c:v>
                </c:pt>
                <c:pt idx="4">
                  <c:v>132.3161254</c:v>
                </c:pt>
                <c:pt idx="5">
                  <c:v>130.52051449999999</c:v>
                </c:pt>
                <c:pt idx="6">
                  <c:v>128.77410860000001</c:v>
                </c:pt>
                <c:pt idx="7">
                  <c:v>127.0745821</c:v>
                </c:pt>
                <c:pt idx="8">
                  <c:v>125.4174149</c:v>
                </c:pt>
                <c:pt idx="9">
                  <c:v>123.7975252</c:v>
                </c:pt>
                <c:pt idx="10">
                  <c:v>122.210335</c:v>
                </c:pt>
                <c:pt idx="11">
                  <c:v>120.6521063</c:v>
                </c:pt>
                <c:pt idx="12">
                  <c:v>119.11999609999999</c:v>
                </c:pt>
                <c:pt idx="13">
                  <c:v>117.6115381</c:v>
                </c:pt>
                <c:pt idx="14">
                  <c:v>116.1247576</c:v>
                </c:pt>
                <c:pt idx="15">
                  <c:v>114.65814570000001</c:v>
                </c:pt>
                <c:pt idx="16">
                  <c:v>113.21069300000001</c:v>
                </c:pt>
                <c:pt idx="17">
                  <c:v>111.7819636</c:v>
                </c:pt>
                <c:pt idx="18">
                  <c:v>110.3715282</c:v>
                </c:pt>
                <c:pt idx="19">
                  <c:v>108.97908339999999</c:v>
                </c:pt>
                <c:pt idx="20">
                  <c:v>107.6044425</c:v>
                </c:pt>
                <c:pt idx="21">
                  <c:v>106.2475275</c:v>
                </c:pt>
                <c:pt idx="22">
                  <c:v>104.9083888</c:v>
                </c:pt>
                <c:pt idx="23">
                  <c:v>103.58715960000001</c:v>
                </c:pt>
                <c:pt idx="24">
                  <c:v>102.2839967</c:v>
                </c:pt>
                <c:pt idx="25">
                  <c:v>100.9989784</c:v>
                </c:pt>
                <c:pt idx="26">
                  <c:v>99.732047879999996</c:v>
                </c:pt>
                <c:pt idx="27">
                  <c:v>98.483076249999996</c:v>
                </c:pt>
                <c:pt idx="28">
                  <c:v>97.25207168</c:v>
                </c:pt>
                <c:pt idx="29">
                  <c:v>96.039066969999993</c:v>
                </c:pt>
                <c:pt idx="30">
                  <c:v>94.844066249999997</c:v>
                </c:pt>
                <c:pt idx="31">
                  <c:v>93.666998699999994</c:v>
                </c:pt>
                <c:pt idx="32">
                  <c:v>92.507689720000002</c:v>
                </c:pt>
                <c:pt idx="33">
                  <c:v>91.36596376</c:v>
                </c:pt>
                <c:pt idx="34">
                  <c:v>90.241612910000001</c:v>
                </c:pt>
                <c:pt idx="35">
                  <c:v>89.134388529999995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F-4D83-A0F0-AAB37D9DB6AC}"/>
            </c:ext>
          </c:extLst>
        </c:ser>
        <c:ser>
          <c:idx val="6"/>
          <c:order val="6"/>
          <c:tx>
            <c:strRef>
              <c:f>Données!$B$377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Données!$C$377:$AL$377</c:f>
              <c:numCache>
                <c:formatCode>#,##0</c:formatCode>
                <c:ptCount val="36"/>
                <c:pt idx="0">
                  <c:v>3.874567114</c:v>
                </c:pt>
                <c:pt idx="1">
                  <c:v>3.7239603300000002</c:v>
                </c:pt>
                <c:pt idx="2">
                  <c:v>3.5778396899999998</c:v>
                </c:pt>
                <c:pt idx="3">
                  <c:v>3.437575662</c:v>
                </c:pt>
                <c:pt idx="4">
                  <c:v>3.3040480329999999</c:v>
                </c:pt>
                <c:pt idx="5">
                  <c:v>3.1775851780000002</c:v>
                </c:pt>
                <c:pt idx="6">
                  <c:v>3.058046654</c:v>
                </c:pt>
                <c:pt idx="7">
                  <c:v>2.9449926070000001</c:v>
                </c:pt>
                <c:pt idx="8">
                  <c:v>2.8378447389999999</c:v>
                </c:pt>
                <c:pt idx="9">
                  <c:v>2.7360153170000001</c:v>
                </c:pt>
                <c:pt idx="10">
                  <c:v>2.6389829499999999</c:v>
                </c:pt>
                <c:pt idx="11">
                  <c:v>2.5463126049999998</c:v>
                </c:pt>
                <c:pt idx="12">
                  <c:v>2.4576519010000002</c:v>
                </c:pt>
                <c:pt idx="13">
                  <c:v>2.3726903670000001</c:v>
                </c:pt>
                <c:pt idx="14">
                  <c:v>2.2911645740000002</c:v>
                </c:pt>
                <c:pt idx="15">
                  <c:v>2.2128536560000001</c:v>
                </c:pt>
                <c:pt idx="16">
                  <c:v>2.1375794099999998</c:v>
                </c:pt>
                <c:pt idx="17">
                  <c:v>2.0652062020000002</c:v>
                </c:pt>
                <c:pt idx="18">
                  <c:v>1.9956034439999999</c:v>
                </c:pt>
                <c:pt idx="19">
                  <c:v>1.9286524789999999</c:v>
                </c:pt>
                <c:pt idx="20">
                  <c:v>1.8642454239999999</c:v>
                </c:pt>
                <c:pt idx="21">
                  <c:v>1.802284006</c:v>
                </c:pt>
                <c:pt idx="22">
                  <c:v>1.742680346</c:v>
                </c:pt>
                <c:pt idx="23">
                  <c:v>1.685354118</c:v>
                </c:pt>
                <c:pt idx="24">
                  <c:v>1.630229162</c:v>
                </c:pt>
                <c:pt idx="25">
                  <c:v>1.5772279119999999</c:v>
                </c:pt>
                <c:pt idx="26">
                  <c:v>1.5262683880000001</c:v>
                </c:pt>
                <c:pt idx="27">
                  <c:v>1.477268166</c:v>
                </c:pt>
                <c:pt idx="28">
                  <c:v>1.4301552259999999</c:v>
                </c:pt>
                <c:pt idx="29">
                  <c:v>1.3848620119999999</c:v>
                </c:pt>
                <c:pt idx="30">
                  <c:v>1.341322766</c:v>
                </c:pt>
                <c:pt idx="31">
                  <c:v>1.2994714000000001</c:v>
                </c:pt>
                <c:pt idx="32">
                  <c:v>1.2592403510000001</c:v>
                </c:pt>
                <c:pt idx="33">
                  <c:v>1.220565259</c:v>
                </c:pt>
                <c:pt idx="34">
                  <c:v>1.1833833410000001</c:v>
                </c:pt>
                <c:pt idx="35">
                  <c:v>1.1476329240000001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F-4D83-A0F0-AAB37D9DB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Données!$B$362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Données!$C$362:$AL$362</c:f>
              <c:numCache>
                <c:formatCode>#,##0</c:formatCode>
                <c:ptCount val="36"/>
                <c:pt idx="0">
                  <c:v>7105.9689965623002</c:v>
                </c:pt>
                <c:pt idx="1">
                  <c:v>7148.6079494165006</c:v>
                </c:pt>
                <c:pt idx="2">
                  <c:v>7237.0243034810001</c:v>
                </c:pt>
                <c:pt idx="3">
                  <c:v>7357.6224843331001</c:v>
                </c:pt>
                <c:pt idx="4">
                  <c:v>7501.1607292303006</c:v>
                </c:pt>
                <c:pt idx="5">
                  <c:v>7661.7348816950007</c:v>
                </c:pt>
                <c:pt idx="6">
                  <c:v>7834.4720628859995</c:v>
                </c:pt>
                <c:pt idx="7">
                  <c:v>8016.9314613470997</c:v>
                </c:pt>
                <c:pt idx="8">
                  <c:v>8207.3986379730995</c:v>
                </c:pt>
                <c:pt idx="9">
                  <c:v>8404.5681002229994</c:v>
                </c:pt>
                <c:pt idx="10">
                  <c:v>8609.4477686554001</c:v>
                </c:pt>
                <c:pt idx="11">
                  <c:v>8818.9584010119997</c:v>
                </c:pt>
                <c:pt idx="12">
                  <c:v>9032.2537007367009</c:v>
                </c:pt>
                <c:pt idx="13">
                  <c:v>9248.5510478295982</c:v>
                </c:pt>
                <c:pt idx="14">
                  <c:v>9467.1661775531993</c:v>
                </c:pt>
                <c:pt idx="15">
                  <c:v>9687.5133878580018</c:v>
                </c:pt>
                <c:pt idx="16">
                  <c:v>9909.0936492536002</c:v>
                </c:pt>
                <c:pt idx="17">
                  <c:v>10131.4804978227</c:v>
                </c:pt>
                <c:pt idx="18">
                  <c:v>10354.308245282298</c:v>
                </c:pt>
                <c:pt idx="19">
                  <c:v>10577.263923751501</c:v>
                </c:pt>
                <c:pt idx="20">
                  <c:v>10798.435316132602</c:v>
                </c:pt>
                <c:pt idx="21">
                  <c:v>11019.343433594999</c:v>
                </c:pt>
                <c:pt idx="22">
                  <c:v>11239.845688552001</c:v>
                </c:pt>
                <c:pt idx="23">
                  <c:v>11459.862111102</c:v>
                </c:pt>
                <c:pt idx="24">
                  <c:v>11679.338538624999</c:v>
                </c:pt>
                <c:pt idx="25">
                  <c:v>11893.406699456</c:v>
                </c:pt>
                <c:pt idx="26">
                  <c:v>12104.876704772001</c:v>
                </c:pt>
                <c:pt idx="27">
                  <c:v>12313.957364797001</c:v>
                </c:pt>
                <c:pt idx="28">
                  <c:v>12520.978261910001</c:v>
                </c:pt>
                <c:pt idx="29">
                  <c:v>12726.309403937001</c:v>
                </c:pt>
                <c:pt idx="30">
                  <c:v>12930.319651041</c:v>
                </c:pt>
                <c:pt idx="31">
                  <c:v>13133.356752677</c:v>
                </c:pt>
                <c:pt idx="32">
                  <c:v>13335.740707300001</c:v>
                </c:pt>
                <c:pt idx="33">
                  <c:v>13537.764455398001</c:v>
                </c:pt>
                <c:pt idx="34">
                  <c:v>13739.697860297001</c:v>
                </c:pt>
                <c:pt idx="35">
                  <c:v>13941.792585529001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B-46A1-8D5E-7BC161373771}"/>
            </c:ext>
          </c:extLst>
        </c:ser>
        <c:ser>
          <c:idx val="1"/>
          <c:order val="1"/>
          <c:tx>
            <c:strRef>
              <c:f>Données!$B$363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Données!$C$363:$AL$363</c:f>
              <c:numCache>
                <c:formatCode>#,##0</c:formatCode>
                <c:ptCount val="36"/>
                <c:pt idx="0">
                  <c:v>8263.1971436354015</c:v>
                </c:pt>
                <c:pt idx="1">
                  <c:v>8191.4772024361</c:v>
                </c:pt>
                <c:pt idx="2">
                  <c:v>8171.4940012272</c:v>
                </c:pt>
                <c:pt idx="3">
                  <c:v>8189.3068678032996</c:v>
                </c:pt>
                <c:pt idx="4">
                  <c:v>8235.2668183855003</c:v>
                </c:pt>
                <c:pt idx="5">
                  <c:v>8303.006569624702</c:v>
                </c:pt>
                <c:pt idx="6">
                  <c:v>8387.2261497507989</c:v>
                </c:pt>
                <c:pt idx="7">
                  <c:v>8485.0135615408999</c:v>
                </c:pt>
                <c:pt idx="8">
                  <c:v>8594.2080015790998</c:v>
                </c:pt>
                <c:pt idx="9">
                  <c:v>8713.0888924438004</c:v>
                </c:pt>
                <c:pt idx="10">
                  <c:v>8842.1536128887019</c:v>
                </c:pt>
                <c:pt idx="11">
                  <c:v>8978.0934127212004</c:v>
                </c:pt>
                <c:pt idx="12">
                  <c:v>9119.7410008170009</c:v>
                </c:pt>
                <c:pt idx="13">
                  <c:v>9266.0230022849009</c:v>
                </c:pt>
                <c:pt idx="14">
                  <c:v>9415.9888988183993</c:v>
                </c:pt>
                <c:pt idx="15">
                  <c:v>9568.8081313699022</c:v>
                </c:pt>
                <c:pt idx="16">
                  <c:v>9723.7563717876019</c:v>
                </c:pt>
                <c:pt idx="17">
                  <c:v>9880.2000763978995</c:v>
                </c:pt>
                <c:pt idx="18">
                  <c:v>10037.583352999898</c:v>
                </c:pt>
                <c:pt idx="19">
                  <c:v>10195.4184184352</c:v>
                </c:pt>
                <c:pt idx="20">
                  <c:v>10351.783592937902</c:v>
                </c:pt>
                <c:pt idx="21">
                  <c:v>10507.900835934</c:v>
                </c:pt>
                <c:pt idx="22">
                  <c:v>10663.485857796801</c:v>
                </c:pt>
                <c:pt idx="23">
                  <c:v>10818.321791423999</c:v>
                </c:pt>
                <c:pt idx="24">
                  <c:v>10972.224789268999</c:v>
                </c:pt>
                <c:pt idx="25">
                  <c:v>11120.730930120999</c:v>
                </c:pt>
                <c:pt idx="26">
                  <c:v>11266.265508304999</c:v>
                </c:pt>
                <c:pt idx="27">
                  <c:v>11408.927322181</c:v>
                </c:pt>
                <c:pt idx="28">
                  <c:v>11548.923760341002</c:v>
                </c:pt>
                <c:pt idx="29">
                  <c:v>11686.497812820999</c:v>
                </c:pt>
                <c:pt idx="30">
                  <c:v>11821.890737964</c:v>
                </c:pt>
                <c:pt idx="31">
                  <c:v>11955.32426116</c:v>
                </c:pt>
                <c:pt idx="32">
                  <c:v>12086.994512342999</c:v>
                </c:pt>
                <c:pt idx="33">
                  <c:v>12217.072587326</c:v>
                </c:pt>
                <c:pt idx="34">
                  <c:v>12345.708040575999</c:v>
                </c:pt>
                <c:pt idx="35">
                  <c:v>12473.032971254999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3B-46A1-8D5E-7BC161373771}"/>
            </c:ext>
          </c:extLst>
        </c:ser>
        <c:ser>
          <c:idx val="2"/>
          <c:order val="2"/>
          <c:tx>
            <c:strRef>
              <c:f>Données!$B$364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Données!$C$364:$AL$364</c:f>
              <c:numCache>
                <c:formatCode>#,##0</c:formatCode>
                <c:ptCount val="36"/>
                <c:pt idx="0">
                  <c:v>6787.4105911386005</c:v>
                </c:pt>
                <c:pt idx="1">
                  <c:v>6654.3319331978</c:v>
                </c:pt>
                <c:pt idx="2">
                  <c:v>6562.8867338948003</c:v>
                </c:pt>
                <c:pt idx="3">
                  <c:v>6502.7826739154998</c:v>
                </c:pt>
                <c:pt idx="4">
                  <c:v>6466.7792611464001</c:v>
                </c:pt>
                <c:pt idx="5">
                  <c:v>6449.9645294337006</c:v>
                </c:pt>
                <c:pt idx="6">
                  <c:v>6448.2215152668996</c:v>
                </c:pt>
                <c:pt idx="7">
                  <c:v>6459.1254926871006</c:v>
                </c:pt>
                <c:pt idx="8">
                  <c:v>6480.8112025351002</c:v>
                </c:pt>
                <c:pt idx="9">
                  <c:v>6511.7531265046009</c:v>
                </c:pt>
                <c:pt idx="10">
                  <c:v>6551.9618489731993</c:v>
                </c:pt>
                <c:pt idx="11">
                  <c:v>6598.8951116772996</c:v>
                </c:pt>
                <c:pt idx="12">
                  <c:v>6651.4937897264999</c:v>
                </c:pt>
                <c:pt idx="13">
                  <c:v>6708.7880009646005</c:v>
                </c:pt>
                <c:pt idx="14">
                  <c:v>6769.9140680343007</c:v>
                </c:pt>
                <c:pt idx="15">
                  <c:v>6834.1102861869003</c:v>
                </c:pt>
                <c:pt idx="16">
                  <c:v>6900.7057350876003</c:v>
                </c:pt>
                <c:pt idx="17">
                  <c:v>6969.1081695891999</c:v>
                </c:pt>
                <c:pt idx="18">
                  <c:v>7038.7935957216005</c:v>
                </c:pt>
                <c:pt idx="19">
                  <c:v>7109.2983356304003</c:v>
                </c:pt>
                <c:pt idx="20">
                  <c:v>7179.2336010909003</c:v>
                </c:pt>
                <c:pt idx="21">
                  <c:v>7249.2890684867998</c:v>
                </c:pt>
                <c:pt idx="22">
                  <c:v>7319.1725413115</c:v>
                </c:pt>
                <c:pt idx="23">
                  <c:v>7388.6446855529994</c:v>
                </c:pt>
                <c:pt idx="24">
                  <c:v>7457.4958215632005</c:v>
                </c:pt>
                <c:pt idx="25">
                  <c:v>7522.7723208344005</c:v>
                </c:pt>
                <c:pt idx="26">
                  <c:v>7585.9818847373008</c:v>
                </c:pt>
                <c:pt idx="27">
                  <c:v>7647.1323670973006</c:v>
                </c:pt>
                <c:pt idx="28">
                  <c:v>7706.3034659693003</c:v>
                </c:pt>
                <c:pt idx="29">
                  <c:v>7763.5989962125996</c:v>
                </c:pt>
                <c:pt idx="30">
                  <c:v>7819.1226729123</c:v>
                </c:pt>
                <c:pt idx="31">
                  <c:v>7872.9666375054994</c:v>
                </c:pt>
                <c:pt idx="32">
                  <c:v>7925.2075898737994</c:v>
                </c:pt>
                <c:pt idx="33">
                  <c:v>7975.9070954768004</c:v>
                </c:pt>
                <c:pt idx="34">
                  <c:v>8025.1137868426003</c:v>
                </c:pt>
                <c:pt idx="35">
                  <c:v>8072.8659966958003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3B-46A1-8D5E-7BC161373771}"/>
            </c:ext>
          </c:extLst>
        </c:ser>
        <c:ser>
          <c:idx val="3"/>
          <c:order val="3"/>
          <c:tx>
            <c:strRef>
              <c:f>Données!$B$365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Données!$C$365:$AL$365</c:f>
              <c:numCache>
                <c:formatCode>#,##0</c:formatCode>
                <c:ptCount val="36"/>
                <c:pt idx="0">
                  <c:v>4165.6835237371006</c:v>
                </c:pt>
                <c:pt idx="1">
                  <c:v>4059.4894478744995</c:v>
                </c:pt>
                <c:pt idx="2">
                  <c:v>3977.1828066960998</c:v>
                </c:pt>
                <c:pt idx="3">
                  <c:v>3912.5281139336003</c:v>
                </c:pt>
                <c:pt idx="4">
                  <c:v>3861.1167144476999</c:v>
                </c:pt>
                <c:pt idx="5">
                  <c:v>3819.9091145989</c:v>
                </c:pt>
                <c:pt idx="6">
                  <c:v>3786.3863194447999</c:v>
                </c:pt>
                <c:pt idx="7">
                  <c:v>3759.0070597888998</c:v>
                </c:pt>
                <c:pt idx="8">
                  <c:v>3736.5835187339003</c:v>
                </c:pt>
                <c:pt idx="9">
                  <c:v>3718.1514748649001</c:v>
                </c:pt>
                <c:pt idx="10">
                  <c:v>3703.5542289684995</c:v>
                </c:pt>
                <c:pt idx="11">
                  <c:v>3691.3753459489999</c:v>
                </c:pt>
                <c:pt idx="12">
                  <c:v>3680.9814441684998</c:v>
                </c:pt>
                <c:pt idx="13">
                  <c:v>3671.8094286823998</c:v>
                </c:pt>
                <c:pt idx="14">
                  <c:v>3663.3711182203006</c:v>
                </c:pt>
                <c:pt idx="15">
                  <c:v>3655.2479786033996</c:v>
                </c:pt>
                <c:pt idx="16">
                  <c:v>3647.0831162421</c:v>
                </c:pt>
                <c:pt idx="17">
                  <c:v>3638.5732221783001</c:v>
                </c:pt>
                <c:pt idx="18">
                  <c:v>3629.4615623801001</c:v>
                </c:pt>
                <c:pt idx="19">
                  <c:v>3619.5322284447002</c:v>
                </c:pt>
                <c:pt idx="20">
                  <c:v>3608.1836133209999</c:v>
                </c:pt>
                <c:pt idx="21">
                  <c:v>3595.7327151646</c:v>
                </c:pt>
                <c:pt idx="22">
                  <c:v>3582.0697501013001</c:v>
                </c:pt>
                <c:pt idx="23">
                  <c:v>3567.1126876810999</c:v>
                </c:pt>
                <c:pt idx="24">
                  <c:v>3550.7967938168999</c:v>
                </c:pt>
                <c:pt idx="25">
                  <c:v>3531.9764775086001</c:v>
                </c:pt>
                <c:pt idx="26">
                  <c:v>3511.3204914168</c:v>
                </c:pt>
                <c:pt idx="27">
                  <c:v>3488.8877930716003</c:v>
                </c:pt>
                <c:pt idx="28">
                  <c:v>3464.7617122849006</c:v>
                </c:pt>
                <c:pt idx="29">
                  <c:v>3439.0304645056999</c:v>
                </c:pt>
                <c:pt idx="30">
                  <c:v>3411.7781208869001</c:v>
                </c:pt>
                <c:pt idx="31">
                  <c:v>3383.0808586087001</c:v>
                </c:pt>
                <c:pt idx="32">
                  <c:v>3353.0061649720997</c:v>
                </c:pt>
                <c:pt idx="33">
                  <c:v>3321.61358591</c:v>
                </c:pt>
                <c:pt idx="34">
                  <c:v>3288.9561394525999</c:v>
                </c:pt>
                <c:pt idx="35">
                  <c:v>3255.0818390942004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13B-46A1-8D5E-7BC161373771}"/>
            </c:ext>
          </c:extLst>
        </c:ser>
        <c:ser>
          <c:idx val="4"/>
          <c:order val="4"/>
          <c:tx>
            <c:strRef>
              <c:f>Données!$B$366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Données!$C$366:$AL$366</c:f>
              <c:numCache>
                <c:formatCode>#,##0</c:formatCode>
                <c:ptCount val="36"/>
                <c:pt idx="0">
                  <c:v>2507.3524895615005</c:v>
                </c:pt>
                <c:pt idx="1">
                  <c:v>2445.7479924651002</c:v>
                </c:pt>
                <c:pt idx="2">
                  <c:v>2397.6167809656999</c:v>
                </c:pt>
                <c:pt idx="3">
                  <c:v>2358.9800925629002</c:v>
                </c:pt>
                <c:pt idx="4">
                  <c:v>2327.0529606569999</c:v>
                </c:pt>
                <c:pt idx="5">
                  <c:v>2299.9315462125001</c:v>
                </c:pt>
                <c:pt idx="6">
                  <c:v>2276.0711465031</c:v>
                </c:pt>
                <c:pt idx="7">
                  <c:v>2254.5454656367001</c:v>
                </c:pt>
                <c:pt idx="8">
                  <c:v>2234.6640457646995</c:v>
                </c:pt>
                <c:pt idx="9">
                  <c:v>2215.8878005911997</c:v>
                </c:pt>
                <c:pt idx="10">
                  <c:v>2198.1482439769998</c:v>
                </c:pt>
                <c:pt idx="11">
                  <c:v>2180.6763131398002</c:v>
                </c:pt>
                <c:pt idx="12">
                  <c:v>2163.1600261354997</c:v>
                </c:pt>
                <c:pt idx="13">
                  <c:v>2145.3363667416002</c:v>
                </c:pt>
                <c:pt idx="14">
                  <c:v>2126.9916795559998</c:v>
                </c:pt>
                <c:pt idx="15">
                  <c:v>2107.9569430019001</c:v>
                </c:pt>
                <c:pt idx="16">
                  <c:v>2088.1019084035001</c:v>
                </c:pt>
                <c:pt idx="17">
                  <c:v>2067.3294650562998</c:v>
                </c:pt>
                <c:pt idx="18">
                  <c:v>2045.5707065214001</c:v>
                </c:pt>
                <c:pt idx="19">
                  <c:v>2022.7807844434999</c:v>
                </c:pt>
                <c:pt idx="20">
                  <c:v>1998.7286952637999</c:v>
                </c:pt>
                <c:pt idx="21">
                  <c:v>1973.6409257098001</c:v>
                </c:pt>
                <c:pt idx="22">
                  <c:v>1947.5298759868001</c:v>
                </c:pt>
                <c:pt idx="23">
                  <c:v>1920.4206596955999</c:v>
                </c:pt>
                <c:pt idx="24">
                  <c:v>1892.3458106951</c:v>
                </c:pt>
                <c:pt idx="25">
                  <c:v>1862.8465917403998</c:v>
                </c:pt>
                <c:pt idx="26">
                  <c:v>1832.3047959600001</c:v>
                </c:pt>
                <c:pt idx="27">
                  <c:v>1800.8151899757002</c:v>
                </c:pt>
                <c:pt idx="28">
                  <c:v>1768.4787455511</c:v>
                </c:pt>
                <c:pt idx="29">
                  <c:v>1735.3938352808</c:v>
                </c:pt>
                <c:pt idx="30">
                  <c:v>1701.6526086781</c:v>
                </c:pt>
                <c:pt idx="31">
                  <c:v>1667.3398386232</c:v>
                </c:pt>
                <c:pt idx="32">
                  <c:v>1632.5330456160998</c:v>
                </c:pt>
                <c:pt idx="33">
                  <c:v>1597.3032550713999</c:v>
                </c:pt>
                <c:pt idx="34">
                  <c:v>1561.7159809740999</c:v>
                </c:pt>
                <c:pt idx="35">
                  <c:v>1525.8322098547999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3B-46A1-8D5E-7BC161373771}"/>
            </c:ext>
          </c:extLst>
        </c:ser>
        <c:ser>
          <c:idx val="5"/>
          <c:order val="5"/>
          <c:tx>
            <c:strRef>
              <c:f>Données!$B$367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Données!$C$367:$AL$367</c:f>
              <c:numCache>
                <c:formatCode>#,##0</c:formatCode>
                <c:ptCount val="36"/>
                <c:pt idx="0">
                  <c:v>1245.466605953</c:v>
                </c:pt>
                <c:pt idx="1">
                  <c:v>1212.1438348709</c:v>
                </c:pt>
                <c:pt idx="2">
                  <c:v>1184.06248968</c:v>
                </c:pt>
                <c:pt idx="3">
                  <c:v>1159.0558653913001</c:v>
                </c:pt>
                <c:pt idx="4">
                  <c:v>1135.6771474861</c:v>
                </c:pt>
                <c:pt idx="5">
                  <c:v>1112.9907634672998</c:v>
                </c:pt>
                <c:pt idx="6">
                  <c:v>1090.3127242564001</c:v>
                </c:pt>
                <c:pt idx="7">
                  <c:v>1067.2941620931001</c:v>
                </c:pt>
                <c:pt idx="8">
                  <c:v>1043.7335249150999</c:v>
                </c:pt>
                <c:pt idx="9">
                  <c:v>1019.5245115058</c:v>
                </c:pt>
                <c:pt idx="10">
                  <c:v>994.75113938900006</c:v>
                </c:pt>
                <c:pt idx="11">
                  <c:v>969.26210503779998</c:v>
                </c:pt>
                <c:pt idx="12">
                  <c:v>943.0852878915</c:v>
                </c:pt>
                <c:pt idx="13">
                  <c:v>916.27270909410004</c:v>
                </c:pt>
                <c:pt idx="14">
                  <c:v>888.89609875579993</c:v>
                </c:pt>
                <c:pt idx="15">
                  <c:v>861.04169046909999</c:v>
                </c:pt>
                <c:pt idx="16">
                  <c:v>832.80549879289993</c:v>
                </c:pt>
                <c:pt idx="17">
                  <c:v>804.28930330819992</c:v>
                </c:pt>
                <c:pt idx="18">
                  <c:v>775.59732995510001</c:v>
                </c:pt>
                <c:pt idx="19">
                  <c:v>746.83356667920009</c:v>
                </c:pt>
                <c:pt idx="20">
                  <c:v>718.05521478410003</c:v>
                </c:pt>
                <c:pt idx="21">
                  <c:v>689.41396183359996</c:v>
                </c:pt>
                <c:pt idx="22">
                  <c:v>661.00243129989997</c:v>
                </c:pt>
                <c:pt idx="23">
                  <c:v>632.90648017759997</c:v>
                </c:pt>
                <c:pt idx="24">
                  <c:v>605.20432322469992</c:v>
                </c:pt>
                <c:pt idx="25">
                  <c:v>577.88530149739995</c:v>
                </c:pt>
                <c:pt idx="26">
                  <c:v>551.07757853989995</c:v>
                </c:pt>
                <c:pt idx="27">
                  <c:v>524.84823040610001</c:v>
                </c:pt>
                <c:pt idx="28">
                  <c:v>499.25526874500002</c:v>
                </c:pt>
                <c:pt idx="29">
                  <c:v>474.34706165869994</c:v>
                </c:pt>
                <c:pt idx="30">
                  <c:v>450.16278223609999</c:v>
                </c:pt>
                <c:pt idx="31">
                  <c:v>426.73320713480001</c:v>
                </c:pt>
                <c:pt idx="32">
                  <c:v>404.08161261429996</c:v>
                </c:pt>
                <c:pt idx="33">
                  <c:v>382.22466109249996</c:v>
                </c:pt>
                <c:pt idx="34">
                  <c:v>361.1732224621</c:v>
                </c:pt>
                <c:pt idx="35">
                  <c:v>340.9331085211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13B-46A1-8D5E-7BC161373771}"/>
            </c:ext>
          </c:extLst>
        </c:ser>
        <c:ser>
          <c:idx val="6"/>
          <c:order val="6"/>
          <c:tx>
            <c:strRef>
              <c:f>Données!$B$368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Données!$C$368:$AL$368</c:f>
              <c:numCache>
                <c:formatCode>#,##0</c:formatCode>
                <c:ptCount val="36"/>
                <c:pt idx="0">
                  <c:v>2242.8616504070001</c:v>
                </c:pt>
                <c:pt idx="1">
                  <c:v>2186.1404650561999</c:v>
                </c:pt>
                <c:pt idx="2">
                  <c:v>2136.3843356276002</c:v>
                </c:pt>
                <c:pt idx="3">
                  <c:v>2089.3424420036004</c:v>
                </c:pt>
                <c:pt idx="4">
                  <c:v>2042.3722131434999</c:v>
                </c:pt>
                <c:pt idx="5">
                  <c:v>1993.9407734114</c:v>
                </c:pt>
                <c:pt idx="6">
                  <c:v>1943.1073264340998</c:v>
                </c:pt>
                <c:pt idx="7">
                  <c:v>1889.6023434562001</c:v>
                </c:pt>
                <c:pt idx="8">
                  <c:v>1833.4599339222</c:v>
                </c:pt>
                <c:pt idx="9">
                  <c:v>1774.8965559897001</c:v>
                </c:pt>
                <c:pt idx="10">
                  <c:v>1714.4120926831999</c:v>
                </c:pt>
                <c:pt idx="11">
                  <c:v>1652.1615796251001</c:v>
                </c:pt>
                <c:pt idx="12">
                  <c:v>1588.5477556093999</c:v>
                </c:pt>
                <c:pt idx="13">
                  <c:v>1523.9836530657001</c:v>
                </c:pt>
                <c:pt idx="14">
                  <c:v>1458.8797533999</c:v>
                </c:pt>
                <c:pt idx="15">
                  <c:v>1393.6326607773999</c:v>
                </c:pt>
                <c:pt idx="16">
                  <c:v>1328.6165126327001</c:v>
                </c:pt>
                <c:pt idx="17">
                  <c:v>1264.1768859448</c:v>
                </c:pt>
                <c:pt idx="18">
                  <c:v>1200.6267863698999</c:v>
                </c:pt>
                <c:pt idx="19">
                  <c:v>1138.2443470317</c:v>
                </c:pt>
                <c:pt idx="20">
                  <c:v>1077.2310809078999</c:v>
                </c:pt>
                <c:pt idx="21">
                  <c:v>1017.8464636063001</c:v>
                </c:pt>
                <c:pt idx="22">
                  <c:v>960.26223352610009</c:v>
                </c:pt>
                <c:pt idx="23">
                  <c:v>904.61650387150007</c:v>
                </c:pt>
                <c:pt idx="24">
                  <c:v>851.01604229149996</c:v>
                </c:pt>
                <c:pt idx="25">
                  <c:v>799.48058306790006</c:v>
                </c:pt>
                <c:pt idx="26">
                  <c:v>750.11574786120002</c:v>
                </c:pt>
                <c:pt idx="27">
                  <c:v>702.96111659019994</c:v>
                </c:pt>
                <c:pt idx="28">
                  <c:v>658.03321586420009</c:v>
                </c:pt>
                <c:pt idx="29">
                  <c:v>615.32804552829998</c:v>
                </c:pt>
                <c:pt idx="30">
                  <c:v>574.82412474069997</c:v>
                </c:pt>
                <c:pt idx="31">
                  <c:v>536.4854485226</c:v>
                </c:pt>
                <c:pt idx="32">
                  <c:v>500.26417510729999</c:v>
                </c:pt>
                <c:pt idx="33">
                  <c:v>466.10299996949993</c:v>
                </c:pt>
                <c:pt idx="34">
                  <c:v>433.93721685679998</c:v>
                </c:pt>
                <c:pt idx="35">
                  <c:v>403.6964879468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13B-46A1-8D5E-7BC161373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class (shock)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Données!$B$331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Données!$C$331:$AL$331</c:f>
              <c:numCache>
                <c:formatCode>#,##0</c:formatCode>
                <c:ptCount val="36"/>
                <c:pt idx="0">
                  <c:v>7105.9689965623002</c:v>
                </c:pt>
                <c:pt idx="1">
                  <c:v>7147.0491212705001</c:v>
                </c:pt>
                <c:pt idx="2">
                  <c:v>7232.2112714878003</c:v>
                </c:pt>
                <c:pt idx="3">
                  <c:v>7347.9342068175001</c:v>
                </c:pt>
                <c:pt idx="4">
                  <c:v>7485.1072920680999</c:v>
                </c:pt>
                <c:pt idx="5">
                  <c:v>7637.9911573626005</c:v>
                </c:pt>
                <c:pt idx="6">
                  <c:v>7801.8799390194999</c:v>
                </c:pt>
                <c:pt idx="7">
                  <c:v>7974.5113107355</c:v>
                </c:pt>
                <c:pt idx="8">
                  <c:v>8154.3474293067993</c:v>
                </c:pt>
                <c:pt idx="9">
                  <c:v>8340.2504706876007</c:v>
                </c:pt>
                <c:pt idx="10">
                  <c:v>8533.3705216345024</c:v>
                </c:pt>
                <c:pt idx="11">
                  <c:v>8730.722082794</c:v>
                </c:pt>
                <c:pt idx="12">
                  <c:v>8931.570377206599</c:v>
                </c:pt>
                <c:pt idx="13">
                  <c:v>9135.2495872623986</c:v>
                </c:pt>
                <c:pt idx="14">
                  <c:v>9341.1878919643004</c:v>
                </c:pt>
                <c:pt idx="15">
                  <c:v>9548.9035691789995</c:v>
                </c:pt>
                <c:pt idx="16">
                  <c:v>9757.9286627621004</c:v>
                </c:pt>
                <c:pt idx="17">
                  <c:v>9967.8918647756</c:v>
                </c:pt>
                <c:pt idx="18">
                  <c:v>10178.485384454401</c:v>
                </c:pt>
                <c:pt idx="19">
                  <c:v>10389.447279941502</c:v>
                </c:pt>
                <c:pt idx="20">
                  <c:v>10598.926825922801</c:v>
                </c:pt>
                <c:pt idx="21">
                  <c:v>10808.464423896299</c:v>
                </c:pt>
                <c:pt idx="22">
                  <c:v>11017.930559562999</c:v>
                </c:pt>
                <c:pt idx="23">
                  <c:v>11227.247937532</c:v>
                </c:pt>
                <c:pt idx="24">
                  <c:v>11436.356579856001</c:v>
                </c:pt>
                <c:pt idx="25">
                  <c:v>11640.441965356002</c:v>
                </c:pt>
                <c:pt idx="26">
                  <c:v>11842.319371101001</c:v>
                </c:pt>
                <c:pt idx="27">
                  <c:v>12042.178467060001</c:v>
                </c:pt>
                <c:pt idx="28">
                  <c:v>12240.31352937</c:v>
                </c:pt>
                <c:pt idx="29">
                  <c:v>12437.053148640001</c:v>
                </c:pt>
                <c:pt idx="30">
                  <c:v>12632.72295191</c:v>
                </c:pt>
                <c:pt idx="31">
                  <c:v>12827.642162668</c:v>
                </c:pt>
                <c:pt idx="32">
                  <c:v>13022.094067288999</c:v>
                </c:pt>
                <c:pt idx="33">
                  <c:v>13216.332454441999</c:v>
                </c:pt>
                <c:pt idx="34">
                  <c:v>13410.588757549</c:v>
                </c:pt>
                <c:pt idx="35">
                  <c:v>13605.077957362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9-4604-817E-AE29F1EB4142}"/>
            </c:ext>
          </c:extLst>
        </c:ser>
        <c:ser>
          <c:idx val="1"/>
          <c:order val="1"/>
          <c:tx>
            <c:strRef>
              <c:f>Données!$B$332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Données!$C$332:$AL$332</c:f>
              <c:numCache>
                <c:formatCode>#,##0</c:formatCode>
                <c:ptCount val="36"/>
                <c:pt idx="0">
                  <c:v>8263.1971436354015</c:v>
                </c:pt>
                <c:pt idx="1">
                  <c:v>8189.9934773836003</c:v>
                </c:pt>
                <c:pt idx="2">
                  <c:v>8166.9303678824999</c:v>
                </c:pt>
                <c:pt idx="3">
                  <c:v>8180.1572076476996</c:v>
                </c:pt>
                <c:pt idx="4">
                  <c:v>8220.1671375933001</c:v>
                </c:pt>
                <c:pt idx="5">
                  <c:v>8280.7642532801001</c:v>
                </c:pt>
                <c:pt idx="6">
                  <c:v>8356.8190318328998</c:v>
                </c:pt>
                <c:pt idx="7">
                  <c:v>8445.5986688849007</c:v>
                </c:pt>
                <c:pt idx="8">
                  <c:v>8545.1175824023994</c:v>
                </c:pt>
                <c:pt idx="9">
                  <c:v>8653.8199343716005</c:v>
                </c:pt>
                <c:pt idx="10">
                  <c:v>8772.3434451458015</c:v>
                </c:pt>
                <c:pt idx="11">
                  <c:v>8897.4701290755002</c:v>
                </c:pt>
                <c:pt idx="12">
                  <c:v>9028.1404585755008</c:v>
                </c:pt>
                <c:pt idx="13">
                  <c:v>9163.3923974655991</c:v>
                </c:pt>
                <c:pt idx="14">
                  <c:v>9302.3811350518008</c:v>
                </c:pt>
                <c:pt idx="15">
                  <c:v>9444.3723314575</c:v>
                </c:pt>
                <c:pt idx="16">
                  <c:v>9588.669407777099</c:v>
                </c:pt>
                <c:pt idx="17">
                  <c:v>9734.6883263265991</c:v>
                </c:pt>
                <c:pt idx="18">
                  <c:v>9881.9244634199986</c:v>
                </c:pt>
                <c:pt idx="19">
                  <c:v>10029.9340656809</c:v>
                </c:pt>
                <c:pt idx="20">
                  <c:v>10176.8455326072</c:v>
                </c:pt>
                <c:pt idx="21">
                  <c:v>10323.8969752544</c:v>
                </c:pt>
                <c:pt idx="22">
                  <c:v>10470.811584585499</c:v>
                </c:pt>
                <c:pt idx="23">
                  <c:v>10617.370481876098</c:v>
                </c:pt>
                <c:pt idx="24">
                  <c:v>10763.380222292</c:v>
                </c:pt>
                <c:pt idx="25">
                  <c:v>10904.411630881001</c:v>
                </c:pt>
                <c:pt idx="26">
                  <c:v>11042.894950561</c:v>
                </c:pt>
                <c:pt idx="27">
                  <c:v>11178.907587270998</c:v>
                </c:pt>
                <c:pt idx="28">
                  <c:v>11312.621730385999</c:v>
                </c:pt>
                <c:pt idx="29">
                  <c:v>11444.240595180001</c:v>
                </c:pt>
                <c:pt idx="30">
                  <c:v>11573.964988115002</c:v>
                </c:pt>
                <c:pt idx="31">
                  <c:v>11701.989825077</c:v>
                </c:pt>
                <c:pt idx="32">
                  <c:v>11828.478016423998</c:v>
                </c:pt>
                <c:pt idx="33">
                  <c:v>11953.566156848001</c:v>
                </c:pt>
                <c:pt idx="34">
                  <c:v>12077.370706873</c:v>
                </c:pt>
                <c:pt idx="35">
                  <c:v>12199.993112287999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9-4604-817E-AE29F1EB4142}"/>
            </c:ext>
          </c:extLst>
        </c:ser>
        <c:ser>
          <c:idx val="2"/>
          <c:order val="2"/>
          <c:tx>
            <c:strRef>
              <c:f>Données!$B$333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Données!$C$333:$AL$333</c:f>
              <c:numCache>
                <c:formatCode>#,##0</c:formatCode>
                <c:ptCount val="36"/>
                <c:pt idx="0">
                  <c:v>6787.4105911386005</c:v>
                </c:pt>
                <c:pt idx="1">
                  <c:v>6653.3136842763997</c:v>
                </c:pt>
                <c:pt idx="2">
                  <c:v>6559.7668027844002</c:v>
                </c:pt>
                <c:pt idx="3">
                  <c:v>6496.5525343837999</c:v>
                </c:pt>
                <c:pt idx="4">
                  <c:v>6456.5395055684012</c:v>
                </c:pt>
                <c:pt idx="5">
                  <c:v>6434.9428910798997</c:v>
                </c:pt>
                <c:pt idx="6">
                  <c:v>6427.7700211245992</c:v>
                </c:pt>
                <c:pt idx="7">
                  <c:v>6432.7248757813004</c:v>
                </c:pt>
                <c:pt idx="8">
                  <c:v>6448.0666183869998</c:v>
                </c:pt>
                <c:pt idx="9">
                  <c:v>6472.3855469765995</c:v>
                </c:pt>
                <c:pt idx="10">
                  <c:v>6505.7911547037002</c:v>
                </c:pt>
                <c:pt idx="11">
                  <c:v>6545.8037004041998</c:v>
                </c:pt>
                <c:pt idx="12">
                  <c:v>6591.4382446920999</c:v>
                </c:pt>
                <c:pt idx="13">
                  <c:v>6641.8005482982007</c:v>
                </c:pt>
                <c:pt idx="14">
                  <c:v>6696.0977113556</c:v>
                </c:pt>
                <c:pt idx="15">
                  <c:v>6753.6313536842999</c:v>
                </c:pt>
                <c:pt idx="16">
                  <c:v>6813.7474935266</c:v>
                </c:pt>
                <c:pt idx="17">
                  <c:v>6875.8850000481998</c:v>
                </c:pt>
                <c:pt idx="18">
                  <c:v>6939.5516545609999</c:v>
                </c:pt>
                <c:pt idx="19">
                  <c:v>7004.3101745186996</c:v>
                </c:pt>
                <c:pt idx="20">
                  <c:v>7068.7998841557992</c:v>
                </c:pt>
                <c:pt idx="21">
                  <c:v>7133.7192063292005</c:v>
                </c:pt>
                <c:pt idx="22">
                  <c:v>7198.7770966413</c:v>
                </c:pt>
                <c:pt idx="23">
                  <c:v>7263.7291616990005</c:v>
                </c:pt>
                <c:pt idx="24">
                  <c:v>7328.3558120020998</c:v>
                </c:pt>
                <c:pt idx="25">
                  <c:v>7389.7164779213999</c:v>
                </c:pt>
                <c:pt idx="26">
                  <c:v>7449.3215480006993</c:v>
                </c:pt>
                <c:pt idx="27">
                  <c:v>7507.1615737621996</c:v>
                </c:pt>
                <c:pt idx="28">
                  <c:v>7563.2905567215994</c:v>
                </c:pt>
                <c:pt idx="29">
                  <c:v>7617.784199532799</c:v>
                </c:pt>
                <c:pt idx="30">
                  <c:v>7670.7182627138009</c:v>
                </c:pt>
                <c:pt idx="31">
                  <c:v>7722.1660804829999</c:v>
                </c:pt>
                <c:pt idx="32">
                  <c:v>7772.181934175801</c:v>
                </c:pt>
                <c:pt idx="33">
                  <c:v>7820.8046767523001</c:v>
                </c:pt>
                <c:pt idx="34">
                  <c:v>7868.0616172296004</c:v>
                </c:pt>
                <c:pt idx="35">
                  <c:v>7913.9717718650008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69-4604-817E-AE29F1EB4142}"/>
            </c:ext>
          </c:extLst>
        </c:ser>
        <c:ser>
          <c:idx val="3"/>
          <c:order val="3"/>
          <c:tx>
            <c:strRef>
              <c:f>Données!$B$334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Données!$C$334:$AL$334</c:f>
              <c:numCache>
                <c:formatCode>#,##0</c:formatCode>
                <c:ptCount val="36"/>
                <c:pt idx="0">
                  <c:v>4165.6835237371006</c:v>
                </c:pt>
                <c:pt idx="1">
                  <c:v>4058.9470444204999</c:v>
                </c:pt>
                <c:pt idx="2">
                  <c:v>3975.5505732145998</c:v>
                </c:pt>
                <c:pt idx="3">
                  <c:v>3909.3301331226999</c:v>
                </c:pt>
                <c:pt idx="4">
                  <c:v>3855.9620015544997</c:v>
                </c:pt>
                <c:pt idx="5">
                  <c:v>3812.4951692092</c:v>
                </c:pt>
                <c:pt idx="6">
                  <c:v>3776.4913440575001</c:v>
                </c:pt>
                <c:pt idx="7">
                  <c:v>3746.4877892802001</c:v>
                </c:pt>
                <c:pt idx="8">
                  <c:v>3721.3686653072</c:v>
                </c:pt>
                <c:pt idx="9">
                  <c:v>3700.2334341412002</c:v>
                </c:pt>
                <c:pt idx="10">
                  <c:v>3682.9793185397002</c:v>
                </c:pt>
                <c:pt idx="11">
                  <c:v>3668.2189084236002</c:v>
                </c:pt>
                <c:pt idx="12">
                  <c:v>3655.3539481839998</c:v>
                </c:pt>
                <c:pt idx="13">
                  <c:v>3643.8549830925999</c:v>
                </c:pt>
                <c:pt idx="14">
                  <c:v>3633.2627439080002</c:v>
                </c:pt>
                <c:pt idx="15">
                  <c:v>3623.1817600525997</c:v>
                </c:pt>
                <c:pt idx="16">
                  <c:v>3613.2551451607997</c:v>
                </c:pt>
                <c:pt idx="17">
                  <c:v>3603.1857014879001</c:v>
                </c:pt>
                <c:pt idx="18">
                  <c:v>3592.7222703411999</c:v>
                </c:pt>
                <c:pt idx="19">
                  <c:v>3581.6511660781998</c:v>
                </c:pt>
                <c:pt idx="20">
                  <c:v>3569.3696411721003</c:v>
                </c:pt>
                <c:pt idx="21">
                  <c:v>3556.1911827538001</c:v>
                </c:pt>
                <c:pt idx="22">
                  <c:v>3541.9958025564997</c:v>
                </c:pt>
                <c:pt idx="23">
                  <c:v>3526.6889225767</c:v>
                </c:pt>
                <c:pt idx="24">
                  <c:v>3510.1917577420004</c:v>
                </c:pt>
                <c:pt idx="25">
                  <c:v>3491.3440963099001</c:v>
                </c:pt>
                <c:pt idx="26">
                  <c:v>3470.8126893291005</c:v>
                </c:pt>
                <c:pt idx="27">
                  <c:v>3448.6412522211999</c:v>
                </c:pt>
                <c:pt idx="28">
                  <c:v>3424.8956282080999</c:v>
                </c:pt>
                <c:pt idx="29">
                  <c:v>3399.6467821924998</c:v>
                </c:pt>
                <c:pt idx="30">
                  <c:v>3372.9628081329001</c:v>
                </c:pt>
                <c:pt idx="31">
                  <c:v>3344.9082921592999</c:v>
                </c:pt>
                <c:pt idx="32">
                  <c:v>3315.5386972220999</c:v>
                </c:pt>
                <c:pt idx="33">
                  <c:v>3284.9023524464001</c:v>
                </c:pt>
                <c:pt idx="34">
                  <c:v>3253.0424228965999</c:v>
                </c:pt>
                <c:pt idx="35">
                  <c:v>3219.9985592150001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69-4604-817E-AE29F1EB4142}"/>
            </c:ext>
          </c:extLst>
        </c:ser>
        <c:ser>
          <c:idx val="4"/>
          <c:order val="4"/>
          <c:tx>
            <c:strRef>
              <c:f>Données!$B$335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Données!$C$335:$AL$335</c:f>
              <c:numCache>
                <c:formatCode>#,##0</c:formatCode>
                <c:ptCount val="36"/>
                <c:pt idx="0">
                  <c:v>2507.3524895615005</c:v>
                </c:pt>
                <c:pt idx="1">
                  <c:v>2445.4264816905002</c:v>
                </c:pt>
                <c:pt idx="2">
                  <c:v>2396.6657890013003</c:v>
                </c:pt>
                <c:pt idx="3">
                  <c:v>2357.1509269284002</c:v>
                </c:pt>
                <c:pt idx="4">
                  <c:v>2324.1607021933996</c:v>
                </c:pt>
                <c:pt idx="5">
                  <c:v>2295.8530946146002</c:v>
                </c:pt>
                <c:pt idx="6">
                  <c:v>2270.7366076869998</c:v>
                </c:pt>
                <c:pt idx="7">
                  <c:v>2247.9340009324001</c:v>
                </c:pt>
                <c:pt idx="8">
                  <c:v>2226.7974258450004</c:v>
                </c:pt>
                <c:pt idx="9">
                  <c:v>2206.8233648641999</c:v>
                </c:pt>
                <c:pt idx="10">
                  <c:v>2187.9725617064</c:v>
                </c:pt>
                <c:pt idx="11">
                  <c:v>2169.4876729247003</c:v>
                </c:pt>
                <c:pt idx="12">
                  <c:v>2151.0720391957002</c:v>
                </c:pt>
                <c:pt idx="13">
                  <c:v>2132.4761077715002</c:v>
                </c:pt>
                <c:pt idx="14">
                  <c:v>2113.4960651391002</c:v>
                </c:pt>
                <c:pt idx="15">
                  <c:v>2093.9686560522</c:v>
                </c:pt>
                <c:pt idx="16">
                  <c:v>2073.7568069142999</c:v>
                </c:pt>
                <c:pt idx="17">
                  <c:v>2052.7598268905999</c:v>
                </c:pt>
                <c:pt idx="18">
                  <c:v>2030.9048642272001</c:v>
                </c:pt>
                <c:pt idx="19">
                  <c:v>2008.1413051482</c:v>
                </c:pt>
                <c:pt idx="20">
                  <c:v>1984.2292322757</c:v>
                </c:pt>
                <c:pt idx="21">
                  <c:v>1959.3881876857001</c:v>
                </c:pt>
                <c:pt idx="22">
                  <c:v>1933.6191123008002</c:v>
                </c:pt>
                <c:pt idx="23">
                  <c:v>1906.9350258363002</c:v>
                </c:pt>
                <c:pt idx="24">
                  <c:v>1879.3562406858</c:v>
                </c:pt>
                <c:pt idx="25">
                  <c:v>1850.4079032912</c:v>
                </c:pt>
                <c:pt idx="26">
                  <c:v>1820.4690320539</c:v>
                </c:pt>
                <c:pt idx="27">
                  <c:v>1789.6235886033</c:v>
                </c:pt>
                <c:pt idx="28">
                  <c:v>1757.9614199702</c:v>
                </c:pt>
                <c:pt idx="29">
                  <c:v>1725.5705695096001</c:v>
                </c:pt>
                <c:pt idx="30">
                  <c:v>1692.5340932359998</c:v>
                </c:pt>
                <c:pt idx="31">
                  <c:v>1658.9301039442</c:v>
                </c:pt>
                <c:pt idx="32">
                  <c:v>1624.8297627474999</c:v>
                </c:pt>
                <c:pt idx="33">
                  <c:v>1590.2985343855</c:v>
                </c:pt>
                <c:pt idx="34">
                  <c:v>1555.3973473248</c:v>
                </c:pt>
                <c:pt idx="35">
                  <c:v>1520.1835612955001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69-4604-817E-AE29F1EB4142}"/>
            </c:ext>
          </c:extLst>
        </c:ser>
        <c:ser>
          <c:idx val="5"/>
          <c:order val="5"/>
          <c:tx>
            <c:strRef>
              <c:f>Données!$B$336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Données!$C$336:$AL$336</c:f>
              <c:numCache>
                <c:formatCode>#,##0</c:formatCode>
                <c:ptCount val="36"/>
                <c:pt idx="0">
                  <c:v>1245.466605953</c:v>
                </c:pt>
                <c:pt idx="1">
                  <c:v>1212.0086294599002</c:v>
                </c:pt>
                <c:pt idx="2">
                  <c:v>1183.6892793521999</c:v>
                </c:pt>
                <c:pt idx="3">
                  <c:v>1158.3917816378</c:v>
                </c:pt>
                <c:pt idx="4">
                  <c:v>1134.7130763866001</c:v>
                </c:pt>
                <c:pt idx="5">
                  <c:v>1111.7520351553999</c:v>
                </c:pt>
                <c:pt idx="6">
                  <c:v>1088.8479130992</c:v>
                </c:pt>
                <c:pt idx="7">
                  <c:v>1065.6683088095001</c:v>
                </c:pt>
                <c:pt idx="8">
                  <c:v>1042.0215080733001</c:v>
                </c:pt>
                <c:pt idx="9">
                  <c:v>1017.8053650227</c:v>
                </c:pt>
                <c:pt idx="10">
                  <c:v>993.1050085096</c:v>
                </c:pt>
                <c:pt idx="11">
                  <c:v>967.76027621240007</c:v>
                </c:pt>
                <c:pt idx="12">
                  <c:v>941.79266454979995</c:v>
                </c:pt>
                <c:pt idx="13">
                  <c:v>915.24700889559995</c:v>
                </c:pt>
                <c:pt idx="14">
                  <c:v>888.18667804569998</c:v>
                </c:pt>
                <c:pt idx="15">
                  <c:v>860.68856038410001</c:v>
                </c:pt>
                <c:pt idx="16">
                  <c:v>832.83662844529999</c:v>
                </c:pt>
                <c:pt idx="17">
                  <c:v>804.72279360909999</c:v>
                </c:pt>
                <c:pt idx="18">
                  <c:v>776.44242885259996</c:v>
                </c:pt>
                <c:pt idx="19">
                  <c:v>748.09127007319989</c:v>
                </c:pt>
                <c:pt idx="20">
                  <c:v>719.7175179871</c:v>
                </c:pt>
                <c:pt idx="21">
                  <c:v>691.46785259259991</c:v>
                </c:pt>
                <c:pt idx="22">
                  <c:v>663.42875019659994</c:v>
                </c:pt>
                <c:pt idx="23">
                  <c:v>635.6809472269</c:v>
                </c:pt>
                <c:pt idx="24">
                  <c:v>608.29861469839989</c:v>
                </c:pt>
                <c:pt idx="25">
                  <c:v>581.26491074349997</c:v>
                </c:pt>
                <c:pt idx="26">
                  <c:v>554.70941458120001</c:v>
                </c:pt>
                <c:pt idx="27">
                  <c:v>528.69829372660001</c:v>
                </c:pt>
                <c:pt idx="28">
                  <c:v>503.28921695640003</c:v>
                </c:pt>
                <c:pt idx="29">
                  <c:v>478.53085074020004</c:v>
                </c:pt>
                <c:pt idx="30">
                  <c:v>454.46326177309999</c:v>
                </c:pt>
                <c:pt idx="31">
                  <c:v>431.11873474970002</c:v>
                </c:pt>
                <c:pt idx="32">
                  <c:v>408.52228989680003</c:v>
                </c:pt>
                <c:pt idx="33">
                  <c:v>386.6925632178</c:v>
                </c:pt>
                <c:pt idx="34">
                  <c:v>365.64258324759999</c:v>
                </c:pt>
                <c:pt idx="35">
                  <c:v>345.38043912969999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69-4604-817E-AE29F1EB4142}"/>
            </c:ext>
          </c:extLst>
        </c:ser>
        <c:ser>
          <c:idx val="6"/>
          <c:order val="6"/>
          <c:tx>
            <c:strRef>
              <c:f>Données!$B$337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Données!$C$337:$AL$337</c:f>
              <c:numCache>
                <c:formatCode>#,##0</c:formatCode>
                <c:ptCount val="36"/>
                <c:pt idx="0">
                  <c:v>2242.8616504070001</c:v>
                </c:pt>
                <c:pt idx="1">
                  <c:v>2185.9188123916001</c:v>
                </c:pt>
                <c:pt idx="2">
                  <c:v>2135.8167979946002</c:v>
                </c:pt>
                <c:pt idx="3">
                  <c:v>2088.4228977889998</c:v>
                </c:pt>
                <c:pt idx="4">
                  <c:v>2041.1841666683999</c:v>
                </c:pt>
                <c:pt idx="5">
                  <c:v>1992.6249665176999</c:v>
                </c:pt>
                <c:pt idx="6">
                  <c:v>1941.830078019</c:v>
                </c:pt>
                <c:pt idx="7">
                  <c:v>1888.5371878282001</c:v>
                </c:pt>
                <c:pt idx="8">
                  <c:v>1832.7726727468</c:v>
                </c:pt>
                <c:pt idx="9">
                  <c:v>1774.7346797837999</c:v>
                </c:pt>
                <c:pt idx="10">
                  <c:v>1714.9018801362001</c:v>
                </c:pt>
                <c:pt idx="11">
                  <c:v>1653.3920989541</c:v>
                </c:pt>
                <c:pt idx="12">
                  <c:v>1590.5792830972</c:v>
                </c:pt>
                <c:pt idx="13">
                  <c:v>1526.849609029</c:v>
                </c:pt>
                <c:pt idx="14">
                  <c:v>1462.5882909169</c:v>
                </c:pt>
                <c:pt idx="15">
                  <c:v>1398.1686997767001</c:v>
                </c:pt>
                <c:pt idx="16">
                  <c:v>1333.9422139261999</c:v>
                </c:pt>
                <c:pt idx="17">
                  <c:v>1270.2377995457998</c:v>
                </c:pt>
                <c:pt idx="18">
                  <c:v>1207.3560410770999</c:v>
                </c:pt>
                <c:pt idx="19">
                  <c:v>1145.5659331034001</c:v>
                </c:pt>
                <c:pt idx="20">
                  <c:v>1085.0605978204001</c:v>
                </c:pt>
                <c:pt idx="21">
                  <c:v>1026.0989838263999</c:v>
                </c:pt>
                <c:pt idx="22">
                  <c:v>968.85164553779987</c:v>
                </c:pt>
                <c:pt idx="23">
                  <c:v>913.45773264950003</c:v>
                </c:pt>
                <c:pt idx="24">
                  <c:v>860.02695808480007</c:v>
                </c:pt>
                <c:pt idx="25">
                  <c:v>808.57958927169989</c:v>
                </c:pt>
                <c:pt idx="26">
                  <c:v>759.23101203570002</c:v>
                </c:pt>
                <c:pt idx="27">
                  <c:v>712.02764288879996</c:v>
                </c:pt>
                <c:pt idx="28">
                  <c:v>666.9930798685001</c:v>
                </c:pt>
                <c:pt idx="29">
                  <c:v>624.13052272079995</c:v>
                </c:pt>
                <c:pt idx="30">
                  <c:v>583.42566308100004</c:v>
                </c:pt>
                <c:pt idx="31">
                  <c:v>544.84953869719993</c:v>
                </c:pt>
                <c:pt idx="32">
                  <c:v>508.36093281540002</c:v>
                </c:pt>
                <c:pt idx="33">
                  <c:v>473.90871636829996</c:v>
                </c:pt>
                <c:pt idx="34">
                  <c:v>441.43387104840002</c:v>
                </c:pt>
                <c:pt idx="35">
                  <c:v>410.87122507540005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69-4604-817E-AE29F1EB4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energy</a:t>
            </a:r>
            <a:r>
              <a:rPr lang="fr-FR" sz="2800" baseline="0"/>
              <a:t> (shock)</a:t>
            </a:r>
          </a:p>
          <a:p>
            <a:pPr>
              <a:defRPr sz="2800"/>
            </a:pPr>
            <a:r>
              <a:rPr lang="fr-FR" sz="1800" i="1" baseline="0"/>
              <a:t>thousands</a:t>
            </a:r>
            <a:endParaRPr lang="fr-FR" sz="1800" i="1"/>
          </a:p>
        </c:rich>
      </c:tx>
      <c:layout>
        <c:manualLayout>
          <c:xMode val="edge"/>
          <c:yMode val="edge"/>
          <c:x val="0.29110930698597887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Données!$B$298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Données!$C$298:$AL$298</c:f>
              <c:numCache>
                <c:formatCode>#,##0</c:formatCode>
                <c:ptCount val="36"/>
                <c:pt idx="0">
                  <c:v>32271.24</c:v>
                </c:pt>
                <c:pt idx="1">
                  <c:v>31828.581289999998</c:v>
                </c:pt>
                <c:pt idx="2">
                  <c:v>31568.499810000001</c:v>
                </c:pt>
                <c:pt idx="3">
                  <c:v>31437.450919999999</c:v>
                </c:pt>
                <c:pt idx="4">
                  <c:v>31398.918549999999</c:v>
                </c:pt>
                <c:pt idx="5">
                  <c:v>31429.14328</c:v>
                </c:pt>
                <c:pt idx="6">
                  <c:v>31508.89457</c:v>
                </c:pt>
                <c:pt idx="7">
                  <c:v>31627.979480000002</c:v>
                </c:pt>
                <c:pt idx="8">
                  <c:v>31779.219659999999</c:v>
                </c:pt>
                <c:pt idx="9">
                  <c:v>31957.210210000001</c:v>
                </c:pt>
                <c:pt idx="10">
                  <c:v>32164.209940000001</c:v>
                </c:pt>
                <c:pt idx="11">
                  <c:v>32389.416499999999</c:v>
                </c:pt>
                <c:pt idx="12">
                  <c:v>32629.554660000002</c:v>
                </c:pt>
                <c:pt idx="13">
                  <c:v>32881.75748</c:v>
                </c:pt>
                <c:pt idx="14">
                  <c:v>33143.602559999999</c:v>
                </c:pt>
                <c:pt idx="15">
                  <c:v>33413.06682</c:v>
                </c:pt>
                <c:pt idx="16">
                  <c:v>33688.27317</c:v>
                </c:pt>
                <c:pt idx="17">
                  <c:v>33967.725639999997</c:v>
                </c:pt>
                <c:pt idx="18">
                  <c:v>34250.18722</c:v>
                </c:pt>
                <c:pt idx="19">
                  <c:v>34534.609409999997</c:v>
                </c:pt>
                <c:pt idx="20">
                  <c:v>34815.348510000003</c:v>
                </c:pt>
                <c:pt idx="21">
                  <c:v>35096.761149999998</c:v>
                </c:pt>
                <c:pt idx="22">
                  <c:v>35378.275970000002</c:v>
                </c:pt>
                <c:pt idx="23">
                  <c:v>35659.47653</c:v>
                </c:pt>
                <c:pt idx="24">
                  <c:v>35939.999860000004</c:v>
                </c:pt>
                <c:pt idx="25">
                  <c:v>36206.153050000001</c:v>
                </c:pt>
                <c:pt idx="26">
                  <c:v>36465.8851</c:v>
                </c:pt>
                <c:pt idx="27">
                  <c:v>36719.668579999998</c:v>
                </c:pt>
                <c:pt idx="28">
                  <c:v>36968.230960000001</c:v>
                </c:pt>
                <c:pt idx="29">
                  <c:v>37212.358090000002</c:v>
                </c:pt>
                <c:pt idx="30">
                  <c:v>37452.795010000002</c:v>
                </c:pt>
                <c:pt idx="31">
                  <c:v>37690.239699999998</c:v>
                </c:pt>
                <c:pt idx="32">
                  <c:v>37925.266920000002</c:v>
                </c:pt>
                <c:pt idx="33">
                  <c:v>38158.350339999997</c:v>
                </c:pt>
                <c:pt idx="34">
                  <c:v>38389.885329999997</c:v>
                </c:pt>
                <c:pt idx="35">
                  <c:v>38620.208180000001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2B-4332-9B45-E28FEF7596CF}"/>
            </c:ext>
          </c:extLst>
        </c:ser>
        <c:ser>
          <c:idx val="2"/>
          <c:order val="2"/>
          <c:tx>
            <c:strRef>
              <c:f>Données!$B$299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Données!$C$299:$AL$299</c:f>
              <c:numCache>
                <c:formatCode>#,##0</c:formatCode>
                <c:ptCount val="36"/>
                <c:pt idx="0">
                  <c:v>1.9359999999999999</c:v>
                </c:pt>
                <c:pt idx="1">
                  <c:v>1.98879538</c:v>
                </c:pt>
                <c:pt idx="2">
                  <c:v>2.050735521</c:v>
                </c:pt>
                <c:pt idx="3">
                  <c:v>2.117944193</c:v>
                </c:pt>
                <c:pt idx="4">
                  <c:v>2.1878679540000001</c:v>
                </c:pt>
                <c:pt idx="5">
                  <c:v>2.258945915</c:v>
                </c:pt>
                <c:pt idx="6">
                  <c:v>2.3299398820000001</c:v>
                </c:pt>
                <c:pt idx="7">
                  <c:v>2.4003225819999998</c:v>
                </c:pt>
                <c:pt idx="8">
                  <c:v>2.469786316</c:v>
                </c:pt>
                <c:pt idx="9">
                  <c:v>2.5381446730000001</c:v>
                </c:pt>
                <c:pt idx="10">
                  <c:v>2.6058313929999999</c:v>
                </c:pt>
                <c:pt idx="11">
                  <c:v>2.6721705939999998</c:v>
                </c:pt>
                <c:pt idx="12">
                  <c:v>2.737090373</c:v>
                </c:pt>
                <c:pt idx="13">
                  <c:v>2.8005362109999998</c:v>
                </c:pt>
                <c:pt idx="14">
                  <c:v>2.8624755959999999</c:v>
                </c:pt>
                <c:pt idx="15">
                  <c:v>2.9228957609999999</c:v>
                </c:pt>
                <c:pt idx="16">
                  <c:v>2.9817837730000001</c:v>
                </c:pt>
                <c:pt idx="17">
                  <c:v>3.0391472560000001</c:v>
                </c:pt>
                <c:pt idx="18">
                  <c:v>3.0950053280000001</c:v>
                </c:pt>
                <c:pt idx="19">
                  <c:v>3.149383668</c:v>
                </c:pt>
                <c:pt idx="20">
                  <c:v>3.2019134419999999</c:v>
                </c:pt>
                <c:pt idx="21">
                  <c:v>3.2530521120000002</c:v>
                </c:pt>
                <c:pt idx="22">
                  <c:v>3.302843025</c:v>
                </c:pt>
                <c:pt idx="23">
                  <c:v>3.351336098</c:v>
                </c:pt>
                <c:pt idx="24">
                  <c:v>3.3985798979999999</c:v>
                </c:pt>
                <c:pt idx="25">
                  <c:v>3.443497722</c:v>
                </c:pt>
                <c:pt idx="26">
                  <c:v>3.4868087970000001</c:v>
                </c:pt>
                <c:pt idx="27">
                  <c:v>3.528611266</c:v>
                </c:pt>
                <c:pt idx="28">
                  <c:v>3.569021642</c:v>
                </c:pt>
                <c:pt idx="29">
                  <c:v>3.608158816</c:v>
                </c:pt>
                <c:pt idx="30">
                  <c:v>3.6461359579999999</c:v>
                </c:pt>
                <c:pt idx="31">
                  <c:v>3.6830600819999999</c:v>
                </c:pt>
                <c:pt idx="32">
                  <c:v>3.7190257249999998</c:v>
                </c:pt>
                <c:pt idx="33">
                  <c:v>3.7541167799999999</c:v>
                </c:pt>
                <c:pt idx="34">
                  <c:v>3.7884084169999999</c:v>
                </c:pt>
                <c:pt idx="35">
                  <c:v>3.8219687269999998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2B-4332-9B45-E28FEF7596CF}"/>
            </c:ext>
          </c:extLst>
        </c:ser>
        <c:ser>
          <c:idx val="3"/>
          <c:order val="3"/>
          <c:tx>
            <c:strRef>
              <c:f>Données!$B$300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Données!$C$300:$AL$300</c:f>
              <c:numCache>
                <c:formatCode>#,##0</c:formatCode>
                <c:ptCount val="36"/>
                <c:pt idx="0">
                  <c:v>44.765000000000001</c:v>
                </c:pt>
                <c:pt idx="1">
                  <c:v>62.087170520000001</c:v>
                </c:pt>
                <c:pt idx="2">
                  <c:v>80.080340199999995</c:v>
                </c:pt>
                <c:pt idx="3">
                  <c:v>98.370824130000003</c:v>
                </c:pt>
                <c:pt idx="4">
                  <c:v>116.72746309999999</c:v>
                </c:pt>
                <c:pt idx="5">
                  <c:v>135.0213363</c:v>
                </c:pt>
                <c:pt idx="6">
                  <c:v>153.15042099999999</c:v>
                </c:pt>
                <c:pt idx="7">
                  <c:v>171.0823417</c:v>
                </c:pt>
                <c:pt idx="8">
                  <c:v>188.80245880000001</c:v>
                </c:pt>
                <c:pt idx="9">
                  <c:v>206.30444220000001</c:v>
                </c:pt>
                <c:pt idx="10">
                  <c:v>223.64811589999999</c:v>
                </c:pt>
                <c:pt idx="11">
                  <c:v>240.76619740000001</c:v>
                </c:pt>
                <c:pt idx="12">
                  <c:v>257.65526690000002</c:v>
                </c:pt>
                <c:pt idx="13">
                  <c:v>274.31222450000001</c:v>
                </c:pt>
                <c:pt idx="14">
                  <c:v>290.7354795</c:v>
                </c:pt>
                <c:pt idx="15">
                  <c:v>306.92521360000001</c:v>
                </c:pt>
                <c:pt idx="16">
                  <c:v>322.88140650000003</c:v>
                </c:pt>
                <c:pt idx="17">
                  <c:v>338.60652299999998</c:v>
                </c:pt>
                <c:pt idx="18">
                  <c:v>354.1048874</c:v>
                </c:pt>
                <c:pt idx="19">
                  <c:v>369.38240000000002</c:v>
                </c:pt>
                <c:pt idx="20">
                  <c:v>384.39880399999998</c:v>
                </c:pt>
                <c:pt idx="21">
                  <c:v>399.21260799999999</c:v>
                </c:pt>
                <c:pt idx="22">
                  <c:v>413.83574720000001</c:v>
                </c:pt>
                <c:pt idx="23">
                  <c:v>428.28234129999998</c:v>
                </c:pt>
                <c:pt idx="24">
                  <c:v>442.56774419999999</c:v>
                </c:pt>
                <c:pt idx="25">
                  <c:v>456.57002180000001</c:v>
                </c:pt>
                <c:pt idx="26">
                  <c:v>470.38610829999999</c:v>
                </c:pt>
                <c:pt idx="27">
                  <c:v>484.04121900000001</c:v>
                </c:pt>
                <c:pt idx="28">
                  <c:v>497.56518369999998</c:v>
                </c:pt>
                <c:pt idx="29">
                  <c:v>510.9904219</c:v>
                </c:pt>
                <c:pt idx="30">
                  <c:v>524.35088470000005</c:v>
                </c:pt>
                <c:pt idx="31">
                  <c:v>537.68198259999997</c:v>
                </c:pt>
                <c:pt idx="32">
                  <c:v>551.01975070000003</c:v>
                </c:pt>
                <c:pt idx="33">
                  <c:v>564.40100600000005</c:v>
                </c:pt>
                <c:pt idx="34">
                  <c:v>577.86356560000002</c:v>
                </c:pt>
                <c:pt idx="35">
                  <c:v>591.44648229999996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2B-4332-9B45-E28FEF759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Données!$B$297</c15:sqref>
                        </c15:formulaRef>
                      </c:ext>
                    </c:extLst>
                    <c:strCache>
                      <c:ptCount val="1"/>
                      <c:pt idx="0">
                        <c:v>Vehicles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Données!$C$296:$AL$296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Données!$C$297:$AL$297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32317.940999999999</c:v>
                      </c:pt>
                      <c:pt idx="1">
                        <c:v>31892.65725</c:v>
                      </c:pt>
                      <c:pt idx="2">
                        <c:v>31650.630880000001</c:v>
                      </c:pt>
                      <c:pt idx="3">
                        <c:v>31537.939689999999</c:v>
                      </c:pt>
                      <c:pt idx="4">
                        <c:v>31517.833879999998</c:v>
                      </c:pt>
                      <c:pt idx="5">
                        <c:v>31566.423569999999</c:v>
                      </c:pt>
                      <c:pt idx="6">
                        <c:v>31664.374930000002</c:v>
                      </c:pt>
                      <c:pt idx="7">
                        <c:v>31801.46214</c:v>
                      </c:pt>
                      <c:pt idx="8">
                        <c:v>31970.491900000001</c:v>
                      </c:pt>
                      <c:pt idx="9">
                        <c:v>32166.052790000002</c:v>
                      </c:pt>
                      <c:pt idx="10">
                        <c:v>32390.463889999999</c:v>
                      </c:pt>
                      <c:pt idx="11">
                        <c:v>32632.854859999999</c:v>
                      </c:pt>
                      <c:pt idx="12">
                        <c:v>32889.947010000004</c:v>
                      </c:pt>
                      <c:pt idx="13">
                        <c:v>33158.870239999997</c:v>
                      </c:pt>
                      <c:pt idx="14">
                        <c:v>33437.200510000002</c:v>
                      </c:pt>
                      <c:pt idx="15">
                        <c:v>33722.914929999999</c:v>
                      </c:pt>
                      <c:pt idx="16">
                        <c:v>34014.136359999997</c:v>
                      </c:pt>
                      <c:pt idx="17">
                        <c:v>34309.371310000002</c:v>
                      </c:pt>
                      <c:pt idx="18">
                        <c:v>34607.387110000003</c:v>
                      </c:pt>
                      <c:pt idx="19">
                        <c:v>34907.141190000002</c:v>
                      </c:pt>
                      <c:pt idx="20">
                        <c:v>35202.949220000002</c:v>
                      </c:pt>
                      <c:pt idx="21">
                        <c:v>35499.22681</c:v>
                      </c:pt>
                      <c:pt idx="22">
                        <c:v>35795.414550000001</c:v>
                      </c:pt>
                      <c:pt idx="23">
                        <c:v>36091.110200000003</c:v>
                      </c:pt>
                      <c:pt idx="24">
                        <c:v>36385.966180000003</c:v>
                      </c:pt>
                      <c:pt idx="25">
                        <c:v>36666.166570000001</c:v>
                      </c:pt>
                      <c:pt idx="26">
                        <c:v>36939.758020000001</c:v>
                      </c:pt>
                      <c:pt idx="27">
                        <c:v>37207.238409999998</c:v>
                      </c:pt>
                      <c:pt idx="28">
                        <c:v>37469.365160000001</c:v>
                      </c:pt>
                      <c:pt idx="29">
                        <c:v>37726.956660000003</c:v>
                      </c:pt>
                      <c:pt idx="30">
                        <c:v>37980.792029999997</c:v>
                      </c:pt>
                      <c:pt idx="31">
                        <c:v>38231.604740000002</c:v>
                      </c:pt>
                      <c:pt idx="32">
                        <c:v>38480.005689999998</c:v>
                      </c:pt>
                      <c:pt idx="33">
                        <c:v>38726.50546</c:v>
                      </c:pt>
                      <c:pt idx="34">
                        <c:v>38971.537300000004</c:v>
                      </c:pt>
                      <c:pt idx="35">
                        <c:v>39215.476620000001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A2B-4332-9B45-E28FEF7596CF}"/>
                  </c:ext>
                </c:extLst>
              </c15:ser>
            </c15:filteredAreaSeries>
          </c:ext>
        </c:extLst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5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energy</a:t>
            </a:r>
            <a:r>
              <a:rPr lang="fr-FR" sz="2800" baseline="0"/>
              <a:t> (baseline)</a:t>
            </a:r>
          </a:p>
          <a:p>
            <a:pPr>
              <a:defRPr sz="2800"/>
            </a:pPr>
            <a:r>
              <a:rPr lang="fr-FR" sz="1800" i="1" baseline="0"/>
              <a:t>thousands</a:t>
            </a:r>
            <a:endParaRPr lang="fr-FR" sz="1800" i="1"/>
          </a:p>
        </c:rich>
      </c:tx>
      <c:layout>
        <c:manualLayout>
          <c:xMode val="edge"/>
          <c:yMode val="edge"/>
          <c:x val="0.28700858772412563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Données!$B$304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Données!$C$304:$AL$304</c:f>
              <c:numCache>
                <c:formatCode>#,##0</c:formatCode>
                <c:ptCount val="36"/>
                <c:pt idx="0">
                  <c:v>32271.24</c:v>
                </c:pt>
                <c:pt idx="1">
                  <c:v>31833.810700000002</c:v>
                </c:pt>
                <c:pt idx="2">
                  <c:v>31584.359960000002</c:v>
                </c:pt>
                <c:pt idx="3">
                  <c:v>31468.80747</c:v>
                </c:pt>
                <c:pt idx="4">
                  <c:v>31449.977060000001</c:v>
                </c:pt>
                <c:pt idx="5">
                  <c:v>31503.4094</c:v>
                </c:pt>
                <c:pt idx="6">
                  <c:v>31609.234810000002</c:v>
                </c:pt>
                <c:pt idx="7">
                  <c:v>31756.628499999999</c:v>
                </c:pt>
                <c:pt idx="8">
                  <c:v>31937.825000000001</c:v>
                </c:pt>
                <c:pt idx="9">
                  <c:v>32146.89169</c:v>
                </c:pt>
                <c:pt idx="10">
                  <c:v>32385.64774</c:v>
                </c:pt>
                <c:pt idx="11">
                  <c:v>32643.052179999999</c:v>
                </c:pt>
                <c:pt idx="12">
                  <c:v>32915.5245</c:v>
                </c:pt>
                <c:pt idx="13">
                  <c:v>33199.88437</c:v>
                </c:pt>
                <c:pt idx="14">
                  <c:v>33493.418489999996</c:v>
                </c:pt>
                <c:pt idx="15">
                  <c:v>33793.846680000002</c:v>
                </c:pt>
                <c:pt idx="16">
                  <c:v>34099.257989999998</c:v>
                </c:pt>
                <c:pt idx="17">
                  <c:v>34408.045279999998</c:v>
                </c:pt>
                <c:pt idx="18">
                  <c:v>34718.85067</c:v>
                </c:pt>
                <c:pt idx="19">
                  <c:v>35030.525179999997</c:v>
                </c:pt>
                <c:pt idx="20">
                  <c:v>35337.312810000003</c:v>
                </c:pt>
                <c:pt idx="21">
                  <c:v>35643.540569999997</c:v>
                </c:pt>
                <c:pt idx="22">
                  <c:v>35948.642520000001</c:v>
                </c:pt>
                <c:pt idx="23">
                  <c:v>36252.232790000002</c:v>
                </c:pt>
                <c:pt idx="24">
                  <c:v>36553.99798</c:v>
                </c:pt>
                <c:pt idx="25">
                  <c:v>36840.178110000001</c:v>
                </c:pt>
                <c:pt idx="26">
                  <c:v>37118.699930000002</c:v>
                </c:pt>
                <c:pt idx="27">
                  <c:v>37390.109909999999</c:v>
                </c:pt>
                <c:pt idx="28">
                  <c:v>37655.248699999996</c:v>
                </c:pt>
                <c:pt idx="29">
                  <c:v>37915.026089999999</c:v>
                </c:pt>
                <c:pt idx="30">
                  <c:v>38170.309860000001</c:v>
                </c:pt>
                <c:pt idx="31">
                  <c:v>38421.875939999998</c:v>
                </c:pt>
                <c:pt idx="32">
                  <c:v>38670.394939999998</c:v>
                </c:pt>
                <c:pt idx="33">
                  <c:v>38916.438419999999</c:v>
                </c:pt>
                <c:pt idx="34">
                  <c:v>39160.493719999999</c:v>
                </c:pt>
                <c:pt idx="35">
                  <c:v>39402.980309999999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4-4D49-89F4-ABF65BD94CDB}"/>
            </c:ext>
          </c:extLst>
        </c:ser>
        <c:ser>
          <c:idx val="2"/>
          <c:order val="2"/>
          <c:tx>
            <c:strRef>
              <c:f>Données!$B$305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Données!$C$305:$AL$305</c:f>
              <c:numCache>
                <c:formatCode>#,##0</c:formatCode>
                <c:ptCount val="36"/>
                <c:pt idx="0">
                  <c:v>1.9359999999999999</c:v>
                </c:pt>
                <c:pt idx="1">
                  <c:v>1.9892347079999999</c:v>
                </c:pt>
                <c:pt idx="2">
                  <c:v>2.0520746779999999</c:v>
                </c:pt>
                <c:pt idx="3">
                  <c:v>2.1206052120000001</c:v>
                </c:pt>
                <c:pt idx="4">
                  <c:v>2.1922228439999998</c:v>
                </c:pt>
                <c:pt idx="5">
                  <c:v>2.2653121299999999</c:v>
                </c:pt>
                <c:pt idx="6">
                  <c:v>2.3385842600000002</c:v>
                </c:pt>
                <c:pt idx="7">
                  <c:v>2.4114609420000002</c:v>
                </c:pt>
                <c:pt idx="8">
                  <c:v>2.4835862729999998</c:v>
                </c:pt>
                <c:pt idx="9">
                  <c:v>2.5547298029999999</c:v>
                </c:pt>
                <c:pt idx="10">
                  <c:v>2.6252879359999999</c:v>
                </c:pt>
                <c:pt idx="11">
                  <c:v>2.694563799</c:v>
                </c:pt>
                <c:pt idx="12">
                  <c:v>2.7624586529999999</c:v>
                </c:pt>
                <c:pt idx="13">
                  <c:v>2.8288901389999999</c:v>
                </c:pt>
                <c:pt idx="14">
                  <c:v>2.893799488</c:v>
                </c:pt>
                <c:pt idx="15">
                  <c:v>2.9571502550000002</c:v>
                </c:pt>
                <c:pt idx="16">
                  <c:v>3.0189243800000001</c:v>
                </c:pt>
                <c:pt idx="17">
                  <c:v>3.0791179660000001</c:v>
                </c:pt>
                <c:pt idx="18">
                  <c:v>3.1377377919999998</c:v>
                </c:pt>
                <c:pt idx="19">
                  <c:v>3.194798885</c:v>
                </c:pt>
                <c:pt idx="20">
                  <c:v>3.249920779</c:v>
                </c:pt>
                <c:pt idx="21">
                  <c:v>3.3035562430000001</c:v>
                </c:pt>
                <c:pt idx="22">
                  <c:v>3.3557469709999999</c:v>
                </c:pt>
                <c:pt idx="23">
                  <c:v>3.4065434830000001</c:v>
                </c:pt>
                <c:pt idx="24">
                  <c:v>3.4559967060000001</c:v>
                </c:pt>
                <c:pt idx="25">
                  <c:v>3.5030226710000001</c:v>
                </c:pt>
                <c:pt idx="26">
                  <c:v>3.5483371269999999</c:v>
                </c:pt>
                <c:pt idx="27">
                  <c:v>3.5920428819999999</c:v>
                </c:pt>
                <c:pt idx="28">
                  <c:v>3.634264607</c:v>
                </c:pt>
                <c:pt idx="29">
                  <c:v>3.6751304889999998</c:v>
                </c:pt>
                <c:pt idx="30">
                  <c:v>3.714763118</c:v>
                </c:pt>
                <c:pt idx="31">
                  <c:v>3.7532753790000002</c:v>
                </c:pt>
                <c:pt idx="32">
                  <c:v>3.7907693299999998</c:v>
                </c:pt>
                <c:pt idx="33">
                  <c:v>3.8273367110000001</c:v>
                </c:pt>
                <c:pt idx="34">
                  <c:v>3.8630601900000001</c:v>
                </c:pt>
                <c:pt idx="35">
                  <c:v>3.8980147519999999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4-4D49-89F4-ABF65BD94CDB}"/>
            </c:ext>
          </c:extLst>
        </c:ser>
        <c:ser>
          <c:idx val="3"/>
          <c:order val="3"/>
          <c:tx>
            <c:strRef>
              <c:f>Données!$B$306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Données!$C$306:$AL$306</c:f>
              <c:numCache>
                <c:formatCode>#,##0</c:formatCode>
                <c:ptCount val="36"/>
                <c:pt idx="0">
                  <c:v>44.765000000000001</c:v>
                </c:pt>
                <c:pt idx="1">
                  <c:v>62.138891620000003</c:v>
                </c:pt>
                <c:pt idx="2">
                  <c:v>80.239419889999994</c:v>
                </c:pt>
                <c:pt idx="3">
                  <c:v>98.69046573</c:v>
                </c:pt>
                <c:pt idx="4">
                  <c:v>117.2565567</c:v>
                </c:pt>
                <c:pt idx="5">
                  <c:v>135.80346929999999</c:v>
                </c:pt>
                <c:pt idx="6">
                  <c:v>154.22384930000001</c:v>
                </c:pt>
                <c:pt idx="7">
                  <c:v>172.4795866</c:v>
                </c:pt>
                <c:pt idx="8">
                  <c:v>190.55027509999999</c:v>
                </c:pt>
                <c:pt idx="9">
                  <c:v>208.42404629999999</c:v>
                </c:pt>
                <c:pt idx="10">
                  <c:v>226.1559082</c:v>
                </c:pt>
                <c:pt idx="11">
                  <c:v>243.67552910000001</c:v>
                </c:pt>
                <c:pt idx="12">
                  <c:v>260.9760488</c:v>
                </c:pt>
                <c:pt idx="13">
                  <c:v>278.05094400000002</c:v>
                </c:pt>
                <c:pt idx="14">
                  <c:v>294.89550739999999</c:v>
                </c:pt>
                <c:pt idx="15">
                  <c:v>311.50724439999999</c:v>
                </c:pt>
                <c:pt idx="16">
                  <c:v>327.88587369999999</c:v>
                </c:pt>
                <c:pt idx="17">
                  <c:v>344.03322709999998</c:v>
                </c:pt>
                <c:pt idx="18">
                  <c:v>359.9531743</c:v>
                </c:pt>
                <c:pt idx="19">
                  <c:v>375.65161289999998</c:v>
                </c:pt>
                <c:pt idx="20">
                  <c:v>391.08838960000003</c:v>
                </c:pt>
                <c:pt idx="21">
                  <c:v>406.3232749</c:v>
                </c:pt>
                <c:pt idx="22">
                  <c:v>421.3701208</c:v>
                </c:pt>
                <c:pt idx="23">
                  <c:v>436.24558580000001</c:v>
                </c:pt>
                <c:pt idx="24">
                  <c:v>450.96814089999998</c:v>
                </c:pt>
                <c:pt idx="25">
                  <c:v>465.417776</c:v>
                </c:pt>
                <c:pt idx="26">
                  <c:v>479.69443699999999</c:v>
                </c:pt>
                <c:pt idx="27">
                  <c:v>493.82743290000002</c:v>
                </c:pt>
                <c:pt idx="28">
                  <c:v>507.8514697</c:v>
                </c:pt>
                <c:pt idx="29">
                  <c:v>521.80439939999997</c:v>
                </c:pt>
                <c:pt idx="30">
                  <c:v>535.72607170000003</c:v>
                </c:pt>
                <c:pt idx="31">
                  <c:v>549.65778399999999</c:v>
                </c:pt>
                <c:pt idx="32">
                  <c:v>563.64209840000001</c:v>
                </c:pt>
                <c:pt idx="33">
                  <c:v>577.72288040000001</c:v>
                </c:pt>
                <c:pt idx="34">
                  <c:v>591.94546490000005</c:v>
                </c:pt>
                <c:pt idx="35">
                  <c:v>606.35688600000003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D4-4D49-89F4-ABF65BD94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Données!$B$303</c15:sqref>
                        </c15:formulaRef>
                      </c:ext>
                    </c:extLst>
                    <c:strCache>
                      <c:ptCount val="1"/>
                      <c:pt idx="0">
                        <c:v>Vehicles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Données!$C$302:$AL$302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Données!$C$303:$AL$303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32317.940999999999</c:v>
                      </c:pt>
                      <c:pt idx="1">
                        <c:v>31897.938829999999</c:v>
                      </c:pt>
                      <c:pt idx="2">
                        <c:v>31666.651450000001</c:v>
                      </c:pt>
                      <c:pt idx="3">
                        <c:v>31569.618539999999</c:v>
                      </c:pt>
                      <c:pt idx="4">
                        <c:v>31569.42584</c:v>
                      </c:pt>
                      <c:pt idx="5">
                        <c:v>31641.478179999998</c:v>
                      </c:pt>
                      <c:pt idx="6">
                        <c:v>31765.79724</c:v>
                      </c:pt>
                      <c:pt idx="7">
                        <c:v>31931.519540000001</c:v>
                      </c:pt>
                      <c:pt idx="8">
                        <c:v>32130.85886</c:v>
                      </c:pt>
                      <c:pt idx="9">
                        <c:v>32357.870459999998</c:v>
                      </c:pt>
                      <c:pt idx="10">
                        <c:v>32614.428929999998</c:v>
                      </c:pt>
                      <c:pt idx="11">
                        <c:v>32889.422270000003</c:v>
                      </c:pt>
                      <c:pt idx="12">
                        <c:v>33179.262999999999</c:v>
                      </c:pt>
                      <c:pt idx="13">
                        <c:v>33480.764210000001</c:v>
                      </c:pt>
                      <c:pt idx="14">
                        <c:v>33791.20779</c:v>
                      </c:pt>
                      <c:pt idx="15">
                        <c:v>34108.311079999999</c:v>
                      </c:pt>
                      <c:pt idx="16">
                        <c:v>34430.162790000002</c:v>
                      </c:pt>
                      <c:pt idx="17">
                        <c:v>34755.157619999998</c:v>
                      </c:pt>
                      <c:pt idx="18">
                        <c:v>35081.941579999999</c:v>
                      </c:pt>
                      <c:pt idx="19">
                        <c:v>35409.371590000002</c:v>
                      </c:pt>
                      <c:pt idx="20">
                        <c:v>35731.651120000002</c:v>
                      </c:pt>
                      <c:pt idx="21">
                        <c:v>36053.167399999998</c:v>
                      </c:pt>
                      <c:pt idx="22">
                        <c:v>36373.36838</c:v>
                      </c:pt>
                      <c:pt idx="23">
                        <c:v>36691.884910000001</c:v>
                      </c:pt>
                      <c:pt idx="24">
                        <c:v>37008.42211</c:v>
                      </c:pt>
                      <c:pt idx="25">
                        <c:v>37309.098899999997</c:v>
                      </c:pt>
                      <c:pt idx="26">
                        <c:v>37601.9427</c:v>
                      </c:pt>
                      <c:pt idx="27">
                        <c:v>37887.529390000003</c:v>
                      </c:pt>
                      <c:pt idx="28">
                        <c:v>38166.734429999997</c:v>
                      </c:pt>
                      <c:pt idx="29">
                        <c:v>38440.50561</c:v>
                      </c:pt>
                      <c:pt idx="30">
                        <c:v>38709.750690000001</c:v>
                      </c:pt>
                      <c:pt idx="31">
                        <c:v>38975.286999999997</c:v>
                      </c:pt>
                      <c:pt idx="32">
                        <c:v>39237.827810000003</c:v>
                      </c:pt>
                      <c:pt idx="33">
                        <c:v>39497.988640000003</c:v>
                      </c:pt>
                      <c:pt idx="34">
                        <c:v>39756.302250000001</c:v>
                      </c:pt>
                      <c:pt idx="35">
                        <c:v>40013.235200000003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5BD4-4D49-89F4-ABF65BD94CDB}"/>
                  </c:ext>
                </c:extLst>
              </c15:ser>
            </c15:filteredAreaSeries>
          </c:ext>
        </c:extLst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5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Employment</a:t>
            </a:r>
          </a:p>
          <a:p>
            <a:pPr>
              <a:defRPr/>
            </a:pPr>
            <a:r>
              <a:rPr lang="fr-FR" sz="1800" baseline="0"/>
              <a:t>(deviation in thousands)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6442019357368427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56623915506E-2"/>
          <c:y val="0.15388432122165863"/>
          <c:w val="0.90465257274928901"/>
          <c:h val="0.57456985577238018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Données!$B$227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Données!$C$227:$E$227</c:f>
              <c:numCache>
                <c:formatCode>#,##0</c:formatCode>
                <c:ptCount val="3"/>
                <c:pt idx="0">
                  <c:v>-21.796877600000016</c:v>
                </c:pt>
                <c:pt idx="1">
                  <c:v>-31.168329800000038</c:v>
                </c:pt>
                <c:pt idx="2">
                  <c:v>-38.267859199999975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6-4F95-8245-39FB8CC2FEA0}"/>
            </c:ext>
          </c:extLst>
        </c:ser>
        <c:ser>
          <c:idx val="2"/>
          <c:order val="2"/>
          <c:tx>
            <c:strRef>
              <c:f>Données!$B$228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Données!$C$228:$E$228</c:f>
              <c:numCache>
                <c:formatCode>#,##0</c:formatCode>
                <c:ptCount val="3"/>
                <c:pt idx="0">
                  <c:v>-133.35000200000013</c:v>
                </c:pt>
                <c:pt idx="1">
                  <c:v>-213.57981899999959</c:v>
                </c:pt>
                <c:pt idx="2">
                  <c:v>-281.11198599999989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6-4F95-8245-39FB8CC2FEA0}"/>
            </c:ext>
          </c:extLst>
        </c:ser>
        <c:ser>
          <c:idx val="3"/>
          <c:order val="3"/>
          <c:tx>
            <c:strRef>
              <c:f>Données!$B$229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Données!$C$229:$E$229</c:f>
              <c:numCache>
                <c:formatCode>#,##0</c:formatCode>
                <c:ptCount val="3"/>
                <c:pt idx="0">
                  <c:v>-20.625861899999904</c:v>
                </c:pt>
                <c:pt idx="1">
                  <c:v>-29.801097700000014</c:v>
                </c:pt>
                <c:pt idx="2">
                  <c:v>-37.471025700000041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16-4F95-8245-39FB8CC2FEA0}"/>
            </c:ext>
          </c:extLst>
        </c:ser>
        <c:ser>
          <c:idx val="4"/>
          <c:order val="4"/>
          <c:tx>
            <c:strRef>
              <c:f>Données!$B$230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Données!$C$230:$E$230</c:f>
              <c:numCache>
                <c:formatCode>#,##0</c:formatCode>
                <c:ptCount val="3"/>
                <c:pt idx="0">
                  <c:v>-400.8930500000024</c:v>
                </c:pt>
                <c:pt idx="1">
                  <c:v>-580.62826000000132</c:v>
                </c:pt>
                <c:pt idx="2">
                  <c:v>-712.91575000000012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16-4F95-8245-39FB8CC2FEA0}"/>
            </c:ext>
          </c:extLst>
        </c:ser>
        <c:ser>
          <c:idx val="5"/>
          <c:order val="5"/>
          <c:tx>
            <c:strRef>
              <c:f>Données!$B$231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Données!$C$231:$E$231</c:f>
              <c:numCache>
                <c:formatCode>#\ ##0.0</c:formatCode>
                <c:ptCount val="3"/>
                <c:pt idx="0">
                  <c:v>-0.33222373940000161</c:v>
                </c:pt>
                <c:pt idx="1">
                  <c:v>-0.48610028200000066</c:v>
                </c:pt>
                <c:pt idx="2">
                  <c:v>-0.60248460100000045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16-4F95-8245-39FB8CC2FEA0}"/>
            </c:ext>
          </c:extLst>
        </c:ser>
        <c:ser>
          <c:idx val="6"/>
          <c:order val="6"/>
          <c:tx>
            <c:strRef>
              <c:f>Données!$B$232</c:f>
              <c:strCache>
                <c:ptCount val="1"/>
                <c:pt idx="0">
                  <c:v>Renewable Oil &amp; 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Données!$C$232:$E$232</c:f>
              <c:numCache>
                <c:formatCode>#\ ##0.0</c:formatCode>
                <c:ptCount val="3"/>
                <c:pt idx="0">
                  <c:v>-0.21140099059999962</c:v>
                </c:pt>
                <c:pt idx="1">
                  <c:v>-0.31471463799999988</c:v>
                </c:pt>
                <c:pt idx="2">
                  <c:v>-0.38853042899999934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16-4F95-8245-39FB8CC2FEA0}"/>
            </c:ext>
          </c:extLst>
        </c:ser>
        <c:ser>
          <c:idx val="7"/>
          <c:order val="7"/>
          <c:tx>
            <c:strRef>
              <c:f>Données!$B$233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Données!$C$233:$E$233</c:f>
              <c:numCache>
                <c:formatCode>#\ ##0.0</c:formatCode>
                <c:ptCount val="3"/>
                <c:pt idx="0">
                  <c:v>-1.8919857100000002</c:v>
                </c:pt>
                <c:pt idx="1">
                  <c:v>-2.405821809999992</c:v>
                </c:pt>
                <c:pt idx="2">
                  <c:v>-2.8036999999999921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Données!$B$226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Données!$C$226:$E$226</c:f>
              <c:numCache>
                <c:formatCode>#,##0</c:formatCode>
                <c:ptCount val="3"/>
                <c:pt idx="0">
                  <c:v>-579.10139999999956</c:v>
                </c:pt>
                <c:pt idx="1">
                  <c:v>-858.3841399999983</c:v>
                </c:pt>
                <c:pt idx="2">
                  <c:v>-1073.5613300000005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Investment </a:t>
            </a:r>
            <a:r>
              <a:rPr lang="fr-FR" sz="1800"/>
              <a:t>(%deviation</a:t>
            </a:r>
            <a:r>
              <a:rPr lang="fr-FR" sz="1800" baseline="0"/>
              <a:t> from baseline</a:t>
            </a:r>
            <a:r>
              <a:rPr lang="fr-FR" sz="2800" baseline="0"/>
              <a:t>)</a:t>
            </a:r>
            <a:endParaRPr lang="fr-FR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Données!$B$289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Données!$C$289:$E$289</c:f>
              <c:numCache>
                <c:formatCode>0.0%</c:formatCode>
                <c:ptCount val="3"/>
                <c:pt idx="0">
                  <c:v>-2.7622892029084608E-4</c:v>
                </c:pt>
                <c:pt idx="1">
                  <c:v>-3.6687598516833814E-4</c:v>
                </c:pt>
                <c:pt idx="2">
                  <c:v>-3.8452316755232521E-4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FE-477E-A9C8-4FC424910435}"/>
            </c:ext>
          </c:extLst>
        </c:ser>
        <c:ser>
          <c:idx val="2"/>
          <c:order val="2"/>
          <c:tx>
            <c:strRef>
              <c:f>Données!$B$290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Données!$C$290:$E$290</c:f>
              <c:numCache>
                <c:formatCode>0.0%</c:formatCode>
                <c:ptCount val="3"/>
                <c:pt idx="0">
                  <c:v>-1.6976688741183299E-2</c:v>
                </c:pt>
                <c:pt idx="1">
                  <c:v>-2.9840761154834743E-2</c:v>
                </c:pt>
                <c:pt idx="2">
                  <c:v>-3.995260444624027E-2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FE-477E-A9C8-4FC424910435}"/>
            </c:ext>
          </c:extLst>
        </c:ser>
        <c:ser>
          <c:idx val="3"/>
          <c:order val="3"/>
          <c:tx>
            <c:strRef>
              <c:f>Données!$B$291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Données!$C$291:$E$291</c:f>
              <c:numCache>
                <c:formatCode>0.0%</c:formatCode>
                <c:ptCount val="3"/>
                <c:pt idx="0">
                  <c:v>-6.2853748748430301E-4</c:v>
                </c:pt>
                <c:pt idx="1">
                  <c:v>-9.5766795475931798E-4</c:v>
                </c:pt>
                <c:pt idx="2">
                  <c:v>-1.2113918644226563E-3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FE-477E-A9C8-4FC424910435}"/>
            </c:ext>
          </c:extLst>
        </c:ser>
        <c:ser>
          <c:idx val="4"/>
          <c:order val="4"/>
          <c:tx>
            <c:strRef>
              <c:f>Données!$B$292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Données!$C$292:$E$292</c:f>
              <c:numCache>
                <c:formatCode>0.0%</c:formatCode>
                <c:ptCount val="3"/>
                <c:pt idx="0">
                  <c:v>-1.1423583762478798E-2</c:v>
                </c:pt>
                <c:pt idx="1">
                  <c:v>-1.7949294609167981E-2</c:v>
                </c:pt>
                <c:pt idx="2">
                  <c:v>-2.2217151398543637E-2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FE-477E-A9C8-4FC424910435}"/>
            </c:ext>
          </c:extLst>
        </c:ser>
        <c:ser>
          <c:idx val="5"/>
          <c:order val="5"/>
          <c:tx>
            <c:strRef>
              <c:f>Données!$B$293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Données!$C$293:$E$293</c:f>
              <c:numCache>
                <c:formatCode>0.0%</c:formatCode>
                <c:ptCount val="3"/>
                <c:pt idx="0">
                  <c:v>-1.7458623002968989E-4</c:v>
                </c:pt>
                <c:pt idx="1">
                  <c:v>-2.5898314204278867E-4</c:v>
                </c:pt>
                <c:pt idx="2">
                  <c:v>-3.1162464182045766E-4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FE-477E-A9C8-4FC424910435}"/>
            </c:ext>
          </c:extLst>
        </c:ser>
        <c:ser>
          <c:idx val="6"/>
          <c:order val="6"/>
          <c:tx>
            <c:strRef>
              <c:f>Données!$B$294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Données!$C$294:$E$294</c:f>
              <c:numCache>
                <c:formatCode>0.0%</c:formatCode>
                <c:ptCount val="3"/>
                <c:pt idx="0">
                  <c:v>-1.3860153769397856E-4</c:v>
                </c:pt>
                <c:pt idx="1">
                  <c:v>-1.0699216215715804E-4</c:v>
                </c:pt>
                <c:pt idx="2">
                  <c:v>-3.6326920337185657E-5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FE-477E-A9C8-4FC424910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4"/>
        <c:overlap val="100"/>
        <c:axId val="750236624"/>
        <c:axId val="750231704"/>
      </c:barChart>
      <c:lineChart>
        <c:grouping val="standard"/>
        <c:varyColors val="0"/>
        <c:ser>
          <c:idx val="0"/>
          <c:order val="0"/>
          <c:tx>
            <c:strRef>
              <c:f>Données!$B$288</c:f>
              <c:strCache>
                <c:ptCount val="1"/>
                <c:pt idx="0">
                  <c:v>Firms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Données!$C$288:$E$288</c:f>
              <c:numCache>
                <c:formatCode>0.0%</c:formatCode>
                <c:ptCount val="3"/>
                <c:pt idx="0">
                  <c:v>-2.9618226706627615E-2</c:v>
                </c:pt>
                <c:pt idx="1">
                  <c:v>-4.9480574937345367E-2</c:v>
                </c:pt>
                <c:pt idx="2">
                  <c:v>-6.4113622509106794E-2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FE-477E-A9C8-4FC424910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0236624"/>
        <c:axId val="750231704"/>
      </c:lineChart>
      <c:catAx>
        <c:axId val="75023662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50231704"/>
        <c:crosses val="autoZero"/>
        <c:auto val="1"/>
        <c:lblAlgn val="ctr"/>
        <c:lblOffset val="100"/>
        <c:tickLblSkip val="10"/>
        <c:noMultiLvlLbl val="0"/>
      </c:catAx>
      <c:valAx>
        <c:axId val="75023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5023662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Firms' CO2</a:t>
            </a:r>
            <a:r>
              <a:rPr lang="fr-FR" sz="2800" baseline="0"/>
              <a:t> emissions</a:t>
            </a:r>
          </a:p>
          <a:p>
            <a:pPr>
              <a:defRPr/>
            </a:pPr>
            <a:r>
              <a:rPr lang="fr-FR" i="1" baseline="0"/>
              <a:t>MtCO2/y</a:t>
            </a:r>
            <a:endParaRPr lang="fr-FR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Données!$B$432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Données!$C$432:$F$432</c:f>
              <c:numCache>
                <c:formatCode>#,##0</c:formatCode>
                <c:ptCount val="4"/>
                <c:pt idx="0">
                  <c:v>14.902107326199999</c:v>
                </c:pt>
                <c:pt idx="1">
                  <c:v>17.170376712099998</c:v>
                </c:pt>
                <c:pt idx="2">
                  <c:v>19.837677613899999</c:v>
                </c:pt>
                <c:pt idx="3">
                  <c:v>22.468012298200001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4-46BD-89B3-C66A209FCBCA}"/>
            </c:ext>
          </c:extLst>
        </c:ser>
        <c:ser>
          <c:idx val="1"/>
          <c:order val="1"/>
          <c:tx>
            <c:strRef>
              <c:f>Données!$B$433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Données!$C$433:$F$433</c:f>
              <c:numCache>
                <c:formatCode>#,##0</c:formatCode>
                <c:ptCount val="4"/>
                <c:pt idx="0">
                  <c:v>8.8343927200000003</c:v>
                </c:pt>
                <c:pt idx="1">
                  <c:v>10.25695591</c:v>
                </c:pt>
                <c:pt idx="2">
                  <c:v>11.925550599999999</c:v>
                </c:pt>
                <c:pt idx="3">
                  <c:v>13.497007160000001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4-46BD-89B3-C66A209FCBCA}"/>
            </c:ext>
          </c:extLst>
        </c:ser>
        <c:ser>
          <c:idx val="2"/>
          <c:order val="2"/>
          <c:tx>
            <c:strRef>
              <c:f>Données!$B$434</c:f>
              <c:strCache>
                <c:ptCount val="1"/>
                <c:pt idx="0">
                  <c:v>Glass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Données!$C$434:$F$434</c:f>
              <c:numCache>
                <c:formatCode>#,##0</c:formatCode>
                <c:ptCount val="4"/>
                <c:pt idx="0">
                  <c:v>19.372445322000001</c:v>
                </c:pt>
                <c:pt idx="1">
                  <c:v>22.362685499999998</c:v>
                </c:pt>
                <c:pt idx="2">
                  <c:v>25.846159480000001</c:v>
                </c:pt>
                <c:pt idx="3">
                  <c:v>29.626111350000002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84-46BD-89B3-C66A209FCBCA}"/>
            </c:ext>
          </c:extLst>
        </c:ser>
        <c:ser>
          <c:idx val="3"/>
          <c:order val="3"/>
          <c:tx>
            <c:strRef>
              <c:f>Données!$B$435</c:f>
              <c:strCache>
                <c:ptCount val="1"/>
                <c:pt idx="0">
                  <c:v>Chemicals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Données!$C$435:$F$435</c:f>
              <c:numCache>
                <c:formatCode>#,##0</c:formatCode>
                <c:ptCount val="4"/>
                <c:pt idx="0">
                  <c:v>13.801524219999999</c:v>
                </c:pt>
                <c:pt idx="1">
                  <c:v>15.8755758</c:v>
                </c:pt>
                <c:pt idx="2">
                  <c:v>18.008567769999999</c:v>
                </c:pt>
                <c:pt idx="3">
                  <c:v>20.289999810000001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84-46BD-89B3-C66A209FCBCA}"/>
            </c:ext>
          </c:extLst>
        </c:ser>
        <c:ser>
          <c:idx val="4"/>
          <c:order val="4"/>
          <c:tx>
            <c:strRef>
              <c:f>Données!$B$436</c:f>
              <c:strCache>
                <c:ptCount val="1"/>
                <c:pt idx="0">
                  <c:v>Metal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Données!$C$436:$F$436</c:f>
              <c:numCache>
                <c:formatCode>#,##0</c:formatCode>
                <c:ptCount val="4"/>
                <c:pt idx="0">
                  <c:v>20.029240189999999</c:v>
                </c:pt>
                <c:pt idx="1">
                  <c:v>22.883335280000001</c:v>
                </c:pt>
                <c:pt idx="2">
                  <c:v>26.049210550000002</c:v>
                </c:pt>
                <c:pt idx="3">
                  <c:v>29.511264369999999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84-46BD-89B3-C66A209FCBCA}"/>
            </c:ext>
          </c:extLst>
        </c:ser>
        <c:ser>
          <c:idx val="5"/>
          <c:order val="5"/>
          <c:tx>
            <c:strRef>
              <c:f>Données!$B$437</c:f>
              <c:strCache>
                <c:ptCount val="1"/>
                <c:pt idx="0">
                  <c:v>Other industry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Données!$C$437:$F$437</c:f>
              <c:numCache>
                <c:formatCode>#,##0</c:formatCode>
                <c:ptCount val="4"/>
                <c:pt idx="0">
                  <c:v>16.263361852999999</c:v>
                </c:pt>
                <c:pt idx="1">
                  <c:v>19.129870386</c:v>
                </c:pt>
                <c:pt idx="2">
                  <c:v>22.560456207000001</c:v>
                </c:pt>
                <c:pt idx="3">
                  <c:v>25.663581921999999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84-46BD-89B3-C66A209FCBCA}"/>
            </c:ext>
          </c:extLst>
        </c:ser>
        <c:ser>
          <c:idx val="6"/>
          <c:order val="6"/>
          <c:tx>
            <c:strRef>
              <c:f>Données!$B$438</c:f>
              <c:strCache>
                <c:ptCount val="1"/>
                <c:pt idx="0">
                  <c:v>Road transport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Données!$C$438:$F$438</c:f>
              <c:numCache>
                <c:formatCode>#,##0</c:formatCode>
                <c:ptCount val="4"/>
                <c:pt idx="0">
                  <c:v>17.789753650000002</c:v>
                </c:pt>
                <c:pt idx="1">
                  <c:v>20.222503589999999</c:v>
                </c:pt>
                <c:pt idx="2">
                  <c:v>22.870112979999998</c:v>
                </c:pt>
                <c:pt idx="3">
                  <c:v>25.56821519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84-46BD-89B3-C66A209FCBCA}"/>
            </c:ext>
          </c:extLst>
        </c:ser>
        <c:ser>
          <c:idx val="7"/>
          <c:order val="7"/>
          <c:tx>
            <c:strRef>
              <c:f>Données!$B$439</c:f>
              <c:strCache>
                <c:ptCount val="1"/>
                <c:pt idx="0">
                  <c:v>Air transport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Données!$C$439:$F$439</c:f>
              <c:numCache>
                <c:formatCode>#,##0</c:formatCode>
                <c:ptCount val="4"/>
                <c:pt idx="0">
                  <c:v>19.841027149999999</c:v>
                </c:pt>
                <c:pt idx="1">
                  <c:v>23.467233190000002</c:v>
                </c:pt>
                <c:pt idx="2">
                  <c:v>27.425304740000001</c:v>
                </c:pt>
                <c:pt idx="3">
                  <c:v>31.559848649999999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84-46BD-89B3-C66A209FCBCA}"/>
            </c:ext>
          </c:extLst>
        </c:ser>
        <c:ser>
          <c:idx val="8"/>
          <c:order val="8"/>
          <c:tx>
            <c:strRef>
              <c:f>Données!$B$440</c:f>
              <c:strCache>
                <c:ptCount val="1"/>
                <c:pt idx="0">
                  <c:v>Other transport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Données!$C$440:$F$440</c:f>
              <c:numCache>
                <c:formatCode>#,##0</c:formatCode>
                <c:ptCount val="4"/>
                <c:pt idx="0">
                  <c:v>5.6460410840000002</c:v>
                </c:pt>
                <c:pt idx="1">
                  <c:v>6.4498077929999997</c:v>
                </c:pt>
                <c:pt idx="2">
                  <c:v>7.2380622419999998</c:v>
                </c:pt>
                <c:pt idx="3">
                  <c:v>8.0914196030000003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84-46BD-89B3-C66A209FCBCA}"/>
            </c:ext>
          </c:extLst>
        </c:ser>
        <c:ser>
          <c:idx val="9"/>
          <c:order val="9"/>
          <c:tx>
            <c:strRef>
              <c:f>Données!$B$441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Données!$C$441:$F$441</c:f>
              <c:numCache>
                <c:formatCode>#,##0</c:formatCode>
                <c:ptCount val="4"/>
                <c:pt idx="0">
                  <c:v>51.878028383999997</c:v>
                </c:pt>
                <c:pt idx="1">
                  <c:v>60.924583038999998</c:v>
                </c:pt>
                <c:pt idx="2">
                  <c:v>71.722262493000002</c:v>
                </c:pt>
                <c:pt idx="3">
                  <c:v>82.490358938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84-46BD-89B3-C66A209FCBCA}"/>
            </c:ext>
          </c:extLst>
        </c:ser>
        <c:ser>
          <c:idx val="10"/>
          <c:order val="10"/>
          <c:tx>
            <c:strRef>
              <c:f>Données!$B$442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Données!$C$442:$F$442</c:f>
              <c:numCache>
                <c:formatCode>#,##0</c:formatCode>
                <c:ptCount val="4"/>
                <c:pt idx="0">
                  <c:v>21.522539025</c:v>
                </c:pt>
                <c:pt idx="1">
                  <c:v>23.856844988000002</c:v>
                </c:pt>
                <c:pt idx="2">
                  <c:v>26.540070434</c:v>
                </c:pt>
                <c:pt idx="3">
                  <c:v>29.252803292000003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84-46BD-89B3-C66A209FCBCA}"/>
            </c:ext>
          </c:extLst>
        </c:ser>
        <c:ser>
          <c:idx val="11"/>
          <c:order val="11"/>
          <c:tx>
            <c:strRef>
              <c:f>Données!$B$443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Données!$C$443:$F$443</c:f>
              <c:numCache>
                <c:formatCode>#,##0</c:formatCode>
                <c:ptCount val="4"/>
                <c:pt idx="0">
                  <c:v>25.384164763000001</c:v>
                </c:pt>
                <c:pt idx="1">
                  <c:v>27.489452463999999</c:v>
                </c:pt>
                <c:pt idx="2">
                  <c:v>29.614531185000001</c:v>
                </c:pt>
                <c:pt idx="3">
                  <c:v>31.725405676000001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C84-46BD-89B3-C66A209FC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882840"/>
        <c:axId val="956883496"/>
      </c:barChart>
      <c:catAx>
        <c:axId val="95688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3496"/>
        <c:crosses val="autoZero"/>
        <c:auto val="1"/>
        <c:lblAlgn val="ctr"/>
        <c:lblOffset val="100"/>
        <c:noMultiLvlLbl val="0"/>
      </c:catAx>
      <c:valAx>
        <c:axId val="95688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28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Capital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Données!$B$185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Données!$C$185:$AL$185</c:f>
              <c:numCache>
                <c:formatCode>0%</c:formatCode>
                <c:ptCount val="36"/>
                <c:pt idx="0">
                  <c:v>1.4781414025233364E-3</c:v>
                </c:pt>
                <c:pt idx="1">
                  <c:v>3.1777378906541198E-3</c:v>
                </c:pt>
                <c:pt idx="2">
                  <c:v>4.8671079399480455E-3</c:v>
                </c:pt>
                <c:pt idx="3">
                  <c:v>6.4919173823305698E-3</c:v>
                </c:pt>
                <c:pt idx="4">
                  <c:v>8.000653995522411E-3</c:v>
                </c:pt>
                <c:pt idx="5">
                  <c:v>9.3595001769313235E-3</c:v>
                </c:pt>
                <c:pt idx="6">
                  <c:v>1.0575749884420338E-2</c:v>
                </c:pt>
                <c:pt idx="7">
                  <c:v>1.1617788090380277E-2</c:v>
                </c:pt>
                <c:pt idx="8">
                  <c:v>1.2475145316220626E-2</c:v>
                </c:pt>
                <c:pt idx="9">
                  <c:v>1.3145367070018121E-2</c:v>
                </c:pt>
                <c:pt idx="10">
                  <c:v>1.365609870485196E-2</c:v>
                </c:pt>
                <c:pt idx="11">
                  <c:v>1.4106403012039026E-2</c:v>
                </c:pt>
                <c:pt idx="12">
                  <c:v>1.4443744937103098E-2</c:v>
                </c:pt>
                <c:pt idx="13">
                  <c:v>1.4674656565274447E-2</c:v>
                </c:pt>
                <c:pt idx="14">
                  <c:v>1.4810323303558137E-2</c:v>
                </c:pt>
                <c:pt idx="15">
                  <c:v>1.4863424782529444E-2</c:v>
                </c:pt>
                <c:pt idx="16">
                  <c:v>1.4924822260105497E-2</c:v>
                </c:pt>
                <c:pt idx="17">
                  <c:v>1.4940358972964196E-2</c:v>
                </c:pt>
                <c:pt idx="18">
                  <c:v>1.4917050914894592E-2</c:v>
                </c:pt>
                <c:pt idx="19">
                  <c:v>1.4865299561131806E-2</c:v>
                </c:pt>
                <c:pt idx="20">
                  <c:v>1.479542227728925E-2</c:v>
                </c:pt>
                <c:pt idx="21">
                  <c:v>1.4720480177872197E-2</c:v>
                </c:pt>
                <c:pt idx="22">
                  <c:v>1.4648316986564103E-2</c:v>
                </c:pt>
                <c:pt idx="23">
                  <c:v>1.4589730012693369E-2</c:v>
                </c:pt>
                <c:pt idx="24">
                  <c:v>1.4554258920579821E-2</c:v>
                </c:pt>
                <c:pt idx="25">
                  <c:v>1.4545536996375175E-2</c:v>
                </c:pt>
                <c:pt idx="26">
                  <c:v>1.4554145241296945E-2</c:v>
                </c:pt>
                <c:pt idx="27">
                  <c:v>1.460320737387244E-2</c:v>
                </c:pt>
                <c:pt idx="28">
                  <c:v>1.4700046537023725E-2</c:v>
                </c:pt>
                <c:pt idx="29">
                  <c:v>1.4849513178718299E-2</c:v>
                </c:pt>
                <c:pt idx="30">
                  <c:v>1.5054601919973543E-2</c:v>
                </c:pt>
                <c:pt idx="31">
                  <c:v>1.5302575536465524E-2</c:v>
                </c:pt>
                <c:pt idx="32">
                  <c:v>1.5606305066517612E-2</c:v>
                </c:pt>
                <c:pt idx="33">
                  <c:v>1.5966710732651768E-2</c:v>
                </c:pt>
                <c:pt idx="34">
                  <c:v>1.6383331993341743E-2</c:v>
                </c:pt>
                <c:pt idx="35">
                  <c:v>1.6854923659445076E-2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C-46A1-8051-5FF16B24E7D2}"/>
            </c:ext>
          </c:extLst>
        </c:ser>
        <c:ser>
          <c:idx val="2"/>
          <c:order val="2"/>
          <c:tx>
            <c:strRef>
              <c:f>Données!$B$186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Données!$C$186:$AL$186</c:f>
              <c:numCache>
                <c:formatCode>0%</c:formatCode>
                <c:ptCount val="36"/>
                <c:pt idx="0">
                  <c:v>1.8876381298098543E-3</c:v>
                </c:pt>
                <c:pt idx="1">
                  <c:v>3.8134219599128549E-3</c:v>
                </c:pt>
                <c:pt idx="2">
                  <c:v>5.6488295353733786E-3</c:v>
                </c:pt>
                <c:pt idx="3">
                  <c:v>7.368021522775825E-3</c:v>
                </c:pt>
                <c:pt idx="4">
                  <c:v>8.936036596457253E-3</c:v>
                </c:pt>
                <c:pt idx="5">
                  <c:v>1.0335951940158239E-2</c:v>
                </c:pt>
                <c:pt idx="6">
                  <c:v>1.1587853668119097E-2</c:v>
                </c:pt>
                <c:pt idx="7">
                  <c:v>1.2668251515596252E-2</c:v>
                </c:pt>
                <c:pt idx="8">
                  <c:v>1.3578933389199355E-2</c:v>
                </c:pt>
                <c:pt idx="9">
                  <c:v>1.4325008615063028E-2</c:v>
                </c:pt>
                <c:pt idx="10">
                  <c:v>1.4913807013449132E-2</c:v>
                </c:pt>
                <c:pt idx="11">
                  <c:v>1.5447281869001461E-2</c:v>
                </c:pt>
                <c:pt idx="12">
                  <c:v>1.5841761567791934E-2</c:v>
                </c:pt>
                <c:pt idx="13">
                  <c:v>1.6098392942661244E-2</c:v>
                </c:pt>
                <c:pt idx="14">
                  <c:v>1.6222818852604792E-2</c:v>
                </c:pt>
                <c:pt idx="15">
                  <c:v>1.6222768153243416E-2</c:v>
                </c:pt>
                <c:pt idx="16">
                  <c:v>1.6201522482806485E-2</c:v>
                </c:pt>
                <c:pt idx="17">
                  <c:v>1.6077329137846208E-2</c:v>
                </c:pt>
                <c:pt idx="18">
                  <c:v>1.5853433286628693E-2</c:v>
                </c:pt>
                <c:pt idx="19">
                  <c:v>1.5537097725032201E-2</c:v>
                </c:pt>
                <c:pt idx="20">
                  <c:v>1.5136381606277949E-2</c:v>
                </c:pt>
                <c:pt idx="21">
                  <c:v>1.4661651371624229E-2</c:v>
                </c:pt>
                <c:pt idx="22">
                  <c:v>1.4120630555533698E-2</c:v>
                </c:pt>
                <c:pt idx="23">
                  <c:v>1.3523265619507452E-2</c:v>
                </c:pt>
                <c:pt idx="24">
                  <c:v>1.2878682332867708E-2</c:v>
                </c:pt>
                <c:pt idx="25">
                  <c:v>1.2192919572456384E-2</c:v>
                </c:pt>
                <c:pt idx="26">
                  <c:v>1.1447352271390931E-2</c:v>
                </c:pt>
                <c:pt idx="27">
                  <c:v>1.0677785696428632E-2</c:v>
                </c:pt>
                <c:pt idx="28">
                  <c:v>9.8939070201520263E-3</c:v>
                </c:pt>
                <c:pt idx="29">
                  <c:v>9.1031981884133195E-3</c:v>
                </c:pt>
                <c:pt idx="30">
                  <c:v>8.3117315621128451E-3</c:v>
                </c:pt>
                <c:pt idx="31">
                  <c:v>7.507479186576127E-3</c:v>
                </c:pt>
                <c:pt idx="32">
                  <c:v>6.7110956636968755E-3</c:v>
                </c:pt>
                <c:pt idx="33">
                  <c:v>5.927627455462936E-3</c:v>
                </c:pt>
                <c:pt idx="34">
                  <c:v>5.1610398253014722E-3</c:v>
                </c:pt>
                <c:pt idx="35">
                  <c:v>4.4147188180749808E-3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C-46A1-8051-5FF16B24E7D2}"/>
            </c:ext>
          </c:extLst>
        </c:ser>
        <c:ser>
          <c:idx val="3"/>
          <c:order val="3"/>
          <c:tx>
            <c:strRef>
              <c:f>Données!$B$187</c:f>
              <c:strCache>
                <c:ptCount val="1"/>
                <c:pt idx="0">
                  <c:v>Transports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Données!$C$187:$AL$187</c:f>
              <c:numCache>
                <c:formatCode>0%</c:formatCode>
                <c:ptCount val="36"/>
                <c:pt idx="0">
                  <c:v>1.761575188609088E-3</c:v>
                </c:pt>
                <c:pt idx="1">
                  <c:v>3.4851728406475324E-3</c:v>
                </c:pt>
                <c:pt idx="2">
                  <c:v>5.0573913459466269E-3</c:v>
                </c:pt>
                <c:pt idx="3">
                  <c:v>6.4628494593721442E-3</c:v>
                </c:pt>
                <c:pt idx="4">
                  <c:v>7.6725539933530928E-3</c:v>
                </c:pt>
                <c:pt idx="5">
                  <c:v>8.6735872002943193E-3</c:v>
                </c:pt>
                <c:pt idx="6">
                  <c:v>9.4901039648485064E-3</c:v>
                </c:pt>
                <c:pt idx="7">
                  <c:v>1.0103521085884859E-2</c:v>
                </c:pt>
                <c:pt idx="8">
                  <c:v>1.0523255386538866E-2</c:v>
                </c:pt>
                <c:pt idx="9">
                  <c:v>1.076295673562E-2</c:v>
                </c:pt>
                <c:pt idx="10">
                  <c:v>1.0839413370524298E-2</c:v>
                </c:pt>
                <c:pt idx="11">
                  <c:v>1.0860189221573835E-2</c:v>
                </c:pt>
                <c:pt idx="12">
                  <c:v>1.0746899652597453E-2</c:v>
                </c:pt>
                <c:pt idx="13">
                  <c:v>1.0509378726001994E-2</c:v>
                </c:pt>
                <c:pt idx="14">
                  <c:v>1.0160587643119667E-2</c:v>
                </c:pt>
                <c:pt idx="15">
                  <c:v>9.7140436588685208E-3</c:v>
                </c:pt>
                <c:pt idx="16">
                  <c:v>9.2741558479476627E-3</c:v>
                </c:pt>
                <c:pt idx="17">
                  <c:v>8.7601745734871006E-3</c:v>
                </c:pt>
                <c:pt idx="18">
                  <c:v>8.1792056087812703E-3</c:v>
                </c:pt>
                <c:pt idx="19">
                  <c:v>7.5410821853596488E-3</c:v>
                </c:pt>
                <c:pt idx="20">
                  <c:v>6.8541550073757396E-3</c:v>
                </c:pt>
                <c:pt idx="21">
                  <c:v>6.1310781382579727E-3</c:v>
                </c:pt>
                <c:pt idx="22">
                  <c:v>5.3786493519103473E-3</c:v>
                </c:pt>
                <c:pt idx="23">
                  <c:v>4.6056960190976604E-3</c:v>
                </c:pt>
                <c:pt idx="24">
                  <c:v>3.8197414184870659E-3</c:v>
                </c:pt>
                <c:pt idx="25">
                  <c:v>3.0204055797604656E-3</c:v>
                </c:pt>
                <c:pt idx="26">
                  <c:v>2.1937377167335903E-3</c:v>
                </c:pt>
                <c:pt idx="27">
                  <c:v>1.3726874621859952E-3</c:v>
                </c:pt>
                <c:pt idx="28">
                  <c:v>5.6331610728288517E-4</c:v>
                </c:pt>
                <c:pt idx="29">
                  <c:v>-2.3066439040808628E-4</c:v>
                </c:pt>
                <c:pt idx="30">
                  <c:v>-1.0069105063786887E-3</c:v>
                </c:pt>
                <c:pt idx="31">
                  <c:v>-1.7808055084476138E-3</c:v>
                </c:pt>
                <c:pt idx="32">
                  <c:v>-2.5347049508633868E-3</c:v>
                </c:pt>
                <c:pt idx="33">
                  <c:v>-3.2674620372836749E-3</c:v>
                </c:pt>
                <c:pt idx="34">
                  <c:v>-3.9789175009845579E-3</c:v>
                </c:pt>
                <c:pt idx="35">
                  <c:v>-4.6693611699032411E-3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C-46A1-8051-5FF16B24E7D2}"/>
            </c:ext>
          </c:extLst>
        </c:ser>
        <c:ser>
          <c:idx val="4"/>
          <c:order val="4"/>
          <c:tx>
            <c:strRef>
              <c:f>Données!$B$188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Données!$C$188:$AL$188</c:f>
              <c:numCache>
                <c:formatCode>0%</c:formatCode>
                <c:ptCount val="36"/>
                <c:pt idx="0">
                  <c:v>9.836347149714264E-4</c:v>
                </c:pt>
                <c:pt idx="1">
                  <c:v>2.0776312886563453E-3</c:v>
                </c:pt>
                <c:pt idx="2">
                  <c:v>3.1891422057779284E-3</c:v>
                </c:pt>
                <c:pt idx="3">
                  <c:v>4.2625681984149733E-3</c:v>
                </c:pt>
                <c:pt idx="4">
                  <c:v>5.2549074073628965E-3</c:v>
                </c:pt>
                <c:pt idx="5">
                  <c:v>6.1384390122543042E-3</c:v>
                </c:pt>
                <c:pt idx="6">
                  <c:v>6.9112567355218424E-3</c:v>
                </c:pt>
                <c:pt idx="7">
                  <c:v>7.5545495832374243E-3</c:v>
                </c:pt>
                <c:pt idx="8">
                  <c:v>8.065100832589378E-3</c:v>
                </c:pt>
                <c:pt idx="9">
                  <c:v>8.4448640011307585E-3</c:v>
                </c:pt>
                <c:pt idx="10">
                  <c:v>8.6943945236659381E-3</c:v>
                </c:pt>
                <c:pt idx="11">
                  <c:v>8.8742254516120944E-3</c:v>
                </c:pt>
                <c:pt idx="12">
                  <c:v>8.9489728114271472E-3</c:v>
                </c:pt>
                <c:pt idx="13">
                  <c:v>8.9195832948554266E-3</c:v>
                </c:pt>
                <c:pt idx="14">
                  <c:v>8.7909340006224745E-3</c:v>
                </c:pt>
                <c:pt idx="15">
                  <c:v>8.5698951939676693E-3</c:v>
                </c:pt>
                <c:pt idx="16">
                  <c:v>8.3109976008994835E-3</c:v>
                </c:pt>
                <c:pt idx="17">
                  <c:v>7.985068943629603E-3</c:v>
                </c:pt>
                <c:pt idx="18">
                  <c:v>7.5956425115188964E-3</c:v>
                </c:pt>
                <c:pt idx="19">
                  <c:v>7.1497374012385873E-3</c:v>
                </c:pt>
                <c:pt idx="20">
                  <c:v>6.6586548717311178E-3</c:v>
                </c:pt>
                <c:pt idx="21">
                  <c:v>6.1233755285949876E-3</c:v>
                </c:pt>
                <c:pt idx="22">
                  <c:v>5.5561520944917842E-3</c:v>
                </c:pt>
                <c:pt idx="23">
                  <c:v>4.9656272398026502E-3</c:v>
                </c:pt>
                <c:pt idx="24">
                  <c:v>4.3595768152122627E-3</c:v>
                </c:pt>
                <c:pt idx="25">
                  <c:v>3.7536125304042933E-3</c:v>
                </c:pt>
                <c:pt idx="26">
                  <c:v>3.1220366253663645E-3</c:v>
                </c:pt>
                <c:pt idx="27">
                  <c:v>2.4895453486037944E-3</c:v>
                </c:pt>
                <c:pt idx="28">
                  <c:v>1.863829643534487E-3</c:v>
                </c:pt>
                <c:pt idx="29">
                  <c:v>1.2503960465253261E-3</c:v>
                </c:pt>
                <c:pt idx="30">
                  <c:v>6.5314573060248904E-4</c:v>
                </c:pt>
                <c:pt idx="31">
                  <c:v>6.6446424062505116E-5</c:v>
                </c:pt>
                <c:pt idx="32">
                  <c:v>-5.0116285208923195E-4</c:v>
                </c:pt>
                <c:pt idx="33">
                  <c:v>-1.0475127864048028E-3</c:v>
                </c:pt>
                <c:pt idx="34">
                  <c:v>-1.5715706568292243E-3</c:v>
                </c:pt>
                <c:pt idx="35">
                  <c:v>-2.072941987139254E-3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C-46A1-8051-5FF16B24E7D2}"/>
            </c:ext>
          </c:extLst>
        </c:ser>
        <c:ser>
          <c:idx val="5"/>
          <c:order val="5"/>
          <c:tx>
            <c:strRef>
              <c:f>Données!$B$189</c:f>
              <c:strCache>
                <c:ptCount val="1"/>
                <c:pt idx="0">
                  <c:v>Oil&amp;Gas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Données!$C$189:$AL$189</c:f>
              <c:numCache>
                <c:formatCode>0%</c:formatCode>
                <c:ptCount val="36"/>
                <c:pt idx="0">
                  <c:v>1.6928525407144956E-3</c:v>
                </c:pt>
                <c:pt idx="1">
                  <c:v>3.5930300439619423E-3</c:v>
                </c:pt>
                <c:pt idx="2">
                  <c:v>5.3752288911363966E-3</c:v>
                </c:pt>
                <c:pt idx="3">
                  <c:v>7.0351996430852992E-3</c:v>
                </c:pt>
                <c:pt idx="4">
                  <c:v>8.5468126569578917E-3</c:v>
                </c:pt>
                <c:pt idx="5">
                  <c:v>9.8923156960464276E-3</c:v>
                </c:pt>
                <c:pt idx="6">
                  <c:v>1.109253265965493E-2</c:v>
                </c:pt>
                <c:pt idx="7">
                  <c:v>1.2104374325827338E-2</c:v>
                </c:pt>
                <c:pt idx="8">
                  <c:v>1.2912384391636111E-2</c:v>
                </c:pt>
                <c:pt idx="9">
                  <c:v>1.3509204804813324E-2</c:v>
                </c:pt>
                <c:pt idx="10">
                  <c:v>1.3924613700404764E-2</c:v>
                </c:pt>
                <c:pt idx="11">
                  <c:v>1.4259097154167177E-2</c:v>
                </c:pt>
                <c:pt idx="12">
                  <c:v>1.4434556912537699E-2</c:v>
                </c:pt>
                <c:pt idx="13">
                  <c:v>1.4458432524520948E-2</c:v>
                </c:pt>
                <c:pt idx="14">
                  <c:v>1.43484095223394E-2</c:v>
                </c:pt>
                <c:pt idx="15">
                  <c:v>1.4124143094790931E-2</c:v>
                </c:pt>
                <c:pt idx="16">
                  <c:v>1.3897139803887848E-2</c:v>
                </c:pt>
                <c:pt idx="17">
                  <c:v>1.3590035018756774E-2</c:v>
                </c:pt>
                <c:pt idx="18">
                  <c:v>1.320661494085118E-2</c:v>
                </c:pt>
                <c:pt idx="19">
                  <c:v>1.2755791043431497E-2</c:v>
                </c:pt>
                <c:pt idx="20">
                  <c:v>1.2240427957246336E-2</c:v>
                </c:pt>
                <c:pt idx="21">
                  <c:v>1.1682985418144831E-2</c:v>
                </c:pt>
                <c:pt idx="22">
                  <c:v>1.1085973726502996E-2</c:v>
                </c:pt>
                <c:pt idx="23">
                  <c:v>1.0458464757843844E-2</c:v>
                </c:pt>
                <c:pt idx="24">
                  <c:v>9.8093081867147713E-3</c:v>
                </c:pt>
                <c:pt idx="25">
                  <c:v>9.1240689640572636E-3</c:v>
                </c:pt>
                <c:pt idx="26">
                  <c:v>8.4133346277479593E-3</c:v>
                </c:pt>
                <c:pt idx="27">
                  <c:v>7.7045229629233436E-3</c:v>
                </c:pt>
                <c:pt idx="28">
                  <c:v>7.0050959060319329E-3</c:v>
                </c:pt>
                <c:pt idx="29">
                  <c:v>6.3198087948259651E-3</c:v>
                </c:pt>
                <c:pt idx="30">
                  <c:v>5.6528542757547928E-3</c:v>
                </c:pt>
                <c:pt idx="31">
                  <c:v>4.9895966181245921E-3</c:v>
                </c:pt>
                <c:pt idx="32">
                  <c:v>4.3487108027919774E-3</c:v>
                </c:pt>
                <c:pt idx="33">
                  <c:v>3.7332164144010527E-3</c:v>
                </c:pt>
                <c:pt idx="34">
                  <c:v>3.1446374940866662E-3</c:v>
                </c:pt>
                <c:pt idx="35">
                  <c:v>2.5837939452471037E-3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C-46A1-8051-5FF16B24E7D2}"/>
            </c:ext>
          </c:extLst>
        </c:ser>
        <c:ser>
          <c:idx val="6"/>
          <c:order val="6"/>
          <c:tx>
            <c:strRef>
              <c:f>Données!$B$190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Données!$C$190:$AL$190</c:f>
              <c:numCache>
                <c:formatCode>0%</c:formatCode>
                <c:ptCount val="36"/>
                <c:pt idx="0">
                  <c:v>7.4384198346177932E-4</c:v>
                </c:pt>
                <c:pt idx="1">
                  <c:v>2.6151099902333996E-3</c:v>
                </c:pt>
                <c:pt idx="2">
                  <c:v>4.3528994054813364E-3</c:v>
                </c:pt>
                <c:pt idx="3">
                  <c:v>5.9188364758129275E-3</c:v>
                </c:pt>
                <c:pt idx="4">
                  <c:v>7.3024068661518005E-3</c:v>
                </c:pt>
                <c:pt idx="5">
                  <c:v>8.5052896230795039E-3</c:v>
                </c:pt>
                <c:pt idx="6">
                  <c:v>9.5553849445531025E-3</c:v>
                </c:pt>
                <c:pt idx="7">
                  <c:v>1.0459349801145379E-2</c:v>
                </c:pt>
                <c:pt idx="8">
                  <c:v>1.1203746416924787E-2</c:v>
                </c:pt>
                <c:pt idx="9">
                  <c:v>1.1779179109322246E-2</c:v>
                </c:pt>
                <c:pt idx="10">
                  <c:v>1.2172061215016461E-2</c:v>
                </c:pt>
                <c:pt idx="11">
                  <c:v>1.2478763599342857E-2</c:v>
                </c:pt>
                <c:pt idx="12">
                  <c:v>1.26814242339226E-2</c:v>
                </c:pt>
                <c:pt idx="13">
                  <c:v>1.2803370747216158E-2</c:v>
                </c:pt>
                <c:pt idx="14">
                  <c:v>1.2882101909714727E-2</c:v>
                </c:pt>
                <c:pt idx="15">
                  <c:v>1.2953848605510743E-2</c:v>
                </c:pt>
                <c:pt idx="16">
                  <c:v>1.3111656993721077E-2</c:v>
                </c:pt>
                <c:pt idx="17">
                  <c:v>1.3328492500741529E-2</c:v>
                </c:pt>
                <c:pt idx="18">
                  <c:v>1.3601535587292712E-2</c:v>
                </c:pt>
                <c:pt idx="19">
                  <c:v>1.3932018589926765E-2</c:v>
                </c:pt>
                <c:pt idx="20">
                  <c:v>1.4319689494142862E-2</c:v>
                </c:pt>
                <c:pt idx="21">
                  <c:v>1.4771400187510109E-2</c:v>
                </c:pt>
                <c:pt idx="22">
                  <c:v>1.5287962459454407E-2</c:v>
                </c:pt>
                <c:pt idx="23">
                  <c:v>1.5873810000843758E-2</c:v>
                </c:pt>
                <c:pt idx="24">
                  <c:v>1.6533705071528404E-2</c:v>
                </c:pt>
                <c:pt idx="25">
                  <c:v>1.7260711910498161E-2</c:v>
                </c:pt>
                <c:pt idx="26">
                  <c:v>1.8048199379672392E-2</c:v>
                </c:pt>
                <c:pt idx="27">
                  <c:v>1.8906929626381519E-2</c:v>
                </c:pt>
                <c:pt idx="28">
                  <c:v>1.9841890778063309E-2</c:v>
                </c:pt>
                <c:pt idx="29">
                  <c:v>2.0855082378647971E-2</c:v>
                </c:pt>
                <c:pt idx="30">
                  <c:v>2.1946971821082961E-2</c:v>
                </c:pt>
                <c:pt idx="31">
                  <c:v>2.310498468343547E-2</c:v>
                </c:pt>
                <c:pt idx="32">
                  <c:v>2.4335879226118351E-2</c:v>
                </c:pt>
                <c:pt idx="33">
                  <c:v>2.5640853195029401E-2</c:v>
                </c:pt>
                <c:pt idx="34">
                  <c:v>2.7019011109325808E-2</c:v>
                </c:pt>
                <c:pt idx="35">
                  <c:v>2.846808994176464E-2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C-46A1-8051-5FF16B24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Données!$B$184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38100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Données!$C$183:$AL$183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Données!$C$184:$AL$184</c15:sqref>
                        </c15:formulaRef>
                      </c:ext>
                    </c:extLst>
                    <c:numCache>
                      <c:formatCode>0%</c:formatCode>
                      <c:ptCount val="36"/>
                      <c:pt idx="0">
                        <c:v>1.2493114421865403E-3</c:v>
                      </c:pt>
                      <c:pt idx="1">
                        <c:v>2.5990381905141025E-3</c:v>
                      </c:pt>
                      <c:pt idx="2">
                        <c:v>3.9271632197397377E-3</c:v>
                      </c:pt>
                      <c:pt idx="3">
                        <c:v>5.1846182705457267E-3</c:v>
                      </c:pt>
                      <c:pt idx="4">
                        <c:v>6.330757732364134E-3</c:v>
                      </c:pt>
                      <c:pt idx="5">
                        <c:v>7.3408661964924349E-3</c:v>
                      </c:pt>
                      <c:pt idx="6">
                        <c:v>8.2196460233696644E-3</c:v>
                      </c:pt>
                      <c:pt idx="7">
                        <c:v>8.9462544835694491E-3</c:v>
                      </c:pt>
                      <c:pt idx="8">
                        <c:v>9.5178764876688859E-3</c:v>
                      </c:pt>
                      <c:pt idx="9">
                        <c:v>9.9364525077099142E-3</c:v>
                      </c:pt>
                      <c:pt idx="10">
                        <c:v>1.0204506913179534E-2</c:v>
                      </c:pt>
                      <c:pt idx="11">
                        <c:v>1.0395549502723478E-2</c:v>
                      </c:pt>
                      <c:pt idx="12">
                        <c:v>1.0459597838684775E-2</c:v>
                      </c:pt>
                      <c:pt idx="13">
                        <c:v>1.0398000366485416E-2</c:v>
                      </c:pt>
                      <c:pt idx="14">
                        <c:v>1.0216542249848359E-2</c:v>
                      </c:pt>
                      <c:pt idx="15">
                        <c:v>9.9230487562504965E-3</c:v>
                      </c:pt>
                      <c:pt idx="16">
                        <c:v>9.58747053583342E-3</c:v>
                      </c:pt>
                      <c:pt idx="17">
                        <c:v>9.1649542983265331E-3</c:v>
                      </c:pt>
                      <c:pt idx="18">
                        <c:v>8.6592386772044172E-3</c:v>
                      </c:pt>
                      <c:pt idx="19">
                        <c:v>8.0778246011898869E-3</c:v>
                      </c:pt>
                      <c:pt idx="20">
                        <c:v>7.4314479345212181E-3</c:v>
                      </c:pt>
                      <c:pt idx="21">
                        <c:v>6.724766556117201E-3</c:v>
                      </c:pt>
                      <c:pt idx="22">
                        <c:v>5.9690481797358697E-3</c:v>
                      </c:pt>
                      <c:pt idx="23">
                        <c:v>5.1740350812459202E-3</c:v>
                      </c:pt>
                      <c:pt idx="24">
                        <c:v>4.3486974359625563E-3</c:v>
                      </c:pt>
                      <c:pt idx="25">
                        <c:v>3.5063243374957587E-3</c:v>
                      </c:pt>
                      <c:pt idx="26">
                        <c:v>2.6251261826399919E-3</c:v>
                      </c:pt>
                      <c:pt idx="27">
                        <c:v>1.7336100716740521E-3</c:v>
                      </c:pt>
                      <c:pt idx="28">
                        <c:v>8.4097026787177676E-4</c:v>
                      </c:pt>
                      <c:pt idx="29">
                        <c:v>-4.5791698880970344E-5</c:v>
                      </c:pt>
                      <c:pt idx="30">
                        <c:v>-9.2118781965311314E-4</c:v>
                      </c:pt>
                      <c:pt idx="31">
                        <c:v>-1.7918239296218497E-3</c:v>
                      </c:pt>
                      <c:pt idx="32">
                        <c:v>-2.6445321029685553E-3</c:v>
                      </c:pt>
                      <c:pt idx="33">
                        <c:v>-3.4752908058528487E-3</c:v>
                      </c:pt>
                      <c:pt idx="34">
                        <c:v>-4.2812300297840888E-3</c:v>
                      </c:pt>
                      <c:pt idx="35">
                        <c:v>-5.0601313541625004E-3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7BC-46A1-8051-5FF16B24E7D2}"/>
                  </c:ext>
                </c:extLst>
              </c15:ser>
            </c15:filteredLineSeries>
          </c:ext>
        </c:extLst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Energy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Données!$B$254</c:f>
              <c:strCache>
                <c:ptCount val="1"/>
                <c:pt idx="0">
                  <c:v>Firms</c:v>
                </c:pt>
              </c:strCache>
            </c:strRef>
          </c:tx>
          <c:spPr>
            <a:ln w="412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Données!$C$254:$AL$254</c:f>
              <c:numCache>
                <c:formatCode>0%</c:formatCode>
                <c:ptCount val="36"/>
                <c:pt idx="0">
                  <c:v>-1.1309373558732183E-4</c:v>
                </c:pt>
                <c:pt idx="1">
                  <c:v>-4.1723682448513433E-4</c:v>
                </c:pt>
                <c:pt idx="2">
                  <c:v>-7.8614684120326128E-4</c:v>
                </c:pt>
                <c:pt idx="3">
                  <c:v>-1.1972487389375619E-3</c:v>
                </c:pt>
                <c:pt idx="4">
                  <c:v>-1.6233881682859996E-3</c:v>
                </c:pt>
                <c:pt idx="5">
                  <c:v>-2.0396064962112659E-3</c:v>
                </c:pt>
                <c:pt idx="6">
                  <c:v>-2.428013436467702E-3</c:v>
                </c:pt>
                <c:pt idx="7">
                  <c:v>-2.7790905786559961E-3</c:v>
                </c:pt>
                <c:pt idx="8">
                  <c:v>-3.0860783995451113E-3</c:v>
                </c:pt>
                <c:pt idx="9">
                  <c:v>-3.3471678171189678E-3</c:v>
                </c:pt>
                <c:pt idx="10">
                  <c:v>-3.5655549803160769E-3</c:v>
                </c:pt>
                <c:pt idx="11">
                  <c:v>-3.741652678085905E-3</c:v>
                </c:pt>
                <c:pt idx="12">
                  <c:v>-3.8867982924034594E-3</c:v>
                </c:pt>
                <c:pt idx="13">
                  <c:v>-4.0003625751661165E-3</c:v>
                </c:pt>
                <c:pt idx="14">
                  <c:v>-4.0850376754553164E-3</c:v>
                </c:pt>
                <c:pt idx="15">
                  <c:v>-4.1436928857742084E-3</c:v>
                </c:pt>
                <c:pt idx="16">
                  <c:v>-4.1804742491168279E-3</c:v>
                </c:pt>
                <c:pt idx="17">
                  <c:v>-4.2045415205096415E-3</c:v>
                </c:pt>
                <c:pt idx="18">
                  <c:v>-4.2147026019716538E-3</c:v>
                </c:pt>
                <c:pt idx="19">
                  <c:v>-4.2130731504407271E-3</c:v>
                </c:pt>
                <c:pt idx="20">
                  <c:v>-4.1997258443789987E-3</c:v>
                </c:pt>
                <c:pt idx="21">
                  <c:v>-4.182483674992632E-3</c:v>
                </c:pt>
                <c:pt idx="22">
                  <c:v>-4.1590074606200345E-3</c:v>
                </c:pt>
                <c:pt idx="23">
                  <c:v>-4.1307206235731142E-3</c:v>
                </c:pt>
                <c:pt idx="24">
                  <c:v>-4.0993634222022957E-3</c:v>
                </c:pt>
                <c:pt idx="25">
                  <c:v>-4.059760767478604E-3</c:v>
                </c:pt>
                <c:pt idx="26">
                  <c:v>-4.0298046387017283E-3</c:v>
                </c:pt>
                <c:pt idx="27">
                  <c:v>-3.9994061561047234E-3</c:v>
                </c:pt>
                <c:pt idx="28">
                  <c:v>-3.9691062494751073E-3</c:v>
                </c:pt>
                <c:pt idx="29">
                  <c:v>-3.9391670120509925E-3</c:v>
                </c:pt>
                <c:pt idx="30">
                  <c:v>-3.9101371442910038E-3</c:v>
                </c:pt>
                <c:pt idx="31">
                  <c:v>-3.8835623863149316E-3</c:v>
                </c:pt>
                <c:pt idx="32">
                  <c:v>-3.8579100246601827E-3</c:v>
                </c:pt>
                <c:pt idx="33">
                  <c:v>-3.834136287762635E-3</c:v>
                </c:pt>
                <c:pt idx="34">
                  <c:v>-3.8124652765975098E-3</c:v>
                </c:pt>
                <c:pt idx="35">
                  <c:v>-3.7928734904427719E-3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44A-4877-A4A9-C7609B9F9543}"/>
            </c:ext>
          </c:extLst>
        </c:ser>
        <c:ser>
          <c:idx val="1"/>
          <c:order val="1"/>
          <c:tx>
            <c:strRef>
              <c:f>Données!$B$255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Données!$C$255:$AL$255</c:f>
              <c:numCache>
                <c:formatCode>0%</c:formatCode>
                <c:ptCount val="36"/>
                <c:pt idx="0">
                  <c:v>1.3865415472547049E-4</c:v>
                </c:pt>
                <c:pt idx="1">
                  <c:v>2.2502692454251516E-4</c:v>
                </c:pt>
                <c:pt idx="2">
                  <c:v>2.4559218284547768E-4</c:v>
                </c:pt>
                <c:pt idx="3">
                  <c:v>2.1888065571529225E-4</c:v>
                </c:pt>
                <c:pt idx="4">
                  <c:v>1.6217307120558466E-4</c:v>
                </c:pt>
                <c:pt idx="5">
                  <c:v>9.5632289768721179E-5</c:v>
                </c:pt>
                <c:pt idx="6">
                  <c:v>4.1832201353564358E-5</c:v>
                </c:pt>
                <c:pt idx="7">
                  <c:v>2.4463682910536022E-6</c:v>
                </c:pt>
                <c:pt idx="8">
                  <c:v>-2.2352535095748749E-5</c:v>
                </c:pt>
                <c:pt idx="9">
                  <c:v>-3.5981893095060613E-5</c:v>
                </c:pt>
                <c:pt idx="10">
                  <c:v>-2.4587166755019041E-5</c:v>
                </c:pt>
                <c:pt idx="11">
                  <c:v>2.847259819804826E-5</c:v>
                </c:pt>
                <c:pt idx="12">
                  <c:v>1.0651719041332441E-4</c:v>
                </c:pt>
                <c:pt idx="13">
                  <c:v>2.1097140210302179E-4</c:v>
                </c:pt>
                <c:pt idx="14">
                  <c:v>3.4101276232978428E-4</c:v>
                </c:pt>
                <c:pt idx="15">
                  <c:v>4.9575737797002972E-4</c:v>
                </c:pt>
                <c:pt idx="16">
                  <c:v>6.8697394714978266E-4</c:v>
                </c:pt>
                <c:pt idx="17">
                  <c:v>8.9751844669239134E-4</c:v>
                </c:pt>
                <c:pt idx="18">
                  <c:v>1.1287061651952257E-3</c:v>
                </c:pt>
                <c:pt idx="19">
                  <c:v>1.3787295004419331E-3</c:v>
                </c:pt>
                <c:pt idx="20">
                  <c:v>1.6449914805025667E-3</c:v>
                </c:pt>
                <c:pt idx="21">
                  <c:v>1.9264408981680692E-3</c:v>
                </c:pt>
                <c:pt idx="22">
                  <c:v>2.2217849161128012E-3</c:v>
                </c:pt>
                <c:pt idx="23">
                  <c:v>2.5302292617790378E-3</c:v>
                </c:pt>
                <c:pt idx="24">
                  <c:v>2.8504613060764683E-3</c:v>
                </c:pt>
                <c:pt idx="25">
                  <c:v>3.178374006895579E-3</c:v>
                </c:pt>
                <c:pt idx="26">
                  <c:v>3.50846887870504E-3</c:v>
                </c:pt>
                <c:pt idx="27">
                  <c:v>3.845139719877988E-3</c:v>
                </c:pt>
                <c:pt idx="28">
                  <c:v>4.188109146570973E-3</c:v>
                </c:pt>
                <c:pt idx="29">
                  <c:v>4.5372183155407697E-3</c:v>
                </c:pt>
                <c:pt idx="30">
                  <c:v>4.891894475522518E-3</c:v>
                </c:pt>
                <c:pt idx="31">
                  <c:v>5.2483755070185101E-3</c:v>
                </c:pt>
                <c:pt idx="32">
                  <c:v>5.6090343723844693E-3</c:v>
                </c:pt>
                <c:pt idx="33">
                  <c:v>5.9729066912794782E-3</c:v>
                </c:pt>
                <c:pt idx="34">
                  <c:v>6.3396621354523397E-3</c:v>
                </c:pt>
                <c:pt idx="35">
                  <c:v>6.7090491272645547E-3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A-4877-A4A9-C7609B9F9543}"/>
            </c:ext>
          </c:extLst>
        </c:ser>
        <c:ser>
          <c:idx val="2"/>
          <c:order val="2"/>
          <c:tx>
            <c:strRef>
              <c:f>Données!$B$256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Données!$C$256:$AL$256</c:f>
              <c:numCache>
                <c:formatCode>0%</c:formatCode>
                <c:ptCount val="36"/>
                <c:pt idx="0">
                  <c:v>-2.6653247546237768E-4</c:v>
                </c:pt>
                <c:pt idx="1">
                  <c:v>-8.3487190815667578E-4</c:v>
                </c:pt>
                <c:pt idx="2">
                  <c:v>-1.4790090009209056E-3</c:v>
                </c:pt>
                <c:pt idx="3">
                  <c:v>-2.1674774459782276E-3</c:v>
                </c:pt>
                <c:pt idx="4">
                  <c:v>-2.8715681675861582E-3</c:v>
                </c:pt>
                <c:pt idx="5">
                  <c:v>-3.5615601784375617E-3</c:v>
                </c:pt>
                <c:pt idx="6">
                  <c:v>-4.2186629052161084E-3</c:v>
                </c:pt>
                <c:pt idx="7">
                  <c:v>-4.8274702740129793E-3</c:v>
                </c:pt>
                <c:pt idx="8">
                  <c:v>-5.3769587553808007E-3</c:v>
                </c:pt>
                <c:pt idx="9">
                  <c:v>-5.8631667409095867E-3</c:v>
                </c:pt>
                <c:pt idx="10">
                  <c:v>-6.2854422085588668E-3</c:v>
                </c:pt>
                <c:pt idx="11">
                  <c:v>-6.661428225525623E-3</c:v>
                </c:pt>
                <c:pt idx="12">
                  <c:v>-6.9942710897636928E-3</c:v>
                </c:pt>
                <c:pt idx="13">
                  <c:v>-7.2792288593974686E-3</c:v>
                </c:pt>
                <c:pt idx="14">
                  <c:v>-7.5195917765892295E-3</c:v>
                </c:pt>
                <c:pt idx="15">
                  <c:v>-7.7194062571557254E-3</c:v>
                </c:pt>
                <c:pt idx="16">
                  <c:v>-7.8960259667243404E-3</c:v>
                </c:pt>
                <c:pt idx="17">
                  <c:v>-8.0544113204478185E-3</c:v>
                </c:pt>
                <c:pt idx="18">
                  <c:v>-8.1899956924046391E-3</c:v>
                </c:pt>
                <c:pt idx="19">
                  <c:v>-8.3058613414801474E-3</c:v>
                </c:pt>
                <c:pt idx="20">
                  <c:v>-8.4059292089940785E-3</c:v>
                </c:pt>
                <c:pt idx="21">
                  <c:v>-8.4922743123687638E-3</c:v>
                </c:pt>
                <c:pt idx="22">
                  <c:v>-8.5687262933333841E-3</c:v>
                </c:pt>
                <c:pt idx="23">
                  <c:v>-8.6381928252139417E-3</c:v>
                </c:pt>
                <c:pt idx="24">
                  <c:v>-8.7038538288726208E-3</c:v>
                </c:pt>
                <c:pt idx="25">
                  <c:v>-8.7694238443903894E-3</c:v>
                </c:pt>
                <c:pt idx="26">
                  <c:v>-8.8305565275964559E-3</c:v>
                </c:pt>
                <c:pt idx="27">
                  <c:v>-8.8903853295804192E-3</c:v>
                </c:pt>
                <c:pt idx="28">
                  <c:v>-8.9528301439379954E-3</c:v>
                </c:pt>
                <c:pt idx="29">
                  <c:v>-9.0196222525478209E-3</c:v>
                </c:pt>
                <c:pt idx="30">
                  <c:v>-9.0925665818304413E-3</c:v>
                </c:pt>
                <c:pt idx="31">
                  <c:v>-9.1711355845217613E-3</c:v>
                </c:pt>
                <c:pt idx="32">
                  <c:v>-9.2568906712112708E-3</c:v>
                </c:pt>
                <c:pt idx="33">
                  <c:v>-9.3526965389042482E-3</c:v>
                </c:pt>
                <c:pt idx="34">
                  <c:v>-9.4596496932271013E-3</c:v>
                </c:pt>
                <c:pt idx="35">
                  <c:v>-9.578359072324738E-3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A-4877-A4A9-C7609B9F9543}"/>
            </c:ext>
          </c:extLst>
        </c:ser>
        <c:ser>
          <c:idx val="3"/>
          <c:order val="3"/>
          <c:tx>
            <c:strRef>
              <c:f>Données!$B$257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Données!$C$257:$AL$257</c:f>
              <c:numCache>
                <c:formatCode>0%</c:formatCode>
                <c:ptCount val="36"/>
                <c:pt idx="0">
                  <c:v>4.3518287531174593E-4</c:v>
                </c:pt>
                <c:pt idx="1">
                  <c:v>6.8982751911250695E-4</c:v>
                </c:pt>
                <c:pt idx="2">
                  <c:v>8.7776908931602726E-4</c:v>
                </c:pt>
                <c:pt idx="3">
                  <c:v>1.0348169971650112E-3</c:v>
                </c:pt>
                <c:pt idx="4">
                  <c:v>1.1685145759341431E-3</c:v>
                </c:pt>
                <c:pt idx="5">
                  <c:v>1.2861554993852664E-3</c:v>
                </c:pt>
                <c:pt idx="6">
                  <c:v>1.4000214211817852E-3</c:v>
                </c:pt>
                <c:pt idx="7">
                  <c:v>1.5056640700443769E-3</c:v>
                </c:pt>
                <c:pt idx="8">
                  <c:v>1.6079011025211809E-3</c:v>
                </c:pt>
                <c:pt idx="9">
                  <c:v>1.709333960074888E-3</c:v>
                </c:pt>
                <c:pt idx="10">
                  <c:v>1.812333813799416E-3</c:v>
                </c:pt>
                <c:pt idx="11">
                  <c:v>1.9405216609826859E-3</c:v>
                </c:pt>
                <c:pt idx="12">
                  <c:v>2.0618511776595572E-3</c:v>
                </c:pt>
                <c:pt idx="13">
                  <c:v>2.1835518222659278E-3</c:v>
                </c:pt>
                <c:pt idx="14">
                  <c:v>2.3074634756514723E-3</c:v>
                </c:pt>
                <c:pt idx="15">
                  <c:v>2.4344249140115792E-3</c:v>
                </c:pt>
                <c:pt idx="16">
                  <c:v>2.5874684680000648E-3</c:v>
                </c:pt>
                <c:pt idx="17">
                  <c:v>2.7346822951601624E-3</c:v>
                </c:pt>
                <c:pt idx="18">
                  <c:v>2.8828022296087941E-3</c:v>
                </c:pt>
                <c:pt idx="19">
                  <c:v>3.0330370095288384E-3</c:v>
                </c:pt>
                <c:pt idx="20">
                  <c:v>3.1848654827122402E-3</c:v>
                </c:pt>
                <c:pt idx="21">
                  <c:v>3.339450193702076E-3</c:v>
                </c:pt>
                <c:pt idx="22">
                  <c:v>3.496096089170786E-3</c:v>
                </c:pt>
                <c:pt idx="23">
                  <c:v>3.6548475077426978E-3</c:v>
                </c:pt>
                <c:pt idx="24">
                  <c:v>3.8153582571833766E-3</c:v>
                </c:pt>
                <c:pt idx="25">
                  <c:v>3.9747004789481011E-3</c:v>
                </c:pt>
                <c:pt idx="26">
                  <c:v>4.1285550450831376E-3</c:v>
                </c:pt>
                <c:pt idx="27">
                  <c:v>4.2862969914108096E-3</c:v>
                </c:pt>
                <c:pt idx="28">
                  <c:v>4.4457332481502299E-3</c:v>
                </c:pt>
                <c:pt idx="29">
                  <c:v>4.606123723890132E-3</c:v>
                </c:pt>
                <c:pt idx="30">
                  <c:v>4.7669613974095082E-3</c:v>
                </c:pt>
                <c:pt idx="31">
                  <c:v>4.923598190626155E-3</c:v>
                </c:pt>
                <c:pt idx="32">
                  <c:v>5.0815250565003911E-3</c:v>
                </c:pt>
                <c:pt idx="33">
                  <c:v>5.239206363272686E-3</c:v>
                </c:pt>
                <c:pt idx="34">
                  <c:v>5.3961665362598499E-3</c:v>
                </c:pt>
                <c:pt idx="35">
                  <c:v>5.5521509221090337E-3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A-4877-A4A9-C7609B9F9543}"/>
            </c:ext>
          </c:extLst>
        </c:ser>
        <c:ser>
          <c:idx val="4"/>
          <c:order val="4"/>
          <c:tx>
            <c:strRef>
              <c:f>Données!$B$258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Données!$C$258:$AL$258</c:f>
              <c:numCache>
                <c:formatCode>0%</c:formatCode>
                <c:ptCount val="36"/>
                <c:pt idx="0">
                  <c:v>1.2154964144508451E-3</c:v>
                </c:pt>
                <c:pt idx="1">
                  <c:v>2.2009656217127915E-3</c:v>
                </c:pt>
                <c:pt idx="2">
                  <c:v>3.0064156114721907E-3</c:v>
                </c:pt>
                <c:pt idx="3">
                  <c:v>3.6745740187051901E-3</c:v>
                </c:pt>
                <c:pt idx="4">
                  <c:v>4.2558877516851723E-3</c:v>
                </c:pt>
                <c:pt idx="5">
                  <c:v>4.7974331337192755E-3</c:v>
                </c:pt>
                <c:pt idx="6">
                  <c:v>5.3554583364756603E-3</c:v>
                </c:pt>
                <c:pt idx="7">
                  <c:v>5.9339947464447373E-3</c:v>
                </c:pt>
                <c:pt idx="8">
                  <c:v>6.5472387121270348E-3</c:v>
                </c:pt>
                <c:pt idx="9">
                  <c:v>7.2037782014962026E-3</c:v>
                </c:pt>
                <c:pt idx="10">
                  <c:v>7.9067689225316151E-3</c:v>
                </c:pt>
                <c:pt idx="11">
                  <c:v>8.7378939624898067E-3</c:v>
                </c:pt>
                <c:pt idx="12">
                  <c:v>9.6111088193244765E-3</c:v>
                </c:pt>
                <c:pt idx="13">
                  <c:v>1.0517932475333724E-2</c:v>
                </c:pt>
                <c:pt idx="14">
                  <c:v>1.1456445117038472E-2</c:v>
                </c:pt>
                <c:pt idx="15">
                  <c:v>1.2425667158977083E-2</c:v>
                </c:pt>
                <c:pt idx="16">
                  <c:v>1.3504679070414083E-2</c:v>
                </c:pt>
                <c:pt idx="17">
                  <c:v>1.4608807207096453E-2</c:v>
                </c:pt>
                <c:pt idx="18">
                  <c:v>1.5729658642174238E-2</c:v>
                </c:pt>
                <c:pt idx="19">
                  <c:v>1.686543258111084E-2</c:v>
                </c:pt>
                <c:pt idx="20">
                  <c:v>1.8016007992255334E-2</c:v>
                </c:pt>
                <c:pt idx="21">
                  <c:v>1.9172864554048763E-2</c:v>
                </c:pt>
                <c:pt idx="22">
                  <c:v>2.0342252750672474E-2</c:v>
                </c:pt>
                <c:pt idx="23">
                  <c:v>2.1523150009024716E-2</c:v>
                </c:pt>
                <c:pt idx="24">
                  <c:v>2.2713653582055127E-2</c:v>
                </c:pt>
                <c:pt idx="25">
                  <c:v>2.3914737870580405E-2</c:v>
                </c:pt>
                <c:pt idx="26">
                  <c:v>2.5070800749514621E-2</c:v>
                </c:pt>
                <c:pt idx="27">
                  <c:v>2.6230523269007211E-2</c:v>
                </c:pt>
                <c:pt idx="28">
                  <c:v>2.7397923998336182E-2</c:v>
                </c:pt>
                <c:pt idx="29">
                  <c:v>2.857247025533316E-2</c:v>
                </c:pt>
                <c:pt idx="30">
                  <c:v>2.9752518224523072E-2</c:v>
                </c:pt>
                <c:pt idx="31">
                  <c:v>3.0916998957630115E-2</c:v>
                </c:pt>
                <c:pt idx="32">
                  <c:v>3.2083331718460784E-2</c:v>
                </c:pt>
                <c:pt idx="33">
                  <c:v>3.3251825334719154E-2</c:v>
                </c:pt>
                <c:pt idx="34">
                  <c:v>3.4421500941980154E-2</c:v>
                </c:pt>
                <c:pt idx="35">
                  <c:v>3.55915136617595E-2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4A-4877-A4A9-C7609B9F9543}"/>
            </c:ext>
          </c:extLst>
        </c:ser>
        <c:ser>
          <c:idx val="5"/>
          <c:order val="5"/>
          <c:tx>
            <c:strRef>
              <c:f>Données!$B$259</c:f>
              <c:strCache>
                <c:ptCount val="1"/>
                <c:pt idx="0">
                  <c:v>Households</c:v>
                </c:pt>
              </c:strCache>
            </c:strRef>
          </c:tx>
          <c:spPr>
            <a:ln w="412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Données!$C$259:$AL$259</c:f>
              <c:numCache>
                <c:formatCode>0%</c:formatCode>
                <c:ptCount val="36"/>
                <c:pt idx="0">
                  <c:v>4.0662506641053753E-4</c:v>
                </c:pt>
                <c:pt idx="1">
                  <c:v>-4.8489791671002536E-4</c:v>
                </c:pt>
                <c:pt idx="2">
                  <c:v>-9.4433450322117807E-4</c:v>
                </c:pt>
                <c:pt idx="3">
                  <c:v>-1.1151210572583059E-3</c:v>
                </c:pt>
                <c:pt idx="4">
                  <c:v>-1.1130334493468785E-3</c:v>
                </c:pt>
                <c:pt idx="5">
                  <c:v>-1.031935094189862E-3</c:v>
                </c:pt>
                <c:pt idx="6">
                  <c:v>-9.7897225215715089E-4</c:v>
                </c:pt>
                <c:pt idx="7">
                  <c:v>-9.1355363621847818E-4</c:v>
                </c:pt>
                <c:pt idx="8">
                  <c:v>-7.7422379052927148E-4</c:v>
                </c:pt>
                <c:pt idx="9">
                  <c:v>-4.9253537440685502E-4</c:v>
                </c:pt>
                <c:pt idx="10">
                  <c:v>-9.6536935835223048E-5</c:v>
                </c:pt>
                <c:pt idx="11">
                  <c:v>3.8320569826577611E-4</c:v>
                </c:pt>
                <c:pt idx="12">
                  <c:v>9.9167551195633585E-4</c:v>
                </c:pt>
                <c:pt idx="13">
                  <c:v>1.7066456305279143E-3</c:v>
                </c:pt>
                <c:pt idx="14">
                  <c:v>2.4649030694647855E-3</c:v>
                </c:pt>
                <c:pt idx="15">
                  <c:v>3.2011730330230304E-3</c:v>
                </c:pt>
                <c:pt idx="16">
                  <c:v>3.8334857918320697E-3</c:v>
                </c:pt>
                <c:pt idx="17">
                  <c:v>4.3775258552203322E-3</c:v>
                </c:pt>
                <c:pt idx="18">
                  <c:v>4.8411482842583009E-3</c:v>
                </c:pt>
                <c:pt idx="19">
                  <c:v>5.2324635492217997E-3</c:v>
                </c:pt>
                <c:pt idx="20">
                  <c:v>5.57075800582707E-3</c:v>
                </c:pt>
                <c:pt idx="21">
                  <c:v>5.8522214561060881E-3</c:v>
                </c:pt>
                <c:pt idx="22">
                  <c:v>6.0893665735159974E-3</c:v>
                </c:pt>
                <c:pt idx="23">
                  <c:v>6.2910666964204331E-3</c:v>
                </c:pt>
                <c:pt idx="24">
                  <c:v>6.4623552508924487E-3</c:v>
                </c:pt>
                <c:pt idx="25">
                  <c:v>6.6386644937850292E-3</c:v>
                </c:pt>
                <c:pt idx="26">
                  <c:v>6.8069080041048835E-3</c:v>
                </c:pt>
                <c:pt idx="27">
                  <c:v>6.9581002147292015E-3</c:v>
                </c:pt>
                <c:pt idx="28">
                  <c:v>7.0943539900452102E-3</c:v>
                </c:pt>
                <c:pt idx="29">
                  <c:v>7.2205480688982693E-3</c:v>
                </c:pt>
                <c:pt idx="30">
                  <c:v>7.336804941016517E-3</c:v>
                </c:pt>
                <c:pt idx="31">
                  <c:v>7.4543971194249714E-3</c:v>
                </c:pt>
                <c:pt idx="32">
                  <c:v>7.5697994643550981E-3</c:v>
                </c:pt>
                <c:pt idx="33">
                  <c:v>7.6809048692743076E-3</c:v>
                </c:pt>
                <c:pt idx="34">
                  <c:v>7.7856879245381538E-3</c:v>
                </c:pt>
                <c:pt idx="35">
                  <c:v>7.8824233368126606E-3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4A-4877-A4A9-C7609B9F9543}"/>
            </c:ext>
          </c:extLst>
        </c:ser>
        <c:ser>
          <c:idx val="6"/>
          <c:order val="6"/>
          <c:tx>
            <c:strRef>
              <c:f>Données!$B$260</c:f>
              <c:strCache>
                <c:ptCount val="1"/>
                <c:pt idx="0">
                  <c:v>Households (housing)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Données!$C$260:$AL$260</c:f>
              <c:numCache>
                <c:formatCode>0%</c:formatCode>
                <c:ptCount val="36"/>
                <c:pt idx="0">
                  <c:v>4.0662506641053753E-4</c:v>
                </c:pt>
                <c:pt idx="1">
                  <c:v>-1.2853750250727547E-3</c:v>
                </c:pt>
                <c:pt idx="2">
                  <c:v>-2.4007814385978987E-3</c:v>
                </c:pt>
                <c:pt idx="3">
                  <c:v>-3.1284311937580522E-3</c:v>
                </c:pt>
                <c:pt idx="4">
                  <c:v>-3.6140558552004709E-3</c:v>
                </c:pt>
                <c:pt idx="5">
                  <c:v>-3.977945144854389E-3</c:v>
                </c:pt>
                <c:pt idx="6">
                  <c:v>-4.372517850134261E-3</c:v>
                </c:pt>
                <c:pt idx="7">
                  <c:v>-4.7287289857580461E-3</c:v>
                </c:pt>
                <c:pt idx="8">
                  <c:v>-4.9489204283122978E-3</c:v>
                </c:pt>
                <c:pt idx="9">
                  <c:v>-4.9267285234300129E-3</c:v>
                </c:pt>
                <c:pt idx="10">
                  <c:v>-4.6977656011557567E-3</c:v>
                </c:pt>
                <c:pt idx="11">
                  <c:v>-4.3228273719871924E-3</c:v>
                </c:pt>
                <c:pt idx="12">
                  <c:v>-3.7309560774275718E-3</c:v>
                </c:pt>
                <c:pt idx="13">
                  <c:v>-2.9517868586746987E-3</c:v>
                </c:pt>
                <c:pt idx="14">
                  <c:v>-2.0786241881417533E-3</c:v>
                </c:pt>
                <c:pt idx="15">
                  <c:v>-1.2101632378558325E-3</c:v>
                </c:pt>
                <c:pt idx="16">
                  <c:v>-4.8135621318112776E-4</c:v>
                </c:pt>
                <c:pt idx="17">
                  <c:v>1.2949340749757177E-4</c:v>
                </c:pt>
                <c:pt idx="18">
                  <c:v>6.3360662622158337E-4</c:v>
                </c:pt>
                <c:pt idx="19">
                  <c:v>1.0424879373824858E-3</c:v>
                </c:pt>
                <c:pt idx="20">
                  <c:v>1.3814623009151816E-3</c:v>
                </c:pt>
                <c:pt idx="21">
                  <c:v>1.6489927216980504E-3</c:v>
                </c:pt>
                <c:pt idx="22">
                  <c:v>1.8604981956218403E-3</c:v>
                </c:pt>
                <c:pt idx="23">
                  <c:v>2.0264894752608509E-3</c:v>
                </c:pt>
                <c:pt idx="24">
                  <c:v>2.1519622882708589E-3</c:v>
                </c:pt>
                <c:pt idx="25">
                  <c:v>2.2818344182389261E-3</c:v>
                </c:pt>
                <c:pt idx="26">
                  <c:v>2.4106732596775871E-3</c:v>
                </c:pt>
                <c:pt idx="27">
                  <c:v>2.520820228157028E-3</c:v>
                </c:pt>
                <c:pt idx="28">
                  <c:v>2.6118773935142059E-3</c:v>
                </c:pt>
                <c:pt idx="29">
                  <c:v>2.6885032790182617E-3</c:v>
                </c:pt>
                <c:pt idx="30">
                  <c:v>2.7484110089479596E-3</c:v>
                </c:pt>
                <c:pt idx="31">
                  <c:v>2.810004650289688E-3</c:v>
                </c:pt>
                <c:pt idx="32">
                  <c:v>2.8663941214563948E-3</c:v>
                </c:pt>
                <c:pt idx="33">
                  <c:v>2.9129107550418532E-3</c:v>
                </c:pt>
                <c:pt idx="34">
                  <c:v>2.9452409884862529E-3</c:v>
                </c:pt>
                <c:pt idx="35">
                  <c:v>2.9598300389177545E-3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4A-4877-A4A9-C7609B9F9543}"/>
            </c:ext>
          </c:extLst>
        </c:ser>
        <c:ser>
          <c:idx val="7"/>
          <c:order val="7"/>
          <c:tx>
            <c:strRef>
              <c:f>Données!$B$261</c:f>
              <c:strCache>
                <c:ptCount val="1"/>
                <c:pt idx="0">
                  <c:v>Households (transport)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Données!$C$261:$AL$261</c:f>
              <c:numCache>
                <c:formatCode>0%</c:formatCode>
                <c:ptCount val="36"/>
                <c:pt idx="0">
                  <c:v>4.0662506641075957E-4</c:v>
                </c:pt>
                <c:pt idx="1">
                  <c:v>1.1143270490239221E-3</c:v>
                </c:pt>
                <c:pt idx="2">
                  <c:v>1.9870810927906657E-3</c:v>
                </c:pt>
                <c:pt idx="3">
                  <c:v>2.9385033027147234E-3</c:v>
                </c:pt>
                <c:pt idx="4">
                  <c:v>3.9078879542933098E-3</c:v>
                </c:pt>
                <c:pt idx="5">
                  <c:v>4.8554087812433533E-3</c:v>
                </c:pt>
                <c:pt idx="6">
                  <c:v>5.7635380750113985E-3</c:v>
                </c:pt>
                <c:pt idx="7">
                  <c:v>6.6168083186788351E-3</c:v>
                </c:pt>
                <c:pt idx="8">
                  <c:v>7.406178522207929E-3</c:v>
                </c:pt>
                <c:pt idx="9">
                  <c:v>8.1277213715256202E-3</c:v>
                </c:pt>
                <c:pt idx="10">
                  <c:v>8.7759583165836208E-3</c:v>
                </c:pt>
                <c:pt idx="11">
                  <c:v>9.3763367659154273E-3</c:v>
                </c:pt>
                <c:pt idx="12">
                  <c:v>9.9295134927261941E-3</c:v>
                </c:pt>
                <c:pt idx="13">
                  <c:v>1.0433725487206003E-2</c:v>
                </c:pt>
                <c:pt idx="14">
                  <c:v>1.0887937901295386E-2</c:v>
                </c:pt>
                <c:pt idx="15">
                  <c:v>1.129254585573336E-2</c:v>
                </c:pt>
                <c:pt idx="16">
                  <c:v>1.1663653234721849E-2</c:v>
                </c:pt>
                <c:pt idx="17">
                  <c:v>1.200457003435873E-2</c:v>
                </c:pt>
                <c:pt idx="18">
                  <c:v>1.2315712334223017E-2</c:v>
                </c:pt>
                <c:pt idx="19">
                  <c:v>1.2597843846328782E-2</c:v>
                </c:pt>
                <c:pt idx="20">
                  <c:v>1.2856563132592091E-2</c:v>
                </c:pt>
                <c:pt idx="21">
                  <c:v>1.3086786747348089E-2</c:v>
                </c:pt>
                <c:pt idx="22">
                  <c:v>1.3294349148998519E-2</c:v>
                </c:pt>
                <c:pt idx="23">
                  <c:v>1.3484333931380599E-2</c:v>
                </c:pt>
                <c:pt idx="24">
                  <c:v>1.3661183667670995E-2</c:v>
                </c:pt>
                <c:pt idx="25">
                  <c:v>1.383874204886415E-2</c:v>
                </c:pt>
                <c:pt idx="26">
                  <c:v>1.399852084325226E-2</c:v>
                </c:pt>
                <c:pt idx="27">
                  <c:v>1.4145401306591809E-2</c:v>
                </c:pt>
                <c:pt idx="28">
                  <c:v>1.4285024752350495E-2</c:v>
                </c:pt>
                <c:pt idx="29">
                  <c:v>1.4422115241623068E-2</c:v>
                </c:pt>
                <c:pt idx="30">
                  <c:v>1.4560171153673362E-2</c:v>
                </c:pt>
                <c:pt idx="31">
                  <c:v>1.4698893867436169E-2</c:v>
                </c:pt>
                <c:pt idx="32">
                  <c:v>1.4839831528753678E-2</c:v>
                </c:pt>
                <c:pt idx="33">
                  <c:v>1.4984608464743809E-2</c:v>
                </c:pt>
                <c:pt idx="34">
                  <c:v>1.5134420999083131E-2</c:v>
                </c:pt>
                <c:pt idx="35">
                  <c:v>1.5289976134210015E-2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4A-4877-A4A9-C7609B9F9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/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  <c:majorUnit val="4.0000000000000008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value</a:t>
            </a:r>
            <a:r>
              <a:rPr lang="fr-FR" sz="2800" baseline="0"/>
              <a:t> added</a:t>
            </a:r>
          </a:p>
          <a:p>
            <a:pPr>
              <a:defRPr/>
            </a:pPr>
            <a:r>
              <a:rPr lang="fr-FR" sz="1800" i="0" baseline="0"/>
              <a:t>(% deviation from baseline</a:t>
            </a:r>
            <a:r>
              <a:rPr lang="fr-FR" baseline="0"/>
              <a:t>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7564708710766092"/>
          <c:w val="0.88919974947941849"/>
          <c:h val="0.655305443529590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Données!$B$108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Données!$C$108:$E$108</c:f>
              <c:numCache>
                <c:formatCode>0.0%</c:formatCode>
                <c:ptCount val="3"/>
                <c:pt idx="0">
                  <c:v>-3.026248545016658E-2</c:v>
                </c:pt>
                <c:pt idx="1">
                  <c:v>-4.4032398512903324E-2</c:v>
                </c:pt>
                <c:pt idx="2">
                  <c:v>-5.5247020667142883E-2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Données!$B$109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Données!$C$109:$E$109</c:f>
              <c:numCache>
                <c:formatCode>0.0%</c:formatCode>
                <c:ptCount val="3"/>
                <c:pt idx="0">
                  <c:v>-3.1071682385635215E-2</c:v>
                </c:pt>
                <c:pt idx="1">
                  <c:v>-4.8662865974417345E-2</c:v>
                </c:pt>
                <c:pt idx="2">
                  <c:v>-6.3251297824640312E-2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Données!$B$110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Données!$C$110:$E$110</c:f>
              <c:numCache>
                <c:formatCode>0.0%</c:formatCode>
                <c:ptCount val="3"/>
                <c:pt idx="0">
                  <c:v>-2.6702222394073077E-2</c:v>
                </c:pt>
                <c:pt idx="1">
                  <c:v>-3.8944055267239347E-2</c:v>
                </c:pt>
                <c:pt idx="2">
                  <c:v>-4.9511447693800441E-2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Données!$B$111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Données!$C$111:$E$111</c:f>
              <c:numCache>
                <c:formatCode>0.0%</c:formatCode>
                <c:ptCount val="3"/>
                <c:pt idx="0">
                  <c:v>-2.0057587850962916E-2</c:v>
                </c:pt>
                <c:pt idx="1">
                  <c:v>-2.9179685331570102E-2</c:v>
                </c:pt>
                <c:pt idx="2">
                  <c:v>-3.6169072023162309E-2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5"/>
          <c:order val="5"/>
          <c:tx>
            <c:strRef>
              <c:f>Données!$B$114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Données!$C$114:$E$114</c:f>
              <c:numCache>
                <c:formatCode>0.0%</c:formatCode>
                <c:ptCount val="3"/>
                <c:pt idx="0">
                  <c:v>-2.4070506190245543E-2</c:v>
                </c:pt>
                <c:pt idx="1">
                  <c:v>-3.2542222239426807E-2</c:v>
                </c:pt>
                <c:pt idx="2">
                  <c:v>-4.0046847036852212E-2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ser>
          <c:idx val="6"/>
          <c:order val="6"/>
          <c:tx>
            <c:v>Average</c:v>
          </c:tx>
          <c:spPr>
            <a:solidFill>
              <a:schemeClr val="bg1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Données!$C$107:$E$107</c:f>
              <c:numCache>
                <c:formatCode>0.0%</c:formatCode>
                <c:ptCount val="3"/>
                <c:pt idx="0">
                  <c:v>-2.230992746541419E-2</c:v>
                </c:pt>
                <c:pt idx="1">
                  <c:v>-3.2996115566240158E-2</c:v>
                </c:pt>
                <c:pt idx="2">
                  <c:v>-4.1463659030990946E-2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7-4A45-A893-6FC38B935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Données!$B$112</c15:sqref>
                        </c15:formulaRef>
                      </c:ext>
                    </c:extLst>
                    <c:strCache>
                      <c:ptCount val="1"/>
                      <c:pt idx="0">
                        <c:v>Oil&amp;Gas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Données!$C$106:$E$106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2040</c:v>
                      </c:pt>
                      <c:pt idx="2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Données!$C$112:$E$112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5.8130810513058885E-2</c:v>
                      </c:pt>
                      <c:pt idx="1">
                        <c:v>6.617640313835163E-2</c:v>
                      </c:pt>
                      <c:pt idx="2">
                        <c:v>7.4934854425878814E-2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C3EF-431D-9A51-747E617C00C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Données!$B$117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Données!$C$117:$E$117</c:f>
              <c:numCache>
                <c:formatCode>0.0%</c:formatCode>
                <c:ptCount val="3"/>
                <c:pt idx="0">
                  <c:v>-3.0262485450166632E-2</c:v>
                </c:pt>
                <c:pt idx="1">
                  <c:v>-4.4032398512903304E-2</c:v>
                </c:pt>
                <c:pt idx="2">
                  <c:v>-5.5247020667142932E-2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Données!$B$118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Données!$C$118:$E$118</c:f>
              <c:numCache>
                <c:formatCode>0.0%</c:formatCode>
                <c:ptCount val="3"/>
                <c:pt idx="0">
                  <c:v>-3.107168238563518E-2</c:v>
                </c:pt>
                <c:pt idx="1">
                  <c:v>-4.866286597441738E-2</c:v>
                </c:pt>
                <c:pt idx="2">
                  <c:v>-6.325129782464034E-2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Données!$B$119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Données!$C$119:$E$119</c:f>
              <c:numCache>
                <c:formatCode>0.0%</c:formatCode>
                <c:ptCount val="3"/>
                <c:pt idx="0">
                  <c:v>-2.670222239407305E-2</c:v>
                </c:pt>
                <c:pt idx="1">
                  <c:v>-3.8944055267239319E-2</c:v>
                </c:pt>
                <c:pt idx="2">
                  <c:v>-4.9511447693800448E-2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Données!$B$120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Données!$C$120:$E$120</c:f>
              <c:numCache>
                <c:formatCode>0.0%</c:formatCode>
                <c:ptCount val="3"/>
                <c:pt idx="0">
                  <c:v>-2.0057587850962899E-2</c:v>
                </c:pt>
                <c:pt idx="1">
                  <c:v>-2.9179685331570115E-2</c:v>
                </c:pt>
                <c:pt idx="2">
                  <c:v>-3.616907202316233E-2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Données!$B$121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Données!$C$121:$E$121</c:f>
              <c:numCache>
                <c:formatCode>0.0%</c:formatCode>
                <c:ptCount val="3"/>
                <c:pt idx="0">
                  <c:v>5.8130810513058906E-2</c:v>
                </c:pt>
                <c:pt idx="1">
                  <c:v>6.6176403138351603E-2</c:v>
                </c:pt>
                <c:pt idx="2">
                  <c:v>7.4934854425878772E-2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Données!$B$122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Données!$C$122:$E$122</c:f>
              <c:numCache>
                <c:formatCode>0.0%</c:formatCode>
                <c:ptCount val="3"/>
                <c:pt idx="0">
                  <c:v>-2.4070506190245533E-2</c:v>
                </c:pt>
                <c:pt idx="1">
                  <c:v>-3.2542222239426821E-2</c:v>
                </c:pt>
                <c:pt idx="2">
                  <c:v>-4.004684703685224E-2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production</a:t>
            </a:r>
          </a:p>
          <a:p>
            <a:pPr>
              <a:defRPr/>
            </a:pPr>
            <a:r>
              <a:rPr lang="fr-FR" sz="1800" baseline="0"/>
              <a:t>(% deviation from baseline)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2042331569230875"/>
          <c:y val="1.25748508923028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1663560631932678E-2"/>
          <c:y val="0.16258101222189938"/>
          <c:w val="0.88919974947941849"/>
          <c:h val="0.578445451385989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Données!$B$147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Données!$C$147:$E$147</c:f>
              <c:numCache>
                <c:formatCode>0.0%</c:formatCode>
                <c:ptCount val="3"/>
                <c:pt idx="0">
                  <c:v>-3.020022111712329E-2</c:v>
                </c:pt>
                <c:pt idx="1">
                  <c:v>-2.5694305598373903E-2</c:v>
                </c:pt>
                <c:pt idx="2">
                  <c:v>-5.3767440384080184E-2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067-BD64-AD80378C548C}"/>
            </c:ext>
          </c:extLst>
        </c:ser>
        <c:ser>
          <c:idx val="1"/>
          <c:order val="1"/>
          <c:tx>
            <c:strRef>
              <c:f>Données!$B$148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Données!$C$148:$E$148</c:f>
              <c:numCache>
                <c:formatCode>0.0%</c:formatCode>
                <c:ptCount val="3"/>
                <c:pt idx="0">
                  <c:v>-3.2180481006877794E-2</c:v>
                </c:pt>
                <c:pt idx="1">
                  <c:v>-3.1715690569554714E-2</c:v>
                </c:pt>
                <c:pt idx="2">
                  <c:v>-6.4523022093970928E-2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Données!$B$149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Données!$C$149:$E$149</c:f>
              <c:numCache>
                <c:formatCode>0.0%</c:formatCode>
                <c:ptCount val="3"/>
                <c:pt idx="0">
                  <c:v>-2.8758478293403146E-2</c:v>
                </c:pt>
                <c:pt idx="1">
                  <c:v>-3.4061323565903558E-2</c:v>
                </c:pt>
                <c:pt idx="2">
                  <c:v>-5.3788751359471997E-2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Données!$B$150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Données!$C$150:$E$150</c:f>
              <c:numCache>
                <c:formatCode>0.0%</c:formatCode>
                <c:ptCount val="3"/>
                <c:pt idx="0">
                  <c:v>-2.0896821527715347E-2</c:v>
                </c:pt>
                <c:pt idx="1">
                  <c:v>-3.0227513422543806E-2</c:v>
                </c:pt>
                <c:pt idx="2">
                  <c:v>-3.7525164117494743E-2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Données!$B$151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Données!$C$151:$E$151</c:f>
              <c:numCache>
                <c:formatCode>0.0%</c:formatCode>
                <c:ptCount val="3"/>
                <c:pt idx="0">
                  <c:v>-3.3569961289110078E-2</c:v>
                </c:pt>
                <c:pt idx="1">
                  <c:v>-2.1988957931744088E-2</c:v>
                </c:pt>
                <c:pt idx="2">
                  <c:v>-6.3441609361738829E-2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5"/>
          <c:order val="5"/>
          <c:tx>
            <c:strRef>
              <c:f>Données!$B$152</c:f>
              <c:strCache>
                <c:ptCount val="1"/>
                <c:pt idx="0">
                  <c:v>Renewable Oil&amp;Gas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Données!$C$152:$E$152</c:f>
              <c:numCache>
                <c:formatCode>0.0%</c:formatCode>
                <c:ptCount val="3"/>
                <c:pt idx="0">
                  <c:v>-3.113338006598396E-2</c:v>
                </c:pt>
                <c:pt idx="1">
                  <c:v>-3.5388823762658055E-2</c:v>
                </c:pt>
                <c:pt idx="2">
                  <c:v>-5.8845339067912152E-2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D-4067-BD64-AD80378C548C}"/>
            </c:ext>
          </c:extLst>
        </c:ser>
        <c:ser>
          <c:idx val="7"/>
          <c:order val="6"/>
          <c:tx>
            <c:strRef>
              <c:f>Données!$B$153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Données!$C$153:$E$153</c:f>
              <c:numCache>
                <c:formatCode>0.0%</c:formatCode>
                <c:ptCount val="3"/>
                <c:pt idx="0">
                  <c:v>-2.4078104118935763E-2</c:v>
                </c:pt>
                <c:pt idx="1">
                  <c:v>-3.2876407198498353E-2</c:v>
                </c:pt>
                <c:pt idx="2">
                  <c:v>-4.0036755871964404E-2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2-45B6-A986-EF05989A50E2}"/>
            </c:ext>
          </c:extLst>
        </c:ser>
        <c:ser>
          <c:idx val="6"/>
          <c:order val="7"/>
          <c:tx>
            <c:strRef>
              <c:f>Données!$B$146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bg1"/>
            </a:solidFill>
            <a:ln w="15875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Données!$C$146:$E$146</c:f>
              <c:numCache>
                <c:formatCode>0.0%</c:formatCode>
                <c:ptCount val="3"/>
                <c:pt idx="0">
                  <c:v>-2.4378231716114723E-2</c:v>
                </c:pt>
                <c:pt idx="1">
                  <c:v>0</c:v>
                </c:pt>
                <c:pt idx="2">
                  <c:v>-4.5557086757292323E-2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2-45B6-A986-EF05989A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  <c:max val="4.0000000000000008E-2"/>
          <c:min val="-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Données!$B$156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Données!$C$156:$E$156</c:f>
              <c:numCache>
                <c:formatCode>0.0%</c:formatCode>
                <c:ptCount val="3"/>
                <c:pt idx="0">
                  <c:v>-3.0200221117123283E-2</c:v>
                </c:pt>
                <c:pt idx="1">
                  <c:v>-4.3326126644460672E-2</c:v>
                </c:pt>
                <c:pt idx="2">
                  <c:v>-5.3767440384080212E-2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Données!$B$157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Données!$C$157:$E$157</c:f>
              <c:numCache>
                <c:formatCode>0.0%</c:formatCode>
                <c:ptCount val="3"/>
                <c:pt idx="0">
                  <c:v>-3.2180481006877759E-2</c:v>
                </c:pt>
                <c:pt idx="1">
                  <c:v>-4.9798747058222292E-2</c:v>
                </c:pt>
                <c:pt idx="2">
                  <c:v>-6.4523022093970983E-2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Données!$B$158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Données!$C$158:$E$158</c:f>
              <c:numCache>
                <c:formatCode>0.0%</c:formatCode>
                <c:ptCount val="3"/>
                <c:pt idx="0">
                  <c:v>-2.8758478293403167E-2</c:v>
                </c:pt>
                <c:pt idx="1">
                  <c:v>-4.2106427323756135E-2</c:v>
                </c:pt>
                <c:pt idx="2">
                  <c:v>-5.3788751359472031E-2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Données!$B$159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Données!$C$159:$E$159</c:f>
              <c:numCache>
                <c:formatCode>0.0%</c:formatCode>
                <c:ptCount val="3"/>
                <c:pt idx="0">
                  <c:v>-2.0896821527715326E-2</c:v>
                </c:pt>
                <c:pt idx="1">
                  <c:v>-3.0319981055360934E-2</c:v>
                </c:pt>
                <c:pt idx="2">
                  <c:v>-3.7525164117494736E-2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Données!$B$160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Données!$C$160:$E$160</c:f>
              <c:numCache>
                <c:formatCode>0.0%</c:formatCode>
                <c:ptCount val="3"/>
                <c:pt idx="0">
                  <c:v>-3.3569961289110051E-2</c:v>
                </c:pt>
                <c:pt idx="1">
                  <c:v>-5.0038254692146955E-2</c:v>
                </c:pt>
                <c:pt idx="2">
                  <c:v>-6.3441609361738815E-2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Données!$B$161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Données!$C$161:$E$161</c:f>
              <c:numCache>
                <c:formatCode>0.0%</c:formatCode>
                <c:ptCount val="3"/>
                <c:pt idx="0">
                  <c:v>-2.4078104118935739E-2</c:v>
                </c:pt>
                <c:pt idx="1">
                  <c:v>-3.2529468987485433E-2</c:v>
                </c:pt>
                <c:pt idx="2">
                  <c:v>-4.0036755871964425E-2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Graphique2">
    <tabColor rgb="FFFF0000"/>
  </sheetPr>
  <sheetViews>
    <sheetView tabSelected="1"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 codeName="Graphique3">
    <tabColor rgb="FFFF0000"/>
  </sheetPr>
  <sheetViews>
    <sheetView zoomScale="4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 codeName="Graphique4"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 codeName="Graphique5">
    <tabColor rgb="FFFF000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 codeName="Graphique6"/>
  <sheetViews>
    <sheetView zoomScale="70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 codeName="Graphique7">
    <tabColor rgb="FFFF000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 codeName="Graphique8"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 codeName="Graphique9"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 codeName="Graphique10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 codeName="Graphique11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 codeName="Graphique12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 codeName="Graphique13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 codeName="Graphique14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 codeName="Graphique15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 codeName="Graphique16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 codeName="Graphique17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 codeName="Graphique18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>
  <sheetPr codeName="Graphique19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>
  <sheetPr codeName="Graphique20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>
  <sheetPr codeName="Graphique21"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1.xml><?xml version="1.0" encoding="utf-8"?>
<chartsheet xmlns="http://schemas.openxmlformats.org/spreadsheetml/2006/main" xmlns:r="http://schemas.openxmlformats.org/officeDocument/2006/relationships">
  <sheetPr codeName="Graphique22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  <cdr:relSizeAnchor xmlns:cdr="http://schemas.openxmlformats.org/drawingml/2006/chartDrawing">
    <cdr:from>
      <cdr:x>0.86541</cdr:x>
      <cdr:y>0.19309</cdr:y>
    </cdr:from>
    <cdr:to>
      <cdr:x>0.98047</cdr:x>
      <cdr:y>0.26796</cdr:y>
    </cdr:to>
    <cdr:sp macro="" textlink="">
      <cdr:nvSpPr>
        <cdr:cNvPr id="4" name="ZoneTexte 3"/>
        <cdr:cNvSpPr txBox="1"/>
      </cdr:nvSpPr>
      <cdr:spPr>
        <a:xfrm xmlns:a="http://schemas.openxmlformats.org/drawingml/2006/main">
          <a:off x="8038886" y="1170088"/>
          <a:ext cx="1068828" cy="4536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 i="0">
              <a:latin typeface="Marianne Light" panose="02000000000000000000" pitchFamily="50" charset="0"/>
            </a:rPr>
            <a:t>+500%</a:t>
          </a:r>
        </a:p>
      </cdr:txBody>
    </cdr:sp>
  </cdr:relSizeAnchor>
  <cdr:relSizeAnchor xmlns:cdr="http://schemas.openxmlformats.org/drawingml/2006/chartDrawing">
    <cdr:from>
      <cdr:x>0.78711</cdr:x>
      <cdr:y>0.67216</cdr:y>
    </cdr:from>
    <cdr:to>
      <cdr:x>0.88477</cdr:x>
      <cdr:y>0.73503</cdr:y>
    </cdr:to>
    <cdr:sp macro="" textlink="">
      <cdr:nvSpPr>
        <cdr:cNvPr id="5" name="ZoneTexte 4"/>
        <cdr:cNvSpPr txBox="1"/>
      </cdr:nvSpPr>
      <cdr:spPr>
        <a:xfrm xmlns:a="http://schemas.openxmlformats.org/drawingml/2006/main">
          <a:off x="7311571" y="4073072"/>
          <a:ext cx="907143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>
              <a:latin typeface="Marianne Light" panose="02000000000000000000" pitchFamily="50" charset="0"/>
            </a:rPr>
            <a:t>-42%</a:t>
          </a:r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2-02-25_08-17-34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ort"/>
      <sheetName val="Import"/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/>
      <sheetData sheetId="2"/>
      <sheetData sheetId="3">
        <row r="2">
          <cell r="B2">
            <v>3854232.906</v>
          </cell>
          <cell r="C2">
            <v>3830743.2549999999</v>
          </cell>
          <cell r="D2">
            <v>3861924.213</v>
          </cell>
          <cell r="E2">
            <v>3902296.4920000001</v>
          </cell>
          <cell r="F2">
            <v>3948882.62</v>
          </cell>
          <cell r="G2">
            <v>4000399.3859999999</v>
          </cell>
          <cell r="H2">
            <v>4053388.9789999998</v>
          </cell>
          <cell r="I2">
            <v>4108930.9219999998</v>
          </cell>
          <cell r="J2">
            <v>4166752.915</v>
          </cell>
          <cell r="K2">
            <v>4226554.6059999997</v>
          </cell>
          <cell r="L2">
            <v>4292477.0259999996</v>
          </cell>
          <cell r="M2">
            <v>4356614.62</v>
          </cell>
          <cell r="N2">
            <v>4421485.2130000005</v>
          </cell>
          <cell r="O2">
            <v>4487111.8229999999</v>
          </cell>
          <cell r="P2">
            <v>4553451.9740000004</v>
          </cell>
          <cell r="Q2">
            <v>4620480.7259999998</v>
          </cell>
          <cell r="R2">
            <v>4687899.477</v>
          </cell>
          <cell r="S2">
            <v>4755970.4869999997</v>
          </cell>
          <cell r="T2">
            <v>4824759.8059999999</v>
          </cell>
          <cell r="U2">
            <v>4894327.2690000003</v>
          </cell>
          <cell r="V2">
            <v>4961472.3669999996</v>
          </cell>
          <cell r="W2">
            <v>5031665.3870000001</v>
          </cell>
          <cell r="X2">
            <v>5103127.6849999996</v>
          </cell>
          <cell r="Y2">
            <v>5175791.909</v>
          </cell>
          <cell r="Z2">
            <v>5249656.8210000005</v>
          </cell>
          <cell r="AA2">
            <v>5315366.17</v>
          </cell>
          <cell r="AB2">
            <v>5384150.7209999999</v>
          </cell>
          <cell r="AC2">
            <v>5453555.1220000004</v>
          </cell>
          <cell r="AD2">
            <v>5523677.926</v>
          </cell>
          <cell r="AE2">
            <v>5594670.7640000004</v>
          </cell>
          <cell r="AF2">
            <v>5666665.233</v>
          </cell>
          <cell r="AG2">
            <v>5739825.6370000001</v>
          </cell>
          <cell r="AH2">
            <v>5814163.2699999996</v>
          </cell>
          <cell r="AI2">
            <v>5889707.8130000001</v>
          </cell>
          <cell r="AJ2">
            <v>5966471.7280000001</v>
          </cell>
          <cell r="AK2">
            <v>6044455.4299999997</v>
          </cell>
          <cell r="AL2">
            <v>6121999.8870000001</v>
          </cell>
          <cell r="AM2">
            <v>6200092.165</v>
          </cell>
          <cell r="AN2">
            <v>6278886.9309999999</v>
          </cell>
          <cell r="AO2">
            <v>6358487.7819999997</v>
          </cell>
          <cell r="AP2">
            <v>6438978.4349999996</v>
          </cell>
          <cell r="AQ2">
            <v>6520523.1109999996</v>
          </cell>
          <cell r="AR2">
            <v>6603103.6119999997</v>
          </cell>
          <cell r="AS2">
            <v>6686750.8470000001</v>
          </cell>
          <cell r="AT2">
            <v>6771486.8190000001</v>
          </cell>
          <cell r="AU2">
            <v>6857325.0310000004</v>
          </cell>
          <cell r="AV2">
            <v>6944799.7149999999</v>
          </cell>
          <cell r="AW2">
            <v>7033541.0070000002</v>
          </cell>
          <cell r="AX2">
            <v>7123503.6169999996</v>
          </cell>
          <cell r="AY2">
            <v>7214662.2230000002</v>
          </cell>
          <cell r="AZ2">
            <v>7307000.6699999999</v>
          </cell>
          <cell r="BA2">
            <v>7400713.3679999998</v>
          </cell>
          <cell r="BB2">
            <v>7495646.182</v>
          </cell>
          <cell r="BC2">
            <v>7591784.6619999995</v>
          </cell>
          <cell r="BD2">
            <v>7689127.358</v>
          </cell>
          <cell r="BE2">
            <v>7787680.2400000002</v>
          </cell>
        </row>
        <row r="3">
          <cell r="B3">
            <v>3859362.8829999999</v>
          </cell>
          <cell r="C3">
            <v>3841758.8139999998</v>
          </cell>
          <cell r="D3">
            <v>3879392.5430000001</v>
          </cell>
          <cell r="E3">
            <v>3926602.176</v>
          </cell>
          <cell r="F3">
            <v>3980277.4539999999</v>
          </cell>
          <cell r="G3">
            <v>4039046.0240000002</v>
          </cell>
          <cell r="H3">
            <v>4099438.98</v>
          </cell>
          <cell r="I3">
            <v>4162449.3969999999</v>
          </cell>
          <cell r="J3">
            <v>4227771.4220000003</v>
          </cell>
          <cell r="K3">
            <v>4295084.1229999997</v>
          </cell>
          <cell r="L3">
            <v>4368586.83</v>
          </cell>
          <cell r="M3">
            <v>4440548.9390000002</v>
          </cell>
          <cell r="N3">
            <v>4513288.5379999997</v>
          </cell>
          <cell r="O3">
            <v>4586799.8320000004</v>
          </cell>
          <cell r="P3">
            <v>4661025.767</v>
          </cell>
          <cell r="Q3">
            <v>4735934.4330000002</v>
          </cell>
          <cell r="R3">
            <v>4811528.3569999998</v>
          </cell>
          <cell r="S3">
            <v>4887837.7640000004</v>
          </cell>
          <cell r="T3">
            <v>4964911.1469999999</v>
          </cell>
          <cell r="U3">
            <v>5042807.1689999998</v>
          </cell>
          <cell r="V3">
            <v>5118234.7920000004</v>
          </cell>
          <cell r="W3">
            <v>5196817.1730000004</v>
          </cell>
          <cell r="X3">
            <v>5276743.6310000001</v>
          </cell>
          <cell r="Y3">
            <v>5357961.3260000004</v>
          </cell>
          <cell r="Z3">
            <v>5440484.3669999996</v>
          </cell>
          <cell r="AA3">
            <v>5514638.3459999999</v>
          </cell>
          <cell r="AB3">
            <v>5591896.8020000001</v>
          </cell>
          <cell r="AC3">
            <v>5669836.7249999996</v>
          </cell>
          <cell r="AD3">
            <v>5748583.7170000002</v>
          </cell>
          <cell r="AE3">
            <v>5828311.3260000004</v>
          </cell>
          <cell r="AF3">
            <v>5909167.4910000004</v>
          </cell>
          <cell r="AG3">
            <v>5991260.0470000003</v>
          </cell>
          <cell r="AH3">
            <v>6074658.6660000002</v>
          </cell>
          <cell r="AI3">
            <v>6159401.6969999997</v>
          </cell>
          <cell r="AJ3">
            <v>6245504.4560000002</v>
          </cell>
          <cell r="AK3">
            <v>6332966.9550000001</v>
          </cell>
          <cell r="AL3">
            <v>6419427.3640000001</v>
          </cell>
          <cell r="AM3">
            <v>6506387.1859999998</v>
          </cell>
          <cell r="AN3">
            <v>6594055.5149999997</v>
          </cell>
          <cell r="AO3">
            <v>6682565.5590000004</v>
          </cell>
          <cell r="AP3">
            <v>6772022.4400000004</v>
          </cell>
          <cell r="AQ3">
            <v>6862511.2829999998</v>
          </cell>
          <cell r="AR3">
            <v>6954098.2429999998</v>
          </cell>
          <cell r="AS3">
            <v>7046831.6519999998</v>
          </cell>
          <cell r="AT3">
            <v>7140744.4479999999</v>
          </cell>
          <cell r="AU3">
            <v>7235857.4400000004</v>
          </cell>
          <cell r="AV3">
            <v>7332396.5319999997</v>
          </cell>
          <cell r="AW3">
            <v>7430230.8090000004</v>
          </cell>
          <cell r="AX3">
            <v>7529345.1210000003</v>
          </cell>
          <cell r="AY3">
            <v>7629731.6890000002</v>
          </cell>
          <cell r="AZ3">
            <v>7731387.3720000004</v>
          </cell>
          <cell r="BA3">
            <v>7834313.8619999997</v>
          </cell>
          <cell r="BB3">
            <v>7938518.0049999999</v>
          </cell>
          <cell r="BC3">
            <v>8044011.7359999996</v>
          </cell>
          <cell r="BD3">
            <v>8150811.6550000003</v>
          </cell>
          <cell r="BE3">
            <v>8258938.3930000002</v>
          </cell>
        </row>
        <row r="4">
          <cell r="B4">
            <v>81726.207439999998</v>
          </cell>
          <cell r="C4">
            <v>80547.68174</v>
          </cell>
          <cell r="D4">
            <v>80801.739350000003</v>
          </cell>
          <cell r="E4">
            <v>81320.950960000002</v>
          </cell>
          <cell r="F4">
            <v>82046.012570000006</v>
          </cell>
          <cell r="G4">
            <v>82944.753639999995</v>
          </cell>
          <cell r="H4">
            <v>83937.372199999998</v>
          </cell>
          <cell r="I4">
            <v>85026.304269999993</v>
          </cell>
          <cell r="J4">
            <v>86195.103730000003</v>
          </cell>
          <cell r="K4">
            <v>87428.729300000006</v>
          </cell>
          <cell r="L4">
            <v>88799.644740000003</v>
          </cell>
          <cell r="M4">
            <v>90156.993629999997</v>
          </cell>
          <cell r="N4">
            <v>91534.586909999998</v>
          </cell>
          <cell r="O4">
            <v>92929.046870000006</v>
          </cell>
          <cell r="P4">
            <v>94336.852849999996</v>
          </cell>
          <cell r="Q4">
            <v>95755.76612</v>
          </cell>
          <cell r="R4">
            <v>97176.959419999999</v>
          </cell>
          <cell r="S4">
            <v>98606.376010000007</v>
          </cell>
          <cell r="T4">
            <v>100044.9664</v>
          </cell>
          <cell r="U4">
            <v>101493.7913</v>
          </cell>
          <cell r="V4">
            <v>102891.3221</v>
          </cell>
          <cell r="W4">
            <v>104335.8069</v>
          </cell>
          <cell r="X4">
            <v>105802.0529</v>
          </cell>
          <cell r="Y4">
            <v>107289.1784</v>
          </cell>
          <cell r="Z4">
            <v>108797.387</v>
          </cell>
          <cell r="AA4">
            <v>110147.1875</v>
          </cell>
          <cell r="AB4">
            <v>111534.05190000001</v>
          </cell>
          <cell r="AC4">
            <v>112926.05740000001</v>
          </cell>
          <cell r="AD4">
            <v>114327.77190000001</v>
          </cell>
          <cell r="AE4">
            <v>115744.42260000001</v>
          </cell>
          <cell r="AF4">
            <v>117180.32610000001</v>
          </cell>
          <cell r="AG4">
            <v>118640.3725</v>
          </cell>
          <cell r="AH4">
            <v>120125.3066</v>
          </cell>
          <cell r="AI4">
            <v>121636.2472</v>
          </cell>
          <cell r="AJ4">
            <v>123173.7534</v>
          </cell>
          <cell r="AK4">
            <v>124737.99950000001</v>
          </cell>
          <cell r="AL4">
            <v>126301.4743</v>
          </cell>
          <cell r="AM4">
            <v>127874.9182</v>
          </cell>
          <cell r="AN4">
            <v>129462.344</v>
          </cell>
          <cell r="AO4">
            <v>131066.7816</v>
          </cell>
          <cell r="AP4">
            <v>132690.75769999999</v>
          </cell>
          <cell r="AQ4">
            <v>134338.8242</v>
          </cell>
          <cell r="AR4">
            <v>136010.7243</v>
          </cell>
          <cell r="AS4">
            <v>137707.4271</v>
          </cell>
          <cell r="AT4">
            <v>139429.55979999999</v>
          </cell>
          <cell r="AU4">
            <v>141177.45139999999</v>
          </cell>
          <cell r="AV4">
            <v>142963.50589999999</v>
          </cell>
          <cell r="AW4">
            <v>144779.40979999999</v>
          </cell>
          <cell r="AX4">
            <v>146624.03219999999</v>
          </cell>
          <cell r="AY4">
            <v>148496.55540000001</v>
          </cell>
          <cell r="AZ4">
            <v>150396.3034</v>
          </cell>
          <cell r="BA4">
            <v>152328.05350000001</v>
          </cell>
          <cell r="BB4">
            <v>154287.53589999999</v>
          </cell>
          <cell r="BC4">
            <v>156274.19579999999</v>
          </cell>
          <cell r="BD4">
            <v>158287.74859999999</v>
          </cell>
          <cell r="BE4">
            <v>160328.07180000001</v>
          </cell>
        </row>
        <row r="5">
          <cell r="B5">
            <v>81862.317689999996</v>
          </cell>
          <cell r="C5">
            <v>80835.169269999999</v>
          </cell>
          <cell r="D5">
            <v>81257.251529999994</v>
          </cell>
          <cell r="E5">
            <v>81956.393620000003</v>
          </cell>
          <cell r="F5">
            <v>82869.222750000001</v>
          </cell>
          <cell r="G5">
            <v>83960.447960000005</v>
          </cell>
          <cell r="H5">
            <v>85149.152329999997</v>
          </cell>
          <cell r="I5">
            <v>86435.004430000001</v>
          </cell>
          <cell r="J5">
            <v>87800.418290000001</v>
          </cell>
          <cell r="K5">
            <v>89229.670960000003</v>
          </cell>
          <cell r="L5">
            <v>90796.591010000004</v>
          </cell>
          <cell r="M5">
            <v>92354.508809999999</v>
          </cell>
          <cell r="N5">
            <v>93932.081609999994</v>
          </cell>
          <cell r="O5">
            <v>95525.207720000006</v>
          </cell>
          <cell r="P5">
            <v>97129.880170000004</v>
          </cell>
          <cell r="Q5">
            <v>98743.547839999999</v>
          </cell>
          <cell r="R5">
            <v>100365.0845</v>
          </cell>
          <cell r="S5">
            <v>101994.44990000001</v>
          </cell>
          <cell r="T5">
            <v>103632.34020000001</v>
          </cell>
          <cell r="U5">
            <v>105279.90979999999</v>
          </cell>
          <cell r="V5">
            <v>106873.3214</v>
          </cell>
          <cell r="W5">
            <v>108515.0327</v>
          </cell>
          <cell r="X5">
            <v>110179.05250000001</v>
          </cell>
          <cell r="Y5">
            <v>111865.0371</v>
          </cell>
          <cell r="Z5">
            <v>113573.7602</v>
          </cell>
          <cell r="AA5">
            <v>115117.51669999999</v>
          </cell>
          <cell r="AB5">
            <v>116698.6201</v>
          </cell>
          <cell r="AC5">
            <v>118285.9673</v>
          </cell>
          <cell r="AD5">
            <v>119884.99920000001</v>
          </cell>
          <cell r="AE5">
            <v>121501.7461</v>
          </cell>
          <cell r="AF5">
            <v>123141.1927</v>
          </cell>
          <cell r="AG5">
            <v>124807.0019</v>
          </cell>
          <cell r="AH5">
            <v>126501.6436</v>
          </cell>
          <cell r="AI5">
            <v>128226.62639999999</v>
          </cell>
          <cell r="AJ5">
            <v>129982.75599999999</v>
          </cell>
          <cell r="AK5">
            <v>131770.36540000001</v>
          </cell>
          <cell r="AL5">
            <v>133543.85810000001</v>
          </cell>
          <cell r="AM5">
            <v>135327.48139999999</v>
          </cell>
          <cell r="AN5">
            <v>137126.505</v>
          </cell>
          <cell r="AO5">
            <v>138944.8291</v>
          </cell>
          <cell r="AP5">
            <v>140785.7641</v>
          </cell>
          <cell r="AQ5">
            <v>142652.0619</v>
          </cell>
          <cell r="AR5">
            <v>144545.8744</v>
          </cell>
          <cell r="AS5">
            <v>146468.76749999999</v>
          </cell>
          <cell r="AT5">
            <v>148421.7917</v>
          </cell>
          <cell r="AU5">
            <v>150405.57569999999</v>
          </cell>
          <cell r="AV5">
            <v>152424.57130000001</v>
          </cell>
          <cell r="AW5">
            <v>154476.65040000001</v>
          </cell>
          <cell r="AX5">
            <v>156561.3155</v>
          </cell>
          <cell r="AY5">
            <v>158678.16829999999</v>
          </cell>
          <cell r="AZ5">
            <v>160826.889</v>
          </cell>
          <cell r="BA5">
            <v>163007.26139999999</v>
          </cell>
          <cell r="BB5">
            <v>165219.19020000001</v>
          </cell>
          <cell r="BC5">
            <v>167462.70259999999</v>
          </cell>
          <cell r="BD5">
            <v>169737.9381</v>
          </cell>
          <cell r="BE5">
            <v>172045.1317</v>
          </cell>
        </row>
        <row r="6">
          <cell r="B6">
            <v>6533.11924</v>
          </cell>
          <cell r="C6">
            <v>6464.006042</v>
          </cell>
          <cell r="D6">
            <v>6422.0244249999996</v>
          </cell>
          <cell r="E6">
            <v>6383.4617340000004</v>
          </cell>
          <cell r="F6">
            <v>6352.375747</v>
          </cell>
          <cell r="G6">
            <v>6329.295314</v>
          </cell>
          <cell r="H6">
            <v>6309.8741579999996</v>
          </cell>
          <cell r="I6">
            <v>6295.0944529999997</v>
          </cell>
          <cell r="J6">
            <v>6284.8935499999998</v>
          </cell>
          <cell r="K6">
            <v>6278.6632929999996</v>
          </cell>
          <cell r="L6">
            <v>6280.123329</v>
          </cell>
          <cell r="M6">
            <v>6280.4315559999995</v>
          </cell>
          <cell r="N6">
            <v>6281.4863960000002</v>
          </cell>
          <cell r="O6">
            <v>6283.4303790000004</v>
          </cell>
          <cell r="P6">
            <v>6286.1607210000002</v>
          </cell>
          <cell r="Q6">
            <v>6289.5512010000002</v>
          </cell>
          <cell r="R6">
            <v>6292.8581439999998</v>
          </cell>
          <cell r="S6">
            <v>6296.4505570000001</v>
          </cell>
          <cell r="T6">
            <v>6300.4124590000001</v>
          </cell>
          <cell r="U6">
            <v>6304.7799400000004</v>
          </cell>
          <cell r="V6">
            <v>6306.491145</v>
          </cell>
          <cell r="W6">
            <v>6310.7039590000004</v>
          </cell>
          <cell r="X6">
            <v>6315.9894709999999</v>
          </cell>
          <cell r="Y6">
            <v>6322.0354189999998</v>
          </cell>
          <cell r="Z6">
            <v>6328.7252289999997</v>
          </cell>
          <cell r="AA6">
            <v>6327.4839689999999</v>
          </cell>
          <cell r="AB6">
            <v>6328.7721149999998</v>
          </cell>
          <cell r="AC6">
            <v>6331.0024030000004</v>
          </cell>
          <cell r="AD6">
            <v>6333.9736240000002</v>
          </cell>
          <cell r="AE6">
            <v>6337.6215819999998</v>
          </cell>
          <cell r="AF6">
            <v>6341.9336030000004</v>
          </cell>
          <cell r="AG6">
            <v>6347.0588369999996</v>
          </cell>
          <cell r="AH6">
            <v>6352.9036569999998</v>
          </cell>
          <cell r="AI6">
            <v>6359.441245</v>
          </cell>
          <cell r="AJ6">
            <v>6366.6563699999997</v>
          </cell>
          <cell r="AK6">
            <v>6374.5368399999998</v>
          </cell>
          <cell r="AL6">
            <v>6382.4479819999997</v>
          </cell>
          <cell r="AM6">
            <v>6390.7633500000002</v>
          </cell>
          <cell r="AN6">
            <v>6399.5675639999999</v>
          </cell>
          <cell r="AO6">
            <v>6408.8928239999996</v>
          </cell>
          <cell r="AP6">
            <v>6418.7527090000003</v>
          </cell>
          <cell r="AQ6">
            <v>6429.3539510000001</v>
          </cell>
          <cell r="AR6">
            <v>6440.5635060000004</v>
          </cell>
          <cell r="AS6">
            <v>6452.3422700000001</v>
          </cell>
          <cell r="AT6">
            <v>6464.6712779999998</v>
          </cell>
          <cell r="AU6">
            <v>6477.5399020000004</v>
          </cell>
          <cell r="AV6">
            <v>6491.7681190000003</v>
          </cell>
          <cell r="AW6">
            <v>6506.7943359999999</v>
          </cell>
          <cell r="AX6">
            <v>6522.4569750000001</v>
          </cell>
          <cell r="AY6">
            <v>6538.6839319999999</v>
          </cell>
          <cell r="AZ6">
            <v>6555.4427660000001</v>
          </cell>
          <cell r="BA6">
            <v>6573.1275439999999</v>
          </cell>
          <cell r="BB6">
            <v>6591.4577360000003</v>
          </cell>
          <cell r="BC6">
            <v>6610.3548119999996</v>
          </cell>
          <cell r="BD6">
            <v>6629.7869739999996</v>
          </cell>
          <cell r="BE6">
            <v>6649.7437170000003</v>
          </cell>
        </row>
        <row r="7">
          <cell r="B7">
            <v>6537.0436419999996</v>
          </cell>
          <cell r="C7">
            <v>6484.5198540000001</v>
          </cell>
          <cell r="D7">
            <v>6458.2241480000002</v>
          </cell>
          <cell r="E7">
            <v>6434.2844560000003</v>
          </cell>
          <cell r="F7">
            <v>6417.0938770000002</v>
          </cell>
          <cell r="G7">
            <v>6407.5539070000004</v>
          </cell>
          <cell r="H7">
            <v>6402.128764</v>
          </cell>
          <cell r="I7">
            <v>6401.1620849999999</v>
          </cell>
          <cell r="J7">
            <v>6403.5697950000003</v>
          </cell>
          <cell r="K7">
            <v>6407.6464159999996</v>
          </cell>
          <cell r="L7">
            <v>6418.7617490000002</v>
          </cell>
          <cell r="M7">
            <v>6429.2162550000003</v>
          </cell>
          <cell r="N7">
            <v>6440.5652600000003</v>
          </cell>
          <cell r="O7">
            <v>6452.8008579999996</v>
          </cell>
          <cell r="P7">
            <v>6465.8231740000001</v>
          </cell>
          <cell r="Q7">
            <v>6479.529689</v>
          </cell>
          <cell r="R7">
            <v>6493.837571</v>
          </cell>
          <cell r="S7">
            <v>6508.6998560000002</v>
          </cell>
          <cell r="T7">
            <v>6524.086663</v>
          </cell>
          <cell r="U7">
            <v>6539.9804219999996</v>
          </cell>
          <cell r="V7">
            <v>6553.1380429999999</v>
          </cell>
          <cell r="W7">
            <v>6568.9258589999999</v>
          </cell>
          <cell r="X7">
            <v>6585.845104</v>
          </cell>
          <cell r="Y7">
            <v>6603.5799230000002</v>
          </cell>
          <cell r="Z7">
            <v>6622.0239359999996</v>
          </cell>
          <cell r="AA7">
            <v>6632.0938130000004</v>
          </cell>
          <cell r="AB7">
            <v>6644.562551</v>
          </cell>
          <cell r="AC7">
            <v>6657.9482710000002</v>
          </cell>
          <cell r="AD7">
            <v>6672.1064370000004</v>
          </cell>
          <cell r="AE7">
            <v>6686.9992949999996</v>
          </cell>
          <cell r="AF7">
            <v>6702.6291769999998</v>
          </cell>
          <cell r="AG7">
            <v>6719.011332</v>
          </cell>
          <cell r="AH7">
            <v>6736.1623490000002</v>
          </cell>
          <cell r="AI7">
            <v>6754.095233</v>
          </cell>
          <cell r="AJ7">
            <v>6772.8180480000001</v>
          </cell>
          <cell r="AK7">
            <v>6792.3325409999998</v>
          </cell>
          <cell r="AL7">
            <v>6810.5783629999996</v>
          </cell>
          <cell r="AM7">
            <v>6828.8960100000004</v>
          </cell>
          <cell r="AN7">
            <v>6847.6286550000004</v>
          </cell>
          <cell r="AO7">
            <v>6866.9065030000002</v>
          </cell>
          <cell r="AP7">
            <v>6886.7700240000004</v>
          </cell>
          <cell r="AQ7">
            <v>6907.2212740000004</v>
          </cell>
          <cell r="AR7">
            <v>6928.242107</v>
          </cell>
          <cell r="AS7">
            <v>6949.8079360000002</v>
          </cell>
          <cell r="AT7">
            <v>6971.896017</v>
          </cell>
          <cell r="AU7">
            <v>6994.4973829999999</v>
          </cell>
          <cell r="AV7">
            <v>7017.8094789999996</v>
          </cell>
          <cell r="AW7">
            <v>7041.754731</v>
          </cell>
          <cell r="AX7">
            <v>7066.3421719999997</v>
          </cell>
          <cell r="AY7">
            <v>7091.5889649999999</v>
          </cell>
          <cell r="AZ7">
            <v>7117.5090620000001</v>
          </cell>
          <cell r="BA7">
            <v>7144.1114349999998</v>
          </cell>
          <cell r="BB7">
            <v>7171.4014779999998</v>
          </cell>
          <cell r="BC7">
            <v>7199.3829249999999</v>
          </cell>
          <cell r="BD7">
            <v>7228.0593520000002</v>
          </cell>
          <cell r="BE7">
            <v>7257.4350979999999</v>
          </cell>
        </row>
        <row r="8">
          <cell r="B8">
            <v>157647.74179999999</v>
          </cell>
          <cell r="C8">
            <v>156308.38</v>
          </cell>
          <cell r="D8">
            <v>157094.6305</v>
          </cell>
          <cell r="E8">
            <v>158281.0012</v>
          </cell>
          <cell r="F8">
            <v>159826.87220000001</v>
          </cell>
          <cell r="G8">
            <v>161689.67120000001</v>
          </cell>
          <cell r="H8">
            <v>163726.66329999999</v>
          </cell>
          <cell r="I8">
            <v>165943.65919999999</v>
          </cell>
          <cell r="J8">
            <v>168312.3382</v>
          </cell>
          <cell r="K8">
            <v>170806.3308</v>
          </cell>
          <cell r="L8">
            <v>173565.2243</v>
          </cell>
          <cell r="M8">
            <v>176311.18280000001</v>
          </cell>
          <cell r="N8">
            <v>179100.34770000001</v>
          </cell>
          <cell r="O8">
            <v>181924.88829999999</v>
          </cell>
          <cell r="P8">
            <v>184777.72210000001</v>
          </cell>
          <cell r="Q8">
            <v>187654.4124</v>
          </cell>
          <cell r="R8">
            <v>190540.6679</v>
          </cell>
          <cell r="S8">
            <v>193444.87479999999</v>
          </cell>
          <cell r="T8">
            <v>196368.18950000001</v>
          </cell>
          <cell r="U8">
            <v>199312.22380000001</v>
          </cell>
          <cell r="V8">
            <v>202158.72020000001</v>
          </cell>
          <cell r="W8">
            <v>205090.79120000001</v>
          </cell>
          <cell r="X8">
            <v>208064.3278</v>
          </cell>
          <cell r="Y8">
            <v>211078.14689999999</v>
          </cell>
          <cell r="Z8">
            <v>214132.5091</v>
          </cell>
          <cell r="AA8">
            <v>216882.4761</v>
          </cell>
          <cell r="AB8">
            <v>219688.81849999999</v>
          </cell>
          <cell r="AC8">
            <v>222497.81570000001</v>
          </cell>
          <cell r="AD8">
            <v>225320.4124</v>
          </cell>
          <cell r="AE8">
            <v>228167.96059999999</v>
          </cell>
          <cell r="AF8">
            <v>231049.69690000001</v>
          </cell>
          <cell r="AG8">
            <v>233975.10649999999</v>
          </cell>
          <cell r="AH8">
            <v>236946.7923</v>
          </cell>
          <cell r="AI8">
            <v>239967.43160000001</v>
          </cell>
          <cell r="AJ8">
            <v>243038.48680000001</v>
          </cell>
          <cell r="AK8">
            <v>246160.62359999999</v>
          </cell>
          <cell r="AL8">
            <v>249275.52830000001</v>
          </cell>
          <cell r="AM8">
            <v>252406.51920000001</v>
          </cell>
          <cell r="AN8">
            <v>255562.11790000001</v>
          </cell>
          <cell r="AO8">
            <v>258748.90640000001</v>
          </cell>
          <cell r="AP8">
            <v>261972.50390000001</v>
          </cell>
          <cell r="AQ8">
            <v>265241.45</v>
          </cell>
          <cell r="AR8">
            <v>268556.66320000001</v>
          </cell>
          <cell r="AS8">
            <v>271920.55540000001</v>
          </cell>
          <cell r="AT8">
            <v>275334.6839</v>
          </cell>
          <cell r="AU8">
            <v>278799.93070000003</v>
          </cell>
          <cell r="AV8">
            <v>282337.29109999997</v>
          </cell>
          <cell r="AW8">
            <v>285934.0025</v>
          </cell>
          <cell r="AX8">
            <v>289588.3248</v>
          </cell>
          <cell r="AY8">
            <v>293298.74290000001</v>
          </cell>
          <cell r="AZ8">
            <v>297063.9436</v>
          </cell>
          <cell r="BA8">
            <v>300891.17009999999</v>
          </cell>
          <cell r="BB8">
            <v>304773.9497</v>
          </cell>
          <cell r="BC8">
            <v>308711.39390000002</v>
          </cell>
          <cell r="BD8">
            <v>312702.94799999997</v>
          </cell>
          <cell r="BE8">
            <v>316748.348</v>
          </cell>
        </row>
        <row r="9">
          <cell r="B9">
            <v>157864.05040000001</v>
          </cell>
          <cell r="C9">
            <v>156771.19829999999</v>
          </cell>
          <cell r="D9">
            <v>157840.48860000001</v>
          </cell>
          <cell r="E9">
            <v>159336.31289999999</v>
          </cell>
          <cell r="F9">
            <v>161209.5845</v>
          </cell>
          <cell r="G9">
            <v>163411.1692</v>
          </cell>
          <cell r="H9">
            <v>165795.23540000001</v>
          </cell>
          <cell r="I9">
            <v>168362.3989</v>
          </cell>
          <cell r="J9">
            <v>171081.88959999999</v>
          </cell>
          <cell r="K9">
            <v>173925.7433</v>
          </cell>
          <cell r="L9">
            <v>177034.99729999999</v>
          </cell>
          <cell r="M9">
            <v>180137.9615</v>
          </cell>
          <cell r="N9">
            <v>183282.76319999999</v>
          </cell>
          <cell r="O9">
            <v>186460.0809</v>
          </cell>
          <cell r="P9">
            <v>189661.55470000001</v>
          </cell>
          <cell r="Q9">
            <v>192881.8039</v>
          </cell>
          <cell r="R9">
            <v>196118.19750000001</v>
          </cell>
          <cell r="S9">
            <v>199370.1556</v>
          </cell>
          <cell r="T9">
            <v>202638.4754</v>
          </cell>
          <cell r="U9">
            <v>205924.8124</v>
          </cell>
          <cell r="V9">
            <v>209107.18539999999</v>
          </cell>
          <cell r="W9">
            <v>212375.11429999999</v>
          </cell>
          <cell r="X9">
            <v>215683.5036</v>
          </cell>
          <cell r="Y9">
            <v>219032.2377</v>
          </cell>
          <cell r="Z9">
            <v>222422.6623</v>
          </cell>
          <cell r="AA9">
            <v>225497.02110000001</v>
          </cell>
          <cell r="AB9">
            <v>228626.23430000001</v>
          </cell>
          <cell r="AC9">
            <v>231758.06270000001</v>
          </cell>
          <cell r="AD9">
            <v>234905.19270000001</v>
          </cell>
          <cell r="AE9">
            <v>238080.6115</v>
          </cell>
          <cell r="AF9">
            <v>241294.9234</v>
          </cell>
          <cell r="AG9">
            <v>244555.96729999999</v>
          </cell>
          <cell r="AH9">
            <v>247869.13329999999</v>
          </cell>
          <cell r="AI9">
            <v>251237.8499</v>
          </cell>
          <cell r="AJ9">
            <v>254664.1177</v>
          </cell>
          <cell r="AK9">
            <v>258148.97769999999</v>
          </cell>
          <cell r="AL9">
            <v>261605.9699</v>
          </cell>
          <cell r="AM9">
            <v>265078.2499</v>
          </cell>
          <cell r="AN9">
            <v>268576.09950000001</v>
          </cell>
          <cell r="AO9">
            <v>272107.7879</v>
          </cell>
          <cell r="AP9">
            <v>275680.54790000001</v>
          </cell>
          <cell r="AQ9">
            <v>279300.46840000001</v>
          </cell>
          <cell r="AR9">
            <v>282972.36420000001</v>
          </cell>
          <cell r="AS9">
            <v>286699.79489999998</v>
          </cell>
          <cell r="AT9">
            <v>290485.2133</v>
          </cell>
          <cell r="AU9">
            <v>294330.15879999998</v>
          </cell>
          <cell r="AV9">
            <v>298243.3481</v>
          </cell>
          <cell r="AW9">
            <v>302221.22330000001</v>
          </cell>
          <cell r="AX9">
            <v>306262.98499999999</v>
          </cell>
          <cell r="AY9">
            <v>310367.93670000002</v>
          </cell>
          <cell r="AZ9">
            <v>314535.5</v>
          </cell>
          <cell r="BA9">
            <v>318765.28409999999</v>
          </cell>
          <cell r="BB9">
            <v>323057.12699999998</v>
          </cell>
          <cell r="BC9">
            <v>327411.10129999998</v>
          </cell>
          <cell r="BD9">
            <v>331827.49560000002</v>
          </cell>
          <cell r="BE9">
            <v>336306.7818</v>
          </cell>
        </row>
        <row r="10">
          <cell r="B10">
            <v>125484.7807</v>
          </cell>
          <cell r="C10">
            <v>121600.4311</v>
          </cell>
          <cell r="D10">
            <v>123713.60490000001</v>
          </cell>
          <cell r="E10">
            <v>125978.92049999999</v>
          </cell>
          <cell r="F10">
            <v>128196.26489999999</v>
          </cell>
          <cell r="G10">
            <v>130316.833</v>
          </cell>
          <cell r="H10">
            <v>132223.64259999999</v>
          </cell>
          <cell r="I10">
            <v>134047.85740000001</v>
          </cell>
          <cell r="J10">
            <v>135817.97750000001</v>
          </cell>
          <cell r="K10">
            <v>137553.5986</v>
          </cell>
          <cell r="L10">
            <v>139465.48819999999</v>
          </cell>
          <cell r="M10">
            <v>141152.8523</v>
          </cell>
          <cell r="N10">
            <v>142818.56770000001</v>
          </cell>
          <cell r="O10">
            <v>144474.98060000001</v>
          </cell>
          <cell r="P10">
            <v>146129.14730000001</v>
          </cell>
          <cell r="Q10">
            <v>147786.19699999999</v>
          </cell>
          <cell r="R10">
            <v>149423.55379999999</v>
          </cell>
          <cell r="S10">
            <v>151071.9994</v>
          </cell>
          <cell r="T10">
            <v>152736.06150000001</v>
          </cell>
          <cell r="U10">
            <v>154419.32829999999</v>
          </cell>
          <cell r="V10">
            <v>155982.54449999999</v>
          </cell>
          <cell r="W10">
            <v>157704.08739999999</v>
          </cell>
          <cell r="X10">
            <v>159462.30960000001</v>
          </cell>
          <cell r="Y10">
            <v>161253.80420000001</v>
          </cell>
          <cell r="Z10">
            <v>163077.97889999999</v>
          </cell>
          <cell r="AA10">
            <v>164530.8437</v>
          </cell>
          <cell r="AB10">
            <v>166215.3028</v>
          </cell>
          <cell r="AC10">
            <v>167945.8487</v>
          </cell>
          <cell r="AD10">
            <v>169719.91699999999</v>
          </cell>
          <cell r="AE10">
            <v>171536.53409999999</v>
          </cell>
          <cell r="AF10">
            <v>173394.77840000001</v>
          </cell>
          <cell r="AG10">
            <v>175299.54519999999</v>
          </cell>
          <cell r="AH10">
            <v>177243.65580000001</v>
          </cell>
          <cell r="AI10">
            <v>179225.57939999999</v>
          </cell>
          <cell r="AJ10">
            <v>181243.95139999999</v>
          </cell>
          <cell r="AK10">
            <v>183297.56280000001</v>
          </cell>
          <cell r="AL10">
            <v>185342.7475</v>
          </cell>
          <cell r="AM10">
            <v>187414.5422</v>
          </cell>
          <cell r="AN10">
            <v>189516.5344</v>
          </cell>
          <cell r="AO10">
            <v>191650.13449999999</v>
          </cell>
          <cell r="AP10">
            <v>193815.8559</v>
          </cell>
          <cell r="AQ10">
            <v>196022.2041</v>
          </cell>
          <cell r="AR10">
            <v>198260.6911</v>
          </cell>
          <cell r="AS10">
            <v>200530.6605</v>
          </cell>
          <cell r="AT10">
            <v>202831.59580000001</v>
          </cell>
          <cell r="AU10">
            <v>205163.08069999999</v>
          </cell>
          <cell r="AV10">
            <v>207561.94320000001</v>
          </cell>
          <cell r="AW10">
            <v>209992.1611</v>
          </cell>
          <cell r="AX10">
            <v>212452.0814</v>
          </cell>
          <cell r="AY10">
            <v>214941.14309999999</v>
          </cell>
          <cell r="AZ10">
            <v>217459.33259999999</v>
          </cell>
          <cell r="BA10">
            <v>220024.8749</v>
          </cell>
          <cell r="BB10">
            <v>222620.7781</v>
          </cell>
          <cell r="BC10">
            <v>225246.96520000001</v>
          </cell>
          <cell r="BD10">
            <v>227903.81630000001</v>
          </cell>
          <cell r="BE10">
            <v>230591.91870000001</v>
          </cell>
        </row>
        <row r="11">
          <cell r="B11">
            <v>125926.7249</v>
          </cell>
          <cell r="C11">
            <v>122462.27370000001</v>
          </cell>
          <cell r="D11">
            <v>124991.4909</v>
          </cell>
          <cell r="E11">
            <v>127662.8507</v>
          </cell>
          <cell r="F11">
            <v>130274.1596</v>
          </cell>
          <cell r="G11">
            <v>132777.35949999999</v>
          </cell>
          <cell r="H11">
            <v>135062.15</v>
          </cell>
          <cell r="I11">
            <v>137257.2697</v>
          </cell>
          <cell r="J11">
            <v>139393.6722</v>
          </cell>
          <cell r="K11">
            <v>141493.28339999999</v>
          </cell>
          <cell r="L11">
            <v>143774.98209999999</v>
          </cell>
          <cell r="M11">
            <v>145855.2836</v>
          </cell>
          <cell r="N11">
            <v>147916.761</v>
          </cell>
          <cell r="O11">
            <v>149972.16819999999</v>
          </cell>
          <cell r="P11">
            <v>152029.4687</v>
          </cell>
          <cell r="Q11">
            <v>154094.89290000001</v>
          </cell>
          <cell r="R11">
            <v>156173.90100000001</v>
          </cell>
          <cell r="S11">
            <v>158271.50270000001</v>
          </cell>
          <cell r="T11">
            <v>160392.34030000001</v>
          </cell>
          <cell r="U11">
            <v>162540.6918</v>
          </cell>
          <cell r="V11">
            <v>164570.28969999999</v>
          </cell>
          <cell r="W11">
            <v>166774.38519999999</v>
          </cell>
          <cell r="X11">
            <v>169026.2666</v>
          </cell>
          <cell r="Y11">
            <v>171323.19639999999</v>
          </cell>
          <cell r="Z11">
            <v>173665.1318</v>
          </cell>
          <cell r="AA11">
            <v>175620.92360000001</v>
          </cell>
          <cell r="AB11">
            <v>177820.13039999999</v>
          </cell>
          <cell r="AC11">
            <v>180077.81839999999</v>
          </cell>
          <cell r="AD11">
            <v>182392.05530000001</v>
          </cell>
          <cell r="AE11">
            <v>184762.12599999999</v>
          </cell>
          <cell r="AF11">
            <v>187187.11610000001</v>
          </cell>
          <cell r="AG11">
            <v>189665.7721</v>
          </cell>
          <cell r="AH11">
            <v>192196.59400000001</v>
          </cell>
          <cell r="AI11">
            <v>194777.96489999999</v>
          </cell>
          <cell r="AJ11">
            <v>197408.27069999999</v>
          </cell>
          <cell r="AK11">
            <v>200085.99359999999</v>
          </cell>
          <cell r="AL11">
            <v>202705.46799999999</v>
          </cell>
          <cell r="AM11">
            <v>205361.46890000001</v>
          </cell>
          <cell r="AN11">
            <v>208059.45209999999</v>
          </cell>
          <cell r="AO11">
            <v>210801.38339999999</v>
          </cell>
          <cell r="AP11">
            <v>213587.7611</v>
          </cell>
          <cell r="AQ11">
            <v>216418.3602</v>
          </cell>
          <cell r="AR11">
            <v>219292.59239999999</v>
          </cell>
          <cell r="AS11">
            <v>222209.71</v>
          </cell>
          <cell r="AT11">
            <v>225168.93520000001</v>
          </cell>
          <cell r="AU11">
            <v>228169.5448</v>
          </cell>
          <cell r="AV11">
            <v>231220.38010000001</v>
          </cell>
          <cell r="AW11">
            <v>234312.2476</v>
          </cell>
          <cell r="AX11">
            <v>237444.27600000001</v>
          </cell>
          <cell r="AY11">
            <v>240616.08559999999</v>
          </cell>
          <cell r="AZ11">
            <v>243827.59589999999</v>
          </cell>
          <cell r="BA11">
            <v>247078.93950000001</v>
          </cell>
          <cell r="BB11">
            <v>250370.40760000001</v>
          </cell>
          <cell r="BC11">
            <v>253702.40820000001</v>
          </cell>
          <cell r="BD11">
            <v>257075.43290000001</v>
          </cell>
          <cell r="BE11">
            <v>260490.03030000001</v>
          </cell>
        </row>
        <row r="12">
          <cell r="B12">
            <v>22102.58381</v>
          </cell>
          <cell r="C12">
            <v>21922.23731</v>
          </cell>
          <cell r="D12">
            <v>22087.878390000002</v>
          </cell>
          <cell r="E12">
            <v>22314.096720000001</v>
          </cell>
          <cell r="F12">
            <v>22580.375629999999</v>
          </cell>
          <cell r="G12">
            <v>22876.456590000002</v>
          </cell>
          <cell r="H12">
            <v>23183.29335</v>
          </cell>
          <cell r="I12">
            <v>23503.087579999999</v>
          </cell>
          <cell r="J12">
            <v>23834.089029999999</v>
          </cell>
          <cell r="K12">
            <v>24174.862150000001</v>
          </cell>
          <cell r="L12">
            <v>24544.933949999999</v>
          </cell>
          <cell r="M12">
            <v>24909.439490000001</v>
          </cell>
          <cell r="N12">
            <v>25277.969710000001</v>
          </cell>
          <cell r="O12">
            <v>25651.00346</v>
          </cell>
          <cell r="P12">
            <v>26028.68867</v>
          </cell>
          <cell r="Q12">
            <v>26411.21601</v>
          </cell>
          <cell r="R12">
            <v>26796.95911</v>
          </cell>
          <cell r="S12">
            <v>27187.846099999999</v>
          </cell>
          <cell r="T12">
            <v>27584.533889999999</v>
          </cell>
          <cell r="U12">
            <v>27987.617030000001</v>
          </cell>
          <cell r="V12">
            <v>28382.46038</v>
          </cell>
          <cell r="W12">
            <v>28793.000830000001</v>
          </cell>
          <cell r="X12">
            <v>29213.22899</v>
          </cell>
          <cell r="Y12">
            <v>29642.9251</v>
          </cell>
          <cell r="Z12">
            <v>30082.145069999999</v>
          </cell>
          <cell r="AA12">
            <v>30487.411209999998</v>
          </cell>
          <cell r="AB12">
            <v>30905.870630000001</v>
          </cell>
          <cell r="AC12">
            <v>31329.439310000002</v>
          </cell>
          <cell r="AD12">
            <v>31758.617440000002</v>
          </cell>
          <cell r="AE12">
            <v>32194.060409999998</v>
          </cell>
          <cell r="AF12">
            <v>32636.310949999999</v>
          </cell>
          <cell r="AG12">
            <v>33086.17222</v>
          </cell>
          <cell r="AH12">
            <v>33543.507400000002</v>
          </cell>
          <cell r="AI12">
            <v>34008.319089999997</v>
          </cell>
          <cell r="AJ12">
            <v>34480.509619999997</v>
          </cell>
          <cell r="AK12">
            <v>34959.90711</v>
          </cell>
          <cell r="AL12">
            <v>35439.66764</v>
          </cell>
          <cell r="AM12">
            <v>35922.044130000002</v>
          </cell>
          <cell r="AN12">
            <v>36407.621290000003</v>
          </cell>
          <cell r="AO12">
            <v>36896.760690000003</v>
          </cell>
          <cell r="AP12">
            <v>37389.729890000002</v>
          </cell>
          <cell r="AQ12">
            <v>37887.351840000003</v>
          </cell>
          <cell r="AR12">
            <v>38389.32159</v>
          </cell>
          <cell r="AS12">
            <v>38895.688450000001</v>
          </cell>
          <cell r="AT12">
            <v>39406.480940000001</v>
          </cell>
          <cell r="AU12">
            <v>39921.703179999997</v>
          </cell>
          <cell r="AV12">
            <v>40444.378940000002</v>
          </cell>
          <cell r="AW12">
            <v>40972.454790000003</v>
          </cell>
          <cell r="AX12">
            <v>41505.630519999999</v>
          </cell>
          <cell r="AY12">
            <v>42043.737719999997</v>
          </cell>
          <cell r="AZ12">
            <v>42586.68116</v>
          </cell>
          <cell r="BA12">
            <v>43135.737820000002</v>
          </cell>
          <cell r="BB12">
            <v>43689.952219999999</v>
          </cell>
          <cell r="BC12">
            <v>44249.267769999999</v>
          </cell>
          <cell r="BD12">
            <v>44813.717199999999</v>
          </cell>
          <cell r="BE12">
            <v>45383.389210000001</v>
          </cell>
        </row>
        <row r="13">
          <cell r="B13">
            <v>22135.232400000001</v>
          </cell>
          <cell r="C13">
            <v>21992.140950000001</v>
          </cell>
          <cell r="D13">
            <v>22198.613700000002</v>
          </cell>
          <cell r="E13">
            <v>22468.07129</v>
          </cell>
          <cell r="F13">
            <v>22779.265500000001</v>
          </cell>
          <cell r="G13">
            <v>23121.527399999999</v>
          </cell>
          <cell r="H13">
            <v>23475.89545</v>
          </cell>
          <cell r="I13">
            <v>23844.157569999999</v>
          </cell>
          <cell r="J13">
            <v>24224.463589999999</v>
          </cell>
          <cell r="K13">
            <v>24615.337889999999</v>
          </cell>
          <cell r="L13">
            <v>25036.74512</v>
          </cell>
          <cell r="M13">
            <v>25455.008989999998</v>
          </cell>
          <cell r="N13">
            <v>25878.489369999999</v>
          </cell>
          <cell r="O13">
            <v>26307.51194</v>
          </cell>
          <cell r="P13">
            <v>26742.158230000001</v>
          </cell>
          <cell r="Q13">
            <v>27182.596450000001</v>
          </cell>
          <cell r="R13">
            <v>27629.14184</v>
          </cell>
          <cell r="S13">
            <v>28082.236629999999</v>
          </cell>
          <cell r="T13">
            <v>28542.4051</v>
          </cell>
          <cell r="U13">
            <v>29010.206620000001</v>
          </cell>
          <cell r="V13">
            <v>29470.40828</v>
          </cell>
          <cell r="W13">
            <v>29947.841509999998</v>
          </cell>
          <cell r="X13">
            <v>30436.257900000001</v>
          </cell>
          <cell r="Y13">
            <v>30935.47712</v>
          </cell>
          <cell r="Z13">
            <v>31445.590370000002</v>
          </cell>
          <cell r="AA13">
            <v>31921.046450000002</v>
          </cell>
          <cell r="AB13">
            <v>32410.327020000001</v>
          </cell>
          <cell r="AC13">
            <v>32905.476900000001</v>
          </cell>
          <cell r="AD13">
            <v>33407.069159999999</v>
          </cell>
          <cell r="AE13">
            <v>33915.795059999997</v>
          </cell>
          <cell r="AF13">
            <v>34432.197410000001</v>
          </cell>
          <cell r="AG13">
            <v>34956.612260000002</v>
          </cell>
          <cell r="AH13">
            <v>35489.17166</v>
          </cell>
          <cell r="AI13">
            <v>36029.83124</v>
          </cell>
          <cell r="AJ13">
            <v>36578.410230000001</v>
          </cell>
          <cell r="AK13">
            <v>37134.633930000004</v>
          </cell>
          <cell r="AL13">
            <v>37687.045279999998</v>
          </cell>
          <cell r="AM13">
            <v>38241.048119999999</v>
          </cell>
          <cell r="AN13">
            <v>38797.475149999998</v>
          </cell>
          <cell r="AO13">
            <v>39356.785779999998</v>
          </cell>
          <cell r="AP13">
            <v>39919.293149999998</v>
          </cell>
          <cell r="AQ13">
            <v>40485.222459999997</v>
          </cell>
          <cell r="AR13">
            <v>41054.728199999998</v>
          </cell>
          <cell r="AS13">
            <v>41627.903359999997</v>
          </cell>
          <cell r="AT13">
            <v>42204.79047</v>
          </cell>
          <cell r="AU13">
            <v>42785.39561</v>
          </cell>
          <cell r="AV13">
            <v>43370.719190000003</v>
          </cell>
          <cell r="AW13">
            <v>43960.216339999999</v>
          </cell>
          <cell r="AX13">
            <v>44553.77218</v>
          </cell>
          <cell r="AY13">
            <v>45151.332479999997</v>
          </cell>
          <cell r="AZ13">
            <v>45752.892319999999</v>
          </cell>
          <cell r="BA13">
            <v>46358.496010000003</v>
          </cell>
          <cell r="BB13">
            <v>46968.237520000002</v>
          </cell>
          <cell r="BC13">
            <v>47582.259050000001</v>
          </cell>
          <cell r="BD13">
            <v>48200.747739999999</v>
          </cell>
          <cell r="BE13">
            <v>48823.931020000004</v>
          </cell>
        </row>
        <row r="14">
          <cell r="B14">
            <v>16301.447480000001</v>
          </cell>
          <cell r="C14">
            <v>15977.747499999999</v>
          </cell>
          <cell r="D14">
            <v>16095.434160000001</v>
          </cell>
          <cell r="E14">
            <v>16262.6739</v>
          </cell>
          <cell r="F14">
            <v>16461.092799999999</v>
          </cell>
          <cell r="G14">
            <v>16683.292020000001</v>
          </cell>
          <cell r="H14">
            <v>16912.248339999998</v>
          </cell>
          <cell r="I14">
            <v>17152.726979999999</v>
          </cell>
          <cell r="J14">
            <v>17402.55918</v>
          </cell>
          <cell r="K14">
            <v>17659.603459999998</v>
          </cell>
          <cell r="L14">
            <v>17942.037499999999</v>
          </cell>
          <cell r="M14">
            <v>18211.594109999998</v>
          </cell>
          <cell r="N14">
            <v>18481.662950000002</v>
          </cell>
          <cell r="O14">
            <v>18752.35626</v>
          </cell>
          <cell r="P14">
            <v>19023.461780000001</v>
          </cell>
          <cell r="Q14">
            <v>19294.919669999999</v>
          </cell>
          <cell r="R14">
            <v>19564.684799999999</v>
          </cell>
          <cell r="S14">
            <v>19835.014279999999</v>
          </cell>
          <cell r="T14">
            <v>20106.429069999998</v>
          </cell>
          <cell r="U14">
            <v>20379.426520000001</v>
          </cell>
          <cell r="V14">
            <v>20639.860939999999</v>
          </cell>
          <cell r="W14">
            <v>20913.51813</v>
          </cell>
          <cell r="X14">
            <v>21191.648109999998</v>
          </cell>
          <cell r="Y14">
            <v>21474.0831</v>
          </cell>
          <cell r="Z14">
            <v>21761.020629999999</v>
          </cell>
          <cell r="AA14">
            <v>22010.83728</v>
          </cell>
          <cell r="AB14">
            <v>22276.923699999999</v>
          </cell>
          <cell r="AC14">
            <v>22546.57893</v>
          </cell>
          <cell r="AD14">
            <v>22820.107390000001</v>
          </cell>
          <cell r="AE14">
            <v>23098.179260000001</v>
          </cell>
          <cell r="AF14">
            <v>23381.384450000001</v>
          </cell>
          <cell r="AG14">
            <v>23670.633880000001</v>
          </cell>
          <cell r="AH14">
            <v>23965.75605</v>
          </cell>
          <cell r="AI14">
            <v>24266.846259999998</v>
          </cell>
          <cell r="AJ14">
            <v>24573.914400000001</v>
          </cell>
          <cell r="AK14">
            <v>24886.90597</v>
          </cell>
          <cell r="AL14">
            <v>25200.04566</v>
          </cell>
          <cell r="AM14">
            <v>25516.477210000001</v>
          </cell>
          <cell r="AN14">
            <v>25836.793580000001</v>
          </cell>
          <cell r="AO14">
            <v>26161.33654</v>
          </cell>
          <cell r="AP14">
            <v>26490.364290000001</v>
          </cell>
          <cell r="AQ14">
            <v>26824.767400000001</v>
          </cell>
          <cell r="AR14">
            <v>27164.090840000001</v>
          </cell>
          <cell r="AS14">
            <v>27508.386920000001</v>
          </cell>
          <cell r="AT14">
            <v>27857.683379999999</v>
          </cell>
          <cell r="AU14">
            <v>28211.97826</v>
          </cell>
          <cell r="AV14">
            <v>28574.486639999999</v>
          </cell>
          <cell r="AW14">
            <v>28942.50864</v>
          </cell>
          <cell r="AX14">
            <v>29315.78528</v>
          </cell>
          <cell r="AY14">
            <v>29694.174200000001</v>
          </cell>
          <cell r="AZ14">
            <v>30077.576840000002</v>
          </cell>
          <cell r="BA14">
            <v>30467.3963</v>
          </cell>
          <cell r="BB14">
            <v>30862.326499999999</v>
          </cell>
          <cell r="BC14">
            <v>31262.274720000001</v>
          </cell>
          <cell r="BD14">
            <v>31667.220399999998</v>
          </cell>
          <cell r="BE14">
            <v>32077.178110000001</v>
          </cell>
        </row>
        <row r="15">
          <cell r="B15">
            <v>16338.48991</v>
          </cell>
          <cell r="C15">
            <v>16052.44954</v>
          </cell>
          <cell r="D15">
            <v>16209.205449999999</v>
          </cell>
          <cell r="E15">
            <v>16416.275679999999</v>
          </cell>
          <cell r="F15">
            <v>16654.777559999999</v>
          </cell>
          <cell r="G15">
            <v>16916.962469999999</v>
          </cell>
          <cell r="H15">
            <v>17185.91876</v>
          </cell>
          <cell r="I15">
            <v>17465.908039999998</v>
          </cell>
          <cell r="J15">
            <v>17754.679370000002</v>
          </cell>
          <cell r="K15">
            <v>18050.083419999999</v>
          </cell>
          <cell r="L15">
            <v>18370.828939999999</v>
          </cell>
          <cell r="M15">
            <v>18679.957470000001</v>
          </cell>
          <cell r="N15">
            <v>18989.347829999999</v>
          </cell>
          <cell r="O15">
            <v>19299.071250000001</v>
          </cell>
          <cell r="P15">
            <v>19608.94975</v>
          </cell>
          <cell r="Q15">
            <v>19918.990460000001</v>
          </cell>
          <cell r="R15">
            <v>20229.423340000001</v>
          </cell>
          <cell r="S15">
            <v>20540.65293</v>
          </cell>
          <cell r="T15">
            <v>20853.197670000001</v>
          </cell>
          <cell r="U15">
            <v>21167.63697</v>
          </cell>
          <cell r="V15">
            <v>21469.286270000001</v>
          </cell>
          <cell r="W15">
            <v>21785.107199999999</v>
          </cell>
          <cell r="X15">
            <v>22106.062440000002</v>
          </cell>
          <cell r="Y15">
            <v>22432.096740000001</v>
          </cell>
          <cell r="Z15">
            <v>22763.51828</v>
          </cell>
          <cell r="AA15">
            <v>23056.594300000001</v>
          </cell>
          <cell r="AB15">
            <v>23366.625059999998</v>
          </cell>
          <cell r="AC15">
            <v>23681.082340000001</v>
          </cell>
          <cell r="AD15">
            <v>24000.404109999999</v>
          </cell>
          <cell r="AE15">
            <v>24325.364890000001</v>
          </cell>
          <cell r="AF15">
            <v>24656.631789999999</v>
          </cell>
          <cell r="AG15">
            <v>24994.68016</v>
          </cell>
          <cell r="AH15">
            <v>25339.79883</v>
          </cell>
          <cell r="AI15">
            <v>25692.120500000001</v>
          </cell>
          <cell r="AJ15">
            <v>26051.6603</v>
          </cell>
          <cell r="AK15">
            <v>26418.352729999999</v>
          </cell>
          <cell r="AL15">
            <v>26781.41043</v>
          </cell>
          <cell r="AM15">
            <v>27148.278760000001</v>
          </cell>
          <cell r="AN15">
            <v>27519.805090000002</v>
          </cell>
          <cell r="AO15">
            <v>27896.438870000002</v>
          </cell>
          <cell r="AP15">
            <v>28278.511930000001</v>
          </cell>
          <cell r="AQ15">
            <v>28666.282019999999</v>
          </cell>
          <cell r="AR15">
            <v>29059.936020000001</v>
          </cell>
          <cell r="AS15">
            <v>29459.592519999998</v>
          </cell>
          <cell r="AT15">
            <v>29865.310430000001</v>
          </cell>
          <cell r="AU15">
            <v>30277.101030000002</v>
          </cell>
          <cell r="AV15">
            <v>30695.913949999998</v>
          </cell>
          <cell r="AW15">
            <v>31121.014950000001</v>
          </cell>
          <cell r="AX15">
            <v>31552.267980000001</v>
          </cell>
          <cell r="AY15">
            <v>31989.580279999998</v>
          </cell>
          <cell r="AZ15">
            <v>32432.884010000002</v>
          </cell>
          <cell r="BA15">
            <v>32882.136209999997</v>
          </cell>
          <cell r="BB15">
            <v>33337.320070000002</v>
          </cell>
          <cell r="BC15">
            <v>33798.444439999999</v>
          </cell>
          <cell r="BD15">
            <v>34265.541709999998</v>
          </cell>
          <cell r="BE15">
            <v>34738.664649999999</v>
          </cell>
        </row>
        <row r="16">
          <cell r="B16">
            <v>86923.326830000005</v>
          </cell>
          <cell r="C16">
            <v>84386.067809999993</v>
          </cell>
          <cell r="D16">
            <v>85144.089980000004</v>
          </cell>
          <cell r="E16">
            <v>86116.963889999999</v>
          </cell>
          <cell r="F16">
            <v>87220.978279999996</v>
          </cell>
          <cell r="G16">
            <v>88425.496039999998</v>
          </cell>
          <cell r="H16">
            <v>89635.577179999993</v>
          </cell>
          <cell r="I16">
            <v>90896.743960000007</v>
          </cell>
          <cell r="J16">
            <v>92197.918900000004</v>
          </cell>
          <cell r="K16">
            <v>93528.423779999997</v>
          </cell>
          <cell r="L16">
            <v>95001.394390000001</v>
          </cell>
          <cell r="M16">
            <v>96367.619879999998</v>
          </cell>
          <cell r="N16">
            <v>97734.283590000006</v>
          </cell>
          <cell r="O16">
            <v>99101.178979999997</v>
          </cell>
          <cell r="P16">
            <v>100467.2815</v>
          </cell>
          <cell r="Q16">
            <v>101832.57060000001</v>
          </cell>
          <cell r="R16">
            <v>103182.65949999999</v>
          </cell>
          <cell r="S16">
            <v>104534.29670000001</v>
          </cell>
          <cell r="T16">
            <v>105890.417</v>
          </cell>
          <cell r="U16">
            <v>107253.9059</v>
          </cell>
          <cell r="V16">
            <v>108538.7212</v>
          </cell>
          <cell r="W16">
            <v>109913.1462</v>
          </cell>
          <cell r="X16">
            <v>111308.39380000001</v>
          </cell>
          <cell r="Y16">
            <v>112724.92660000001</v>
          </cell>
          <cell r="Z16">
            <v>114164.47410000001</v>
          </cell>
          <cell r="AA16">
            <v>115374.97749999999</v>
          </cell>
          <cell r="AB16">
            <v>116714.72749999999</v>
          </cell>
          <cell r="AC16">
            <v>118076.8325</v>
          </cell>
          <cell r="AD16">
            <v>119462.6107</v>
          </cell>
          <cell r="AE16">
            <v>120874.8149</v>
          </cell>
          <cell r="AF16">
            <v>122315.8236</v>
          </cell>
          <cell r="AG16">
            <v>123790.7545</v>
          </cell>
          <cell r="AH16">
            <v>125297.31939999999</v>
          </cell>
          <cell r="AI16">
            <v>126835.80439999999</v>
          </cell>
          <cell r="AJ16">
            <v>128406.122</v>
          </cell>
          <cell r="AK16">
            <v>130007.88989999999</v>
          </cell>
          <cell r="AL16">
            <v>131610.533</v>
          </cell>
          <cell r="AM16">
            <v>133235.18650000001</v>
          </cell>
          <cell r="AN16">
            <v>134883.38709999999</v>
          </cell>
          <cell r="AO16">
            <v>136555.9411</v>
          </cell>
          <cell r="AP16">
            <v>138253.43590000001</v>
          </cell>
          <cell r="AQ16">
            <v>139981.16690000001</v>
          </cell>
          <cell r="AR16">
            <v>141734.85019999999</v>
          </cell>
          <cell r="AS16">
            <v>143514.44699999999</v>
          </cell>
          <cell r="AT16">
            <v>145319.88269999999</v>
          </cell>
          <cell r="AU16">
            <v>147151.005</v>
          </cell>
          <cell r="AV16">
            <v>149029.52679999999</v>
          </cell>
          <cell r="AW16">
            <v>150935.26379999999</v>
          </cell>
          <cell r="AX16">
            <v>152867.17329999999</v>
          </cell>
          <cell r="AY16">
            <v>154824.71859999999</v>
          </cell>
          <cell r="AZ16">
            <v>156807.53779999999</v>
          </cell>
          <cell r="BA16">
            <v>158825.74559999999</v>
          </cell>
          <cell r="BB16">
            <v>160869.59789999999</v>
          </cell>
          <cell r="BC16">
            <v>162938.77590000001</v>
          </cell>
          <cell r="BD16">
            <v>165033.28539999999</v>
          </cell>
          <cell r="BE16">
            <v>167153.28</v>
          </cell>
        </row>
        <row r="17">
          <cell r="B17">
            <v>87184.058229999995</v>
          </cell>
          <cell r="C17">
            <v>84896.988249999995</v>
          </cell>
          <cell r="D17">
            <v>85908.073579999997</v>
          </cell>
          <cell r="E17">
            <v>87134.937839999999</v>
          </cell>
          <cell r="F17">
            <v>88492.154609999998</v>
          </cell>
          <cell r="G17">
            <v>89947.912580000004</v>
          </cell>
          <cell r="H17">
            <v>91408.926829999997</v>
          </cell>
          <cell r="I17">
            <v>92917.593359999999</v>
          </cell>
          <cell r="J17">
            <v>94462.68389</v>
          </cell>
          <cell r="K17">
            <v>96033.697790000006</v>
          </cell>
          <cell r="L17">
            <v>97747.836960000001</v>
          </cell>
          <cell r="M17">
            <v>99364.902059999993</v>
          </cell>
          <cell r="N17">
            <v>100980.8808</v>
          </cell>
          <cell r="O17">
            <v>102595.7516</v>
          </cell>
          <cell r="P17">
            <v>104209.0159</v>
          </cell>
          <cell r="Q17">
            <v>105821.3036</v>
          </cell>
          <cell r="R17">
            <v>107434.40240000001</v>
          </cell>
          <cell r="S17">
            <v>109050.9791</v>
          </cell>
          <cell r="T17">
            <v>110674.26880000001</v>
          </cell>
          <cell r="U17">
            <v>112307.80530000001</v>
          </cell>
          <cell r="V17">
            <v>113861.59729999999</v>
          </cell>
          <cell r="W17">
            <v>115512.66439999999</v>
          </cell>
          <cell r="X17">
            <v>117189.6058</v>
          </cell>
          <cell r="Y17">
            <v>118893.5012</v>
          </cell>
          <cell r="Z17">
            <v>120626.6761</v>
          </cell>
          <cell r="AA17">
            <v>122121.64539999999</v>
          </cell>
          <cell r="AB17">
            <v>123751.65210000001</v>
          </cell>
          <cell r="AC17">
            <v>125410.42539999999</v>
          </cell>
          <cell r="AD17">
            <v>127099.84510000001</v>
          </cell>
          <cell r="AE17">
            <v>128823.10279999999</v>
          </cell>
          <cell r="AF17">
            <v>130582.9016</v>
          </cell>
          <cell r="AG17">
            <v>132381.13</v>
          </cell>
          <cell r="AH17">
            <v>134218.8799</v>
          </cell>
          <cell r="AI17">
            <v>136096.56589999999</v>
          </cell>
          <cell r="AJ17">
            <v>138014.0802</v>
          </cell>
          <cell r="AK17">
            <v>139970.94630000001</v>
          </cell>
          <cell r="AL17">
            <v>141901.11439999999</v>
          </cell>
          <cell r="AM17">
            <v>143858.52840000001</v>
          </cell>
          <cell r="AN17">
            <v>145845.70370000001</v>
          </cell>
          <cell r="AO17">
            <v>147863.7568</v>
          </cell>
          <cell r="AP17">
            <v>149913.46969999999</v>
          </cell>
          <cell r="AQ17">
            <v>151995.427</v>
          </cell>
          <cell r="AR17">
            <v>154110.00930000001</v>
          </cell>
          <cell r="AS17">
            <v>156257.38959999999</v>
          </cell>
          <cell r="AT17">
            <v>158437.5564</v>
          </cell>
          <cell r="AU17">
            <v>160650.35260000001</v>
          </cell>
          <cell r="AV17">
            <v>162901.48269999999</v>
          </cell>
          <cell r="AW17">
            <v>165185.65030000001</v>
          </cell>
          <cell r="AX17">
            <v>167502.2635</v>
          </cell>
          <cell r="AY17">
            <v>169850.91200000001</v>
          </cell>
          <cell r="AZ17">
            <v>172231.29819999999</v>
          </cell>
          <cell r="BA17">
            <v>174643.2402</v>
          </cell>
          <cell r="BB17">
            <v>177086.6784</v>
          </cell>
          <cell r="BC17">
            <v>179561.67420000001</v>
          </cell>
          <cell r="BD17">
            <v>182068.40179999999</v>
          </cell>
          <cell r="BE17">
            <v>184607.13430000001</v>
          </cell>
        </row>
        <row r="18">
          <cell r="B18">
            <v>29062.183059999999</v>
          </cell>
          <cell r="C18">
            <v>28339.287759999999</v>
          </cell>
          <cell r="D18">
            <v>28575.55012</v>
          </cell>
          <cell r="E18">
            <v>28903.441360000001</v>
          </cell>
          <cell r="F18">
            <v>29278.169610000001</v>
          </cell>
          <cell r="G18">
            <v>29686.008600000001</v>
          </cell>
          <cell r="H18">
            <v>30097.274979999998</v>
          </cell>
          <cell r="I18">
            <v>30523.941040000002</v>
          </cell>
          <cell r="J18">
            <v>30963.362359999999</v>
          </cell>
          <cell r="K18">
            <v>31412.509279999998</v>
          </cell>
          <cell r="L18">
            <v>31905.464629999999</v>
          </cell>
          <cell r="M18">
            <v>32369.586609999998</v>
          </cell>
          <cell r="N18">
            <v>32832.924290000003</v>
          </cell>
          <cell r="O18">
            <v>33296.02637</v>
          </cell>
          <cell r="P18">
            <v>33758.708859999999</v>
          </cell>
          <cell r="Q18">
            <v>34221.026530000003</v>
          </cell>
          <cell r="R18">
            <v>34678.718959999998</v>
          </cell>
          <cell r="S18">
            <v>35136.81005</v>
          </cell>
          <cell r="T18">
            <v>35596.472430000002</v>
          </cell>
          <cell r="U18">
            <v>36058.790399999998</v>
          </cell>
          <cell r="V18">
            <v>36497.981399999997</v>
          </cell>
          <cell r="W18">
            <v>36963.009109999999</v>
          </cell>
          <cell r="X18">
            <v>37436.151230000003</v>
          </cell>
          <cell r="Y18">
            <v>37917.211949999997</v>
          </cell>
          <cell r="Z18">
            <v>38406.696459999999</v>
          </cell>
          <cell r="AA18">
            <v>38828.575409999998</v>
          </cell>
          <cell r="AB18">
            <v>39285.220300000001</v>
          </cell>
          <cell r="AC18">
            <v>39749.962440000003</v>
          </cell>
          <cell r="AD18">
            <v>40222.911249999997</v>
          </cell>
          <cell r="AE18">
            <v>40704.949209999999</v>
          </cell>
          <cell r="AF18">
            <v>41196.886729999998</v>
          </cell>
          <cell r="AG18">
            <v>41700.339310000003</v>
          </cell>
          <cell r="AH18">
            <v>42214.683539999998</v>
          </cell>
          <cell r="AI18">
            <v>42739.969810000002</v>
          </cell>
          <cell r="AJ18">
            <v>43276.123330000002</v>
          </cell>
          <cell r="AK18">
            <v>43822.961840000004</v>
          </cell>
          <cell r="AL18">
            <v>44371.201730000001</v>
          </cell>
          <cell r="AM18">
            <v>44926.052490000002</v>
          </cell>
          <cell r="AN18">
            <v>45488.208839999999</v>
          </cell>
          <cell r="AO18">
            <v>46058.002650000002</v>
          </cell>
          <cell r="AP18">
            <v>46635.650679999999</v>
          </cell>
          <cell r="AQ18">
            <v>47222.772879999997</v>
          </cell>
          <cell r="AR18">
            <v>47818.133110000002</v>
          </cell>
          <cell r="AS18">
            <v>48421.674950000001</v>
          </cell>
          <cell r="AT18">
            <v>49033.348960000003</v>
          </cell>
          <cell r="AU18">
            <v>49653.08266</v>
          </cell>
          <cell r="AV18">
            <v>50287.416499999999</v>
          </cell>
          <cell r="AW18">
            <v>50930.538289999997</v>
          </cell>
          <cell r="AX18">
            <v>51581.933230000002</v>
          </cell>
          <cell r="AY18">
            <v>52241.363949999999</v>
          </cell>
          <cell r="AZ18">
            <v>52908.683980000002</v>
          </cell>
          <cell r="BA18">
            <v>53586.938199999997</v>
          </cell>
          <cell r="BB18">
            <v>54273.29135</v>
          </cell>
          <cell r="BC18">
            <v>54967.572359999998</v>
          </cell>
          <cell r="BD18">
            <v>55669.773990000002</v>
          </cell>
          <cell r="BE18">
            <v>56379.956160000002</v>
          </cell>
        </row>
        <row r="19">
          <cell r="B19">
            <v>29140.398990000002</v>
          </cell>
          <cell r="C19">
            <v>28495.813539999999</v>
          </cell>
          <cell r="D19">
            <v>28811.766619999999</v>
          </cell>
          <cell r="E19">
            <v>29219.877830000001</v>
          </cell>
          <cell r="F19">
            <v>29674.651239999999</v>
          </cell>
          <cell r="G19">
            <v>30161.937040000001</v>
          </cell>
          <cell r="H19">
            <v>30652.549230000001</v>
          </cell>
          <cell r="I19">
            <v>31157.531449999999</v>
          </cell>
          <cell r="J19">
            <v>31674.163700000001</v>
          </cell>
          <cell r="K19">
            <v>32199.460930000001</v>
          </cell>
          <cell r="L19">
            <v>32768.723559999999</v>
          </cell>
          <cell r="M19">
            <v>33312.147129999998</v>
          </cell>
          <cell r="N19">
            <v>33854.505590000001</v>
          </cell>
          <cell r="O19">
            <v>34396.320849999996</v>
          </cell>
          <cell r="P19">
            <v>34937.569230000001</v>
          </cell>
          <cell r="Q19">
            <v>35478.525560000002</v>
          </cell>
          <cell r="R19">
            <v>36019.847779999996</v>
          </cell>
          <cell r="S19">
            <v>36562.500780000002</v>
          </cell>
          <cell r="T19">
            <v>37107.650959999999</v>
          </cell>
          <cell r="U19">
            <v>37656.569340000002</v>
          </cell>
          <cell r="V19">
            <v>38182.329299999998</v>
          </cell>
          <cell r="W19">
            <v>38736.412259999997</v>
          </cell>
          <cell r="X19">
            <v>39300.42568</v>
          </cell>
          <cell r="Y19">
            <v>39874.35901</v>
          </cell>
          <cell r="Z19">
            <v>40458.902479999997</v>
          </cell>
          <cell r="AA19">
            <v>40973.496859999999</v>
          </cell>
          <cell r="AB19">
            <v>41524.623140000003</v>
          </cell>
          <cell r="AC19">
            <v>42085.946739999999</v>
          </cell>
          <cell r="AD19">
            <v>42657.769070000002</v>
          </cell>
          <cell r="AE19">
            <v>43241.103759999998</v>
          </cell>
          <cell r="AF19">
            <v>43836.846890000001</v>
          </cell>
          <cell r="AG19">
            <v>44445.616770000001</v>
          </cell>
          <cell r="AH19">
            <v>45067.745419999999</v>
          </cell>
          <cell r="AI19">
            <v>45703.31669</v>
          </cell>
          <cell r="AJ19">
            <v>46352.220889999997</v>
          </cell>
          <cell r="AK19">
            <v>47014.211259999996</v>
          </cell>
          <cell r="AL19">
            <v>47669.271189999999</v>
          </cell>
          <cell r="AM19">
            <v>48332.040970000002</v>
          </cell>
          <cell r="AN19">
            <v>49003.72827</v>
          </cell>
          <cell r="AO19">
            <v>49684.791539999998</v>
          </cell>
          <cell r="AP19">
            <v>50375.498469999999</v>
          </cell>
          <cell r="AQ19">
            <v>51076.025670000003</v>
          </cell>
          <cell r="AR19">
            <v>51786.472750000001</v>
          </cell>
          <cell r="AS19">
            <v>52506.866329999997</v>
          </cell>
          <cell r="AT19">
            <v>53237.169600000001</v>
          </cell>
          <cell r="AU19">
            <v>53977.29767</v>
          </cell>
          <cell r="AV19">
            <v>54728.931389999998</v>
          </cell>
          <cell r="AW19">
            <v>55490.57501</v>
          </cell>
          <cell r="AX19">
            <v>56261.967909999999</v>
          </cell>
          <cell r="AY19">
            <v>57042.94225</v>
          </cell>
          <cell r="AZ19">
            <v>57833.382640000003</v>
          </cell>
          <cell r="BA19">
            <v>58633.222979999999</v>
          </cell>
          <cell r="BB19">
            <v>59442.447460000003</v>
          </cell>
          <cell r="BC19">
            <v>60261.089440000003</v>
          </cell>
          <cell r="BD19">
            <v>61089.228109999996</v>
          </cell>
          <cell r="BE19">
            <v>61926.983189999999</v>
          </cell>
        </row>
        <row r="20">
          <cell r="B20">
            <v>80187.806639999995</v>
          </cell>
          <cell r="C20">
            <v>78210.094370000006</v>
          </cell>
          <cell r="D20">
            <v>78846.219700000001</v>
          </cell>
          <cell r="E20">
            <v>79774.253289999993</v>
          </cell>
          <cell r="F20">
            <v>80833.420939999996</v>
          </cell>
          <cell r="G20">
            <v>81973.812160000001</v>
          </cell>
          <cell r="H20">
            <v>83111.614430000001</v>
          </cell>
          <cell r="I20">
            <v>84279.013260000007</v>
          </cell>
          <cell r="J20">
            <v>85471.312969999999</v>
          </cell>
          <cell r="K20">
            <v>86682.922340000005</v>
          </cell>
          <cell r="L20">
            <v>88007.909580000007</v>
          </cell>
          <cell r="M20">
            <v>89252.969360000003</v>
          </cell>
          <cell r="N20">
            <v>90494.500889999996</v>
          </cell>
          <cell r="O20">
            <v>91736.535820000005</v>
          </cell>
          <cell r="P20">
            <v>92980.023069999996</v>
          </cell>
          <cell r="Q20">
            <v>94226.029089999996</v>
          </cell>
          <cell r="R20">
            <v>95463.444359999994</v>
          </cell>
          <cell r="S20">
            <v>96706.267179999995</v>
          </cell>
          <cell r="T20">
            <v>97958.115019999997</v>
          </cell>
          <cell r="U20">
            <v>99222.091029999996</v>
          </cell>
          <cell r="V20">
            <v>100429.09390000001</v>
          </cell>
          <cell r="W20">
            <v>101710.3691</v>
          </cell>
          <cell r="X20">
            <v>103018.86719999999</v>
          </cell>
          <cell r="Y20">
            <v>104353.2487</v>
          </cell>
          <cell r="Z20">
            <v>105714.5037</v>
          </cell>
          <cell r="AA20">
            <v>106898.5009</v>
          </cell>
          <cell r="AB20">
            <v>108179.5004</v>
          </cell>
          <cell r="AC20">
            <v>109487.2815</v>
          </cell>
          <cell r="AD20">
            <v>110820.6346</v>
          </cell>
          <cell r="AE20">
            <v>112180.9629</v>
          </cell>
          <cell r="AF20">
            <v>113569.7071</v>
          </cell>
          <cell r="AG20">
            <v>114990.7029</v>
          </cell>
          <cell r="AH20">
            <v>116441.8202</v>
          </cell>
          <cell r="AI20">
            <v>117922.8083</v>
          </cell>
          <cell r="AJ20">
            <v>119433.18520000001</v>
          </cell>
          <cell r="AK20">
            <v>120972.24189999999</v>
          </cell>
          <cell r="AL20">
            <v>122515.4523</v>
          </cell>
          <cell r="AM20">
            <v>124076.3484</v>
          </cell>
          <cell r="AN20">
            <v>125656.5904</v>
          </cell>
          <cell r="AO20">
            <v>127256.78449999999</v>
          </cell>
          <cell r="AP20">
            <v>128877.2308</v>
          </cell>
          <cell r="AQ20">
            <v>130522.1274</v>
          </cell>
          <cell r="AR20">
            <v>132187.93919999999</v>
          </cell>
          <cell r="AS20">
            <v>133874.31940000001</v>
          </cell>
          <cell r="AT20">
            <v>135581.03909999999</v>
          </cell>
          <cell r="AU20">
            <v>137307.86120000001</v>
          </cell>
          <cell r="AV20">
            <v>139072.64610000001</v>
          </cell>
          <cell r="AW20">
            <v>140859.71520000001</v>
          </cell>
          <cell r="AX20">
            <v>142667.4693</v>
          </cell>
          <cell r="AY20">
            <v>144495.27729999999</v>
          </cell>
          <cell r="AZ20">
            <v>146342.826</v>
          </cell>
          <cell r="BA20">
            <v>148218.5919</v>
          </cell>
          <cell r="BB20">
            <v>150115.01740000001</v>
          </cell>
          <cell r="BC20">
            <v>152031.61970000001</v>
          </cell>
          <cell r="BD20">
            <v>153968.45740000001</v>
          </cell>
          <cell r="BE20">
            <v>155925.79639999999</v>
          </cell>
        </row>
        <row r="21">
          <cell r="B21">
            <v>80401.828569999998</v>
          </cell>
          <cell r="C21">
            <v>78641.322610000003</v>
          </cell>
          <cell r="D21">
            <v>79497.386339999997</v>
          </cell>
          <cell r="E21">
            <v>80645.880269999994</v>
          </cell>
          <cell r="F21">
            <v>81924.42585</v>
          </cell>
          <cell r="G21">
            <v>83282.445399999997</v>
          </cell>
          <cell r="H21">
            <v>84638.016759999999</v>
          </cell>
          <cell r="I21">
            <v>86021.236180000007</v>
          </cell>
          <cell r="J21">
            <v>87427.512350000005</v>
          </cell>
          <cell r="K21">
            <v>88851.626000000004</v>
          </cell>
          <cell r="L21">
            <v>90391.144960000005</v>
          </cell>
          <cell r="M21">
            <v>91860.779150000002</v>
          </cell>
          <cell r="N21">
            <v>93328.046619999994</v>
          </cell>
          <cell r="O21">
            <v>94796.774380000003</v>
          </cell>
          <cell r="P21">
            <v>96268.330849999998</v>
          </cell>
          <cell r="Q21">
            <v>97744.379790000006</v>
          </cell>
          <cell r="R21">
            <v>99227.282359999997</v>
          </cell>
          <cell r="S21">
            <v>100719.99430000001</v>
          </cell>
          <cell r="T21">
            <v>102225.8465</v>
          </cell>
          <cell r="U21">
            <v>103748.32460000001</v>
          </cell>
          <cell r="V21">
            <v>105215.0836</v>
          </cell>
          <cell r="W21">
            <v>106764.1318</v>
          </cell>
          <cell r="X21">
            <v>108346.5765</v>
          </cell>
          <cell r="Y21">
            <v>109961.4457</v>
          </cell>
          <cell r="Z21">
            <v>111610.1085</v>
          </cell>
          <cell r="AA21">
            <v>113075.7677</v>
          </cell>
          <cell r="AB21">
            <v>114643.7031</v>
          </cell>
          <cell r="AC21">
            <v>116244.641</v>
          </cell>
          <cell r="AD21">
            <v>117877.79979999999</v>
          </cell>
          <cell r="AE21">
            <v>119544.8021</v>
          </cell>
          <cell r="AF21">
            <v>121247.1755</v>
          </cell>
          <cell r="AG21">
            <v>122985.8738</v>
          </cell>
          <cell r="AH21">
            <v>124761.2176</v>
          </cell>
          <cell r="AI21">
            <v>126572.96369999999</v>
          </cell>
          <cell r="AJ21">
            <v>128420.4265</v>
          </cell>
          <cell r="AK21">
            <v>130302.6118</v>
          </cell>
          <cell r="AL21">
            <v>132165.3602</v>
          </cell>
          <cell r="AM21">
            <v>134047.64780000001</v>
          </cell>
          <cell r="AN21">
            <v>135952.88020000001</v>
          </cell>
          <cell r="AO21">
            <v>137882.01360000001</v>
          </cell>
          <cell r="AP21">
            <v>139835.39079999999</v>
          </cell>
          <cell r="AQ21">
            <v>141813.12210000001</v>
          </cell>
          <cell r="AR21">
            <v>143815.1684</v>
          </cell>
          <cell r="AS21">
            <v>145841.36550000001</v>
          </cell>
          <cell r="AT21">
            <v>147891.4473</v>
          </cell>
          <cell r="AU21">
            <v>149965.07800000001</v>
          </cell>
          <cell r="AV21">
            <v>152066.7291</v>
          </cell>
          <cell r="AW21">
            <v>154192.37469999999</v>
          </cell>
          <cell r="AX21">
            <v>156341.2948</v>
          </cell>
          <cell r="AY21">
            <v>158513.08809999999</v>
          </cell>
          <cell r="AZ21">
            <v>160707.52789999999</v>
          </cell>
          <cell r="BA21">
            <v>162924.54079999999</v>
          </cell>
          <cell r="BB21">
            <v>165164.20110000001</v>
          </cell>
          <cell r="BC21">
            <v>167426.7254</v>
          </cell>
          <cell r="BD21">
            <v>169712.46049999999</v>
          </cell>
          <cell r="BE21">
            <v>172021.8689</v>
          </cell>
        </row>
        <row r="22">
          <cell r="B22">
            <v>80991.655889999995</v>
          </cell>
          <cell r="C22">
            <v>78095.127269999997</v>
          </cell>
          <cell r="D22">
            <v>79103.463820000004</v>
          </cell>
          <cell r="E22">
            <v>80247.597330000004</v>
          </cell>
          <cell r="F22">
            <v>81459.991070000004</v>
          </cell>
          <cell r="G22">
            <v>82711.724249999999</v>
          </cell>
          <cell r="H22">
            <v>83912.773679999998</v>
          </cell>
          <cell r="I22">
            <v>85123.141220000005</v>
          </cell>
          <cell r="J22">
            <v>86339.219230000002</v>
          </cell>
          <cell r="K22">
            <v>87557.698959999994</v>
          </cell>
          <cell r="L22">
            <v>88897.680200000003</v>
          </cell>
          <cell r="M22">
            <v>90103.650720000005</v>
          </cell>
          <cell r="N22">
            <v>91301.882100000003</v>
          </cell>
          <cell r="O22">
            <v>92494.28744</v>
          </cell>
          <cell r="P22">
            <v>93682.165659999999</v>
          </cell>
          <cell r="Q22">
            <v>94867.244529999996</v>
          </cell>
          <cell r="R22">
            <v>96034.057230000006</v>
          </cell>
          <cell r="S22">
            <v>97203.254669999995</v>
          </cell>
          <cell r="T22">
            <v>98378.21385</v>
          </cell>
          <cell r="U22">
            <v>99562.128570000001</v>
          </cell>
          <cell r="V22">
            <v>100669.95450000001</v>
          </cell>
          <cell r="W22">
            <v>101875.5745</v>
          </cell>
          <cell r="X22">
            <v>103101.66190000001</v>
          </cell>
          <cell r="Y22">
            <v>104349.2147</v>
          </cell>
          <cell r="Z22">
            <v>105619.8759</v>
          </cell>
          <cell r="AA22">
            <v>106664.5422</v>
          </cell>
          <cell r="AB22">
            <v>107858.6842</v>
          </cell>
          <cell r="AC22">
            <v>109078.84110000001</v>
          </cell>
          <cell r="AD22">
            <v>110325.63890000001</v>
          </cell>
          <cell r="AE22">
            <v>111600.34540000001</v>
          </cell>
          <cell r="AF22">
            <v>112904.04</v>
          </cell>
          <cell r="AG22">
            <v>114241.36259999999</v>
          </cell>
          <cell r="AH22">
            <v>115608.62669999999</v>
          </cell>
          <cell r="AI22">
            <v>117005.6262</v>
          </cell>
          <cell r="AJ22">
            <v>118431.9194</v>
          </cell>
          <cell r="AK22">
            <v>119886.8851</v>
          </cell>
          <cell r="AL22">
            <v>121345.22840000001</v>
          </cell>
          <cell r="AM22">
            <v>122826.2212</v>
          </cell>
          <cell r="AN22">
            <v>124330.34080000001</v>
          </cell>
          <cell r="AO22">
            <v>125857.6856</v>
          </cell>
          <cell r="AP22">
            <v>127408.2582</v>
          </cell>
          <cell r="AQ22">
            <v>128987.60430000001</v>
          </cell>
          <cell r="AR22">
            <v>130590.1324</v>
          </cell>
          <cell r="AS22">
            <v>132215.58170000001</v>
          </cell>
          <cell r="AT22">
            <v>133863.7219</v>
          </cell>
          <cell r="AU22">
            <v>135534.32</v>
          </cell>
          <cell r="AV22">
            <v>137251.45600000001</v>
          </cell>
          <cell r="AW22">
            <v>138991.4394</v>
          </cell>
          <cell r="AX22">
            <v>140753.5423</v>
          </cell>
          <cell r="AY22">
            <v>142537.43969999999</v>
          </cell>
          <cell r="AZ22">
            <v>144342.9921</v>
          </cell>
          <cell r="BA22">
            <v>146182.0779</v>
          </cell>
          <cell r="BB22">
            <v>148043.1648</v>
          </cell>
          <cell r="BC22">
            <v>149926.18210000001</v>
          </cell>
          <cell r="BD22">
            <v>151831.2997</v>
          </cell>
          <cell r="BE22">
            <v>153758.81</v>
          </cell>
        </row>
        <row r="23">
          <cell r="B23">
            <v>81289.904609999998</v>
          </cell>
          <cell r="C23">
            <v>78668.112500000003</v>
          </cell>
          <cell r="D23">
            <v>79947.579209999996</v>
          </cell>
          <cell r="E23">
            <v>81358.617610000001</v>
          </cell>
          <cell r="F23">
            <v>82833.595329999996</v>
          </cell>
          <cell r="G23">
            <v>84343.8557</v>
          </cell>
          <cell r="H23">
            <v>85802.641489999995</v>
          </cell>
          <cell r="I23">
            <v>87267.162379999994</v>
          </cell>
          <cell r="J23">
            <v>88734.356310000003</v>
          </cell>
          <cell r="K23">
            <v>90201.587799999994</v>
          </cell>
          <cell r="L23">
            <v>91792.911170000007</v>
          </cell>
          <cell r="M23">
            <v>93263.475470000005</v>
          </cell>
          <cell r="N23">
            <v>94726.142510000005</v>
          </cell>
          <cell r="O23">
            <v>96183.35815</v>
          </cell>
          <cell r="P23">
            <v>97637.212459999995</v>
          </cell>
          <cell r="Q23">
            <v>99090.310259999998</v>
          </cell>
          <cell r="R23">
            <v>100545.84420000001</v>
          </cell>
          <cell r="S23">
            <v>102007.4449</v>
          </cell>
          <cell r="T23">
            <v>103478.9736</v>
          </cell>
          <cell r="U23">
            <v>104964.32889999999</v>
          </cell>
          <cell r="V23">
            <v>106373.90790000001</v>
          </cell>
          <cell r="W23">
            <v>107891.6496</v>
          </cell>
          <cell r="X23">
            <v>109436.8487</v>
          </cell>
          <cell r="Y23">
            <v>111011.0426</v>
          </cell>
          <cell r="Z23">
            <v>112616.3484</v>
          </cell>
          <cell r="AA23">
            <v>113985.80220000001</v>
          </cell>
          <cell r="AB23">
            <v>115512.5766</v>
          </cell>
          <cell r="AC23">
            <v>117073.541</v>
          </cell>
          <cell r="AD23">
            <v>118669.6795</v>
          </cell>
          <cell r="AE23">
            <v>120302.4862</v>
          </cell>
          <cell r="AF23">
            <v>121973.1632</v>
          </cell>
          <cell r="AG23">
            <v>123682.42200000001</v>
          </cell>
          <cell r="AH23">
            <v>125430.46649999999</v>
          </cell>
          <cell r="AI23">
            <v>127217.0551</v>
          </cell>
          <cell r="AJ23">
            <v>129041.6029</v>
          </cell>
          <cell r="AK23">
            <v>130903.2929</v>
          </cell>
          <cell r="AL23">
            <v>132735.9259</v>
          </cell>
          <cell r="AM23">
            <v>134598.2886</v>
          </cell>
          <cell r="AN23">
            <v>136491.43160000001</v>
          </cell>
          <cell r="AO23">
            <v>138415.52290000001</v>
          </cell>
          <cell r="AP23">
            <v>140370.49559999999</v>
          </cell>
          <cell r="AQ23">
            <v>142356.19519999999</v>
          </cell>
          <cell r="AR23">
            <v>144372.4044</v>
          </cell>
          <cell r="AS23">
            <v>146418.84349999999</v>
          </cell>
          <cell r="AT23">
            <v>148495.1783</v>
          </cell>
          <cell r="AU23">
            <v>150601.0398</v>
          </cell>
          <cell r="AV23">
            <v>152742.01130000001</v>
          </cell>
          <cell r="AW23">
            <v>154912.28219999999</v>
          </cell>
          <cell r="AX23">
            <v>157111.37289999999</v>
          </cell>
          <cell r="AY23">
            <v>159338.9682</v>
          </cell>
          <cell r="AZ23">
            <v>161594.8738</v>
          </cell>
          <cell r="BA23">
            <v>163879.0091</v>
          </cell>
          <cell r="BB23">
            <v>166191.4044</v>
          </cell>
          <cell r="BC23">
            <v>168532.19500000001</v>
          </cell>
          <cell r="BD23">
            <v>170901.6115</v>
          </cell>
          <cell r="BE23">
            <v>173299.96720000001</v>
          </cell>
        </row>
        <row r="24">
          <cell r="B24">
            <v>104601.2259</v>
          </cell>
          <cell r="C24">
            <v>102997.9145</v>
          </cell>
          <cell r="D24">
            <v>103658.8075</v>
          </cell>
          <cell r="E24">
            <v>104678.08809999999</v>
          </cell>
          <cell r="F24">
            <v>105904.5111</v>
          </cell>
          <cell r="G24">
            <v>107276.6001</v>
          </cell>
          <cell r="H24">
            <v>108690.2692</v>
          </cell>
          <cell r="I24">
            <v>110169.077</v>
          </cell>
          <cell r="J24">
            <v>111704.8582</v>
          </cell>
          <cell r="K24">
            <v>113289.0108</v>
          </cell>
          <cell r="L24">
            <v>115030.3175</v>
          </cell>
          <cell r="M24">
            <v>116716.9777</v>
          </cell>
          <cell r="N24">
            <v>118415.6385</v>
          </cell>
          <cell r="O24">
            <v>120128.8365</v>
          </cell>
          <cell r="P24">
            <v>121856.1634</v>
          </cell>
          <cell r="Q24">
            <v>123597.44560000001</v>
          </cell>
          <cell r="R24">
            <v>125341.5414</v>
          </cell>
          <cell r="S24">
            <v>127099.6443</v>
          </cell>
          <cell r="T24">
            <v>128874.5724</v>
          </cell>
          <cell r="U24">
            <v>130668.7687</v>
          </cell>
          <cell r="V24">
            <v>132399.1318</v>
          </cell>
          <cell r="W24">
            <v>134209.15789999999</v>
          </cell>
          <cell r="X24">
            <v>136055.19990000001</v>
          </cell>
          <cell r="Y24">
            <v>137934.86249999999</v>
          </cell>
          <cell r="Z24">
            <v>139848.272</v>
          </cell>
          <cell r="AA24">
            <v>141551.40549999999</v>
          </cell>
          <cell r="AB24">
            <v>143337.15479999999</v>
          </cell>
          <cell r="AC24">
            <v>145145.90909999999</v>
          </cell>
          <cell r="AD24">
            <v>146978.8628</v>
          </cell>
          <cell r="AE24">
            <v>148839.44839999999</v>
          </cell>
          <cell r="AF24">
            <v>150730.7965</v>
          </cell>
          <cell r="AG24">
            <v>152657.81839999999</v>
          </cell>
          <cell r="AH24">
            <v>154619.74069999999</v>
          </cell>
          <cell r="AI24">
            <v>156616.98019999999</v>
          </cell>
          <cell r="AJ24">
            <v>158649.52900000001</v>
          </cell>
          <cell r="AK24">
            <v>160717.0533</v>
          </cell>
          <cell r="AL24">
            <v>162783.78349999999</v>
          </cell>
          <cell r="AM24">
            <v>164867.00539999999</v>
          </cell>
          <cell r="AN24">
            <v>166970.821</v>
          </cell>
          <cell r="AO24">
            <v>169097.6967</v>
          </cell>
          <cell r="AP24">
            <v>171249.49679999999</v>
          </cell>
          <cell r="AQ24">
            <v>173431.41959999999</v>
          </cell>
          <cell r="AR24">
            <v>175641.54889999999</v>
          </cell>
          <cell r="AS24">
            <v>177880.3222</v>
          </cell>
          <cell r="AT24">
            <v>180148.0594</v>
          </cell>
          <cell r="AU24">
            <v>182444.91159999999</v>
          </cell>
          <cell r="AV24">
            <v>184788.83379999999</v>
          </cell>
          <cell r="AW24">
            <v>187166.23639999999</v>
          </cell>
          <cell r="AX24">
            <v>189575.34700000001</v>
          </cell>
          <cell r="AY24">
            <v>192015.29329999999</v>
          </cell>
          <cell r="AZ24">
            <v>194485.57019999999</v>
          </cell>
          <cell r="BA24">
            <v>196993.86660000001</v>
          </cell>
          <cell r="BB24">
            <v>199533.72380000001</v>
          </cell>
          <cell r="BC24">
            <v>202104.5472</v>
          </cell>
          <cell r="BD24">
            <v>204706.26850000001</v>
          </cell>
          <cell r="BE24">
            <v>207339.0742</v>
          </cell>
        </row>
        <row r="25">
          <cell r="B25">
            <v>104800.5695</v>
          </cell>
          <cell r="C25">
            <v>103412.67720000001</v>
          </cell>
          <cell r="D25">
            <v>104301.7267</v>
          </cell>
          <cell r="E25">
            <v>105556.8885</v>
          </cell>
          <cell r="F25">
            <v>107023.50350000001</v>
          </cell>
          <cell r="G25">
            <v>108638.0365</v>
          </cell>
          <cell r="H25">
            <v>110297.0552</v>
          </cell>
          <cell r="I25">
            <v>112021.5536</v>
          </cell>
          <cell r="J25">
            <v>113802.8762</v>
          </cell>
          <cell r="K25">
            <v>115632.3196</v>
          </cell>
          <cell r="L25">
            <v>117621.4186</v>
          </cell>
          <cell r="M25">
            <v>119565.51669999999</v>
          </cell>
          <cell r="N25">
            <v>121523.3334</v>
          </cell>
          <cell r="O25">
            <v>123496.6461</v>
          </cell>
          <cell r="P25">
            <v>125484.86440000001</v>
          </cell>
          <cell r="Q25">
            <v>127487.8875</v>
          </cell>
          <cell r="R25">
            <v>129506.57829999999</v>
          </cell>
          <cell r="S25">
            <v>131542.633</v>
          </cell>
          <cell r="T25">
            <v>133598.30910000001</v>
          </cell>
          <cell r="U25">
            <v>135676.16329999999</v>
          </cell>
          <cell r="V25">
            <v>137689.84539999999</v>
          </cell>
          <cell r="W25">
            <v>139788.86600000001</v>
          </cell>
          <cell r="X25">
            <v>141928.21100000001</v>
          </cell>
          <cell r="Y25">
            <v>144105.93220000001</v>
          </cell>
          <cell r="Z25">
            <v>146322.62210000001</v>
          </cell>
          <cell r="AA25">
            <v>148322.25049999999</v>
          </cell>
          <cell r="AB25">
            <v>150407.28760000001</v>
          </cell>
          <cell r="AC25">
            <v>152519.3738</v>
          </cell>
          <cell r="AD25">
            <v>154660.4828</v>
          </cell>
          <cell r="AE25">
            <v>156834.6042</v>
          </cell>
          <cell r="AF25">
            <v>159045.24119999999</v>
          </cell>
          <cell r="AG25">
            <v>161294.88690000001</v>
          </cell>
          <cell r="AH25">
            <v>163585.01879999999</v>
          </cell>
          <cell r="AI25">
            <v>165916.25589999999</v>
          </cell>
          <cell r="AJ25">
            <v>168288.57519999999</v>
          </cell>
          <cell r="AK25">
            <v>170701.52480000001</v>
          </cell>
          <cell r="AL25">
            <v>173091.99559999999</v>
          </cell>
          <cell r="AM25">
            <v>175498.7874</v>
          </cell>
          <cell r="AN25">
            <v>177928.10800000001</v>
          </cell>
          <cell r="AO25">
            <v>180383.30360000001</v>
          </cell>
          <cell r="AP25">
            <v>182866.74419999999</v>
          </cell>
          <cell r="AQ25">
            <v>185380.23319999999</v>
          </cell>
          <cell r="AR25">
            <v>187925.1011</v>
          </cell>
          <cell r="AS25">
            <v>190502.2542</v>
          </cell>
          <cell r="AT25">
            <v>193112.23800000001</v>
          </cell>
          <cell r="AU25">
            <v>195755.315</v>
          </cell>
          <cell r="AV25">
            <v>198437.2323</v>
          </cell>
          <cell r="AW25">
            <v>201154.32769999999</v>
          </cell>
          <cell r="AX25">
            <v>203905.89980000001</v>
          </cell>
          <cell r="AY25">
            <v>206691.55910000001</v>
          </cell>
          <cell r="AZ25">
            <v>209511.0975</v>
          </cell>
          <cell r="BA25">
            <v>212364.4736</v>
          </cell>
          <cell r="BB25">
            <v>215251.81140000001</v>
          </cell>
          <cell r="BC25">
            <v>218173.3934</v>
          </cell>
          <cell r="BD25">
            <v>221129.64550000001</v>
          </cell>
          <cell r="BE25">
            <v>224121.117</v>
          </cell>
        </row>
        <row r="26">
          <cell r="B26">
            <v>271213.88559999998</v>
          </cell>
          <cell r="C26">
            <v>272649.36009999999</v>
          </cell>
          <cell r="D26">
            <v>274706.8726</v>
          </cell>
          <cell r="E26">
            <v>277324.96049999999</v>
          </cell>
          <cell r="F26">
            <v>280380.53840000002</v>
          </cell>
          <cell r="G26">
            <v>283774.8579</v>
          </cell>
          <cell r="H26">
            <v>287340.85399999999</v>
          </cell>
          <cell r="I26">
            <v>291060.09100000001</v>
          </cell>
          <cell r="J26">
            <v>294928.42830000003</v>
          </cell>
          <cell r="K26">
            <v>298946.6164</v>
          </cell>
          <cell r="L26">
            <v>303290.7622</v>
          </cell>
          <cell r="M26">
            <v>307746.99790000002</v>
          </cell>
          <cell r="N26">
            <v>312322.90120000002</v>
          </cell>
          <cell r="O26">
            <v>317025.16869999998</v>
          </cell>
          <cell r="P26">
            <v>321858.02659999998</v>
          </cell>
          <cell r="Q26">
            <v>326824.66769999999</v>
          </cell>
          <cell r="R26">
            <v>331919.54859999998</v>
          </cell>
          <cell r="S26">
            <v>337147.81359999999</v>
          </cell>
          <cell r="T26">
            <v>342514.15620000003</v>
          </cell>
          <cell r="U26">
            <v>348022.43479999999</v>
          </cell>
          <cell r="V26">
            <v>353545.98430000001</v>
          </cell>
          <cell r="W26">
            <v>359238.84749999997</v>
          </cell>
          <cell r="X26">
            <v>365098.0514</v>
          </cell>
          <cell r="Y26">
            <v>371119.93060000002</v>
          </cell>
          <cell r="Z26">
            <v>377301.61660000001</v>
          </cell>
          <cell r="AA26">
            <v>383264.69709999999</v>
          </cell>
          <cell r="AB26">
            <v>389270.27669999999</v>
          </cell>
          <cell r="AC26">
            <v>395330.28570000001</v>
          </cell>
          <cell r="AD26">
            <v>401451.40279999998</v>
          </cell>
          <cell r="AE26">
            <v>407639.0821</v>
          </cell>
          <cell r="AF26">
            <v>413897.53539999999</v>
          </cell>
          <cell r="AG26">
            <v>420231.4228</v>
          </cell>
          <cell r="AH26">
            <v>426641.36839999998</v>
          </cell>
          <cell r="AI26">
            <v>433126.54399999999</v>
          </cell>
          <cell r="AJ26">
            <v>439685.02769999998</v>
          </cell>
          <cell r="AK26">
            <v>446314.16399999999</v>
          </cell>
          <cell r="AL26">
            <v>452936.83189999999</v>
          </cell>
          <cell r="AM26">
            <v>459560.1496</v>
          </cell>
          <cell r="AN26">
            <v>466189.41749999998</v>
          </cell>
          <cell r="AO26">
            <v>472828.49310000002</v>
          </cell>
          <cell r="AP26">
            <v>479480.54879999999</v>
          </cell>
          <cell r="AQ26">
            <v>486151.2009</v>
          </cell>
          <cell r="AR26">
            <v>492842.27289999998</v>
          </cell>
          <cell r="AS26">
            <v>499555.19260000001</v>
          </cell>
          <cell r="AT26">
            <v>506291.08250000002</v>
          </cell>
          <cell r="AU26">
            <v>513050.8162</v>
          </cell>
          <cell r="AV26">
            <v>519853.19589999999</v>
          </cell>
          <cell r="AW26">
            <v>526695.85010000004</v>
          </cell>
          <cell r="AX26">
            <v>533576.80630000005</v>
          </cell>
          <cell r="AY26">
            <v>540494.94940000004</v>
          </cell>
          <cell r="AZ26">
            <v>547449.98670000001</v>
          </cell>
          <cell r="BA26">
            <v>554448.50589999999</v>
          </cell>
          <cell r="BB26">
            <v>561490.47770000005</v>
          </cell>
          <cell r="BC26">
            <v>568576.4754</v>
          </cell>
          <cell r="BD26">
            <v>575707.82140000002</v>
          </cell>
          <cell r="BE26">
            <v>582886.51280000003</v>
          </cell>
        </row>
        <row r="27">
          <cell r="B27">
            <v>271361.60570000001</v>
          </cell>
          <cell r="C27">
            <v>273044.88669999997</v>
          </cell>
          <cell r="D27">
            <v>275421.46149999998</v>
          </cell>
          <cell r="E27">
            <v>278414.3701</v>
          </cell>
          <cell r="F27">
            <v>281891.84120000002</v>
          </cell>
          <cell r="G27">
            <v>285750.50089999998</v>
          </cell>
          <cell r="H27">
            <v>289822.10509999999</v>
          </cell>
          <cell r="I27">
            <v>294085.80959999998</v>
          </cell>
          <cell r="J27">
            <v>298535.50260000001</v>
          </cell>
          <cell r="K27">
            <v>303170.21830000001</v>
          </cell>
          <cell r="L27">
            <v>308166.51610000001</v>
          </cell>
          <cell r="M27">
            <v>313315.31329999998</v>
          </cell>
          <cell r="N27">
            <v>318620.28460000001</v>
          </cell>
          <cell r="O27">
            <v>324084.62199999997</v>
          </cell>
          <cell r="P27">
            <v>329709.59159999999</v>
          </cell>
          <cell r="Q27">
            <v>335495.86619999999</v>
          </cell>
          <cell r="R27">
            <v>341444.30180000002</v>
          </cell>
          <cell r="S27">
            <v>347556.11109999998</v>
          </cell>
          <cell r="T27">
            <v>353832.68569999997</v>
          </cell>
          <cell r="U27">
            <v>360275.3002</v>
          </cell>
          <cell r="V27">
            <v>366751.44890000002</v>
          </cell>
          <cell r="W27">
            <v>373416.44400000002</v>
          </cell>
          <cell r="X27">
            <v>380266.14250000002</v>
          </cell>
          <cell r="Y27">
            <v>387295.6974</v>
          </cell>
          <cell r="Z27">
            <v>394501.00540000002</v>
          </cell>
          <cell r="AA27">
            <v>401488.49939999997</v>
          </cell>
          <cell r="AB27">
            <v>408519.27429999999</v>
          </cell>
          <cell r="AC27">
            <v>415604.7942</v>
          </cell>
          <cell r="AD27">
            <v>422751.08010000002</v>
          </cell>
          <cell r="AE27">
            <v>429962.66080000001</v>
          </cell>
          <cell r="AF27">
            <v>437242.4902</v>
          </cell>
          <cell r="AG27">
            <v>444591.66499999998</v>
          </cell>
          <cell r="AH27">
            <v>452009.36670000001</v>
          </cell>
          <cell r="AI27">
            <v>459493.05209999997</v>
          </cell>
          <cell r="AJ27">
            <v>467038.82929999998</v>
          </cell>
          <cell r="AK27">
            <v>474641.90610000002</v>
          </cell>
          <cell r="AL27">
            <v>482200.71990000003</v>
          </cell>
          <cell r="AM27">
            <v>489723.28720000002</v>
          </cell>
          <cell r="AN27">
            <v>497215.88780000003</v>
          </cell>
          <cell r="AO27">
            <v>504682.8296</v>
          </cell>
          <cell r="AP27">
            <v>512127.31670000002</v>
          </cell>
          <cell r="AQ27">
            <v>519551.89769999997</v>
          </cell>
          <cell r="AR27">
            <v>526958.63040000002</v>
          </cell>
          <cell r="AS27">
            <v>534349.14630000002</v>
          </cell>
          <cell r="AT27">
            <v>541724.72530000005</v>
          </cell>
          <cell r="AU27">
            <v>549086.41170000006</v>
          </cell>
          <cell r="AV27">
            <v>556443.96189999999</v>
          </cell>
          <cell r="AW27">
            <v>563797.19469999999</v>
          </cell>
          <cell r="AX27">
            <v>571146.38040000002</v>
          </cell>
          <cell r="AY27">
            <v>578492.4338</v>
          </cell>
          <cell r="AZ27">
            <v>585836.95050000004</v>
          </cell>
          <cell r="BA27">
            <v>593182.23160000006</v>
          </cell>
          <cell r="BB27">
            <v>600531.29299999995</v>
          </cell>
          <cell r="BC27">
            <v>607887.85179999995</v>
          </cell>
          <cell r="BD27">
            <v>615256.28870000003</v>
          </cell>
          <cell r="BE27">
            <v>622641.59030000004</v>
          </cell>
        </row>
        <row r="28">
          <cell r="B28">
            <v>6787.1423590000004</v>
          </cell>
          <cell r="C28">
            <v>6731.0286409999999</v>
          </cell>
          <cell r="D28">
            <v>6774.5537270000004</v>
          </cell>
          <cell r="E28">
            <v>6833.9475700000003</v>
          </cell>
          <cell r="F28">
            <v>6904.0307190000003</v>
          </cell>
          <cell r="G28">
            <v>6982.758358</v>
          </cell>
          <cell r="H28">
            <v>7064.5944369999997</v>
          </cell>
          <cell r="I28">
            <v>7150.9634720000004</v>
          </cell>
          <cell r="J28">
            <v>7241.2231309999997</v>
          </cell>
          <cell r="K28">
            <v>7334.6559699999998</v>
          </cell>
          <cell r="L28">
            <v>7437.4594520000001</v>
          </cell>
          <cell r="M28">
            <v>7537.1482880000003</v>
          </cell>
          <cell r="N28">
            <v>7637.4385039999997</v>
          </cell>
          <cell r="O28">
            <v>7738.365562</v>
          </cell>
          <cell r="P28">
            <v>7839.8184410000003</v>
          </cell>
          <cell r="Q28">
            <v>7941.728392</v>
          </cell>
          <cell r="R28">
            <v>8043.538963</v>
          </cell>
          <cell r="S28">
            <v>8145.7459150000004</v>
          </cell>
          <cell r="T28">
            <v>8248.4768270000004</v>
          </cell>
          <cell r="U28">
            <v>8351.8519550000001</v>
          </cell>
          <cell r="V28">
            <v>8450.9762009999995</v>
          </cell>
          <cell r="W28">
            <v>8554.3103100000008</v>
          </cell>
          <cell r="X28">
            <v>8659.2374970000001</v>
          </cell>
          <cell r="Y28">
            <v>8765.6278430000002</v>
          </cell>
          <cell r="Z28">
            <v>8873.5060300000005</v>
          </cell>
          <cell r="AA28">
            <v>8968.5633099999995</v>
          </cell>
          <cell r="AB28">
            <v>9068.1006140000009</v>
          </cell>
          <cell r="AC28">
            <v>9168.5805130000008</v>
          </cell>
          <cell r="AD28">
            <v>9270.105888</v>
          </cell>
          <cell r="AE28">
            <v>9372.9290870000004</v>
          </cell>
          <cell r="AF28">
            <v>9477.276801</v>
          </cell>
          <cell r="AG28">
            <v>9583.4391340000002</v>
          </cell>
          <cell r="AH28">
            <v>9691.4257589999997</v>
          </cell>
          <cell r="AI28">
            <v>9801.2864069999996</v>
          </cell>
          <cell r="AJ28">
            <v>9913.0411320000003</v>
          </cell>
          <cell r="AK28">
            <v>10026.68807</v>
          </cell>
          <cell r="AL28">
            <v>10139.876200000001</v>
          </cell>
          <cell r="AM28">
            <v>10253.931839999999</v>
          </cell>
          <cell r="AN28">
            <v>10369.12473</v>
          </cell>
          <cell r="AO28">
            <v>10485.61319</v>
          </cell>
          <cell r="AP28">
            <v>10603.51856</v>
          </cell>
          <cell r="AQ28">
            <v>10723.110849999999</v>
          </cell>
          <cell r="AR28">
            <v>10844.3249</v>
          </cell>
          <cell r="AS28">
            <v>10967.195170000001</v>
          </cell>
          <cell r="AT28">
            <v>11091.74404</v>
          </cell>
          <cell r="AU28">
            <v>11217.981040000001</v>
          </cell>
          <cell r="AV28">
            <v>11346.802299999999</v>
          </cell>
          <cell r="AW28">
            <v>11477.538629999999</v>
          </cell>
          <cell r="AX28">
            <v>11610.09772</v>
          </cell>
          <cell r="AY28">
            <v>11744.42894</v>
          </cell>
          <cell r="AZ28">
            <v>11880.49748</v>
          </cell>
          <cell r="BA28">
            <v>12018.649520000001</v>
          </cell>
          <cell r="BB28">
            <v>12158.581609999999</v>
          </cell>
          <cell r="BC28">
            <v>12300.25856</v>
          </cell>
          <cell r="BD28">
            <v>12443.67001</v>
          </cell>
          <cell r="BE28">
            <v>12588.81805</v>
          </cell>
        </row>
        <row r="29">
          <cell r="B29">
            <v>6796.2633040000001</v>
          </cell>
          <cell r="C29">
            <v>6750.4497110000002</v>
          </cell>
          <cell r="D29">
            <v>6805.1625739999999</v>
          </cell>
          <cell r="E29">
            <v>6876.291467</v>
          </cell>
          <cell r="F29">
            <v>6958.4047220000002</v>
          </cell>
          <cell r="G29">
            <v>7049.2835429999996</v>
          </cell>
          <cell r="H29">
            <v>7143.3640869999999</v>
          </cell>
          <cell r="I29">
            <v>7241.9061959999999</v>
          </cell>
          <cell r="J29">
            <v>7344.2095669999999</v>
          </cell>
          <cell r="K29">
            <v>7449.5269660000004</v>
          </cell>
          <cell r="L29">
            <v>7564.1708010000002</v>
          </cell>
          <cell r="M29">
            <v>7675.9867370000002</v>
          </cell>
          <cell r="N29">
            <v>7788.3272029999998</v>
          </cell>
          <cell r="O29">
            <v>7901.190286</v>
          </cell>
          <cell r="P29">
            <v>8014.4552389999999</v>
          </cell>
          <cell r="Q29">
            <v>8128.0568359999997</v>
          </cell>
          <cell r="R29">
            <v>8242.0042420000009</v>
          </cell>
          <cell r="S29">
            <v>8356.3663529999994</v>
          </cell>
          <cell r="T29">
            <v>8471.2524570000005</v>
          </cell>
          <cell r="U29">
            <v>8586.7958190000008</v>
          </cell>
          <cell r="V29">
            <v>8697.9632610000008</v>
          </cell>
          <cell r="W29">
            <v>8813.4965370000009</v>
          </cell>
          <cell r="X29">
            <v>8930.7274099999995</v>
          </cell>
          <cell r="Y29">
            <v>9049.5600689999992</v>
          </cell>
          <cell r="Z29">
            <v>9170.0545129999991</v>
          </cell>
          <cell r="AA29">
            <v>9277.3797090000007</v>
          </cell>
          <cell r="AB29">
            <v>9389.2696209999995</v>
          </cell>
          <cell r="AC29">
            <v>9502.2551619999995</v>
          </cell>
          <cell r="AD29">
            <v>9616.4894899999999</v>
          </cell>
          <cell r="AE29">
            <v>9732.2651239999996</v>
          </cell>
          <cell r="AF29">
            <v>9849.8394219999991</v>
          </cell>
          <cell r="AG29">
            <v>9969.4011620000001</v>
          </cell>
          <cell r="AH29">
            <v>10091.072539999999</v>
          </cell>
          <cell r="AI29">
            <v>10214.92087</v>
          </cell>
          <cell r="AJ29">
            <v>10340.9727</v>
          </cell>
          <cell r="AK29">
            <v>10469.226710000001</v>
          </cell>
          <cell r="AL29">
            <v>10596.07107</v>
          </cell>
          <cell r="AM29">
            <v>10723.813099999999</v>
          </cell>
          <cell r="AN29">
            <v>10852.821540000001</v>
          </cell>
          <cell r="AO29">
            <v>10983.30183</v>
          </cell>
          <cell r="AP29">
            <v>11115.408229999999</v>
          </cell>
          <cell r="AQ29">
            <v>11249.262350000001</v>
          </cell>
          <cell r="AR29">
            <v>11384.955260000001</v>
          </cell>
          <cell r="AS29">
            <v>11522.549419999999</v>
          </cell>
          <cell r="AT29">
            <v>11662.082539999999</v>
          </cell>
          <cell r="AU29">
            <v>11803.57286</v>
          </cell>
          <cell r="AV29">
            <v>11947.35003</v>
          </cell>
          <cell r="AW29">
            <v>12093.19757</v>
          </cell>
          <cell r="AX29">
            <v>12241.07251</v>
          </cell>
          <cell r="AY29">
            <v>12390.94752</v>
          </cell>
          <cell r="AZ29">
            <v>12542.803260000001</v>
          </cell>
          <cell r="BA29">
            <v>12696.62824</v>
          </cell>
          <cell r="BB29">
            <v>12852.419159999999</v>
          </cell>
          <cell r="BC29">
            <v>13010.18089</v>
          </cell>
          <cell r="BD29">
            <v>13169.925719999999</v>
          </cell>
          <cell r="BE29">
            <v>13331.67239</v>
          </cell>
        </row>
        <row r="30">
          <cell r="B30">
            <v>78081.961800000005</v>
          </cell>
          <cell r="C30">
            <v>77436.407470000006</v>
          </cell>
          <cell r="D30">
            <v>77937.137220000004</v>
          </cell>
          <cell r="E30">
            <v>78620.4274</v>
          </cell>
          <cell r="F30">
            <v>79426.691579999999</v>
          </cell>
          <cell r="G30">
            <v>80332.405379999997</v>
          </cell>
          <cell r="H30">
            <v>81273.8799</v>
          </cell>
          <cell r="I30">
            <v>82267.503339999996</v>
          </cell>
          <cell r="J30">
            <v>83305.886039999998</v>
          </cell>
          <cell r="K30">
            <v>84380.774260000006</v>
          </cell>
          <cell r="L30">
            <v>85563.466060000006</v>
          </cell>
          <cell r="M30">
            <v>86710.325729999997</v>
          </cell>
          <cell r="N30">
            <v>87864.103910000005</v>
          </cell>
          <cell r="O30">
            <v>89025.208580000006</v>
          </cell>
          <cell r="P30">
            <v>90192.362500000003</v>
          </cell>
          <cell r="Q30">
            <v>91364.77476</v>
          </cell>
          <cell r="R30">
            <v>92536.043709999998</v>
          </cell>
          <cell r="S30">
            <v>93711.872789999994</v>
          </cell>
          <cell r="T30">
            <v>94893.72971</v>
          </cell>
          <cell r="U30">
            <v>96082.997929999998</v>
          </cell>
          <cell r="V30">
            <v>97223.362349999996</v>
          </cell>
          <cell r="W30">
            <v>98412.158689999997</v>
          </cell>
          <cell r="X30">
            <v>99619.282420000003</v>
          </cell>
          <cell r="Y30">
            <v>100843.2389</v>
          </cell>
          <cell r="Z30">
            <v>102084.3121</v>
          </cell>
          <cell r="AA30">
            <v>103177.8885</v>
          </cell>
          <cell r="AB30">
            <v>104323.0049</v>
          </cell>
          <cell r="AC30">
            <v>105478.9653</v>
          </cell>
          <cell r="AD30">
            <v>106646.9532</v>
          </cell>
          <cell r="AE30">
            <v>107829.8719</v>
          </cell>
          <cell r="AF30">
            <v>109030.3291</v>
          </cell>
          <cell r="AG30">
            <v>110251.66250000001</v>
          </cell>
          <cell r="AH30">
            <v>111493.9832</v>
          </cell>
          <cell r="AI30">
            <v>112757.8634</v>
          </cell>
          <cell r="AJ30">
            <v>114043.5338</v>
          </cell>
          <cell r="AK30">
            <v>115350.973</v>
          </cell>
          <cell r="AL30">
            <v>116653.1339</v>
          </cell>
          <cell r="AM30">
            <v>117965.2749</v>
          </cell>
          <cell r="AN30">
            <v>119290.4993</v>
          </cell>
          <cell r="AO30">
            <v>120630.62850000001</v>
          </cell>
          <cell r="AP30">
            <v>121987.05839999999</v>
          </cell>
          <cell r="AQ30">
            <v>123362.8953</v>
          </cell>
          <cell r="AR30">
            <v>124757.3895</v>
          </cell>
          <cell r="AS30">
            <v>126170.9374</v>
          </cell>
          <cell r="AT30">
            <v>127603.7968</v>
          </cell>
          <cell r="AU30">
            <v>129056.077</v>
          </cell>
          <cell r="AV30">
            <v>130538.0876</v>
          </cell>
          <cell r="AW30">
            <v>132042.1299</v>
          </cell>
          <cell r="AX30">
            <v>133567.14189999999</v>
          </cell>
          <cell r="AY30">
            <v>135112.54120000001</v>
          </cell>
          <cell r="AZ30">
            <v>136677.92739999999</v>
          </cell>
          <cell r="BA30">
            <v>138267.28289999999</v>
          </cell>
          <cell r="BB30">
            <v>139877.11679999999</v>
          </cell>
          <cell r="BC30">
            <v>141507.02429999999</v>
          </cell>
          <cell r="BD30">
            <v>143156.88630000001</v>
          </cell>
          <cell r="BE30">
            <v>144826.72640000001</v>
          </cell>
        </row>
        <row r="31">
          <cell r="B31">
            <v>78186.892749999999</v>
          </cell>
          <cell r="C31">
            <v>77659.83511</v>
          </cell>
          <cell r="D31">
            <v>78289.273459999997</v>
          </cell>
          <cell r="E31">
            <v>79107.568289999996</v>
          </cell>
          <cell r="F31">
            <v>80052.231549999997</v>
          </cell>
          <cell r="G31">
            <v>81097.737340000007</v>
          </cell>
          <cell r="H31">
            <v>82180.077019999997</v>
          </cell>
          <cell r="I31">
            <v>83313.744290000002</v>
          </cell>
          <cell r="J31">
            <v>84490.6826</v>
          </cell>
          <cell r="K31">
            <v>85702.295490000004</v>
          </cell>
          <cell r="L31">
            <v>87021.203370000003</v>
          </cell>
          <cell r="M31">
            <v>88307.577990000005</v>
          </cell>
          <cell r="N31">
            <v>89599.987009999997</v>
          </cell>
          <cell r="O31">
            <v>90898.408410000004</v>
          </cell>
          <cell r="P31">
            <v>92201.453089999995</v>
          </cell>
          <cell r="Q31">
            <v>93508.370649999997</v>
          </cell>
          <cell r="R31">
            <v>94819.266529999994</v>
          </cell>
          <cell r="S31">
            <v>96134.933359999995</v>
          </cell>
          <cell r="T31">
            <v>97456.628400000001</v>
          </cell>
          <cell r="U31">
            <v>98785.884779999993</v>
          </cell>
          <cell r="V31">
            <v>100064.79889999999</v>
          </cell>
          <cell r="W31">
            <v>101393.93919999999</v>
          </cell>
          <cell r="X31">
            <v>102742.6094</v>
          </cell>
          <cell r="Y31">
            <v>104109.7072</v>
          </cell>
          <cell r="Z31">
            <v>105495.9228</v>
          </cell>
          <cell r="AA31">
            <v>106730.6342</v>
          </cell>
          <cell r="AB31">
            <v>108017.85980000001</v>
          </cell>
          <cell r="AC31">
            <v>109317.69</v>
          </cell>
          <cell r="AD31">
            <v>110631.88679999999</v>
          </cell>
          <cell r="AE31">
            <v>111963.8153</v>
          </cell>
          <cell r="AF31">
            <v>113316.43640000001</v>
          </cell>
          <cell r="AG31">
            <v>114691.9218</v>
          </cell>
          <cell r="AH31">
            <v>116091.6773</v>
          </cell>
          <cell r="AI31">
            <v>117516.4774</v>
          </cell>
          <cell r="AJ31">
            <v>118966.6272</v>
          </cell>
          <cell r="AK31">
            <v>120442.1119</v>
          </cell>
          <cell r="AL31">
            <v>121901.3796</v>
          </cell>
          <cell r="AM31">
            <v>123370.9742</v>
          </cell>
          <cell r="AN31">
            <v>124855.1381</v>
          </cell>
          <cell r="AO31">
            <v>126356.23480000001</v>
          </cell>
          <cell r="AP31">
            <v>127876.039</v>
          </cell>
          <cell r="AQ31">
            <v>129415.9495</v>
          </cell>
          <cell r="AR31">
            <v>130977.0143</v>
          </cell>
          <cell r="AS31">
            <v>132559.95170000001</v>
          </cell>
          <cell r="AT31">
            <v>134165.19579999999</v>
          </cell>
          <cell r="AU31">
            <v>135792.95619999999</v>
          </cell>
          <cell r="AV31">
            <v>137447.02549999999</v>
          </cell>
          <cell r="AW31">
            <v>139124.91310000001</v>
          </cell>
          <cell r="AX31">
            <v>140826.12469999999</v>
          </cell>
          <cell r="AY31">
            <v>142550.34589999999</v>
          </cell>
          <cell r="AZ31">
            <v>144297.3542</v>
          </cell>
          <cell r="BA31">
            <v>146067.01740000001</v>
          </cell>
          <cell r="BB31">
            <v>147859.29759999999</v>
          </cell>
          <cell r="BC31">
            <v>149674.2507</v>
          </cell>
          <cell r="BD31">
            <v>151512.0183</v>
          </cell>
          <cell r="BE31">
            <v>153372.81570000001</v>
          </cell>
        </row>
        <row r="32">
          <cell r="B32">
            <v>15421.000609999999</v>
          </cell>
          <cell r="C32">
            <v>14730.253710000001</v>
          </cell>
          <cell r="D32">
            <v>14947.753339999999</v>
          </cell>
          <cell r="E32">
            <v>15179.49129</v>
          </cell>
          <cell r="F32">
            <v>15419.810320000001</v>
          </cell>
          <cell r="G32">
            <v>15664.239079999999</v>
          </cell>
          <cell r="H32">
            <v>15893.74683</v>
          </cell>
          <cell r="I32">
            <v>16122.167289999999</v>
          </cell>
          <cell r="J32">
            <v>16348.56093</v>
          </cell>
          <cell r="K32">
            <v>16572.53959</v>
          </cell>
          <cell r="L32">
            <v>16819.745739999998</v>
          </cell>
          <cell r="M32">
            <v>17034.60209</v>
          </cell>
          <cell r="N32">
            <v>17247.373080000001</v>
          </cell>
          <cell r="O32">
            <v>17458.537209999999</v>
          </cell>
          <cell r="P32">
            <v>17668.592710000001</v>
          </cell>
          <cell r="Q32">
            <v>17878.070240000001</v>
          </cell>
          <cell r="R32">
            <v>18083.513309999998</v>
          </cell>
          <cell r="S32">
            <v>18289.685089999999</v>
          </cell>
          <cell r="T32">
            <v>18497.194240000001</v>
          </cell>
          <cell r="U32">
            <v>18706.622520000001</v>
          </cell>
          <cell r="V32">
            <v>18900.03282</v>
          </cell>
          <cell r="W32">
            <v>19115.317139999999</v>
          </cell>
          <cell r="X32">
            <v>19334.165779999999</v>
          </cell>
          <cell r="Y32">
            <v>19556.924070000001</v>
          </cell>
          <cell r="Z32">
            <v>19783.914700000001</v>
          </cell>
          <cell r="AA32">
            <v>19962.892609999999</v>
          </cell>
          <cell r="AB32">
            <v>20176.927380000001</v>
          </cell>
          <cell r="AC32">
            <v>20396.282169999999</v>
          </cell>
          <cell r="AD32">
            <v>20621.10007</v>
          </cell>
          <cell r="AE32">
            <v>20851.4774</v>
          </cell>
          <cell r="AF32">
            <v>21087.460599999999</v>
          </cell>
          <cell r="AG32">
            <v>21329.943080000001</v>
          </cell>
          <cell r="AH32">
            <v>21577.95982</v>
          </cell>
          <cell r="AI32">
            <v>21831.424719999999</v>
          </cell>
          <cell r="AJ32">
            <v>22090.227360000001</v>
          </cell>
          <cell r="AK32">
            <v>22354.241849999999</v>
          </cell>
          <cell r="AL32">
            <v>22618.778389999999</v>
          </cell>
          <cell r="AM32">
            <v>22888.09002</v>
          </cell>
          <cell r="AN32">
            <v>23162.105640000002</v>
          </cell>
          <cell r="AO32">
            <v>23440.747940000001</v>
          </cell>
          <cell r="AP32">
            <v>23723.942899999998</v>
          </cell>
          <cell r="AQ32">
            <v>24012.885269999999</v>
          </cell>
          <cell r="AR32">
            <v>24306.228709999999</v>
          </cell>
          <cell r="AS32">
            <v>24603.910510000002</v>
          </cell>
          <cell r="AT32">
            <v>24905.877229999998</v>
          </cell>
          <cell r="AU32">
            <v>25212.08397</v>
          </cell>
          <cell r="AV32">
            <v>25527.894219999998</v>
          </cell>
          <cell r="AW32">
            <v>25847.823100000001</v>
          </cell>
          <cell r="AX32">
            <v>26171.824960000002</v>
          </cell>
          <cell r="AY32">
            <v>26499.882750000001</v>
          </cell>
          <cell r="AZ32">
            <v>26832.002540000001</v>
          </cell>
          <cell r="BA32">
            <v>27170.893540000001</v>
          </cell>
          <cell r="BB32">
            <v>27513.882529999999</v>
          </cell>
          <cell r="BC32">
            <v>27861.008290000002</v>
          </cell>
          <cell r="BD32">
            <v>28212.327140000001</v>
          </cell>
          <cell r="BE32">
            <v>28567.90828</v>
          </cell>
        </row>
        <row r="33">
          <cell r="B33">
            <v>15488.613649999999</v>
          </cell>
          <cell r="C33">
            <v>14858.014349999999</v>
          </cell>
          <cell r="D33">
            <v>15134.072260000001</v>
          </cell>
          <cell r="E33">
            <v>15422.82876</v>
          </cell>
          <cell r="F33">
            <v>15718.765799999999</v>
          </cell>
          <cell r="G33">
            <v>16017.60102</v>
          </cell>
          <cell r="H33">
            <v>16301.158299999999</v>
          </cell>
          <cell r="I33">
            <v>16582.719219999999</v>
          </cell>
          <cell r="J33">
            <v>16861.566419999999</v>
          </cell>
          <cell r="K33">
            <v>17137.533759999998</v>
          </cell>
          <cell r="L33">
            <v>17437.430219999998</v>
          </cell>
          <cell r="M33">
            <v>17708.097030000001</v>
          </cell>
          <cell r="N33">
            <v>17976.68088</v>
          </cell>
          <cell r="O33">
            <v>18243.840939999998</v>
          </cell>
          <cell r="P33">
            <v>18510.26672</v>
          </cell>
          <cell r="Q33">
            <v>18776.683679999998</v>
          </cell>
          <cell r="R33">
            <v>19043.846229999999</v>
          </cell>
          <cell r="S33">
            <v>19312.522939999999</v>
          </cell>
          <cell r="T33">
            <v>19583.477500000001</v>
          </cell>
          <cell r="U33">
            <v>19857.449659999998</v>
          </cell>
          <cell r="V33">
            <v>20115.457760000001</v>
          </cell>
          <cell r="W33">
            <v>20397.70361</v>
          </cell>
          <cell r="X33">
            <v>20685.044760000001</v>
          </cell>
          <cell r="Y33">
            <v>20977.935689999998</v>
          </cell>
          <cell r="Z33">
            <v>21276.790290000001</v>
          </cell>
          <cell r="AA33">
            <v>21525.2961</v>
          </cell>
          <cell r="AB33">
            <v>21810.704570000002</v>
          </cell>
          <cell r="AC33">
            <v>22103.2772</v>
          </cell>
          <cell r="AD33">
            <v>22403.203409999998</v>
          </cell>
          <cell r="AE33">
            <v>22710.607940000002</v>
          </cell>
          <cell r="AF33">
            <v>23025.548760000001</v>
          </cell>
          <cell r="AG33">
            <v>23348.020570000001</v>
          </cell>
          <cell r="AH33">
            <v>23677.961749999999</v>
          </cell>
          <cell r="AI33">
            <v>24015.264609999998</v>
          </cell>
          <cell r="AJ33">
            <v>24359.787710000001</v>
          </cell>
          <cell r="AK33">
            <v>24711.368880000002</v>
          </cell>
          <cell r="AL33">
            <v>25056.077440000001</v>
          </cell>
          <cell r="AM33">
            <v>25407.433130000001</v>
          </cell>
          <cell r="AN33">
            <v>25765.37343</v>
          </cell>
          <cell r="AO33">
            <v>26129.80587</v>
          </cell>
          <cell r="AP33">
            <v>26500.62773</v>
          </cell>
          <cell r="AQ33">
            <v>26877.734919999999</v>
          </cell>
          <cell r="AR33">
            <v>27261.02592</v>
          </cell>
          <cell r="AS33">
            <v>27650.403780000001</v>
          </cell>
          <cell r="AT33">
            <v>28045.777760000001</v>
          </cell>
          <cell r="AU33">
            <v>28447.06522</v>
          </cell>
          <cell r="AV33">
            <v>28855.4509</v>
          </cell>
          <cell r="AW33">
            <v>29269.62442</v>
          </cell>
          <cell r="AX33">
            <v>29689.531599999998</v>
          </cell>
          <cell r="AY33">
            <v>30115.138210000001</v>
          </cell>
          <cell r="AZ33">
            <v>30546.428749999999</v>
          </cell>
          <cell r="BA33">
            <v>30983.4054</v>
          </cell>
          <cell r="BB33">
            <v>31426.086640000001</v>
          </cell>
          <cell r="BC33">
            <v>31874.505590000001</v>
          </cell>
          <cell r="BD33">
            <v>32328.70809</v>
          </cell>
          <cell r="BE33">
            <v>32788.75071</v>
          </cell>
        </row>
        <row r="34">
          <cell r="B34">
            <v>20644.11046</v>
          </cell>
          <cell r="C34">
            <v>20220.457859999999</v>
          </cell>
          <cell r="D34">
            <v>20443.293160000001</v>
          </cell>
          <cell r="E34">
            <v>20707.114239999999</v>
          </cell>
          <cell r="F34">
            <v>21002.45667</v>
          </cell>
          <cell r="G34">
            <v>21325.762760000001</v>
          </cell>
          <cell r="H34">
            <v>21656.36348</v>
          </cell>
          <cell r="I34">
            <v>22003.969700000001</v>
          </cell>
          <cell r="J34">
            <v>22366.725450000002</v>
          </cell>
          <cell r="K34">
            <v>22742.319090000001</v>
          </cell>
          <cell r="L34">
            <v>23158.318159999999</v>
          </cell>
          <cell r="M34">
            <v>23558.529320000001</v>
          </cell>
          <cell r="N34">
            <v>23962.874</v>
          </cell>
          <cell r="O34">
            <v>24370.80976</v>
          </cell>
          <cell r="P34">
            <v>24781.798180000002</v>
          </cell>
          <cell r="Q34">
            <v>25195.609179999999</v>
          </cell>
          <cell r="R34">
            <v>25609.103360000001</v>
          </cell>
          <cell r="S34">
            <v>26025.43316</v>
          </cell>
          <cell r="T34">
            <v>26445.089360000002</v>
          </cell>
          <cell r="U34">
            <v>26868.598180000001</v>
          </cell>
          <cell r="V34">
            <v>27274.140029999999</v>
          </cell>
          <cell r="W34">
            <v>27700.168549999999</v>
          </cell>
          <cell r="X34">
            <v>28133.524420000002</v>
          </cell>
          <cell r="Y34">
            <v>28574.244549999999</v>
          </cell>
          <cell r="Z34">
            <v>29022.593430000001</v>
          </cell>
          <cell r="AA34">
            <v>29414.155770000001</v>
          </cell>
          <cell r="AB34">
            <v>29828.797559999999</v>
          </cell>
          <cell r="AC34">
            <v>30247.24624</v>
          </cell>
          <cell r="AD34">
            <v>30670.79509</v>
          </cell>
          <cell r="AE34">
            <v>31100.858479999999</v>
          </cell>
          <cell r="AF34">
            <v>31538.615409999999</v>
          </cell>
          <cell r="AG34">
            <v>31985.66476</v>
          </cell>
          <cell r="AH34">
            <v>32441.971659999999</v>
          </cell>
          <cell r="AI34">
            <v>32907.889539999996</v>
          </cell>
          <cell r="AJ34">
            <v>33383.615080000003</v>
          </cell>
          <cell r="AK34">
            <v>33869.239150000001</v>
          </cell>
          <cell r="AL34">
            <v>34355.440730000002</v>
          </cell>
          <cell r="AM34">
            <v>34847.00187</v>
          </cell>
          <cell r="AN34">
            <v>35345.009239999999</v>
          </cell>
          <cell r="AO34">
            <v>35850.2808</v>
          </cell>
          <cell r="AP34">
            <v>36363.510479999997</v>
          </cell>
          <cell r="AQ34">
            <v>36886.301729999999</v>
          </cell>
          <cell r="AR34">
            <v>37418.225870000002</v>
          </cell>
          <cell r="AS34">
            <v>37959.585299999999</v>
          </cell>
          <cell r="AT34">
            <v>38510.586020000002</v>
          </cell>
          <cell r="AU34">
            <v>39071.356820000001</v>
          </cell>
          <cell r="AV34">
            <v>39646.900509999999</v>
          </cell>
          <cell r="AW34">
            <v>40233.338129999996</v>
          </cell>
          <cell r="AX34">
            <v>40830.465470000003</v>
          </cell>
          <cell r="AY34">
            <v>41438.134440000002</v>
          </cell>
          <cell r="AZ34">
            <v>42056.235309999996</v>
          </cell>
          <cell r="BA34">
            <v>42686.895989999997</v>
          </cell>
          <cell r="BB34">
            <v>43328.228109999996</v>
          </cell>
          <cell r="BC34">
            <v>43980.183590000001</v>
          </cell>
          <cell r="BD34">
            <v>44642.771950000002</v>
          </cell>
          <cell r="BE34">
            <v>45316.048540000003</v>
          </cell>
        </row>
        <row r="35">
          <cell r="B35">
            <v>20693.635730000002</v>
          </cell>
          <cell r="C35">
            <v>20323.156920000001</v>
          </cell>
          <cell r="D35">
            <v>20603.541700000002</v>
          </cell>
          <cell r="E35">
            <v>20927.597659999999</v>
          </cell>
          <cell r="F35">
            <v>21284.759269999999</v>
          </cell>
          <cell r="G35">
            <v>21670.753560000001</v>
          </cell>
          <cell r="H35">
            <v>22064.935399999998</v>
          </cell>
          <cell r="I35">
            <v>22476.142970000001</v>
          </cell>
          <cell r="J35">
            <v>22902.280139999999</v>
          </cell>
          <cell r="K35">
            <v>23340.89085</v>
          </cell>
          <cell r="L35">
            <v>23820.29999</v>
          </cell>
          <cell r="M35">
            <v>24286.04378</v>
          </cell>
          <cell r="N35">
            <v>24755.742470000001</v>
          </cell>
          <cell r="O35">
            <v>25228.775030000001</v>
          </cell>
          <cell r="P35">
            <v>25704.581460000001</v>
          </cell>
          <cell r="Q35">
            <v>26182.951079999999</v>
          </cell>
          <cell r="R35">
            <v>26664.002909999999</v>
          </cell>
          <cell r="S35">
            <v>27148.099200000001</v>
          </cell>
          <cell r="T35">
            <v>27635.75863</v>
          </cell>
          <cell r="U35">
            <v>28127.5887</v>
          </cell>
          <cell r="V35">
            <v>28600.796419999999</v>
          </cell>
          <cell r="W35">
            <v>29095.688300000002</v>
          </cell>
          <cell r="X35">
            <v>29598.626960000001</v>
          </cell>
          <cell r="Y35">
            <v>30109.823410000001</v>
          </cell>
          <cell r="Z35">
            <v>30629.71315</v>
          </cell>
          <cell r="AA35">
            <v>31090.32919</v>
          </cell>
          <cell r="AB35">
            <v>31574.700830000002</v>
          </cell>
          <cell r="AC35">
            <v>32063.770540000001</v>
          </cell>
          <cell r="AD35">
            <v>32559.08368</v>
          </cell>
          <cell r="AE35">
            <v>33062.281450000002</v>
          </cell>
          <cell r="AF35">
            <v>33574.730730000003</v>
          </cell>
          <cell r="AG35">
            <v>34097.455269999999</v>
          </cell>
          <cell r="AH35">
            <v>34631.163059999999</v>
          </cell>
          <cell r="AI35">
            <v>35176.305930000002</v>
          </cell>
          <cell r="AJ35">
            <v>35733.145839999997</v>
          </cell>
          <cell r="AK35">
            <v>36301.815000000002</v>
          </cell>
          <cell r="AL35">
            <v>36865.477319999998</v>
          </cell>
          <cell r="AM35">
            <v>37435.315459999998</v>
          </cell>
          <cell r="AN35">
            <v>38012.663220000002</v>
          </cell>
          <cell r="AO35">
            <v>38598.545749999997</v>
          </cell>
          <cell r="AP35">
            <v>39193.847459999997</v>
          </cell>
          <cell r="AQ35">
            <v>39799.313959999999</v>
          </cell>
          <cell r="AR35">
            <v>40415.538979999998</v>
          </cell>
          <cell r="AS35">
            <v>41042.966489999999</v>
          </cell>
          <cell r="AT35">
            <v>41681.90857</v>
          </cell>
          <cell r="AU35">
            <v>42332.572370000002</v>
          </cell>
          <cell r="AV35">
            <v>42996.652329999997</v>
          </cell>
          <cell r="AW35">
            <v>43673.208579999999</v>
          </cell>
          <cell r="AX35">
            <v>44362.178090000001</v>
          </cell>
          <cell r="AY35">
            <v>45063.52276</v>
          </cell>
          <cell r="AZ35">
            <v>45777.227789999997</v>
          </cell>
          <cell r="BA35">
            <v>46503.309930000003</v>
          </cell>
          <cell r="BB35">
            <v>47241.823069999999</v>
          </cell>
          <cell r="BC35">
            <v>47992.859329999999</v>
          </cell>
          <cell r="BD35">
            <v>48756.546730000002</v>
          </cell>
          <cell r="BE35">
            <v>49533.044759999997</v>
          </cell>
        </row>
        <row r="36">
          <cell r="B36">
            <v>2017336.723</v>
          </cell>
          <cell r="C36">
            <v>2006162.254</v>
          </cell>
          <cell r="D36">
            <v>2019747.4680000001</v>
          </cell>
          <cell r="E36">
            <v>2039000.0490000001</v>
          </cell>
          <cell r="F36">
            <v>2062118.7660000001</v>
          </cell>
          <cell r="G36">
            <v>2088328.6640000001</v>
          </cell>
          <cell r="H36">
            <v>2115857.3489999999</v>
          </cell>
          <cell r="I36">
            <v>2144999.0129999998</v>
          </cell>
          <cell r="J36">
            <v>2175576.5959999999</v>
          </cell>
          <cell r="K36">
            <v>2207391.2760000001</v>
          </cell>
          <cell r="L36">
            <v>2242383.1940000001</v>
          </cell>
          <cell r="M36">
            <v>2276927.679</v>
          </cell>
          <cell r="N36">
            <v>2311880.6630000002</v>
          </cell>
          <cell r="O36">
            <v>2347242.7540000002</v>
          </cell>
          <cell r="P36">
            <v>2382975.11</v>
          </cell>
          <cell r="Q36">
            <v>2419051.2609999999</v>
          </cell>
          <cell r="R36">
            <v>2455315.548</v>
          </cell>
          <cell r="S36">
            <v>2491879.5610000002</v>
          </cell>
          <cell r="T36">
            <v>2528774.3859999999</v>
          </cell>
          <cell r="U36">
            <v>2566027.889</v>
          </cell>
          <cell r="V36">
            <v>2602096.2599999998</v>
          </cell>
          <cell r="W36">
            <v>2639442.15</v>
          </cell>
          <cell r="X36">
            <v>2677435.7570000002</v>
          </cell>
          <cell r="Y36">
            <v>2716028.77</v>
          </cell>
          <cell r="Z36">
            <v>2755214.7349999999</v>
          </cell>
          <cell r="AA36">
            <v>2790477.79</v>
          </cell>
          <cell r="AB36">
            <v>2826729.18</v>
          </cell>
          <cell r="AC36">
            <v>2863205.7340000002</v>
          </cell>
          <cell r="AD36">
            <v>2899976.8020000001</v>
          </cell>
          <cell r="AE36">
            <v>2937144.932</v>
          </cell>
          <cell r="AF36">
            <v>2974799.1379999998</v>
          </cell>
          <cell r="AG36">
            <v>3013038.5</v>
          </cell>
          <cell r="AH36">
            <v>3051883.8659999999</v>
          </cell>
          <cell r="AI36">
            <v>3091357.7439999999</v>
          </cell>
          <cell r="AJ36">
            <v>3131471.466</v>
          </cell>
          <cell r="AK36">
            <v>3172228.6159999999</v>
          </cell>
          <cell r="AL36">
            <v>3212837.409</v>
          </cell>
          <cell r="AM36">
            <v>3253671.5189999999</v>
          </cell>
          <cell r="AN36">
            <v>3294836.5380000002</v>
          </cell>
          <cell r="AO36">
            <v>3336405.0120000001</v>
          </cell>
          <cell r="AP36">
            <v>3378436.04</v>
          </cell>
          <cell r="AQ36">
            <v>3421025.1030000001</v>
          </cell>
          <cell r="AR36">
            <v>3464178.0890000002</v>
          </cell>
          <cell r="AS36">
            <v>3507917.5589999999</v>
          </cell>
          <cell r="AT36">
            <v>3552259.352</v>
          </cell>
          <cell r="AU36">
            <v>3597213.0630000001</v>
          </cell>
          <cell r="AV36">
            <v>3643040.7719999999</v>
          </cell>
          <cell r="AW36">
            <v>3689584.27</v>
          </cell>
          <cell r="AX36">
            <v>3736814.4509999999</v>
          </cell>
          <cell r="AY36">
            <v>3784714.0079999999</v>
          </cell>
          <cell r="AZ36">
            <v>3833270.844</v>
          </cell>
          <cell r="BA36">
            <v>3882577.1469999999</v>
          </cell>
          <cell r="BB36">
            <v>3932561.0809999998</v>
          </cell>
          <cell r="BC36">
            <v>3983210.9569999999</v>
          </cell>
          <cell r="BD36">
            <v>4034522.878</v>
          </cell>
          <cell r="BE36">
            <v>4086497.3259999999</v>
          </cell>
        </row>
        <row r="37">
          <cell r="B37">
            <v>2019902.0560000001</v>
          </cell>
          <cell r="C37">
            <v>2011779.466</v>
          </cell>
          <cell r="D37">
            <v>2028795.6850000001</v>
          </cell>
          <cell r="E37">
            <v>2051742.672</v>
          </cell>
          <cell r="F37">
            <v>2078730.8729999999</v>
          </cell>
          <cell r="G37">
            <v>2108922.787</v>
          </cell>
          <cell r="H37">
            <v>2140525.0869999998</v>
          </cell>
          <cell r="I37">
            <v>2173780.42</v>
          </cell>
          <cell r="J37">
            <v>2208488.2220000001</v>
          </cell>
          <cell r="K37">
            <v>2244435.2080000001</v>
          </cell>
          <cell r="L37">
            <v>2283584.9720000001</v>
          </cell>
          <cell r="M37">
            <v>2322395.5329999998</v>
          </cell>
          <cell r="N37">
            <v>2361628.591</v>
          </cell>
          <cell r="O37">
            <v>2401263.6379999998</v>
          </cell>
          <cell r="P37">
            <v>2441248.7009999999</v>
          </cell>
          <cell r="Q37">
            <v>2481549.0090000001</v>
          </cell>
          <cell r="R37">
            <v>2522152.86</v>
          </cell>
          <cell r="S37">
            <v>2563067.0610000002</v>
          </cell>
          <cell r="T37">
            <v>2604310.7510000002</v>
          </cell>
          <cell r="U37">
            <v>2645910.23</v>
          </cell>
          <cell r="V37">
            <v>2686276.713</v>
          </cell>
          <cell r="W37">
            <v>2727946.071</v>
          </cell>
          <cell r="X37">
            <v>2770278.574</v>
          </cell>
          <cell r="Y37">
            <v>2813235.3560000001</v>
          </cell>
          <cell r="Z37">
            <v>2856820.1290000002</v>
          </cell>
          <cell r="AA37">
            <v>2896361.59</v>
          </cell>
          <cell r="AB37">
            <v>2936882.0389999999</v>
          </cell>
          <cell r="AC37">
            <v>2977641.4530000002</v>
          </cell>
          <cell r="AD37">
            <v>3018728.1359999999</v>
          </cell>
          <cell r="AE37">
            <v>3060260.5649999999</v>
          </cell>
          <cell r="AF37">
            <v>3102340.216</v>
          </cell>
          <cell r="AG37">
            <v>3145042.2340000002</v>
          </cell>
          <cell r="AH37">
            <v>3188416.9440000001</v>
          </cell>
          <cell r="AI37">
            <v>3232494.4350000001</v>
          </cell>
          <cell r="AJ37">
            <v>3277290.05</v>
          </cell>
          <cell r="AK37">
            <v>3322809.372</v>
          </cell>
          <cell r="AL37">
            <v>3367917.23</v>
          </cell>
          <cell r="AM37">
            <v>3413217.247</v>
          </cell>
          <cell r="AN37">
            <v>3458850.7119999998</v>
          </cell>
          <cell r="AO37">
            <v>3504910.9959999998</v>
          </cell>
          <cell r="AP37">
            <v>3551473.139</v>
          </cell>
          <cell r="AQ37">
            <v>3598598.4759999998</v>
          </cell>
          <cell r="AR37">
            <v>3646335.02</v>
          </cell>
          <cell r="AS37">
            <v>3694718.156</v>
          </cell>
          <cell r="AT37">
            <v>3743772.267</v>
          </cell>
          <cell r="AU37">
            <v>3793512.8229999999</v>
          </cell>
          <cell r="AV37">
            <v>3844051.622</v>
          </cell>
          <cell r="AW37">
            <v>3895337.9040000001</v>
          </cell>
          <cell r="AX37">
            <v>3947361.1179999998</v>
          </cell>
          <cell r="AY37">
            <v>4000114.7850000001</v>
          </cell>
          <cell r="AZ37">
            <v>4053594.8640000001</v>
          </cell>
          <cell r="BA37">
            <v>4107799.9249999998</v>
          </cell>
          <cell r="BB37">
            <v>4162731.3730000001</v>
          </cell>
          <cell r="BC37">
            <v>4218393.4189999998</v>
          </cell>
          <cell r="BD37">
            <v>4274792.8260000004</v>
          </cell>
          <cell r="BE37">
            <v>4331938.5180000002</v>
          </cell>
        </row>
        <row r="38">
          <cell r="B38">
            <v>540848.44759999996</v>
          </cell>
          <cell r="C38">
            <v>546903.88659999997</v>
          </cell>
          <cell r="D38">
            <v>554614.48300000001</v>
          </cell>
          <cell r="E38">
            <v>562784.11800000002</v>
          </cell>
          <cell r="F38">
            <v>571332.93130000005</v>
          </cell>
          <cell r="G38">
            <v>580222.55559999996</v>
          </cell>
          <cell r="H38">
            <v>588909.80530000001</v>
          </cell>
          <cell r="I38">
            <v>597823.54989999998</v>
          </cell>
          <cell r="J38">
            <v>606949.05619999999</v>
          </cell>
          <cell r="K38">
            <v>616270.70319999999</v>
          </cell>
          <cell r="L38">
            <v>626662.31480000005</v>
          </cell>
          <cell r="M38">
            <v>636409.15029999998</v>
          </cell>
          <cell r="N38">
            <v>646297.70819999999</v>
          </cell>
          <cell r="O38">
            <v>656330.22160000005</v>
          </cell>
          <cell r="P38">
            <v>666505.22860000003</v>
          </cell>
          <cell r="Q38">
            <v>676822.45380000002</v>
          </cell>
          <cell r="R38">
            <v>687275.63199999998</v>
          </cell>
          <cell r="S38">
            <v>697871.66780000005</v>
          </cell>
          <cell r="T38">
            <v>708614.29570000002</v>
          </cell>
          <cell r="U38">
            <v>719507.13470000005</v>
          </cell>
          <cell r="V38">
            <v>729892.76500000001</v>
          </cell>
          <cell r="W38">
            <v>741038.71620000002</v>
          </cell>
          <cell r="X38">
            <v>752359.80689999997</v>
          </cell>
          <cell r="Y38">
            <v>763854.17590000003</v>
          </cell>
          <cell r="Z38">
            <v>775523.79929999996</v>
          </cell>
          <cell r="AA38">
            <v>785457.41520000005</v>
          </cell>
          <cell r="AB38">
            <v>796410.36239999998</v>
          </cell>
          <cell r="AC38">
            <v>807495.55949999997</v>
          </cell>
          <cell r="AD38">
            <v>818718.48270000005</v>
          </cell>
          <cell r="AE38">
            <v>830089.00910000002</v>
          </cell>
          <cell r="AF38">
            <v>841616.08920000005</v>
          </cell>
          <cell r="AG38">
            <v>853308.46829999995</v>
          </cell>
          <cell r="AH38">
            <v>865170.38879999996</v>
          </cell>
          <cell r="AI38">
            <v>877205.49840000004</v>
          </cell>
          <cell r="AJ38">
            <v>889416.55559999996</v>
          </cell>
          <cell r="AK38">
            <v>901805.76060000004</v>
          </cell>
          <cell r="AL38">
            <v>913925.12029999995</v>
          </cell>
          <cell r="AM38">
            <v>926186.18759999995</v>
          </cell>
          <cell r="AN38">
            <v>938598.47219999996</v>
          </cell>
          <cell r="AO38">
            <v>951168.67680000002</v>
          </cell>
          <cell r="AP38">
            <v>963902.88760000002</v>
          </cell>
          <cell r="AQ38">
            <v>976809.04330000002</v>
          </cell>
          <cell r="AR38">
            <v>989890.56830000004</v>
          </cell>
          <cell r="AS38">
            <v>1003151.241</v>
          </cell>
          <cell r="AT38">
            <v>1016594.245</v>
          </cell>
          <cell r="AU38">
            <v>1030222.247</v>
          </cell>
          <cell r="AV38">
            <v>1044087.849</v>
          </cell>
          <cell r="AW38">
            <v>1058150.3330000001</v>
          </cell>
          <cell r="AX38">
            <v>1072409.852</v>
          </cell>
          <cell r="AY38">
            <v>1086867.253</v>
          </cell>
          <cell r="AZ38">
            <v>1101523.6910000001</v>
          </cell>
          <cell r="BA38">
            <v>1116385.727</v>
          </cell>
          <cell r="BB38">
            <v>1131452.105</v>
          </cell>
          <cell r="BC38">
            <v>1146724.2150000001</v>
          </cell>
          <cell r="BD38">
            <v>1162203.929</v>
          </cell>
          <cell r="BE38">
            <v>1177893.4310000001</v>
          </cell>
        </row>
        <row r="39">
          <cell r="B39">
            <v>540981.04669999995</v>
          </cell>
          <cell r="C39">
            <v>547203.34979999997</v>
          </cell>
          <cell r="D39">
            <v>555107.86410000001</v>
          </cell>
          <cell r="E39">
            <v>563490.25029999996</v>
          </cell>
          <cell r="F39">
            <v>572264.14839999995</v>
          </cell>
          <cell r="G39">
            <v>581386.49</v>
          </cell>
          <cell r="H39">
            <v>590311.9277</v>
          </cell>
          <cell r="I39">
            <v>599466.08799999999</v>
          </cell>
          <cell r="J39">
            <v>608832.52670000005</v>
          </cell>
          <cell r="K39">
            <v>618394.53119999997</v>
          </cell>
          <cell r="L39">
            <v>629026.79689999996</v>
          </cell>
          <cell r="M39">
            <v>639018.68759999995</v>
          </cell>
          <cell r="N39">
            <v>649152.23800000001</v>
          </cell>
          <cell r="O39">
            <v>659428.27450000006</v>
          </cell>
          <cell r="P39">
            <v>669844.31929999997</v>
          </cell>
          <cell r="Q39">
            <v>680399.37690000003</v>
          </cell>
          <cell r="R39">
            <v>691094.27610000002</v>
          </cell>
          <cell r="S39">
            <v>701931.19920000003</v>
          </cell>
          <cell r="T39">
            <v>712913.16639999999</v>
          </cell>
          <cell r="U39">
            <v>724043.65639999998</v>
          </cell>
          <cell r="V39">
            <v>734662.94889999996</v>
          </cell>
          <cell r="W39">
            <v>746042.11719999998</v>
          </cell>
          <cell r="X39">
            <v>757595.80590000004</v>
          </cell>
          <cell r="Y39">
            <v>769322.82940000005</v>
          </cell>
          <cell r="Z39">
            <v>781225.89020000002</v>
          </cell>
          <cell r="AA39">
            <v>791386.05390000006</v>
          </cell>
          <cell r="AB39">
            <v>802563.65330000001</v>
          </cell>
          <cell r="AC39">
            <v>813873.07109999994</v>
          </cell>
          <cell r="AD39">
            <v>825321.07189999998</v>
          </cell>
          <cell r="AE39">
            <v>836918.679</v>
          </cell>
          <cell r="AF39">
            <v>848675.76659999997</v>
          </cell>
          <cell r="AG39">
            <v>860600.09499999997</v>
          </cell>
          <cell r="AH39">
            <v>872697.43339999998</v>
          </cell>
          <cell r="AI39">
            <v>884971.97</v>
          </cell>
          <cell r="AJ39">
            <v>897426.78859999997</v>
          </cell>
          <cell r="AK39">
            <v>910064.28319999995</v>
          </cell>
          <cell r="AL39">
            <v>922419.08070000005</v>
          </cell>
          <cell r="AM39">
            <v>934912.88840000005</v>
          </cell>
          <cell r="AN39">
            <v>947557.29689999996</v>
          </cell>
          <cell r="AO39">
            <v>960360.40769999998</v>
          </cell>
          <cell r="AP39">
            <v>973329.47010000004</v>
          </cell>
          <cell r="AQ39">
            <v>986470.99129999999</v>
          </cell>
          <cell r="AR39">
            <v>999790.57380000001</v>
          </cell>
          <cell r="AS39">
            <v>1013292.87</v>
          </cell>
          <cell r="AT39">
            <v>1026981.675</v>
          </cell>
          <cell r="AU39">
            <v>1040860.083</v>
          </cell>
          <cell r="AV39">
            <v>1054973.112</v>
          </cell>
          <cell r="AW39">
            <v>1069284.872</v>
          </cell>
          <cell r="AX39">
            <v>1083796.615</v>
          </cell>
          <cell r="AY39">
            <v>1098509.906</v>
          </cell>
          <cell r="AZ39">
            <v>1113426.469</v>
          </cell>
          <cell r="BA39">
            <v>1128548.219</v>
          </cell>
          <cell r="BB39">
            <v>1143877.2890000001</v>
          </cell>
          <cell r="BC39">
            <v>1159416.0419999999</v>
          </cell>
          <cell r="BD39">
            <v>1175167.0519999999</v>
          </cell>
          <cell r="BE39">
            <v>1191133.0730000001</v>
          </cell>
        </row>
        <row r="40">
          <cell r="B40">
            <v>4217.7196270000004</v>
          </cell>
          <cell r="C40">
            <v>4151.9961059999996</v>
          </cell>
          <cell r="D40">
            <v>4173.5916999999999</v>
          </cell>
          <cell r="E40">
            <v>4212.2116480000004</v>
          </cell>
          <cell r="F40">
            <v>4260.1234219999997</v>
          </cell>
          <cell r="G40">
            <v>4314.624847</v>
          </cell>
          <cell r="H40">
            <v>4371.4289509999999</v>
          </cell>
          <cell r="I40">
            <v>4431.1235539999998</v>
          </cell>
          <cell r="J40">
            <v>4493.2059230000004</v>
          </cell>
          <cell r="K40">
            <v>4557.1612109999996</v>
          </cell>
          <cell r="L40">
            <v>4627.0587960000003</v>
          </cell>
          <cell r="M40">
            <v>4694.6880799999999</v>
          </cell>
          <cell r="N40">
            <v>4762.38771</v>
          </cell>
          <cell r="O40">
            <v>4830.313768</v>
          </cell>
          <cell r="P40">
            <v>4898.4547279999997</v>
          </cell>
          <cell r="Q40">
            <v>4966.8100160000004</v>
          </cell>
          <cell r="R40">
            <v>5034.9506899999997</v>
          </cell>
          <cell r="S40">
            <v>5103.3400629999996</v>
          </cell>
          <cell r="T40">
            <v>5172.1326179999996</v>
          </cell>
          <cell r="U40">
            <v>5241.4603900000002</v>
          </cell>
          <cell r="V40">
            <v>5308.1501029999999</v>
          </cell>
          <cell r="W40">
            <v>5377.72516</v>
          </cell>
          <cell r="X40">
            <v>5448.6677309999995</v>
          </cell>
          <cell r="Y40">
            <v>5520.8630880000001</v>
          </cell>
          <cell r="Z40">
            <v>5594.3363390000004</v>
          </cell>
          <cell r="AA40">
            <v>5659.6982109999999</v>
          </cell>
          <cell r="AB40">
            <v>5728.1114219999999</v>
          </cell>
          <cell r="AC40">
            <v>5797.5886039999996</v>
          </cell>
          <cell r="AD40">
            <v>5868.1250680000003</v>
          </cell>
          <cell r="AE40">
            <v>5939.8588760000002</v>
          </cell>
          <cell r="AF40">
            <v>6012.9223270000002</v>
          </cell>
          <cell r="AG40">
            <v>6087.5157140000001</v>
          </cell>
          <cell r="AH40">
            <v>6163.6111140000003</v>
          </cell>
          <cell r="AI40">
            <v>6241.2200869999997</v>
          </cell>
          <cell r="AJ40">
            <v>6320.3365009999998</v>
          </cell>
          <cell r="AK40">
            <v>6400.9389849999998</v>
          </cell>
          <cell r="AL40">
            <v>6481.6671800000004</v>
          </cell>
          <cell r="AM40">
            <v>6563.1255030000002</v>
          </cell>
          <cell r="AN40">
            <v>6645.4817309999999</v>
          </cell>
          <cell r="AO40">
            <v>6728.825769</v>
          </cell>
          <cell r="AP40">
            <v>6813.2205819999999</v>
          </cell>
          <cell r="AQ40">
            <v>6898.8612320000002</v>
          </cell>
          <cell r="AR40">
            <v>6985.6634240000003</v>
          </cell>
          <cell r="AS40">
            <v>7073.6309709999996</v>
          </cell>
          <cell r="AT40">
            <v>7162.7668620000004</v>
          </cell>
          <cell r="AU40">
            <v>7253.0683349999999</v>
          </cell>
          <cell r="AV40">
            <v>7345.232841</v>
          </cell>
          <cell r="AW40">
            <v>7438.7293220000001</v>
          </cell>
          <cell r="AX40">
            <v>7533.46461</v>
          </cell>
          <cell r="AY40">
            <v>7629.3956070000004</v>
          </cell>
          <cell r="AZ40">
            <v>7726.4961540000004</v>
          </cell>
          <cell r="BA40">
            <v>7825.065458</v>
          </cell>
          <cell r="BB40">
            <v>7924.8482999999997</v>
          </cell>
          <cell r="BC40">
            <v>8025.8102669999998</v>
          </cell>
          <cell r="BD40">
            <v>8127.945455</v>
          </cell>
          <cell r="BE40">
            <v>8231.2596159999994</v>
          </cell>
        </row>
        <row r="41">
          <cell r="B41">
            <v>4225.5979100000004</v>
          </cell>
          <cell r="C41">
            <v>4168.6200140000001</v>
          </cell>
          <cell r="D41">
            <v>4199.3467149999997</v>
          </cell>
          <cell r="E41">
            <v>4247.2893050000002</v>
          </cell>
          <cell r="F41">
            <v>4304.5796929999997</v>
          </cell>
          <cell r="G41">
            <v>4368.4356390000003</v>
          </cell>
          <cell r="H41">
            <v>4434.6051589999997</v>
          </cell>
          <cell r="I41">
            <v>4503.5649759999997</v>
          </cell>
          <cell r="J41">
            <v>4574.7813910000004</v>
          </cell>
          <cell r="K41">
            <v>4647.7283600000001</v>
          </cell>
          <cell r="L41">
            <v>4726.60815</v>
          </cell>
          <cell r="M41">
            <v>4803.5136830000001</v>
          </cell>
          <cell r="N41">
            <v>4880.4800089999999</v>
          </cell>
          <cell r="O41">
            <v>4957.6341000000002</v>
          </cell>
          <cell r="P41">
            <v>5034.9700789999997</v>
          </cell>
          <cell r="Q41">
            <v>5112.505502</v>
          </cell>
          <cell r="R41">
            <v>5190.3047569999999</v>
          </cell>
          <cell r="S41">
            <v>5268.4717739999996</v>
          </cell>
          <cell r="T41">
            <v>5347.1368430000002</v>
          </cell>
          <cell r="U41">
            <v>5426.4442799999997</v>
          </cell>
          <cell r="V41">
            <v>5503.1075270000001</v>
          </cell>
          <cell r="W41">
            <v>5582.885389</v>
          </cell>
          <cell r="X41">
            <v>5664.2165619999996</v>
          </cell>
          <cell r="Y41">
            <v>5747.0076740000004</v>
          </cell>
          <cell r="Z41">
            <v>5831.3073619999996</v>
          </cell>
          <cell r="AA41">
            <v>5907.2834979999998</v>
          </cell>
          <cell r="AB41">
            <v>5986.4541579999996</v>
          </cell>
          <cell r="AC41">
            <v>6066.8925399999998</v>
          </cell>
          <cell r="AD41">
            <v>6148.6261329999998</v>
          </cell>
          <cell r="AE41">
            <v>6231.8148030000002</v>
          </cell>
          <cell r="AF41">
            <v>6316.6053730000003</v>
          </cell>
          <cell r="AG41">
            <v>6403.1012179999998</v>
          </cell>
          <cell r="AH41">
            <v>6491.3604269999996</v>
          </cell>
          <cell r="AI41">
            <v>6581.4030279999997</v>
          </cell>
          <cell r="AJ41">
            <v>6673.2201249999998</v>
          </cell>
          <cell r="AK41">
            <v>6766.7828680000002</v>
          </cell>
          <cell r="AL41">
            <v>6859.6517590000003</v>
          </cell>
          <cell r="AM41">
            <v>6953.2632709999998</v>
          </cell>
          <cell r="AN41">
            <v>7047.8896189999996</v>
          </cell>
          <cell r="AO41">
            <v>7143.6536649999998</v>
          </cell>
          <cell r="AP41">
            <v>7240.6343260000003</v>
          </cell>
          <cell r="AQ41">
            <v>7338.8881789999996</v>
          </cell>
          <cell r="AR41">
            <v>7438.4537309999996</v>
          </cell>
          <cell r="AS41">
            <v>7539.353263</v>
          </cell>
          <cell r="AT41">
            <v>7641.5953360000003</v>
          </cell>
          <cell r="AU41">
            <v>7745.1781730000002</v>
          </cell>
          <cell r="AV41">
            <v>7850.3119729999999</v>
          </cell>
          <cell r="AW41">
            <v>7956.8496599999999</v>
          </cell>
          <cell r="AX41">
            <v>8064.7504150000004</v>
          </cell>
          <cell r="AY41">
            <v>8173.9895560000004</v>
          </cell>
          <cell r="AZ41">
            <v>8284.5506829999995</v>
          </cell>
          <cell r="BA41">
            <v>8396.4247400000004</v>
          </cell>
          <cell r="BB41">
            <v>8509.6100459999998</v>
          </cell>
          <cell r="BC41">
            <v>8624.1120840000003</v>
          </cell>
          <cell r="BD41">
            <v>8739.9429270000001</v>
          </cell>
          <cell r="BE41">
            <v>8857.1203979999991</v>
          </cell>
        </row>
        <row r="42">
          <cell r="B42">
            <v>35413.478669999997</v>
          </cell>
          <cell r="C42">
            <v>34741.670180000001</v>
          </cell>
          <cell r="D42">
            <v>34790.70566</v>
          </cell>
          <cell r="E42">
            <v>34927.909030000003</v>
          </cell>
          <cell r="F42">
            <v>35126.8364</v>
          </cell>
          <cell r="G42">
            <v>35379.874640000002</v>
          </cell>
          <cell r="H42">
            <v>35658.496850000003</v>
          </cell>
          <cell r="I42">
            <v>35969.64056</v>
          </cell>
          <cell r="J42">
            <v>36308.294569999998</v>
          </cell>
          <cell r="K42">
            <v>36669.285109999997</v>
          </cell>
          <cell r="L42">
            <v>37081.400280000002</v>
          </cell>
          <cell r="M42">
            <v>37479.97825</v>
          </cell>
          <cell r="N42">
            <v>37886.367039999997</v>
          </cell>
          <cell r="O42">
            <v>38300.426059999998</v>
          </cell>
          <cell r="P42">
            <v>38720.961799999997</v>
          </cell>
          <cell r="Q42">
            <v>39146.900159999997</v>
          </cell>
          <cell r="R42">
            <v>39573.525560000002</v>
          </cell>
          <cell r="S42">
            <v>40003.845170000001</v>
          </cell>
          <cell r="T42">
            <v>40437.958180000001</v>
          </cell>
          <cell r="U42">
            <v>40875.899010000001</v>
          </cell>
          <cell r="V42">
            <v>41293.73171</v>
          </cell>
          <cell r="W42">
            <v>41733.077680000002</v>
          </cell>
          <cell r="X42">
            <v>42179.084900000002</v>
          </cell>
          <cell r="Y42">
            <v>42630.756170000001</v>
          </cell>
          <cell r="Z42">
            <v>43088.075389999998</v>
          </cell>
          <cell r="AA42">
            <v>43482.675280000003</v>
          </cell>
          <cell r="AB42">
            <v>43901.873890000003</v>
          </cell>
          <cell r="AC42">
            <v>44324.604310000002</v>
          </cell>
          <cell r="AD42">
            <v>44750.455880000001</v>
          </cell>
          <cell r="AE42">
            <v>45180.199370000002</v>
          </cell>
          <cell r="AF42">
            <v>45614.662949999998</v>
          </cell>
          <cell r="AG42">
            <v>46055.435510000003</v>
          </cell>
          <cell r="AH42">
            <v>46502.320570000003</v>
          </cell>
          <cell r="AI42">
            <v>46955.658029999999</v>
          </cell>
          <cell r="AJ42">
            <v>47415.710760000002</v>
          </cell>
          <cell r="AK42">
            <v>47882.653780000001</v>
          </cell>
          <cell r="AL42">
            <v>48348.109340000003</v>
          </cell>
          <cell r="AM42">
            <v>48817.031569999999</v>
          </cell>
          <cell r="AN42">
            <v>49290.378640000003</v>
          </cell>
          <cell r="AO42">
            <v>49768.686869999998</v>
          </cell>
          <cell r="AP42">
            <v>50252.374799999998</v>
          </cell>
          <cell r="AQ42">
            <v>50743.015959999997</v>
          </cell>
          <cell r="AR42">
            <v>51239.854749999999</v>
          </cell>
          <cell r="AS42">
            <v>51743.012600000002</v>
          </cell>
          <cell r="AT42">
            <v>52252.612509999999</v>
          </cell>
          <cell r="AU42">
            <v>52768.736799999999</v>
          </cell>
          <cell r="AV42">
            <v>53296.99396</v>
          </cell>
          <cell r="AW42">
            <v>53832.894520000002</v>
          </cell>
          <cell r="AX42">
            <v>54375.994420000003</v>
          </cell>
          <cell r="AY42">
            <v>54926.129260000002</v>
          </cell>
          <cell r="AZ42">
            <v>55483.191809999997</v>
          </cell>
          <cell r="BA42">
            <v>56049.66332</v>
          </cell>
          <cell r="BB42">
            <v>56623.320379999997</v>
          </cell>
          <cell r="BC42">
            <v>57203.936970000002</v>
          </cell>
          <cell r="BD42">
            <v>57791.443070000001</v>
          </cell>
          <cell r="BE42">
            <v>58385.815240000004</v>
          </cell>
        </row>
        <row r="43">
          <cell r="B43">
            <v>35478.33685</v>
          </cell>
          <cell r="C43">
            <v>34882.283380000001</v>
          </cell>
          <cell r="D43">
            <v>35010.556299999997</v>
          </cell>
          <cell r="E43">
            <v>35229.854460000002</v>
          </cell>
          <cell r="F43">
            <v>35513.063439999998</v>
          </cell>
          <cell r="G43">
            <v>35852.105000000003</v>
          </cell>
          <cell r="H43">
            <v>36218.983590000003</v>
          </cell>
          <cell r="I43">
            <v>36619.023179999997</v>
          </cell>
          <cell r="J43">
            <v>37046.259769999997</v>
          </cell>
          <cell r="K43">
            <v>37494.690909999998</v>
          </cell>
          <cell r="L43">
            <v>37994.622139999999</v>
          </cell>
          <cell r="M43">
            <v>38483.525540000002</v>
          </cell>
          <cell r="N43">
            <v>38979.830569999998</v>
          </cell>
          <cell r="O43">
            <v>39483.134440000002</v>
          </cell>
          <cell r="P43">
            <v>39992.353860000003</v>
          </cell>
          <cell r="Q43">
            <v>40506.647559999998</v>
          </cell>
          <cell r="R43">
            <v>41025.46903</v>
          </cell>
          <cell r="S43">
            <v>41548.507940000003</v>
          </cell>
          <cell r="T43">
            <v>42075.637669999996</v>
          </cell>
          <cell r="U43">
            <v>42606.876830000001</v>
          </cell>
          <cell r="V43">
            <v>43116.922169999998</v>
          </cell>
          <cell r="W43">
            <v>43649.793149999998</v>
          </cell>
          <cell r="X43">
            <v>44189.826350000003</v>
          </cell>
          <cell r="Y43">
            <v>44736.08784</v>
          </cell>
          <cell r="Z43">
            <v>45288.69051</v>
          </cell>
          <cell r="AA43">
            <v>45774.607940000002</v>
          </cell>
          <cell r="AB43">
            <v>46285.673390000004</v>
          </cell>
          <cell r="AC43">
            <v>46800.804069999998</v>
          </cell>
          <cell r="AD43">
            <v>47319.761420000003</v>
          </cell>
          <cell r="AE43">
            <v>47843.465179999999</v>
          </cell>
          <cell r="AF43">
            <v>48372.906340000001</v>
          </cell>
          <cell r="AG43">
            <v>48908.928269999997</v>
          </cell>
          <cell r="AH43">
            <v>49452.160790000002</v>
          </cell>
          <cell r="AI43">
            <v>50003.084730000002</v>
          </cell>
          <cell r="AJ43">
            <v>50562.04737</v>
          </cell>
          <cell r="AK43">
            <v>51129.282919999998</v>
          </cell>
          <cell r="AL43">
            <v>51687.267160000003</v>
          </cell>
          <cell r="AM43">
            <v>52248.705840000002</v>
          </cell>
          <cell r="AN43">
            <v>52815.223579999998</v>
          </cell>
          <cell r="AO43">
            <v>53387.541270000002</v>
          </cell>
          <cell r="AP43">
            <v>53966.170389999999</v>
          </cell>
          <cell r="AQ43">
            <v>54551.527549999999</v>
          </cell>
          <cell r="AR43">
            <v>55143.947240000001</v>
          </cell>
          <cell r="AS43">
            <v>55743.68391</v>
          </cell>
          <cell r="AT43">
            <v>56350.919800000003</v>
          </cell>
          <cell r="AU43">
            <v>56965.796419999999</v>
          </cell>
          <cell r="AV43">
            <v>57590.049330000002</v>
          </cell>
          <cell r="AW43">
            <v>58222.655030000002</v>
          </cell>
          <cell r="AX43">
            <v>58863.565269999999</v>
          </cell>
          <cell r="AY43">
            <v>59512.783759999998</v>
          </cell>
          <cell r="AZ43">
            <v>60170.312769999997</v>
          </cell>
          <cell r="BA43">
            <v>60836.153969999999</v>
          </cell>
          <cell r="BB43">
            <v>61510.316529999996</v>
          </cell>
          <cell r="BC43">
            <v>62192.823279999997</v>
          </cell>
          <cell r="BD43">
            <v>62883.71372</v>
          </cell>
          <cell r="BE43">
            <v>63583.044300000001</v>
          </cell>
        </row>
        <row r="44">
          <cell r="B44">
            <v>3924.881335</v>
          </cell>
          <cell r="C44">
            <v>3852.7160909999998</v>
          </cell>
          <cell r="D44">
            <v>3852.1688199999999</v>
          </cell>
          <cell r="E44">
            <v>3860.171308</v>
          </cell>
          <cell r="F44">
            <v>3876.0690530000002</v>
          </cell>
          <cell r="G44">
            <v>3899.172149</v>
          </cell>
          <cell r="H44">
            <v>3926.4393180000002</v>
          </cell>
          <cell r="I44">
            <v>3958.1273059999999</v>
          </cell>
          <cell r="J44">
            <v>3993.3849209999998</v>
          </cell>
          <cell r="K44">
            <v>4031.4892329999998</v>
          </cell>
          <cell r="L44">
            <v>4075.064347</v>
          </cell>
          <cell r="M44">
            <v>4117.8301300000003</v>
          </cell>
          <cell r="N44">
            <v>4161.8274080000001</v>
          </cell>
          <cell r="O44">
            <v>4206.8945270000004</v>
          </cell>
          <cell r="P44">
            <v>4252.8386250000003</v>
          </cell>
          <cell r="Q44">
            <v>4299.5054200000004</v>
          </cell>
          <cell r="R44">
            <v>4346.4102720000001</v>
          </cell>
          <cell r="S44">
            <v>4393.8010979999999</v>
          </cell>
          <cell r="T44">
            <v>4441.6386329999996</v>
          </cell>
          <cell r="U44">
            <v>4489.8912330000003</v>
          </cell>
          <cell r="V44">
            <v>4536.2211390000002</v>
          </cell>
          <cell r="W44">
            <v>4584.5999860000002</v>
          </cell>
          <cell r="X44">
            <v>4633.5326779999996</v>
          </cell>
          <cell r="Y44">
            <v>4682.9584169999998</v>
          </cell>
          <cell r="Z44">
            <v>4732.8778000000002</v>
          </cell>
          <cell r="AA44">
            <v>4776.6788850000003</v>
          </cell>
          <cell r="AB44">
            <v>4822.7324980000003</v>
          </cell>
          <cell r="AC44">
            <v>4868.8570840000002</v>
          </cell>
          <cell r="AD44">
            <v>4915.0818769999996</v>
          </cell>
          <cell r="AE44">
            <v>4961.5140240000001</v>
          </cell>
          <cell r="AF44">
            <v>5008.2598779999998</v>
          </cell>
          <cell r="AG44">
            <v>5055.4902609999999</v>
          </cell>
          <cell r="AH44">
            <v>5103.2047339999999</v>
          </cell>
          <cell r="AI44">
            <v>5151.45388</v>
          </cell>
          <cell r="AJ44">
            <v>5200.2764939999997</v>
          </cell>
          <cell r="AK44">
            <v>5249.7006799999999</v>
          </cell>
          <cell r="AL44">
            <v>5298.8879580000003</v>
          </cell>
          <cell r="AM44">
            <v>5348.3305120000005</v>
          </cell>
          <cell r="AN44">
            <v>5398.1186820000003</v>
          </cell>
          <cell r="AO44">
            <v>5448.3133250000001</v>
          </cell>
          <cell r="AP44">
            <v>5498.9669100000001</v>
          </cell>
          <cell r="AQ44">
            <v>5550.2378589999998</v>
          </cell>
          <cell r="AR44">
            <v>5602.0661650000002</v>
          </cell>
          <cell r="AS44">
            <v>5654.4773510000005</v>
          </cell>
          <cell r="AT44">
            <v>5707.4919730000001</v>
          </cell>
          <cell r="AU44">
            <v>5761.1239159999996</v>
          </cell>
          <cell r="AV44">
            <v>5815.8995420000001</v>
          </cell>
          <cell r="AW44">
            <v>5871.3945569999996</v>
          </cell>
          <cell r="AX44">
            <v>5927.5852500000001</v>
          </cell>
          <cell r="AY44">
            <v>5984.4601229999998</v>
          </cell>
          <cell r="AZ44">
            <v>6042.00846</v>
          </cell>
          <cell r="BA44">
            <v>6100.4551359999996</v>
          </cell>
          <cell r="BB44">
            <v>6159.5862159999997</v>
          </cell>
          <cell r="BC44">
            <v>6219.3850899999998</v>
          </cell>
          <cell r="BD44">
            <v>6279.8430669999998</v>
          </cell>
          <cell r="BE44">
            <v>6340.9538089999996</v>
          </cell>
        </row>
        <row r="45">
          <cell r="B45">
            <v>3931.2550940000001</v>
          </cell>
          <cell r="C45">
            <v>3865.8287700000001</v>
          </cell>
          <cell r="D45">
            <v>3872.5580890000001</v>
          </cell>
          <cell r="E45">
            <v>3888.3043109999999</v>
          </cell>
          <cell r="F45">
            <v>3912.319751</v>
          </cell>
          <cell r="G45">
            <v>3943.8305030000001</v>
          </cell>
          <cell r="H45">
            <v>3979.782494</v>
          </cell>
          <cell r="I45">
            <v>4020.3100979999999</v>
          </cell>
          <cell r="J45">
            <v>4064.5072679999998</v>
          </cell>
          <cell r="K45">
            <v>4111.6078809999999</v>
          </cell>
          <cell r="L45">
            <v>4164.3134470000005</v>
          </cell>
          <cell r="M45">
            <v>4216.5081149999996</v>
          </cell>
          <cell r="N45">
            <v>4269.9612880000004</v>
          </cell>
          <cell r="O45">
            <v>4324.4831059999997</v>
          </cell>
          <cell r="P45">
            <v>4379.8653729999996</v>
          </cell>
          <cell r="Q45">
            <v>4435.9433529999997</v>
          </cell>
          <cell r="R45">
            <v>4492.5970880000004</v>
          </cell>
          <cell r="S45">
            <v>4549.7432360000003</v>
          </cell>
          <cell r="T45">
            <v>4607.3269099999998</v>
          </cell>
          <cell r="U45">
            <v>4665.3151170000001</v>
          </cell>
          <cell r="V45">
            <v>4721.2347330000002</v>
          </cell>
          <cell r="W45">
            <v>4779.298965</v>
          </cell>
          <cell r="X45">
            <v>4837.9252990000005</v>
          </cell>
          <cell r="Y45">
            <v>4897.0607970000001</v>
          </cell>
          <cell r="Z45">
            <v>4956.7185509999999</v>
          </cell>
          <cell r="AA45">
            <v>5009.8257009999998</v>
          </cell>
          <cell r="AB45">
            <v>5065.2252330000001</v>
          </cell>
          <cell r="AC45">
            <v>5120.7114259999998</v>
          </cell>
          <cell r="AD45">
            <v>5176.3286600000001</v>
          </cell>
          <cell r="AE45">
            <v>5232.2001689999997</v>
          </cell>
          <cell r="AF45">
            <v>5288.4480599999997</v>
          </cell>
          <cell r="AG45">
            <v>5345.1762799999997</v>
          </cell>
          <cell r="AH45">
            <v>5402.4680150000004</v>
          </cell>
          <cell r="AI45">
            <v>5460.3874699999997</v>
          </cell>
          <cell r="AJ45">
            <v>5518.9828180000004</v>
          </cell>
          <cell r="AK45">
            <v>5578.2894269999997</v>
          </cell>
          <cell r="AL45">
            <v>5636.6195820000003</v>
          </cell>
          <cell r="AM45">
            <v>5695.2121440000001</v>
          </cell>
          <cell r="AN45">
            <v>5754.1944789999998</v>
          </cell>
          <cell r="AO45">
            <v>5813.6415589999997</v>
          </cell>
          <cell r="AP45">
            <v>5873.6179959999999</v>
          </cell>
          <cell r="AQ45">
            <v>5934.181697</v>
          </cell>
          <cell r="AR45">
            <v>5995.3821529999996</v>
          </cell>
          <cell r="AS45">
            <v>6057.2592979999999</v>
          </cell>
          <cell r="AT45">
            <v>6119.8436170000004</v>
          </cell>
          <cell r="AU45">
            <v>6183.1572399999995</v>
          </cell>
          <cell r="AV45">
            <v>6247.3703379999997</v>
          </cell>
          <cell r="AW45">
            <v>6312.3818110000002</v>
          </cell>
          <cell r="AX45">
            <v>6378.187672</v>
          </cell>
          <cell r="AY45">
            <v>6444.7860810000002</v>
          </cell>
          <cell r="AZ45">
            <v>6512.1746430000003</v>
          </cell>
          <cell r="BA45">
            <v>6580.3509240000003</v>
          </cell>
          <cell r="BB45">
            <v>6649.3131780000003</v>
          </cell>
          <cell r="BC45">
            <v>6719.0608089999996</v>
          </cell>
          <cell r="BD45">
            <v>6789.5945320000001</v>
          </cell>
          <cell r="BE45">
            <v>6860.9163170000002</v>
          </cell>
        </row>
        <row r="46">
          <cell r="B46">
            <v>399.81230720000002</v>
          </cell>
          <cell r="C46">
            <v>393.76671249999998</v>
          </cell>
          <cell r="D46">
            <v>395.05350110000001</v>
          </cell>
          <cell r="E46">
            <v>397.33535000000001</v>
          </cell>
          <cell r="F46">
            <v>400.15105620000003</v>
          </cell>
          <cell r="G46">
            <v>403.44340740000001</v>
          </cell>
          <cell r="H46">
            <v>406.8994725</v>
          </cell>
          <cell r="I46">
            <v>410.6504754</v>
          </cell>
          <cell r="J46">
            <v>414.6746761</v>
          </cell>
          <cell r="K46">
            <v>418.9278837</v>
          </cell>
          <cell r="L46">
            <v>423.8059839</v>
          </cell>
          <cell r="M46">
            <v>428.4873599</v>
          </cell>
          <cell r="N46">
            <v>433.21212200000002</v>
          </cell>
          <cell r="O46">
            <v>437.99853419999999</v>
          </cell>
          <cell r="P46">
            <v>442.83957930000003</v>
          </cell>
          <cell r="Q46">
            <v>447.72576359999999</v>
          </cell>
          <cell r="R46">
            <v>452.60460089999998</v>
          </cell>
          <cell r="S46">
            <v>457.50957820000002</v>
          </cell>
          <cell r="T46">
            <v>462.44622509999999</v>
          </cell>
          <cell r="U46">
            <v>467.41813439999999</v>
          </cell>
          <cell r="V46">
            <v>472.11305709999999</v>
          </cell>
          <cell r="W46">
            <v>477.06749209999998</v>
          </cell>
          <cell r="X46">
            <v>482.11621500000001</v>
          </cell>
          <cell r="Y46">
            <v>487.23848290000001</v>
          </cell>
          <cell r="Z46">
            <v>492.43221160000002</v>
          </cell>
          <cell r="AA46">
            <v>496.80129390000002</v>
          </cell>
          <cell r="AB46">
            <v>501.45126540000001</v>
          </cell>
          <cell r="AC46">
            <v>506.17127679999999</v>
          </cell>
          <cell r="AD46">
            <v>510.94816639999999</v>
          </cell>
          <cell r="AE46">
            <v>515.78862609999999</v>
          </cell>
          <cell r="AF46">
            <v>520.70088750000002</v>
          </cell>
          <cell r="AG46">
            <v>525.70282880000002</v>
          </cell>
          <cell r="AH46">
            <v>530.79288740000004</v>
          </cell>
          <cell r="AI46">
            <v>535.97447699999998</v>
          </cell>
          <cell r="AJ46">
            <v>541.25039489999995</v>
          </cell>
          <cell r="AK46">
            <v>546.62246970000001</v>
          </cell>
          <cell r="AL46">
            <v>551.96962640000004</v>
          </cell>
          <cell r="AM46">
            <v>557.36404389999996</v>
          </cell>
          <cell r="AN46">
            <v>562.82317309999996</v>
          </cell>
          <cell r="AO46">
            <v>568.35493689999998</v>
          </cell>
          <cell r="AP46">
            <v>573.9644184</v>
          </cell>
          <cell r="AQ46">
            <v>579.66934509999999</v>
          </cell>
          <cell r="AR46">
            <v>585.46175029999995</v>
          </cell>
          <cell r="AS46">
            <v>591.3418451</v>
          </cell>
          <cell r="AT46">
            <v>597.31028990000004</v>
          </cell>
          <cell r="AU46">
            <v>603.3675088</v>
          </cell>
          <cell r="AV46">
            <v>609.57913010000004</v>
          </cell>
          <cell r="AW46">
            <v>615.89685159999999</v>
          </cell>
          <cell r="AX46">
            <v>622.31222920000005</v>
          </cell>
          <cell r="AY46">
            <v>628.82199900000001</v>
          </cell>
          <cell r="AZ46">
            <v>635.4243553</v>
          </cell>
          <cell r="BA46">
            <v>642.14713099999994</v>
          </cell>
          <cell r="BB46">
            <v>648.9675469</v>
          </cell>
          <cell r="BC46">
            <v>655.88183289999995</v>
          </cell>
          <cell r="BD46">
            <v>662.88889889999996</v>
          </cell>
          <cell r="BE46">
            <v>669.98860260000004</v>
          </cell>
        </row>
        <row r="47">
          <cell r="B47">
            <v>400.48580320000002</v>
          </cell>
          <cell r="C47">
            <v>395.43249859999997</v>
          </cell>
          <cell r="D47">
            <v>397.74082370000002</v>
          </cell>
          <cell r="E47">
            <v>401.0621324</v>
          </cell>
          <cell r="F47">
            <v>404.92862960000002</v>
          </cell>
          <cell r="G47">
            <v>409.27944530000002</v>
          </cell>
          <cell r="H47">
            <v>413.80889100000002</v>
          </cell>
          <cell r="I47">
            <v>418.62861709999999</v>
          </cell>
          <cell r="J47">
            <v>423.70762589999998</v>
          </cell>
          <cell r="K47">
            <v>428.99361720000002</v>
          </cell>
          <cell r="L47">
            <v>434.87677730000001</v>
          </cell>
          <cell r="M47">
            <v>440.54866349999998</v>
          </cell>
          <cell r="N47">
            <v>446.21553060000002</v>
          </cell>
          <cell r="O47">
            <v>451.8986913</v>
          </cell>
          <cell r="P47">
            <v>457.60494419999998</v>
          </cell>
          <cell r="Q47">
            <v>463.33923429999999</v>
          </cell>
          <cell r="R47">
            <v>469.10530929999999</v>
          </cell>
          <cell r="S47">
            <v>474.90591030000002</v>
          </cell>
          <cell r="T47">
            <v>480.74345039999997</v>
          </cell>
          <cell r="U47">
            <v>486.6207306</v>
          </cell>
          <cell r="V47">
            <v>492.20896160000001</v>
          </cell>
          <cell r="W47">
            <v>498.0705633</v>
          </cell>
          <cell r="X47">
            <v>504.0319058</v>
          </cell>
          <cell r="Y47">
            <v>510.07256719999998</v>
          </cell>
          <cell r="Z47">
            <v>516.19227409999996</v>
          </cell>
          <cell r="AA47">
            <v>521.44218109999997</v>
          </cell>
          <cell r="AB47">
            <v>526.97646940000004</v>
          </cell>
          <cell r="AC47">
            <v>532.58645850000005</v>
          </cell>
          <cell r="AD47">
            <v>538.26149899999996</v>
          </cell>
          <cell r="AE47">
            <v>544.01026290000004</v>
          </cell>
          <cell r="AF47">
            <v>549.84378749999996</v>
          </cell>
          <cell r="AG47">
            <v>555.77178660000004</v>
          </cell>
          <cell r="AH47">
            <v>561.80116290000001</v>
          </cell>
          <cell r="AI47">
            <v>567.93768350000005</v>
          </cell>
          <cell r="AJ47">
            <v>574.18572470000004</v>
          </cell>
          <cell r="AK47">
            <v>580.54823820000001</v>
          </cell>
          <cell r="AL47">
            <v>586.79954239999995</v>
          </cell>
          <cell r="AM47">
            <v>593.09244899999999</v>
          </cell>
          <cell r="AN47">
            <v>599.45640560000004</v>
          </cell>
          <cell r="AO47">
            <v>605.90248480000002</v>
          </cell>
          <cell r="AP47">
            <v>612.43650100000002</v>
          </cell>
          <cell r="AQ47">
            <v>619.06204720000005</v>
          </cell>
          <cell r="AR47">
            <v>625.7813529</v>
          </cell>
          <cell r="AS47">
            <v>632.59564890000001</v>
          </cell>
          <cell r="AT47">
            <v>639.50547340000003</v>
          </cell>
          <cell r="AU47">
            <v>646.51185720000001</v>
          </cell>
          <cell r="AV47">
            <v>653.63807359999998</v>
          </cell>
          <cell r="AW47">
            <v>660.8739147</v>
          </cell>
          <cell r="AX47">
            <v>668.21976729999994</v>
          </cell>
          <cell r="AY47">
            <v>675.67675699999995</v>
          </cell>
          <cell r="AZ47">
            <v>683.24569159999999</v>
          </cell>
          <cell r="BA47">
            <v>690.92707299999995</v>
          </cell>
          <cell r="BB47">
            <v>698.72130089999996</v>
          </cell>
          <cell r="BC47">
            <v>706.62885370000004</v>
          </cell>
          <cell r="BD47">
            <v>714.65040409999995</v>
          </cell>
          <cell r="BE47">
            <v>722.78687390000005</v>
          </cell>
        </row>
        <row r="48">
          <cell r="B48">
            <v>561.27218100000005</v>
          </cell>
          <cell r="C48">
            <v>552.78513820000001</v>
          </cell>
          <cell r="D48">
            <v>554.59158260000004</v>
          </cell>
          <cell r="E48">
            <v>557.7949314</v>
          </cell>
          <cell r="F48">
            <v>561.74773010000001</v>
          </cell>
          <cell r="G48">
            <v>566.36966159999997</v>
          </cell>
          <cell r="H48">
            <v>571.22142129999997</v>
          </cell>
          <cell r="I48">
            <v>576.48722610000004</v>
          </cell>
          <cell r="J48">
            <v>582.13655670000003</v>
          </cell>
          <cell r="K48">
            <v>588.10737610000001</v>
          </cell>
          <cell r="L48">
            <v>594.95544440000003</v>
          </cell>
          <cell r="M48">
            <v>601.52734329999998</v>
          </cell>
          <cell r="N48">
            <v>608.16014949999999</v>
          </cell>
          <cell r="O48">
            <v>614.87950249999994</v>
          </cell>
          <cell r="P48">
            <v>621.67555130000005</v>
          </cell>
          <cell r="Q48">
            <v>628.53496829999995</v>
          </cell>
          <cell r="R48">
            <v>635.38407110000003</v>
          </cell>
          <cell r="S48">
            <v>642.26987039999995</v>
          </cell>
          <cell r="T48">
            <v>649.20012880000002</v>
          </cell>
          <cell r="U48">
            <v>656.17988979999996</v>
          </cell>
          <cell r="V48">
            <v>662.77080620000004</v>
          </cell>
          <cell r="W48">
            <v>669.72603630000003</v>
          </cell>
          <cell r="X48">
            <v>676.81363120000003</v>
          </cell>
          <cell r="Y48">
            <v>684.00447159999999</v>
          </cell>
          <cell r="Z48">
            <v>691.29563140000005</v>
          </cell>
          <cell r="AA48">
            <v>697.42912039999999</v>
          </cell>
          <cell r="AB48">
            <v>703.95693249999999</v>
          </cell>
          <cell r="AC48">
            <v>710.58306949999997</v>
          </cell>
          <cell r="AD48">
            <v>717.28905420000001</v>
          </cell>
          <cell r="AE48">
            <v>724.08428119999996</v>
          </cell>
          <cell r="AF48">
            <v>730.98030619999997</v>
          </cell>
          <cell r="AG48">
            <v>738.00222729999996</v>
          </cell>
          <cell r="AH48">
            <v>745.14785110000003</v>
          </cell>
          <cell r="AI48">
            <v>752.42196960000001</v>
          </cell>
          <cell r="AJ48">
            <v>759.82850980000001</v>
          </cell>
          <cell r="AK48">
            <v>767.37003879999997</v>
          </cell>
          <cell r="AL48">
            <v>774.87658690000001</v>
          </cell>
          <cell r="AM48">
            <v>782.44948150000005</v>
          </cell>
          <cell r="AN48">
            <v>790.11322099999995</v>
          </cell>
          <cell r="AO48">
            <v>797.87892780000004</v>
          </cell>
          <cell r="AP48">
            <v>805.75373769999999</v>
          </cell>
          <cell r="AQ48">
            <v>813.76253729999996</v>
          </cell>
          <cell r="AR48">
            <v>821.89414260000001</v>
          </cell>
          <cell r="AS48">
            <v>830.1488501</v>
          </cell>
          <cell r="AT48">
            <v>838.52758679999999</v>
          </cell>
          <cell r="AU48">
            <v>847.03094799999997</v>
          </cell>
          <cell r="AV48">
            <v>855.75106540000002</v>
          </cell>
          <cell r="AW48">
            <v>864.62013019999995</v>
          </cell>
          <cell r="AX48">
            <v>873.62628859999995</v>
          </cell>
          <cell r="AY48">
            <v>882.7649586</v>
          </cell>
          <cell r="AZ48">
            <v>892.03360499999997</v>
          </cell>
          <cell r="BA48">
            <v>901.47130089999996</v>
          </cell>
          <cell r="BB48">
            <v>911.04606799999999</v>
          </cell>
          <cell r="BC48">
            <v>920.75261360000002</v>
          </cell>
          <cell r="BD48">
            <v>930.58940729999995</v>
          </cell>
          <cell r="BE48">
            <v>940.55624950000004</v>
          </cell>
        </row>
        <row r="49">
          <cell r="B49">
            <v>562.21766100000002</v>
          </cell>
          <cell r="C49">
            <v>555.12363400000004</v>
          </cell>
          <cell r="D49">
            <v>558.36415120000004</v>
          </cell>
          <cell r="E49">
            <v>563.02673460000005</v>
          </cell>
          <cell r="F49">
            <v>568.45467480000002</v>
          </cell>
          <cell r="G49">
            <v>574.56252040000004</v>
          </cell>
          <cell r="H49">
            <v>580.92113370000004</v>
          </cell>
          <cell r="I49">
            <v>587.68725400000005</v>
          </cell>
          <cell r="J49">
            <v>594.81736550000005</v>
          </cell>
          <cell r="K49">
            <v>602.23804710000002</v>
          </cell>
          <cell r="L49">
            <v>610.49705779999999</v>
          </cell>
          <cell r="M49">
            <v>618.459474</v>
          </cell>
          <cell r="N49">
            <v>626.41484400000002</v>
          </cell>
          <cell r="O49">
            <v>634.39308770000002</v>
          </cell>
          <cell r="P49">
            <v>642.40374899999995</v>
          </cell>
          <cell r="Q49">
            <v>650.45377010000004</v>
          </cell>
          <cell r="R49">
            <v>658.54841209999995</v>
          </cell>
          <cell r="S49">
            <v>666.69152299999996</v>
          </cell>
          <cell r="T49">
            <v>674.8864906</v>
          </cell>
          <cell r="U49">
            <v>683.13724669999999</v>
          </cell>
          <cell r="V49">
            <v>690.98222439999995</v>
          </cell>
          <cell r="W49">
            <v>699.21097050000003</v>
          </cell>
          <cell r="X49">
            <v>707.57973660000005</v>
          </cell>
          <cell r="Y49">
            <v>716.05985369999996</v>
          </cell>
          <cell r="Z49">
            <v>724.65093809999996</v>
          </cell>
          <cell r="AA49">
            <v>732.02096319999998</v>
          </cell>
          <cell r="AB49">
            <v>739.79021399999999</v>
          </cell>
          <cell r="AC49">
            <v>747.66573649999998</v>
          </cell>
          <cell r="AD49">
            <v>755.63258069999995</v>
          </cell>
          <cell r="AE49">
            <v>763.70292070000005</v>
          </cell>
          <cell r="AF49">
            <v>771.89225099999999</v>
          </cell>
          <cell r="AG49">
            <v>780.21420839999996</v>
          </cell>
          <cell r="AH49">
            <v>788.67848300000003</v>
          </cell>
          <cell r="AI49">
            <v>797.2931711</v>
          </cell>
          <cell r="AJ49">
            <v>806.06441619999998</v>
          </cell>
          <cell r="AK49">
            <v>814.99636180000005</v>
          </cell>
          <cell r="AL49">
            <v>823.77218760000005</v>
          </cell>
          <cell r="AM49">
            <v>832.60641650000002</v>
          </cell>
          <cell r="AN49">
            <v>841.54038809999997</v>
          </cell>
          <cell r="AO49">
            <v>850.58964660000004</v>
          </cell>
          <cell r="AP49">
            <v>859.76235450000001</v>
          </cell>
          <cell r="AQ49">
            <v>869.06355580000002</v>
          </cell>
          <cell r="AR49">
            <v>878.49638040000002</v>
          </cell>
          <cell r="AS49">
            <v>888.06255620000002</v>
          </cell>
          <cell r="AT49">
            <v>897.76283850000004</v>
          </cell>
          <cell r="AU49">
            <v>907.59867459999998</v>
          </cell>
          <cell r="AV49">
            <v>917.60273629999995</v>
          </cell>
          <cell r="AW49">
            <v>927.76069359999997</v>
          </cell>
          <cell r="AX49">
            <v>938.07308929999999</v>
          </cell>
          <cell r="AY49">
            <v>948.54150360000006</v>
          </cell>
          <cell r="AZ49">
            <v>959.16707050000002</v>
          </cell>
          <cell r="BA49">
            <v>969.95049470000004</v>
          </cell>
          <cell r="BB49">
            <v>980.89233709999996</v>
          </cell>
          <cell r="BC49">
            <v>991.9932695</v>
          </cell>
          <cell r="BD49">
            <v>1003.254236</v>
          </cell>
          <cell r="BE49">
            <v>1014.676531</v>
          </cell>
        </row>
        <row r="50">
          <cell r="B50">
            <v>46331.323510000002</v>
          </cell>
          <cell r="C50">
            <v>45976.883699999998</v>
          </cell>
          <cell r="D50">
            <v>46004.027719999998</v>
          </cell>
          <cell r="E50">
            <v>46112.902600000001</v>
          </cell>
          <cell r="F50">
            <v>46292.125419999997</v>
          </cell>
          <cell r="G50">
            <v>46539.769619999999</v>
          </cell>
          <cell r="H50">
            <v>46822.847159999998</v>
          </cell>
          <cell r="I50">
            <v>47145.321530000001</v>
          </cell>
          <cell r="J50">
            <v>47501.101300000002</v>
          </cell>
          <cell r="K50">
            <v>47881.769260000001</v>
          </cell>
          <cell r="L50">
            <v>48318.700049999999</v>
          </cell>
          <cell r="M50">
            <v>48740.259830000003</v>
          </cell>
          <cell r="N50">
            <v>49160.852209999997</v>
          </cell>
          <cell r="O50">
            <v>49581.462420000003</v>
          </cell>
          <cell r="P50">
            <v>50001.392449999999</v>
          </cell>
          <cell r="Q50">
            <v>50420.003599999996</v>
          </cell>
          <cell r="R50">
            <v>50833.6031</v>
          </cell>
          <cell r="S50">
            <v>51244.548450000002</v>
          </cell>
          <cell r="T50">
            <v>51654.088049999998</v>
          </cell>
          <cell r="U50">
            <v>52063.391349999998</v>
          </cell>
          <cell r="V50">
            <v>52445.563869999998</v>
          </cell>
          <cell r="W50">
            <v>52846.983419999997</v>
          </cell>
          <cell r="X50">
            <v>53256.775370000003</v>
          </cell>
          <cell r="Y50">
            <v>53673.640619999998</v>
          </cell>
          <cell r="Z50">
            <v>54097.911059999999</v>
          </cell>
          <cell r="AA50">
            <v>54450.543360000003</v>
          </cell>
          <cell r="AB50">
            <v>54823.716970000001</v>
          </cell>
          <cell r="AC50">
            <v>55205.359830000001</v>
          </cell>
          <cell r="AD50">
            <v>55595.121610000002</v>
          </cell>
          <cell r="AE50">
            <v>55994.163509999998</v>
          </cell>
          <cell r="AF50">
            <v>56403.750569999997</v>
          </cell>
          <cell r="AG50">
            <v>56825.610679999998</v>
          </cell>
          <cell r="AH50">
            <v>57260.080999999998</v>
          </cell>
          <cell r="AI50">
            <v>57707.47741</v>
          </cell>
          <cell r="AJ50">
            <v>58167.946259999997</v>
          </cell>
          <cell r="AK50">
            <v>58641.481169999999</v>
          </cell>
          <cell r="AL50">
            <v>59115.194560000004</v>
          </cell>
          <cell r="AM50">
            <v>59596.621090000001</v>
          </cell>
          <cell r="AN50">
            <v>60087.45261</v>
          </cell>
          <cell r="AO50">
            <v>60588.287340000003</v>
          </cell>
          <cell r="AP50">
            <v>61099.440979999999</v>
          </cell>
          <cell r="AQ50">
            <v>61622.020389999998</v>
          </cell>
          <cell r="AR50">
            <v>62155.666850000001</v>
          </cell>
          <cell r="AS50">
            <v>62700.25303</v>
          </cell>
          <cell r="AT50">
            <v>63255.668339999997</v>
          </cell>
          <cell r="AU50">
            <v>63821.793389999999</v>
          </cell>
          <cell r="AV50">
            <v>64403.102559999999</v>
          </cell>
          <cell r="AW50">
            <v>64996.995340000001</v>
          </cell>
          <cell r="AX50">
            <v>65602.511799999993</v>
          </cell>
          <cell r="AY50">
            <v>66219.089550000004</v>
          </cell>
          <cell r="AZ50">
            <v>66846.358670000001</v>
          </cell>
          <cell r="BA50">
            <v>67485.841969999994</v>
          </cell>
          <cell r="BB50">
            <v>68136.530419999996</v>
          </cell>
          <cell r="BC50">
            <v>68798.034</v>
          </cell>
          <cell r="BD50">
            <v>69470.172749999998</v>
          </cell>
          <cell r="BE50">
            <v>70152.900410000002</v>
          </cell>
        </row>
        <row r="51">
          <cell r="B51">
            <v>46370.097629999997</v>
          </cell>
          <cell r="C51">
            <v>46110.372909999998</v>
          </cell>
          <cell r="D51">
            <v>46233.627370000002</v>
          </cell>
          <cell r="E51">
            <v>46437.826110000002</v>
          </cell>
          <cell r="F51">
            <v>46710.879300000001</v>
          </cell>
          <cell r="G51">
            <v>47050.833039999998</v>
          </cell>
          <cell r="H51">
            <v>47426.373899999999</v>
          </cell>
          <cell r="I51">
            <v>47838.596870000001</v>
          </cell>
          <cell r="J51">
            <v>48278.45536</v>
          </cell>
          <cell r="K51">
            <v>48734.989950000003</v>
          </cell>
          <cell r="L51">
            <v>49242.883220000003</v>
          </cell>
          <cell r="M51">
            <v>49733.512139999999</v>
          </cell>
          <cell r="N51">
            <v>50219.296219999997</v>
          </cell>
          <cell r="O51">
            <v>50701.012580000002</v>
          </cell>
          <cell r="P51">
            <v>51178.674780000001</v>
          </cell>
          <cell r="Q51">
            <v>51652.60385</v>
          </cell>
          <cell r="R51">
            <v>52123.395120000001</v>
          </cell>
          <cell r="S51">
            <v>52591.828170000001</v>
          </cell>
          <cell r="T51">
            <v>53058.839059999998</v>
          </cell>
          <cell r="U51">
            <v>53525.514940000001</v>
          </cell>
          <cell r="V51">
            <v>53964.005669999999</v>
          </cell>
          <cell r="W51">
            <v>54422.240400000002</v>
          </cell>
          <cell r="X51">
            <v>54888.993970000003</v>
          </cell>
          <cell r="Y51">
            <v>55363.121749999998</v>
          </cell>
          <cell r="Z51">
            <v>55845.217949999998</v>
          </cell>
          <cell r="AA51">
            <v>56253.26801</v>
          </cell>
          <cell r="AB51">
            <v>56681.997490000002</v>
          </cell>
          <cell r="AC51">
            <v>57119.52779</v>
          </cell>
          <cell r="AD51">
            <v>57565.836560000003</v>
          </cell>
          <cell r="AE51">
            <v>58022.349990000002</v>
          </cell>
          <cell r="AF51">
            <v>58490.550109999996</v>
          </cell>
          <cell r="AG51">
            <v>58971.63841</v>
          </cell>
          <cell r="AH51">
            <v>59466.499100000001</v>
          </cell>
          <cell r="AI51">
            <v>59975.710679999997</v>
          </cell>
          <cell r="AJ51">
            <v>60499.567479999998</v>
          </cell>
          <cell r="AK51">
            <v>61038.130839999998</v>
          </cell>
          <cell r="AL51">
            <v>61571.612430000001</v>
          </cell>
          <cell r="AM51">
            <v>62111.400459999997</v>
          </cell>
          <cell r="AN51">
            <v>62660.31222</v>
          </cell>
          <cell r="AO51">
            <v>63219.43219</v>
          </cell>
          <cell r="AP51">
            <v>63789.287900000003</v>
          </cell>
          <cell r="AQ51">
            <v>64370.155379999997</v>
          </cell>
          <cell r="AR51">
            <v>64962.151460000001</v>
          </cell>
          <cell r="AS51">
            <v>65565.274780000007</v>
          </cell>
          <cell r="AT51">
            <v>66179.435289999994</v>
          </cell>
          <cell r="AU51">
            <v>66804.573340000003</v>
          </cell>
          <cell r="AV51">
            <v>67442.561470000001</v>
          </cell>
          <cell r="AW51">
            <v>68092.53486</v>
          </cell>
          <cell r="AX51">
            <v>68754.365149999998</v>
          </cell>
          <cell r="AY51">
            <v>69428.011559999999</v>
          </cell>
          <cell r="AZ51">
            <v>70113.431760000007</v>
          </cell>
          <cell r="BA51">
            <v>70810.586020000002</v>
          </cell>
          <cell r="BB51">
            <v>71519.45822</v>
          </cell>
          <cell r="BC51">
            <v>72240.072889999996</v>
          </cell>
          <cell r="BD51">
            <v>72972.504220000003</v>
          </cell>
          <cell r="BE51">
            <v>73716.87831</v>
          </cell>
        </row>
        <row r="52">
          <cell r="B52">
            <v>923.37677240000005</v>
          </cell>
          <cell r="C52">
            <v>916.31283670000005</v>
          </cell>
          <cell r="D52">
            <v>916.85381329999996</v>
          </cell>
          <cell r="E52">
            <v>919.02367419999996</v>
          </cell>
          <cell r="F52">
            <v>922.59555990000001</v>
          </cell>
          <cell r="G52">
            <v>927.53107409999996</v>
          </cell>
          <cell r="H52">
            <v>933.1727697</v>
          </cell>
          <cell r="I52">
            <v>939.59963870000001</v>
          </cell>
          <cell r="J52">
            <v>946.69027949999997</v>
          </cell>
          <cell r="K52">
            <v>954.27693850000003</v>
          </cell>
          <cell r="L52">
            <v>962.98490779999997</v>
          </cell>
          <cell r="M52">
            <v>971.38653499999998</v>
          </cell>
          <cell r="N52">
            <v>979.76888210000004</v>
          </cell>
          <cell r="O52">
            <v>988.15158440000005</v>
          </cell>
          <cell r="P52">
            <v>996.52073110000003</v>
          </cell>
          <cell r="Q52">
            <v>1004.863593</v>
          </cell>
          <cell r="R52">
            <v>1013.106572</v>
          </cell>
          <cell r="S52">
            <v>1021.296656</v>
          </cell>
          <cell r="T52">
            <v>1029.4587220000001</v>
          </cell>
          <cell r="U52">
            <v>1037.61608</v>
          </cell>
          <cell r="V52">
            <v>1045.232724</v>
          </cell>
          <cell r="W52">
            <v>1053.2329589999999</v>
          </cell>
          <cell r="X52">
            <v>1061.4000559999999</v>
          </cell>
          <cell r="Y52">
            <v>1069.708122</v>
          </cell>
          <cell r="Z52">
            <v>1078.1637720000001</v>
          </cell>
          <cell r="AA52">
            <v>1085.1916839999999</v>
          </cell>
          <cell r="AB52">
            <v>1092.628982</v>
          </cell>
          <cell r="AC52">
            <v>1100.23507</v>
          </cell>
          <cell r="AD52">
            <v>1108.002968</v>
          </cell>
          <cell r="AE52">
            <v>1115.955817</v>
          </cell>
          <cell r="AF52">
            <v>1124.118829</v>
          </cell>
          <cell r="AG52">
            <v>1132.5264420000001</v>
          </cell>
          <cell r="AH52">
            <v>1141.185375</v>
          </cell>
          <cell r="AI52">
            <v>1150.1019220000001</v>
          </cell>
          <cell r="AJ52">
            <v>1159.279002</v>
          </cell>
          <cell r="AK52">
            <v>1168.716486</v>
          </cell>
          <cell r="AL52">
            <v>1178.157528</v>
          </cell>
          <cell r="AM52">
            <v>1187.752291</v>
          </cell>
          <cell r="AN52">
            <v>1197.534494</v>
          </cell>
          <cell r="AO52">
            <v>1207.5160599999999</v>
          </cell>
          <cell r="AP52">
            <v>1217.7032799999999</v>
          </cell>
          <cell r="AQ52">
            <v>1228.1182140000001</v>
          </cell>
          <cell r="AR52">
            <v>1238.7537130000001</v>
          </cell>
          <cell r="AS52">
            <v>1249.6072389999999</v>
          </cell>
          <cell r="AT52">
            <v>1260.676588</v>
          </cell>
          <cell r="AU52">
            <v>1271.9593809999999</v>
          </cell>
          <cell r="AV52">
            <v>1283.5447919999999</v>
          </cell>
          <cell r="AW52">
            <v>1295.380991</v>
          </cell>
          <cell r="AX52">
            <v>1307.4488490000001</v>
          </cell>
          <cell r="AY52">
            <v>1319.737157</v>
          </cell>
          <cell r="AZ52">
            <v>1332.2385429999999</v>
          </cell>
          <cell r="BA52">
            <v>1344.9833550000001</v>
          </cell>
          <cell r="BB52">
            <v>1357.9514839999999</v>
          </cell>
          <cell r="BC52">
            <v>1371.135158</v>
          </cell>
          <cell r="BD52">
            <v>1384.5307889999999</v>
          </cell>
          <cell r="BE52">
            <v>1398.137455</v>
          </cell>
        </row>
        <row r="53">
          <cell r="B53">
            <v>924.14953509999998</v>
          </cell>
          <cell r="C53">
            <v>918.97325780000006</v>
          </cell>
          <cell r="D53">
            <v>921.42970200000002</v>
          </cell>
          <cell r="E53">
            <v>925.49935430000005</v>
          </cell>
          <cell r="F53">
            <v>930.94126589999996</v>
          </cell>
          <cell r="G53">
            <v>937.71649639999998</v>
          </cell>
          <cell r="H53">
            <v>945.20097280000005</v>
          </cell>
          <cell r="I53">
            <v>953.41651879999995</v>
          </cell>
          <cell r="J53">
            <v>962.18283680000002</v>
          </cell>
          <cell r="K53">
            <v>971.28150700000003</v>
          </cell>
          <cell r="L53">
            <v>981.40374859999997</v>
          </cell>
          <cell r="M53">
            <v>991.18191400000001</v>
          </cell>
          <cell r="N53">
            <v>1000.863523</v>
          </cell>
          <cell r="O53">
            <v>1010.464062</v>
          </cell>
          <cell r="P53">
            <v>1019.983803</v>
          </cell>
          <cell r="Q53">
            <v>1029.429142</v>
          </cell>
          <cell r="R53">
            <v>1038.811946</v>
          </cell>
          <cell r="S53">
            <v>1048.147751</v>
          </cell>
          <cell r="T53">
            <v>1057.455213</v>
          </cell>
          <cell r="U53">
            <v>1066.755997</v>
          </cell>
          <cell r="V53">
            <v>1075.495056</v>
          </cell>
          <cell r="W53">
            <v>1084.62761</v>
          </cell>
          <cell r="X53">
            <v>1093.9299430000001</v>
          </cell>
          <cell r="Y53">
            <v>1103.3792430000001</v>
          </cell>
          <cell r="Z53">
            <v>1112.987353</v>
          </cell>
          <cell r="AA53">
            <v>1121.119733</v>
          </cell>
          <cell r="AB53">
            <v>1129.664252</v>
          </cell>
          <cell r="AC53">
            <v>1138.3841689999999</v>
          </cell>
          <cell r="AD53">
            <v>1147.2790399999999</v>
          </cell>
          <cell r="AE53">
            <v>1156.377289</v>
          </cell>
          <cell r="AF53">
            <v>1165.708451</v>
          </cell>
          <cell r="AG53">
            <v>1175.296474</v>
          </cell>
          <cell r="AH53">
            <v>1185.1589779999999</v>
          </cell>
          <cell r="AI53">
            <v>1195.307493</v>
          </cell>
          <cell r="AJ53">
            <v>1205.747885</v>
          </cell>
          <cell r="AK53">
            <v>1216.4813779999999</v>
          </cell>
          <cell r="AL53">
            <v>1227.113591</v>
          </cell>
          <cell r="AM53">
            <v>1237.87149</v>
          </cell>
          <cell r="AN53">
            <v>1248.8112249999999</v>
          </cell>
          <cell r="AO53">
            <v>1259.9544069999999</v>
          </cell>
          <cell r="AP53">
            <v>1271.311551</v>
          </cell>
          <cell r="AQ53">
            <v>1282.8881590000001</v>
          </cell>
          <cell r="AR53">
            <v>1294.6865580000001</v>
          </cell>
          <cell r="AS53">
            <v>1306.706721</v>
          </cell>
          <cell r="AT53">
            <v>1318.9468529999999</v>
          </cell>
          <cell r="AU53">
            <v>1331.405767</v>
          </cell>
          <cell r="AV53">
            <v>1344.1207810000001</v>
          </cell>
          <cell r="AW53">
            <v>1357.0746590000001</v>
          </cell>
          <cell r="AX53">
            <v>1370.264844</v>
          </cell>
          <cell r="AY53">
            <v>1383.6905220000001</v>
          </cell>
          <cell r="AZ53">
            <v>1397.3508509999999</v>
          </cell>
          <cell r="BA53">
            <v>1411.2450369999999</v>
          </cell>
          <cell r="BB53">
            <v>1425.3727610000001</v>
          </cell>
          <cell r="BC53">
            <v>1439.73451</v>
          </cell>
          <cell r="BD53">
            <v>1454.3317629999999</v>
          </cell>
          <cell r="BE53">
            <v>1469.1670340000001</v>
          </cell>
        </row>
        <row r="54">
          <cell r="B54">
            <v>1341.8215660000001</v>
          </cell>
          <cell r="C54">
            <v>1331.55648</v>
          </cell>
          <cell r="D54">
            <v>1332.3426099999999</v>
          </cell>
          <cell r="E54">
            <v>1335.4957830000001</v>
          </cell>
          <cell r="F54">
            <v>1340.6863330000001</v>
          </cell>
          <cell r="G54">
            <v>1347.8584639999999</v>
          </cell>
          <cell r="H54">
            <v>1356.056795</v>
          </cell>
          <cell r="I54">
            <v>1365.3961159999999</v>
          </cell>
          <cell r="J54">
            <v>1375.700008</v>
          </cell>
          <cell r="K54">
            <v>1386.724698</v>
          </cell>
          <cell r="L54">
            <v>1399.3788400000001</v>
          </cell>
          <cell r="M54">
            <v>1411.587816</v>
          </cell>
          <cell r="N54">
            <v>1423.7687739999999</v>
          </cell>
          <cell r="O54">
            <v>1435.950249</v>
          </cell>
          <cell r="P54">
            <v>1448.1120249999999</v>
          </cell>
          <cell r="Q54">
            <v>1460.235604</v>
          </cell>
          <cell r="R54">
            <v>1472.214039</v>
          </cell>
          <cell r="S54">
            <v>1484.115605</v>
          </cell>
          <cell r="T54">
            <v>1495.976459</v>
          </cell>
          <cell r="U54">
            <v>1507.8304700000001</v>
          </cell>
          <cell r="V54">
            <v>1518.8987340000001</v>
          </cell>
          <cell r="W54">
            <v>1530.52442</v>
          </cell>
          <cell r="X54">
            <v>1542.3925819999999</v>
          </cell>
          <cell r="Y54">
            <v>1554.465598</v>
          </cell>
          <cell r="Z54">
            <v>1566.753078</v>
          </cell>
          <cell r="AA54">
            <v>1576.965815</v>
          </cell>
          <cell r="AB54">
            <v>1587.7734579999999</v>
          </cell>
          <cell r="AC54">
            <v>1598.8263830000001</v>
          </cell>
          <cell r="AD54">
            <v>1610.1144429999999</v>
          </cell>
          <cell r="AE54">
            <v>1621.6712680000001</v>
          </cell>
          <cell r="AF54">
            <v>1633.5334969999999</v>
          </cell>
          <cell r="AG54">
            <v>1645.75117</v>
          </cell>
          <cell r="AH54">
            <v>1658.3340539999999</v>
          </cell>
          <cell r="AI54">
            <v>1671.2912960000001</v>
          </cell>
          <cell r="AJ54">
            <v>1684.6271340000001</v>
          </cell>
          <cell r="AK54">
            <v>1698.3413840000001</v>
          </cell>
          <cell r="AL54">
            <v>1712.0608030000001</v>
          </cell>
          <cell r="AM54">
            <v>1726.0036050000001</v>
          </cell>
          <cell r="AN54">
            <v>1740.2187899999999</v>
          </cell>
          <cell r="AO54">
            <v>1754.7236820000001</v>
          </cell>
          <cell r="AP54">
            <v>1769.5274240000001</v>
          </cell>
          <cell r="AQ54">
            <v>1784.662073</v>
          </cell>
          <cell r="AR54">
            <v>1800.11724</v>
          </cell>
          <cell r="AS54">
            <v>1815.8892370000001</v>
          </cell>
          <cell r="AT54">
            <v>1831.9748609999999</v>
          </cell>
          <cell r="AU54">
            <v>1848.3706540000001</v>
          </cell>
          <cell r="AV54">
            <v>1865.206201</v>
          </cell>
          <cell r="AW54">
            <v>1882.4061879999999</v>
          </cell>
          <cell r="AX54">
            <v>1899.9428129999999</v>
          </cell>
          <cell r="AY54">
            <v>1917.799788</v>
          </cell>
          <cell r="AZ54">
            <v>1935.966402</v>
          </cell>
          <cell r="BA54">
            <v>1954.4867549999999</v>
          </cell>
          <cell r="BB54">
            <v>1973.331625</v>
          </cell>
          <cell r="BC54">
            <v>1992.489718</v>
          </cell>
          <cell r="BD54">
            <v>2011.9558199999999</v>
          </cell>
          <cell r="BE54">
            <v>2031.7285919999999</v>
          </cell>
        </row>
        <row r="55">
          <cell r="B55">
            <v>1342.94452</v>
          </cell>
          <cell r="C55">
            <v>1335.422519</v>
          </cell>
          <cell r="D55">
            <v>1338.9921449999999</v>
          </cell>
          <cell r="E55">
            <v>1344.9060340000001</v>
          </cell>
          <cell r="F55">
            <v>1352.814046</v>
          </cell>
          <cell r="G55">
            <v>1362.659594</v>
          </cell>
          <cell r="H55">
            <v>1373.535795</v>
          </cell>
          <cell r="I55">
            <v>1385.474363</v>
          </cell>
          <cell r="J55">
            <v>1398.2132959999999</v>
          </cell>
          <cell r="K55">
            <v>1411.435193</v>
          </cell>
          <cell r="L55">
            <v>1426.1445100000001</v>
          </cell>
          <cell r="M55">
            <v>1440.3538269999999</v>
          </cell>
          <cell r="N55">
            <v>1454.4228310000001</v>
          </cell>
          <cell r="O55">
            <v>1468.3740270000001</v>
          </cell>
          <cell r="P55">
            <v>1482.207809</v>
          </cell>
          <cell r="Q55">
            <v>1495.933475</v>
          </cell>
          <cell r="R55">
            <v>1509.5682650000001</v>
          </cell>
          <cell r="S55">
            <v>1523.1347579999999</v>
          </cell>
          <cell r="T55">
            <v>1536.660063</v>
          </cell>
          <cell r="U55">
            <v>1550.175665</v>
          </cell>
          <cell r="V55">
            <v>1562.874986</v>
          </cell>
          <cell r="W55">
            <v>1576.146121</v>
          </cell>
          <cell r="X55">
            <v>1589.6639740000001</v>
          </cell>
          <cell r="Y55">
            <v>1603.3953939999999</v>
          </cell>
          <cell r="Z55">
            <v>1617.357591</v>
          </cell>
          <cell r="AA55">
            <v>1629.1753060000001</v>
          </cell>
          <cell r="AB55">
            <v>1641.5919269999999</v>
          </cell>
          <cell r="AC55">
            <v>1654.2634310000001</v>
          </cell>
          <cell r="AD55">
            <v>1667.189173</v>
          </cell>
          <cell r="AE55">
            <v>1680.410457</v>
          </cell>
          <cell r="AF55">
            <v>1693.970204</v>
          </cell>
          <cell r="AG55">
            <v>1707.9032110000001</v>
          </cell>
          <cell r="AH55">
            <v>1722.2350859999999</v>
          </cell>
          <cell r="AI55">
            <v>1736.9825840000001</v>
          </cell>
          <cell r="AJ55">
            <v>1752.1542280000001</v>
          </cell>
          <cell r="AK55">
            <v>1767.7517949999999</v>
          </cell>
          <cell r="AL55">
            <v>1783.2021870000001</v>
          </cell>
          <cell r="AM55">
            <v>1798.8352219999999</v>
          </cell>
          <cell r="AN55">
            <v>1814.7324940000001</v>
          </cell>
          <cell r="AO55">
            <v>1830.9254100000001</v>
          </cell>
          <cell r="AP55">
            <v>1847.4292479999999</v>
          </cell>
          <cell r="AQ55">
            <v>1864.2520030000001</v>
          </cell>
          <cell r="AR55">
            <v>1881.3970589999999</v>
          </cell>
          <cell r="AS55">
            <v>1898.8643750000001</v>
          </cell>
          <cell r="AT55">
            <v>1916.6513440000001</v>
          </cell>
          <cell r="AU55">
            <v>1934.7562390000001</v>
          </cell>
          <cell r="AV55">
            <v>1953.2332899999999</v>
          </cell>
          <cell r="AW55">
            <v>1972.0574509999999</v>
          </cell>
          <cell r="AX55">
            <v>1991.225005</v>
          </cell>
          <cell r="AY55">
            <v>2010.7347709999999</v>
          </cell>
          <cell r="AZ55">
            <v>2030.585523</v>
          </cell>
          <cell r="BA55">
            <v>2050.7761099999998</v>
          </cell>
          <cell r="BB55">
            <v>2071.3060660000001</v>
          </cell>
          <cell r="BC55">
            <v>2092.1760989999998</v>
          </cell>
          <cell r="BD55">
            <v>2113.3883609999998</v>
          </cell>
          <cell r="BE55">
            <v>2134.9465019999998</v>
          </cell>
        </row>
        <row r="56">
          <cell r="B56">
            <v>1219.052494</v>
          </cell>
          <cell r="C56">
            <v>1209.7266059999999</v>
          </cell>
          <cell r="D56">
            <v>1210.4408089999999</v>
          </cell>
          <cell r="E56">
            <v>1213.305484</v>
          </cell>
          <cell r="F56">
            <v>1218.0211280000001</v>
          </cell>
          <cell r="G56">
            <v>1224.5370499999999</v>
          </cell>
          <cell r="H56">
            <v>1231.985281</v>
          </cell>
          <cell r="I56">
            <v>1240.470106</v>
          </cell>
          <cell r="J56">
            <v>1249.8312510000001</v>
          </cell>
          <cell r="K56">
            <v>1259.847244</v>
          </cell>
          <cell r="L56">
            <v>1271.3436039999999</v>
          </cell>
          <cell r="M56">
            <v>1282.4355270000001</v>
          </cell>
          <cell r="N56">
            <v>1293.5019970000001</v>
          </cell>
          <cell r="O56">
            <v>1304.5689359999999</v>
          </cell>
          <cell r="P56">
            <v>1315.617978</v>
          </cell>
          <cell r="Q56">
            <v>1326.6323190000001</v>
          </cell>
          <cell r="R56">
            <v>1337.5147939999999</v>
          </cell>
          <cell r="S56">
            <v>1348.3274349999999</v>
          </cell>
          <cell r="T56">
            <v>1359.1030880000001</v>
          </cell>
          <cell r="U56">
            <v>1369.8725240000001</v>
          </cell>
          <cell r="V56">
            <v>1379.9281040000001</v>
          </cell>
          <cell r="W56">
            <v>1390.490106</v>
          </cell>
          <cell r="X56">
            <v>1401.272399</v>
          </cell>
          <cell r="Y56">
            <v>1412.240802</v>
          </cell>
          <cell r="Z56">
            <v>1423.404047</v>
          </cell>
          <cell r="AA56">
            <v>1432.682376</v>
          </cell>
          <cell r="AB56">
            <v>1442.5011810000001</v>
          </cell>
          <cell r="AC56">
            <v>1452.5428260000001</v>
          </cell>
          <cell r="AD56">
            <v>1462.798092</v>
          </cell>
          <cell r="AE56">
            <v>1473.297534</v>
          </cell>
          <cell r="AF56">
            <v>1484.0744360000001</v>
          </cell>
          <cell r="AG56">
            <v>1495.1742609999999</v>
          </cell>
          <cell r="AH56">
            <v>1506.6058820000001</v>
          </cell>
          <cell r="AI56">
            <v>1518.37761</v>
          </cell>
          <cell r="AJ56">
            <v>1530.4932940000001</v>
          </cell>
          <cell r="AK56">
            <v>1542.9527680000001</v>
          </cell>
          <cell r="AL56">
            <v>1555.4169380000001</v>
          </cell>
          <cell r="AM56">
            <v>1568.084053</v>
          </cell>
          <cell r="AN56">
            <v>1580.9986289999999</v>
          </cell>
          <cell r="AO56">
            <v>1594.1764049999999</v>
          </cell>
          <cell r="AP56">
            <v>1607.625689</v>
          </cell>
          <cell r="AQ56">
            <v>1621.3756040000001</v>
          </cell>
          <cell r="AR56">
            <v>1635.41671</v>
          </cell>
          <cell r="AS56">
            <v>1649.7456589999999</v>
          </cell>
          <cell r="AT56">
            <v>1664.359539</v>
          </cell>
          <cell r="AU56">
            <v>1679.25521</v>
          </cell>
          <cell r="AV56">
            <v>1694.5504000000001</v>
          </cell>
          <cell r="AW56">
            <v>1710.1766849999999</v>
          </cell>
          <cell r="AX56">
            <v>1726.108808</v>
          </cell>
          <cell r="AY56">
            <v>1742.331972</v>
          </cell>
          <cell r="AZ56">
            <v>1758.8364429999999</v>
          </cell>
          <cell r="BA56">
            <v>1775.6622890000001</v>
          </cell>
          <cell r="BB56">
            <v>1792.7829609999999</v>
          </cell>
          <cell r="BC56">
            <v>1810.1881960000001</v>
          </cell>
          <cell r="BD56">
            <v>1827.8732600000001</v>
          </cell>
          <cell r="BE56">
            <v>1845.836935</v>
          </cell>
        </row>
        <row r="57">
          <cell r="B57">
            <v>1220.0727039999999</v>
          </cell>
          <cell r="C57">
            <v>1213.238924</v>
          </cell>
          <cell r="D57">
            <v>1216.481949</v>
          </cell>
          <cell r="E57">
            <v>1221.8547510000001</v>
          </cell>
          <cell r="F57">
            <v>1229.0392240000001</v>
          </cell>
          <cell r="G57">
            <v>1237.98396</v>
          </cell>
          <cell r="H57">
            <v>1247.865051</v>
          </cell>
          <cell r="I57">
            <v>1258.7113079999999</v>
          </cell>
          <cell r="J57">
            <v>1270.2846999999999</v>
          </cell>
          <cell r="K57">
            <v>1282.2968679999999</v>
          </cell>
          <cell r="L57">
            <v>1295.6603660000001</v>
          </cell>
          <cell r="M57">
            <v>1308.5696109999999</v>
          </cell>
          <cell r="N57">
            <v>1321.3513809999999</v>
          </cell>
          <cell r="O57">
            <v>1334.026122</v>
          </cell>
          <cell r="P57">
            <v>1346.594192</v>
          </cell>
          <cell r="Q57">
            <v>1359.064036</v>
          </cell>
          <cell r="R57">
            <v>1371.451321</v>
          </cell>
          <cell r="S57">
            <v>1383.776556</v>
          </cell>
          <cell r="T57">
            <v>1396.064372</v>
          </cell>
          <cell r="U57">
            <v>1408.343374</v>
          </cell>
          <cell r="V57">
            <v>1419.880778</v>
          </cell>
          <cell r="W57">
            <v>1431.93768</v>
          </cell>
          <cell r="X57">
            <v>1444.2187249999999</v>
          </cell>
          <cell r="Y57">
            <v>1456.693798</v>
          </cell>
          <cell r="Z57">
            <v>1469.3785339999999</v>
          </cell>
          <cell r="AA57">
            <v>1480.1149949999999</v>
          </cell>
          <cell r="AB57">
            <v>1491.395565</v>
          </cell>
          <cell r="AC57">
            <v>1502.9076990000001</v>
          </cell>
          <cell r="AD57">
            <v>1514.650809</v>
          </cell>
          <cell r="AE57">
            <v>1526.6624200000001</v>
          </cell>
          <cell r="AF57">
            <v>1538.9815269999999</v>
          </cell>
          <cell r="AG57">
            <v>1551.6397420000001</v>
          </cell>
          <cell r="AH57">
            <v>1564.6603319999999</v>
          </cell>
          <cell r="AI57">
            <v>1578.0585169999999</v>
          </cell>
          <cell r="AJ57">
            <v>1591.842042</v>
          </cell>
          <cell r="AK57">
            <v>1606.01252</v>
          </cell>
          <cell r="AL57">
            <v>1620.0492879999999</v>
          </cell>
          <cell r="AM57">
            <v>1634.25199</v>
          </cell>
          <cell r="AN57">
            <v>1648.694751</v>
          </cell>
          <cell r="AO57">
            <v>1663.406107</v>
          </cell>
          <cell r="AP57">
            <v>1678.399938</v>
          </cell>
          <cell r="AQ57">
            <v>1693.6835060000001</v>
          </cell>
          <cell r="AR57">
            <v>1709.2598860000001</v>
          </cell>
          <cell r="AS57">
            <v>1725.129042</v>
          </cell>
          <cell r="AT57">
            <v>1741.2886040000001</v>
          </cell>
          <cell r="AU57">
            <v>1757.737003</v>
          </cell>
          <cell r="AV57">
            <v>1774.5235090000001</v>
          </cell>
          <cell r="AW57">
            <v>1791.625366</v>
          </cell>
          <cell r="AX57">
            <v>1809.0391970000001</v>
          </cell>
          <cell r="AY57">
            <v>1826.7639300000001</v>
          </cell>
          <cell r="AZ57">
            <v>1844.7984509999999</v>
          </cell>
          <cell r="BA57">
            <v>1863.1417140000001</v>
          </cell>
          <cell r="BB57">
            <v>1881.7932940000001</v>
          </cell>
          <cell r="BC57">
            <v>1900.753839</v>
          </cell>
          <cell r="BD57">
            <v>1920.025298</v>
          </cell>
          <cell r="BE57">
            <v>1939.6109919999999</v>
          </cell>
        </row>
        <row r="58">
          <cell r="B58">
            <v>2399.074044</v>
          </cell>
          <cell r="C58">
            <v>2380.717177</v>
          </cell>
          <cell r="D58">
            <v>2382.1227140000001</v>
          </cell>
          <cell r="E58">
            <v>2387.7603359999998</v>
          </cell>
          <cell r="F58">
            <v>2397.0406269999999</v>
          </cell>
          <cell r="G58">
            <v>2409.863828</v>
          </cell>
          <cell r="H58">
            <v>2424.5217929999999</v>
          </cell>
          <cell r="I58">
            <v>2441.2197550000001</v>
          </cell>
          <cell r="J58">
            <v>2459.642296</v>
          </cell>
          <cell r="K58">
            <v>2479.3535659999998</v>
          </cell>
          <cell r="L58">
            <v>2501.9781659999999</v>
          </cell>
          <cell r="M58">
            <v>2523.8068450000001</v>
          </cell>
          <cell r="N58">
            <v>2545.5854300000001</v>
          </cell>
          <cell r="O58">
            <v>2567.364939</v>
          </cell>
          <cell r="P58">
            <v>2589.1092279999998</v>
          </cell>
          <cell r="Q58">
            <v>2610.7852240000002</v>
          </cell>
          <cell r="R58">
            <v>2632.2017129999999</v>
          </cell>
          <cell r="S58">
            <v>2653.4807689999998</v>
          </cell>
          <cell r="T58">
            <v>2674.6870330000002</v>
          </cell>
          <cell r="U58">
            <v>2695.8810619999999</v>
          </cell>
          <cell r="V58">
            <v>2715.670239</v>
          </cell>
          <cell r="W58">
            <v>2736.4560409999999</v>
          </cell>
          <cell r="X58">
            <v>2757.675373</v>
          </cell>
          <cell r="Y58">
            <v>2779.2609649999999</v>
          </cell>
          <cell r="Z58">
            <v>2801.2300030000001</v>
          </cell>
          <cell r="AA58">
            <v>2819.4895660000002</v>
          </cell>
          <cell r="AB58">
            <v>2838.8127730000001</v>
          </cell>
          <cell r="AC58">
            <v>2858.5745230000002</v>
          </cell>
          <cell r="AD58">
            <v>2878.7566780000002</v>
          </cell>
          <cell r="AE58">
            <v>2899.419363</v>
          </cell>
          <cell r="AF58">
            <v>2920.6280849999998</v>
          </cell>
          <cell r="AG58">
            <v>2942.472315</v>
          </cell>
          <cell r="AH58">
            <v>2964.9695109999998</v>
          </cell>
          <cell r="AI58">
            <v>2988.1360289999998</v>
          </cell>
          <cell r="AJ58">
            <v>3011.979448</v>
          </cell>
          <cell r="AK58">
            <v>3036.4994369999999</v>
          </cell>
          <cell r="AL58">
            <v>3061.0286689999998</v>
          </cell>
          <cell r="AM58">
            <v>3085.9572920000001</v>
          </cell>
          <cell r="AN58">
            <v>3111.3729119999998</v>
          </cell>
          <cell r="AO58">
            <v>3137.3065059999999</v>
          </cell>
          <cell r="AP58">
            <v>3163.7744210000001</v>
          </cell>
          <cell r="AQ58">
            <v>3190.833971</v>
          </cell>
          <cell r="AR58">
            <v>3218.4665810000001</v>
          </cell>
          <cell r="AS58">
            <v>3246.6656579999999</v>
          </cell>
          <cell r="AT58">
            <v>3275.425475</v>
          </cell>
          <cell r="AU58">
            <v>3304.7398509999998</v>
          </cell>
          <cell r="AV58">
            <v>3334.840471</v>
          </cell>
          <cell r="AW58">
            <v>3365.5926800000002</v>
          </cell>
          <cell r="AX58">
            <v>3396.9467719999998</v>
          </cell>
          <cell r="AY58">
            <v>3428.8736260000001</v>
          </cell>
          <cell r="AZ58">
            <v>3461.3540870000002</v>
          </cell>
          <cell r="BA58">
            <v>3494.4670070000002</v>
          </cell>
          <cell r="BB58">
            <v>3528.1601380000002</v>
          </cell>
          <cell r="BC58">
            <v>3562.4132840000002</v>
          </cell>
          <cell r="BD58">
            <v>3597.2171279999998</v>
          </cell>
          <cell r="BE58">
            <v>3632.5692730000001</v>
          </cell>
        </row>
        <row r="59">
          <cell r="B59">
            <v>2401.0817999999999</v>
          </cell>
          <cell r="C59">
            <v>2387.6293470000001</v>
          </cell>
          <cell r="D59">
            <v>2394.0115540000002</v>
          </cell>
          <cell r="E59">
            <v>2404.5851170000001</v>
          </cell>
          <cell r="F59">
            <v>2418.7240139999999</v>
          </cell>
          <cell r="G59">
            <v>2436.3270710000002</v>
          </cell>
          <cell r="H59">
            <v>2455.7728550000002</v>
          </cell>
          <cell r="I59">
            <v>2477.1180669999999</v>
          </cell>
          <cell r="J59">
            <v>2499.8942659999998</v>
          </cell>
          <cell r="K59">
            <v>2523.533966</v>
          </cell>
          <cell r="L59">
            <v>2549.8330569999998</v>
          </cell>
          <cell r="M59">
            <v>2575.2381869999999</v>
          </cell>
          <cell r="N59">
            <v>2600.3924470000002</v>
          </cell>
          <cell r="O59">
            <v>2625.3360779999998</v>
          </cell>
          <cell r="P59">
            <v>2650.069782</v>
          </cell>
          <cell r="Q59">
            <v>2674.6101800000001</v>
          </cell>
          <cell r="R59">
            <v>2698.9881019999998</v>
          </cell>
          <cell r="S59">
            <v>2723.2439129999998</v>
          </cell>
          <cell r="T59">
            <v>2747.4260840000002</v>
          </cell>
          <cell r="U59">
            <v>2771.5909069999998</v>
          </cell>
          <cell r="V59">
            <v>2794.2962830000001</v>
          </cell>
          <cell r="W59">
            <v>2818.0240170000002</v>
          </cell>
          <cell r="X59">
            <v>2842.1928640000001</v>
          </cell>
          <cell r="Y59">
            <v>2866.7435519999999</v>
          </cell>
          <cell r="Z59">
            <v>2891.7068519999998</v>
          </cell>
          <cell r="AA59">
            <v>2912.8359869999999</v>
          </cell>
          <cell r="AB59">
            <v>2935.035918</v>
          </cell>
          <cell r="AC59">
            <v>2957.6915610000001</v>
          </cell>
          <cell r="AD59">
            <v>2980.8017610000002</v>
          </cell>
          <cell r="AE59">
            <v>3004.4403649999999</v>
          </cell>
          <cell r="AF59">
            <v>3028.684115</v>
          </cell>
          <cell r="AG59">
            <v>3053.5952240000001</v>
          </cell>
          <cell r="AH59">
            <v>3079.219478</v>
          </cell>
          <cell r="AI59">
            <v>3105.586832</v>
          </cell>
          <cell r="AJ59">
            <v>3132.7125259999998</v>
          </cell>
          <cell r="AK59">
            <v>3160.599737</v>
          </cell>
          <cell r="AL59">
            <v>3188.22381</v>
          </cell>
          <cell r="AM59">
            <v>3216.1744349999999</v>
          </cell>
          <cell r="AN59">
            <v>3244.5974930000002</v>
          </cell>
          <cell r="AO59">
            <v>3273.549141</v>
          </cell>
          <cell r="AP59">
            <v>3303.0566920000001</v>
          </cell>
          <cell r="AQ59">
            <v>3333.134442</v>
          </cell>
          <cell r="AR59">
            <v>3363.788438</v>
          </cell>
          <cell r="AS59">
            <v>3395.0186119999998</v>
          </cell>
          <cell r="AT59">
            <v>3426.820299</v>
          </cell>
          <cell r="AU59">
            <v>3459.190411</v>
          </cell>
          <cell r="AV59">
            <v>3492.225911</v>
          </cell>
          <cell r="AW59">
            <v>3525.8820150000001</v>
          </cell>
          <cell r="AX59">
            <v>3560.152079</v>
          </cell>
          <cell r="AY59">
            <v>3595.0339899999999</v>
          </cell>
          <cell r="AZ59">
            <v>3630.5255569999999</v>
          </cell>
          <cell r="BA59">
            <v>3666.624722</v>
          </cell>
          <cell r="BB59">
            <v>3703.3306510000002</v>
          </cell>
          <cell r="BC59">
            <v>3740.6446139999998</v>
          </cell>
          <cell r="BD59">
            <v>3778.5704519999999</v>
          </cell>
          <cell r="BE59">
            <v>3817.1146950000002</v>
          </cell>
        </row>
        <row r="60">
          <cell r="B60">
            <v>872.15504469999996</v>
          </cell>
          <cell r="C60">
            <v>865.48296089999997</v>
          </cell>
          <cell r="D60">
            <v>865.99392829999999</v>
          </cell>
          <cell r="E60">
            <v>868.04342229999997</v>
          </cell>
          <cell r="F60">
            <v>871.41716770000005</v>
          </cell>
          <cell r="G60">
            <v>876.07889820000003</v>
          </cell>
          <cell r="H60">
            <v>881.40763660000005</v>
          </cell>
          <cell r="I60">
            <v>887.47799310000005</v>
          </cell>
          <cell r="J60">
            <v>894.17530060000001</v>
          </cell>
          <cell r="K60">
            <v>901.34111099999996</v>
          </cell>
          <cell r="L60">
            <v>909.5660302</v>
          </cell>
          <cell r="M60">
            <v>917.50160080000001</v>
          </cell>
          <cell r="N60">
            <v>925.41896080000004</v>
          </cell>
          <cell r="O60">
            <v>933.33665629999996</v>
          </cell>
          <cell r="P60">
            <v>941.24154810000005</v>
          </cell>
          <cell r="Q60">
            <v>949.12161279999998</v>
          </cell>
          <cell r="R60">
            <v>956.90733660000001</v>
          </cell>
          <cell r="S60">
            <v>964.64309790000004</v>
          </cell>
          <cell r="T60">
            <v>972.35239690000003</v>
          </cell>
          <cell r="U60">
            <v>980.05724789999999</v>
          </cell>
          <cell r="V60">
            <v>987.25138059999995</v>
          </cell>
          <cell r="W60">
            <v>994.80782520000002</v>
          </cell>
          <cell r="X60">
            <v>1002.521875</v>
          </cell>
          <cell r="Y60">
            <v>1010.369074</v>
          </cell>
          <cell r="Z60">
            <v>1018.355671</v>
          </cell>
          <cell r="AA60">
            <v>1024.993729</v>
          </cell>
          <cell r="AB60">
            <v>1032.018464</v>
          </cell>
          <cell r="AC60">
            <v>1039.202626</v>
          </cell>
          <cell r="AD60">
            <v>1046.539622</v>
          </cell>
          <cell r="AE60">
            <v>1054.0513089999999</v>
          </cell>
          <cell r="AF60">
            <v>1061.761501</v>
          </cell>
          <cell r="AG60">
            <v>1069.7027250000001</v>
          </cell>
          <cell r="AH60">
            <v>1077.8813279999999</v>
          </cell>
          <cell r="AI60">
            <v>1086.303255</v>
          </cell>
          <cell r="AJ60">
            <v>1094.971262</v>
          </cell>
          <cell r="AK60">
            <v>1103.8852280000001</v>
          </cell>
          <cell r="AL60">
            <v>1112.8025540000001</v>
          </cell>
          <cell r="AM60">
            <v>1121.8650749999999</v>
          </cell>
          <cell r="AN60">
            <v>1131.104638</v>
          </cell>
          <cell r="AO60">
            <v>1140.5325049999999</v>
          </cell>
          <cell r="AP60">
            <v>1150.154618</v>
          </cell>
          <cell r="AQ60">
            <v>1159.9918130000001</v>
          </cell>
          <cell r="AR60">
            <v>1170.037337</v>
          </cell>
          <cell r="AS60">
            <v>1180.2887949999999</v>
          </cell>
          <cell r="AT60">
            <v>1190.744103</v>
          </cell>
          <cell r="AU60">
            <v>1201.401014</v>
          </cell>
          <cell r="AV60">
            <v>1212.3437570000001</v>
          </cell>
          <cell r="AW60">
            <v>1223.5233760000001</v>
          </cell>
          <cell r="AX60">
            <v>1234.9218040000001</v>
          </cell>
          <cell r="AY60">
            <v>1246.5284529999999</v>
          </cell>
          <cell r="AZ60">
            <v>1258.3363589999999</v>
          </cell>
          <cell r="BA60">
            <v>1270.3741889999999</v>
          </cell>
          <cell r="BB60">
            <v>1282.622948</v>
          </cell>
          <cell r="BC60">
            <v>1295.075294</v>
          </cell>
          <cell r="BD60">
            <v>1307.72784</v>
          </cell>
          <cell r="BE60">
            <v>1320.5797150000001</v>
          </cell>
        </row>
        <row r="61">
          <cell r="B61">
            <v>872.88494060000005</v>
          </cell>
          <cell r="C61">
            <v>867.99580270000001</v>
          </cell>
          <cell r="D61">
            <v>870.31598250000002</v>
          </cell>
          <cell r="E61">
            <v>874.15988230000005</v>
          </cell>
          <cell r="F61">
            <v>879.29991919999998</v>
          </cell>
          <cell r="G61">
            <v>885.69931280000003</v>
          </cell>
          <cell r="H61">
            <v>892.76860899999997</v>
          </cell>
          <cell r="I61">
            <v>900.5284206</v>
          </cell>
          <cell r="J61">
            <v>908.80845190000002</v>
          </cell>
          <cell r="K61">
            <v>917.40239899999995</v>
          </cell>
          <cell r="L61">
            <v>926.96313769999995</v>
          </cell>
          <cell r="M61">
            <v>936.19888690000005</v>
          </cell>
          <cell r="N61">
            <v>945.34343550000006</v>
          </cell>
          <cell r="O61">
            <v>954.41141189999996</v>
          </cell>
          <cell r="P61">
            <v>963.40307180000002</v>
          </cell>
          <cell r="Q61">
            <v>972.3244578</v>
          </cell>
          <cell r="R61">
            <v>981.18677730000002</v>
          </cell>
          <cell r="S61">
            <v>990.0047045</v>
          </cell>
          <cell r="T61">
            <v>998.79586080000001</v>
          </cell>
          <cell r="U61">
            <v>1007.580711</v>
          </cell>
          <cell r="V61">
            <v>1015.834995</v>
          </cell>
          <cell r="W61">
            <v>1024.4609459999999</v>
          </cell>
          <cell r="X61">
            <v>1033.2472580000001</v>
          </cell>
          <cell r="Y61">
            <v>1042.1723850000001</v>
          </cell>
          <cell r="Z61">
            <v>1051.2475119999999</v>
          </cell>
          <cell r="AA61">
            <v>1058.9287710000001</v>
          </cell>
          <cell r="AB61">
            <v>1066.9993059999999</v>
          </cell>
          <cell r="AC61">
            <v>1075.2355110000001</v>
          </cell>
          <cell r="AD61">
            <v>1083.636964</v>
          </cell>
          <cell r="AE61">
            <v>1092.230513</v>
          </cell>
          <cell r="AF61">
            <v>1101.044056</v>
          </cell>
          <cell r="AG61">
            <v>1110.1002089999999</v>
          </cell>
          <cell r="AH61">
            <v>1119.4156190000001</v>
          </cell>
          <cell r="AI61">
            <v>1129.001174</v>
          </cell>
          <cell r="AJ61">
            <v>1138.8624150000001</v>
          </cell>
          <cell r="AK61">
            <v>1149.000497</v>
          </cell>
          <cell r="AL61">
            <v>1159.0429180000001</v>
          </cell>
          <cell r="AM61">
            <v>1169.2040529999999</v>
          </cell>
          <cell r="AN61">
            <v>1179.5369370000001</v>
          </cell>
          <cell r="AO61">
            <v>1190.0619819999999</v>
          </cell>
          <cell r="AP61">
            <v>1200.789121</v>
          </cell>
          <cell r="AQ61">
            <v>1211.723549</v>
          </cell>
          <cell r="AR61">
            <v>1222.8674639999999</v>
          </cell>
          <cell r="AS61">
            <v>1234.2208430000001</v>
          </cell>
          <cell r="AT61">
            <v>1245.7819890000001</v>
          </cell>
          <cell r="AU61">
            <v>1257.5497789999999</v>
          </cell>
          <cell r="AV61">
            <v>1269.5594630000001</v>
          </cell>
          <cell r="AW61">
            <v>1281.794762</v>
          </cell>
          <cell r="AX61">
            <v>1294.253258</v>
          </cell>
          <cell r="AY61">
            <v>1306.9341850000001</v>
          </cell>
          <cell r="AZ61">
            <v>1319.8367450000001</v>
          </cell>
          <cell r="BA61">
            <v>1332.9601909999999</v>
          </cell>
          <cell r="BB61">
            <v>1346.304218</v>
          </cell>
          <cell r="BC61">
            <v>1359.8692900000001</v>
          </cell>
          <cell r="BD61">
            <v>1373.656802</v>
          </cell>
          <cell r="BE61">
            <v>1387.669128</v>
          </cell>
        </row>
        <row r="62">
          <cell r="B62">
            <v>6713.9814800000004</v>
          </cell>
          <cell r="C62">
            <v>6662.61877</v>
          </cell>
          <cell r="D62">
            <v>6666.5522739999997</v>
          </cell>
          <cell r="E62">
            <v>6682.3295889999999</v>
          </cell>
          <cell r="F62">
            <v>6708.3011909999996</v>
          </cell>
          <cell r="G62">
            <v>6744.1878980000001</v>
          </cell>
          <cell r="H62">
            <v>6785.2093329999998</v>
          </cell>
          <cell r="I62">
            <v>6831.9398549999996</v>
          </cell>
          <cell r="J62">
            <v>6883.4967409999999</v>
          </cell>
          <cell r="K62">
            <v>6938.6602339999999</v>
          </cell>
          <cell r="L62">
            <v>7001.9769059999999</v>
          </cell>
          <cell r="M62">
            <v>7063.0661300000002</v>
          </cell>
          <cell r="N62">
            <v>7124.0151640000004</v>
          </cell>
          <cell r="O62">
            <v>7184.9667820000004</v>
          </cell>
          <cell r="P62">
            <v>7245.8198350000002</v>
          </cell>
          <cell r="Q62">
            <v>7306.4817650000005</v>
          </cell>
          <cell r="R62">
            <v>7366.417445</v>
          </cell>
          <cell r="S62">
            <v>7425.9685060000002</v>
          </cell>
          <cell r="T62">
            <v>7485.3158560000002</v>
          </cell>
          <cell r="U62">
            <v>7544.6289649999999</v>
          </cell>
          <cell r="V62">
            <v>7600.0104860000001</v>
          </cell>
          <cell r="W62">
            <v>7658.1811399999997</v>
          </cell>
          <cell r="X62">
            <v>7717.5650599999999</v>
          </cell>
          <cell r="Y62">
            <v>7777.9739879999997</v>
          </cell>
          <cell r="Z62">
            <v>7839.4560179999999</v>
          </cell>
          <cell r="AA62">
            <v>7890.5567970000002</v>
          </cell>
          <cell r="AB62">
            <v>7944.6342670000004</v>
          </cell>
          <cell r="AC62">
            <v>7999.9390350000003</v>
          </cell>
          <cell r="AD62">
            <v>8056.4203349999998</v>
          </cell>
          <cell r="AE62">
            <v>8114.2464389999996</v>
          </cell>
          <cell r="AF62">
            <v>8173.6006660000003</v>
          </cell>
          <cell r="AG62">
            <v>8234.7334109999993</v>
          </cell>
          <cell r="AH62">
            <v>8297.6935300000005</v>
          </cell>
          <cell r="AI62">
            <v>8362.526801</v>
          </cell>
          <cell r="AJ62">
            <v>8429.2544290000005</v>
          </cell>
          <cell r="AK62">
            <v>8497.8754910000007</v>
          </cell>
          <cell r="AL62">
            <v>8566.5224170000001</v>
          </cell>
          <cell r="AM62">
            <v>8636.2870719999992</v>
          </cell>
          <cell r="AN62">
            <v>8707.4146270000001</v>
          </cell>
          <cell r="AO62">
            <v>8779.9917690000002</v>
          </cell>
          <cell r="AP62">
            <v>8854.0642499999994</v>
          </cell>
          <cell r="AQ62">
            <v>8929.7924660000008</v>
          </cell>
          <cell r="AR62">
            <v>9007.1244349999997</v>
          </cell>
          <cell r="AS62">
            <v>9086.0417030000008</v>
          </cell>
          <cell r="AT62">
            <v>9166.5282470000002</v>
          </cell>
          <cell r="AU62">
            <v>9248.5667649999996</v>
          </cell>
          <cell r="AV62">
            <v>9332.8056500000002</v>
          </cell>
          <cell r="AW62">
            <v>9418.8680550000008</v>
          </cell>
          <cell r="AX62">
            <v>9506.6148749999993</v>
          </cell>
          <cell r="AY62">
            <v>9595.9646119999998</v>
          </cell>
          <cell r="AZ62">
            <v>9686.8636619999997</v>
          </cell>
          <cell r="BA62">
            <v>9779.5326970000006</v>
          </cell>
          <cell r="BB62">
            <v>9873.8254959999995</v>
          </cell>
          <cell r="BC62">
            <v>9969.6855410000007</v>
          </cell>
          <cell r="BD62">
            <v>10067.08675</v>
          </cell>
          <cell r="BE62">
            <v>10166.022430000001</v>
          </cell>
        </row>
        <row r="63">
          <cell r="B63">
            <v>6719.6003289999999</v>
          </cell>
          <cell r="C63">
            <v>6681.963006</v>
          </cell>
          <cell r="D63">
            <v>6699.8241010000002</v>
          </cell>
          <cell r="E63">
            <v>6729.4150239999999</v>
          </cell>
          <cell r="F63">
            <v>6768.9838049999998</v>
          </cell>
          <cell r="G63">
            <v>6818.2473049999999</v>
          </cell>
          <cell r="H63">
            <v>6872.6678169999996</v>
          </cell>
          <cell r="I63">
            <v>6932.4040210000003</v>
          </cell>
          <cell r="J63">
            <v>6996.1449540000003</v>
          </cell>
          <cell r="K63">
            <v>7062.3024590000005</v>
          </cell>
          <cell r="L63">
            <v>7135.9024710000003</v>
          </cell>
          <cell r="M63">
            <v>7207.0006659999999</v>
          </cell>
          <cell r="N63">
            <v>7277.3967849999999</v>
          </cell>
          <cell r="O63">
            <v>7347.2034389999999</v>
          </cell>
          <cell r="P63">
            <v>7416.4225980000001</v>
          </cell>
          <cell r="Q63">
            <v>7485.1007769999997</v>
          </cell>
          <cell r="R63">
            <v>7553.3242520000003</v>
          </cell>
          <cell r="S63">
            <v>7621.2059909999998</v>
          </cell>
          <cell r="T63">
            <v>7688.8816420000003</v>
          </cell>
          <cell r="U63">
            <v>7756.5087450000001</v>
          </cell>
          <cell r="V63">
            <v>7820.0514730000004</v>
          </cell>
          <cell r="W63">
            <v>7886.4553489999998</v>
          </cell>
          <cell r="X63">
            <v>7954.0937119999999</v>
          </cell>
          <cell r="Y63">
            <v>8022.8006859999996</v>
          </cell>
          <cell r="Z63">
            <v>8092.662386</v>
          </cell>
          <cell r="AA63">
            <v>8151.7938830000003</v>
          </cell>
          <cell r="AB63">
            <v>8213.9220850000002</v>
          </cell>
          <cell r="AC63">
            <v>8277.3256340000007</v>
          </cell>
          <cell r="AD63">
            <v>8342.0012910000005</v>
          </cell>
          <cell r="AE63">
            <v>8408.1557300000004</v>
          </cell>
          <cell r="AF63">
            <v>8476.0037150000007</v>
          </cell>
          <cell r="AG63">
            <v>8545.7193559999996</v>
          </cell>
          <cell r="AH63">
            <v>8617.4307869999993</v>
          </cell>
          <cell r="AI63">
            <v>8691.2218400000002</v>
          </cell>
          <cell r="AJ63">
            <v>8767.1351649999997</v>
          </cell>
          <cell r="AK63">
            <v>8845.1796529999992</v>
          </cell>
          <cell r="AL63">
            <v>8922.4877300000007</v>
          </cell>
          <cell r="AM63">
            <v>9000.7096880000008</v>
          </cell>
          <cell r="AN63">
            <v>9080.2537869999996</v>
          </cell>
          <cell r="AO63">
            <v>9161.2771819999998</v>
          </cell>
          <cell r="AP63">
            <v>9243.8563180000001</v>
          </cell>
          <cell r="AQ63">
            <v>9328.0311959999999</v>
          </cell>
          <cell r="AR63">
            <v>9413.8187460000008</v>
          </cell>
          <cell r="AS63">
            <v>9501.2187699999995</v>
          </cell>
          <cell r="AT63">
            <v>9590.2182190000003</v>
          </cell>
          <cell r="AU63">
            <v>9680.8084510000008</v>
          </cell>
          <cell r="AV63">
            <v>9773.2608170000003</v>
          </cell>
          <cell r="AW63">
            <v>9867.4499950000009</v>
          </cell>
          <cell r="AX63">
            <v>9963.3573849999993</v>
          </cell>
          <cell r="AY63">
            <v>10060.977080000001</v>
          </cell>
          <cell r="AZ63">
            <v>10160.30294</v>
          </cell>
          <cell r="BA63">
            <v>10261.32921</v>
          </cell>
          <cell r="BB63">
            <v>10364.053550000001</v>
          </cell>
          <cell r="BC63">
            <v>10468.479520000001</v>
          </cell>
          <cell r="BD63">
            <v>10574.61788</v>
          </cell>
          <cell r="BE63">
            <v>10682.48688</v>
          </cell>
        </row>
        <row r="64">
          <cell r="B64">
            <v>7909.9339410000002</v>
          </cell>
          <cell r="C64">
            <v>7915.5646900000002</v>
          </cell>
          <cell r="D64">
            <v>7955.865785</v>
          </cell>
          <cell r="E64">
            <v>8001.4950120000003</v>
          </cell>
          <cell r="F64">
            <v>8052.6345060000003</v>
          </cell>
          <cell r="G64">
            <v>8110.721399</v>
          </cell>
          <cell r="H64">
            <v>8171.2584669999997</v>
          </cell>
          <cell r="I64">
            <v>8233.9641479999991</v>
          </cell>
          <cell r="J64">
            <v>8298.0295549999992</v>
          </cell>
          <cell r="K64">
            <v>8363.0822540000008</v>
          </cell>
          <cell r="L64">
            <v>8438.9563269999999</v>
          </cell>
          <cell r="M64">
            <v>8508.9583050000001</v>
          </cell>
          <cell r="N64">
            <v>8577.0628379999998</v>
          </cell>
          <cell r="O64">
            <v>8644.5058969999991</v>
          </cell>
          <cell r="P64">
            <v>8711.7159670000001</v>
          </cell>
          <cell r="Q64">
            <v>8778.8305999999993</v>
          </cell>
          <cell r="R64">
            <v>8845.2735919999996</v>
          </cell>
          <cell r="S64">
            <v>8911.4243810000007</v>
          </cell>
          <cell r="T64">
            <v>8977.4640799999997</v>
          </cell>
          <cell r="U64">
            <v>9043.5195729999996</v>
          </cell>
          <cell r="V64">
            <v>9102.8756360000007</v>
          </cell>
          <cell r="W64">
            <v>9166.5844240000006</v>
          </cell>
          <cell r="X64">
            <v>9232.1444520000005</v>
          </cell>
          <cell r="Y64">
            <v>9298.8268509999998</v>
          </cell>
          <cell r="Z64">
            <v>9366.4064610000005</v>
          </cell>
          <cell r="AA64">
            <v>9415.9273109999995</v>
          </cell>
          <cell r="AB64">
            <v>9469.0557879999997</v>
          </cell>
          <cell r="AC64">
            <v>9523.7360509999999</v>
          </cell>
          <cell r="AD64">
            <v>9579.5703250000006</v>
          </cell>
          <cell r="AE64">
            <v>9636.5069970000004</v>
          </cell>
          <cell r="AF64">
            <v>9694.5938210000004</v>
          </cell>
          <cell r="AG64">
            <v>9754.0376469999992</v>
          </cell>
          <cell r="AH64">
            <v>9814.8240320000004</v>
          </cell>
          <cell r="AI64">
            <v>9876.9633360000007</v>
          </cell>
          <cell r="AJ64">
            <v>9940.4644489999991</v>
          </cell>
          <cell r="AK64">
            <v>10005.32811</v>
          </cell>
          <cell r="AL64">
            <v>10068.558069999999</v>
          </cell>
          <cell r="AM64">
            <v>10131.98641</v>
          </cell>
          <cell r="AN64">
            <v>10196.189109999999</v>
          </cell>
          <cell r="AO64">
            <v>10261.39085</v>
          </cell>
          <cell r="AP64">
            <v>10327.68908</v>
          </cell>
          <cell r="AQ64">
            <v>10395.31774</v>
          </cell>
          <cell r="AR64">
            <v>10464.1993</v>
          </cell>
          <cell r="AS64">
            <v>10534.29628</v>
          </cell>
          <cell r="AT64">
            <v>10605.58618</v>
          </cell>
          <cell r="AU64">
            <v>10678.05219</v>
          </cell>
          <cell r="AV64">
            <v>10752.65835</v>
          </cell>
          <cell r="AW64">
            <v>10828.86303</v>
          </cell>
          <cell r="AX64">
            <v>10906.43152</v>
          </cell>
          <cell r="AY64">
            <v>10985.24764</v>
          </cell>
          <cell r="AZ64">
            <v>11065.25027</v>
          </cell>
          <cell r="BA64">
            <v>11146.78693</v>
          </cell>
          <cell r="BB64">
            <v>11229.65112</v>
          </cell>
          <cell r="BC64">
            <v>11313.746660000001</v>
          </cell>
          <cell r="BD64">
            <v>11399.03126</v>
          </cell>
          <cell r="BE64">
            <v>11485.491309999999</v>
          </cell>
        </row>
        <row r="65">
          <cell r="B65">
            <v>7913.660699</v>
          </cell>
          <cell r="C65">
            <v>7934.9554930000004</v>
          </cell>
          <cell r="D65">
            <v>7990.9848000000002</v>
          </cell>
          <cell r="E65">
            <v>8052.498353</v>
          </cell>
          <cell r="F65">
            <v>8119.3968180000002</v>
          </cell>
          <cell r="G65">
            <v>8192.6069279999992</v>
          </cell>
          <cell r="H65">
            <v>8266.1034070000005</v>
          </cell>
          <cell r="I65">
            <v>8342.8842409999997</v>
          </cell>
          <cell r="J65">
            <v>8423.8068779999994</v>
          </cell>
          <cell r="K65">
            <v>8509.5970679999991</v>
          </cell>
          <cell r="L65">
            <v>8604.225504</v>
          </cell>
          <cell r="M65">
            <v>8690.6058959999991</v>
          </cell>
          <cell r="N65">
            <v>8772.9243129999995</v>
          </cell>
          <cell r="O65">
            <v>8853.0035150000003</v>
          </cell>
          <cell r="P65">
            <v>8931.8695790000002</v>
          </cell>
          <cell r="Q65">
            <v>9010.1261329999998</v>
          </cell>
          <cell r="R65">
            <v>9088.1237959999999</v>
          </cell>
          <cell r="S65">
            <v>9166.065885</v>
          </cell>
          <cell r="T65">
            <v>9244.0805290000008</v>
          </cell>
          <cell r="U65">
            <v>9322.2669609999994</v>
          </cell>
          <cell r="V65">
            <v>9393.6367929999997</v>
          </cell>
          <cell r="W65">
            <v>9469.6058639999992</v>
          </cell>
          <cell r="X65">
            <v>9547.5933380000006</v>
          </cell>
          <cell r="Y65">
            <v>9626.8624249999993</v>
          </cell>
          <cell r="Z65">
            <v>9707.2045880000005</v>
          </cell>
          <cell r="AA65">
            <v>9768.8278929999997</v>
          </cell>
          <cell r="AB65">
            <v>9834.0582080000004</v>
          </cell>
          <cell r="AC65">
            <v>9900.923358</v>
          </cell>
          <cell r="AD65">
            <v>9969.0897270000005</v>
          </cell>
          <cell r="AE65">
            <v>10038.54191</v>
          </cell>
          <cell r="AF65">
            <v>10109.350259999999</v>
          </cell>
          <cell r="AG65">
            <v>10181.59971</v>
          </cell>
          <cell r="AH65">
            <v>10255.361699999999</v>
          </cell>
          <cell r="AI65">
            <v>10330.67886</v>
          </cell>
          <cell r="AJ65">
            <v>10407.58221</v>
          </cell>
          <cell r="AK65">
            <v>10486.08606</v>
          </cell>
          <cell r="AL65">
            <v>10561.738300000001</v>
          </cell>
          <cell r="AM65">
            <v>10637.15667</v>
          </cell>
          <cell r="AN65">
            <v>10713.23524</v>
          </cell>
          <cell r="AO65">
            <v>10790.331889999999</v>
          </cell>
          <cell r="AP65">
            <v>10868.592860000001</v>
          </cell>
          <cell r="AQ65">
            <v>10948.07316</v>
          </cell>
          <cell r="AR65">
            <v>11028.78558</v>
          </cell>
          <cell r="AS65">
            <v>11110.722040000001</v>
          </cell>
          <cell r="AT65">
            <v>11193.86404</v>
          </cell>
          <cell r="AU65">
            <v>11278.199850000001</v>
          </cell>
          <cell r="AV65">
            <v>11364.125260000001</v>
          </cell>
          <cell r="AW65">
            <v>11451.45167</v>
          </cell>
          <cell r="AX65">
            <v>11540.13805</v>
          </cell>
          <cell r="AY65">
            <v>11630.17792</v>
          </cell>
          <cell r="AZ65">
            <v>11721.571840000001</v>
          </cell>
          <cell r="BA65">
            <v>11814.321089999999</v>
          </cell>
          <cell r="BB65">
            <v>11908.42806</v>
          </cell>
          <cell r="BC65">
            <v>12003.89784</v>
          </cell>
          <cell r="BD65">
            <v>12100.739600000001</v>
          </cell>
          <cell r="BE65">
            <v>12198.967269999999</v>
          </cell>
        </row>
        <row r="66">
          <cell r="B66">
            <v>109.6732128</v>
          </cell>
          <cell r="C66">
            <v>108.8342004</v>
          </cell>
          <cell r="D66">
            <v>108.89845440000001</v>
          </cell>
          <cell r="E66">
            <v>109.15617760000001</v>
          </cell>
          <cell r="F66">
            <v>109.58042500000001</v>
          </cell>
          <cell r="G66">
            <v>110.16663610000001</v>
          </cell>
          <cell r="H66">
            <v>110.83672319999999</v>
          </cell>
          <cell r="I66">
            <v>111.6000686</v>
          </cell>
          <cell r="J66">
            <v>112.44225280000001</v>
          </cell>
          <cell r="K66">
            <v>113.34335110000001</v>
          </cell>
          <cell r="L66">
            <v>114.37763200000001</v>
          </cell>
          <cell r="M66">
            <v>115.3755275</v>
          </cell>
          <cell r="N66">
            <v>116.37113290000001</v>
          </cell>
          <cell r="O66">
            <v>117.3667805</v>
          </cell>
          <cell r="P66">
            <v>118.3608181</v>
          </cell>
          <cell r="Q66">
            <v>119.3517337</v>
          </cell>
          <cell r="R66">
            <v>120.3307859</v>
          </cell>
          <cell r="S66">
            <v>121.30355539999999</v>
          </cell>
          <cell r="T66">
            <v>122.27299720000001</v>
          </cell>
          <cell r="U66">
            <v>123.2418797</v>
          </cell>
          <cell r="V66">
            <v>124.1465395</v>
          </cell>
          <cell r="W66">
            <v>125.09676</v>
          </cell>
          <cell r="X66">
            <v>126.06679920000001</v>
          </cell>
          <cell r="Y66">
            <v>127.05358200000001</v>
          </cell>
          <cell r="Z66">
            <v>128.05789390000001</v>
          </cell>
          <cell r="AA66">
            <v>128.8926276</v>
          </cell>
          <cell r="AB66">
            <v>129.77598570000001</v>
          </cell>
          <cell r="AC66">
            <v>130.67939179999999</v>
          </cell>
          <cell r="AD66">
            <v>131.60201649999999</v>
          </cell>
          <cell r="AE66">
            <v>132.54660870000001</v>
          </cell>
          <cell r="AF66">
            <v>133.51616290000001</v>
          </cell>
          <cell r="AG66">
            <v>134.51476930000001</v>
          </cell>
          <cell r="AH66">
            <v>135.54322590000001</v>
          </cell>
          <cell r="AI66">
            <v>136.60228050000001</v>
          </cell>
          <cell r="AJ66">
            <v>137.69227950000001</v>
          </cell>
          <cell r="AK66">
            <v>138.81320790000001</v>
          </cell>
          <cell r="AL66">
            <v>139.93455879999999</v>
          </cell>
          <cell r="AM66">
            <v>141.0741678</v>
          </cell>
          <cell r="AN66">
            <v>142.23603979999999</v>
          </cell>
          <cell r="AO66">
            <v>143.42159100000001</v>
          </cell>
          <cell r="AP66">
            <v>144.63156849999999</v>
          </cell>
          <cell r="AQ66">
            <v>145.8685926</v>
          </cell>
          <cell r="AR66">
            <v>147.13181410000001</v>
          </cell>
          <cell r="AS66">
            <v>148.42093149999999</v>
          </cell>
          <cell r="AT66">
            <v>149.73568309999999</v>
          </cell>
          <cell r="AU66">
            <v>151.07578620000001</v>
          </cell>
          <cell r="AV66">
            <v>152.45183249999999</v>
          </cell>
          <cell r="AW66">
            <v>153.85766599999999</v>
          </cell>
          <cell r="AX66">
            <v>155.29101460000001</v>
          </cell>
          <cell r="AY66">
            <v>156.75054689999999</v>
          </cell>
          <cell r="AZ66">
            <v>158.23538730000001</v>
          </cell>
          <cell r="BA66">
            <v>159.74914039999999</v>
          </cell>
          <cell r="BB66">
            <v>161.28941789999999</v>
          </cell>
          <cell r="BC66">
            <v>162.85529639999999</v>
          </cell>
          <cell r="BD66">
            <v>164.4463499</v>
          </cell>
          <cell r="BE66">
            <v>166.06246899999999</v>
          </cell>
        </row>
        <row r="67">
          <cell r="B67">
            <v>109.76499699999999</v>
          </cell>
          <cell r="C67">
            <v>109.1501895</v>
          </cell>
          <cell r="D67">
            <v>109.4419513</v>
          </cell>
          <cell r="E67">
            <v>109.9253205</v>
          </cell>
          <cell r="F67">
            <v>110.5716784</v>
          </cell>
          <cell r="G67">
            <v>111.3764001</v>
          </cell>
          <cell r="H67">
            <v>112.26536179999999</v>
          </cell>
          <cell r="I67">
            <v>113.2411556</v>
          </cell>
          <cell r="J67">
            <v>114.28236680000001</v>
          </cell>
          <cell r="K67">
            <v>115.36305280000001</v>
          </cell>
          <cell r="L67">
            <v>116.5653126</v>
          </cell>
          <cell r="M67">
            <v>117.7267051</v>
          </cell>
          <cell r="N67">
            <v>118.8766291</v>
          </cell>
          <cell r="O67">
            <v>120.01692420000001</v>
          </cell>
          <cell r="P67">
            <v>121.1476225</v>
          </cell>
          <cell r="Q67">
            <v>122.2694839</v>
          </cell>
          <cell r="R67">
            <v>123.3839176</v>
          </cell>
          <cell r="S67">
            <v>124.4927691</v>
          </cell>
          <cell r="T67">
            <v>125.5982542</v>
          </cell>
          <cell r="U67">
            <v>126.7029462</v>
          </cell>
          <cell r="V67">
            <v>127.74091970000001</v>
          </cell>
          <cell r="W67">
            <v>128.82563020000001</v>
          </cell>
          <cell r="X67">
            <v>129.9305062</v>
          </cell>
          <cell r="Y67">
            <v>131.05283789999999</v>
          </cell>
          <cell r="Z67">
            <v>132.19403220000001</v>
          </cell>
          <cell r="AA67">
            <v>133.15994800000001</v>
          </cell>
          <cell r="AB67">
            <v>134.17481520000001</v>
          </cell>
          <cell r="AC67">
            <v>135.2105153</v>
          </cell>
          <cell r="AD67">
            <v>136.26699529999999</v>
          </cell>
          <cell r="AE67">
            <v>137.3476312</v>
          </cell>
          <cell r="AF67">
            <v>138.4559314</v>
          </cell>
          <cell r="AG67">
            <v>139.59473969999999</v>
          </cell>
          <cell r="AH67">
            <v>140.76614939999999</v>
          </cell>
          <cell r="AI67">
            <v>141.97152990000001</v>
          </cell>
          <cell r="AJ67">
            <v>143.21157769999999</v>
          </cell>
          <cell r="AK67">
            <v>144.48643820000001</v>
          </cell>
          <cell r="AL67">
            <v>145.7492694</v>
          </cell>
          <cell r="AM67">
            <v>147.0270289</v>
          </cell>
          <cell r="AN67">
            <v>148.32638560000001</v>
          </cell>
          <cell r="AO67">
            <v>149.6499067</v>
          </cell>
          <cell r="AP67">
            <v>150.99884080000001</v>
          </cell>
          <cell r="AQ67">
            <v>152.37384159999999</v>
          </cell>
          <cell r="AR67">
            <v>153.7751853</v>
          </cell>
          <cell r="AS67">
            <v>155.20286899999999</v>
          </cell>
          <cell r="AT67">
            <v>156.65667930000001</v>
          </cell>
          <cell r="AU67">
            <v>158.13647510000001</v>
          </cell>
          <cell r="AV67">
            <v>159.64668900000001</v>
          </cell>
          <cell r="AW67">
            <v>161.1852738</v>
          </cell>
          <cell r="AX67">
            <v>162.75192559999999</v>
          </cell>
          <cell r="AY67">
            <v>164.34654800000001</v>
          </cell>
          <cell r="AZ67">
            <v>165.96904079999999</v>
          </cell>
          <cell r="BA67">
            <v>167.6193098</v>
          </cell>
          <cell r="BB67">
            <v>169.2973169</v>
          </cell>
          <cell r="BC67">
            <v>171.00312020000001</v>
          </cell>
          <cell r="BD67">
            <v>172.73689540000001</v>
          </cell>
          <cell r="BE67">
            <v>174.49894080000001</v>
          </cell>
        </row>
      </sheetData>
      <sheetData sheetId="4">
        <row r="2">
          <cell r="B2">
            <v>5223925.4060000004</v>
          </cell>
          <cell r="C2">
            <v>5278693.6030000001</v>
          </cell>
          <cell r="D2">
            <v>5331928.483</v>
          </cell>
          <cell r="E2">
            <v>5385296.2869999995</v>
          </cell>
          <cell r="F2">
            <v>5439704.6160000004</v>
          </cell>
          <cell r="G2">
            <v>5495679.4220000003</v>
          </cell>
          <cell r="H2">
            <v>5553355.7489999998</v>
          </cell>
          <cell r="I2">
            <v>5612833.0480000004</v>
          </cell>
          <cell r="J2">
            <v>5674202.0149999997</v>
          </cell>
          <cell r="K2">
            <v>5737547.2529999996</v>
          </cell>
          <cell r="L2">
            <v>5803278.642</v>
          </cell>
          <cell r="M2">
            <v>5871331.5710000005</v>
          </cell>
          <cell r="N2">
            <v>5941673.8320000004</v>
          </cell>
          <cell r="O2">
            <v>6014297.4579999996</v>
          </cell>
          <cell r="P2">
            <v>6089205.0209999997</v>
          </cell>
          <cell r="Q2">
            <v>6166404.3880000003</v>
          </cell>
          <cell r="R2">
            <v>6245881.6349999998</v>
          </cell>
          <cell r="S2">
            <v>6327640.7949999999</v>
          </cell>
          <cell r="T2">
            <v>6411696.4040000001</v>
          </cell>
          <cell r="U2">
            <v>6498069.6950000003</v>
          </cell>
          <cell r="V2">
            <v>6586540.7309999997</v>
          </cell>
          <cell r="W2">
            <v>6677214.784</v>
          </cell>
          <cell r="X2">
            <v>6770177.0970000001</v>
          </cell>
          <cell r="Y2">
            <v>6865492.977</v>
          </cell>
          <cell r="Z2">
            <v>6963215.6310000001</v>
          </cell>
          <cell r="AA2">
            <v>7062681.1909999996</v>
          </cell>
          <cell r="AB2">
            <v>7163821.4550000001</v>
          </cell>
          <cell r="AC2">
            <v>7266596.5860000001</v>
          </cell>
          <cell r="AD2">
            <v>7370975.716</v>
          </cell>
          <cell r="AE2">
            <v>7476938.4189999998</v>
          </cell>
          <cell r="AF2">
            <v>7584473.9469999997</v>
          </cell>
          <cell r="AG2">
            <v>7693584.7529999996</v>
          </cell>
          <cell r="AH2">
            <v>7804273.7850000001</v>
          </cell>
          <cell r="AI2">
            <v>7916543.4390000002</v>
          </cell>
          <cell r="AJ2">
            <v>8030394.0650000004</v>
          </cell>
          <cell r="AK2">
            <v>8145822.9589999998</v>
          </cell>
          <cell r="AL2">
            <v>8262707.9740000004</v>
          </cell>
          <cell r="AM2">
            <v>8380943.9450000003</v>
          </cell>
          <cell r="AN2">
            <v>8500447.773</v>
          </cell>
          <cell r="AO2">
            <v>8621152.4399999995</v>
          </cell>
          <cell r="AP2">
            <v>8743003.6640000008</v>
          </cell>
          <cell r="AQ2">
            <v>8865966.9059999995</v>
          </cell>
          <cell r="AR2">
            <v>8990011.6940000001</v>
          </cell>
          <cell r="AS2">
            <v>9115112.8489999995</v>
          </cell>
          <cell r="AT2">
            <v>9241249.9450000003</v>
          </cell>
          <cell r="AU2">
            <v>9368406.5429999996</v>
          </cell>
          <cell r="AV2">
            <v>9496616.4269999992</v>
          </cell>
          <cell r="AW2">
            <v>9625894.8080000002</v>
          </cell>
          <cell r="AX2">
            <v>9756249.2070000004</v>
          </cell>
          <cell r="AY2">
            <v>9887683.7579999994</v>
          </cell>
          <cell r="AZ2">
            <v>10020201.539999999</v>
          </cell>
          <cell r="BA2">
            <v>10153825.99</v>
          </cell>
          <cell r="BB2">
            <v>10288571.07</v>
          </cell>
          <cell r="BC2">
            <v>10424448.470000001</v>
          </cell>
          <cell r="BD2">
            <v>10561470.09</v>
          </cell>
          <cell r="BE2">
            <v>10699649.48</v>
          </cell>
        </row>
        <row r="3">
          <cell r="B3">
            <v>5224351.5990000004</v>
          </cell>
          <cell r="C3">
            <v>5280149.53</v>
          </cell>
          <cell r="D3">
            <v>5335094.1789999995</v>
          </cell>
          <cell r="E3">
            <v>5390889.2199999997</v>
          </cell>
          <cell r="F3">
            <v>5448459.0700000003</v>
          </cell>
          <cell r="G3">
            <v>5508335.5499999998</v>
          </cell>
          <cell r="H3">
            <v>5570657.8329999996</v>
          </cell>
          <cell r="I3">
            <v>5635522.898</v>
          </cell>
          <cell r="J3">
            <v>5703015.2209999999</v>
          </cell>
          <cell r="K3">
            <v>5773210.8269999996</v>
          </cell>
          <cell r="L3">
            <v>5846515.6229999997</v>
          </cell>
          <cell r="M3">
            <v>5922876.7920000004</v>
          </cell>
          <cell r="N3">
            <v>6002259.6210000003</v>
          </cell>
          <cell r="O3">
            <v>6084646.0650000004</v>
          </cell>
          <cell r="P3">
            <v>6170024.1579999998</v>
          </cell>
          <cell r="Q3">
            <v>6258384.4230000004</v>
          </cell>
          <cell r="R3">
            <v>6349719.7350000003</v>
          </cell>
          <cell r="S3">
            <v>6444026.0690000001</v>
          </cell>
          <cell r="T3">
            <v>6541302.9409999996</v>
          </cell>
          <cell r="U3">
            <v>6641553.2539999997</v>
          </cell>
          <cell r="V3">
            <v>6744527.1299999999</v>
          </cell>
          <cell r="W3">
            <v>6850310.8569999998</v>
          </cell>
          <cell r="X3">
            <v>6958970.0999999996</v>
          </cell>
          <cell r="Y3">
            <v>7070550.5690000001</v>
          </cell>
          <cell r="Z3">
            <v>7185086.0970000001</v>
          </cell>
          <cell r="AA3">
            <v>7301857.2309999997</v>
          </cell>
          <cell r="AB3">
            <v>7420755.2580000004</v>
          </cell>
          <cell r="AC3">
            <v>7541706.909</v>
          </cell>
          <cell r="AD3">
            <v>7664651.5839999998</v>
          </cell>
          <cell r="AE3">
            <v>7789541.5669999998</v>
          </cell>
          <cell r="AF3">
            <v>7916340.358</v>
          </cell>
          <cell r="AG3">
            <v>8045019.2980000004</v>
          </cell>
          <cell r="AH3">
            <v>8175553.7939999998</v>
          </cell>
          <cell r="AI3">
            <v>8307919.9970000004</v>
          </cell>
          <cell r="AJ3">
            <v>8442092.3540000003</v>
          </cell>
          <cell r="AK3">
            <v>8578042.1370000001</v>
          </cell>
          <cell r="AL3">
            <v>8715553.2880000006</v>
          </cell>
          <cell r="AM3">
            <v>8854459.3699999992</v>
          </cell>
          <cell r="AN3">
            <v>8994630.3460000008</v>
          </cell>
          <cell r="AO3">
            <v>9135960.2379999999</v>
          </cell>
          <cell r="AP3">
            <v>9278360.8829999994</v>
          </cell>
          <cell r="AQ3">
            <v>9421758.4719999991</v>
          </cell>
          <cell r="AR3">
            <v>9566091.1209999993</v>
          </cell>
          <cell r="AS3">
            <v>9711306.8560000006</v>
          </cell>
          <cell r="AT3">
            <v>9857361.9010000005</v>
          </cell>
          <cell r="AU3">
            <v>10004219.300000001</v>
          </cell>
          <cell r="AV3">
            <v>10151864.630000001</v>
          </cell>
          <cell r="AW3">
            <v>10300283.74</v>
          </cell>
          <cell r="AX3">
            <v>10449463.73</v>
          </cell>
          <cell r="AY3">
            <v>10599394.17</v>
          </cell>
          <cell r="AZ3">
            <v>10750068.02</v>
          </cell>
          <cell r="BA3">
            <v>10901482.26</v>
          </cell>
          <cell r="BB3">
            <v>11053638.539999999</v>
          </cell>
          <cell r="BC3">
            <v>11206543.699999999</v>
          </cell>
          <cell r="BD3">
            <v>11360210.210000001</v>
          </cell>
          <cell r="BE3">
            <v>11514656.51</v>
          </cell>
        </row>
        <row r="4">
          <cell r="B4">
            <v>47212.198629999999</v>
          </cell>
          <cell r="C4">
            <v>47680.890160000003</v>
          </cell>
          <cell r="D4">
            <v>48113.522010000001</v>
          </cell>
          <cell r="E4">
            <v>48531.165209999999</v>
          </cell>
          <cell r="F4">
            <v>48947.262880000002</v>
          </cell>
          <cell r="G4">
            <v>49371.241520000003</v>
          </cell>
          <cell r="H4">
            <v>49808.25548</v>
          </cell>
          <cell r="I4">
            <v>50262.288820000002</v>
          </cell>
          <cell r="J4">
            <v>50736.461510000001</v>
          </cell>
          <cell r="K4">
            <v>51233.147960000002</v>
          </cell>
          <cell r="L4">
            <v>51757.11722</v>
          </cell>
          <cell r="M4">
            <v>52308.400849999998</v>
          </cell>
          <cell r="N4">
            <v>52886.86982</v>
          </cell>
          <cell r="O4">
            <v>53492.307999999997</v>
          </cell>
          <cell r="P4">
            <v>54124.387459999998</v>
          </cell>
          <cell r="Q4">
            <v>54782.69758</v>
          </cell>
          <cell r="R4">
            <v>55466.482940000002</v>
          </cell>
          <cell r="S4">
            <v>56175.170310000001</v>
          </cell>
          <cell r="T4">
            <v>56908.287600000003</v>
          </cell>
          <cell r="U4">
            <v>57665.435590000001</v>
          </cell>
          <cell r="V4">
            <v>58444.024590000001</v>
          </cell>
          <cell r="W4">
            <v>59244.37571</v>
          </cell>
          <cell r="X4">
            <v>60066.779869999998</v>
          </cell>
          <cell r="Y4">
            <v>60911.425450000002</v>
          </cell>
          <cell r="Z4">
            <v>61778.441220000001</v>
          </cell>
          <cell r="AA4">
            <v>62661.406269999999</v>
          </cell>
          <cell r="AB4">
            <v>63559.144070000002</v>
          </cell>
          <cell r="AC4">
            <v>64470.962220000001</v>
          </cell>
          <cell r="AD4">
            <v>65396.432789999999</v>
          </cell>
          <cell r="AE4">
            <v>66335.379459999996</v>
          </cell>
          <cell r="AF4">
            <v>67287.839949999994</v>
          </cell>
          <cell r="AG4">
            <v>68254.082599999994</v>
          </cell>
          <cell r="AH4">
            <v>69234.430919999999</v>
          </cell>
          <cell r="AI4">
            <v>70229.240080000003</v>
          </cell>
          <cell r="AJ4">
            <v>71238.869640000004</v>
          </cell>
          <cell r="AK4">
            <v>72263.66416</v>
          </cell>
          <cell r="AL4">
            <v>73303.021359999999</v>
          </cell>
          <cell r="AM4">
            <v>74356.316810000004</v>
          </cell>
          <cell r="AN4">
            <v>75423.107059999995</v>
          </cell>
          <cell r="AO4">
            <v>76503.12341</v>
          </cell>
          <cell r="AP4">
            <v>77596.251390000005</v>
          </cell>
          <cell r="AQ4">
            <v>78702.615690000006</v>
          </cell>
          <cell r="AR4">
            <v>79822.381840000002</v>
          </cell>
          <cell r="AS4">
            <v>80955.766889999999</v>
          </cell>
          <cell r="AT4">
            <v>82103.026670000007</v>
          </cell>
          <cell r="AU4">
            <v>83264.440119999999</v>
          </cell>
          <cell r="AV4">
            <v>84440.816619999998</v>
          </cell>
          <cell r="AW4">
            <v>85632.711379999993</v>
          </cell>
          <cell r="AX4">
            <v>86840.554279999997</v>
          </cell>
          <cell r="AY4">
            <v>88064.697549999997</v>
          </cell>
          <cell r="AZ4">
            <v>89305.439249999996</v>
          </cell>
          <cell r="BA4">
            <v>90563.277660000007</v>
          </cell>
          <cell r="BB4">
            <v>91838.543860000005</v>
          </cell>
          <cell r="BC4">
            <v>93131.495469999994</v>
          </cell>
          <cell r="BD4">
            <v>94442.351009999998</v>
          </cell>
          <cell r="BE4">
            <v>95771.30803</v>
          </cell>
        </row>
        <row r="5">
          <cell r="B5">
            <v>47217.39402</v>
          </cell>
          <cell r="C5">
            <v>47698.17841</v>
          </cell>
          <cell r="D5">
            <v>48150.39806</v>
          </cell>
          <cell r="E5">
            <v>48595.299180000002</v>
          </cell>
          <cell r="F5">
            <v>49046.250950000001</v>
          </cell>
          <cell r="G5">
            <v>49512.444329999998</v>
          </cell>
          <cell r="H5">
            <v>49998.73818</v>
          </cell>
          <cell r="I5">
            <v>50508.709040000002</v>
          </cell>
          <cell r="J5">
            <v>51045.011079999997</v>
          </cell>
          <cell r="K5">
            <v>51609.524960000002</v>
          </cell>
          <cell r="L5">
            <v>52206.580190000001</v>
          </cell>
          <cell r="M5">
            <v>52835.97049</v>
          </cell>
          <cell r="N5">
            <v>53497.160980000001</v>
          </cell>
          <cell r="O5">
            <v>54189.461779999998</v>
          </cell>
          <cell r="P5">
            <v>54912.041310000001</v>
          </cell>
          <cell r="Q5">
            <v>55663.974329999997</v>
          </cell>
          <cell r="R5">
            <v>56444.301379999997</v>
          </cell>
          <cell r="S5">
            <v>57252.078540000002</v>
          </cell>
          <cell r="T5">
            <v>58086.410490000002</v>
          </cell>
          <cell r="U5">
            <v>58946.468260000001</v>
          </cell>
          <cell r="V5">
            <v>59829.153180000001</v>
          </cell>
          <cell r="W5">
            <v>60734.413849999997</v>
          </cell>
          <cell r="X5">
            <v>61662.192609999998</v>
          </cell>
          <cell r="Y5">
            <v>62612.359759999999</v>
          </cell>
          <cell r="Z5">
            <v>63584.759989999999</v>
          </cell>
          <cell r="AA5">
            <v>64572.412239999998</v>
          </cell>
          <cell r="AB5">
            <v>65573.730769999995</v>
          </cell>
          <cell r="AC5">
            <v>66587.739350000003</v>
          </cell>
          <cell r="AD5">
            <v>67613.801070000001</v>
          </cell>
          <cell r="AE5">
            <v>68651.589210000006</v>
          </cell>
          <cell r="AF5">
            <v>69701.037049999999</v>
          </cell>
          <cell r="AG5">
            <v>70762.269979999997</v>
          </cell>
          <cell r="AH5">
            <v>71835.538029999996</v>
          </cell>
          <cell r="AI5">
            <v>72921.159369999994</v>
          </cell>
          <cell r="AJ5">
            <v>74019.478600000002</v>
          </cell>
          <cell r="AK5">
            <v>75130.839420000004</v>
          </cell>
          <cell r="AL5">
            <v>76253.89847</v>
          </cell>
          <cell r="AM5">
            <v>77387.721810000003</v>
          </cell>
          <cell r="AN5">
            <v>78531.738830000002</v>
          </cell>
          <cell r="AO5">
            <v>79685.651930000007</v>
          </cell>
          <cell r="AP5">
            <v>80849.381340000007</v>
          </cell>
          <cell r="AQ5">
            <v>82023.023530000006</v>
          </cell>
          <cell r="AR5">
            <v>83206.812789999996</v>
          </cell>
          <cell r="AS5">
            <v>84401.084499999997</v>
          </cell>
          <cell r="AT5">
            <v>85606.242209999997</v>
          </cell>
          <cell r="AU5">
            <v>86822.729949999994</v>
          </cell>
          <cell r="AV5">
            <v>88051.162909999999</v>
          </cell>
          <cell r="AW5">
            <v>89292.119890000002</v>
          </cell>
          <cell r="AX5">
            <v>90546.139179999998</v>
          </cell>
          <cell r="AY5">
            <v>91813.723320000005</v>
          </cell>
          <cell r="AZ5">
            <v>93095.343909999996</v>
          </cell>
          <cell r="BA5">
            <v>94391.446830000001</v>
          </cell>
          <cell r="BB5">
            <v>95702.458060000004</v>
          </cell>
          <cell r="BC5">
            <v>97028.789510000002</v>
          </cell>
          <cell r="BD5">
            <v>98370.844070000006</v>
          </cell>
          <cell r="BE5">
            <v>99729.019799999995</v>
          </cell>
        </row>
        <row r="6">
          <cell r="B6">
            <v>1844.628326</v>
          </cell>
          <cell r="C6">
            <v>1862.6015520000001</v>
          </cell>
          <cell r="D6">
            <v>1878.2052880000001</v>
          </cell>
          <cell r="E6">
            <v>1891.6245610000001</v>
          </cell>
          <cell r="F6">
            <v>1903.1094880000001</v>
          </cell>
          <cell r="G6">
            <v>1912.9150850000001</v>
          </cell>
          <cell r="H6">
            <v>1921.2138580000001</v>
          </cell>
          <cell r="I6">
            <v>1928.1742690000001</v>
          </cell>
          <cell r="J6">
            <v>1933.9666609999999</v>
          </cell>
          <cell r="K6">
            <v>1938.7539979999999</v>
          </cell>
          <cell r="L6">
            <v>1942.761078</v>
          </cell>
          <cell r="M6">
            <v>1946.0730699999999</v>
          </cell>
          <cell r="N6">
            <v>1948.7725519999999</v>
          </cell>
          <cell r="O6">
            <v>1950.9448110000001</v>
          </cell>
          <cell r="P6">
            <v>1952.674023</v>
          </cell>
          <cell r="Q6">
            <v>1954.0408420000001</v>
          </cell>
          <cell r="R6">
            <v>1955.1064570000001</v>
          </cell>
          <cell r="S6">
            <v>1955.9366210000001</v>
          </cell>
          <cell r="T6">
            <v>1956.5971870000001</v>
          </cell>
          <cell r="U6">
            <v>1957.152247</v>
          </cell>
          <cell r="V6">
            <v>1957.611265</v>
          </cell>
          <cell r="W6">
            <v>1958.0532209999999</v>
          </cell>
          <cell r="X6">
            <v>1958.5498</v>
          </cell>
          <cell r="Y6">
            <v>1959.160709</v>
          </cell>
          <cell r="Z6">
            <v>1959.9365250000001</v>
          </cell>
          <cell r="AA6">
            <v>1960.7780270000001</v>
          </cell>
          <cell r="AB6">
            <v>1961.7220600000001</v>
          </cell>
          <cell r="AC6">
            <v>1962.814556</v>
          </cell>
          <cell r="AD6">
            <v>1964.0966450000001</v>
          </cell>
          <cell r="AE6">
            <v>1965.603517</v>
          </cell>
          <cell r="AF6">
            <v>1967.3654879999999</v>
          </cell>
          <cell r="AG6">
            <v>1969.4125959999999</v>
          </cell>
          <cell r="AH6">
            <v>1971.7694039999999</v>
          </cell>
          <cell r="AI6">
            <v>1974.4565259999999</v>
          </cell>
          <cell r="AJ6">
            <v>1977.4913670000001</v>
          </cell>
          <cell r="AK6">
            <v>1980.888684</v>
          </cell>
          <cell r="AL6">
            <v>1984.66122</v>
          </cell>
          <cell r="AM6">
            <v>1988.8130060000001</v>
          </cell>
          <cell r="AN6">
            <v>1993.347986</v>
          </cell>
          <cell r="AO6">
            <v>1998.26945</v>
          </cell>
          <cell r="AP6">
            <v>2003.5798569999999</v>
          </cell>
          <cell r="AQ6">
            <v>2009.286233</v>
          </cell>
          <cell r="AR6">
            <v>2015.3917779999999</v>
          </cell>
          <cell r="AS6">
            <v>2021.897714</v>
          </cell>
          <cell r="AT6">
            <v>2028.804009</v>
          </cell>
          <cell r="AU6">
            <v>2036.109874</v>
          </cell>
          <cell r="AV6">
            <v>2043.835231</v>
          </cell>
          <cell r="AW6">
            <v>2051.9875010000001</v>
          </cell>
          <cell r="AX6">
            <v>2060.5679810000001</v>
          </cell>
          <cell r="AY6">
            <v>2069.574443</v>
          </cell>
          <cell r="AZ6">
            <v>2079.0029060000002</v>
          </cell>
          <cell r="BA6">
            <v>2088.8602449999998</v>
          </cell>
          <cell r="BB6">
            <v>2099.1460390000002</v>
          </cell>
          <cell r="BC6">
            <v>2109.856765</v>
          </cell>
          <cell r="BD6">
            <v>2120.9872610000002</v>
          </cell>
          <cell r="BE6">
            <v>2132.5317049999999</v>
          </cell>
        </row>
        <row r="7">
          <cell r="B7">
            <v>1844.7470519999999</v>
          </cell>
          <cell r="C7">
            <v>1863.1928089999999</v>
          </cell>
          <cell r="D7">
            <v>1879.649046</v>
          </cell>
          <cell r="E7">
            <v>1894.2624129999999</v>
          </cell>
          <cell r="F7">
            <v>1907.232943</v>
          </cell>
          <cell r="G7">
            <v>1918.7713759999999</v>
          </cell>
          <cell r="H7">
            <v>1929.0251860000001</v>
          </cell>
          <cell r="I7">
            <v>1938.1322600000001</v>
          </cell>
          <cell r="J7">
            <v>1946.2138480000001</v>
          </cell>
          <cell r="K7">
            <v>1953.360463</v>
          </cell>
          <cell r="L7">
            <v>1959.749215</v>
          </cell>
          <cell r="M7">
            <v>1965.4510849999999</v>
          </cell>
          <cell r="N7">
            <v>1970.53403</v>
          </cell>
          <cell r="O7">
            <v>1975.067321</v>
          </cell>
          <cell r="P7">
            <v>1979.1194459999999</v>
          </cell>
          <cell r="Q7">
            <v>1982.7566549999999</v>
          </cell>
          <cell r="R7">
            <v>1986.042287</v>
          </cell>
          <cell r="S7">
            <v>1989.0366939999999</v>
          </cell>
          <cell r="T7">
            <v>1991.7970749999999</v>
          </cell>
          <cell r="U7">
            <v>1994.3772670000001</v>
          </cell>
          <cell r="V7">
            <v>1996.7736890000001</v>
          </cell>
          <cell r="W7">
            <v>1999.0547759999999</v>
          </cell>
          <cell r="X7">
            <v>2001.282117</v>
          </cell>
          <cell r="Y7">
            <v>2003.5057939999999</v>
          </cell>
          <cell r="Z7">
            <v>2005.7674950000001</v>
          </cell>
          <cell r="AA7">
            <v>2007.953301</v>
          </cell>
          <cell r="AB7">
            <v>2010.0849390000001</v>
          </cell>
          <cell r="AC7">
            <v>2012.1991089999999</v>
          </cell>
          <cell r="AD7">
            <v>2014.3306050000001</v>
          </cell>
          <cell r="AE7">
            <v>2016.5101030000001</v>
          </cell>
          <cell r="AF7">
            <v>2018.76457</v>
          </cell>
          <cell r="AG7">
            <v>2021.117904</v>
          </cell>
          <cell r="AH7">
            <v>2023.5914049999999</v>
          </cell>
          <cell r="AI7">
            <v>2026.2040979999999</v>
          </cell>
          <cell r="AJ7">
            <v>2028.9729890000001</v>
          </cell>
          <cell r="AK7">
            <v>2031.9132669999999</v>
          </cell>
          <cell r="AL7">
            <v>2035.0046809999999</v>
          </cell>
          <cell r="AM7">
            <v>2038.2389680000001</v>
          </cell>
          <cell r="AN7">
            <v>2041.6174940000001</v>
          </cell>
          <cell r="AO7">
            <v>2045.1463180000001</v>
          </cell>
          <cell r="AP7">
            <v>2048.8330890000002</v>
          </cell>
          <cell r="AQ7">
            <v>2052.6854939999998</v>
          </cell>
          <cell r="AR7">
            <v>2056.7105139999999</v>
          </cell>
          <cell r="AS7">
            <v>2060.9141479999998</v>
          </cell>
          <cell r="AT7">
            <v>2065.3014309999999</v>
          </cell>
          <cell r="AU7">
            <v>2069.8767280000002</v>
          </cell>
          <cell r="AV7">
            <v>2074.6472640000002</v>
          </cell>
          <cell r="AW7">
            <v>2079.6195950000001</v>
          </cell>
          <cell r="AX7">
            <v>2084.7999909999999</v>
          </cell>
          <cell r="AY7">
            <v>2090.1947369999998</v>
          </cell>
          <cell r="AZ7">
            <v>2095.8101670000001</v>
          </cell>
          <cell r="BA7">
            <v>2101.6525710000001</v>
          </cell>
          <cell r="BB7">
            <v>2107.7280890000002</v>
          </cell>
          <cell r="BC7">
            <v>2114.0426309999998</v>
          </cell>
          <cell r="BD7">
            <v>2120.6018309999999</v>
          </cell>
          <cell r="BE7">
            <v>2127.411032</v>
          </cell>
        </row>
        <row r="8">
          <cell r="B8">
            <v>74521.870670000004</v>
          </cell>
          <cell r="C8">
            <v>75292.479000000007</v>
          </cell>
          <cell r="D8">
            <v>76022.404790000001</v>
          </cell>
          <cell r="E8">
            <v>76736.676370000001</v>
          </cell>
          <cell r="F8">
            <v>77452.281369999997</v>
          </cell>
          <cell r="G8">
            <v>78181.844790000003</v>
          </cell>
          <cell r="H8">
            <v>78932.302490000002</v>
          </cell>
          <cell r="I8">
            <v>79709.155320000005</v>
          </cell>
          <cell r="J8">
            <v>80516.820569999996</v>
          </cell>
          <cell r="K8">
            <v>81358.74007</v>
          </cell>
          <cell r="L8">
            <v>82242.217720000001</v>
          </cell>
          <cell r="M8">
            <v>83167.561199999996</v>
          </cell>
          <cell r="N8">
            <v>84134.64357</v>
          </cell>
          <cell r="O8">
            <v>85143.110329999996</v>
          </cell>
          <cell r="P8">
            <v>86192.391650000005</v>
          </cell>
          <cell r="Q8">
            <v>87281.768599999996</v>
          </cell>
          <cell r="R8">
            <v>88410.098740000001</v>
          </cell>
          <cell r="S8">
            <v>89576.395980000001</v>
          </cell>
          <cell r="T8">
            <v>90779.775739999997</v>
          </cell>
          <cell r="U8">
            <v>92019.429900000003</v>
          </cell>
          <cell r="V8">
            <v>93291.101110000003</v>
          </cell>
          <cell r="W8">
            <v>94594.905899999998</v>
          </cell>
          <cell r="X8">
            <v>95930.987429999994</v>
          </cell>
          <cell r="Y8">
            <v>97299.368279999995</v>
          </cell>
          <cell r="Z8">
            <v>98699.986690000005</v>
          </cell>
          <cell r="AA8">
            <v>100122.55590000001</v>
          </cell>
          <cell r="AB8">
            <v>101564.5016</v>
          </cell>
          <cell r="AC8">
            <v>103024.13589999999</v>
          </cell>
          <cell r="AD8">
            <v>104500.2987</v>
          </cell>
          <cell r="AE8">
            <v>105992.30869999999</v>
          </cell>
          <cell r="AF8">
            <v>107499.8851</v>
          </cell>
          <cell r="AG8">
            <v>109023.1247</v>
          </cell>
          <cell r="AH8">
            <v>110562.2837</v>
          </cell>
          <cell r="AI8">
            <v>112117.7136</v>
          </cell>
          <cell r="AJ8">
            <v>113689.8097</v>
          </cell>
          <cell r="AK8">
            <v>115278.9757</v>
          </cell>
          <cell r="AL8">
            <v>116883.8648</v>
          </cell>
          <cell r="AM8">
            <v>118503.30190000001</v>
          </cell>
          <cell r="AN8">
            <v>120136.465</v>
          </cell>
          <cell r="AO8">
            <v>121782.8649</v>
          </cell>
          <cell r="AP8">
            <v>123442.3063</v>
          </cell>
          <cell r="AQ8">
            <v>125114.9581</v>
          </cell>
          <cell r="AR8">
            <v>126801.1354</v>
          </cell>
          <cell r="AS8">
            <v>128501.2748</v>
          </cell>
          <cell r="AT8">
            <v>130215.8998</v>
          </cell>
          <cell r="AU8">
            <v>131945.58739999999</v>
          </cell>
          <cell r="AV8">
            <v>133691.55780000001</v>
          </cell>
          <cell r="AW8">
            <v>135454.81109999999</v>
          </cell>
          <cell r="AX8">
            <v>137236.20449999999</v>
          </cell>
          <cell r="AY8">
            <v>139036.4945</v>
          </cell>
          <cell r="AZ8">
            <v>140856.3596</v>
          </cell>
          <cell r="BA8">
            <v>142696.66459999999</v>
          </cell>
          <cell r="BB8">
            <v>144558.11360000001</v>
          </cell>
          <cell r="BC8">
            <v>146441.31849999999</v>
          </cell>
          <cell r="BD8">
            <v>148346.83439999999</v>
          </cell>
          <cell r="BE8">
            <v>150275.18</v>
          </cell>
        </row>
        <row r="9">
          <cell r="B9">
            <v>74528.112829999998</v>
          </cell>
          <cell r="C9">
            <v>75313.669089999996</v>
          </cell>
          <cell r="D9">
            <v>76068.504109999994</v>
          </cell>
          <cell r="E9">
            <v>76818.356769999999</v>
          </cell>
          <cell r="F9">
            <v>77580.557449999993</v>
          </cell>
          <cell r="G9">
            <v>78367.812049999993</v>
          </cell>
          <cell r="H9">
            <v>79187.000480000002</v>
          </cell>
          <cell r="I9">
            <v>80043.39069</v>
          </cell>
          <cell r="J9">
            <v>80941.057589999997</v>
          </cell>
          <cell r="K9">
            <v>81883.033850000007</v>
          </cell>
          <cell r="L9">
            <v>82876.250750000007</v>
          </cell>
          <cell r="M9">
            <v>83920.834099999993</v>
          </cell>
          <cell r="N9">
            <v>85016.282800000001</v>
          </cell>
          <cell r="O9">
            <v>86161.763030000002</v>
          </cell>
          <cell r="P9">
            <v>87356.160529999994</v>
          </cell>
          <cell r="Q9">
            <v>88598.169869999998</v>
          </cell>
          <cell r="R9">
            <v>89886.391189999995</v>
          </cell>
          <cell r="S9">
            <v>91219.407659999997</v>
          </cell>
          <cell r="T9">
            <v>92595.836039999995</v>
          </cell>
          <cell r="U9">
            <v>94014.353870000006</v>
          </cell>
          <cell r="V9">
            <v>95470.058059999996</v>
          </cell>
          <cell r="W9">
            <v>96962.60295</v>
          </cell>
          <cell r="X9">
            <v>98491.697719999996</v>
          </cell>
          <cell r="Y9">
            <v>100056.97139999999</v>
          </cell>
          <cell r="Z9">
            <v>101658.01360000001</v>
          </cell>
          <cell r="AA9">
            <v>103283.7401</v>
          </cell>
          <cell r="AB9">
            <v>104931.031</v>
          </cell>
          <cell r="AC9">
            <v>106597.7867</v>
          </cell>
          <cell r="AD9">
            <v>108282.5371</v>
          </cell>
          <cell r="AE9">
            <v>109984.37850000001</v>
          </cell>
          <cell r="AF9">
            <v>111702.8787</v>
          </cell>
          <cell r="AG9">
            <v>113437.95909999999</v>
          </cell>
          <cell r="AH9">
            <v>115189.7813</v>
          </cell>
          <cell r="AI9">
            <v>116958.65330000001</v>
          </cell>
          <cell r="AJ9">
            <v>118744.9596</v>
          </cell>
          <cell r="AK9">
            <v>120549.11659999999</v>
          </cell>
          <cell r="AL9">
            <v>122368.93489999999</v>
          </cell>
          <cell r="AM9">
            <v>124202.7873</v>
          </cell>
          <cell r="AN9">
            <v>126049.6039</v>
          </cell>
          <cell r="AO9">
            <v>127908.7724</v>
          </cell>
          <cell r="AP9">
            <v>129780.0675</v>
          </cell>
          <cell r="AQ9">
            <v>131663.5865</v>
          </cell>
          <cell r="AR9">
            <v>133559.6857</v>
          </cell>
          <cell r="AS9">
            <v>135468.91579999999</v>
          </cell>
          <cell r="AT9">
            <v>137391.96419999999</v>
          </cell>
          <cell r="AU9">
            <v>139329.6059</v>
          </cell>
          <cell r="AV9">
            <v>141282.90090000001</v>
          </cell>
          <cell r="AW9">
            <v>143252.87669999999</v>
          </cell>
          <cell r="AX9">
            <v>145240.5122</v>
          </cell>
          <cell r="AY9">
            <v>147246.73869999999</v>
          </cell>
          <cell r="AZ9">
            <v>149272.44339999999</v>
          </cell>
          <cell r="BA9">
            <v>151318.47659999999</v>
          </cell>
          <cell r="BB9">
            <v>153385.65839999999</v>
          </cell>
          <cell r="BC9">
            <v>155474.788</v>
          </cell>
          <cell r="BD9">
            <v>157586.6507</v>
          </cell>
          <cell r="BE9">
            <v>159722.02369999999</v>
          </cell>
        </row>
        <row r="10">
          <cell r="B10">
            <v>401513.50829999999</v>
          </cell>
          <cell r="C10">
            <v>405028.89350000001</v>
          </cell>
          <cell r="D10">
            <v>408439.49489999999</v>
          </cell>
          <cell r="E10">
            <v>412067.69189999998</v>
          </cell>
          <cell r="F10">
            <v>415988.41649999999</v>
          </cell>
          <cell r="G10">
            <v>420190.92609999998</v>
          </cell>
          <cell r="H10">
            <v>424616.01160000003</v>
          </cell>
          <cell r="I10">
            <v>429218.13250000001</v>
          </cell>
          <cell r="J10">
            <v>433963.95740000001</v>
          </cell>
          <cell r="K10">
            <v>438829.29389999999</v>
          </cell>
          <cell r="L10">
            <v>443836.03090000001</v>
          </cell>
          <cell r="M10">
            <v>448939.97810000001</v>
          </cell>
          <cell r="N10">
            <v>454118.09529999999</v>
          </cell>
          <cell r="O10">
            <v>459357.8983</v>
          </cell>
          <cell r="P10">
            <v>464652.07689999999</v>
          </cell>
          <cell r="Q10">
            <v>469996.31929999997</v>
          </cell>
          <cell r="R10">
            <v>475382.95209999999</v>
          </cell>
          <cell r="S10">
            <v>480809.8138</v>
          </cell>
          <cell r="T10">
            <v>486277.5514</v>
          </cell>
          <cell r="U10">
            <v>491788.40700000001</v>
          </cell>
          <cell r="V10">
            <v>497317.21240000002</v>
          </cell>
          <cell r="W10">
            <v>502886.6017</v>
          </cell>
          <cell r="X10">
            <v>508509.35100000002</v>
          </cell>
          <cell r="Y10">
            <v>514193.66820000001</v>
          </cell>
          <cell r="Z10">
            <v>519945.95880000002</v>
          </cell>
          <cell r="AA10">
            <v>525691.03200000001</v>
          </cell>
          <cell r="AB10">
            <v>531450.87399999995</v>
          </cell>
          <cell r="AC10">
            <v>537240.6385</v>
          </cell>
          <cell r="AD10">
            <v>543071.56579999998</v>
          </cell>
          <cell r="AE10">
            <v>548953.09900000005</v>
          </cell>
          <cell r="AF10">
            <v>554893.57330000005</v>
          </cell>
          <cell r="AG10">
            <v>560901.63139999995</v>
          </cell>
          <cell r="AH10">
            <v>566984.20120000001</v>
          </cell>
          <cell r="AI10">
            <v>573147.06200000003</v>
          </cell>
          <cell r="AJ10">
            <v>579395.10620000004</v>
          </cell>
          <cell r="AK10">
            <v>585732.48389999999</v>
          </cell>
          <cell r="AL10">
            <v>592154.36100000003</v>
          </cell>
          <cell r="AM10">
            <v>598659.95669999998</v>
          </cell>
          <cell r="AN10">
            <v>605250.54839999997</v>
          </cell>
          <cell r="AO10">
            <v>611928.22210000001</v>
          </cell>
          <cell r="AP10">
            <v>618695.30680000002</v>
          </cell>
          <cell r="AQ10">
            <v>625555.83149999997</v>
          </cell>
          <cell r="AR10">
            <v>632512.47549999994</v>
          </cell>
          <cell r="AS10">
            <v>639567.24930000002</v>
          </cell>
          <cell r="AT10">
            <v>646721.77119999996</v>
          </cell>
          <cell r="AU10">
            <v>653977.38230000006</v>
          </cell>
          <cell r="AV10">
            <v>661342.73910000001</v>
          </cell>
          <cell r="AW10">
            <v>668821.17619999999</v>
          </cell>
          <cell r="AX10">
            <v>676413.86399999994</v>
          </cell>
          <cell r="AY10">
            <v>684121.15110000002</v>
          </cell>
          <cell r="AZ10">
            <v>691943.09979999997</v>
          </cell>
          <cell r="BA10">
            <v>699883.37150000001</v>
          </cell>
          <cell r="BB10">
            <v>707943.13430000003</v>
          </cell>
          <cell r="BC10">
            <v>716122.67700000003</v>
          </cell>
          <cell r="BD10">
            <v>724422.06099999999</v>
          </cell>
          <cell r="BE10">
            <v>732841.36190000002</v>
          </cell>
        </row>
        <row r="11">
          <cell r="B11">
            <v>401602.75579999998</v>
          </cell>
          <cell r="C11">
            <v>405318.5318</v>
          </cell>
          <cell r="D11">
            <v>409039.74540000001</v>
          </cell>
          <cell r="E11">
            <v>413083.82339999999</v>
          </cell>
          <cell r="F11">
            <v>417518.86239999998</v>
          </cell>
          <cell r="G11">
            <v>422326.85399999999</v>
          </cell>
          <cell r="H11">
            <v>427442.61060000001</v>
          </cell>
          <cell r="I11">
            <v>432814.5821</v>
          </cell>
          <cell r="J11">
            <v>438404.01799999998</v>
          </cell>
          <cell r="K11">
            <v>444182.05609999999</v>
          </cell>
          <cell r="L11">
            <v>450168.01380000002</v>
          </cell>
          <cell r="M11">
            <v>456319.0514</v>
          </cell>
          <cell r="N11">
            <v>462610.51990000001</v>
          </cell>
          <cell r="O11">
            <v>469027.46049999999</v>
          </cell>
          <cell r="P11">
            <v>475560.0428</v>
          </cell>
          <cell r="Q11">
            <v>482201.67170000001</v>
          </cell>
          <cell r="R11">
            <v>488948.14049999998</v>
          </cell>
          <cell r="S11">
            <v>495797.17859999998</v>
          </cell>
          <cell r="T11">
            <v>502748.14449999999</v>
          </cell>
          <cell r="U11">
            <v>509801.7708</v>
          </cell>
          <cell r="V11">
            <v>516929.54509999999</v>
          </cell>
          <cell r="W11">
            <v>524153.8529</v>
          </cell>
          <cell r="X11">
            <v>531486.91440000001</v>
          </cell>
          <cell r="Y11">
            <v>538936.34030000004</v>
          </cell>
          <cell r="Z11">
            <v>546507.99509999994</v>
          </cell>
          <cell r="AA11">
            <v>554119.31539999996</v>
          </cell>
          <cell r="AB11">
            <v>561790.07620000001</v>
          </cell>
          <cell r="AC11">
            <v>569534.61750000005</v>
          </cell>
          <cell r="AD11">
            <v>577363.86910000001</v>
          </cell>
          <cell r="AE11">
            <v>585287.13820000004</v>
          </cell>
          <cell r="AF11">
            <v>593312.64599999995</v>
          </cell>
          <cell r="AG11">
            <v>601447.64879999997</v>
          </cell>
          <cell r="AH11">
            <v>609698.45449999999</v>
          </cell>
          <cell r="AI11">
            <v>618070.43969999999</v>
          </cell>
          <cell r="AJ11">
            <v>626568.09340000001</v>
          </cell>
          <cell r="AK11">
            <v>635195.09</v>
          </cell>
          <cell r="AL11">
            <v>643933.07640000002</v>
          </cell>
          <cell r="AM11">
            <v>652776.60210000002</v>
          </cell>
          <cell r="AN11">
            <v>661725.67039999994</v>
          </cell>
          <cell r="AO11">
            <v>670782.27489999996</v>
          </cell>
          <cell r="AP11">
            <v>679949.01919999998</v>
          </cell>
          <cell r="AQ11">
            <v>689228.54599999997</v>
          </cell>
          <cell r="AR11">
            <v>698623.29480000003</v>
          </cell>
          <cell r="AS11">
            <v>708135.40520000004</v>
          </cell>
          <cell r="AT11">
            <v>717766.69330000004</v>
          </cell>
          <cell r="AU11">
            <v>727518.6666</v>
          </cell>
          <cell r="AV11">
            <v>737394.49879999994</v>
          </cell>
          <cell r="AW11">
            <v>747395.91059999994</v>
          </cell>
          <cell r="AX11">
            <v>757523.92189999996</v>
          </cell>
          <cell r="AY11">
            <v>767779.23470000003</v>
          </cell>
          <cell r="AZ11">
            <v>778162.41799999995</v>
          </cell>
          <cell r="BA11">
            <v>788674.0111</v>
          </cell>
          <cell r="BB11">
            <v>799314.58770000003</v>
          </cell>
          <cell r="BC11">
            <v>810084.79630000005</v>
          </cell>
          <cell r="BD11">
            <v>820985.38630000001</v>
          </cell>
          <cell r="BE11">
            <v>832017.22149999999</v>
          </cell>
        </row>
        <row r="13">
          <cell r="B13">
            <v>16084.663259999999</v>
          </cell>
          <cell r="C13">
            <v>16254.98083</v>
          </cell>
          <cell r="D13">
            <v>16421.49294</v>
          </cell>
          <cell r="E13">
            <v>16590.55068</v>
          </cell>
          <cell r="F13">
            <v>16765.512119999999</v>
          </cell>
          <cell r="G13">
            <v>16948.195599999999</v>
          </cell>
          <cell r="H13">
            <v>17139.082600000002</v>
          </cell>
          <cell r="I13">
            <v>17338.38564</v>
          </cell>
          <cell r="J13">
            <v>17546.223180000001</v>
          </cell>
          <cell r="K13">
            <v>17762.674879999999</v>
          </cell>
          <cell r="L13">
            <v>17988.747029999999</v>
          </cell>
          <cell r="M13">
            <v>18224.220570000001</v>
          </cell>
          <cell r="N13">
            <v>18468.904299999998</v>
          </cell>
          <cell r="O13">
            <v>18722.66707</v>
          </cell>
          <cell r="P13">
            <v>18985.418730000001</v>
          </cell>
          <cell r="Q13">
            <v>19257.10195</v>
          </cell>
          <cell r="R13">
            <v>19537.691429999999</v>
          </cell>
          <cell r="S13">
            <v>19827.194930000001</v>
          </cell>
          <cell r="T13">
            <v>20125.6528</v>
          </cell>
          <cell r="U13">
            <v>20433.13536</v>
          </cell>
          <cell r="V13">
            <v>20749.025559999998</v>
          </cell>
          <cell r="W13">
            <v>21073.62701</v>
          </cell>
          <cell r="X13">
            <v>21407.227920000001</v>
          </cell>
          <cell r="Y13">
            <v>21750.074130000001</v>
          </cell>
          <cell r="Z13">
            <v>22102.381590000001</v>
          </cell>
          <cell r="AA13">
            <v>22462.26613</v>
          </cell>
          <cell r="AB13">
            <v>22829.447800000002</v>
          </cell>
          <cell r="AC13">
            <v>23203.78613</v>
          </cell>
          <cell r="AD13">
            <v>23585.18348</v>
          </cell>
          <cell r="AE13">
            <v>23973.572329999999</v>
          </cell>
          <cell r="AF13">
            <v>24368.905930000001</v>
          </cell>
          <cell r="AG13">
            <v>24771.14659</v>
          </cell>
          <cell r="AH13">
            <v>25180.25375</v>
          </cell>
          <cell r="AI13">
            <v>25596.173579999999</v>
          </cell>
          <cell r="AJ13">
            <v>26018.831450000001</v>
          </cell>
          <cell r="AK13">
            <v>26448.127570000001</v>
          </cell>
          <cell r="AL13">
            <v>26883.422129999999</v>
          </cell>
          <cell r="AM13">
            <v>27324.174459999998</v>
          </cell>
          <cell r="AN13">
            <v>27769.930090000002</v>
          </cell>
          <cell r="AO13">
            <v>28220.29261</v>
          </cell>
          <cell r="AP13">
            <v>28674.907810000001</v>
          </cell>
          <cell r="AQ13">
            <v>29133.45508</v>
          </cell>
          <cell r="AR13">
            <v>29595.641739999999</v>
          </cell>
          <cell r="AS13">
            <v>30061.198779999999</v>
          </cell>
          <cell r="AT13">
            <v>30529.877380000002</v>
          </cell>
          <cell r="AU13">
            <v>31001.44642</v>
          </cell>
          <cell r="AV13">
            <v>31475.738010000001</v>
          </cell>
          <cell r="AW13">
            <v>31952.58828</v>
          </cell>
          <cell r="AX13">
            <v>32431.83944</v>
          </cell>
          <cell r="AY13">
            <v>32913.343970000002</v>
          </cell>
          <cell r="AZ13">
            <v>33396.968269999998</v>
          </cell>
          <cell r="BA13">
            <v>33882.595780000003</v>
          </cell>
          <cell r="BB13">
            <v>34370.129809999999</v>
          </cell>
          <cell r="BC13">
            <v>34859.495949999997</v>
          </cell>
          <cell r="BD13">
            <v>35350.644160000003</v>
          </cell>
          <cell r="BE13">
            <v>35843.550260000004</v>
          </cell>
        </row>
        <row r="14">
          <cell r="B14">
            <v>13394.32381</v>
          </cell>
          <cell r="C14">
            <v>13522.36771</v>
          </cell>
          <cell r="D14">
            <v>13641.62801</v>
          </cell>
          <cell r="E14">
            <v>13759.85671</v>
          </cell>
          <cell r="F14">
            <v>13880.814920000001</v>
          </cell>
          <cell r="G14">
            <v>14006.569680000001</v>
          </cell>
          <cell r="H14">
            <v>14137.771129999999</v>
          </cell>
          <cell r="I14">
            <v>14274.898709999999</v>
          </cell>
          <cell r="J14">
            <v>14418.29708</v>
          </cell>
          <cell r="K14">
            <v>14568.17743</v>
          </cell>
          <cell r="L14">
            <v>14725.6499</v>
          </cell>
          <cell r="M14">
            <v>14890.135850000001</v>
          </cell>
          <cell r="N14">
            <v>15061.234759999999</v>
          </cell>
          <cell r="O14">
            <v>15238.63898</v>
          </cell>
          <cell r="P14">
            <v>15422.07027</v>
          </cell>
          <cell r="Q14">
            <v>15611.26535</v>
          </cell>
          <cell r="R14">
            <v>15805.8685</v>
          </cell>
          <cell r="S14">
            <v>16005.619629999999</v>
          </cell>
          <cell r="T14">
            <v>16210.320830000001</v>
          </cell>
          <cell r="U14">
            <v>16419.820110000001</v>
          </cell>
          <cell r="V14">
            <v>16633.255840000002</v>
          </cell>
          <cell r="W14">
            <v>16850.883089999999</v>
          </cell>
          <cell r="X14">
            <v>17072.849020000001</v>
          </cell>
          <cell r="Y14">
            <v>17299.239310000001</v>
          </cell>
          <cell r="Z14">
            <v>17530.122640000001</v>
          </cell>
          <cell r="AA14">
            <v>17763.41805</v>
          </cell>
          <cell r="AB14">
            <v>17999.171200000001</v>
          </cell>
          <cell r="AC14">
            <v>18237.446100000001</v>
          </cell>
          <cell r="AD14">
            <v>18478.303339999999</v>
          </cell>
          <cell r="AE14">
            <v>18721.82964</v>
          </cell>
          <cell r="AF14">
            <v>18968.143209999998</v>
          </cell>
          <cell r="AG14">
            <v>19217.41156</v>
          </cell>
          <cell r="AH14">
            <v>19469.800039999998</v>
          </cell>
          <cell r="AI14">
            <v>19725.469949999999</v>
          </cell>
          <cell r="AJ14">
            <v>19984.574519999998</v>
          </cell>
          <cell r="AK14">
            <v>20247.25503</v>
          </cell>
          <cell r="AL14">
            <v>20513.34548</v>
          </cell>
          <cell r="AM14">
            <v>20782.748879999999</v>
          </cell>
          <cell r="AN14">
            <v>21055.42381</v>
          </cell>
          <cell r="AO14">
            <v>21331.363580000001</v>
          </cell>
          <cell r="AP14">
            <v>21610.58524</v>
          </cell>
          <cell r="AQ14">
            <v>21893.158930000001</v>
          </cell>
          <cell r="AR14">
            <v>22179.145710000001</v>
          </cell>
          <cell r="AS14">
            <v>22468.604749999999</v>
          </cell>
          <cell r="AT14">
            <v>22761.594959999999</v>
          </cell>
          <cell r="AU14">
            <v>23058.17395</v>
          </cell>
          <cell r="AV14">
            <v>23358.565170000002</v>
          </cell>
          <cell r="AW14">
            <v>23662.896410000001</v>
          </cell>
          <cell r="AX14">
            <v>23971.24713</v>
          </cell>
          <cell r="AY14">
            <v>24283.672999999999</v>
          </cell>
          <cell r="AZ14">
            <v>24600.216199999999</v>
          </cell>
          <cell r="BA14">
            <v>24920.98719</v>
          </cell>
          <cell r="BB14">
            <v>25246.0461</v>
          </cell>
          <cell r="BC14">
            <v>25575.42986</v>
          </cell>
          <cell r="BD14">
            <v>25909.16605</v>
          </cell>
          <cell r="BE14">
            <v>26247.27908</v>
          </cell>
        </row>
        <row r="15">
          <cell r="B15">
            <v>13396.22386</v>
          </cell>
          <cell r="C15">
            <v>13528.643330000001</v>
          </cell>
          <cell r="D15">
            <v>13654.86094</v>
          </cell>
          <cell r="E15">
            <v>13782.613230000001</v>
          </cell>
          <cell r="F15">
            <v>13915.58769</v>
          </cell>
          <cell r="G15">
            <v>14055.747939999999</v>
          </cell>
          <cell r="H15">
            <v>14203.642760000001</v>
          </cell>
          <cell r="I15">
            <v>14359.62844</v>
          </cell>
          <cell r="J15">
            <v>14523.919309999999</v>
          </cell>
          <cell r="K15">
            <v>14696.596820000001</v>
          </cell>
          <cell r="L15">
            <v>14878.673919999999</v>
          </cell>
          <cell r="M15">
            <v>15069.5496</v>
          </cell>
          <cell r="N15">
            <v>15268.74458</v>
          </cell>
          <cell r="O15">
            <v>15475.85232</v>
          </cell>
          <cell r="P15">
            <v>15690.49222</v>
          </cell>
          <cell r="Q15">
            <v>15912.302</v>
          </cell>
          <cell r="R15">
            <v>16140.944890000001</v>
          </cell>
          <cell r="S15">
            <v>16376.118759999999</v>
          </cell>
          <cell r="T15">
            <v>16617.562600000001</v>
          </cell>
          <cell r="U15">
            <v>16865.059440000001</v>
          </cell>
          <cell r="V15">
            <v>17117.648069999999</v>
          </cell>
          <cell r="W15">
            <v>17375.545440000002</v>
          </cell>
          <cell r="X15">
            <v>17638.862089999999</v>
          </cell>
          <cell r="Y15">
            <v>17907.65222</v>
          </cell>
          <cell r="Z15">
            <v>18181.959770000001</v>
          </cell>
          <cell r="AA15">
            <v>18459.54664</v>
          </cell>
          <cell r="AB15">
            <v>18740.39012</v>
          </cell>
          <cell r="AC15">
            <v>19024.519619999999</v>
          </cell>
          <cell r="AD15">
            <v>19311.97854</v>
          </cell>
          <cell r="AE15">
            <v>19602.847180000001</v>
          </cell>
          <cell r="AF15">
            <v>19897.244419999999</v>
          </cell>
          <cell r="AG15">
            <v>20195.31769</v>
          </cell>
          <cell r="AH15">
            <v>20497.229930000001</v>
          </cell>
          <cell r="AI15">
            <v>20803.14748</v>
          </cell>
          <cell r="AJ15">
            <v>21113.2307</v>
          </cell>
          <cell r="AK15">
            <v>21427.627639999999</v>
          </cell>
          <cell r="AL15">
            <v>21745.910650000002</v>
          </cell>
          <cell r="AM15">
            <v>22067.874640000002</v>
          </cell>
          <cell r="AN15">
            <v>22393.43822</v>
          </cell>
          <cell r="AO15">
            <v>22722.582539999999</v>
          </cell>
          <cell r="AP15">
            <v>23055.325359999999</v>
          </cell>
          <cell r="AQ15">
            <v>23391.708920000001</v>
          </cell>
          <cell r="AR15">
            <v>23731.792160000001</v>
          </cell>
          <cell r="AS15">
            <v>24075.64459</v>
          </cell>
          <cell r="AT15">
            <v>24423.341079999998</v>
          </cell>
          <cell r="AU15">
            <v>24774.95768</v>
          </cell>
          <cell r="AV15">
            <v>25130.619719999999</v>
          </cell>
          <cell r="AW15">
            <v>25490.42669</v>
          </cell>
          <cell r="AX15">
            <v>25854.46069</v>
          </cell>
          <cell r="AY15">
            <v>26222.792399999998</v>
          </cell>
          <cell r="AZ15">
            <v>26595.484400000001</v>
          </cell>
          <cell r="BA15">
            <v>26972.593550000001</v>
          </cell>
          <cell r="BB15">
            <v>27354.173129999999</v>
          </cell>
          <cell r="BC15">
            <v>27740.27476</v>
          </cell>
          <cell r="BD15">
            <v>28130.950089999998</v>
          </cell>
          <cell r="BE15">
            <v>28526.252189999999</v>
          </cell>
        </row>
        <row r="16">
          <cell r="B16">
            <v>36395.483890000003</v>
          </cell>
          <cell r="C16">
            <v>36721.37126</v>
          </cell>
          <cell r="D16">
            <v>37021.697780000002</v>
          </cell>
          <cell r="E16">
            <v>37322.465479999999</v>
          </cell>
          <cell r="F16">
            <v>37634.239090000003</v>
          </cell>
          <cell r="G16">
            <v>37961.827740000001</v>
          </cell>
          <cell r="H16">
            <v>38305.758399999999</v>
          </cell>
          <cell r="I16">
            <v>38666.536670000001</v>
          </cell>
          <cell r="J16">
            <v>39044.492939999996</v>
          </cell>
          <cell r="K16">
            <v>39439.702190000004</v>
          </cell>
          <cell r="L16">
            <v>39855.160519999998</v>
          </cell>
          <cell r="M16">
            <v>40288.251880000003</v>
          </cell>
          <cell r="N16">
            <v>40737.5</v>
          </cell>
          <cell r="O16">
            <v>41201.89746</v>
          </cell>
          <cell r="P16">
            <v>41680.598619999997</v>
          </cell>
          <cell r="Q16">
            <v>42172.8433</v>
          </cell>
          <cell r="R16">
            <v>42677.553</v>
          </cell>
          <cell r="S16">
            <v>43194.023699999998</v>
          </cell>
          <cell r="T16">
            <v>43721.768250000001</v>
          </cell>
          <cell r="U16">
            <v>44260.449330000003</v>
          </cell>
          <cell r="V16">
            <v>44807.539230000002</v>
          </cell>
          <cell r="W16">
            <v>45364.276890000001</v>
          </cell>
          <cell r="X16">
            <v>45931.245699999999</v>
          </cell>
          <cell r="Y16">
            <v>46508.773670000002</v>
          </cell>
          <cell r="Z16">
            <v>47097.133150000001</v>
          </cell>
          <cell r="AA16">
            <v>47689.980860000003</v>
          </cell>
          <cell r="AB16">
            <v>48288.461239999997</v>
          </cell>
          <cell r="AC16">
            <v>48893.254379999998</v>
          </cell>
          <cell r="AD16">
            <v>49504.833019999998</v>
          </cell>
          <cell r="AE16">
            <v>50123.649619999997</v>
          </cell>
          <cell r="AF16">
            <v>50750.184939999999</v>
          </cell>
          <cell r="AG16">
            <v>51385.034939999998</v>
          </cell>
          <cell r="AH16">
            <v>52028.739690000002</v>
          </cell>
          <cell r="AI16">
            <v>52681.800060000001</v>
          </cell>
          <cell r="AJ16">
            <v>53344.677109999997</v>
          </cell>
          <cell r="AK16">
            <v>54017.786639999998</v>
          </cell>
          <cell r="AL16">
            <v>54700.713839999997</v>
          </cell>
          <cell r="AM16">
            <v>55393.343820000002</v>
          </cell>
          <cell r="AN16">
            <v>56095.699180000003</v>
          </cell>
          <cell r="AO16">
            <v>56807.859089999998</v>
          </cell>
          <cell r="AP16">
            <v>57529.929510000002</v>
          </cell>
          <cell r="AQ16">
            <v>58262.15986</v>
          </cell>
          <cell r="AR16">
            <v>59004.721210000003</v>
          </cell>
          <cell r="AS16">
            <v>59757.75159</v>
          </cell>
          <cell r="AT16">
            <v>60521.372300000003</v>
          </cell>
          <cell r="AU16">
            <v>61295.691319999998</v>
          </cell>
          <cell r="AV16">
            <v>62081.385179999997</v>
          </cell>
          <cell r="AW16">
            <v>62878.748850000004</v>
          </cell>
          <cell r="AX16">
            <v>63687.915090000002</v>
          </cell>
          <cell r="AY16">
            <v>64508.949650000002</v>
          </cell>
          <cell r="AZ16">
            <v>65341.886639999997</v>
          </cell>
          <cell r="BA16">
            <v>66187.019329999996</v>
          </cell>
          <cell r="BB16">
            <v>67044.452000000005</v>
          </cell>
          <cell r="BC16">
            <v>67914.214370000002</v>
          </cell>
          <cell r="BD16">
            <v>68796.311900000001</v>
          </cell>
          <cell r="BE16">
            <v>69690.745360000001</v>
          </cell>
        </row>
        <row r="17">
          <cell r="B17">
            <v>36402.301390000001</v>
          </cell>
          <cell r="C17">
            <v>36743.510589999998</v>
          </cell>
          <cell r="D17">
            <v>37067.695359999998</v>
          </cell>
          <cell r="E17">
            <v>37400.606229999998</v>
          </cell>
          <cell r="F17">
            <v>37752.433120000002</v>
          </cell>
          <cell r="G17">
            <v>38127.560250000002</v>
          </cell>
          <cell r="H17">
            <v>38526.136960000003</v>
          </cell>
          <cell r="I17">
            <v>38948.236239999998</v>
          </cell>
          <cell r="J17">
            <v>39393.749049999999</v>
          </cell>
          <cell r="K17">
            <v>39862.32591</v>
          </cell>
          <cell r="L17">
            <v>40356.667840000002</v>
          </cell>
          <cell r="M17">
            <v>40874.131099999999</v>
          </cell>
          <cell r="N17">
            <v>41412.9954</v>
          </cell>
          <cell r="O17">
            <v>41971.946360000002</v>
          </cell>
          <cell r="P17">
            <v>42549.830999999998</v>
          </cell>
          <cell r="Q17">
            <v>43145.60325</v>
          </cell>
          <cell r="R17">
            <v>43758.330220000003</v>
          </cell>
          <cell r="S17">
            <v>44387.209569999999</v>
          </cell>
          <cell r="T17">
            <v>45031.581579999998</v>
          </cell>
          <cell r="U17">
            <v>45690.932630000003</v>
          </cell>
          <cell r="V17">
            <v>46362.433770000003</v>
          </cell>
          <cell r="W17">
            <v>47047.255230000002</v>
          </cell>
          <cell r="X17">
            <v>47745.902860000002</v>
          </cell>
          <cell r="Y17">
            <v>48458.636350000001</v>
          </cell>
          <cell r="Z17">
            <v>49185.676290000003</v>
          </cell>
          <cell r="AA17">
            <v>49920.142209999998</v>
          </cell>
          <cell r="AB17">
            <v>50662.998950000001</v>
          </cell>
          <cell r="AC17">
            <v>51414.858440000004</v>
          </cell>
          <cell r="AD17">
            <v>52176.172630000001</v>
          </cell>
          <cell r="AE17">
            <v>52947.39791</v>
          </cell>
          <cell r="AF17">
            <v>53729.033069999998</v>
          </cell>
          <cell r="AG17">
            <v>54521.608809999998</v>
          </cell>
          <cell r="AH17">
            <v>55325.663339999999</v>
          </cell>
          <cell r="AI17">
            <v>56141.718130000001</v>
          </cell>
          <cell r="AJ17">
            <v>56970.258710000002</v>
          </cell>
          <cell r="AK17">
            <v>57811.721980000002</v>
          </cell>
          <cell r="AL17">
            <v>58664.747049999998</v>
          </cell>
          <cell r="AM17">
            <v>59528.890659999997</v>
          </cell>
          <cell r="AN17">
            <v>60404.088210000002</v>
          </cell>
          <cell r="AO17">
            <v>61290.415560000001</v>
          </cell>
          <cell r="AP17">
            <v>62188.006200000003</v>
          </cell>
          <cell r="AQ17">
            <v>63097.020830000001</v>
          </cell>
          <cell r="AR17">
            <v>64017.632899999997</v>
          </cell>
          <cell r="AS17">
            <v>64950.018980000001</v>
          </cell>
          <cell r="AT17">
            <v>65894.351150000002</v>
          </cell>
          <cell r="AU17">
            <v>66850.791259999998</v>
          </cell>
          <cell r="AV17">
            <v>67819.646770000007</v>
          </cell>
          <cell r="AW17">
            <v>68801.119930000001</v>
          </cell>
          <cell r="AX17">
            <v>69795.358089999994</v>
          </cell>
          <cell r="AY17">
            <v>70802.477989999999</v>
          </cell>
          <cell r="AZ17">
            <v>71822.577019999997</v>
          </cell>
          <cell r="BA17">
            <v>72855.740059999996</v>
          </cell>
          <cell r="BB17">
            <v>73902.044989999995</v>
          </cell>
          <cell r="BC17">
            <v>74961.567490000001</v>
          </cell>
          <cell r="BD17">
            <v>76034.385280000002</v>
          </cell>
          <cell r="BE17">
            <v>77120.581550000003</v>
          </cell>
        </row>
        <row r="18">
          <cell r="B18">
            <v>13359.37881</v>
          </cell>
          <cell r="C18">
            <v>13482.79142</v>
          </cell>
          <cell r="D18">
            <v>13597.33619</v>
          </cell>
          <cell r="E18">
            <v>13712.07951</v>
          </cell>
          <cell r="F18">
            <v>13830.811089999999</v>
          </cell>
          <cell r="G18">
            <v>13955.21499</v>
          </cell>
          <cell r="H18">
            <v>14085.47544</v>
          </cell>
          <cell r="I18">
            <v>14221.70736</v>
          </cell>
          <cell r="J18">
            <v>14363.982379999999</v>
          </cell>
          <cell r="K18">
            <v>14512.309660000001</v>
          </cell>
          <cell r="L18">
            <v>14667.67591</v>
          </cell>
          <cell r="M18">
            <v>14829.297399999999</v>
          </cell>
          <cell r="N18">
            <v>14996.67577</v>
          </cell>
          <cell r="O18">
            <v>15169.459709999999</v>
          </cell>
          <cell r="P18">
            <v>15347.35608</v>
          </cell>
          <cell r="Q18">
            <v>15530.10519</v>
          </cell>
          <cell r="R18">
            <v>15717.347320000001</v>
          </cell>
          <cell r="S18">
            <v>15908.84773</v>
          </cell>
          <cell r="T18">
            <v>16104.4516</v>
          </cell>
          <cell r="U18">
            <v>16304.06134</v>
          </cell>
          <cell r="V18">
            <v>16506.86346</v>
          </cell>
          <cell r="W18">
            <v>16713.23516</v>
          </cell>
          <cell r="X18">
            <v>16923.405350000001</v>
          </cell>
          <cell r="Y18">
            <v>17137.527959999999</v>
          </cell>
          <cell r="Z18">
            <v>17355.737519999999</v>
          </cell>
          <cell r="AA18">
            <v>17575.985949999998</v>
          </cell>
          <cell r="AB18">
            <v>17798.527709999998</v>
          </cell>
          <cell r="AC18">
            <v>18023.569680000001</v>
          </cell>
          <cell r="AD18">
            <v>18251.27391</v>
          </cell>
          <cell r="AE18">
            <v>18481.801230000001</v>
          </cell>
          <cell r="AF18">
            <v>18715.323789999999</v>
          </cell>
          <cell r="AG18">
            <v>18952.052390000001</v>
          </cell>
          <cell r="AH18">
            <v>19192.17973</v>
          </cell>
          <cell r="AI18">
            <v>19435.883170000001</v>
          </cell>
          <cell r="AJ18">
            <v>19683.323619999999</v>
          </cell>
          <cell r="AK18">
            <v>19934.643250000001</v>
          </cell>
          <cell r="AL18">
            <v>20189.70707</v>
          </cell>
          <cell r="AM18">
            <v>20448.444200000002</v>
          </cell>
          <cell r="AN18">
            <v>20710.82503</v>
          </cell>
          <cell r="AO18">
            <v>20976.84073</v>
          </cell>
          <cell r="AP18">
            <v>21246.494019999998</v>
          </cell>
          <cell r="AQ18">
            <v>21519.837309999999</v>
          </cell>
          <cell r="AR18">
            <v>21796.900570000002</v>
          </cell>
          <cell r="AS18">
            <v>22077.703740000001</v>
          </cell>
          <cell r="AT18">
            <v>22362.261900000001</v>
          </cell>
          <cell r="AU18">
            <v>22650.586449999999</v>
          </cell>
          <cell r="AV18">
            <v>22942.877199999999</v>
          </cell>
          <cell r="AW18">
            <v>23239.217509999999</v>
          </cell>
          <cell r="AX18">
            <v>23539.635480000001</v>
          </cell>
          <cell r="AY18">
            <v>23844.1355</v>
          </cell>
          <cell r="AZ18">
            <v>24152.71125</v>
          </cell>
          <cell r="BA18">
            <v>24465.44268</v>
          </cell>
          <cell r="BB18">
            <v>24782.35181</v>
          </cell>
          <cell r="BC18">
            <v>25103.436280000002</v>
          </cell>
          <cell r="BD18">
            <v>25428.686450000001</v>
          </cell>
          <cell r="BE18">
            <v>25758.092720000001</v>
          </cell>
        </row>
        <row r="19">
          <cell r="B19">
            <v>13361.617630000001</v>
          </cell>
          <cell r="C19">
            <v>13490.14914</v>
          </cell>
          <cell r="D19">
            <v>13612.74712</v>
          </cell>
          <cell r="E19">
            <v>13738.409229999999</v>
          </cell>
          <cell r="F19">
            <v>13870.8061</v>
          </cell>
          <cell r="G19">
            <v>14011.48306</v>
          </cell>
          <cell r="H19">
            <v>14160.501249999999</v>
          </cell>
          <cell r="I19">
            <v>14317.835290000001</v>
          </cell>
          <cell r="J19">
            <v>14483.41416</v>
          </cell>
          <cell r="K19">
            <v>14657.109119999999</v>
          </cell>
          <cell r="L19">
            <v>14839.8109</v>
          </cell>
          <cell r="M19">
            <v>15030.73113</v>
          </cell>
          <cell r="N19">
            <v>15229.29804</v>
          </cell>
          <cell r="O19">
            <v>15435.06395</v>
          </cell>
          <cell r="P19">
            <v>15647.637989999999</v>
          </cell>
          <cell r="Q19">
            <v>15866.66956</v>
          </cell>
          <cell r="R19">
            <v>16091.850930000001</v>
          </cell>
          <cell r="S19">
            <v>16322.923430000001</v>
          </cell>
          <cell r="T19">
            <v>16559.681789999999</v>
          </cell>
          <cell r="U19">
            <v>16801.97509</v>
          </cell>
          <cell r="V19">
            <v>17048.895369999998</v>
          </cell>
          <cell r="W19">
            <v>17300.797760000001</v>
          </cell>
          <cell r="X19">
            <v>17557.88812</v>
          </cell>
          <cell r="Y19">
            <v>17820.300309999999</v>
          </cell>
          <cell r="Z19">
            <v>18088.153699999999</v>
          </cell>
          <cell r="AA19">
            <v>18359.226849999999</v>
          </cell>
          <cell r="AB19">
            <v>18633.70651</v>
          </cell>
          <cell r="AC19">
            <v>18911.77</v>
          </cell>
          <cell r="AD19">
            <v>19193.566149999999</v>
          </cell>
          <cell r="AE19">
            <v>19479.250660000002</v>
          </cell>
          <cell r="AF19">
            <v>19768.99452</v>
          </cell>
          <cell r="AG19">
            <v>20062.978770000002</v>
          </cell>
          <cell r="AH19">
            <v>20361.385060000001</v>
          </cell>
          <cell r="AI19">
            <v>20664.386190000001</v>
          </cell>
          <cell r="AJ19">
            <v>20972.138739999999</v>
          </cell>
          <cell r="AK19">
            <v>21284.778200000001</v>
          </cell>
          <cell r="AL19">
            <v>21601.842550000001</v>
          </cell>
          <cell r="AM19">
            <v>21923.124179999999</v>
          </cell>
          <cell r="AN19">
            <v>22248.53932</v>
          </cell>
          <cell r="AO19">
            <v>22578.055319999999</v>
          </cell>
          <cell r="AP19">
            <v>22911.662230000002</v>
          </cell>
          <cell r="AQ19">
            <v>23249.361779999999</v>
          </cell>
          <cell r="AR19">
            <v>23591.161899999999</v>
          </cell>
          <cell r="AS19">
            <v>23937.07329</v>
          </cell>
          <cell r="AT19">
            <v>24287.106660000001</v>
          </cell>
          <cell r="AU19">
            <v>24641.270769999999</v>
          </cell>
          <cell r="AV19">
            <v>24999.623790000001</v>
          </cell>
          <cell r="AW19">
            <v>25362.1947</v>
          </cell>
          <cell r="AX19">
            <v>25728.99583</v>
          </cell>
          <cell r="AY19">
            <v>26100.030709999999</v>
          </cell>
          <cell r="AZ19">
            <v>26475.29823</v>
          </cell>
          <cell r="BA19">
            <v>26854.795470000001</v>
          </cell>
          <cell r="BB19">
            <v>27238.519990000001</v>
          </cell>
          <cell r="BC19">
            <v>27626.47179</v>
          </cell>
          <cell r="BD19">
            <v>28018.65509</v>
          </cell>
          <cell r="BE19">
            <v>28415.079750000001</v>
          </cell>
        </row>
        <row r="20">
          <cell r="B20">
            <v>66529.152879999994</v>
          </cell>
          <cell r="C20">
            <v>67142.944310000006</v>
          </cell>
          <cell r="D20">
            <v>67710.073300000004</v>
          </cell>
          <cell r="E20">
            <v>68277.268370000005</v>
          </cell>
          <cell r="F20">
            <v>68864.397840000005</v>
          </cell>
          <cell r="G20">
            <v>69480.054210000002</v>
          </cell>
          <cell r="H20">
            <v>70124.969559999998</v>
          </cell>
          <cell r="I20">
            <v>70799.292090000003</v>
          </cell>
          <cell r="J20">
            <v>71502.951090000002</v>
          </cell>
          <cell r="K20">
            <v>72235.654699999999</v>
          </cell>
          <cell r="L20">
            <v>73001.983139999997</v>
          </cell>
          <cell r="M20">
            <v>73798.028990000006</v>
          </cell>
          <cell r="N20">
            <v>74621.312779999993</v>
          </cell>
          <cell r="O20">
            <v>75470.188110000003</v>
          </cell>
          <cell r="P20">
            <v>76343.381229999999</v>
          </cell>
          <cell r="Q20">
            <v>77239.836509999994</v>
          </cell>
          <cell r="R20">
            <v>78158.027560000002</v>
          </cell>
          <cell r="S20">
            <v>79097.049270000003</v>
          </cell>
          <cell r="T20">
            <v>80056.401620000004</v>
          </cell>
          <cell r="U20">
            <v>81035.868900000001</v>
          </cell>
          <cell r="V20">
            <v>82031.756240000002</v>
          </cell>
          <cell r="W20">
            <v>83046.126709999997</v>
          </cell>
          <cell r="X20">
            <v>84080.352920000005</v>
          </cell>
          <cell r="Y20">
            <v>85135.410340000002</v>
          </cell>
          <cell r="Z20">
            <v>86212.149909999993</v>
          </cell>
          <cell r="AA20">
            <v>87300.802710000004</v>
          </cell>
          <cell r="AB20">
            <v>88402.713380000001</v>
          </cell>
          <cell r="AC20">
            <v>89519.067989999996</v>
          </cell>
          <cell r="AD20">
            <v>90650.785040000002</v>
          </cell>
          <cell r="AE20">
            <v>91798.714859999993</v>
          </cell>
          <cell r="AF20">
            <v>92963.709319999994</v>
          </cell>
          <cell r="AG20">
            <v>94146.770409999997</v>
          </cell>
          <cell r="AH20">
            <v>95348.78211</v>
          </cell>
          <cell r="AI20">
            <v>96570.529269999999</v>
          </cell>
          <cell r="AJ20">
            <v>97812.698690000005</v>
          </cell>
          <cell r="AK20">
            <v>99075.872499999998</v>
          </cell>
          <cell r="AL20">
            <v>100359.308</v>
          </cell>
          <cell r="AM20">
            <v>101662.55130000001</v>
          </cell>
          <cell r="AN20">
            <v>102985.3333</v>
          </cell>
          <cell r="AO20">
            <v>104327.4678</v>
          </cell>
          <cell r="AP20">
            <v>105688.8051</v>
          </cell>
          <cell r="AQ20">
            <v>107069.4255</v>
          </cell>
          <cell r="AR20">
            <v>108469.2879</v>
          </cell>
          <cell r="AS20">
            <v>109888.2911</v>
          </cell>
          <cell r="AT20">
            <v>111326.3051</v>
          </cell>
          <cell r="AU20">
            <v>112783.1811</v>
          </cell>
          <cell r="AV20">
            <v>114259.70819999999</v>
          </cell>
          <cell r="AW20">
            <v>115756.11810000001</v>
          </cell>
          <cell r="AX20">
            <v>117272.3695</v>
          </cell>
          <cell r="AY20">
            <v>118808.30809999999</v>
          </cell>
          <cell r="AZ20">
            <v>120363.73579999999</v>
          </cell>
          <cell r="BA20">
            <v>121938.8967</v>
          </cell>
          <cell r="BB20">
            <v>123533.7669</v>
          </cell>
          <cell r="BC20">
            <v>125148.2113</v>
          </cell>
          <cell r="BD20">
            <v>126782.06849999999</v>
          </cell>
          <cell r="BE20">
            <v>128435.189</v>
          </cell>
        </row>
        <row r="21">
          <cell r="B21">
            <v>66540.278550000003</v>
          </cell>
          <cell r="C21">
            <v>67179.723660000003</v>
          </cell>
          <cell r="D21">
            <v>67787.369510000004</v>
          </cell>
          <cell r="E21">
            <v>68409.604949999994</v>
          </cell>
          <cell r="F21">
            <v>69065.697029999996</v>
          </cell>
          <cell r="G21">
            <v>69763.548930000004</v>
          </cell>
          <cell r="H21">
            <v>70503.300159999999</v>
          </cell>
          <cell r="I21">
            <v>71284.44296</v>
          </cell>
          <cell r="J21">
            <v>72106.253469999996</v>
          </cell>
          <cell r="K21">
            <v>72967.821400000001</v>
          </cell>
          <cell r="L21">
            <v>73873.326929999996</v>
          </cell>
          <cell r="M21">
            <v>74818.926149999999</v>
          </cell>
          <cell r="N21">
            <v>75801.871880000006</v>
          </cell>
          <cell r="O21">
            <v>76820.129499999995</v>
          </cell>
          <cell r="P21">
            <v>77872.023870000005</v>
          </cell>
          <cell r="Q21">
            <v>78956.126600000003</v>
          </cell>
          <cell r="R21">
            <v>80071.243839999996</v>
          </cell>
          <cell r="S21">
            <v>81216.430210000006</v>
          </cell>
          <cell r="T21">
            <v>82390.999320000003</v>
          </cell>
          <cell r="U21">
            <v>83594.521909999996</v>
          </cell>
          <cell r="V21">
            <v>84822.871320000006</v>
          </cell>
          <cell r="W21">
            <v>86078.030029999994</v>
          </cell>
          <cell r="X21">
            <v>87361.281059999994</v>
          </cell>
          <cell r="Y21">
            <v>88673.515759999995</v>
          </cell>
          <cell r="Z21">
            <v>90015.515780000002</v>
          </cell>
          <cell r="AA21">
            <v>91376.629870000004</v>
          </cell>
          <cell r="AB21">
            <v>92757.835030000002</v>
          </cell>
          <cell r="AC21">
            <v>94160.135290000006</v>
          </cell>
          <cell r="AD21">
            <v>95584.341700000004</v>
          </cell>
          <cell r="AE21">
            <v>97031.228270000007</v>
          </cell>
          <cell r="AF21">
            <v>98501.581059999997</v>
          </cell>
          <cell r="AG21">
            <v>99996.185219999999</v>
          </cell>
          <cell r="AH21">
            <v>101515.79</v>
          </cell>
          <cell r="AI21">
            <v>103061.072</v>
          </cell>
          <cell r="AJ21">
            <v>104632.60520000001</v>
          </cell>
          <cell r="AK21">
            <v>106230.84179999999</v>
          </cell>
          <cell r="AL21">
            <v>107853.30039999999</v>
          </cell>
          <cell r="AM21">
            <v>109498.7059</v>
          </cell>
          <cell r="AN21">
            <v>111166.3893</v>
          </cell>
          <cell r="AO21">
            <v>112855.9219</v>
          </cell>
          <cell r="AP21">
            <v>114566.969</v>
          </cell>
          <cell r="AQ21">
            <v>116299.234</v>
          </cell>
          <cell r="AR21">
            <v>118052.436</v>
          </cell>
          <cell r="AS21">
            <v>119826.2977</v>
          </cell>
          <cell r="AT21">
            <v>121620.5385</v>
          </cell>
          <cell r="AU21">
            <v>123434.8701</v>
          </cell>
          <cell r="AV21">
            <v>125269.25229999999</v>
          </cell>
          <cell r="AW21">
            <v>127123.5143</v>
          </cell>
          <cell r="AX21">
            <v>128997.416</v>
          </cell>
          <cell r="AY21">
            <v>130890.689</v>
          </cell>
          <cell r="AZ21">
            <v>132803.0607</v>
          </cell>
          <cell r="BA21">
            <v>134734.26949999999</v>
          </cell>
          <cell r="BB21">
            <v>136684.07699999999</v>
          </cell>
          <cell r="BC21">
            <v>138652.27900000001</v>
          </cell>
          <cell r="BD21">
            <v>140638.71429999999</v>
          </cell>
          <cell r="BE21">
            <v>142643.27220000001</v>
          </cell>
        </row>
        <row r="22">
          <cell r="B22">
            <v>129145.03660000001</v>
          </cell>
          <cell r="C22">
            <v>130239.492</v>
          </cell>
          <cell r="D22">
            <v>131254.8707</v>
          </cell>
          <cell r="E22">
            <v>132297.71580000001</v>
          </cell>
          <cell r="F22">
            <v>133403.6483</v>
          </cell>
          <cell r="G22">
            <v>134583.3818</v>
          </cell>
          <cell r="H22">
            <v>135831.1403</v>
          </cell>
          <cell r="I22">
            <v>137142.5601</v>
          </cell>
          <cell r="J22">
            <v>138513.90040000001</v>
          </cell>
          <cell r="K22">
            <v>139941.63769999999</v>
          </cell>
          <cell r="L22">
            <v>141434.3806</v>
          </cell>
          <cell r="M22">
            <v>142979.13310000001</v>
          </cell>
          <cell r="N22">
            <v>144569.07449999999</v>
          </cell>
          <cell r="O22">
            <v>146199.9694</v>
          </cell>
          <cell r="P22">
            <v>147868.6661</v>
          </cell>
          <cell r="Q22">
            <v>149572.6459</v>
          </cell>
          <cell r="R22">
            <v>151308.1465</v>
          </cell>
          <cell r="S22">
            <v>153073.1955</v>
          </cell>
          <cell r="T22">
            <v>154866.78719999999</v>
          </cell>
          <cell r="U22">
            <v>156688.54139999999</v>
          </cell>
          <cell r="V22">
            <v>158529.85200000001</v>
          </cell>
          <cell r="W22">
            <v>160396.9742</v>
          </cell>
          <cell r="X22">
            <v>162292.98009999999</v>
          </cell>
          <cell r="Y22">
            <v>164219.79490000001</v>
          </cell>
          <cell r="Z22">
            <v>166179.06640000001</v>
          </cell>
          <cell r="AA22">
            <v>168147.59880000001</v>
          </cell>
          <cell r="AB22">
            <v>170132.3222</v>
          </cell>
          <cell r="AC22">
            <v>172137.2438</v>
          </cell>
          <cell r="AD22">
            <v>174165.11050000001</v>
          </cell>
          <cell r="AE22">
            <v>176218.28349999999</v>
          </cell>
          <cell r="AF22">
            <v>178298.99460000001</v>
          </cell>
          <cell r="AG22">
            <v>180409.7861</v>
          </cell>
          <cell r="AH22">
            <v>182552.80660000001</v>
          </cell>
          <cell r="AI22">
            <v>184729.95199999999</v>
          </cell>
          <cell r="AJ22">
            <v>186942.9026</v>
          </cell>
          <cell r="AK22">
            <v>189193.12669999999</v>
          </cell>
          <cell r="AL22">
            <v>191479.47630000001</v>
          </cell>
          <cell r="AM22">
            <v>193801.88579999999</v>
          </cell>
          <cell r="AN22">
            <v>196160.67199999999</v>
          </cell>
          <cell r="AO22">
            <v>198556.23920000001</v>
          </cell>
          <cell r="AP22">
            <v>200988.98610000001</v>
          </cell>
          <cell r="AQ22">
            <v>203459.8406</v>
          </cell>
          <cell r="AR22">
            <v>205969.29380000001</v>
          </cell>
          <cell r="AS22">
            <v>208517.64480000001</v>
          </cell>
          <cell r="AT22">
            <v>211105.0949</v>
          </cell>
          <cell r="AU22">
            <v>213731.77849999999</v>
          </cell>
          <cell r="AV22">
            <v>216400.2213</v>
          </cell>
          <cell r="AW22">
            <v>219111.22959999999</v>
          </cell>
          <cell r="AX22">
            <v>221864.94810000001</v>
          </cell>
          <cell r="AY22">
            <v>224661.28229999999</v>
          </cell>
          <cell r="AZ22">
            <v>227500.05069999999</v>
          </cell>
          <cell r="BA22">
            <v>230382.2464</v>
          </cell>
          <cell r="BB22">
            <v>233308.02910000001</v>
          </cell>
          <cell r="BC22">
            <v>236277.2689</v>
          </cell>
          <cell r="BD22">
            <v>239289.76310000001</v>
          </cell>
          <cell r="BE22">
            <v>242345.315</v>
          </cell>
        </row>
        <row r="23">
          <cell r="B23">
            <v>129174.9146</v>
          </cell>
          <cell r="C23">
            <v>130335.6259</v>
          </cell>
          <cell r="D23">
            <v>131452.87820000001</v>
          </cell>
          <cell r="E23">
            <v>132631.6243</v>
          </cell>
          <cell r="F23">
            <v>133905.58240000001</v>
          </cell>
          <cell r="G23">
            <v>135283.5287</v>
          </cell>
          <cell r="H23">
            <v>136758.11410000001</v>
          </cell>
          <cell r="I23">
            <v>138323.2678</v>
          </cell>
          <cell r="J23">
            <v>139973.59539999999</v>
          </cell>
          <cell r="K23">
            <v>141704.03829999999</v>
          </cell>
          <cell r="L23">
            <v>143522.27499999999</v>
          </cell>
          <cell r="M23">
            <v>145415.55739999999</v>
          </cell>
          <cell r="N23">
            <v>147376.31959999999</v>
          </cell>
          <cell r="O23">
            <v>149399.3144</v>
          </cell>
          <cell r="P23">
            <v>151480.3873</v>
          </cell>
          <cell r="Q23">
            <v>153616.1152</v>
          </cell>
          <cell r="R23">
            <v>155803.7225</v>
          </cell>
          <cell r="S23">
            <v>158041.06770000001</v>
          </cell>
          <cell r="T23">
            <v>160326.63200000001</v>
          </cell>
          <cell r="U23">
            <v>162659.48879999999</v>
          </cell>
          <cell r="V23">
            <v>165029.9056</v>
          </cell>
          <cell r="W23">
            <v>167444.05410000001</v>
          </cell>
          <cell r="X23">
            <v>169904.823</v>
          </cell>
          <cell r="Y23">
            <v>172413.95189999999</v>
          </cell>
          <cell r="Z23">
            <v>174972.93799999999</v>
          </cell>
          <cell r="AA23">
            <v>177556.21549999999</v>
          </cell>
          <cell r="AB23">
            <v>180170.05220000001</v>
          </cell>
          <cell r="AC23">
            <v>182818.22690000001</v>
          </cell>
          <cell r="AD23">
            <v>185503.40969999999</v>
          </cell>
          <cell r="AE23">
            <v>188227.94409999999</v>
          </cell>
          <cell r="AF23">
            <v>190994.06299999999</v>
          </cell>
          <cell r="AG23">
            <v>193803.91140000001</v>
          </cell>
          <cell r="AH23">
            <v>196659.50700000001</v>
          </cell>
          <cell r="AI23">
            <v>199562.69200000001</v>
          </cell>
          <cell r="AJ23">
            <v>202515.09359999999</v>
          </cell>
          <cell r="AK23">
            <v>205518.10089999999</v>
          </cell>
          <cell r="AL23">
            <v>208566.22500000001</v>
          </cell>
          <cell r="AM23">
            <v>211657.943</v>
          </cell>
          <cell r="AN23">
            <v>214793.16</v>
          </cell>
          <cell r="AO23">
            <v>217972.1997</v>
          </cell>
          <cell r="AP23">
            <v>221195.4749</v>
          </cell>
          <cell r="AQ23">
            <v>224463.383</v>
          </cell>
          <cell r="AR23">
            <v>227776.27340000001</v>
          </cell>
          <cell r="AS23">
            <v>231134.43580000001</v>
          </cell>
          <cell r="AT23">
            <v>234538.095</v>
          </cell>
          <cell r="AU23">
            <v>237987.41039999999</v>
          </cell>
          <cell r="AV23">
            <v>241483.08670000001</v>
          </cell>
          <cell r="AW23">
            <v>245025.38529999999</v>
          </cell>
          <cell r="AX23">
            <v>248614.37040000001</v>
          </cell>
          <cell r="AY23">
            <v>252250.01689999999</v>
          </cell>
          <cell r="AZ23">
            <v>255932.25810000001</v>
          </cell>
          <cell r="BA23">
            <v>259661.01240000001</v>
          </cell>
          <cell r="BB23">
            <v>263436.2035</v>
          </cell>
          <cell r="BC23">
            <v>267257.77610000002</v>
          </cell>
          <cell r="BD23">
            <v>271125.7095</v>
          </cell>
          <cell r="BE23">
            <v>275040.02789999999</v>
          </cell>
        </row>
        <row r="24">
          <cell r="B24">
            <v>144874.962</v>
          </cell>
          <cell r="C24">
            <v>146302.62450000001</v>
          </cell>
          <cell r="D24">
            <v>147639.133</v>
          </cell>
          <cell r="E24">
            <v>148959.4443</v>
          </cell>
          <cell r="F24">
            <v>150302.17439999999</v>
          </cell>
          <cell r="G24">
            <v>151688.3161</v>
          </cell>
          <cell r="H24">
            <v>153124.24</v>
          </cell>
          <cell r="I24">
            <v>154614.15830000001</v>
          </cell>
          <cell r="J24">
            <v>156161.31599999999</v>
          </cell>
          <cell r="K24">
            <v>157768.19500000001</v>
          </cell>
          <cell r="L24">
            <v>159446.5515</v>
          </cell>
          <cell r="M24">
            <v>161192.7403</v>
          </cell>
          <cell r="N24">
            <v>163004.26879999999</v>
          </cell>
          <cell r="O24">
            <v>164879.52770000001</v>
          </cell>
          <cell r="P24">
            <v>166817.2573</v>
          </cell>
          <cell r="Q24">
            <v>168816.3621</v>
          </cell>
          <cell r="R24">
            <v>170874.88329999999</v>
          </cell>
          <cell r="S24">
            <v>172991.6183</v>
          </cell>
          <cell r="T24">
            <v>175165.8597</v>
          </cell>
          <cell r="U24">
            <v>177397.2371</v>
          </cell>
          <cell r="V24">
            <v>179678.32250000001</v>
          </cell>
          <cell r="W24">
            <v>182011.932</v>
          </cell>
          <cell r="X24">
            <v>184400.20869999999</v>
          </cell>
          <cell r="Y24">
            <v>186844.65270000001</v>
          </cell>
          <cell r="Z24">
            <v>189346.45139999999</v>
          </cell>
          <cell r="AA24">
            <v>191885.6091</v>
          </cell>
          <cell r="AB24">
            <v>194461.23800000001</v>
          </cell>
          <cell r="AC24">
            <v>197073.33119999999</v>
          </cell>
          <cell r="AD24">
            <v>199722.0073</v>
          </cell>
          <cell r="AE24">
            <v>202407.6219</v>
          </cell>
          <cell r="AF24">
            <v>205130.7887</v>
          </cell>
          <cell r="AG24">
            <v>207892.54449999999</v>
          </cell>
          <cell r="AH24">
            <v>210693.8976</v>
          </cell>
          <cell r="AI24">
            <v>213535.80100000001</v>
          </cell>
          <cell r="AJ24">
            <v>216419.11929999999</v>
          </cell>
          <cell r="AK24">
            <v>219344.60029999999</v>
          </cell>
          <cell r="AL24">
            <v>222309.83970000001</v>
          </cell>
          <cell r="AM24">
            <v>225312.96170000001</v>
          </cell>
          <cell r="AN24">
            <v>228352.6692</v>
          </cell>
          <cell r="AO24">
            <v>231428.07709999999</v>
          </cell>
          <cell r="AP24">
            <v>234538.60639999999</v>
          </cell>
          <cell r="AQ24">
            <v>237684.24720000001</v>
          </cell>
          <cell r="AR24">
            <v>240864.99780000001</v>
          </cell>
          <cell r="AS24">
            <v>244080.90270000001</v>
          </cell>
          <cell r="AT24">
            <v>247332.05970000001</v>
          </cell>
          <cell r="AU24">
            <v>250618.60690000001</v>
          </cell>
          <cell r="AV24">
            <v>253942.28890000001</v>
          </cell>
          <cell r="AW24">
            <v>257304.09950000001</v>
          </cell>
          <cell r="AX24">
            <v>260704.61660000001</v>
          </cell>
          <cell r="AY24">
            <v>264144.21500000003</v>
          </cell>
          <cell r="AZ24">
            <v>267623.16940000001</v>
          </cell>
          <cell r="BA24">
            <v>271142.41529999999</v>
          </cell>
          <cell r="BB24">
            <v>274702.49780000001</v>
          </cell>
          <cell r="BC24">
            <v>278303.7769</v>
          </cell>
          <cell r="BD24">
            <v>281946.54869999998</v>
          </cell>
          <cell r="BE24">
            <v>285631.10479999997</v>
          </cell>
        </row>
        <row r="25">
          <cell r="B25">
            <v>144892.19870000001</v>
          </cell>
          <cell r="C25">
            <v>146360.5595</v>
          </cell>
          <cell r="D25">
            <v>147762.94399999999</v>
          </cell>
          <cell r="E25">
            <v>149174.62030000001</v>
          </cell>
          <cell r="F25">
            <v>150633.87419999999</v>
          </cell>
          <cell r="G25">
            <v>152161.0643</v>
          </cell>
          <cell r="H25">
            <v>153761.94680000001</v>
          </cell>
          <cell r="I25">
            <v>155439.93179999999</v>
          </cell>
          <cell r="J25">
            <v>157197.3897</v>
          </cell>
          <cell r="K25">
            <v>159035.9192</v>
          </cell>
          <cell r="L25">
            <v>160966.66630000001</v>
          </cell>
          <cell r="M25">
            <v>162986.05369999999</v>
          </cell>
          <cell r="N25">
            <v>165091.14420000001</v>
          </cell>
          <cell r="O25">
            <v>167279.64430000001</v>
          </cell>
          <cell r="P25">
            <v>169549.51990000001</v>
          </cell>
          <cell r="Q25">
            <v>171898.87969999999</v>
          </cell>
          <cell r="R25">
            <v>174325.99460000001</v>
          </cell>
          <cell r="S25">
            <v>176829.35029999999</v>
          </cell>
          <cell r="T25">
            <v>179407.68599999999</v>
          </cell>
          <cell r="U25">
            <v>182060.0074</v>
          </cell>
          <cell r="V25">
            <v>184777.88860000001</v>
          </cell>
          <cell r="W25">
            <v>187563.65640000001</v>
          </cell>
          <cell r="X25">
            <v>190418.97630000001</v>
          </cell>
          <cell r="Y25">
            <v>193344.897</v>
          </cell>
          <cell r="Z25">
            <v>196342.19190000001</v>
          </cell>
          <cell r="AA25">
            <v>199389.1464</v>
          </cell>
          <cell r="AB25">
            <v>202483.88010000001</v>
          </cell>
          <cell r="AC25">
            <v>205625.7121</v>
          </cell>
          <cell r="AD25">
            <v>208814.2543</v>
          </cell>
          <cell r="AE25">
            <v>212049.45790000001</v>
          </cell>
          <cell r="AF25">
            <v>215331.59580000001</v>
          </cell>
          <cell r="AG25">
            <v>218661.1715</v>
          </cell>
          <cell r="AH25">
            <v>222038.80559999999</v>
          </cell>
          <cell r="AI25">
            <v>225465.1317</v>
          </cell>
          <cell r="AJ25">
            <v>228940.71770000001</v>
          </cell>
          <cell r="AK25">
            <v>232466.01579999999</v>
          </cell>
          <cell r="AL25">
            <v>236035.83900000001</v>
          </cell>
          <cell r="AM25">
            <v>239646.80160000001</v>
          </cell>
          <cell r="AN25">
            <v>243296.75440000001</v>
          </cell>
          <cell r="AO25">
            <v>246984.26879999999</v>
          </cell>
          <cell r="AP25">
            <v>250708.3818</v>
          </cell>
          <cell r="AQ25">
            <v>254468.4644</v>
          </cell>
          <cell r="AR25">
            <v>258264.13870000001</v>
          </cell>
          <cell r="AS25">
            <v>262095.21239999999</v>
          </cell>
          <cell r="AT25">
            <v>265961.6262</v>
          </cell>
          <cell r="AU25">
            <v>269863.41110000003</v>
          </cell>
          <cell r="AV25">
            <v>273801.16009999998</v>
          </cell>
          <cell r="AW25">
            <v>277775.3259</v>
          </cell>
          <cell r="AX25">
            <v>281786.26679999998</v>
          </cell>
          <cell r="AY25">
            <v>285834.29739999998</v>
          </cell>
          <cell r="AZ25">
            <v>289919.7205</v>
          </cell>
          <cell r="BA25">
            <v>294042.85080000001</v>
          </cell>
          <cell r="BB25">
            <v>298204.03450000001</v>
          </cell>
          <cell r="BC25">
            <v>302403.6667</v>
          </cell>
          <cell r="BD25">
            <v>306642.20569999999</v>
          </cell>
          <cell r="BE25">
            <v>310920.18430000002</v>
          </cell>
        </row>
        <row r="26">
          <cell r="B26">
            <v>1694054.848</v>
          </cell>
          <cell r="C26">
            <v>1712835.121</v>
          </cell>
          <cell r="D26">
            <v>1731287.432</v>
          </cell>
          <cell r="E26">
            <v>1749652.6780000001</v>
          </cell>
          <cell r="F26">
            <v>1768161.29</v>
          </cell>
          <cell r="G26">
            <v>1786991.345</v>
          </cell>
          <cell r="H26">
            <v>1806235.7579999999</v>
          </cell>
          <cell r="I26">
            <v>1825954.0049999999</v>
          </cell>
          <cell r="J26">
            <v>1846195.142</v>
          </cell>
          <cell r="K26">
            <v>1867006.44</v>
          </cell>
          <cell r="L26">
            <v>1888503.1340000001</v>
          </cell>
          <cell r="M26">
            <v>1910737.121</v>
          </cell>
          <cell r="N26">
            <v>1933743.0349999999</v>
          </cell>
          <cell r="O26">
            <v>1957552.7379999999</v>
          </cell>
          <cell r="P26">
            <v>1982198.436</v>
          </cell>
          <cell r="Q26">
            <v>2007712.9350000001</v>
          </cell>
          <cell r="R26">
            <v>2034125.371</v>
          </cell>
          <cell r="S26">
            <v>2061465.7590000001</v>
          </cell>
          <cell r="T26">
            <v>2089764.7930000001</v>
          </cell>
          <cell r="U26">
            <v>2119053.5010000002</v>
          </cell>
          <cell r="V26">
            <v>2149312.5099999998</v>
          </cell>
          <cell r="W26">
            <v>2180565.5329999998</v>
          </cell>
          <cell r="X26">
            <v>2212847.8020000001</v>
          </cell>
          <cell r="Y26">
            <v>2246194.4410000001</v>
          </cell>
          <cell r="Z26">
            <v>2280637.4</v>
          </cell>
          <cell r="AA26">
            <v>2316058.6320000002</v>
          </cell>
          <cell r="AB26">
            <v>2352395.6129999999</v>
          </cell>
          <cell r="AC26">
            <v>2389609.3849999998</v>
          </cell>
          <cell r="AD26">
            <v>2427670.3650000002</v>
          </cell>
          <cell r="AE26">
            <v>2466553.5589999999</v>
          </cell>
          <cell r="AF26">
            <v>2506236.6770000001</v>
          </cell>
          <cell r="AG26">
            <v>2546700.0750000002</v>
          </cell>
          <cell r="AH26">
            <v>2587924.486</v>
          </cell>
          <cell r="AI26">
            <v>2629890.2859999998</v>
          </cell>
          <cell r="AJ26">
            <v>2672576.8450000002</v>
          </cell>
          <cell r="AK26">
            <v>2715962.1519999998</v>
          </cell>
          <cell r="AL26">
            <v>2759996.534</v>
          </cell>
          <cell r="AM26">
            <v>2804621.0120000001</v>
          </cell>
          <cell r="AN26">
            <v>2849778.21</v>
          </cell>
          <cell r="AO26">
            <v>2895414.1469999999</v>
          </cell>
          <cell r="AP26">
            <v>2941478.574</v>
          </cell>
          <cell r="AQ26">
            <v>2987926.6260000002</v>
          </cell>
          <cell r="AR26">
            <v>3034716.5649999999</v>
          </cell>
          <cell r="AS26">
            <v>3081809.7940000002</v>
          </cell>
          <cell r="AT26">
            <v>3129170.59</v>
          </cell>
          <cell r="AU26">
            <v>3176765.9219999998</v>
          </cell>
          <cell r="AV26">
            <v>3224574.5649999999</v>
          </cell>
          <cell r="AW26">
            <v>3272576.523</v>
          </cell>
          <cell r="AX26">
            <v>3320753.1189999999</v>
          </cell>
          <cell r="AY26">
            <v>3369086.7930000001</v>
          </cell>
          <cell r="AZ26">
            <v>3417561.3859999999</v>
          </cell>
          <cell r="BA26">
            <v>3466166.3640000001</v>
          </cell>
          <cell r="BB26">
            <v>3514892.0649999999</v>
          </cell>
          <cell r="BC26">
            <v>3563730.6809999999</v>
          </cell>
          <cell r="BD26">
            <v>3612676.3969999999</v>
          </cell>
          <cell r="BE26">
            <v>3661725.64</v>
          </cell>
        </row>
        <row r="27">
          <cell r="B27">
            <v>1694118.743</v>
          </cell>
          <cell r="C27">
            <v>1713078.848</v>
          </cell>
          <cell r="D27">
            <v>1731866.344</v>
          </cell>
          <cell r="E27">
            <v>1750750.273</v>
          </cell>
          <cell r="F27">
            <v>1769982.4450000001</v>
          </cell>
          <cell r="G27">
            <v>1789758.4110000001</v>
          </cell>
          <cell r="H27">
            <v>1810186.8370000001</v>
          </cell>
          <cell r="I27">
            <v>1831340.9550000001</v>
          </cell>
          <cell r="J27">
            <v>1853281.801</v>
          </cell>
          <cell r="K27">
            <v>1876066.9650000001</v>
          </cell>
          <cell r="L27">
            <v>1899821.375</v>
          </cell>
          <cell r="M27">
            <v>1924608.27</v>
          </cell>
          <cell r="N27">
            <v>1950471.274</v>
          </cell>
          <cell r="O27">
            <v>1977448.8119999999</v>
          </cell>
          <cell r="P27">
            <v>2005577.338</v>
          </cell>
          <cell r="Q27">
            <v>2034891.86</v>
          </cell>
          <cell r="R27">
            <v>2065426.0009999999</v>
          </cell>
          <cell r="S27">
            <v>2097212.0299999998</v>
          </cell>
          <cell r="T27">
            <v>2130280.8050000002</v>
          </cell>
          <cell r="U27">
            <v>2164661.594</v>
          </cell>
          <cell r="V27">
            <v>2200329.676</v>
          </cell>
          <cell r="W27">
            <v>2237303.2009999999</v>
          </cell>
          <cell r="X27">
            <v>2275611.11</v>
          </cell>
          <cell r="Y27">
            <v>2315281.429</v>
          </cell>
          <cell r="Z27">
            <v>2356338.1519999998</v>
          </cell>
          <cell r="AA27">
            <v>2398646.87</v>
          </cell>
          <cell r="AB27">
            <v>2442127.1719999998</v>
          </cell>
          <cell r="AC27">
            <v>2486722.1120000002</v>
          </cell>
          <cell r="AD27">
            <v>2532383.926</v>
          </cell>
          <cell r="AE27">
            <v>2579069.2030000002</v>
          </cell>
          <cell r="AF27">
            <v>2626736.878</v>
          </cell>
          <cell r="AG27">
            <v>2675346.9670000002</v>
          </cell>
          <cell r="AH27">
            <v>2724859.4989999998</v>
          </cell>
          <cell r="AI27">
            <v>2775233.625</v>
          </cell>
          <cell r="AJ27">
            <v>2826426.9440000001</v>
          </cell>
          <cell r="AK27">
            <v>2878395.12</v>
          </cell>
          <cell r="AL27">
            <v>2931053.0449999999</v>
          </cell>
          <cell r="AM27">
            <v>2984307.6889999998</v>
          </cell>
          <cell r="AN27">
            <v>3038068.5750000002</v>
          </cell>
          <cell r="AO27">
            <v>3092250.15</v>
          </cell>
          <cell r="AP27">
            <v>3146772.1189999999</v>
          </cell>
          <cell r="AQ27">
            <v>3201559.3429999999</v>
          </cell>
          <cell r="AR27">
            <v>3256541.6660000002</v>
          </cell>
          <cell r="AS27">
            <v>3311653.7259999998</v>
          </cell>
          <cell r="AT27">
            <v>3366834.7629999998</v>
          </cell>
          <cell r="AU27">
            <v>3422028.4739999999</v>
          </cell>
          <cell r="AV27">
            <v>3477186.4810000001</v>
          </cell>
          <cell r="AW27">
            <v>3532265.2749999999</v>
          </cell>
          <cell r="AX27">
            <v>3587225.3590000002</v>
          </cell>
          <cell r="AY27">
            <v>3642031.2009999999</v>
          </cell>
          <cell r="AZ27">
            <v>3696651.443</v>
          </cell>
          <cell r="BA27">
            <v>3751059.1609999998</v>
          </cell>
          <cell r="BB27">
            <v>3805232.125</v>
          </cell>
          <cell r="BC27">
            <v>3859153.0290000001</v>
          </cell>
          <cell r="BD27">
            <v>3912809.6839999999</v>
          </cell>
          <cell r="BE27">
            <v>3966195.148</v>
          </cell>
        </row>
        <row r="28">
          <cell r="B28">
            <v>4359.9019660000004</v>
          </cell>
          <cell r="C28">
            <v>4405.1101120000003</v>
          </cell>
          <cell r="D28">
            <v>4448.3607030000003</v>
          </cell>
          <cell r="E28">
            <v>4491.1682140000003</v>
          </cell>
          <cell r="F28">
            <v>4534.3342480000001</v>
          </cell>
          <cell r="G28">
            <v>4578.3228120000003</v>
          </cell>
          <cell r="H28">
            <v>4623.27052</v>
          </cell>
          <cell r="I28">
            <v>4669.2864810000001</v>
          </cell>
          <cell r="J28">
            <v>4716.4637709999997</v>
          </cell>
          <cell r="K28">
            <v>4764.875438</v>
          </cell>
          <cell r="L28">
            <v>4814.8438120000001</v>
          </cell>
          <cell r="M28">
            <v>4866.271992</v>
          </cell>
          <cell r="N28">
            <v>4919.0921150000004</v>
          </cell>
          <cell r="O28">
            <v>4973.2586140000003</v>
          </cell>
          <cell r="P28">
            <v>5028.7342239999998</v>
          </cell>
          <cell r="Q28">
            <v>5085.4858290000002</v>
          </cell>
          <cell r="R28">
            <v>5143.4630180000004</v>
          </cell>
          <cell r="S28">
            <v>5202.6330509999998</v>
          </cell>
          <cell r="T28">
            <v>5262.9755180000002</v>
          </cell>
          <cell r="U28">
            <v>5324.4788200000003</v>
          </cell>
          <cell r="V28">
            <v>5386.9403359999997</v>
          </cell>
          <cell r="W28">
            <v>5450.4384460000001</v>
          </cell>
          <cell r="X28">
            <v>5515.0307730000004</v>
          </cell>
          <cell r="Y28">
            <v>5580.7568579999997</v>
          </cell>
          <cell r="Z28">
            <v>5647.6481359999998</v>
          </cell>
          <cell r="AA28">
            <v>5715.1648420000001</v>
          </cell>
          <cell r="AB28">
            <v>5783.2931140000001</v>
          </cell>
          <cell r="AC28">
            <v>5852.041905</v>
          </cell>
          <cell r="AD28">
            <v>5921.4235310000004</v>
          </cell>
          <cell r="AE28">
            <v>5991.4579729999996</v>
          </cell>
          <cell r="AF28">
            <v>6062.1735269999999</v>
          </cell>
          <cell r="AG28">
            <v>6133.6095569999998</v>
          </cell>
          <cell r="AH28">
            <v>6205.8059759999996</v>
          </cell>
          <cell r="AI28">
            <v>6278.8018469999997</v>
          </cell>
          <cell r="AJ28">
            <v>6352.6341629999997</v>
          </cell>
          <cell r="AK28">
            <v>6427.3369570000004</v>
          </cell>
          <cell r="AL28">
            <v>6502.8484109999999</v>
          </cell>
          <cell r="AM28">
            <v>6579.1311470000001</v>
          </cell>
          <cell r="AN28">
            <v>6656.1674039999998</v>
          </cell>
          <cell r="AO28">
            <v>6733.9519049999999</v>
          </cell>
          <cell r="AP28">
            <v>6812.4881370000003</v>
          </cell>
          <cell r="AQ28">
            <v>6891.7931470000003</v>
          </cell>
          <cell r="AR28">
            <v>6971.8851869999999</v>
          </cell>
          <cell r="AS28">
            <v>7052.7839439999998</v>
          </cell>
          <cell r="AT28">
            <v>7134.5102539999998</v>
          </cell>
          <cell r="AU28">
            <v>7217.0854820000004</v>
          </cell>
          <cell r="AV28">
            <v>7300.5667899999999</v>
          </cell>
          <cell r="AW28">
            <v>7384.9937170000003</v>
          </cell>
          <cell r="AX28">
            <v>7470.3953519999995</v>
          </cell>
          <cell r="AY28">
            <v>7556.7951629999998</v>
          </cell>
          <cell r="AZ28">
            <v>7644.2133089999998</v>
          </cell>
          <cell r="BA28">
            <v>7732.6827240000002</v>
          </cell>
          <cell r="BB28">
            <v>7822.2271920000003</v>
          </cell>
          <cell r="BC28">
            <v>7912.8655559999997</v>
          </cell>
          <cell r="BD28">
            <v>8004.6143730000003</v>
          </cell>
          <cell r="BE28">
            <v>8097.4892449999998</v>
          </cell>
        </row>
        <row r="29">
          <cell r="B29">
            <v>4360.2592759999998</v>
          </cell>
          <cell r="C29">
            <v>4406.3191139999999</v>
          </cell>
          <cell r="D29">
            <v>4450.9588270000004</v>
          </cell>
          <cell r="E29">
            <v>4495.7019659999996</v>
          </cell>
          <cell r="F29">
            <v>4541.3428990000002</v>
          </cell>
          <cell r="G29">
            <v>4588.3300909999998</v>
          </cell>
          <cell r="H29">
            <v>4636.7837799999998</v>
          </cell>
          <cell r="I29">
            <v>4686.7914680000004</v>
          </cell>
          <cell r="J29">
            <v>4738.4220530000002</v>
          </cell>
          <cell r="K29">
            <v>4791.7234769999995</v>
          </cell>
          <cell r="L29">
            <v>4846.9982250000003</v>
          </cell>
          <cell r="M29">
            <v>4904.1444090000005</v>
          </cell>
          <cell r="N29">
            <v>4963.0783080000001</v>
          </cell>
          <cell r="O29">
            <v>5023.7334430000001</v>
          </cell>
          <cell r="P29">
            <v>5086.049935</v>
          </cell>
          <cell r="Q29">
            <v>5149.9719100000002</v>
          </cell>
          <cell r="R29">
            <v>5215.448531</v>
          </cell>
          <cell r="S29">
            <v>5282.4356159999998</v>
          </cell>
          <cell r="T29">
            <v>5350.8966540000001</v>
          </cell>
          <cell r="U29">
            <v>5420.8030440000002</v>
          </cell>
          <cell r="V29">
            <v>5491.9284429999998</v>
          </cell>
          <cell r="W29">
            <v>5564.3382250000004</v>
          </cell>
          <cell r="X29">
            <v>5638.0779940000002</v>
          </cell>
          <cell r="Y29">
            <v>5713.1766539999999</v>
          </cell>
          <cell r="Z29">
            <v>5789.6565849999997</v>
          </cell>
          <cell r="AA29">
            <v>5866.9443899999997</v>
          </cell>
          <cell r="AB29">
            <v>5945.0068460000002</v>
          </cell>
          <cell r="AC29">
            <v>6023.8408600000002</v>
          </cell>
          <cell r="AD29">
            <v>6103.4510620000001</v>
          </cell>
          <cell r="AE29">
            <v>6183.8526680000004</v>
          </cell>
          <cell r="AF29">
            <v>6265.0711950000004</v>
          </cell>
          <cell r="AG29">
            <v>6347.1396370000002</v>
          </cell>
          <cell r="AH29">
            <v>6430.0949810000002</v>
          </cell>
          <cell r="AI29">
            <v>6513.9751269999997</v>
          </cell>
          <cell r="AJ29">
            <v>6598.8166170000004</v>
          </cell>
          <cell r="AK29">
            <v>6684.6532239999997</v>
          </cell>
          <cell r="AL29">
            <v>6771.3712580000001</v>
          </cell>
          <cell r="AM29">
            <v>6858.9080009999998</v>
          </cell>
          <cell r="AN29">
            <v>6947.2343289999999</v>
          </cell>
          <cell r="AO29">
            <v>7036.340209</v>
          </cell>
          <cell r="AP29">
            <v>7126.2278370000004</v>
          </cell>
          <cell r="AQ29">
            <v>7216.9081100000003</v>
          </cell>
          <cell r="AR29">
            <v>7308.3982329999999</v>
          </cell>
          <cell r="AS29">
            <v>7400.7197550000001</v>
          </cell>
          <cell r="AT29">
            <v>7493.8969059999999</v>
          </cell>
          <cell r="AU29">
            <v>7587.955269</v>
          </cell>
          <cell r="AV29">
            <v>7682.9338630000002</v>
          </cell>
          <cell r="AW29">
            <v>7778.8664429999999</v>
          </cell>
          <cell r="AX29">
            <v>7875.782854</v>
          </cell>
          <cell r="AY29">
            <v>7973.7103420000003</v>
          </cell>
          <cell r="AZ29">
            <v>8072.6743299999998</v>
          </cell>
          <cell r="BA29">
            <v>8172.6989739999999</v>
          </cell>
          <cell r="BB29">
            <v>8273.8076249999995</v>
          </cell>
          <cell r="BC29">
            <v>8376.0232589999996</v>
          </cell>
          <cell r="BD29">
            <v>8479.3688299999994</v>
          </cell>
          <cell r="BE29">
            <v>8583.8675500000008</v>
          </cell>
        </row>
        <row r="30">
          <cell r="B30">
            <v>43527.081709999999</v>
          </cell>
          <cell r="C30">
            <v>43977.972520000003</v>
          </cell>
          <cell r="D30">
            <v>44408.923949999997</v>
          </cell>
          <cell r="E30">
            <v>44834.955170000001</v>
          </cell>
          <cell r="F30">
            <v>45264.022680000002</v>
          </cell>
          <cell r="G30">
            <v>45700.749089999998</v>
          </cell>
          <cell r="H30">
            <v>46146.515399999997</v>
          </cell>
          <cell r="I30">
            <v>46602.442170000002</v>
          </cell>
          <cell r="J30">
            <v>47069.498910000002</v>
          </cell>
          <cell r="K30">
            <v>47548.461880000003</v>
          </cell>
          <cell r="L30">
            <v>48042.592920000003</v>
          </cell>
          <cell r="M30">
            <v>48550.983220000002</v>
          </cell>
          <cell r="N30">
            <v>49073.016530000001</v>
          </cell>
          <cell r="O30">
            <v>49608.298089999997</v>
          </cell>
          <cell r="P30">
            <v>50156.513019999999</v>
          </cell>
          <cell r="Q30">
            <v>50717.383650000003</v>
          </cell>
          <cell r="R30">
            <v>51290.454409999998</v>
          </cell>
          <cell r="S30">
            <v>51875.440459999998</v>
          </cell>
          <cell r="T30">
            <v>52472.174129999999</v>
          </cell>
          <cell r="U30">
            <v>53080.570010000003</v>
          </cell>
          <cell r="V30">
            <v>53698.637940000001</v>
          </cell>
          <cell r="W30">
            <v>54327.176659999997</v>
          </cell>
          <cell r="X30">
            <v>54966.772210000003</v>
          </cell>
          <cell r="Y30">
            <v>55617.826359999999</v>
          </cell>
          <cell r="Z30">
            <v>56280.656719999999</v>
          </cell>
          <cell r="AA30">
            <v>56949.89847</v>
          </cell>
          <cell r="AB30">
            <v>57625.411719999996</v>
          </cell>
          <cell r="AC30">
            <v>58307.275589999997</v>
          </cell>
          <cell r="AD30">
            <v>58995.597229999999</v>
          </cell>
          <cell r="AE30">
            <v>59690.55659</v>
          </cell>
          <cell r="AF30">
            <v>60392.414409999998</v>
          </cell>
          <cell r="AG30">
            <v>61101.540959999998</v>
          </cell>
          <cell r="AH30">
            <v>61818.311950000003</v>
          </cell>
          <cell r="AI30">
            <v>62543.095329999996</v>
          </cell>
          <cell r="AJ30">
            <v>63276.239520000003</v>
          </cell>
          <cell r="AK30">
            <v>64018.064700000003</v>
          </cell>
          <cell r="AL30">
            <v>64767.942029999998</v>
          </cell>
          <cell r="AM30">
            <v>65525.485890000004</v>
          </cell>
          <cell r="AN30">
            <v>66290.506160000004</v>
          </cell>
          <cell r="AO30">
            <v>67062.937000000005</v>
          </cell>
          <cell r="AP30">
            <v>67842.799950000001</v>
          </cell>
          <cell r="AQ30">
            <v>68630.252330000003</v>
          </cell>
          <cell r="AR30">
            <v>69425.464250000005</v>
          </cell>
          <cell r="AS30">
            <v>70228.621329999994</v>
          </cell>
          <cell r="AT30">
            <v>71039.922009999995</v>
          </cell>
          <cell r="AU30">
            <v>71859.571379999994</v>
          </cell>
          <cell r="AV30">
            <v>72688.133090000003</v>
          </cell>
          <cell r="AW30">
            <v>73525.996400000004</v>
          </cell>
          <cell r="AX30">
            <v>74373.448359999995</v>
          </cell>
          <cell r="AY30">
            <v>75230.721409999998</v>
          </cell>
          <cell r="AZ30">
            <v>76098.016130000004</v>
          </cell>
          <cell r="BA30">
            <v>76975.661640000006</v>
          </cell>
          <cell r="BB30">
            <v>77863.896359999999</v>
          </cell>
          <cell r="BC30">
            <v>78762.910170000003</v>
          </cell>
          <cell r="BD30">
            <v>79672.870590000006</v>
          </cell>
          <cell r="BE30">
            <v>80593.935800000007</v>
          </cell>
        </row>
        <row r="31">
          <cell r="B31">
            <v>43530.6607</v>
          </cell>
          <cell r="C31">
            <v>43990.09186</v>
          </cell>
          <cell r="D31">
            <v>44434.993439999998</v>
          </cell>
          <cell r="E31">
            <v>44880.495179999998</v>
          </cell>
          <cell r="F31">
            <v>45334.501129999997</v>
          </cell>
          <cell r="G31">
            <v>45801.497519999997</v>
          </cell>
          <cell r="H31">
            <v>46282.719109999998</v>
          </cell>
          <cell r="I31">
            <v>46779.086410000004</v>
          </cell>
          <cell r="J31">
            <v>47291.341500000002</v>
          </cell>
          <cell r="K31">
            <v>47820.022169999997</v>
          </cell>
          <cell r="L31">
            <v>48368.203020000001</v>
          </cell>
          <cell r="M31">
            <v>48934.93404</v>
          </cell>
          <cell r="N31">
            <v>49519.44771</v>
          </cell>
          <cell r="O31">
            <v>50121.14602</v>
          </cell>
          <cell r="P31">
            <v>50739.492149999998</v>
          </cell>
          <cell r="Q31">
            <v>51373.983209999999</v>
          </cell>
          <cell r="R31">
            <v>52024.159849999996</v>
          </cell>
          <cell r="S31">
            <v>52689.622009999999</v>
          </cell>
          <cell r="T31">
            <v>53370.039149999997</v>
          </cell>
          <cell r="U31">
            <v>54065.152679999999</v>
          </cell>
          <cell r="V31">
            <v>54772.729339999998</v>
          </cell>
          <cell r="W31">
            <v>55493.432690000001</v>
          </cell>
          <cell r="X31">
            <v>56227.722139999998</v>
          </cell>
          <cell r="Y31">
            <v>56975.885479999997</v>
          </cell>
          <cell r="Z31">
            <v>57738.141329999999</v>
          </cell>
          <cell r="AA31">
            <v>58508.773459999997</v>
          </cell>
          <cell r="AB31">
            <v>59287.438219999996</v>
          </cell>
          <cell r="AC31">
            <v>60074.08339</v>
          </cell>
          <cell r="AD31">
            <v>60868.727659999997</v>
          </cell>
          <cell r="AE31">
            <v>61671.491540000003</v>
          </cell>
          <cell r="AF31">
            <v>62482.596310000001</v>
          </cell>
          <cell r="AG31">
            <v>63302.337240000001</v>
          </cell>
          <cell r="AH31">
            <v>64131.049910000002</v>
          </cell>
          <cell r="AI31">
            <v>64969.080179999997</v>
          </cell>
          <cell r="AJ31">
            <v>65816.762040000001</v>
          </cell>
          <cell r="AK31">
            <v>66674.403810000003</v>
          </cell>
          <cell r="AL31">
            <v>67540.847160000005</v>
          </cell>
          <cell r="AM31">
            <v>68415.443180000002</v>
          </cell>
          <cell r="AN31">
            <v>69297.87818</v>
          </cell>
          <cell r="AO31">
            <v>70188.029039999994</v>
          </cell>
          <cell r="AP31">
            <v>71085.895350000006</v>
          </cell>
          <cell r="AQ31">
            <v>71991.564679999996</v>
          </cell>
          <cell r="AR31">
            <v>72905.189249999996</v>
          </cell>
          <cell r="AS31">
            <v>73826.966589999996</v>
          </cell>
          <cell r="AT31">
            <v>74757.12328</v>
          </cell>
          <cell r="AU31">
            <v>75695.901670000007</v>
          </cell>
          <cell r="AV31">
            <v>76643.680189999999</v>
          </cell>
          <cell r="AW31">
            <v>77600.787060000002</v>
          </cell>
          <cell r="AX31">
            <v>78567.513630000001</v>
          </cell>
          <cell r="AY31">
            <v>79544.12732</v>
          </cell>
          <cell r="AZ31">
            <v>80530.879130000001</v>
          </cell>
          <cell r="BA31">
            <v>81528.008889999997</v>
          </cell>
          <cell r="BB31">
            <v>82535.749769999995</v>
          </cell>
          <cell r="BC31">
            <v>83554.332250000007</v>
          </cell>
          <cell r="BD31">
            <v>84583.987529999999</v>
          </cell>
          <cell r="BE31">
            <v>85624.950209999995</v>
          </cell>
        </row>
        <row r="32">
          <cell r="B32">
            <v>25745.127359999999</v>
          </cell>
          <cell r="C32">
            <v>25947.533070000001</v>
          </cell>
          <cell r="D32">
            <v>26132.507010000001</v>
          </cell>
          <cell r="E32">
            <v>26324.401860000002</v>
          </cell>
          <cell r="F32">
            <v>26530.884590000001</v>
          </cell>
          <cell r="G32">
            <v>26754.042000000001</v>
          </cell>
          <cell r="H32">
            <v>26992.268400000001</v>
          </cell>
          <cell r="I32">
            <v>27244.338350000002</v>
          </cell>
          <cell r="J32">
            <v>27509.130659999999</v>
          </cell>
          <cell r="K32">
            <v>27785.56379</v>
          </cell>
          <cell r="L32">
            <v>28075.27824</v>
          </cell>
          <cell r="M32">
            <v>28374.949260000001</v>
          </cell>
          <cell r="N32">
            <v>28682.920559999999</v>
          </cell>
          <cell r="O32">
            <v>28998.201669999999</v>
          </cell>
          <cell r="P32">
            <v>29320.084200000001</v>
          </cell>
          <cell r="Q32">
            <v>29648.023550000002</v>
          </cell>
          <cell r="R32">
            <v>29981.182529999998</v>
          </cell>
          <cell r="S32">
            <v>30319.15395</v>
          </cell>
          <cell r="T32">
            <v>30661.744480000001</v>
          </cell>
          <cell r="U32">
            <v>31008.891240000001</v>
          </cell>
          <cell r="V32">
            <v>31358.702399999998</v>
          </cell>
          <cell r="W32">
            <v>31712.71515</v>
          </cell>
          <cell r="X32">
            <v>32071.601019999998</v>
          </cell>
          <cell r="Y32">
            <v>32435.747210000001</v>
          </cell>
          <cell r="Z32">
            <v>32805.475960000003</v>
          </cell>
          <cell r="AA32">
            <v>33175.624409999997</v>
          </cell>
          <cell r="AB32">
            <v>33548.129159999997</v>
          </cell>
          <cell r="AC32">
            <v>33924.032800000001</v>
          </cell>
          <cell r="AD32">
            <v>34304.026570000002</v>
          </cell>
          <cell r="AE32">
            <v>34688.68419</v>
          </cell>
          <cell r="AF32">
            <v>35078.527889999998</v>
          </cell>
          <cell r="AG32">
            <v>35474.137589999998</v>
          </cell>
          <cell r="AH32">
            <v>35875.987990000001</v>
          </cell>
          <cell r="AI32">
            <v>36284.49151</v>
          </cell>
          <cell r="AJ32">
            <v>36700.01223</v>
          </cell>
          <cell r="AK32">
            <v>37122.870020000002</v>
          </cell>
          <cell r="AL32">
            <v>37552.869319999998</v>
          </cell>
          <cell r="AM32">
            <v>37990.097150000001</v>
          </cell>
          <cell r="AN32">
            <v>38434.718520000002</v>
          </cell>
          <cell r="AO32">
            <v>38886.903720000002</v>
          </cell>
          <cell r="AP32">
            <v>39346.80762</v>
          </cell>
          <cell r="AQ32">
            <v>39814.697829999997</v>
          </cell>
          <cell r="AR32">
            <v>40290.724649999996</v>
          </cell>
          <cell r="AS32">
            <v>40774.985809999998</v>
          </cell>
          <cell r="AT32">
            <v>41267.551030000002</v>
          </cell>
          <cell r="AU32">
            <v>41768.471060000003</v>
          </cell>
          <cell r="AV32">
            <v>42278.350980000003</v>
          </cell>
          <cell r="AW32">
            <v>42797.371809999997</v>
          </cell>
          <cell r="AX32">
            <v>43325.562440000002</v>
          </cell>
          <cell r="AY32">
            <v>43862.899980000002</v>
          </cell>
          <cell r="AZ32">
            <v>44409.34362</v>
          </cell>
          <cell r="BA32">
            <v>44965.131260000002</v>
          </cell>
          <cell r="BB32">
            <v>45530.295870000002</v>
          </cell>
          <cell r="BC32">
            <v>46104.802880000003</v>
          </cell>
          <cell r="BD32">
            <v>46688.600870000002</v>
          </cell>
          <cell r="BE32">
            <v>47281.638599999998</v>
          </cell>
        </row>
        <row r="33">
          <cell r="B33">
            <v>25752.231769999999</v>
          </cell>
          <cell r="C33">
            <v>25970.212</v>
          </cell>
          <cell r="D33">
            <v>26178.88494</v>
          </cell>
          <cell r="E33">
            <v>26402.14774</v>
          </cell>
          <cell r="F33">
            <v>26647.159179999999</v>
          </cell>
          <cell r="G33">
            <v>26915.501110000001</v>
          </cell>
          <cell r="H33">
            <v>27205.159390000001</v>
          </cell>
          <cell r="I33">
            <v>27514.47723</v>
          </cell>
          <cell r="J33">
            <v>27841.925999999999</v>
          </cell>
          <cell r="K33">
            <v>28186.054189999999</v>
          </cell>
          <cell r="L33">
            <v>28548.284240000001</v>
          </cell>
          <cell r="M33">
            <v>28925.352900000002</v>
          </cell>
          <cell r="N33">
            <v>29315.425200000001</v>
          </cell>
          <cell r="O33">
            <v>29717.27461</v>
          </cell>
          <cell r="P33">
            <v>30129.963100000001</v>
          </cell>
          <cell r="Q33">
            <v>30552.742010000002</v>
          </cell>
          <cell r="R33">
            <v>30985.020090000002</v>
          </cell>
          <cell r="S33">
            <v>31426.350480000001</v>
          </cell>
          <cell r="T33">
            <v>31876.421460000001</v>
          </cell>
          <cell r="U33">
            <v>32335.04639</v>
          </cell>
          <cell r="V33">
            <v>32800.073960000002</v>
          </cell>
          <cell r="W33">
            <v>33273.036229999998</v>
          </cell>
          <cell r="X33">
            <v>33754.571309999999</v>
          </cell>
          <cell r="Y33">
            <v>34245.031849999999</v>
          </cell>
          <cell r="Z33">
            <v>34744.714</v>
          </cell>
          <cell r="AA33">
            <v>35247.905939999997</v>
          </cell>
          <cell r="AB33">
            <v>35756.422200000001</v>
          </cell>
          <cell r="AC33">
            <v>36271.283109999997</v>
          </cell>
          <cell r="AD33">
            <v>36793.190210000001</v>
          </cell>
          <cell r="AE33">
            <v>37322.73919</v>
          </cell>
          <cell r="AF33">
            <v>37860.477489999997</v>
          </cell>
          <cell r="AG33">
            <v>38406.915150000001</v>
          </cell>
          <cell r="AH33">
            <v>38962.522689999998</v>
          </cell>
          <cell r="AI33">
            <v>39527.726439999999</v>
          </cell>
          <cell r="AJ33">
            <v>40102.904869999998</v>
          </cell>
          <cell r="AK33">
            <v>40688.386939999997</v>
          </cell>
          <cell r="AL33">
            <v>41282.980989999996</v>
          </cell>
          <cell r="AM33">
            <v>41886.491439999998</v>
          </cell>
          <cell r="AN33">
            <v>42499.044139999998</v>
          </cell>
          <cell r="AO33">
            <v>43120.842660000002</v>
          </cell>
          <cell r="AP33">
            <v>43752.093379999998</v>
          </cell>
          <cell r="AQ33">
            <v>44392.983229999998</v>
          </cell>
          <cell r="AR33">
            <v>45043.673909999998</v>
          </cell>
          <cell r="AS33">
            <v>45704.301399999997</v>
          </cell>
          <cell r="AT33">
            <v>46374.977209999997</v>
          </cell>
          <cell r="AU33">
            <v>47055.790330000003</v>
          </cell>
          <cell r="AV33">
            <v>47746.944810000001</v>
          </cell>
          <cell r="AW33">
            <v>48448.531540000004</v>
          </cell>
          <cell r="AX33">
            <v>49160.593630000003</v>
          </cell>
          <cell r="AY33">
            <v>49883.152329999997</v>
          </cell>
          <cell r="AZ33">
            <v>50616.217479999999</v>
          </cell>
          <cell r="BA33">
            <v>51359.792939999999</v>
          </cell>
          <cell r="BB33">
            <v>52113.8802</v>
          </cell>
          <cell r="BC33">
            <v>52878.481180000002</v>
          </cell>
          <cell r="BD33">
            <v>53653.600460000001</v>
          </cell>
          <cell r="BE33">
            <v>54439.24697</v>
          </cell>
        </row>
        <row r="34">
          <cell r="B34">
            <v>14916.08813</v>
          </cell>
          <cell r="C34">
            <v>15057.87997</v>
          </cell>
          <cell r="D34">
            <v>15193.370730000001</v>
          </cell>
          <cell r="E34">
            <v>15331.372600000001</v>
          </cell>
          <cell r="F34">
            <v>15475.619860000001</v>
          </cell>
          <cell r="G34">
            <v>15628.036270000001</v>
          </cell>
          <cell r="H34">
            <v>15789.03659</v>
          </cell>
          <cell r="I34">
            <v>15959.04088</v>
          </cell>
          <cell r="J34">
            <v>16138.427309999999</v>
          </cell>
          <cell r="K34">
            <v>16327.480680000001</v>
          </cell>
          <cell r="L34">
            <v>16527.710859999999</v>
          </cell>
          <cell r="M34">
            <v>16738.461739999999</v>
          </cell>
          <cell r="N34">
            <v>16959.32288</v>
          </cell>
          <cell r="O34">
            <v>17189.975129999999</v>
          </cell>
          <cell r="P34">
            <v>17430.116480000001</v>
          </cell>
          <cell r="Q34">
            <v>17679.450570000001</v>
          </cell>
          <cell r="R34">
            <v>17937.549790000001</v>
          </cell>
          <cell r="S34">
            <v>18204.099480000001</v>
          </cell>
          <cell r="T34">
            <v>18478.849679999999</v>
          </cell>
          <cell r="U34">
            <v>18761.595890000001</v>
          </cell>
          <cell r="V34">
            <v>19051.159660000001</v>
          </cell>
          <cell r="W34">
            <v>19347.826410000001</v>
          </cell>
          <cell r="X34">
            <v>19651.73216</v>
          </cell>
          <cell r="Y34">
            <v>19962.943569999999</v>
          </cell>
          <cell r="Z34">
            <v>20281.508099999999</v>
          </cell>
          <cell r="AA34">
            <v>20604.5219</v>
          </cell>
          <cell r="AB34">
            <v>20931.879580000001</v>
          </cell>
          <cell r="AC34">
            <v>21263.48386</v>
          </cell>
          <cell r="AD34">
            <v>21599.270410000001</v>
          </cell>
          <cell r="AE34">
            <v>21939.2441</v>
          </cell>
          <cell r="AF34">
            <v>22283.478729999999</v>
          </cell>
          <cell r="AG34">
            <v>22632.135389999999</v>
          </cell>
          <cell r="AH34">
            <v>22985.390670000001</v>
          </cell>
          <cell r="AI34">
            <v>23343.432260000001</v>
          </cell>
          <cell r="AJ34">
            <v>23706.451239999999</v>
          </cell>
          <cell r="AK34">
            <v>24074.635320000001</v>
          </cell>
          <cell r="AL34">
            <v>24447.735779999999</v>
          </cell>
          <cell r="AM34">
            <v>24825.592199999999</v>
          </cell>
          <cell r="AN34">
            <v>25208.127509999998</v>
          </cell>
          <cell r="AO34">
            <v>25595.328939999999</v>
          </cell>
          <cell r="AP34">
            <v>25987.235710000001</v>
          </cell>
          <cell r="AQ34">
            <v>26383.977060000001</v>
          </cell>
          <cell r="AR34">
            <v>26785.687099999999</v>
          </cell>
          <cell r="AS34">
            <v>27192.512050000001</v>
          </cell>
          <cell r="AT34">
            <v>27604.608469999999</v>
          </cell>
          <cell r="AU34">
            <v>28022.138760000002</v>
          </cell>
          <cell r="AV34">
            <v>28445.496800000001</v>
          </cell>
          <cell r="AW34">
            <v>28874.956010000002</v>
          </cell>
          <cell r="AX34">
            <v>29310.733</v>
          </cell>
          <cell r="AY34">
            <v>29753.014599999999</v>
          </cell>
          <cell r="AZ34">
            <v>30201.9686</v>
          </cell>
          <cell r="BA34">
            <v>30657.852009999999</v>
          </cell>
          <cell r="BB34">
            <v>31120.853230000001</v>
          </cell>
          <cell r="BC34">
            <v>31591.129679999998</v>
          </cell>
          <cell r="BD34">
            <v>32068.824349999999</v>
          </cell>
          <cell r="BE34">
            <v>32554.073100000001</v>
          </cell>
        </row>
        <row r="35">
          <cell r="B35">
            <v>14918.317520000001</v>
          </cell>
          <cell r="C35">
            <v>15065.36628</v>
          </cell>
          <cell r="D35">
            <v>15209.40178</v>
          </cell>
          <cell r="E35">
            <v>15359.328020000001</v>
          </cell>
          <cell r="F35">
            <v>15518.870929999999</v>
          </cell>
          <cell r="G35">
            <v>15689.888000000001</v>
          </cell>
          <cell r="H35">
            <v>15872.716770000001</v>
          </cell>
          <cell r="I35">
            <v>16067.66041</v>
          </cell>
          <cell r="J35">
            <v>16274.96113</v>
          </cell>
          <cell r="K35">
            <v>16494.75921</v>
          </cell>
          <cell r="L35">
            <v>16728.457999999999</v>
          </cell>
          <cell r="M35">
            <v>16975.381990000002</v>
          </cell>
          <cell r="N35">
            <v>17235.021079999999</v>
          </cell>
          <cell r="O35">
            <v>17506.927019999999</v>
          </cell>
          <cell r="P35">
            <v>17790.659899999999</v>
          </cell>
          <cell r="Q35">
            <v>18085.784790000002</v>
          </cell>
          <cell r="R35">
            <v>18391.88348</v>
          </cell>
          <cell r="S35">
            <v>18708.56684</v>
          </cell>
          <cell r="T35">
            <v>19035.483080000002</v>
          </cell>
          <cell r="U35">
            <v>19372.321810000001</v>
          </cell>
          <cell r="V35">
            <v>19717.74365</v>
          </cell>
          <cell r="W35">
            <v>20071.957709999999</v>
          </cell>
          <cell r="X35">
            <v>20435.024590000001</v>
          </cell>
          <cell r="Y35">
            <v>20806.942650000001</v>
          </cell>
          <cell r="Z35">
            <v>21187.700799999999</v>
          </cell>
          <cell r="AA35">
            <v>21574.137930000001</v>
          </cell>
          <cell r="AB35">
            <v>21966.021199999999</v>
          </cell>
          <cell r="AC35">
            <v>22363.172460000002</v>
          </cell>
          <cell r="AD35">
            <v>22765.47379</v>
          </cell>
          <cell r="AE35">
            <v>23172.89645</v>
          </cell>
          <cell r="AF35">
            <v>23585.496210000001</v>
          </cell>
          <cell r="AG35">
            <v>24003.394479999999</v>
          </cell>
          <cell r="AH35">
            <v>24426.756710000001</v>
          </cell>
          <cell r="AI35">
            <v>24855.773389999998</v>
          </cell>
          <cell r="AJ35">
            <v>25290.645349999999</v>
          </cell>
          <cell r="AK35">
            <v>25731.573799999998</v>
          </cell>
          <cell r="AL35">
            <v>26177.963220000001</v>
          </cell>
          <cell r="AM35">
            <v>26629.510419999999</v>
          </cell>
          <cell r="AN35">
            <v>27086.08065</v>
          </cell>
          <cell r="AO35">
            <v>27547.641640000002</v>
          </cell>
          <cell r="AP35">
            <v>28014.235120000001</v>
          </cell>
          <cell r="AQ35">
            <v>28485.96055</v>
          </cell>
          <cell r="AR35">
            <v>28962.96185</v>
          </cell>
          <cell r="AS35">
            <v>29445.415359999999</v>
          </cell>
          <cell r="AT35">
            <v>29933.519069999998</v>
          </cell>
          <cell r="AU35">
            <v>30427.48374</v>
          </cell>
          <cell r="AV35">
            <v>30927.599600000001</v>
          </cell>
          <cell r="AW35">
            <v>31434.1306</v>
          </cell>
          <cell r="AX35">
            <v>31947.322889999999</v>
          </cell>
          <cell r="AY35">
            <v>32467.40969</v>
          </cell>
          <cell r="AZ35">
            <v>32994.613960000002</v>
          </cell>
          <cell r="BA35">
            <v>33529.150580000001</v>
          </cell>
          <cell r="BB35">
            <v>34071.228640000001</v>
          </cell>
          <cell r="BC35">
            <v>34621.05373</v>
          </cell>
          <cell r="BD35">
            <v>35178.829980000002</v>
          </cell>
          <cell r="BE35">
            <v>35744.7618</v>
          </cell>
        </row>
        <row r="36">
          <cell r="B36">
            <v>1989033.05</v>
          </cell>
          <cell r="C36">
            <v>2009686.0959999999</v>
          </cell>
          <cell r="D36">
            <v>2029512.825</v>
          </cell>
          <cell r="E36">
            <v>2049183.781</v>
          </cell>
          <cell r="F36">
            <v>2069108.4950000001</v>
          </cell>
          <cell r="G36">
            <v>2089552.825</v>
          </cell>
          <cell r="H36">
            <v>2110626.7390000001</v>
          </cell>
          <cell r="I36">
            <v>2132414.41</v>
          </cell>
          <cell r="J36">
            <v>2154986.537</v>
          </cell>
          <cell r="K36">
            <v>2178401.2140000002</v>
          </cell>
          <cell r="L36">
            <v>2202832.8859999999</v>
          </cell>
          <cell r="M36">
            <v>2228269.392</v>
          </cell>
          <cell r="N36">
            <v>2254695.8459999999</v>
          </cell>
          <cell r="O36">
            <v>2282099.9890000001</v>
          </cell>
          <cell r="P36">
            <v>2310469.4139999999</v>
          </cell>
          <cell r="Q36">
            <v>2339790.9500000002</v>
          </cell>
          <cell r="R36">
            <v>2370041.2409999999</v>
          </cell>
          <cell r="S36">
            <v>2401202.622</v>
          </cell>
          <cell r="T36">
            <v>2433260.946</v>
          </cell>
          <cell r="U36">
            <v>2466204.523</v>
          </cell>
          <cell r="V36">
            <v>2499928.068</v>
          </cell>
          <cell r="W36">
            <v>2534448.676</v>
          </cell>
          <cell r="X36">
            <v>2569782.1860000002</v>
          </cell>
          <cell r="Y36">
            <v>2605938.2579999999</v>
          </cell>
          <cell r="Z36">
            <v>2642922.6710000001</v>
          </cell>
          <cell r="AA36">
            <v>2680463.1460000002</v>
          </cell>
          <cell r="AB36">
            <v>2718507.5920000002</v>
          </cell>
          <cell r="AC36">
            <v>2757027.2910000002</v>
          </cell>
          <cell r="AD36">
            <v>2796002.6860000002</v>
          </cell>
          <cell r="AE36">
            <v>2835422.5649999999</v>
          </cell>
          <cell r="AF36">
            <v>2875283.085</v>
          </cell>
          <cell r="AG36">
            <v>2915588.466</v>
          </cell>
          <cell r="AH36">
            <v>2956345.3530000001</v>
          </cell>
          <cell r="AI36">
            <v>2997561.8590000002</v>
          </cell>
          <cell r="AJ36">
            <v>3039246.57</v>
          </cell>
          <cell r="AK36">
            <v>3081407.87</v>
          </cell>
          <cell r="AL36">
            <v>3124009.003</v>
          </cell>
          <cell r="AM36">
            <v>3167017.6949999998</v>
          </cell>
          <cell r="AN36">
            <v>3210412.0449999999</v>
          </cell>
          <cell r="AO36">
            <v>3254178.446</v>
          </cell>
          <cell r="AP36">
            <v>3298310.02</v>
          </cell>
          <cell r="AQ36">
            <v>3342809.0210000002</v>
          </cell>
          <cell r="AR36">
            <v>3387680.21</v>
          </cell>
          <cell r="AS36">
            <v>3432930.906</v>
          </cell>
          <cell r="AT36">
            <v>3478570.3629999999</v>
          </cell>
          <cell r="AU36">
            <v>3524609.145</v>
          </cell>
          <cell r="AV36">
            <v>3571077.0830000001</v>
          </cell>
          <cell r="AW36">
            <v>3617996.199</v>
          </cell>
          <cell r="AX36">
            <v>3665384.568</v>
          </cell>
          <cell r="AY36">
            <v>3713257.787</v>
          </cell>
          <cell r="AZ36">
            <v>3761629.824</v>
          </cell>
          <cell r="BA36">
            <v>3810521.4989999998</v>
          </cell>
          <cell r="BB36">
            <v>3859948.5890000002</v>
          </cell>
          <cell r="BC36">
            <v>3909924.7390000001</v>
          </cell>
          <cell r="BD36">
            <v>3960462.4330000002</v>
          </cell>
          <cell r="BE36">
            <v>4011573.5639999998</v>
          </cell>
        </row>
        <row r="37">
          <cell r="B37">
            <v>1989199.2039999999</v>
          </cell>
          <cell r="C37">
            <v>2010253.8219999999</v>
          </cell>
          <cell r="D37">
            <v>2030750.32</v>
          </cell>
          <cell r="E37">
            <v>2051375.121</v>
          </cell>
          <cell r="F37">
            <v>2072544.38</v>
          </cell>
          <cell r="G37">
            <v>2094524.885</v>
          </cell>
          <cell r="H37">
            <v>2117425.3590000002</v>
          </cell>
          <cell r="I37">
            <v>2141324.9980000001</v>
          </cell>
          <cell r="J37">
            <v>2166287.25</v>
          </cell>
          <cell r="K37">
            <v>2192361.5639999998</v>
          </cell>
          <cell r="L37">
            <v>2219715.1779999998</v>
          </cell>
          <cell r="M37">
            <v>2248334.6349999998</v>
          </cell>
          <cell r="N37">
            <v>2278198.3319999999</v>
          </cell>
          <cell r="O37">
            <v>2309284.35</v>
          </cell>
          <cell r="P37">
            <v>2341568.8650000002</v>
          </cell>
          <cell r="Q37">
            <v>2375026.2220000001</v>
          </cell>
          <cell r="R37">
            <v>2409630.0449999999</v>
          </cell>
          <cell r="S37">
            <v>2445354.4029999999</v>
          </cell>
          <cell r="T37">
            <v>2482174.6209999998</v>
          </cell>
          <cell r="U37">
            <v>2520067.656</v>
          </cell>
          <cell r="V37">
            <v>2558912.9509999999</v>
          </cell>
          <cell r="W37">
            <v>2598717.0269999998</v>
          </cell>
          <cell r="X37">
            <v>2639485.69</v>
          </cell>
          <cell r="Y37">
            <v>2681219.2760000001</v>
          </cell>
          <cell r="Z37">
            <v>2723915.0449999999</v>
          </cell>
          <cell r="AA37">
            <v>2767279.2850000001</v>
          </cell>
          <cell r="AB37">
            <v>2811244.6910000001</v>
          </cell>
          <cell r="AC37">
            <v>2855771.2089999998</v>
          </cell>
          <cell r="AD37">
            <v>2900830.409</v>
          </cell>
          <cell r="AE37">
            <v>2946404.1340000001</v>
          </cell>
          <cell r="AF37">
            <v>2992483.1170000001</v>
          </cell>
          <cell r="AG37">
            <v>3039064.8689999999</v>
          </cell>
          <cell r="AH37">
            <v>3086151.4589999998</v>
          </cell>
          <cell r="AI37">
            <v>3133747.5920000002</v>
          </cell>
          <cell r="AJ37">
            <v>3181859.1740000001</v>
          </cell>
          <cell r="AK37">
            <v>3230492.3859999999</v>
          </cell>
          <cell r="AL37">
            <v>3279582.202</v>
          </cell>
          <cell r="AM37">
            <v>3329081.1749999998</v>
          </cell>
          <cell r="AN37">
            <v>3378958.22</v>
          </cell>
          <cell r="AO37">
            <v>3429194.1209999998</v>
          </cell>
          <cell r="AP37">
            <v>3479778.7919999999</v>
          </cell>
          <cell r="AQ37">
            <v>3530709.4449999998</v>
          </cell>
          <cell r="AR37">
            <v>3581989.0860000001</v>
          </cell>
          <cell r="AS37">
            <v>3633625.15</v>
          </cell>
          <cell r="AT37">
            <v>3685628.29</v>
          </cell>
          <cell r="AU37">
            <v>3738011.3670000001</v>
          </cell>
          <cell r="AV37">
            <v>3790795.0989999999</v>
          </cell>
          <cell r="AW37">
            <v>3843999.3810000001</v>
          </cell>
          <cell r="AX37">
            <v>3897643.071</v>
          </cell>
          <cell r="AY37">
            <v>3951744.26</v>
          </cell>
          <cell r="AZ37">
            <v>4006320.4849999999</v>
          </cell>
          <cell r="BA37">
            <v>4061388.929</v>
          </cell>
          <cell r="BB37">
            <v>4116966.6230000001</v>
          </cell>
          <cell r="BC37">
            <v>4173070.6239999998</v>
          </cell>
          <cell r="BD37">
            <v>4229718.1869999999</v>
          </cell>
          <cell r="BE37">
            <v>4286926.8830000004</v>
          </cell>
        </row>
        <row r="38">
          <cell r="B38">
            <v>436609.66859999998</v>
          </cell>
          <cell r="C38">
            <v>441739.98129999998</v>
          </cell>
          <cell r="D38">
            <v>447049.38699999999</v>
          </cell>
          <cell r="E38">
            <v>452576.0857</v>
          </cell>
          <cell r="F38">
            <v>458331.76409999997</v>
          </cell>
          <cell r="G38">
            <v>464315.28570000001</v>
          </cell>
          <cell r="H38">
            <v>470494.95069999999</v>
          </cell>
          <cell r="I38">
            <v>476854.40090000001</v>
          </cell>
          <cell r="J38">
            <v>483384.29320000001</v>
          </cell>
          <cell r="K38">
            <v>490078.83779999998</v>
          </cell>
          <cell r="L38">
            <v>496979.11550000001</v>
          </cell>
          <cell r="M38">
            <v>504054.0269</v>
          </cell>
          <cell r="N38">
            <v>511291.84279999998</v>
          </cell>
          <cell r="O38">
            <v>518688.83309999999</v>
          </cell>
          <cell r="P38">
            <v>526244.34290000005</v>
          </cell>
          <cell r="Q38">
            <v>533959.14040000003</v>
          </cell>
          <cell r="R38">
            <v>541834.46109999996</v>
          </cell>
          <cell r="S38">
            <v>549872.34149999998</v>
          </cell>
          <cell r="T38">
            <v>558075.30440000002</v>
          </cell>
          <cell r="U38">
            <v>566446.12849999999</v>
          </cell>
          <cell r="V38">
            <v>574954.30460000003</v>
          </cell>
          <cell r="W38">
            <v>583624.02540000004</v>
          </cell>
          <cell r="X38">
            <v>592465.90650000004</v>
          </cell>
          <cell r="Y38">
            <v>601485.14069999999</v>
          </cell>
          <cell r="Z38">
            <v>610684.94099999999</v>
          </cell>
          <cell r="AA38">
            <v>619970.69270000001</v>
          </cell>
          <cell r="AB38">
            <v>629360.41949999996</v>
          </cell>
          <cell r="AC38">
            <v>638861.54810000001</v>
          </cell>
          <cell r="AD38">
            <v>648476.87919999997</v>
          </cell>
          <cell r="AE38">
            <v>658207.83739999996</v>
          </cell>
          <cell r="AF38">
            <v>668055.49239999999</v>
          </cell>
          <cell r="AG38">
            <v>678020.91830000002</v>
          </cell>
          <cell r="AH38">
            <v>688105.06510000001</v>
          </cell>
          <cell r="AI38">
            <v>698308.77119999996</v>
          </cell>
          <cell r="AJ38">
            <v>708632.76780000003</v>
          </cell>
          <cell r="AK38">
            <v>719077.701</v>
          </cell>
          <cell r="AL38">
            <v>729621.36170000001</v>
          </cell>
          <cell r="AM38">
            <v>740255.94429999997</v>
          </cell>
          <cell r="AN38">
            <v>750979.07750000001</v>
          </cell>
          <cell r="AO38">
            <v>761790.39780000004</v>
          </cell>
          <cell r="AP38">
            <v>772690.49979999999</v>
          </cell>
          <cell r="AQ38">
            <v>783680.75399999996</v>
          </cell>
          <cell r="AR38">
            <v>794762.93759999995</v>
          </cell>
          <cell r="AS38">
            <v>805939.20730000001</v>
          </cell>
          <cell r="AT38">
            <v>817212.05090000003</v>
          </cell>
          <cell r="AU38">
            <v>828584.23979999998</v>
          </cell>
          <cell r="AV38">
            <v>840061.451</v>
          </cell>
          <cell r="AW38">
            <v>851647.8798</v>
          </cell>
          <cell r="AX38">
            <v>863347.2598</v>
          </cell>
          <cell r="AY38">
            <v>875163.24040000001</v>
          </cell>
          <cell r="AZ38">
            <v>887099.51809999999</v>
          </cell>
          <cell r="BA38">
            <v>899160.21200000006</v>
          </cell>
          <cell r="BB38">
            <v>911349.32649999997</v>
          </cell>
          <cell r="BC38">
            <v>923670.8726</v>
          </cell>
          <cell r="BD38">
            <v>936128.90040000004</v>
          </cell>
          <cell r="BE38">
            <v>948727.51179999998</v>
          </cell>
        </row>
        <row r="39">
          <cell r="B39">
            <v>436615.54820000002</v>
          </cell>
          <cell r="C39">
            <v>441759.00329999998</v>
          </cell>
          <cell r="D39">
            <v>447088.82439999998</v>
          </cell>
          <cell r="E39">
            <v>452642.92259999999</v>
          </cell>
          <cell r="F39">
            <v>458432.93300000002</v>
          </cell>
          <cell r="G39">
            <v>464458.0526</v>
          </cell>
          <cell r="H39">
            <v>470687.3248</v>
          </cell>
          <cell r="I39">
            <v>477105.29119999998</v>
          </cell>
          <cell r="J39">
            <v>483703.59730000002</v>
          </cell>
          <cell r="K39">
            <v>490477.46759999997</v>
          </cell>
          <cell r="L39">
            <v>497469.01299999998</v>
          </cell>
          <cell r="M39">
            <v>504648.40610000002</v>
          </cell>
          <cell r="N39">
            <v>512004.81929999997</v>
          </cell>
          <cell r="O39">
            <v>519535.17210000003</v>
          </cell>
          <cell r="P39">
            <v>527239.26619999995</v>
          </cell>
          <cell r="Q39">
            <v>535118.1629</v>
          </cell>
          <cell r="R39">
            <v>543173.61380000005</v>
          </cell>
          <cell r="S39">
            <v>551407.80610000005</v>
          </cell>
          <cell r="T39">
            <v>559823.19070000004</v>
          </cell>
          <cell r="U39">
            <v>568422.3297</v>
          </cell>
          <cell r="V39">
            <v>577174.22809999995</v>
          </cell>
          <cell r="W39">
            <v>586102.68940000003</v>
          </cell>
          <cell r="X39">
            <v>595217.89610000001</v>
          </cell>
          <cell r="Y39">
            <v>604524.56290000002</v>
          </cell>
          <cell r="Z39">
            <v>614025.38080000004</v>
          </cell>
          <cell r="AA39">
            <v>623624.46939999994</v>
          </cell>
          <cell r="AB39">
            <v>633338.88210000005</v>
          </cell>
          <cell r="AC39">
            <v>643175.21459999995</v>
          </cell>
          <cell r="AD39">
            <v>653135.52339999995</v>
          </cell>
          <cell r="AE39">
            <v>663220.55130000005</v>
          </cell>
          <cell r="AF39">
            <v>673430.72759999998</v>
          </cell>
          <cell r="AG39">
            <v>683766.41540000006</v>
          </cell>
          <cell r="AH39">
            <v>694227.93389999995</v>
          </cell>
          <cell r="AI39">
            <v>704815.53449999995</v>
          </cell>
          <cell r="AJ39">
            <v>715529.39339999994</v>
          </cell>
          <cell r="AK39">
            <v>726369.63269999996</v>
          </cell>
          <cell r="AL39">
            <v>737312.40529999998</v>
          </cell>
          <cell r="AM39">
            <v>748348.95050000004</v>
          </cell>
          <cell r="AN39">
            <v>759476.27009999997</v>
          </cell>
          <cell r="AO39">
            <v>770693.56590000005</v>
          </cell>
          <cell r="AP39">
            <v>782001.11430000002</v>
          </cell>
          <cell r="AQ39">
            <v>793399.89910000004</v>
          </cell>
          <cell r="AR39">
            <v>804891.46299999999</v>
          </cell>
          <cell r="AS39">
            <v>816477.81579999998</v>
          </cell>
          <cell r="AT39">
            <v>828161.36060000001</v>
          </cell>
          <cell r="AU39">
            <v>839944.82960000006</v>
          </cell>
          <cell r="AV39">
            <v>851833.41020000004</v>
          </cell>
          <cell r="AW39">
            <v>863831.15339999995</v>
          </cell>
          <cell r="AX39">
            <v>875941.80350000004</v>
          </cell>
          <cell r="AY39">
            <v>888169.10730000003</v>
          </cell>
          <cell r="AZ39">
            <v>900516.9044</v>
          </cell>
          <cell r="BA39">
            <v>912989.14859999996</v>
          </cell>
          <cell r="BB39">
            <v>925589.90800000005</v>
          </cell>
          <cell r="BC39">
            <v>938323.3578</v>
          </cell>
          <cell r="BD39">
            <v>951193.76899999997</v>
          </cell>
          <cell r="BE39">
            <v>964205.49450000003</v>
          </cell>
        </row>
        <row r="40">
          <cell r="B40">
            <v>5635.8400190000002</v>
          </cell>
          <cell r="C40">
            <v>5691.1851310000002</v>
          </cell>
          <cell r="D40">
            <v>5742.3559169999999</v>
          </cell>
          <cell r="E40">
            <v>5792.3966780000001</v>
          </cell>
          <cell r="F40">
            <v>5842.9923779999999</v>
          </cell>
          <cell r="G40">
            <v>5895.139424</v>
          </cell>
          <cell r="H40">
            <v>5949.2457880000002</v>
          </cell>
          <cell r="I40">
            <v>6005.5849040000003</v>
          </cell>
          <cell r="J40">
            <v>6064.3493239999998</v>
          </cell>
          <cell r="K40">
            <v>6125.6640859999998</v>
          </cell>
          <cell r="L40">
            <v>6189.9718730000004</v>
          </cell>
          <cell r="M40">
            <v>6257.1224929999998</v>
          </cell>
          <cell r="N40">
            <v>6326.9776240000001</v>
          </cell>
          <cell r="O40">
            <v>6399.4242389999999</v>
          </cell>
          <cell r="P40">
            <v>6474.3589069999998</v>
          </cell>
          <cell r="Q40">
            <v>6551.6830540000001</v>
          </cell>
          <cell r="R40">
            <v>6631.265453</v>
          </cell>
          <cell r="S40">
            <v>6713.0055990000001</v>
          </cell>
          <cell r="T40">
            <v>6796.8270510000002</v>
          </cell>
          <cell r="U40">
            <v>6882.6721269999998</v>
          </cell>
          <cell r="V40">
            <v>6970.2239589999999</v>
          </cell>
          <cell r="W40">
            <v>7059.5516930000003</v>
          </cell>
          <cell r="X40">
            <v>7150.71702</v>
          </cell>
          <cell r="Y40">
            <v>7243.7632119999998</v>
          </cell>
          <cell r="Z40">
            <v>7338.726858</v>
          </cell>
          <cell r="AA40">
            <v>7434.853494</v>
          </cell>
          <cell r="AB40">
            <v>7532.0938699999997</v>
          </cell>
          <cell r="AC40">
            <v>7630.4588030000004</v>
          </cell>
          <cell r="AD40">
            <v>7729.9703330000002</v>
          </cell>
          <cell r="AE40">
            <v>7830.6633179999999</v>
          </cell>
          <cell r="AF40">
            <v>7932.585599</v>
          </cell>
          <cell r="AG40">
            <v>8035.8035819999996</v>
          </cell>
          <cell r="AH40">
            <v>8140.3842860000004</v>
          </cell>
          <cell r="AI40">
            <v>8246.3930450000007</v>
          </cell>
          <cell r="AJ40">
            <v>8353.8915369999995</v>
          </cell>
          <cell r="AK40">
            <v>8462.9360500000003</v>
          </cell>
          <cell r="AL40">
            <v>8573.464618</v>
          </cell>
          <cell r="AM40">
            <v>8685.4298880000006</v>
          </cell>
          <cell r="AN40">
            <v>8798.8046699999995</v>
          </cell>
          <cell r="AO40">
            <v>8913.5758139999998</v>
          </cell>
          <cell r="AP40">
            <v>9029.7398200000007</v>
          </cell>
          <cell r="AQ40">
            <v>9147.3126080000002</v>
          </cell>
          <cell r="AR40">
            <v>9266.3084459999991</v>
          </cell>
          <cell r="AS40">
            <v>9386.7408379999997</v>
          </cell>
          <cell r="AT40">
            <v>9508.6229430000003</v>
          </cell>
          <cell r="AU40">
            <v>9631.9672360000004</v>
          </cell>
          <cell r="AV40">
            <v>9756.8448410000001</v>
          </cell>
          <cell r="AW40">
            <v>9883.2981419999996</v>
          </cell>
          <cell r="AX40">
            <v>10011.35087</v>
          </cell>
          <cell r="AY40">
            <v>10141.016729999999</v>
          </cell>
          <cell r="AZ40">
            <v>10272.30372</v>
          </cell>
          <cell r="BA40">
            <v>10405.24331</v>
          </cell>
          <cell r="BB40">
            <v>10539.851570000001</v>
          </cell>
          <cell r="BC40">
            <v>10676.135990000001</v>
          </cell>
          <cell r="BD40">
            <v>10814.10051</v>
          </cell>
          <cell r="BE40">
            <v>10953.74821</v>
          </cell>
        </row>
        <row r="41">
          <cell r="B41">
            <v>5636.5006020000001</v>
          </cell>
          <cell r="C41">
            <v>5693.4321989999999</v>
          </cell>
          <cell r="D41">
            <v>5747.1833150000002</v>
          </cell>
          <cell r="E41">
            <v>5800.8024580000001</v>
          </cell>
          <cell r="F41">
            <v>5855.9498469999999</v>
          </cell>
          <cell r="G41">
            <v>5913.5830370000003</v>
          </cell>
          <cell r="H41">
            <v>5974.0711309999997</v>
          </cell>
          <cell r="I41">
            <v>6037.6402529999996</v>
          </cell>
          <cell r="J41">
            <v>6104.4314780000004</v>
          </cell>
          <cell r="K41">
            <v>6174.5171790000004</v>
          </cell>
          <cell r="L41">
            <v>6248.3000249999996</v>
          </cell>
          <cell r="M41">
            <v>6325.6183600000004</v>
          </cell>
          <cell r="N41">
            <v>6406.3053179999997</v>
          </cell>
          <cell r="O41">
            <v>6490.2113410000002</v>
          </cell>
          <cell r="P41">
            <v>6577.1948089999996</v>
          </cell>
          <cell r="Q41">
            <v>6667.1203260000002</v>
          </cell>
          <cell r="R41">
            <v>6759.8617029999996</v>
          </cell>
          <cell r="S41">
            <v>6855.3057600000002</v>
          </cell>
          <cell r="T41">
            <v>6953.355192</v>
          </cell>
          <cell r="U41">
            <v>7053.9300510000003</v>
          </cell>
          <cell r="V41">
            <v>7156.6790609999998</v>
          </cell>
          <cell r="W41">
            <v>7261.6568699999998</v>
          </cell>
          <cell r="X41">
            <v>7368.9126159999996</v>
          </cell>
          <cell r="Y41">
            <v>7478.4790999999996</v>
          </cell>
          <cell r="Z41">
            <v>7590.384943</v>
          </cell>
          <cell r="AA41">
            <v>7703.8222720000003</v>
          </cell>
          <cell r="AB41">
            <v>7818.7142640000002</v>
          </cell>
          <cell r="AC41">
            <v>7935.0571069999996</v>
          </cell>
          <cell r="AD41">
            <v>8052.8650719999996</v>
          </cell>
          <cell r="AE41">
            <v>8172.169347</v>
          </cell>
          <cell r="AF41">
            <v>8293.0166640000007</v>
          </cell>
          <cell r="AG41">
            <v>8415.4649150000005</v>
          </cell>
          <cell r="AH41">
            <v>8539.5777350000008</v>
          </cell>
          <cell r="AI41">
            <v>8665.4195089999994</v>
          </cell>
          <cell r="AJ41">
            <v>8793.0514309999999</v>
          </cell>
          <cell r="AK41">
            <v>8922.5287740000003</v>
          </cell>
          <cell r="AL41">
            <v>9053.6942629999994</v>
          </cell>
          <cell r="AM41">
            <v>9186.4503850000001</v>
          </cell>
          <cell r="AN41">
            <v>9320.7454930000004</v>
          </cell>
          <cell r="AO41">
            <v>9456.5535560000008</v>
          </cell>
          <cell r="AP41">
            <v>9593.8636459999998</v>
          </cell>
          <cell r="AQ41">
            <v>9732.6746039999998</v>
          </cell>
          <cell r="AR41">
            <v>9872.9917449999994</v>
          </cell>
          <cell r="AS41">
            <v>10014.824360000001</v>
          </cell>
          <cell r="AT41">
            <v>10158.183730000001</v>
          </cell>
          <cell r="AU41">
            <v>10303.08158</v>
          </cell>
          <cell r="AV41">
            <v>10449.5478</v>
          </cell>
          <cell r="AW41">
            <v>10597.60485</v>
          </cell>
          <cell r="AX41">
            <v>10747.26893</v>
          </cell>
          <cell r="AY41">
            <v>10898.55207</v>
          </cell>
          <cell r="AZ41">
            <v>11051.46358</v>
          </cell>
          <cell r="BA41">
            <v>11206.01115</v>
          </cell>
          <cell r="BB41">
            <v>11362.201870000001</v>
          </cell>
          <cell r="BC41">
            <v>11520.04312</v>
          </cell>
          <cell r="BD41">
            <v>11679.54335</v>
          </cell>
          <cell r="BE41">
            <v>11840.71278</v>
          </cell>
        </row>
        <row r="42">
          <cell r="B42">
            <v>22393.641769999998</v>
          </cell>
          <cell r="C42">
            <v>22607.39373</v>
          </cell>
          <cell r="D42">
            <v>22797.113979999998</v>
          </cell>
          <cell r="E42">
            <v>22972.395229999998</v>
          </cell>
          <cell r="F42">
            <v>23138.962920000002</v>
          </cell>
          <cell r="G42">
            <v>23300.95926</v>
          </cell>
          <cell r="H42">
            <v>23460.82259</v>
          </cell>
          <cell r="I42">
            <v>23620.684570000001</v>
          </cell>
          <cell r="J42">
            <v>23782.337579999999</v>
          </cell>
          <cell r="K42">
            <v>23947.215100000001</v>
          </cell>
          <cell r="L42">
            <v>24117.730729999999</v>
          </cell>
          <cell r="M42">
            <v>24293.9941</v>
          </cell>
          <cell r="N42">
            <v>24476.212950000001</v>
          </cell>
          <cell r="O42">
            <v>24664.622909999998</v>
          </cell>
          <cell r="P42">
            <v>24859.40569</v>
          </cell>
          <cell r="Q42">
            <v>25060.670310000001</v>
          </cell>
          <cell r="R42">
            <v>25268.307150000001</v>
          </cell>
          <cell r="S42">
            <v>25482.250169999999</v>
          </cell>
          <cell r="T42">
            <v>25702.445790000002</v>
          </cell>
          <cell r="U42">
            <v>25928.838619999999</v>
          </cell>
          <cell r="V42">
            <v>26160.431329999999</v>
          </cell>
          <cell r="W42">
            <v>26397.572830000001</v>
          </cell>
          <cell r="X42">
            <v>26640.448219999998</v>
          </cell>
          <cell r="Y42">
            <v>26889.131379999999</v>
          </cell>
          <cell r="Z42">
            <v>27143.653849999999</v>
          </cell>
          <cell r="AA42">
            <v>27401.356640000002</v>
          </cell>
          <cell r="AB42">
            <v>27662.204040000001</v>
          </cell>
          <cell r="AC42">
            <v>27926.182140000001</v>
          </cell>
          <cell r="AD42">
            <v>28193.246889999999</v>
          </cell>
          <cell r="AE42">
            <v>28463.37442</v>
          </cell>
          <cell r="AF42">
            <v>28736.578799999999</v>
          </cell>
          <cell r="AG42">
            <v>29012.94627</v>
          </cell>
          <cell r="AH42">
            <v>29292.574329999999</v>
          </cell>
          <cell r="AI42">
            <v>29575.572939999998</v>
          </cell>
          <cell r="AJ42">
            <v>29862.06206</v>
          </cell>
          <cell r="AK42">
            <v>30152.16705</v>
          </cell>
          <cell r="AL42">
            <v>30445.682700000001</v>
          </cell>
          <cell r="AM42">
            <v>30742.496289999999</v>
          </cell>
          <cell r="AN42">
            <v>31042.565600000002</v>
          </cell>
          <cell r="AO42">
            <v>31345.89084</v>
          </cell>
          <cell r="AP42">
            <v>31652.50044</v>
          </cell>
          <cell r="AQ42">
            <v>31962.491559999999</v>
          </cell>
          <cell r="AR42">
            <v>32275.949799999999</v>
          </cell>
          <cell r="AS42">
            <v>32592.958259999999</v>
          </cell>
          <cell r="AT42">
            <v>32913.601040000001</v>
          </cell>
          <cell r="AU42">
            <v>33237.962520000001</v>
          </cell>
          <cell r="AV42">
            <v>33566.34405</v>
          </cell>
          <cell r="AW42">
            <v>33898.930240000002</v>
          </cell>
          <cell r="AX42">
            <v>34235.843670000002</v>
          </cell>
          <cell r="AY42">
            <v>34577.176850000003</v>
          </cell>
          <cell r="AZ42">
            <v>34923.004690000002</v>
          </cell>
          <cell r="BA42">
            <v>35273.490409999999</v>
          </cell>
          <cell r="BB42">
            <v>35628.731500000002</v>
          </cell>
          <cell r="BC42">
            <v>35988.790560000001</v>
          </cell>
          <cell r="BD42">
            <v>36353.712979999997</v>
          </cell>
          <cell r="BE42">
            <v>36723.534549999997</v>
          </cell>
        </row>
        <row r="43">
          <cell r="B43">
            <v>22396.237659999999</v>
          </cell>
          <cell r="C43">
            <v>22616.402010000002</v>
          </cell>
          <cell r="D43">
            <v>22816.697329999999</v>
          </cell>
          <cell r="E43">
            <v>23006.809870000001</v>
          </cell>
          <cell r="F43">
            <v>23192.44832</v>
          </cell>
          <cell r="G43">
            <v>23377.68175</v>
          </cell>
          <cell r="H43">
            <v>23564.877390000001</v>
          </cell>
          <cell r="I43">
            <v>23756.030559999999</v>
          </cell>
          <cell r="J43">
            <v>23952.740170000001</v>
          </cell>
          <cell r="K43">
            <v>24156.198710000001</v>
          </cell>
          <cell r="L43">
            <v>24368.632559999998</v>
          </cell>
          <cell r="M43">
            <v>24590.062419999998</v>
          </cell>
          <cell r="N43">
            <v>24820.522929999999</v>
          </cell>
          <cell r="O43">
            <v>25060.041730000001</v>
          </cell>
          <cell r="P43">
            <v>25308.589840000001</v>
          </cell>
          <cell r="Q43">
            <v>25566.077590000001</v>
          </cell>
          <cell r="R43">
            <v>25832.366989999999</v>
          </cell>
          <cell r="S43">
            <v>26107.286479999999</v>
          </cell>
          <cell r="T43">
            <v>26390.643840000001</v>
          </cell>
          <cell r="U43">
            <v>26682.236870000001</v>
          </cell>
          <cell r="V43">
            <v>26980.857759999999</v>
          </cell>
          <cell r="W43">
            <v>27286.739610000001</v>
          </cell>
          <cell r="X43">
            <v>27599.947889999999</v>
          </cell>
          <cell r="Y43">
            <v>27920.439539999999</v>
          </cell>
          <cell r="Z43">
            <v>28248.137760000001</v>
          </cell>
          <cell r="AA43">
            <v>28580.059949999999</v>
          </cell>
          <cell r="AB43">
            <v>28916.0075</v>
          </cell>
          <cell r="AC43">
            <v>29255.85123</v>
          </cell>
          <cell r="AD43">
            <v>29599.455989999999</v>
          </cell>
          <cell r="AE43">
            <v>29946.723740000001</v>
          </cell>
          <cell r="AF43">
            <v>30297.60959</v>
          </cell>
          <cell r="AG43">
            <v>30652.119620000001</v>
          </cell>
          <cell r="AH43">
            <v>31010.300510000001</v>
          </cell>
          <cell r="AI43">
            <v>31372.229469999998</v>
          </cell>
          <cell r="AJ43">
            <v>31738.004949999999</v>
          </cell>
          <cell r="AK43">
            <v>32107.738799999999</v>
          </cell>
          <cell r="AL43">
            <v>32480.846399999999</v>
          </cell>
          <cell r="AM43">
            <v>32857.042959999999</v>
          </cell>
          <cell r="AN43">
            <v>33236.215750000003</v>
          </cell>
          <cell r="AO43">
            <v>33618.336600000002</v>
          </cell>
          <cell r="AP43">
            <v>34003.425170000002</v>
          </cell>
          <cell r="AQ43">
            <v>34391.532930000001</v>
          </cell>
          <cell r="AR43">
            <v>34782.734369999998</v>
          </cell>
          <cell r="AS43">
            <v>35177.12038</v>
          </cell>
          <cell r="AT43">
            <v>35574.792820000002</v>
          </cell>
          <cell r="AU43">
            <v>35975.860789999999</v>
          </cell>
          <cell r="AV43">
            <v>36380.502679999998</v>
          </cell>
          <cell r="AW43">
            <v>36788.873870000003</v>
          </cell>
          <cell r="AX43">
            <v>37201.116280000002</v>
          </cell>
          <cell r="AY43">
            <v>37617.364280000002</v>
          </cell>
          <cell r="AZ43">
            <v>38037.746319999998</v>
          </cell>
          <cell r="BA43">
            <v>38462.385419999999</v>
          </cell>
          <cell r="BB43">
            <v>38891.399449999997</v>
          </cell>
          <cell r="BC43">
            <v>39324.9018</v>
          </cell>
          <cell r="BD43">
            <v>39763.002189999999</v>
          </cell>
          <cell r="BE43">
            <v>40205.807500000003</v>
          </cell>
        </row>
        <row r="44">
          <cell r="B44">
            <v>1608.326714</v>
          </cell>
          <cell r="C44">
            <v>1623.755191</v>
          </cell>
          <cell r="D44">
            <v>1637.332189</v>
          </cell>
          <cell r="E44">
            <v>1649.6562469999999</v>
          </cell>
          <cell r="F44">
            <v>1661.1417939999999</v>
          </cell>
          <cell r="G44">
            <v>1672.1214849999999</v>
          </cell>
          <cell r="H44">
            <v>1682.817781</v>
          </cell>
          <cell r="I44">
            <v>1693.4211700000001</v>
          </cell>
          <cell r="J44">
            <v>1704.086785</v>
          </cell>
          <cell r="K44">
            <v>1714.936735</v>
          </cell>
          <cell r="L44">
            <v>1726.1464989999999</v>
          </cell>
          <cell r="M44">
            <v>1737.744134</v>
          </cell>
          <cell r="N44">
            <v>1749.7620669999999</v>
          </cell>
          <cell r="O44">
            <v>1762.229816</v>
          </cell>
          <cell r="P44">
            <v>1775.1697839999999</v>
          </cell>
          <cell r="Q44">
            <v>1788.5971159999999</v>
          </cell>
          <cell r="R44">
            <v>1802.5115069999999</v>
          </cell>
          <cell r="S44">
            <v>1816.913489</v>
          </cell>
          <cell r="T44">
            <v>1831.8023129999999</v>
          </cell>
          <cell r="U44">
            <v>1847.175377</v>
          </cell>
          <cell r="V44">
            <v>1862.970129</v>
          </cell>
          <cell r="W44">
            <v>1879.206021</v>
          </cell>
          <cell r="X44">
            <v>1895.8899510000001</v>
          </cell>
          <cell r="Y44">
            <v>1913.021943</v>
          </cell>
          <cell r="Z44">
            <v>1930.5993800000001</v>
          </cell>
          <cell r="AA44">
            <v>1948.4521</v>
          </cell>
          <cell r="AB44">
            <v>1966.571672</v>
          </cell>
          <cell r="AC44">
            <v>1984.946594</v>
          </cell>
          <cell r="AD44">
            <v>2003.5638570000001</v>
          </cell>
          <cell r="AE44">
            <v>2022.4127370000001</v>
          </cell>
          <cell r="AF44">
            <v>2041.4859409999999</v>
          </cell>
          <cell r="AG44">
            <v>2060.7815220000002</v>
          </cell>
          <cell r="AH44">
            <v>2080.2990490000002</v>
          </cell>
          <cell r="AI44">
            <v>2100.039667</v>
          </cell>
          <cell r="AJ44">
            <v>2120.0058290000002</v>
          </cell>
          <cell r="AK44">
            <v>2140.2009229999999</v>
          </cell>
          <cell r="AL44">
            <v>2160.6073409999999</v>
          </cell>
          <cell r="AM44">
            <v>2181.2136310000001</v>
          </cell>
          <cell r="AN44">
            <v>2202.012925</v>
          </cell>
          <cell r="AO44">
            <v>2223.0014120000001</v>
          </cell>
          <cell r="AP44">
            <v>2244.1776159999999</v>
          </cell>
          <cell r="AQ44">
            <v>2265.5448139999999</v>
          </cell>
          <cell r="AR44">
            <v>2287.1061690000001</v>
          </cell>
          <cell r="AS44">
            <v>2308.8653450000002</v>
          </cell>
          <cell r="AT44">
            <v>2330.8266010000002</v>
          </cell>
          <cell r="AU44">
            <v>2352.994631</v>
          </cell>
          <cell r="AV44">
            <v>2375.3874580000002</v>
          </cell>
          <cell r="AW44">
            <v>2398.0160860000001</v>
          </cell>
          <cell r="AX44">
            <v>2420.888301</v>
          </cell>
          <cell r="AY44">
            <v>2444.0104000000001</v>
          </cell>
          <cell r="AZ44">
            <v>2467.387757</v>
          </cell>
          <cell r="BA44">
            <v>2491.030968</v>
          </cell>
          <cell r="BB44">
            <v>2514.9465190000001</v>
          </cell>
          <cell r="BC44">
            <v>2539.1388980000002</v>
          </cell>
          <cell r="BD44">
            <v>2563.6115669999999</v>
          </cell>
          <cell r="BE44">
            <v>2588.367338</v>
          </cell>
        </row>
        <row r="45">
          <cell r="B45">
            <v>1608.491522</v>
          </cell>
          <cell r="C45">
            <v>1624.3082240000001</v>
          </cell>
          <cell r="D45">
            <v>1638.518466</v>
          </cell>
          <cell r="E45">
            <v>1651.7317330000001</v>
          </cell>
          <cell r="F45">
            <v>1664.367252</v>
          </cell>
          <cell r="G45">
            <v>1676.7581709999999</v>
          </cell>
          <cell r="H45">
            <v>1689.1256550000001</v>
          </cell>
          <cell r="I45">
            <v>1701.6550709999999</v>
          </cell>
          <cell r="J45">
            <v>1714.4938549999999</v>
          </cell>
          <cell r="K45">
            <v>1727.7546010000001</v>
          </cell>
          <cell r="L45">
            <v>1741.6050250000001</v>
          </cell>
          <cell r="M45">
            <v>1756.0699460000001</v>
          </cell>
          <cell r="N45">
            <v>1771.172975</v>
          </cell>
          <cell r="O45">
            <v>1786.932413</v>
          </cell>
          <cell r="P45">
            <v>1803.3584820000001</v>
          </cell>
          <cell r="Q45">
            <v>1820.453767</v>
          </cell>
          <cell r="R45">
            <v>1838.2146660000001</v>
          </cell>
          <cell r="S45">
            <v>1856.632897</v>
          </cell>
          <cell r="T45">
            <v>1875.6967959999999</v>
          </cell>
          <cell r="U45">
            <v>1895.392343</v>
          </cell>
          <cell r="V45">
            <v>1915.641603</v>
          </cell>
          <cell r="W45">
            <v>1936.454708</v>
          </cell>
          <cell r="X45">
            <v>1957.8288439999999</v>
          </cell>
          <cell r="Y45">
            <v>1979.754518</v>
          </cell>
          <cell r="Z45">
            <v>2002.220157</v>
          </cell>
          <cell r="AA45">
            <v>2025.033156</v>
          </cell>
          <cell r="AB45">
            <v>2048.17337</v>
          </cell>
          <cell r="AC45">
            <v>2071.6202010000002</v>
          </cell>
          <cell r="AD45">
            <v>2095.3529319999998</v>
          </cell>
          <cell r="AE45">
            <v>2119.3542419999999</v>
          </cell>
          <cell r="AF45">
            <v>2143.6112389999998</v>
          </cell>
          <cell r="AG45">
            <v>2168.1152470000002</v>
          </cell>
          <cell r="AH45">
            <v>2192.8611460000002</v>
          </cell>
          <cell r="AI45">
            <v>2217.8466199999998</v>
          </cell>
          <cell r="AJ45">
            <v>2243.0714840000001</v>
          </cell>
          <cell r="AK45">
            <v>2268.537108</v>
          </cell>
          <cell r="AL45">
            <v>2294.2020699999998</v>
          </cell>
          <cell r="AM45">
            <v>2320.0443260000002</v>
          </cell>
          <cell r="AN45">
            <v>2346.0521490000001</v>
          </cell>
          <cell r="AO45">
            <v>2372.219251</v>
          </cell>
          <cell r="AP45">
            <v>2398.5429349999999</v>
          </cell>
          <cell r="AQ45">
            <v>2425.0233090000002</v>
          </cell>
          <cell r="AR45">
            <v>2451.6627640000002</v>
          </cell>
          <cell r="AS45">
            <v>2478.4655229999998</v>
          </cell>
          <cell r="AT45">
            <v>2505.4372039999998</v>
          </cell>
          <cell r="AU45">
            <v>2532.5844259999999</v>
          </cell>
          <cell r="AV45">
            <v>2559.918459</v>
          </cell>
          <cell r="AW45">
            <v>2587.4492650000002</v>
          </cell>
          <cell r="AX45">
            <v>2615.186115</v>
          </cell>
          <cell r="AY45">
            <v>2643.1378800000002</v>
          </cell>
          <cell r="AZ45">
            <v>2671.313095</v>
          </cell>
          <cell r="BA45">
            <v>2699.7199660000001</v>
          </cell>
          <cell r="BB45">
            <v>2728.3663860000001</v>
          </cell>
          <cell r="BC45">
            <v>2757.2599519999999</v>
          </cell>
          <cell r="BD45">
            <v>2786.4080039999999</v>
          </cell>
          <cell r="BE45">
            <v>2815.8176600000002</v>
          </cell>
        </row>
        <row r="46">
          <cell r="B46">
            <v>534.35374769999999</v>
          </cell>
          <cell r="C46">
            <v>539.60323189999997</v>
          </cell>
          <cell r="D46">
            <v>544.39134799999999</v>
          </cell>
          <cell r="E46">
            <v>548.93252710000002</v>
          </cell>
          <cell r="F46">
            <v>553.33902430000001</v>
          </cell>
          <cell r="G46">
            <v>557.6845591</v>
          </cell>
          <cell r="H46">
            <v>562.00388529999998</v>
          </cell>
          <cell r="I46">
            <v>566.33074069999998</v>
          </cell>
          <cell r="J46">
            <v>570.69683069999996</v>
          </cell>
          <cell r="K46">
            <v>575.1292674</v>
          </cell>
          <cell r="L46">
            <v>579.68622470000003</v>
          </cell>
          <cell r="M46">
            <v>584.36612549999995</v>
          </cell>
          <cell r="N46">
            <v>589.16869159999999</v>
          </cell>
          <cell r="O46">
            <v>594.09611619999998</v>
          </cell>
          <cell r="P46">
            <v>599.15073770000004</v>
          </cell>
          <cell r="Q46">
            <v>604.33405040000002</v>
          </cell>
          <cell r="R46">
            <v>609.64284540000006</v>
          </cell>
          <cell r="S46">
            <v>615.07521159999999</v>
          </cell>
          <cell r="T46">
            <v>620.63006619999999</v>
          </cell>
          <cell r="U46">
            <v>626.30675470000006</v>
          </cell>
          <cell r="V46">
            <v>632.07893160000003</v>
          </cell>
          <cell r="W46">
            <v>637.95687510000005</v>
          </cell>
          <cell r="X46">
            <v>643.94844980000005</v>
          </cell>
          <cell r="Y46">
            <v>650.05838770000003</v>
          </cell>
          <cell r="Z46">
            <v>656.28997600000002</v>
          </cell>
          <cell r="AA46">
            <v>662.57215180000003</v>
          </cell>
          <cell r="AB46">
            <v>668.90324380000004</v>
          </cell>
          <cell r="AC46">
            <v>675.286384</v>
          </cell>
          <cell r="AD46">
            <v>681.72437809999997</v>
          </cell>
          <cell r="AE46">
            <v>688.22025489999999</v>
          </cell>
          <cell r="AF46">
            <v>694.77760590000003</v>
          </cell>
          <cell r="AG46">
            <v>701.40148220000003</v>
          </cell>
          <cell r="AH46">
            <v>708.09703869999998</v>
          </cell>
          <cell r="AI46">
            <v>714.86951880000004</v>
          </cell>
          <cell r="AJ46">
            <v>721.72421340000005</v>
          </cell>
          <cell r="AK46">
            <v>728.66637419999995</v>
          </cell>
          <cell r="AL46">
            <v>735.69111820000001</v>
          </cell>
          <cell r="AM46">
            <v>742.79639580000003</v>
          </cell>
          <cell r="AN46">
            <v>749.98255340000003</v>
          </cell>
          <cell r="AO46">
            <v>757.25126639999996</v>
          </cell>
          <cell r="AP46">
            <v>764.60495189999995</v>
          </cell>
          <cell r="AQ46">
            <v>772.04762479999999</v>
          </cell>
          <cell r="AR46">
            <v>779.58300850000001</v>
          </cell>
          <cell r="AS46">
            <v>787.21461899999997</v>
          </cell>
          <cell r="AT46">
            <v>794.94584769999994</v>
          </cell>
          <cell r="AU46">
            <v>802.7799685</v>
          </cell>
          <cell r="AV46">
            <v>810.72552140000005</v>
          </cell>
          <cell r="AW46">
            <v>818.78844990000005</v>
          </cell>
          <cell r="AX46">
            <v>826.9729476</v>
          </cell>
          <cell r="AY46">
            <v>835.28225520000001</v>
          </cell>
          <cell r="AZ46">
            <v>843.71904589999997</v>
          </cell>
          <cell r="BA46">
            <v>852.28800430000001</v>
          </cell>
          <cell r="BB46">
            <v>860.99238760000003</v>
          </cell>
          <cell r="BC46">
            <v>869.83452990000001</v>
          </cell>
          <cell r="BD46">
            <v>878.81626949999998</v>
          </cell>
          <cell r="BE46">
            <v>887.93916839999997</v>
          </cell>
        </row>
        <row r="47">
          <cell r="B47">
            <v>534.41030239999998</v>
          </cell>
          <cell r="C47">
            <v>539.81654820000006</v>
          </cell>
          <cell r="D47">
            <v>544.87313970000002</v>
          </cell>
          <cell r="E47">
            <v>549.79594699999996</v>
          </cell>
          <cell r="F47">
            <v>554.69512799999995</v>
          </cell>
          <cell r="G47">
            <v>559.64096500000005</v>
          </cell>
          <cell r="H47">
            <v>564.6650363</v>
          </cell>
          <cell r="I47">
            <v>569.79636059999996</v>
          </cell>
          <cell r="J47">
            <v>575.06074609999996</v>
          </cell>
          <cell r="K47">
            <v>580.478476</v>
          </cell>
          <cell r="L47">
            <v>586.10037360000001</v>
          </cell>
          <cell r="M47">
            <v>591.91842359999998</v>
          </cell>
          <cell r="N47">
            <v>597.92346010000006</v>
          </cell>
          <cell r="O47">
            <v>604.10844989999998</v>
          </cell>
          <cell r="P47">
            <v>610.46776539999996</v>
          </cell>
          <cell r="Q47">
            <v>616.99670819999994</v>
          </cell>
          <cell r="R47">
            <v>623.69120559999999</v>
          </cell>
          <cell r="S47">
            <v>630.54759000000001</v>
          </cell>
          <cell r="T47">
            <v>637.56246610000005</v>
          </cell>
          <cell r="U47">
            <v>644.73267369999996</v>
          </cell>
          <cell r="V47">
            <v>652.02769750000004</v>
          </cell>
          <cell r="W47">
            <v>659.4558068</v>
          </cell>
          <cell r="X47">
            <v>667.02278200000001</v>
          </cell>
          <cell r="Y47">
            <v>674.73128020000001</v>
          </cell>
          <cell r="Z47">
            <v>682.58270949999996</v>
          </cell>
          <cell r="AA47">
            <v>690.4988429</v>
          </cell>
          <cell r="AB47">
            <v>698.47454689999995</v>
          </cell>
          <cell r="AC47">
            <v>706.51080379999996</v>
          </cell>
          <cell r="AD47">
            <v>714.60892590000003</v>
          </cell>
          <cell r="AE47">
            <v>722.7708781</v>
          </cell>
          <cell r="AF47">
            <v>730.99961199999996</v>
          </cell>
          <cell r="AG47">
            <v>739.29904839999995</v>
          </cell>
          <cell r="AH47">
            <v>747.67382029999999</v>
          </cell>
          <cell r="AI47">
            <v>756.12908930000003</v>
          </cell>
          <cell r="AJ47">
            <v>764.67036800000005</v>
          </cell>
          <cell r="AK47">
            <v>773.30334570000002</v>
          </cell>
          <cell r="AL47">
            <v>782.01472960000001</v>
          </cell>
          <cell r="AM47">
            <v>790.79840039999999</v>
          </cell>
          <cell r="AN47">
            <v>799.65325380000002</v>
          </cell>
          <cell r="AO47">
            <v>808.58066599999995</v>
          </cell>
          <cell r="AP47">
            <v>817.58321750000005</v>
          </cell>
          <cell r="AQ47">
            <v>826.6640989</v>
          </cell>
          <cell r="AR47">
            <v>835.82680489999996</v>
          </cell>
          <cell r="AS47">
            <v>845.07495189999997</v>
          </cell>
          <cell r="AT47">
            <v>854.41215969999996</v>
          </cell>
          <cell r="AU47">
            <v>863.84205480000003</v>
          </cell>
          <cell r="AV47">
            <v>873.37013019999995</v>
          </cell>
          <cell r="AW47">
            <v>883.00147370000002</v>
          </cell>
          <cell r="AX47">
            <v>892.74093640000001</v>
          </cell>
          <cell r="AY47">
            <v>902.59326420000002</v>
          </cell>
          <cell r="AZ47">
            <v>912.56310689999998</v>
          </cell>
          <cell r="BA47">
            <v>922.65498930000001</v>
          </cell>
          <cell r="BB47">
            <v>932.87328930000001</v>
          </cell>
          <cell r="BC47">
            <v>943.22223369999995</v>
          </cell>
          <cell r="BD47">
            <v>953.70591000000002</v>
          </cell>
          <cell r="BE47">
            <v>964.3282878</v>
          </cell>
        </row>
        <row r="48">
          <cell r="B48">
            <v>333.65453919999999</v>
          </cell>
          <cell r="C48">
            <v>336.9361735</v>
          </cell>
          <cell r="D48">
            <v>339.93462160000001</v>
          </cell>
          <cell r="E48">
            <v>342.78383559999997</v>
          </cell>
          <cell r="F48">
            <v>345.55274700000001</v>
          </cell>
          <cell r="G48">
            <v>348.28565300000002</v>
          </cell>
          <cell r="H48">
            <v>351.0025119</v>
          </cell>
          <cell r="I48">
            <v>353.72290090000001</v>
          </cell>
          <cell r="J48">
            <v>356.46545980000002</v>
          </cell>
          <cell r="K48">
            <v>359.24627950000001</v>
          </cell>
          <cell r="L48">
            <v>362.1010354</v>
          </cell>
          <cell r="M48">
            <v>365.02836350000001</v>
          </cell>
          <cell r="N48">
            <v>368.02794519999998</v>
          </cell>
          <cell r="O48">
            <v>371.10117700000001</v>
          </cell>
          <cell r="P48">
            <v>374.2496706</v>
          </cell>
          <cell r="Q48">
            <v>377.47460260000003</v>
          </cell>
          <cell r="R48">
            <v>380.77428759999998</v>
          </cell>
          <cell r="S48">
            <v>384.14790410000001</v>
          </cell>
          <cell r="T48">
            <v>387.5951786</v>
          </cell>
          <cell r="U48">
            <v>391.11611670000002</v>
          </cell>
          <cell r="V48">
            <v>394.69475749999998</v>
          </cell>
          <cell r="W48">
            <v>398.3379372</v>
          </cell>
          <cell r="X48">
            <v>402.05093019999998</v>
          </cell>
          <cell r="Y48">
            <v>405.8370089</v>
          </cell>
          <cell r="Z48">
            <v>409.69850309999998</v>
          </cell>
          <cell r="AA48">
            <v>413.59151919999999</v>
          </cell>
          <cell r="AB48">
            <v>417.51538540000001</v>
          </cell>
          <cell r="AC48">
            <v>421.47234200000003</v>
          </cell>
          <cell r="AD48">
            <v>425.46434870000002</v>
          </cell>
          <cell r="AE48">
            <v>429.49344020000001</v>
          </cell>
          <cell r="AF48">
            <v>433.56194929999998</v>
          </cell>
          <cell r="AG48">
            <v>437.67307360000001</v>
          </cell>
          <cell r="AH48">
            <v>441.83003650000001</v>
          </cell>
          <cell r="AI48">
            <v>446.0360847</v>
          </cell>
          <cell r="AJ48">
            <v>450.2944688</v>
          </cell>
          <cell r="AK48">
            <v>454.60839570000002</v>
          </cell>
          <cell r="AL48">
            <v>458.97477579999997</v>
          </cell>
          <cell r="AM48">
            <v>463.39228930000002</v>
          </cell>
          <cell r="AN48">
            <v>467.86110509999997</v>
          </cell>
          <cell r="AO48">
            <v>472.38221650000003</v>
          </cell>
          <cell r="AP48">
            <v>476.95707879999998</v>
          </cell>
          <cell r="AQ48">
            <v>481.58814580000001</v>
          </cell>
          <cell r="AR48">
            <v>486.27769510000002</v>
          </cell>
          <cell r="AS48">
            <v>491.02788270000002</v>
          </cell>
          <cell r="AT48">
            <v>495.8407962</v>
          </cell>
          <cell r="AU48">
            <v>500.71845990000003</v>
          </cell>
          <cell r="AV48">
            <v>505.66618399999999</v>
          </cell>
          <cell r="AW48">
            <v>510.68766249999999</v>
          </cell>
          <cell r="AX48">
            <v>515.78550459999997</v>
          </cell>
          <cell r="AY48">
            <v>520.96173380000005</v>
          </cell>
          <cell r="AZ48">
            <v>526.21802949999994</v>
          </cell>
          <cell r="BA48">
            <v>531.55733229999998</v>
          </cell>
          <cell r="BB48">
            <v>536.98169770000004</v>
          </cell>
          <cell r="BC48">
            <v>542.49260979999997</v>
          </cell>
          <cell r="BD48">
            <v>548.09124750000001</v>
          </cell>
          <cell r="BE48">
            <v>553.77862019999998</v>
          </cell>
        </row>
        <row r="49">
          <cell r="B49">
            <v>333.6897045</v>
          </cell>
          <cell r="C49">
            <v>337.06870049999998</v>
          </cell>
          <cell r="D49">
            <v>340.23367739999998</v>
          </cell>
          <cell r="E49">
            <v>343.31933240000001</v>
          </cell>
          <cell r="F49">
            <v>346.3932077</v>
          </cell>
          <cell r="G49">
            <v>349.49743990000002</v>
          </cell>
          <cell r="H49">
            <v>352.650038</v>
          </cell>
          <cell r="I49">
            <v>355.86769559999999</v>
          </cell>
          <cell r="J49">
            <v>359.1654509</v>
          </cell>
          <cell r="K49">
            <v>362.55522100000002</v>
          </cell>
          <cell r="L49">
            <v>366.06817899999999</v>
          </cell>
          <cell r="M49">
            <v>369.69903290000002</v>
          </cell>
          <cell r="N49">
            <v>373.44200130000002</v>
          </cell>
          <cell r="O49">
            <v>377.29280399999999</v>
          </cell>
          <cell r="P49">
            <v>381.24816329999999</v>
          </cell>
          <cell r="Q49">
            <v>385.30547319999999</v>
          </cell>
          <cell r="R49">
            <v>389.46258460000001</v>
          </cell>
          <cell r="S49">
            <v>393.71764539999998</v>
          </cell>
          <cell r="T49">
            <v>398.06899859999999</v>
          </cell>
          <cell r="U49">
            <v>402.51514129999998</v>
          </cell>
          <cell r="V49">
            <v>407.03757050000002</v>
          </cell>
          <cell r="W49">
            <v>411.64191469999997</v>
          </cell>
          <cell r="X49">
            <v>416.33218879999998</v>
          </cell>
          <cell r="Y49">
            <v>421.1104067</v>
          </cell>
          <cell r="Z49">
            <v>425.97775519999999</v>
          </cell>
          <cell r="AA49">
            <v>430.88591980000001</v>
          </cell>
          <cell r="AB49">
            <v>435.83209740000001</v>
          </cell>
          <cell r="AC49">
            <v>440.81721110000001</v>
          </cell>
          <cell r="AD49">
            <v>445.84230989999998</v>
          </cell>
          <cell r="AE49">
            <v>450.90878020000002</v>
          </cell>
          <cell r="AF49">
            <v>456.01856529999998</v>
          </cell>
          <cell r="AG49">
            <v>461.17416270000001</v>
          </cell>
          <cell r="AH49">
            <v>466.37847149999999</v>
          </cell>
          <cell r="AI49">
            <v>471.6346843</v>
          </cell>
          <cell r="AJ49">
            <v>476.94618430000003</v>
          </cell>
          <cell r="AK49">
            <v>482.31644390000002</v>
          </cell>
          <cell r="AL49">
            <v>487.73713329999998</v>
          </cell>
          <cell r="AM49">
            <v>493.20440830000001</v>
          </cell>
          <cell r="AN49">
            <v>498.7175512</v>
          </cell>
          <cell r="AO49">
            <v>504.27738690000001</v>
          </cell>
          <cell r="AP49">
            <v>509.88548859999997</v>
          </cell>
          <cell r="AQ49">
            <v>515.54380990000004</v>
          </cell>
          <cell r="AR49">
            <v>521.25449819999994</v>
          </cell>
          <cell r="AS49">
            <v>527.01978229999997</v>
          </cell>
          <cell r="AT49">
            <v>532.84190039999999</v>
          </cell>
          <cell r="AU49">
            <v>538.72310319999997</v>
          </cell>
          <cell r="AV49">
            <v>544.66680880000001</v>
          </cell>
          <cell r="AW49">
            <v>550.67618930000003</v>
          </cell>
          <cell r="AX49">
            <v>556.75427649999995</v>
          </cell>
          <cell r="AY49">
            <v>562.90404379999995</v>
          </cell>
          <cell r="AZ49">
            <v>569.12841149999997</v>
          </cell>
          <cell r="BA49">
            <v>575.4302275</v>
          </cell>
          <cell r="BB49">
            <v>581.81225170000005</v>
          </cell>
          <cell r="BC49">
            <v>588.277152</v>
          </cell>
          <cell r="BD49">
            <v>594.82751010000004</v>
          </cell>
          <cell r="BE49">
            <v>601.46583269999996</v>
          </cell>
        </row>
        <row r="50">
          <cell r="B50">
            <v>27531.041710000001</v>
          </cell>
          <cell r="C50">
            <v>27815.191149999999</v>
          </cell>
          <cell r="D50">
            <v>28077.288830000001</v>
          </cell>
          <cell r="E50">
            <v>28322.631219999999</v>
          </cell>
          <cell r="F50">
            <v>28555.97466</v>
          </cell>
          <cell r="G50">
            <v>28781.7425</v>
          </cell>
          <cell r="H50">
            <v>29002.919020000001</v>
          </cell>
          <cell r="I50">
            <v>29222.12862</v>
          </cell>
          <cell r="J50">
            <v>29441.60067</v>
          </cell>
          <cell r="K50">
            <v>29663.070729999999</v>
          </cell>
          <cell r="L50">
            <v>29889.257989999998</v>
          </cell>
          <cell r="M50">
            <v>30120.425749999999</v>
          </cell>
          <cell r="N50">
            <v>30356.602510000001</v>
          </cell>
          <cell r="O50">
            <v>30597.782459999999</v>
          </cell>
          <cell r="P50">
            <v>30843.91588</v>
          </cell>
          <cell r="Q50">
            <v>31094.908510000001</v>
          </cell>
          <cell r="R50">
            <v>31350.507280000002</v>
          </cell>
          <cell r="S50">
            <v>31610.516319999999</v>
          </cell>
          <cell r="T50">
            <v>31874.79752</v>
          </cell>
          <cell r="U50">
            <v>32143.27205</v>
          </cell>
          <cell r="V50">
            <v>32414.855039999999</v>
          </cell>
          <cell r="W50">
            <v>32689.923699999999</v>
          </cell>
          <cell r="X50">
            <v>32968.898269999998</v>
          </cell>
          <cell r="Y50">
            <v>33252.139730000003</v>
          </cell>
          <cell r="Z50">
            <v>33539.990940000003</v>
          </cell>
          <cell r="AA50">
            <v>33829.757369999999</v>
          </cell>
          <cell r="AB50">
            <v>34121.364260000002</v>
          </cell>
          <cell r="AC50">
            <v>34415.114520000003</v>
          </cell>
          <cell r="AD50">
            <v>34711.394540000001</v>
          </cell>
          <cell r="AE50">
            <v>35010.650269999998</v>
          </cell>
          <cell r="AF50">
            <v>35313.383950000003</v>
          </cell>
          <cell r="AG50">
            <v>35620.169479999997</v>
          </cell>
          <cell r="AH50">
            <v>35931.596160000001</v>
          </cell>
          <cell r="AI50">
            <v>36248.256479999996</v>
          </cell>
          <cell r="AJ50">
            <v>36570.733619999999</v>
          </cell>
          <cell r="AK50">
            <v>36899.591439999997</v>
          </cell>
          <cell r="AL50">
            <v>37234.87053</v>
          </cell>
          <cell r="AM50">
            <v>37576.682860000001</v>
          </cell>
          <cell r="AN50">
            <v>37925.243399999999</v>
          </cell>
          <cell r="AO50">
            <v>38280.813840000003</v>
          </cell>
          <cell r="AP50">
            <v>38643.673040000001</v>
          </cell>
          <cell r="AQ50">
            <v>39014.138850000003</v>
          </cell>
          <cell r="AR50">
            <v>39392.508000000002</v>
          </cell>
          <cell r="AS50">
            <v>39779.05788</v>
          </cell>
          <cell r="AT50">
            <v>40174.045469999997</v>
          </cell>
          <cell r="AU50">
            <v>40577.707069999997</v>
          </cell>
          <cell r="AV50">
            <v>40990.441590000002</v>
          </cell>
          <cell r="AW50">
            <v>41412.553</v>
          </cell>
          <cell r="AX50">
            <v>41844.275260000002</v>
          </cell>
          <cell r="AY50">
            <v>42285.788849999997</v>
          </cell>
          <cell r="AZ50">
            <v>42737.234700000001</v>
          </cell>
          <cell r="BA50">
            <v>43198.795709999999</v>
          </cell>
          <cell r="BB50">
            <v>43670.599540000003</v>
          </cell>
          <cell r="BC50">
            <v>44152.740059999996</v>
          </cell>
          <cell r="BD50">
            <v>44645.287369999998</v>
          </cell>
          <cell r="BE50">
            <v>45148.296929999997</v>
          </cell>
        </row>
        <row r="51">
          <cell r="B51">
            <v>27532.502860000001</v>
          </cell>
          <cell r="C51">
            <v>27821.884900000001</v>
          </cell>
          <cell r="D51">
            <v>28093.50245</v>
          </cell>
          <cell r="E51">
            <v>28352.511190000001</v>
          </cell>
          <cell r="F51">
            <v>28603.306629999999</v>
          </cell>
          <cell r="G51">
            <v>28849.891619999999</v>
          </cell>
          <cell r="H51">
            <v>29094.885450000002</v>
          </cell>
          <cell r="I51">
            <v>29340.459750000002</v>
          </cell>
          <cell r="J51">
            <v>29588.263940000001</v>
          </cell>
          <cell r="K51">
            <v>29839.333030000002</v>
          </cell>
          <cell r="L51">
            <v>30095.788039999999</v>
          </cell>
          <cell r="M51">
            <v>30357.461340000002</v>
          </cell>
          <cell r="N51">
            <v>30623.921279999999</v>
          </cell>
          <cell r="O51">
            <v>30894.70377</v>
          </cell>
          <cell r="P51">
            <v>31169.343110000002</v>
          </cell>
          <cell r="Q51">
            <v>31447.39284</v>
          </cell>
          <cell r="R51">
            <v>31728.44281</v>
          </cell>
          <cell r="S51">
            <v>32012.131170000001</v>
          </cell>
          <cell r="T51">
            <v>32298.153490000001</v>
          </cell>
          <cell r="U51">
            <v>32586.270410000001</v>
          </cell>
          <cell r="V51">
            <v>32875.221960000003</v>
          </cell>
          <cell r="W51">
            <v>33165.257790000003</v>
          </cell>
          <cell r="X51">
            <v>33456.684099999999</v>
          </cell>
          <cell r="Y51">
            <v>33749.764690000004</v>
          </cell>
          <cell r="Z51">
            <v>34044.766389999997</v>
          </cell>
          <cell r="AA51">
            <v>34338.872000000003</v>
          </cell>
          <cell r="AB51">
            <v>34631.920330000001</v>
          </cell>
          <cell r="AC51">
            <v>34924.170709999999</v>
          </cell>
          <cell r="AD51">
            <v>35215.992330000001</v>
          </cell>
          <cell r="AE51">
            <v>35507.834439999999</v>
          </cell>
          <cell r="AF51">
            <v>35800.218050000003</v>
          </cell>
          <cell r="AG51">
            <v>36093.720309999997</v>
          </cell>
          <cell r="AH51">
            <v>36388.95534</v>
          </cell>
          <cell r="AI51">
            <v>36686.555009999996</v>
          </cell>
          <cell r="AJ51">
            <v>36987.150999999998</v>
          </cell>
          <cell r="AK51">
            <v>37291.359629999999</v>
          </cell>
          <cell r="AL51">
            <v>37599.034160000003</v>
          </cell>
          <cell r="AM51">
            <v>37910.214310000003</v>
          </cell>
          <cell r="AN51">
            <v>38225.1054</v>
          </cell>
          <cell r="AO51">
            <v>38543.99598</v>
          </cell>
          <cell r="AP51">
            <v>38867.209130000003</v>
          </cell>
          <cell r="AQ51">
            <v>39195.0772</v>
          </cell>
          <cell r="AR51">
            <v>39527.927620000002</v>
          </cell>
          <cell r="AS51">
            <v>39866.074070000002</v>
          </cell>
          <cell r="AT51">
            <v>40209.810460000001</v>
          </cell>
          <cell r="AU51">
            <v>40559.410490000002</v>
          </cell>
          <cell r="AV51">
            <v>40915.20001</v>
          </cell>
          <cell r="AW51">
            <v>41277.4761</v>
          </cell>
          <cell r="AX51">
            <v>41646.508970000003</v>
          </cell>
          <cell r="AY51">
            <v>42022.546920000001</v>
          </cell>
          <cell r="AZ51">
            <v>42405.818189999998</v>
          </cell>
          <cell r="BA51">
            <v>42796.531929999997</v>
          </cell>
          <cell r="BB51">
            <v>43194.879820000002</v>
          </cell>
          <cell r="BC51">
            <v>43601.038370000002</v>
          </cell>
          <cell r="BD51">
            <v>44015.171880000002</v>
          </cell>
          <cell r="BE51">
            <v>44437.435559999998</v>
          </cell>
        </row>
        <row r="52">
          <cell r="B52">
            <v>548.68983360000004</v>
          </cell>
          <cell r="C52">
            <v>554.35389999999995</v>
          </cell>
          <cell r="D52">
            <v>559.57843800000001</v>
          </cell>
          <cell r="E52">
            <v>564.46900519999997</v>
          </cell>
          <cell r="F52">
            <v>569.1203951</v>
          </cell>
          <cell r="G52">
            <v>573.62076500000001</v>
          </cell>
          <cell r="H52">
            <v>578.0295916</v>
          </cell>
          <cell r="I52">
            <v>582.39917939999998</v>
          </cell>
          <cell r="J52">
            <v>586.77395969999998</v>
          </cell>
          <cell r="K52">
            <v>591.18852279999999</v>
          </cell>
          <cell r="L52">
            <v>595.69706389999999</v>
          </cell>
          <cell r="M52">
            <v>600.30483319999996</v>
          </cell>
          <cell r="N52">
            <v>605.01239910000004</v>
          </cell>
          <cell r="O52">
            <v>609.81964649999998</v>
          </cell>
          <cell r="P52">
            <v>614.72558500000002</v>
          </cell>
          <cell r="Q52">
            <v>619.72833660000003</v>
          </cell>
          <cell r="R52">
            <v>624.82286199999999</v>
          </cell>
          <cell r="S52">
            <v>630.00525760000005</v>
          </cell>
          <cell r="T52">
            <v>635.27277189999995</v>
          </cell>
          <cell r="U52">
            <v>640.62383409999995</v>
          </cell>
          <cell r="V52">
            <v>646.03682249999997</v>
          </cell>
          <cell r="W52">
            <v>651.51925600000004</v>
          </cell>
          <cell r="X52">
            <v>657.07951049999997</v>
          </cell>
          <cell r="Y52">
            <v>662.72478130000002</v>
          </cell>
          <cell r="Z52">
            <v>668.4619017</v>
          </cell>
          <cell r="AA52">
            <v>674.23716779999995</v>
          </cell>
          <cell r="AB52">
            <v>680.04908980000005</v>
          </cell>
          <cell r="AC52">
            <v>685.90370540000004</v>
          </cell>
          <cell r="AD52">
            <v>691.80871609999997</v>
          </cell>
          <cell r="AE52">
            <v>697.77301120000004</v>
          </cell>
          <cell r="AF52">
            <v>703.80660109999997</v>
          </cell>
          <cell r="AG52">
            <v>709.9209237</v>
          </cell>
          <cell r="AH52">
            <v>716.12772519999999</v>
          </cell>
          <cell r="AI52">
            <v>722.43881499999998</v>
          </cell>
          <cell r="AJ52">
            <v>728.86581760000001</v>
          </cell>
          <cell r="AK52">
            <v>735.41997189999995</v>
          </cell>
          <cell r="AL52">
            <v>742.10207700000001</v>
          </cell>
          <cell r="AM52">
            <v>748.91436680000004</v>
          </cell>
          <cell r="AN52">
            <v>755.8611277</v>
          </cell>
          <cell r="AO52">
            <v>762.94757760000005</v>
          </cell>
          <cell r="AP52">
            <v>770.1792762</v>
          </cell>
          <cell r="AQ52">
            <v>777.56255869999995</v>
          </cell>
          <cell r="AR52">
            <v>785.10334169999999</v>
          </cell>
          <cell r="AS52">
            <v>792.80715550000002</v>
          </cell>
          <cell r="AT52">
            <v>800.67912420000005</v>
          </cell>
          <cell r="AU52">
            <v>808.72395970000002</v>
          </cell>
          <cell r="AV52">
            <v>816.94960819999994</v>
          </cell>
          <cell r="AW52">
            <v>825.36212999999998</v>
          </cell>
          <cell r="AX52">
            <v>833.9661906</v>
          </cell>
          <cell r="AY52">
            <v>842.76538930000004</v>
          </cell>
          <cell r="AZ52">
            <v>851.76253729999996</v>
          </cell>
          <cell r="BA52">
            <v>860.96127760000002</v>
          </cell>
          <cell r="BB52">
            <v>870.3641566</v>
          </cell>
          <cell r="BC52">
            <v>879.97304799999995</v>
          </cell>
          <cell r="BD52">
            <v>889.7893507</v>
          </cell>
          <cell r="BE52">
            <v>899.81417190000002</v>
          </cell>
        </row>
        <row r="53">
          <cell r="B53">
            <v>548.71891630000005</v>
          </cell>
          <cell r="C53">
            <v>554.48720030000004</v>
          </cell>
          <cell r="D53">
            <v>559.90137089999996</v>
          </cell>
          <cell r="E53">
            <v>565.06418150000002</v>
          </cell>
          <cell r="F53">
            <v>570.06323629999997</v>
          </cell>
          <cell r="G53">
            <v>574.97831310000004</v>
          </cell>
          <cell r="H53">
            <v>579.86161509999999</v>
          </cell>
          <cell r="I53">
            <v>584.75642500000004</v>
          </cell>
          <cell r="J53">
            <v>589.69561720000002</v>
          </cell>
          <cell r="K53">
            <v>594.69982130000005</v>
          </cell>
          <cell r="L53">
            <v>599.81131200000004</v>
          </cell>
          <cell r="M53">
            <v>605.02674969999998</v>
          </cell>
          <cell r="N53">
            <v>610.33753349999995</v>
          </cell>
          <cell r="O53">
            <v>615.73441630000002</v>
          </cell>
          <cell r="P53">
            <v>621.2081187</v>
          </cell>
          <cell r="Q53">
            <v>626.74974520000001</v>
          </cell>
          <cell r="R53">
            <v>632.35112319999996</v>
          </cell>
          <cell r="S53">
            <v>638.00504339999998</v>
          </cell>
          <cell r="T53">
            <v>643.70544080000002</v>
          </cell>
          <cell r="U53">
            <v>649.44754680000005</v>
          </cell>
          <cell r="V53">
            <v>655.20625259999997</v>
          </cell>
          <cell r="W53">
            <v>660.98653579999996</v>
          </cell>
          <cell r="X53">
            <v>666.79450129999998</v>
          </cell>
          <cell r="Y53">
            <v>672.63540890000002</v>
          </cell>
          <cell r="Z53">
            <v>678.51457849999997</v>
          </cell>
          <cell r="AA53">
            <v>684.37586439999995</v>
          </cell>
          <cell r="AB53">
            <v>690.21605729999999</v>
          </cell>
          <cell r="AC53">
            <v>696.04032759999996</v>
          </cell>
          <cell r="AD53">
            <v>701.85603519999995</v>
          </cell>
          <cell r="AE53">
            <v>707.67213570000001</v>
          </cell>
          <cell r="AF53">
            <v>713.49901499999999</v>
          </cell>
          <cell r="AG53">
            <v>719.34817720000001</v>
          </cell>
          <cell r="AH53">
            <v>725.23186369999996</v>
          </cell>
          <cell r="AI53">
            <v>731.16266940000003</v>
          </cell>
          <cell r="AJ53">
            <v>737.15318500000001</v>
          </cell>
          <cell r="AK53">
            <v>743.2156956</v>
          </cell>
          <cell r="AL53">
            <v>749.34727799999996</v>
          </cell>
          <cell r="AM53">
            <v>755.54872539999997</v>
          </cell>
          <cell r="AN53">
            <v>761.82413120000001</v>
          </cell>
          <cell r="AO53">
            <v>768.17924770000002</v>
          </cell>
          <cell r="AP53">
            <v>774.6205152</v>
          </cell>
          <cell r="AQ53">
            <v>781.15455840000004</v>
          </cell>
          <cell r="AR53">
            <v>787.78790409999999</v>
          </cell>
          <cell r="AS53">
            <v>794.52680510000005</v>
          </cell>
          <cell r="AT53">
            <v>801.37711979999995</v>
          </cell>
          <cell r="AU53">
            <v>808.34430410000004</v>
          </cell>
          <cell r="AV53">
            <v>815.43485290000001</v>
          </cell>
          <cell r="AW53">
            <v>822.65468739999994</v>
          </cell>
          <cell r="AX53">
            <v>830.00919380000005</v>
          </cell>
          <cell r="AY53">
            <v>837.50332119999996</v>
          </cell>
          <cell r="AZ53">
            <v>845.14161879999995</v>
          </cell>
          <cell r="BA53">
            <v>852.92825540000001</v>
          </cell>
          <cell r="BB53">
            <v>860.86705129999996</v>
          </cell>
          <cell r="BC53">
            <v>868.96152470000004</v>
          </cell>
          <cell r="BD53">
            <v>877.21495030000005</v>
          </cell>
          <cell r="BE53">
            <v>885.63042180000002</v>
          </cell>
        </row>
        <row r="54">
          <cell r="B54">
            <v>797.33850059999997</v>
          </cell>
          <cell r="C54">
            <v>805.56932710000001</v>
          </cell>
          <cell r="D54">
            <v>813.16144540000005</v>
          </cell>
          <cell r="E54">
            <v>820.26824869999996</v>
          </cell>
          <cell r="F54">
            <v>827.02748780000002</v>
          </cell>
          <cell r="G54">
            <v>833.56726979999996</v>
          </cell>
          <cell r="H54">
            <v>839.97402469999997</v>
          </cell>
          <cell r="I54">
            <v>846.32375939999997</v>
          </cell>
          <cell r="J54">
            <v>852.68104040000003</v>
          </cell>
          <cell r="K54">
            <v>859.09613279999996</v>
          </cell>
          <cell r="L54">
            <v>865.64779150000004</v>
          </cell>
          <cell r="M54">
            <v>872.34364589999996</v>
          </cell>
          <cell r="N54">
            <v>879.18452209999998</v>
          </cell>
          <cell r="O54">
            <v>886.17025249999995</v>
          </cell>
          <cell r="P54">
            <v>893.29939809999996</v>
          </cell>
          <cell r="Q54">
            <v>900.56922980000002</v>
          </cell>
          <cell r="R54">
            <v>907.97242459999995</v>
          </cell>
          <cell r="S54">
            <v>915.50331000000006</v>
          </cell>
          <cell r="T54">
            <v>923.15788750000002</v>
          </cell>
          <cell r="U54">
            <v>930.93387440000004</v>
          </cell>
          <cell r="V54">
            <v>938.79985069999998</v>
          </cell>
          <cell r="W54">
            <v>946.76674279999997</v>
          </cell>
          <cell r="X54">
            <v>954.84672230000001</v>
          </cell>
          <cell r="Y54">
            <v>963.05024490000005</v>
          </cell>
          <cell r="Z54">
            <v>971.38724079999997</v>
          </cell>
          <cell r="AA54">
            <v>979.77966909999998</v>
          </cell>
          <cell r="AB54">
            <v>988.22536479999997</v>
          </cell>
          <cell r="AC54">
            <v>996.7331021</v>
          </cell>
          <cell r="AD54">
            <v>1005.314072</v>
          </cell>
          <cell r="AE54">
            <v>1013.981192</v>
          </cell>
          <cell r="AF54">
            <v>1022.74901</v>
          </cell>
          <cell r="AG54">
            <v>1031.6341460000001</v>
          </cell>
          <cell r="AH54">
            <v>1040.6536699999999</v>
          </cell>
          <cell r="AI54">
            <v>1049.824742</v>
          </cell>
          <cell r="AJ54">
            <v>1059.164256</v>
          </cell>
          <cell r="AK54">
            <v>1068.6885420000001</v>
          </cell>
          <cell r="AL54">
            <v>1078.3987629999999</v>
          </cell>
          <cell r="AM54">
            <v>1088.298164</v>
          </cell>
          <cell r="AN54">
            <v>1098.392975</v>
          </cell>
          <cell r="AO54">
            <v>1108.690777</v>
          </cell>
          <cell r="AP54">
            <v>1119.19965</v>
          </cell>
          <cell r="AQ54">
            <v>1129.928801</v>
          </cell>
          <cell r="AR54">
            <v>1140.8868259999999</v>
          </cell>
          <cell r="AS54">
            <v>1152.0817629999999</v>
          </cell>
          <cell r="AT54">
            <v>1163.5210569999999</v>
          </cell>
          <cell r="AU54">
            <v>1175.2115550000001</v>
          </cell>
          <cell r="AV54">
            <v>1187.1648049999999</v>
          </cell>
          <cell r="AW54">
            <v>1199.3896139999999</v>
          </cell>
          <cell r="AX54">
            <v>1211.8927610000001</v>
          </cell>
          <cell r="AY54">
            <v>1224.679476</v>
          </cell>
          <cell r="AZ54">
            <v>1237.753845</v>
          </cell>
          <cell r="BA54">
            <v>1251.121161</v>
          </cell>
          <cell r="BB54">
            <v>1264.785126</v>
          </cell>
          <cell r="BC54">
            <v>1278.74846</v>
          </cell>
          <cell r="BD54">
            <v>1293.0131980000001</v>
          </cell>
          <cell r="BE54">
            <v>1307.5809489999999</v>
          </cell>
        </row>
        <row r="55">
          <cell r="B55">
            <v>797.38076309999997</v>
          </cell>
          <cell r="C55">
            <v>805.76303610000002</v>
          </cell>
          <cell r="D55">
            <v>813.63072390000002</v>
          </cell>
          <cell r="E55">
            <v>821.13314430000003</v>
          </cell>
          <cell r="F55">
            <v>828.3976007</v>
          </cell>
          <cell r="G55">
            <v>835.54002409999998</v>
          </cell>
          <cell r="H55">
            <v>842.63627410000004</v>
          </cell>
          <cell r="I55">
            <v>849.74924769999996</v>
          </cell>
          <cell r="J55">
            <v>856.92671710000002</v>
          </cell>
          <cell r="K55">
            <v>864.19866049999996</v>
          </cell>
          <cell r="L55">
            <v>871.62651019999998</v>
          </cell>
          <cell r="M55">
            <v>879.20541290000006</v>
          </cell>
          <cell r="N55">
            <v>886.9228703</v>
          </cell>
          <cell r="O55">
            <v>894.76544439999998</v>
          </cell>
          <cell r="P55">
            <v>902.71965120000004</v>
          </cell>
          <cell r="Q55">
            <v>910.77256360000001</v>
          </cell>
          <cell r="R55">
            <v>918.9123055</v>
          </cell>
          <cell r="S55">
            <v>927.12840080000001</v>
          </cell>
          <cell r="T55">
            <v>935.41203559999997</v>
          </cell>
          <cell r="U55">
            <v>943.7562805</v>
          </cell>
          <cell r="V55">
            <v>952.12464820000002</v>
          </cell>
          <cell r="W55">
            <v>960.52437190000001</v>
          </cell>
          <cell r="X55">
            <v>968.9643231</v>
          </cell>
          <cell r="Y55">
            <v>977.45214490000001</v>
          </cell>
          <cell r="Z55">
            <v>985.99556840000002</v>
          </cell>
          <cell r="AA55">
            <v>994.51300409999999</v>
          </cell>
          <cell r="AB55">
            <v>1002.999788</v>
          </cell>
          <cell r="AC55">
            <v>1011.463435</v>
          </cell>
          <cell r="AD55">
            <v>1019.914638</v>
          </cell>
          <cell r="AE55">
            <v>1028.366413</v>
          </cell>
          <cell r="AF55">
            <v>1036.8338510000001</v>
          </cell>
          <cell r="AG55">
            <v>1045.33367</v>
          </cell>
          <cell r="AH55">
            <v>1053.8836590000001</v>
          </cell>
          <cell r="AI55">
            <v>1062.502121</v>
          </cell>
          <cell r="AJ55">
            <v>1071.2073499999999</v>
          </cell>
          <cell r="AK55">
            <v>1080.0172009999999</v>
          </cell>
          <cell r="AL55">
            <v>1088.9274250000001</v>
          </cell>
          <cell r="AM55">
            <v>1097.9391740000001</v>
          </cell>
          <cell r="AN55">
            <v>1107.058397</v>
          </cell>
          <cell r="AO55">
            <v>1116.293453</v>
          </cell>
          <cell r="AP55">
            <v>1125.6537020000001</v>
          </cell>
          <cell r="AQ55">
            <v>1135.148768</v>
          </cell>
          <cell r="AR55">
            <v>1144.7881379999999</v>
          </cell>
          <cell r="AS55">
            <v>1154.580897</v>
          </cell>
          <cell r="AT55">
            <v>1164.5355589999999</v>
          </cell>
          <cell r="AU55">
            <v>1174.6600530000001</v>
          </cell>
          <cell r="AV55">
            <v>1184.9638150000001</v>
          </cell>
          <cell r="AW55">
            <v>1195.455451</v>
          </cell>
          <cell r="AX55">
            <v>1206.1427880000001</v>
          </cell>
          <cell r="AY55">
            <v>1217.033017</v>
          </cell>
          <cell r="AZ55">
            <v>1228.13275</v>
          </cell>
          <cell r="BA55">
            <v>1239.448044</v>
          </cell>
          <cell r="BB55">
            <v>1250.984451</v>
          </cell>
          <cell r="BC55">
            <v>1262.7470840000001</v>
          </cell>
          <cell r="BD55">
            <v>1274.7407000000001</v>
          </cell>
          <cell r="BE55">
            <v>1286.969797</v>
          </cell>
        </row>
        <row r="56">
          <cell r="B56">
            <v>724.38654480000002</v>
          </cell>
          <cell r="C56">
            <v>731.86430089999999</v>
          </cell>
          <cell r="D56">
            <v>738.76178689999995</v>
          </cell>
          <cell r="E56">
            <v>745.2183612</v>
          </cell>
          <cell r="F56">
            <v>751.35917140000004</v>
          </cell>
          <cell r="G56">
            <v>757.30060349999997</v>
          </cell>
          <cell r="H56">
            <v>763.12117950000004</v>
          </cell>
          <cell r="I56">
            <v>768.88995220000004</v>
          </cell>
          <cell r="J56">
            <v>774.66558050000003</v>
          </cell>
          <cell r="K56">
            <v>780.49373079999998</v>
          </cell>
          <cell r="L56">
            <v>786.44595219999997</v>
          </cell>
          <cell r="M56">
            <v>792.52917620000005</v>
          </cell>
          <cell r="N56">
            <v>798.74415299999998</v>
          </cell>
          <cell r="O56">
            <v>805.09073069999999</v>
          </cell>
          <cell r="P56">
            <v>811.56760180000003</v>
          </cell>
          <cell r="Q56">
            <v>818.17228690000002</v>
          </cell>
          <cell r="R56">
            <v>824.89813300000003</v>
          </cell>
          <cell r="S56">
            <v>831.73998670000003</v>
          </cell>
          <cell r="T56">
            <v>838.69421520000003</v>
          </cell>
          <cell r="U56">
            <v>845.75874480000004</v>
          </cell>
          <cell r="V56">
            <v>852.90503020000006</v>
          </cell>
          <cell r="W56">
            <v>860.14299800000003</v>
          </cell>
          <cell r="X56">
            <v>867.48370629999999</v>
          </cell>
          <cell r="Y56">
            <v>874.93665420000002</v>
          </cell>
          <cell r="Z56">
            <v>882.51086320000002</v>
          </cell>
          <cell r="AA56">
            <v>890.13543289999996</v>
          </cell>
          <cell r="AB56">
            <v>897.80839609999998</v>
          </cell>
          <cell r="AC56">
            <v>905.53772430000004</v>
          </cell>
          <cell r="AD56">
            <v>913.33358480000004</v>
          </cell>
          <cell r="AE56">
            <v>921.20771330000002</v>
          </cell>
          <cell r="AF56">
            <v>929.17332599999997</v>
          </cell>
          <cell r="AG56">
            <v>937.24552289999997</v>
          </cell>
          <cell r="AH56">
            <v>945.43981169999995</v>
          </cell>
          <cell r="AI56">
            <v>953.77178330000004</v>
          </cell>
          <cell r="AJ56">
            <v>962.25678430000005</v>
          </cell>
          <cell r="AK56">
            <v>970.90965270000004</v>
          </cell>
          <cell r="AL56">
            <v>979.73144339999999</v>
          </cell>
          <cell r="AM56">
            <v>988.72510560000001</v>
          </cell>
          <cell r="AN56">
            <v>997.89629809999997</v>
          </cell>
          <cell r="AO56">
            <v>1007.25191</v>
          </cell>
          <cell r="AP56">
            <v>1016.799281</v>
          </cell>
          <cell r="AQ56">
            <v>1026.546775</v>
          </cell>
          <cell r="AR56">
            <v>1036.5022019999999</v>
          </cell>
          <cell r="AS56">
            <v>1046.672865</v>
          </cell>
          <cell r="AT56">
            <v>1057.0655280000001</v>
          </cell>
          <cell r="AU56">
            <v>1067.686412</v>
          </cell>
          <cell r="AV56">
            <v>1078.5460069999999</v>
          </cell>
          <cell r="AW56">
            <v>1089.652315</v>
          </cell>
          <cell r="AX56">
            <v>1101.0114940000001</v>
          </cell>
          <cell r="AY56">
            <v>1112.628297</v>
          </cell>
          <cell r="AZ56">
            <v>1124.506435</v>
          </cell>
          <cell r="BA56">
            <v>1136.650717</v>
          </cell>
          <cell r="BB56">
            <v>1149.0645059999999</v>
          </cell>
          <cell r="BC56">
            <v>1161.750274</v>
          </cell>
          <cell r="BD56">
            <v>1174.709869</v>
          </cell>
          <cell r="BE56">
            <v>1187.944753</v>
          </cell>
        </row>
        <row r="57">
          <cell r="B57">
            <v>724.42494039999997</v>
          </cell>
          <cell r="C57">
            <v>732.04028630000005</v>
          </cell>
          <cell r="D57">
            <v>739.18812830000002</v>
          </cell>
          <cell r="E57">
            <v>746.00412259999996</v>
          </cell>
          <cell r="F57">
            <v>752.60392509999997</v>
          </cell>
          <cell r="G57">
            <v>759.09285950000003</v>
          </cell>
          <cell r="H57">
            <v>765.53984500000001</v>
          </cell>
          <cell r="I57">
            <v>772.00202390000004</v>
          </cell>
          <cell r="J57">
            <v>778.52279720000001</v>
          </cell>
          <cell r="K57">
            <v>785.12940060000005</v>
          </cell>
          <cell r="L57">
            <v>791.87764540000001</v>
          </cell>
          <cell r="M57">
            <v>798.76312259999997</v>
          </cell>
          <cell r="N57">
            <v>805.77447729999994</v>
          </cell>
          <cell r="O57">
            <v>812.89950120000003</v>
          </cell>
          <cell r="P57">
            <v>820.12594369999999</v>
          </cell>
          <cell r="Q57">
            <v>827.44206069999996</v>
          </cell>
          <cell r="R57">
            <v>834.83706270000005</v>
          </cell>
          <cell r="S57">
            <v>842.30143199999998</v>
          </cell>
          <cell r="T57">
            <v>849.82716110000001</v>
          </cell>
          <cell r="U57">
            <v>857.40795490000005</v>
          </cell>
          <cell r="V57">
            <v>865.01066409999999</v>
          </cell>
          <cell r="W57">
            <v>872.64186029999996</v>
          </cell>
          <cell r="X57">
            <v>880.30960340000001</v>
          </cell>
          <cell r="Y57">
            <v>888.02083709999999</v>
          </cell>
          <cell r="Z57">
            <v>895.78258510000001</v>
          </cell>
          <cell r="AA57">
            <v>903.52072299999998</v>
          </cell>
          <cell r="AB57">
            <v>911.23101380000003</v>
          </cell>
          <cell r="AC57">
            <v>918.92028349999998</v>
          </cell>
          <cell r="AD57">
            <v>926.59824900000001</v>
          </cell>
          <cell r="AE57">
            <v>934.27673319999997</v>
          </cell>
          <cell r="AF57">
            <v>941.96944780000001</v>
          </cell>
          <cell r="AG57">
            <v>949.69158070000003</v>
          </cell>
          <cell r="AH57">
            <v>957.45929290000004</v>
          </cell>
          <cell r="AI57">
            <v>965.28921260000004</v>
          </cell>
          <cell r="AJ57">
            <v>973.19796210000004</v>
          </cell>
          <cell r="AK57">
            <v>981.20176019999997</v>
          </cell>
          <cell r="AL57">
            <v>989.29674769999997</v>
          </cell>
          <cell r="AM57">
            <v>997.48397169999998</v>
          </cell>
          <cell r="AN57">
            <v>1005.768837</v>
          </cell>
          <cell r="AO57">
            <v>1014.158936</v>
          </cell>
          <cell r="AP57">
            <v>1022.662774</v>
          </cell>
          <cell r="AQ57">
            <v>1031.289094</v>
          </cell>
          <cell r="AR57">
            <v>1040.046515</v>
          </cell>
          <cell r="AS57">
            <v>1048.943291</v>
          </cell>
          <cell r="AT57">
            <v>1057.987157</v>
          </cell>
          <cell r="AU57">
            <v>1067.1853160000001</v>
          </cell>
          <cell r="AV57">
            <v>1076.546341</v>
          </cell>
          <cell r="AW57">
            <v>1086.078051</v>
          </cell>
          <cell r="AX57">
            <v>1095.787556</v>
          </cell>
          <cell r="AY57">
            <v>1105.68139</v>
          </cell>
          <cell r="AZ57">
            <v>1115.7655589999999</v>
          </cell>
          <cell r="BA57">
            <v>1126.045568</v>
          </cell>
          <cell r="BB57">
            <v>1136.526458</v>
          </cell>
          <cell r="BC57">
            <v>1147.2128749999999</v>
          </cell>
          <cell r="BD57">
            <v>1158.1091429999999</v>
          </cell>
          <cell r="BE57">
            <v>1169.2193460000001</v>
          </cell>
        </row>
        <row r="58">
          <cell r="B58">
            <v>1425.5800819999999</v>
          </cell>
          <cell r="C58">
            <v>1440.286153</v>
          </cell>
          <cell r="D58">
            <v>1453.782584</v>
          </cell>
          <cell r="E58">
            <v>1466.3399810000001</v>
          </cell>
          <cell r="F58">
            <v>1478.2011950000001</v>
          </cell>
          <cell r="G58">
            <v>1489.591979</v>
          </cell>
          <cell r="H58">
            <v>1500.6638459999999</v>
          </cell>
          <cell r="I58">
            <v>1511.549683</v>
          </cell>
          <cell r="J58">
            <v>1522.36211</v>
          </cell>
          <cell r="K58">
            <v>1533.1884010000001</v>
          </cell>
          <cell r="L58">
            <v>1544.166483</v>
          </cell>
          <cell r="M58">
            <v>1555.3080210000001</v>
          </cell>
          <cell r="N58">
            <v>1566.6121459999999</v>
          </cell>
          <cell r="O58">
            <v>1578.0765180000001</v>
          </cell>
          <cell r="P58">
            <v>1589.6968260000001</v>
          </cell>
          <cell r="Q58">
            <v>1601.4667460000001</v>
          </cell>
          <cell r="R58">
            <v>1613.3721169999999</v>
          </cell>
          <cell r="S58">
            <v>1625.4011909999999</v>
          </cell>
          <cell r="T58">
            <v>1637.5454560000001</v>
          </cell>
          <cell r="U58">
            <v>1649.7996800000001</v>
          </cell>
          <cell r="V58">
            <v>1662.1078070000001</v>
          </cell>
          <cell r="W58">
            <v>1674.488341</v>
          </cell>
          <cell r="X58">
            <v>1686.9621030000001</v>
          </cell>
          <cell r="Y58">
            <v>1699.546996</v>
          </cell>
          <cell r="Z58">
            <v>1712.260076</v>
          </cell>
          <cell r="AA58">
            <v>1724.9655190000001</v>
          </cell>
          <cell r="AB58">
            <v>1737.660003</v>
          </cell>
          <cell r="AC58">
            <v>1750.3597589999999</v>
          </cell>
          <cell r="AD58">
            <v>1763.0852070000001</v>
          </cell>
          <cell r="AE58">
            <v>1775.8597199999999</v>
          </cell>
          <cell r="AF58">
            <v>1788.709421</v>
          </cell>
          <cell r="AG58">
            <v>1801.6639090000001</v>
          </cell>
          <cell r="AH58">
            <v>1814.753645</v>
          </cell>
          <cell r="AI58">
            <v>1828.0090909999999</v>
          </cell>
          <cell r="AJ58">
            <v>1841.4600840000001</v>
          </cell>
          <cell r="AK58">
            <v>1855.135329</v>
          </cell>
          <cell r="AL58">
            <v>1869.0374859999999</v>
          </cell>
          <cell r="AM58">
            <v>1883.1746949999999</v>
          </cell>
          <cell r="AN58">
            <v>1897.559982</v>
          </cell>
          <cell r="AO58">
            <v>1912.2084620000001</v>
          </cell>
          <cell r="AP58">
            <v>1927.1358640000001</v>
          </cell>
          <cell r="AQ58">
            <v>1942.359594</v>
          </cell>
          <cell r="AR58">
            <v>1957.8961200000001</v>
          </cell>
          <cell r="AS58">
            <v>1973.7607109999999</v>
          </cell>
          <cell r="AT58">
            <v>1989.9674010000001</v>
          </cell>
          <cell r="AU58">
            <v>2006.5289749999999</v>
          </cell>
          <cell r="AV58">
            <v>2023.4658589999999</v>
          </cell>
          <cell r="AW58">
            <v>2040.794801</v>
          </cell>
          <cell r="AX58">
            <v>2058.5288650000002</v>
          </cell>
          <cell r="AY58">
            <v>2076.6782490000001</v>
          </cell>
          <cell r="AZ58">
            <v>2095.2509869999999</v>
          </cell>
          <cell r="BA58">
            <v>2114.256871</v>
          </cell>
          <cell r="BB58">
            <v>2133.7035660000001</v>
          </cell>
          <cell r="BC58">
            <v>2153.5968440000001</v>
          </cell>
          <cell r="BD58">
            <v>2173.9410870000002</v>
          </cell>
          <cell r="BE58">
            <v>2194.7397289999999</v>
          </cell>
        </row>
        <row r="59">
          <cell r="B59">
            <v>1425.655647</v>
          </cell>
          <cell r="C59">
            <v>1440.6423110000001</v>
          </cell>
          <cell r="D59">
            <v>1454.6594889999999</v>
          </cell>
          <cell r="E59">
            <v>1467.9780129999999</v>
          </cell>
          <cell r="F59">
            <v>1480.8290260000001</v>
          </cell>
          <cell r="G59">
            <v>1493.423041</v>
          </cell>
          <cell r="H59">
            <v>1505.8987460000001</v>
          </cell>
          <cell r="I59">
            <v>1518.3714660000001</v>
          </cell>
          <cell r="J59">
            <v>1530.9293399999999</v>
          </cell>
          <cell r="K59">
            <v>1543.628594</v>
          </cell>
          <cell r="L59">
            <v>1556.5813519999999</v>
          </cell>
          <cell r="M59">
            <v>1569.781438</v>
          </cell>
          <cell r="N59">
            <v>1583.208963</v>
          </cell>
          <cell r="O59">
            <v>1596.8422840000001</v>
          </cell>
          <cell r="P59">
            <v>1610.659588</v>
          </cell>
          <cell r="Q59">
            <v>1624.6399699999999</v>
          </cell>
          <cell r="R59">
            <v>1638.764306</v>
          </cell>
          <cell r="S59">
            <v>1653.0158699999999</v>
          </cell>
          <cell r="T59">
            <v>1667.380803</v>
          </cell>
          <cell r="U59">
            <v>1681.848495</v>
          </cell>
          <cell r="V59">
            <v>1696.355712</v>
          </cell>
          <cell r="W59">
            <v>1710.916841</v>
          </cell>
          <cell r="X59">
            <v>1725.549066</v>
          </cell>
          <cell r="Y59">
            <v>1740.2672809999999</v>
          </cell>
          <cell r="Z59">
            <v>1755.0864280000001</v>
          </cell>
          <cell r="AA59">
            <v>1769.86275</v>
          </cell>
          <cell r="AB59">
            <v>1784.5890300000001</v>
          </cell>
          <cell r="AC59">
            <v>1799.279577</v>
          </cell>
          <cell r="AD59">
            <v>1813.9542489999999</v>
          </cell>
          <cell r="AE59">
            <v>1828.636925</v>
          </cell>
          <cell r="AF59">
            <v>1843.3550789999999</v>
          </cell>
          <cell r="AG59">
            <v>1858.1389799999999</v>
          </cell>
          <cell r="AH59">
            <v>1873.020716</v>
          </cell>
          <cell r="AI59">
            <v>1888.033203</v>
          </cell>
          <cell r="AJ59">
            <v>1903.2092729999999</v>
          </cell>
          <cell r="AK59">
            <v>1918.5808999999999</v>
          </cell>
          <cell r="AL59">
            <v>1934.1407979999999</v>
          </cell>
          <cell r="AM59">
            <v>1949.891202</v>
          </cell>
          <cell r="AN59">
            <v>1965.8428019999999</v>
          </cell>
          <cell r="AO59">
            <v>1982.010511</v>
          </cell>
          <cell r="AP59">
            <v>1998.410971</v>
          </cell>
          <cell r="AQ59">
            <v>2015.061252</v>
          </cell>
          <cell r="AR59">
            <v>2031.9781350000001</v>
          </cell>
          <cell r="AS59">
            <v>2049.1776570000002</v>
          </cell>
          <cell r="AT59">
            <v>2066.674806</v>
          </cell>
          <cell r="AU59">
            <v>2084.4835039999998</v>
          </cell>
          <cell r="AV59">
            <v>2102.6203209999999</v>
          </cell>
          <cell r="AW59">
            <v>2121.1003249999999</v>
          </cell>
          <cell r="AX59">
            <v>2139.9371860000001</v>
          </cell>
          <cell r="AY59">
            <v>2159.1434260000001</v>
          </cell>
          <cell r="AZ59">
            <v>2178.7305219999998</v>
          </cell>
          <cell r="BA59">
            <v>2198.7089559999999</v>
          </cell>
          <cell r="BB59">
            <v>2219.0882969999998</v>
          </cell>
          <cell r="BC59">
            <v>2239.8773299999998</v>
          </cell>
          <cell r="BD59">
            <v>2261.0841989999999</v>
          </cell>
          <cell r="BE59">
            <v>2282.716578</v>
          </cell>
        </row>
        <row r="60">
          <cell r="B60">
            <v>518.25280929999997</v>
          </cell>
          <cell r="C60">
            <v>523.59839439999996</v>
          </cell>
          <cell r="D60">
            <v>528.48752439999998</v>
          </cell>
          <cell r="E60">
            <v>533.01928050000004</v>
          </cell>
          <cell r="F60">
            <v>537.28260479999994</v>
          </cell>
          <cell r="G60">
            <v>541.36016380000001</v>
          </cell>
          <cell r="H60">
            <v>545.30761029999996</v>
          </cell>
          <cell r="I60">
            <v>549.17377780000004</v>
          </cell>
          <cell r="J60">
            <v>553.00010080000004</v>
          </cell>
          <cell r="K60">
            <v>556.81878070000005</v>
          </cell>
          <cell r="L60">
            <v>560.68032770000002</v>
          </cell>
          <cell r="M60">
            <v>564.58946709999998</v>
          </cell>
          <cell r="N60">
            <v>568.54632570000001</v>
          </cell>
          <cell r="O60">
            <v>572.5504942</v>
          </cell>
          <cell r="P60">
            <v>576.60084489999997</v>
          </cell>
          <cell r="Q60">
            <v>580.69551820000004</v>
          </cell>
          <cell r="R60">
            <v>584.82981700000005</v>
          </cell>
          <cell r="S60">
            <v>588.99985919999995</v>
          </cell>
          <cell r="T60">
            <v>593.20292910000001</v>
          </cell>
          <cell r="U60">
            <v>597.43749060000005</v>
          </cell>
          <cell r="V60">
            <v>601.68367139999998</v>
          </cell>
          <cell r="W60">
            <v>605.94849439999996</v>
          </cell>
          <cell r="X60">
            <v>610.23980219999999</v>
          </cell>
          <cell r="Y60">
            <v>614.5643652</v>
          </cell>
          <cell r="Z60">
            <v>618.92862830000001</v>
          </cell>
          <cell r="AA60">
            <v>623.28399730000001</v>
          </cell>
          <cell r="AB60">
            <v>627.62959430000001</v>
          </cell>
          <cell r="AC60">
            <v>631.97159139999997</v>
          </cell>
          <cell r="AD60">
            <v>636.31764429999998</v>
          </cell>
          <cell r="AE60">
            <v>640.67644540000003</v>
          </cell>
          <cell r="AF60">
            <v>645.05764880000004</v>
          </cell>
          <cell r="AG60">
            <v>649.47213020000004</v>
          </cell>
          <cell r="AH60">
            <v>653.93105979999996</v>
          </cell>
          <cell r="AI60">
            <v>658.44558010000003</v>
          </cell>
          <cell r="AJ60">
            <v>663.02657959999999</v>
          </cell>
          <cell r="AK60">
            <v>667.68451319999997</v>
          </cell>
          <cell r="AL60">
            <v>672.42047709999997</v>
          </cell>
          <cell r="AM60">
            <v>677.23764540000002</v>
          </cell>
          <cell r="AN60">
            <v>682.1409165</v>
          </cell>
          <cell r="AO60">
            <v>687.13590799999997</v>
          </cell>
          <cell r="AP60">
            <v>692.22843130000001</v>
          </cell>
          <cell r="AQ60">
            <v>697.42486899999994</v>
          </cell>
          <cell r="AR60">
            <v>702.73126530000002</v>
          </cell>
          <cell r="AS60">
            <v>708.15320910000003</v>
          </cell>
          <cell r="AT60">
            <v>713.69582170000001</v>
          </cell>
          <cell r="AU60">
            <v>719.36375559999999</v>
          </cell>
          <cell r="AV60">
            <v>725.16436720000002</v>
          </cell>
          <cell r="AW60">
            <v>731.10375329999999</v>
          </cell>
          <cell r="AX60">
            <v>737.18666880000001</v>
          </cell>
          <cell r="AY60">
            <v>743.4168234</v>
          </cell>
          <cell r="AZ60">
            <v>749.79713170000002</v>
          </cell>
          <cell r="BA60">
            <v>756.33111440000005</v>
          </cell>
          <cell r="BB60">
            <v>763.02156260000004</v>
          </cell>
          <cell r="BC60">
            <v>769.87057300000004</v>
          </cell>
          <cell r="BD60">
            <v>776.87972509999997</v>
          </cell>
          <cell r="BE60">
            <v>784.05024409999999</v>
          </cell>
        </row>
        <row r="61">
          <cell r="B61">
            <v>518.28027870000005</v>
          </cell>
          <cell r="C61">
            <v>523.72858440000005</v>
          </cell>
          <cell r="D61">
            <v>528.80900469999995</v>
          </cell>
          <cell r="E61">
            <v>533.62119510000002</v>
          </cell>
          <cell r="F61">
            <v>538.25029389999997</v>
          </cell>
          <cell r="G61">
            <v>542.77384889999996</v>
          </cell>
          <cell r="H61">
            <v>547.24324209999997</v>
          </cell>
          <cell r="I61">
            <v>551.70130340000003</v>
          </cell>
          <cell r="J61">
            <v>556.18093169999997</v>
          </cell>
          <cell r="K61">
            <v>560.70339430000001</v>
          </cell>
          <cell r="L61">
            <v>565.31017180000003</v>
          </cell>
          <cell r="M61">
            <v>569.99980330000005</v>
          </cell>
          <cell r="N61">
            <v>574.76582889999997</v>
          </cell>
          <cell r="O61">
            <v>579.60112500000002</v>
          </cell>
          <cell r="P61">
            <v>584.49848029999998</v>
          </cell>
          <cell r="Q61">
            <v>589.45098380000002</v>
          </cell>
          <cell r="R61">
            <v>594.45234089999997</v>
          </cell>
          <cell r="S61">
            <v>599.49709619999999</v>
          </cell>
          <cell r="T61">
            <v>604.58080080000002</v>
          </cell>
          <cell r="U61">
            <v>609.70015230000001</v>
          </cell>
          <cell r="V61">
            <v>614.83278359999997</v>
          </cell>
          <cell r="W61">
            <v>619.98437569999999</v>
          </cell>
          <cell r="X61">
            <v>625.16158629999995</v>
          </cell>
          <cell r="Y61">
            <v>630.37020910000001</v>
          </cell>
          <cell r="Z61">
            <v>635.61602270000003</v>
          </cell>
          <cell r="AA61">
            <v>640.8474215</v>
          </cell>
          <cell r="AB61">
            <v>646.06212860000005</v>
          </cell>
          <cell r="AC61">
            <v>651.26561509999999</v>
          </cell>
          <cell r="AD61">
            <v>656.46532669999999</v>
          </cell>
          <cell r="AE61">
            <v>661.67013159999999</v>
          </cell>
          <cell r="AF61">
            <v>666.89016779999997</v>
          </cell>
          <cell r="AG61">
            <v>672.13655549999999</v>
          </cell>
          <cell r="AH61">
            <v>677.42104429999995</v>
          </cell>
          <cell r="AI61">
            <v>682.75565919999997</v>
          </cell>
          <cell r="AJ61">
            <v>688.15237130000003</v>
          </cell>
          <cell r="AK61">
            <v>693.62281989999997</v>
          </cell>
          <cell r="AL61">
            <v>699.16444969999998</v>
          </cell>
          <cell r="AM61">
            <v>704.77812649999998</v>
          </cell>
          <cell r="AN61">
            <v>710.46775190000005</v>
          </cell>
          <cell r="AO61">
            <v>716.2387367</v>
          </cell>
          <cell r="AP61">
            <v>722.09710059999998</v>
          </cell>
          <cell r="AQ61">
            <v>728.04900529999998</v>
          </cell>
          <cell r="AR61">
            <v>734.10049519999995</v>
          </cell>
          <cell r="AS61">
            <v>740.25733500000001</v>
          </cell>
          <cell r="AT61">
            <v>746.52490060000002</v>
          </cell>
          <cell r="AU61">
            <v>752.90817319999996</v>
          </cell>
          <cell r="AV61">
            <v>759.41308270000002</v>
          </cell>
          <cell r="AW61">
            <v>766.04500859999996</v>
          </cell>
          <cell r="AX61">
            <v>772.8088186</v>
          </cell>
          <cell r="AY61">
            <v>779.70896140000002</v>
          </cell>
          <cell r="AZ61">
            <v>786.74950220000005</v>
          </cell>
          <cell r="BA61">
            <v>793.93414319999999</v>
          </cell>
          <cell r="BB61">
            <v>801.26625349999995</v>
          </cell>
          <cell r="BC61">
            <v>808.74891479999997</v>
          </cell>
          <cell r="BD61">
            <v>816.38497629999995</v>
          </cell>
          <cell r="BE61">
            <v>824.17711380000003</v>
          </cell>
        </row>
        <row r="62">
          <cell r="B62">
            <v>3989.5884959999999</v>
          </cell>
          <cell r="C62">
            <v>4030.7683790000001</v>
          </cell>
          <cell r="D62">
            <v>4067.4120619999999</v>
          </cell>
          <cell r="E62">
            <v>4100.3954960000001</v>
          </cell>
          <cell r="F62">
            <v>4130.5074510000004</v>
          </cell>
          <cell r="G62">
            <v>4158.4796660000002</v>
          </cell>
          <cell r="H62">
            <v>4184.8298130000003</v>
          </cell>
          <cell r="I62">
            <v>4210.0171410000003</v>
          </cell>
          <cell r="J62">
            <v>4234.438204</v>
          </cell>
          <cell r="K62">
            <v>4258.4136939999999</v>
          </cell>
          <cell r="L62">
            <v>4282.3966700000001</v>
          </cell>
          <cell r="M62">
            <v>4306.4898130000001</v>
          </cell>
          <cell r="N62">
            <v>4330.7591849999999</v>
          </cell>
          <cell r="O62">
            <v>4355.2629639999996</v>
          </cell>
          <cell r="P62">
            <v>4380.0501860000004</v>
          </cell>
          <cell r="Q62">
            <v>4405.1607649999996</v>
          </cell>
          <cell r="R62">
            <v>4430.6098819999997</v>
          </cell>
          <cell r="S62">
            <v>4456.417469</v>
          </cell>
          <cell r="T62">
            <v>4482.6087159999997</v>
          </cell>
          <cell r="U62">
            <v>4509.2142379999996</v>
          </cell>
          <cell r="V62">
            <v>4536.1248009999999</v>
          </cell>
          <cell r="W62">
            <v>4563.4284120000002</v>
          </cell>
          <cell r="X62">
            <v>4591.215948</v>
          </cell>
          <cell r="Y62">
            <v>4619.567344</v>
          </cell>
          <cell r="Z62">
            <v>4648.5573279999999</v>
          </cell>
          <cell r="AA62">
            <v>4677.8481259999999</v>
          </cell>
          <cell r="AB62">
            <v>4707.4545429999998</v>
          </cell>
          <cell r="AC62">
            <v>4737.4401959999996</v>
          </cell>
          <cell r="AD62">
            <v>4767.8775100000003</v>
          </cell>
          <cell r="AE62">
            <v>4798.8445609999999</v>
          </cell>
          <cell r="AF62">
            <v>4830.4247009999999</v>
          </cell>
          <cell r="AG62">
            <v>4862.7086909999998</v>
          </cell>
          <cell r="AH62">
            <v>4895.7874019999999</v>
          </cell>
          <cell r="AI62">
            <v>4929.7501579999998</v>
          </cell>
          <cell r="AJ62">
            <v>4964.6832029999996</v>
          </cell>
          <cell r="AK62">
            <v>5000.668482</v>
          </cell>
          <cell r="AL62">
            <v>5037.7166980000002</v>
          </cell>
          <cell r="AM62">
            <v>5075.8479180000004</v>
          </cell>
          <cell r="AN62">
            <v>5115.0945760000004</v>
          </cell>
          <cell r="AO62">
            <v>5155.494044</v>
          </cell>
          <cell r="AP62">
            <v>5197.0847830000002</v>
          </cell>
          <cell r="AQ62">
            <v>5239.9092959999998</v>
          </cell>
          <cell r="AR62">
            <v>5284.0064570000004</v>
          </cell>
          <cell r="AS62">
            <v>5329.4116130000002</v>
          </cell>
          <cell r="AT62">
            <v>5376.1565250000003</v>
          </cell>
          <cell r="AU62">
            <v>5424.2694119999996</v>
          </cell>
          <cell r="AV62">
            <v>5473.7991929999998</v>
          </cell>
          <cell r="AW62">
            <v>5524.7822669999996</v>
          </cell>
          <cell r="AX62">
            <v>5577.2451339999998</v>
          </cell>
          <cell r="AY62">
            <v>5631.2066409999998</v>
          </cell>
          <cell r="AZ62">
            <v>5686.6798900000003</v>
          </cell>
          <cell r="BA62">
            <v>5743.683016</v>
          </cell>
          <cell r="BB62">
            <v>5802.2269139999999</v>
          </cell>
          <cell r="BC62">
            <v>5862.317626</v>
          </cell>
          <cell r="BD62">
            <v>5923.9576989999996</v>
          </cell>
          <cell r="BE62">
            <v>5987.1474399999997</v>
          </cell>
        </row>
        <row r="63">
          <cell r="B63">
            <v>3989.799994</v>
          </cell>
          <cell r="C63">
            <v>4031.740996</v>
          </cell>
          <cell r="D63">
            <v>4069.7720290000002</v>
          </cell>
          <cell r="E63">
            <v>4104.7481500000004</v>
          </cell>
          <cell r="F63">
            <v>4137.4055619999999</v>
          </cell>
          <cell r="G63">
            <v>4168.4152379999996</v>
          </cell>
          <cell r="H63">
            <v>4198.2424369999999</v>
          </cell>
          <cell r="I63">
            <v>4227.2820940000001</v>
          </cell>
          <cell r="J63">
            <v>4255.8490700000002</v>
          </cell>
          <cell r="K63">
            <v>4284.1661610000001</v>
          </cell>
          <cell r="L63">
            <v>4312.6039890000002</v>
          </cell>
          <cell r="M63">
            <v>4341.2067619999998</v>
          </cell>
          <cell r="N63">
            <v>4369.9788669999998</v>
          </cell>
          <cell r="O63">
            <v>4398.9175279999999</v>
          </cell>
          <cell r="P63">
            <v>4428.0171149999996</v>
          </cell>
          <cell r="Q63">
            <v>4457.2720250000002</v>
          </cell>
          <cell r="R63">
            <v>4486.6789989999997</v>
          </cell>
          <cell r="S63">
            <v>4516.2387440000002</v>
          </cell>
          <cell r="T63">
            <v>4545.9571299999998</v>
          </cell>
          <cell r="U63">
            <v>4575.8461930000003</v>
          </cell>
          <cell r="V63">
            <v>4605.7756429999999</v>
          </cell>
          <cell r="W63">
            <v>4635.8193419999998</v>
          </cell>
          <cell r="X63">
            <v>4666.055773</v>
          </cell>
          <cell r="Y63">
            <v>4696.5546299999996</v>
          </cell>
          <cell r="Z63">
            <v>4727.3831419999997</v>
          </cell>
          <cell r="AA63">
            <v>4758.1877780000004</v>
          </cell>
          <cell r="AB63">
            <v>4788.9736569999995</v>
          </cell>
          <cell r="AC63">
            <v>4819.8002999999999</v>
          </cell>
          <cell r="AD63">
            <v>4850.7395040000001</v>
          </cell>
          <cell r="AE63">
            <v>4881.8713749999997</v>
          </cell>
          <cell r="AF63">
            <v>4913.2832900000003</v>
          </cell>
          <cell r="AG63">
            <v>4945.0678950000001</v>
          </cell>
          <cell r="AH63">
            <v>4977.3206360000004</v>
          </cell>
          <cell r="AI63">
            <v>5010.1373039999999</v>
          </cell>
          <cell r="AJ63">
            <v>5043.6117510000004</v>
          </cell>
          <cell r="AK63">
            <v>5077.8340010000002</v>
          </cell>
          <cell r="AL63">
            <v>5112.7901400000001</v>
          </cell>
          <cell r="AM63">
            <v>5148.4898839999996</v>
          </cell>
          <cell r="AN63">
            <v>5184.9638130000003</v>
          </cell>
          <cell r="AO63">
            <v>5222.2524000000003</v>
          </cell>
          <cell r="AP63">
            <v>5260.3995709999999</v>
          </cell>
          <cell r="AQ63">
            <v>5299.4494089999998</v>
          </cell>
          <cell r="AR63">
            <v>5339.4443499999998</v>
          </cell>
          <cell r="AS63">
            <v>5380.4240900000004</v>
          </cell>
          <cell r="AT63">
            <v>5422.4248610000004</v>
          </cell>
          <cell r="AU63">
            <v>5465.479456</v>
          </cell>
          <cell r="AV63">
            <v>5509.626972</v>
          </cell>
          <cell r="AW63">
            <v>5554.9020659999996</v>
          </cell>
          <cell r="AX63">
            <v>5601.3352770000001</v>
          </cell>
          <cell r="AY63">
            <v>5648.9537460000001</v>
          </cell>
          <cell r="AZ63">
            <v>5697.7815270000001</v>
          </cell>
          <cell r="BA63">
            <v>5747.8397720000003</v>
          </cell>
          <cell r="BB63">
            <v>5799.1469880000004</v>
          </cell>
          <cell r="BC63">
            <v>5851.7194049999998</v>
          </cell>
          <cell r="BD63">
            <v>5905.5714090000001</v>
          </cell>
          <cell r="BE63">
            <v>5960.7160000000003</v>
          </cell>
        </row>
        <row r="64">
          <cell r="B64">
            <v>4700.0196059999998</v>
          </cell>
          <cell r="C64">
            <v>4751.056791</v>
          </cell>
          <cell r="D64">
            <v>4800.3991850000002</v>
          </cell>
          <cell r="E64">
            <v>4848.4155469999996</v>
          </cell>
          <cell r="F64">
            <v>4895.4626680000001</v>
          </cell>
          <cell r="G64">
            <v>4941.9422260000001</v>
          </cell>
          <cell r="H64">
            <v>4988.0921870000002</v>
          </cell>
          <cell r="I64">
            <v>5034.084132</v>
          </cell>
          <cell r="J64">
            <v>5080.0356039999997</v>
          </cell>
          <cell r="K64">
            <v>5126.0310229999995</v>
          </cell>
          <cell r="L64">
            <v>5172.5153890000001</v>
          </cell>
          <cell r="M64">
            <v>5219.4045699999997</v>
          </cell>
          <cell r="N64">
            <v>5266.6000240000003</v>
          </cell>
          <cell r="O64">
            <v>5314.0501690000001</v>
          </cell>
          <cell r="P64">
            <v>5361.7353949999997</v>
          </cell>
          <cell r="Q64">
            <v>5409.6512540000003</v>
          </cell>
          <cell r="R64">
            <v>5457.7758039999999</v>
          </cell>
          <cell r="S64">
            <v>5506.0995439999997</v>
          </cell>
          <cell r="T64">
            <v>5554.6228229999997</v>
          </cell>
          <cell r="U64">
            <v>5603.3536679999997</v>
          </cell>
          <cell r="V64">
            <v>5652.0454950000003</v>
          </cell>
          <cell r="W64">
            <v>5700.7994200000003</v>
          </cell>
          <cell r="X64">
            <v>5749.7300839999998</v>
          </cell>
          <cell r="Y64">
            <v>5798.9234280000001</v>
          </cell>
          <cell r="Z64">
            <v>5848.4455840000001</v>
          </cell>
          <cell r="AA64">
            <v>5897.6264870000005</v>
          </cell>
          <cell r="AB64">
            <v>5946.4119389999996</v>
          </cell>
          <cell r="AC64">
            <v>5994.86823</v>
          </cell>
          <cell r="AD64">
            <v>6043.079675</v>
          </cell>
          <cell r="AE64">
            <v>6091.1322110000001</v>
          </cell>
          <cell r="AF64">
            <v>6139.1125270000002</v>
          </cell>
          <cell r="AG64">
            <v>6187.1138989999999</v>
          </cell>
          <cell r="AH64">
            <v>6235.2282580000001</v>
          </cell>
          <cell r="AI64">
            <v>6283.5457470000001</v>
          </cell>
          <cell r="AJ64">
            <v>6332.1541870000001</v>
          </cell>
          <cell r="AK64">
            <v>6381.1385399999999</v>
          </cell>
          <cell r="AL64">
            <v>6430.4640790000003</v>
          </cell>
          <cell r="AM64">
            <v>6480.1214970000001</v>
          </cell>
          <cell r="AN64">
            <v>6530.135679</v>
          </cell>
          <cell r="AO64">
            <v>6580.5500830000001</v>
          </cell>
          <cell r="AP64">
            <v>6631.4164449999998</v>
          </cell>
          <cell r="AQ64">
            <v>6682.7967719999997</v>
          </cell>
          <cell r="AR64">
            <v>6734.7501300000004</v>
          </cell>
          <cell r="AS64">
            <v>6787.331956</v>
          </cell>
          <cell r="AT64">
            <v>6840.594051</v>
          </cell>
          <cell r="AU64">
            <v>6894.5848539999997</v>
          </cell>
          <cell r="AV64">
            <v>6949.3882819999999</v>
          </cell>
          <cell r="AW64">
            <v>7005.070745</v>
          </cell>
          <cell r="AX64">
            <v>7061.683282</v>
          </cell>
          <cell r="AY64">
            <v>7119.2658750000001</v>
          </cell>
          <cell r="AZ64">
            <v>7177.8512069999997</v>
          </cell>
          <cell r="BA64">
            <v>7237.4822329999997</v>
          </cell>
          <cell r="BB64">
            <v>7298.192188</v>
          </cell>
          <cell r="BC64">
            <v>7360.0070750000004</v>
          </cell>
          <cell r="BD64">
            <v>7422.9477809999998</v>
          </cell>
          <cell r="BE64">
            <v>7487.0320199999996</v>
          </cell>
        </row>
        <row r="65">
          <cell r="B65">
            <v>4700.1599189999997</v>
          </cell>
          <cell r="C65">
            <v>4751.9283500000001</v>
          </cell>
          <cell r="D65">
            <v>4802.6962860000003</v>
          </cell>
          <cell r="E65">
            <v>4852.8254129999996</v>
          </cell>
          <cell r="F65">
            <v>4902.6218710000003</v>
          </cell>
          <cell r="G65">
            <v>4952.4050010000001</v>
          </cell>
          <cell r="H65">
            <v>5002.2647790000001</v>
          </cell>
          <cell r="I65">
            <v>5052.330704</v>
          </cell>
          <cell r="J65">
            <v>5102.7762629999997</v>
          </cell>
          <cell r="K65">
            <v>5153.8120760000002</v>
          </cell>
          <cell r="L65">
            <v>5205.805147</v>
          </cell>
          <cell r="M65">
            <v>5258.516912</v>
          </cell>
          <cell r="N65">
            <v>5311.6796379999996</v>
          </cell>
          <cell r="O65">
            <v>5365.0958179999998</v>
          </cell>
          <cell r="P65">
            <v>5418.6339230000003</v>
          </cell>
          <cell r="Q65">
            <v>5472.209175</v>
          </cell>
          <cell r="R65">
            <v>5525.7670079999998</v>
          </cell>
          <cell r="S65">
            <v>5579.2717899999998</v>
          </cell>
          <cell r="T65">
            <v>5632.700135</v>
          </cell>
          <cell r="U65">
            <v>5686.0375039999999</v>
          </cell>
          <cell r="V65">
            <v>5739.0087750000002</v>
          </cell>
          <cell r="W65">
            <v>5791.6964239999998</v>
          </cell>
          <cell r="X65">
            <v>5844.1987639999998</v>
          </cell>
          <cell r="Y65">
            <v>5896.587149</v>
          </cell>
          <cell r="Z65">
            <v>5948.9155220000002</v>
          </cell>
          <cell r="AA65">
            <v>6000.4839780000002</v>
          </cell>
          <cell r="AB65">
            <v>6051.2177739999997</v>
          </cell>
          <cell r="AC65">
            <v>6101.1731710000004</v>
          </cell>
          <cell r="AD65">
            <v>6150.4306779999997</v>
          </cell>
          <cell r="AE65">
            <v>6199.0764989999998</v>
          </cell>
          <cell r="AF65">
            <v>6247.2002469999998</v>
          </cell>
          <cell r="AG65">
            <v>6294.8945960000001</v>
          </cell>
          <cell r="AH65">
            <v>6342.2543759999999</v>
          </cell>
          <cell r="AI65">
            <v>6389.3749619999999</v>
          </cell>
          <cell r="AJ65">
            <v>6436.3511189999999</v>
          </cell>
          <cell r="AK65">
            <v>6483.2758720000002</v>
          </cell>
          <cell r="AL65">
            <v>6530.0726519999998</v>
          </cell>
          <cell r="AM65">
            <v>6576.7118739999996</v>
          </cell>
          <cell r="AN65">
            <v>6623.2143409999999</v>
          </cell>
          <cell r="AO65">
            <v>6669.629363</v>
          </cell>
          <cell r="AP65">
            <v>6716.0192040000002</v>
          </cell>
          <cell r="AQ65">
            <v>6762.4505140000001</v>
          </cell>
          <cell r="AR65">
            <v>6808.9899640000003</v>
          </cell>
          <cell r="AS65">
            <v>6855.702053</v>
          </cell>
          <cell r="AT65">
            <v>6902.6480250000004</v>
          </cell>
          <cell r="AU65">
            <v>6949.885792</v>
          </cell>
          <cell r="AV65">
            <v>6997.4850749999996</v>
          </cell>
          <cell r="AW65">
            <v>7045.5100599999996</v>
          </cell>
          <cell r="AX65">
            <v>7094.0193909999998</v>
          </cell>
          <cell r="AY65">
            <v>7143.0676530000001</v>
          </cell>
          <cell r="AZ65">
            <v>7192.7061370000001</v>
          </cell>
          <cell r="BA65">
            <v>7242.9831389999999</v>
          </cell>
          <cell r="BB65">
            <v>7293.9441189999998</v>
          </cell>
          <cell r="BC65">
            <v>7345.6318869999996</v>
          </cell>
          <cell r="BD65">
            <v>7398.0868469999996</v>
          </cell>
          <cell r="BE65">
            <v>7451.3472899999997</v>
          </cell>
        </row>
        <row r="66">
          <cell r="B66">
            <v>65.170122039999995</v>
          </cell>
          <cell r="C66">
            <v>65.842868379999999</v>
          </cell>
          <cell r="D66">
            <v>66.463410049999993</v>
          </cell>
          <cell r="E66">
            <v>67.044284570000002</v>
          </cell>
          <cell r="F66">
            <v>67.596750959999994</v>
          </cell>
          <cell r="G66">
            <v>68.131279980000002</v>
          </cell>
          <cell r="H66">
            <v>68.654935969999997</v>
          </cell>
          <cell r="I66">
            <v>69.17393131</v>
          </cell>
          <cell r="J66">
            <v>69.693543320000003</v>
          </cell>
          <cell r="K66">
            <v>70.217880399999999</v>
          </cell>
          <cell r="L66">
            <v>70.753379550000005</v>
          </cell>
          <cell r="M66">
            <v>71.300664380000001</v>
          </cell>
          <cell r="N66">
            <v>71.859802400000007</v>
          </cell>
          <cell r="O66">
            <v>72.430779909999998</v>
          </cell>
          <cell r="P66">
            <v>73.0134793</v>
          </cell>
          <cell r="Q66">
            <v>73.607677519999996</v>
          </cell>
          <cell r="R66">
            <v>74.212776020000007</v>
          </cell>
          <cell r="S66">
            <v>74.828311189999994</v>
          </cell>
          <cell r="T66">
            <v>75.453956180000006</v>
          </cell>
          <cell r="U66">
            <v>76.089524449999999</v>
          </cell>
          <cell r="V66">
            <v>76.732447879999995</v>
          </cell>
          <cell r="W66">
            <v>77.383619550000006</v>
          </cell>
          <cell r="X66">
            <v>78.044034289999999</v>
          </cell>
          <cell r="Y66">
            <v>78.714546690000006</v>
          </cell>
          <cell r="Z66">
            <v>79.395968420000003</v>
          </cell>
          <cell r="AA66">
            <v>80.08192081</v>
          </cell>
          <cell r="AB66">
            <v>80.772226910000001</v>
          </cell>
          <cell r="AC66">
            <v>81.467603870000005</v>
          </cell>
          <cell r="AD66">
            <v>82.168966400000002</v>
          </cell>
          <cell r="AE66">
            <v>82.877370330000005</v>
          </cell>
          <cell r="AF66">
            <v>83.594004659999996</v>
          </cell>
          <cell r="AG66">
            <v>84.320227880000004</v>
          </cell>
          <cell r="AH66">
            <v>85.057435159999997</v>
          </cell>
          <cell r="AI66">
            <v>85.807029150000005</v>
          </cell>
          <cell r="AJ66">
            <v>86.570390540000005</v>
          </cell>
          <cell r="AK66">
            <v>87.348854230000001</v>
          </cell>
          <cell r="AL66">
            <v>88.142515099999997</v>
          </cell>
          <cell r="AM66">
            <v>88.951638489999993</v>
          </cell>
          <cell r="AN66">
            <v>89.776733519999993</v>
          </cell>
          <cell r="AO66">
            <v>90.618419930000002</v>
          </cell>
          <cell r="AP66">
            <v>91.477358100000004</v>
          </cell>
          <cell r="AQ66">
            <v>92.354300480000006</v>
          </cell>
          <cell r="AR66">
            <v>93.249949799999996</v>
          </cell>
          <cell r="AS66">
            <v>94.164962930000002</v>
          </cell>
          <cell r="AT66">
            <v>95.099948479999995</v>
          </cell>
          <cell r="AU66">
            <v>96.055466120000006</v>
          </cell>
          <cell r="AV66">
            <v>97.032459630000005</v>
          </cell>
          <cell r="AW66">
            <v>98.031648829999995</v>
          </cell>
          <cell r="AX66">
            <v>99.053587859999993</v>
          </cell>
          <cell r="AY66">
            <v>100.0987042</v>
          </cell>
          <cell r="AZ66">
            <v>101.16733189999999</v>
          </cell>
          <cell r="BA66">
            <v>102.2599034</v>
          </cell>
          <cell r="BB66">
            <v>103.37672139999999</v>
          </cell>
          <cell r="BC66">
            <v>104.5180082</v>
          </cell>
          <cell r="BD66">
            <v>105.68393020000001</v>
          </cell>
          <cell r="BE66">
            <v>106.87461879999999</v>
          </cell>
        </row>
        <row r="67">
          <cell r="B67">
            <v>65.173576229999995</v>
          </cell>
          <cell r="C67">
            <v>65.858700769999999</v>
          </cell>
          <cell r="D67">
            <v>66.501765669999997</v>
          </cell>
          <cell r="E67">
            <v>67.114975389999998</v>
          </cell>
          <cell r="F67">
            <v>67.708735009999998</v>
          </cell>
          <cell r="G67">
            <v>68.292520100000004</v>
          </cell>
          <cell r="H67">
            <v>68.872531030000005</v>
          </cell>
          <cell r="I67">
            <v>69.453908659999996</v>
          </cell>
          <cell r="J67">
            <v>70.040557640000003</v>
          </cell>
          <cell r="K67">
            <v>70.634928220000006</v>
          </cell>
          <cell r="L67">
            <v>71.242041560000004</v>
          </cell>
          <cell r="M67">
            <v>71.861500989999996</v>
          </cell>
          <cell r="N67">
            <v>72.492284949999998</v>
          </cell>
          <cell r="O67">
            <v>73.133295129999993</v>
          </cell>
          <cell r="P67">
            <v>73.783429400000003</v>
          </cell>
          <cell r="Q67">
            <v>74.441631189999995</v>
          </cell>
          <cell r="R67">
            <v>75.106929820000005</v>
          </cell>
          <cell r="S67">
            <v>75.778469020000003</v>
          </cell>
          <cell r="T67">
            <v>76.455528409999999</v>
          </cell>
          <cell r="U67">
            <v>77.137541639999995</v>
          </cell>
          <cell r="V67">
            <v>77.821526410000004</v>
          </cell>
          <cell r="W67">
            <v>78.508073949999996</v>
          </cell>
          <cell r="X67">
            <v>79.197909370000005</v>
          </cell>
          <cell r="Y67">
            <v>79.891657390000006</v>
          </cell>
          <cell r="Z67">
            <v>80.589949899999993</v>
          </cell>
          <cell r="AA67">
            <v>81.28611823</v>
          </cell>
          <cell r="AB67">
            <v>81.979781220000007</v>
          </cell>
          <cell r="AC67">
            <v>82.67155296</v>
          </cell>
          <cell r="AD67">
            <v>83.362307659999999</v>
          </cell>
          <cell r="AE67">
            <v>84.053108980000005</v>
          </cell>
          <cell r="AF67">
            <v>84.74519051</v>
          </cell>
          <cell r="AG67">
            <v>85.439918649999996</v>
          </cell>
          <cell r="AH67">
            <v>86.138747350000003</v>
          </cell>
          <cell r="AI67">
            <v>86.843172589999995</v>
          </cell>
          <cell r="AJ67">
            <v>87.554689800000006</v>
          </cell>
          <cell r="AK67">
            <v>88.274758129999995</v>
          </cell>
          <cell r="AL67">
            <v>89.003030409999994</v>
          </cell>
          <cell r="AM67">
            <v>89.739600820000007</v>
          </cell>
          <cell r="AN67">
            <v>90.484955580000005</v>
          </cell>
          <cell r="AO67">
            <v>91.239777900000007</v>
          </cell>
          <cell r="AP67">
            <v>92.004832739999998</v>
          </cell>
          <cell r="AQ67">
            <v>92.780906909999999</v>
          </cell>
          <cell r="AR67">
            <v>93.568775680000002</v>
          </cell>
          <cell r="AS67">
            <v>94.369181679999997</v>
          </cell>
          <cell r="AT67">
            <v>95.182820759999998</v>
          </cell>
          <cell r="AU67">
            <v>96.010340929999998</v>
          </cell>
          <cell r="AV67">
            <v>96.852513619999996</v>
          </cell>
          <cell r="AW67">
            <v>97.710042130000005</v>
          </cell>
          <cell r="AX67">
            <v>98.583566189999999</v>
          </cell>
          <cell r="AY67">
            <v>99.47367362</v>
          </cell>
          <cell r="AZ67">
            <v>100.3809047</v>
          </cell>
          <cell r="BA67">
            <v>101.30575469999999</v>
          </cell>
          <cell r="BB67">
            <v>102.2486773</v>
          </cell>
          <cell r="BC67">
            <v>103.2100904</v>
          </cell>
          <cell r="BD67">
            <v>104.1903829</v>
          </cell>
          <cell r="BE67">
            <v>105.1899222</v>
          </cell>
        </row>
      </sheetData>
      <sheetData sheetId="6">
        <row r="3">
          <cell r="F3">
            <v>32317.940999999999</v>
          </cell>
          <cell r="G3">
            <v>31892.65725</v>
          </cell>
          <cell r="H3">
            <v>31650.630880000001</v>
          </cell>
          <cell r="I3">
            <v>31537.939689999999</v>
          </cell>
          <cell r="J3">
            <v>31517.833879999998</v>
          </cell>
          <cell r="K3">
            <v>31566.423569999999</v>
          </cell>
          <cell r="L3">
            <v>31664.374930000002</v>
          </cell>
          <cell r="M3">
            <v>31801.46214</v>
          </cell>
          <cell r="N3">
            <v>31970.491900000001</v>
          </cell>
          <cell r="O3">
            <v>32166.052790000002</v>
          </cell>
          <cell r="P3">
            <v>32390.463889999999</v>
          </cell>
          <cell r="Q3">
            <v>32632.854859999999</v>
          </cell>
          <cell r="R3">
            <v>32889.947010000004</v>
          </cell>
          <cell r="S3">
            <v>33158.870239999997</v>
          </cell>
          <cell r="T3">
            <v>33437.200510000002</v>
          </cell>
          <cell r="U3">
            <v>33722.914929999999</v>
          </cell>
          <cell r="V3">
            <v>34014.136359999997</v>
          </cell>
          <cell r="W3">
            <v>34309.371310000002</v>
          </cell>
          <cell r="X3">
            <v>34607.387110000003</v>
          </cell>
          <cell r="Y3">
            <v>34907.141190000002</v>
          </cell>
          <cell r="Z3">
            <v>35202.949220000002</v>
          </cell>
          <cell r="AA3">
            <v>35499.22681</v>
          </cell>
          <cell r="AB3">
            <v>35795.414550000001</v>
          </cell>
          <cell r="AC3">
            <v>36091.110200000003</v>
          </cell>
          <cell r="AD3">
            <v>36385.966180000003</v>
          </cell>
          <cell r="AE3">
            <v>36666.166570000001</v>
          </cell>
          <cell r="AF3">
            <v>36939.758020000001</v>
          </cell>
          <cell r="AG3">
            <v>37207.238409999998</v>
          </cell>
          <cell r="AH3">
            <v>37469.365160000001</v>
          </cell>
          <cell r="AI3">
            <v>37726.956660000003</v>
          </cell>
          <cell r="AJ3">
            <v>37980.792029999997</v>
          </cell>
          <cell r="AK3">
            <v>38231.604740000002</v>
          </cell>
          <cell r="AL3">
            <v>38480.005689999998</v>
          </cell>
          <cell r="AM3">
            <v>38726.50546</v>
          </cell>
          <cell r="AN3">
            <v>38971.537300000004</v>
          </cell>
          <cell r="AO3">
            <v>39215.476620000001</v>
          </cell>
          <cell r="AP3">
            <v>39455.935890000001</v>
          </cell>
          <cell r="AQ3">
            <v>39693.570480000002</v>
          </cell>
          <cell r="AR3">
            <v>39928.948700000001</v>
          </cell>
          <cell r="AS3">
            <v>40162.644399999997</v>
          </cell>
          <cell r="AT3">
            <v>40395.227070000001</v>
          </cell>
          <cell r="AU3">
            <v>40627.282619999998</v>
          </cell>
          <cell r="AV3">
            <v>40859.30184</v>
          </cell>
          <cell r="AW3">
            <v>41091.687209999996</v>
          </cell>
          <cell r="AX3">
            <v>41324.761810000004</v>
          </cell>
          <cell r="AY3">
            <v>41558.778969999999</v>
          </cell>
          <cell r="AZ3">
            <v>41794.361629999999</v>
          </cell>
          <cell r="BA3">
            <v>42031.690869999999</v>
          </cell>
          <cell r="BB3">
            <v>42270.854650000001</v>
          </cell>
          <cell r="BC3">
            <v>42511.888480000001</v>
          </cell>
          <cell r="BD3">
            <v>42754.797200000001</v>
          </cell>
          <cell r="BE3">
            <v>42999.671280000002</v>
          </cell>
          <cell r="BF3">
            <v>43246.522069999999</v>
          </cell>
          <cell r="BG3">
            <v>43495.3243</v>
          </cell>
          <cell r="BH3">
            <v>43746.040609999996</v>
          </cell>
          <cell r="BI3">
            <v>43998.63089</v>
          </cell>
        </row>
        <row r="4">
          <cell r="F4">
            <v>32271.24</v>
          </cell>
          <cell r="G4">
            <v>31828.581289999998</v>
          </cell>
          <cell r="H4">
            <v>31568.499810000001</v>
          </cell>
          <cell r="I4">
            <v>31437.450919999999</v>
          </cell>
          <cell r="J4">
            <v>31398.918549999999</v>
          </cell>
          <cell r="K4">
            <v>31429.14328</v>
          </cell>
          <cell r="L4">
            <v>31508.89457</v>
          </cell>
          <cell r="M4">
            <v>31627.979480000002</v>
          </cell>
          <cell r="N4">
            <v>31779.219659999999</v>
          </cell>
          <cell r="O4">
            <v>31957.210210000001</v>
          </cell>
          <cell r="P4">
            <v>32164.209940000001</v>
          </cell>
          <cell r="Q4">
            <v>32389.416499999999</v>
          </cell>
          <cell r="R4">
            <v>32629.554660000002</v>
          </cell>
          <cell r="S4">
            <v>32881.75748</v>
          </cell>
          <cell r="T4">
            <v>33143.602559999999</v>
          </cell>
          <cell r="U4">
            <v>33413.06682</v>
          </cell>
          <cell r="V4">
            <v>33688.27317</v>
          </cell>
          <cell r="W4">
            <v>33967.725639999997</v>
          </cell>
          <cell r="X4">
            <v>34250.18722</v>
          </cell>
          <cell r="Y4">
            <v>34534.609409999997</v>
          </cell>
          <cell r="Z4">
            <v>34815.348510000003</v>
          </cell>
          <cell r="AA4">
            <v>35096.761149999998</v>
          </cell>
          <cell r="AB4">
            <v>35378.275970000002</v>
          </cell>
          <cell r="AC4">
            <v>35659.47653</v>
          </cell>
          <cell r="AD4">
            <v>35939.999860000004</v>
          </cell>
          <cell r="AE4">
            <v>36206.153050000001</v>
          </cell>
          <cell r="AF4">
            <v>36465.8851</v>
          </cell>
          <cell r="AG4">
            <v>36719.668579999998</v>
          </cell>
          <cell r="AH4">
            <v>36968.230960000001</v>
          </cell>
          <cell r="AI4">
            <v>37212.358090000002</v>
          </cell>
          <cell r="AJ4">
            <v>37452.795010000002</v>
          </cell>
          <cell r="AK4">
            <v>37690.239699999998</v>
          </cell>
          <cell r="AL4">
            <v>37925.266920000002</v>
          </cell>
          <cell r="AM4">
            <v>38158.350339999997</v>
          </cell>
          <cell r="AN4">
            <v>38389.885329999997</v>
          </cell>
          <cell r="AO4">
            <v>38620.208180000001</v>
          </cell>
          <cell r="AP4">
            <v>38846.921849999999</v>
          </cell>
          <cell r="AQ4">
            <v>39070.63667</v>
          </cell>
          <cell r="AR4">
            <v>39291.874060000002</v>
          </cell>
          <cell r="AS4">
            <v>39511.158060000002</v>
          </cell>
          <cell r="AT4">
            <v>39729.00531</v>
          </cell>
          <cell r="AU4">
            <v>39945.945319999999</v>
          </cell>
          <cell r="AV4">
            <v>40162.409979999997</v>
          </cell>
          <cell r="AW4">
            <v>40378.740100000003</v>
          </cell>
          <cell r="AX4">
            <v>40595.194069999998</v>
          </cell>
          <cell r="AY4">
            <v>40811.957060000001</v>
          </cell>
          <cell r="AZ4">
            <v>41029.573920000003</v>
          </cell>
          <cell r="BA4">
            <v>41248.148000000001</v>
          </cell>
          <cell r="BB4">
            <v>41467.68535</v>
          </cell>
          <cell r="BC4">
            <v>41688.134559999999</v>
          </cell>
          <cell r="BD4">
            <v>41909.407789999997</v>
          </cell>
          <cell r="BE4">
            <v>42131.494729999999</v>
          </cell>
          <cell r="BF4">
            <v>42354.299709999999</v>
          </cell>
          <cell r="BG4">
            <v>42577.683100000002</v>
          </cell>
          <cell r="BH4">
            <v>42801.484980000001</v>
          </cell>
          <cell r="BI4">
            <v>43025.533640000001</v>
          </cell>
        </row>
        <row r="12">
          <cell r="F12">
            <v>44.765000000000001</v>
          </cell>
          <cell r="G12">
            <v>62.087170520000001</v>
          </cell>
          <cell r="H12">
            <v>80.080340199999995</v>
          </cell>
          <cell r="I12">
            <v>98.370824130000003</v>
          </cell>
          <cell r="J12">
            <v>116.72746309999999</v>
          </cell>
          <cell r="K12">
            <v>135.0213363</v>
          </cell>
          <cell r="L12">
            <v>153.15042099999999</v>
          </cell>
          <cell r="M12">
            <v>171.0823417</v>
          </cell>
          <cell r="N12">
            <v>188.80245880000001</v>
          </cell>
          <cell r="O12">
            <v>206.30444220000001</v>
          </cell>
          <cell r="P12">
            <v>223.64811589999999</v>
          </cell>
          <cell r="Q12">
            <v>240.76619740000001</v>
          </cell>
          <cell r="R12">
            <v>257.65526690000002</v>
          </cell>
          <cell r="S12">
            <v>274.31222450000001</v>
          </cell>
          <cell r="T12">
            <v>290.7354795</v>
          </cell>
          <cell r="U12">
            <v>306.92521360000001</v>
          </cell>
          <cell r="V12">
            <v>322.88140650000003</v>
          </cell>
          <cell r="W12">
            <v>338.60652299999998</v>
          </cell>
          <cell r="X12">
            <v>354.1048874</v>
          </cell>
          <cell r="Y12">
            <v>369.38240000000002</v>
          </cell>
          <cell r="Z12">
            <v>384.39880399999998</v>
          </cell>
          <cell r="AA12">
            <v>399.21260799999999</v>
          </cell>
          <cell r="AB12">
            <v>413.83574720000001</v>
          </cell>
          <cell r="AC12">
            <v>428.28234129999998</v>
          </cell>
          <cell r="AD12">
            <v>442.56774419999999</v>
          </cell>
          <cell r="AE12">
            <v>456.57002180000001</v>
          </cell>
          <cell r="AF12">
            <v>470.38610829999999</v>
          </cell>
          <cell r="AG12">
            <v>484.04121900000001</v>
          </cell>
          <cell r="AH12">
            <v>497.56518369999998</v>
          </cell>
          <cell r="AI12">
            <v>510.9904219</v>
          </cell>
          <cell r="AJ12">
            <v>524.35088470000005</v>
          </cell>
          <cell r="AK12">
            <v>537.68198259999997</v>
          </cell>
          <cell r="AL12">
            <v>551.01975070000003</v>
          </cell>
          <cell r="AM12">
            <v>564.40100600000005</v>
          </cell>
          <cell r="AN12">
            <v>577.86356560000002</v>
          </cell>
          <cell r="AO12">
            <v>591.44648229999996</v>
          </cell>
          <cell r="AP12">
            <v>605.15940890000002</v>
          </cell>
          <cell r="AQ12">
            <v>619.04732630000001</v>
          </cell>
          <cell r="AR12">
            <v>633.15703440000004</v>
          </cell>
          <cell r="AS12">
            <v>647.53828009999995</v>
          </cell>
          <cell r="AT12">
            <v>662.24383279999995</v>
          </cell>
          <cell r="AU12">
            <v>677.33002810000005</v>
          </cell>
          <cell r="AV12">
            <v>692.85570749999999</v>
          </cell>
          <cell r="AW12">
            <v>708.88246530000004</v>
          </cell>
          <cell r="AX12">
            <v>725.47496660000002</v>
          </cell>
          <cell r="AY12">
            <v>742.70131690000005</v>
          </cell>
          <cell r="AZ12">
            <v>760.63955539999995</v>
          </cell>
          <cell r="BA12">
            <v>779.36736689999998</v>
          </cell>
          <cell r="BB12">
            <v>798.96664499999997</v>
          </cell>
          <cell r="BC12">
            <v>819.52431279999996</v>
          </cell>
          <cell r="BD12">
            <v>841.13301739999997</v>
          </cell>
          <cell r="BE12">
            <v>863.8935219</v>
          </cell>
          <cell r="BF12">
            <v>887.91285740000001</v>
          </cell>
          <cell r="BG12">
            <v>913.30536570000004</v>
          </cell>
          <cell r="BH12">
            <v>940.19362000000001</v>
          </cell>
          <cell r="BI12">
            <v>968.70921020000003</v>
          </cell>
        </row>
        <row r="20">
          <cell r="F20">
            <v>1.9359999999999999</v>
          </cell>
          <cell r="G20">
            <v>1.98879538</v>
          </cell>
          <cell r="H20">
            <v>2.050735521</v>
          </cell>
          <cell r="I20">
            <v>2.117944193</v>
          </cell>
          <cell r="J20">
            <v>2.1878679540000001</v>
          </cell>
          <cell r="K20">
            <v>2.258945915</v>
          </cell>
          <cell r="L20">
            <v>2.3299398820000001</v>
          </cell>
          <cell r="M20">
            <v>2.4003225819999998</v>
          </cell>
          <cell r="N20">
            <v>2.469786316</v>
          </cell>
          <cell r="O20">
            <v>2.5381446730000001</v>
          </cell>
          <cell r="P20">
            <v>2.6058313929999999</v>
          </cell>
          <cell r="Q20">
            <v>2.6721705939999998</v>
          </cell>
          <cell r="R20">
            <v>2.737090373</v>
          </cell>
          <cell r="S20">
            <v>2.8005362109999998</v>
          </cell>
          <cell r="T20">
            <v>2.8624755959999999</v>
          </cell>
          <cell r="U20">
            <v>2.9228957609999999</v>
          </cell>
          <cell r="V20">
            <v>2.9817837730000001</v>
          </cell>
          <cell r="W20">
            <v>3.0391472560000001</v>
          </cell>
          <cell r="X20">
            <v>3.0950053280000001</v>
          </cell>
          <cell r="Y20">
            <v>3.149383668</v>
          </cell>
          <cell r="Z20">
            <v>3.2019134419999999</v>
          </cell>
          <cell r="AA20">
            <v>3.2530521120000002</v>
          </cell>
          <cell r="AB20">
            <v>3.302843025</v>
          </cell>
          <cell r="AC20">
            <v>3.351336098</v>
          </cell>
          <cell r="AD20">
            <v>3.3985798979999999</v>
          </cell>
          <cell r="AE20">
            <v>3.443497722</v>
          </cell>
          <cell r="AF20">
            <v>3.4868087970000001</v>
          </cell>
          <cell r="AG20">
            <v>3.528611266</v>
          </cell>
          <cell r="AH20">
            <v>3.569021642</v>
          </cell>
          <cell r="AI20">
            <v>3.608158816</v>
          </cell>
          <cell r="AJ20">
            <v>3.6461359579999999</v>
          </cell>
          <cell r="AK20">
            <v>3.6830600819999999</v>
          </cell>
          <cell r="AL20">
            <v>3.7190257249999998</v>
          </cell>
          <cell r="AM20">
            <v>3.7541167799999999</v>
          </cell>
          <cell r="AN20">
            <v>3.7884084169999999</v>
          </cell>
          <cell r="AO20">
            <v>3.8219687269999998</v>
          </cell>
          <cell r="AP20">
            <v>3.8546341169999998</v>
          </cell>
          <cell r="AQ20">
            <v>3.8864881969999998</v>
          </cell>
          <cell r="AR20">
            <v>3.9176058729999998</v>
          </cell>
          <cell r="AS20">
            <v>3.948060999</v>
          </cell>
          <cell r="AT20">
            <v>3.9779256159999998</v>
          </cell>
          <cell r="AU20">
            <v>4.0072717219999996</v>
          </cell>
          <cell r="AV20">
            <v>4.0361620760000001</v>
          </cell>
          <cell r="AW20">
            <v>4.0646506880000004</v>
          </cell>
          <cell r="AX20">
            <v>4.0927834939999999</v>
          </cell>
          <cell r="AY20">
            <v>4.1205990979999996</v>
          </cell>
          <cell r="AZ20">
            <v>4.1481651189999997</v>
          </cell>
          <cell r="BA20">
            <v>4.1755114200000003</v>
          </cell>
          <cell r="BB20">
            <v>4.2026585020000002</v>
          </cell>
          <cell r="BC20">
            <v>4.2296207920000004</v>
          </cell>
          <cell r="BD20">
            <v>4.2564084229999999</v>
          </cell>
          <cell r="BE20">
            <v>4.2830368339999998</v>
          </cell>
          <cell r="BF20">
            <v>4.3095132549999997</v>
          </cell>
          <cell r="BG20">
            <v>4.3358401530000004</v>
          </cell>
          <cell r="BH20">
            <v>4.3620172180000001</v>
          </cell>
          <cell r="BI20">
            <v>4.3880421250000001</v>
          </cell>
        </row>
        <row r="28">
          <cell r="F28">
            <v>32317.940999999999</v>
          </cell>
          <cell r="G28">
            <v>31897.938829999999</v>
          </cell>
          <cell r="H28">
            <v>31666.651450000001</v>
          </cell>
          <cell r="I28">
            <v>31569.618539999999</v>
          </cell>
          <cell r="J28">
            <v>31569.42584</v>
          </cell>
          <cell r="K28">
            <v>31641.478179999998</v>
          </cell>
          <cell r="L28">
            <v>31765.79724</v>
          </cell>
          <cell r="M28">
            <v>31931.519540000001</v>
          </cell>
          <cell r="N28">
            <v>32130.85886</v>
          </cell>
          <cell r="O28">
            <v>32357.870459999998</v>
          </cell>
          <cell r="P28">
            <v>32614.428929999998</v>
          </cell>
          <cell r="Q28">
            <v>32889.422270000003</v>
          </cell>
          <cell r="R28">
            <v>33179.262999999999</v>
          </cell>
          <cell r="S28">
            <v>33480.764210000001</v>
          </cell>
          <cell r="T28">
            <v>33791.20779</v>
          </cell>
          <cell r="U28">
            <v>34108.311079999999</v>
          </cell>
          <cell r="V28">
            <v>34430.162790000002</v>
          </cell>
          <cell r="W28">
            <v>34755.157619999998</v>
          </cell>
          <cell r="X28">
            <v>35081.941579999999</v>
          </cell>
          <cell r="Y28">
            <v>35409.371590000002</v>
          </cell>
          <cell r="Z28">
            <v>35731.651120000002</v>
          </cell>
          <cell r="AA28">
            <v>36053.167399999998</v>
          </cell>
          <cell r="AB28">
            <v>36373.36838</v>
          </cell>
          <cell r="AC28">
            <v>36691.884910000001</v>
          </cell>
          <cell r="AD28">
            <v>37008.42211</v>
          </cell>
          <cell r="AE28">
            <v>37309.098899999997</v>
          </cell>
          <cell r="AF28">
            <v>37601.9427</v>
          </cell>
          <cell r="AG28">
            <v>37887.529390000003</v>
          </cell>
          <cell r="AH28">
            <v>38166.734429999997</v>
          </cell>
          <cell r="AI28">
            <v>38440.50561</v>
          </cell>
          <cell r="AJ28">
            <v>38709.750690000001</v>
          </cell>
          <cell r="AK28">
            <v>38975.286999999997</v>
          </cell>
          <cell r="AL28">
            <v>39237.827810000003</v>
          </cell>
          <cell r="AM28">
            <v>39497.988640000003</v>
          </cell>
          <cell r="AN28">
            <v>39756.302250000001</v>
          </cell>
          <cell r="AO28">
            <v>40013.235200000003</v>
          </cell>
          <cell r="AP28">
            <v>40266.112139999997</v>
          </cell>
          <cell r="AQ28">
            <v>40515.530469999998</v>
          </cell>
          <cell r="AR28">
            <v>40762.110589999997</v>
          </cell>
          <cell r="AS28">
            <v>41006.519719999997</v>
          </cell>
          <cell r="AT28">
            <v>41249.434220000003</v>
          </cell>
          <cell r="AU28">
            <v>41491.496619999998</v>
          </cell>
          <cell r="AV28">
            <v>41733.284740000003</v>
          </cell>
          <cell r="AW28">
            <v>41975.295760000001</v>
          </cell>
          <cell r="AX28">
            <v>42217.943030000002</v>
          </cell>
          <cell r="AY28">
            <v>42461.561249999999</v>
          </cell>
          <cell r="AZ28">
            <v>42706.678099999997</v>
          </cell>
          <cell r="BA28">
            <v>42953.482920000002</v>
          </cell>
          <cell r="BB28">
            <v>43202.114459999997</v>
          </cell>
          <cell r="BC28">
            <v>43452.669130000002</v>
          </cell>
          <cell r="BD28">
            <v>43705.21256</v>
          </cell>
          <cell r="BE28">
            <v>43959.789629999999</v>
          </cell>
          <cell r="BF28">
            <v>44216.431909999999</v>
          </cell>
          <cell r="BG28">
            <v>44475.162519999998</v>
          </cell>
          <cell r="BH28">
            <v>44735.99901</v>
          </cell>
          <cell r="BI28">
            <v>44998.954839999999</v>
          </cell>
        </row>
        <row r="29">
          <cell r="F29">
            <v>32271.24</v>
          </cell>
          <cell r="G29">
            <v>31833.810700000002</v>
          </cell>
          <cell r="H29">
            <v>31584.359960000002</v>
          </cell>
          <cell r="I29">
            <v>31468.80747</v>
          </cell>
          <cell r="J29">
            <v>31449.977060000001</v>
          </cell>
          <cell r="K29">
            <v>31503.4094</v>
          </cell>
          <cell r="L29">
            <v>31609.234810000002</v>
          </cell>
          <cell r="M29">
            <v>31756.628499999999</v>
          </cell>
          <cell r="N29">
            <v>31937.825000000001</v>
          </cell>
          <cell r="O29">
            <v>32146.89169</v>
          </cell>
          <cell r="P29">
            <v>32385.64774</v>
          </cell>
          <cell r="Q29">
            <v>32643.052179999999</v>
          </cell>
          <cell r="R29">
            <v>32915.5245</v>
          </cell>
          <cell r="S29">
            <v>33199.88437</v>
          </cell>
          <cell r="T29">
            <v>33493.418489999996</v>
          </cell>
          <cell r="U29">
            <v>33793.846680000002</v>
          </cell>
          <cell r="V29">
            <v>34099.257989999998</v>
          </cell>
          <cell r="W29">
            <v>34408.045279999998</v>
          </cell>
          <cell r="X29">
            <v>34718.85067</v>
          </cell>
          <cell r="Y29">
            <v>35030.525179999997</v>
          </cell>
          <cell r="Z29">
            <v>35337.312810000003</v>
          </cell>
          <cell r="AA29">
            <v>35643.540569999997</v>
          </cell>
          <cell r="AB29">
            <v>35948.642520000001</v>
          </cell>
          <cell r="AC29">
            <v>36252.232790000002</v>
          </cell>
          <cell r="AD29">
            <v>36553.99798</v>
          </cell>
          <cell r="AE29">
            <v>36840.178110000001</v>
          </cell>
          <cell r="AF29">
            <v>37118.699930000002</v>
          </cell>
          <cell r="AG29">
            <v>37390.109909999999</v>
          </cell>
          <cell r="AH29">
            <v>37655.248699999996</v>
          </cell>
          <cell r="AI29">
            <v>37915.026089999999</v>
          </cell>
          <cell r="AJ29">
            <v>38170.309860000001</v>
          </cell>
          <cell r="AK29">
            <v>38421.875939999998</v>
          </cell>
          <cell r="AL29">
            <v>38670.394939999998</v>
          </cell>
          <cell r="AM29">
            <v>38916.438419999999</v>
          </cell>
          <cell r="AN29">
            <v>39160.493719999999</v>
          </cell>
          <cell r="AO29">
            <v>39402.980309999999</v>
          </cell>
          <cell r="AP29">
            <v>39641.209920000001</v>
          </cell>
          <cell r="AQ29">
            <v>39875.728539999996</v>
          </cell>
          <cell r="AR29">
            <v>40107.101569999999</v>
          </cell>
          <cell r="AS29">
            <v>40335.937180000001</v>
          </cell>
          <cell r="AT29">
            <v>40562.84863</v>
          </cell>
          <cell r="AU29">
            <v>40788.411549999997</v>
          </cell>
          <cell r="AV29">
            <v>41013.13308</v>
          </cell>
          <cell r="AW29">
            <v>41237.435899999997</v>
          </cell>
          <cell r="AX29">
            <v>41461.654739999998</v>
          </cell>
          <cell r="AY29">
            <v>41686.041250000002</v>
          </cell>
          <cell r="AZ29">
            <v>41911.031260000003</v>
          </cell>
          <cell r="BA29">
            <v>42136.720540000002</v>
          </cell>
          <cell r="BB29">
            <v>42363.148289999997</v>
          </cell>
          <cell r="BC29">
            <v>42590.304810000001</v>
          </cell>
          <cell r="BD29">
            <v>42818.142330000002</v>
          </cell>
          <cell r="BE29">
            <v>43046.584360000001</v>
          </cell>
          <cell r="BF29">
            <v>43275.532310000002</v>
          </cell>
          <cell r="BG29">
            <v>43504.869610000002</v>
          </cell>
          <cell r="BH29">
            <v>43734.46372</v>
          </cell>
          <cell r="BI29">
            <v>43964.166839999998</v>
          </cell>
        </row>
        <row r="37">
          <cell r="F37">
            <v>44.765000000000001</v>
          </cell>
          <cell r="G37">
            <v>62.138891620000003</v>
          </cell>
          <cell r="H37">
            <v>80.239419889999994</v>
          </cell>
          <cell r="I37">
            <v>98.69046573</v>
          </cell>
          <cell r="J37">
            <v>117.2565567</v>
          </cell>
          <cell r="K37">
            <v>135.80346929999999</v>
          </cell>
          <cell r="L37">
            <v>154.22384930000001</v>
          </cell>
          <cell r="M37">
            <v>172.4795866</v>
          </cell>
          <cell r="N37">
            <v>190.55027509999999</v>
          </cell>
          <cell r="O37">
            <v>208.42404629999999</v>
          </cell>
          <cell r="P37">
            <v>226.1559082</v>
          </cell>
          <cell r="Q37">
            <v>243.67552910000001</v>
          </cell>
          <cell r="R37">
            <v>260.9760488</v>
          </cell>
          <cell r="S37">
            <v>278.05094400000002</v>
          </cell>
          <cell r="T37">
            <v>294.89550739999999</v>
          </cell>
          <cell r="U37">
            <v>311.50724439999999</v>
          </cell>
          <cell r="V37">
            <v>327.88587369999999</v>
          </cell>
          <cell r="W37">
            <v>344.03322709999998</v>
          </cell>
          <cell r="X37">
            <v>359.9531743</v>
          </cell>
          <cell r="Y37">
            <v>375.65161289999998</v>
          </cell>
          <cell r="Z37">
            <v>391.08838960000003</v>
          </cell>
          <cell r="AA37">
            <v>406.3232749</v>
          </cell>
          <cell r="AB37">
            <v>421.3701208</v>
          </cell>
          <cell r="AC37">
            <v>436.24558580000001</v>
          </cell>
          <cell r="AD37">
            <v>450.96814089999998</v>
          </cell>
          <cell r="AE37">
            <v>465.417776</v>
          </cell>
          <cell r="AF37">
            <v>479.69443699999999</v>
          </cell>
          <cell r="AG37">
            <v>493.82743290000002</v>
          </cell>
          <cell r="AH37">
            <v>507.8514697</v>
          </cell>
          <cell r="AI37">
            <v>521.80439939999997</v>
          </cell>
          <cell r="AJ37">
            <v>535.72607170000003</v>
          </cell>
          <cell r="AK37">
            <v>549.65778399999999</v>
          </cell>
          <cell r="AL37">
            <v>563.64209840000001</v>
          </cell>
          <cell r="AM37">
            <v>577.72288040000001</v>
          </cell>
          <cell r="AN37">
            <v>591.94546490000005</v>
          </cell>
          <cell r="AO37">
            <v>606.35688600000003</v>
          </cell>
          <cell r="AP37">
            <v>620.97020220000002</v>
          </cell>
          <cell r="AQ37">
            <v>635.83680549999997</v>
          </cell>
          <cell r="AR37">
            <v>651.01157390000003</v>
          </cell>
          <cell r="AS37">
            <v>666.55349720000004</v>
          </cell>
          <cell r="AT37">
            <v>682.52558439999996</v>
          </cell>
          <cell r="AU37">
            <v>698.99467579999998</v>
          </cell>
          <cell r="AV37">
            <v>716.03136910000001</v>
          </cell>
          <cell r="AW37">
            <v>733.71011229999999</v>
          </cell>
          <cell r="AX37">
            <v>752.10945470000001</v>
          </cell>
          <cell r="AY37">
            <v>771.31242650000002</v>
          </cell>
          <cell r="AZ37">
            <v>791.41079990000003</v>
          </cell>
          <cell r="BA37">
            <v>812.49812110000005</v>
          </cell>
          <cell r="BB37">
            <v>834.67392089999998</v>
          </cell>
          <cell r="BC37">
            <v>858.04429909999999</v>
          </cell>
          <cell r="BD37">
            <v>882.72262049999995</v>
          </cell>
          <cell r="BE37">
            <v>908.83025680000003</v>
          </cell>
          <cell r="BF37">
            <v>936.49735320000002</v>
          </cell>
          <cell r="BG37">
            <v>965.86361380000005</v>
          </cell>
          <cell r="BH37">
            <v>997.07910890000005</v>
          </cell>
          <cell r="BI37">
            <v>1030.30511</v>
          </cell>
        </row>
        <row r="45">
          <cell r="F45">
            <v>1.9359999999999999</v>
          </cell>
          <cell r="G45">
            <v>1.9892347079999999</v>
          </cell>
          <cell r="H45">
            <v>2.0520746779999999</v>
          </cell>
          <cell r="I45">
            <v>2.1206052120000001</v>
          </cell>
          <cell r="J45">
            <v>2.1922228439999998</v>
          </cell>
          <cell r="K45">
            <v>2.2653121299999999</v>
          </cell>
          <cell r="L45">
            <v>2.3385842600000002</v>
          </cell>
          <cell r="M45">
            <v>2.4114609420000002</v>
          </cell>
          <cell r="N45">
            <v>2.4835862729999998</v>
          </cell>
          <cell r="O45">
            <v>2.5547298029999999</v>
          </cell>
          <cell r="P45">
            <v>2.6252879359999999</v>
          </cell>
          <cell r="Q45">
            <v>2.694563799</v>
          </cell>
          <cell r="R45">
            <v>2.7624586529999999</v>
          </cell>
          <cell r="S45">
            <v>2.8288901389999999</v>
          </cell>
          <cell r="T45">
            <v>2.893799488</v>
          </cell>
          <cell r="U45">
            <v>2.9571502550000002</v>
          </cell>
          <cell r="V45">
            <v>3.0189243800000001</v>
          </cell>
          <cell r="W45">
            <v>3.0791179660000001</v>
          </cell>
          <cell r="X45">
            <v>3.1377377919999998</v>
          </cell>
          <cell r="Y45">
            <v>3.194798885</v>
          </cell>
          <cell r="Z45">
            <v>3.249920779</v>
          </cell>
          <cell r="AA45">
            <v>3.3035562430000001</v>
          </cell>
          <cell r="AB45">
            <v>3.3557469709999999</v>
          </cell>
          <cell r="AC45">
            <v>3.4065434830000001</v>
          </cell>
          <cell r="AD45">
            <v>3.4559967060000001</v>
          </cell>
          <cell r="AE45">
            <v>3.5030226710000001</v>
          </cell>
          <cell r="AF45">
            <v>3.5483371269999999</v>
          </cell>
          <cell r="AG45">
            <v>3.5920428819999999</v>
          </cell>
          <cell r="AH45">
            <v>3.634264607</v>
          </cell>
          <cell r="AI45">
            <v>3.6751304889999998</v>
          </cell>
          <cell r="AJ45">
            <v>3.714763118</v>
          </cell>
          <cell r="AK45">
            <v>3.7532753790000002</v>
          </cell>
          <cell r="AL45">
            <v>3.7907693299999998</v>
          </cell>
          <cell r="AM45">
            <v>3.8273367110000001</v>
          </cell>
          <cell r="AN45">
            <v>3.8630601900000001</v>
          </cell>
          <cell r="AO45">
            <v>3.8980147519999999</v>
          </cell>
          <cell r="AP45">
            <v>3.9320123549999999</v>
          </cell>
          <cell r="AQ45">
            <v>3.9651308460000001</v>
          </cell>
          <cell r="AR45">
            <v>3.9974484079999999</v>
          </cell>
          <cell r="AS45">
            <v>4.0290456260000003</v>
          </cell>
          <cell r="AT45">
            <v>4.0600024540000001</v>
          </cell>
          <cell r="AU45">
            <v>4.0903946949999996</v>
          </cell>
          <cell r="AV45">
            <v>4.1202914249999996</v>
          </cell>
          <cell r="AW45">
            <v>4.1497536220000004</v>
          </cell>
          <cell r="AX45">
            <v>4.1788338290000002</v>
          </cell>
          <cell r="AY45">
            <v>4.2075765110000001</v>
          </cell>
          <cell r="AZ45">
            <v>4.2360404750000002</v>
          </cell>
          <cell r="BA45">
            <v>4.2642551319999997</v>
          </cell>
          <cell r="BB45">
            <v>4.2922439280000004</v>
          </cell>
          <cell r="BC45">
            <v>4.3200249929999996</v>
          </cell>
          <cell r="BD45">
            <v>4.3476120619999996</v>
          </cell>
          <cell r="BE45">
            <v>4.3750152849999999</v>
          </cell>
          <cell r="BF45">
            <v>4.4022418229999998</v>
          </cell>
          <cell r="BG45">
            <v>4.4292962320000004</v>
          </cell>
          <cell r="BH45">
            <v>4.4561806820000003</v>
          </cell>
          <cell r="BI45">
            <v>4.4828950570000003</v>
          </cell>
        </row>
        <row r="104">
          <cell r="F104">
            <v>3.476542051</v>
          </cell>
          <cell r="G104">
            <v>6.2772806750000001</v>
          </cell>
          <cell r="H104">
            <v>11.80238196</v>
          </cell>
          <cell r="I104">
            <v>17.890060200000001</v>
          </cell>
          <cell r="J104">
            <v>23.845427480000001</v>
          </cell>
          <cell r="K104">
            <v>29.27281773</v>
          </cell>
          <cell r="L104">
            <v>33.186749450000001</v>
          </cell>
          <cell r="M104">
            <v>38.16050319</v>
          </cell>
          <cell r="N104">
            <v>43.806886210000002</v>
          </cell>
          <cell r="O104">
            <v>49.795081000000003</v>
          </cell>
          <cell r="P104">
            <v>55.992995299999997</v>
          </cell>
          <cell r="Q104">
            <v>62.237648290000003</v>
          </cell>
          <cell r="R104">
            <v>68.528272680000001</v>
          </cell>
          <cell r="S104">
            <v>74.842592679999996</v>
          </cell>
          <cell r="T104">
            <v>81.168009490000003</v>
          </cell>
          <cell r="U104">
            <v>87.497199379999998</v>
          </cell>
          <cell r="V104">
            <v>93.826115549999997</v>
          </cell>
          <cell r="W104">
            <v>100.152895</v>
          </cell>
          <cell r="X104">
            <v>106.4756526</v>
          </cell>
          <cell r="Y104">
            <v>112.79271919999999</v>
          </cell>
          <cell r="Z104">
            <v>119.0761621</v>
          </cell>
          <cell r="AA104">
            <v>125.37737629999999</v>
          </cell>
          <cell r="AB104">
            <v>131.6687019</v>
          </cell>
          <cell r="AC104">
            <v>137.94884740000001</v>
          </cell>
          <cell r="AD104">
            <v>144.21651069999999</v>
          </cell>
          <cell r="AE104">
            <v>150.39821040000001</v>
          </cell>
          <cell r="AF104">
            <v>156.60278400000001</v>
          </cell>
          <cell r="AG104">
            <v>162.79056750000001</v>
          </cell>
          <cell r="AH104">
            <v>168.96027950000001</v>
          </cell>
          <cell r="AI104">
            <v>175.110716</v>
          </cell>
          <cell r="AJ104">
            <v>181.2407704</v>
          </cell>
          <cell r="AK104">
            <v>187.34945339999999</v>
          </cell>
          <cell r="AL104">
            <v>193.43588439999999</v>
          </cell>
          <cell r="AM104">
            <v>199.49940720000001</v>
          </cell>
          <cell r="AN104">
            <v>205.53955060000001</v>
          </cell>
          <cell r="AO104">
            <v>211.5560002</v>
          </cell>
          <cell r="AP104">
            <v>217.53299319999999</v>
          </cell>
          <cell r="AQ104">
            <v>223.485274</v>
          </cell>
          <cell r="AR104">
            <v>229.4127143</v>
          </cell>
          <cell r="AS104">
            <v>235.3153902</v>
          </cell>
          <cell r="AT104">
            <v>241.1934569</v>
          </cell>
          <cell r="AU104">
            <v>247.0470722</v>
          </cell>
          <cell r="AV104">
            <v>252.87635169999999</v>
          </cell>
          <cell r="AW104">
            <v>258.6814784</v>
          </cell>
          <cell r="AX104">
            <v>264.46266680000002</v>
          </cell>
          <cell r="AY104">
            <v>270.22014410000003</v>
          </cell>
          <cell r="AZ104">
            <v>275.9552928</v>
          </cell>
          <cell r="BA104">
            <v>281.66683460000002</v>
          </cell>
          <cell r="BB104">
            <v>287.35490729999998</v>
          </cell>
          <cell r="BC104">
            <v>293.01972430000001</v>
          </cell>
          <cell r="BD104">
            <v>298.66152419999997</v>
          </cell>
          <cell r="BE104">
            <v>304.28049490000001</v>
          </cell>
          <cell r="BF104">
            <v>309.87670919999999</v>
          </cell>
          <cell r="BG104">
            <v>315.45033569999998</v>
          </cell>
          <cell r="BH104">
            <v>321.00157619999999</v>
          </cell>
          <cell r="BI104">
            <v>326.53063600000002</v>
          </cell>
        </row>
        <row r="105">
          <cell r="F105">
            <v>68.80476281</v>
          </cell>
          <cell r="G105">
            <v>76.373641719999995</v>
          </cell>
          <cell r="H105">
            <v>82.196093480000002</v>
          </cell>
          <cell r="I105">
            <v>87.058392029999993</v>
          </cell>
          <cell r="J105">
            <v>91.604372229999996</v>
          </cell>
          <cell r="K105">
            <v>96.247249359999998</v>
          </cell>
          <cell r="L105">
            <v>101.1416002</v>
          </cell>
          <cell r="M105">
            <v>105.30223650000001</v>
          </cell>
          <cell r="N105">
            <v>108.91258740000001</v>
          </cell>
          <cell r="O105">
            <v>112.19876379999999</v>
          </cell>
          <cell r="P105">
            <v>116.3386134</v>
          </cell>
          <cell r="Q105">
            <v>119.3375441</v>
          </cell>
          <cell r="R105">
            <v>122.2736031</v>
          </cell>
          <cell r="S105">
            <v>125.17213649999999</v>
          </cell>
          <cell r="T105">
            <v>128.04817199999999</v>
          </cell>
          <cell r="U105">
            <v>130.91075570000001</v>
          </cell>
          <cell r="V105">
            <v>133.76521990000001</v>
          </cell>
          <cell r="W105">
            <v>136.61441160000001</v>
          </cell>
          <cell r="X105">
            <v>139.46043800000001</v>
          </cell>
          <cell r="Y105">
            <v>142.30478009999999</v>
          </cell>
          <cell r="Z105">
            <v>144.4614134</v>
          </cell>
          <cell r="AA105">
            <v>147.30311549999999</v>
          </cell>
          <cell r="AB105">
            <v>150.14535799999999</v>
          </cell>
          <cell r="AC105">
            <v>152.98828779999999</v>
          </cell>
          <cell r="AD105">
            <v>155.83190540000001</v>
          </cell>
          <cell r="AE105">
            <v>156.80074089999999</v>
          </cell>
          <cell r="AF105">
            <v>158.75954469999999</v>
          </cell>
          <cell r="AG105">
            <v>160.7152183</v>
          </cell>
          <cell r="AH105">
            <v>162.6678933</v>
          </cell>
          <cell r="AI105">
            <v>164.61756639999999</v>
          </cell>
          <cell r="AJ105">
            <v>166.56418049999999</v>
          </cell>
          <cell r="AK105">
            <v>168.50768830000001</v>
          </cell>
          <cell r="AL105">
            <v>170.4481231</v>
          </cell>
          <cell r="AM105">
            <v>172.38549459999999</v>
          </cell>
          <cell r="AN105">
            <v>174.31983930000001</v>
          </cell>
          <cell r="AO105">
            <v>176.251237</v>
          </cell>
          <cell r="AP105">
            <v>177.7796994</v>
          </cell>
          <cell r="AQ105">
            <v>179.30492340000001</v>
          </cell>
          <cell r="AR105">
            <v>180.82724099999999</v>
          </cell>
          <cell r="AS105">
            <v>182.34681140000001</v>
          </cell>
          <cell r="AT105">
            <v>183.8637377</v>
          </cell>
          <cell r="AU105">
            <v>185.3781353</v>
          </cell>
          <cell r="AV105">
            <v>186.8901797</v>
          </cell>
          <cell r="AW105">
            <v>188.3999853</v>
          </cell>
          <cell r="AX105">
            <v>189.90764419999999</v>
          </cell>
          <cell r="AY105">
            <v>191.413242</v>
          </cell>
          <cell r="AZ105">
            <v>192.9491945</v>
          </cell>
          <cell r="BA105">
            <v>194.48365469999999</v>
          </cell>
          <cell r="BB105">
            <v>196.01674919999999</v>
          </cell>
          <cell r="BC105">
            <v>197.5485272</v>
          </cell>
          <cell r="BD105">
            <v>199.0790135</v>
          </cell>
          <cell r="BE105">
            <v>200.60826929999999</v>
          </cell>
          <cell r="BF105">
            <v>202.1364576</v>
          </cell>
          <cell r="BG105">
            <v>203.66363440000001</v>
          </cell>
          <cell r="BH105">
            <v>205.18981389999999</v>
          </cell>
          <cell r="BI105">
            <v>206.71499739999999</v>
          </cell>
        </row>
        <row r="106">
          <cell r="F106">
            <v>408.28039699999999</v>
          </cell>
          <cell r="G106">
            <v>424.40206000000001</v>
          </cell>
          <cell r="H106">
            <v>438.4699506</v>
          </cell>
          <cell r="I106">
            <v>450.91325569999998</v>
          </cell>
          <cell r="J106">
            <v>462.85212080000002</v>
          </cell>
          <cell r="K106">
            <v>475.07029890000001</v>
          </cell>
          <cell r="L106">
            <v>487.26280120000001</v>
          </cell>
          <cell r="M106">
            <v>498.01896149999999</v>
          </cell>
          <cell r="N106">
            <v>507.61299380000003</v>
          </cell>
          <cell r="O106">
            <v>516.51537729999995</v>
          </cell>
          <cell r="P106">
            <v>527.93913220000002</v>
          </cell>
          <cell r="Q106">
            <v>536.23189879999995</v>
          </cell>
          <cell r="R106">
            <v>544.39093390000005</v>
          </cell>
          <cell r="S106">
            <v>552.47067760000004</v>
          </cell>
          <cell r="T106">
            <v>560.50370889999999</v>
          </cell>
          <cell r="U106">
            <v>568.50984960000005</v>
          </cell>
          <cell r="V106">
            <v>576.50088170000004</v>
          </cell>
          <cell r="W106">
            <v>584.4830528</v>
          </cell>
          <cell r="X106">
            <v>592.46103819999996</v>
          </cell>
          <cell r="Y106">
            <v>600.43811219999998</v>
          </cell>
          <cell r="Z106">
            <v>606.48747189999995</v>
          </cell>
          <cell r="AA106">
            <v>614.46268650000002</v>
          </cell>
          <cell r="AB106">
            <v>622.44168420000005</v>
          </cell>
          <cell r="AC106">
            <v>630.42459329999997</v>
          </cell>
          <cell r="AD106">
            <v>638.41119300000003</v>
          </cell>
          <cell r="AE106">
            <v>641.13552019999997</v>
          </cell>
          <cell r="AF106">
            <v>646.63993970000001</v>
          </cell>
          <cell r="AG106">
            <v>652.13621269999999</v>
          </cell>
          <cell r="AH106">
            <v>657.62450060000003</v>
          </cell>
          <cell r="AI106">
            <v>663.10464460000003</v>
          </cell>
          <cell r="AJ106">
            <v>668.57637550000004</v>
          </cell>
          <cell r="AK106">
            <v>674.03948160000004</v>
          </cell>
          <cell r="AL106">
            <v>679.49398399999995</v>
          </cell>
          <cell r="AM106">
            <v>684.93987519999996</v>
          </cell>
          <cell r="AN106">
            <v>690.37724019999996</v>
          </cell>
          <cell r="AO106">
            <v>695.80629320000003</v>
          </cell>
          <cell r="AP106">
            <v>700.10391049999998</v>
          </cell>
          <cell r="AQ106">
            <v>704.39194950000001</v>
          </cell>
          <cell r="AR106">
            <v>708.67126819999999</v>
          </cell>
          <cell r="AS106">
            <v>712.94229940000002</v>
          </cell>
          <cell r="AT106">
            <v>717.20533969999997</v>
          </cell>
          <cell r="AU106">
            <v>721.46071500000005</v>
          </cell>
          <cell r="AV106">
            <v>725.70890050000003</v>
          </cell>
          <cell r="AW106">
            <v>729.95022189999997</v>
          </cell>
          <cell r="AX106">
            <v>734.18495050000001</v>
          </cell>
          <cell r="AY106">
            <v>738.41334080000001</v>
          </cell>
          <cell r="AZ106">
            <v>742.72638970000003</v>
          </cell>
          <cell r="BA106">
            <v>747.03461340000001</v>
          </cell>
          <cell r="BB106">
            <v>751.33835720000002</v>
          </cell>
          <cell r="BC106">
            <v>755.63777830000004</v>
          </cell>
          <cell r="BD106">
            <v>759.93297480000001</v>
          </cell>
          <cell r="BE106">
            <v>764.22412780000002</v>
          </cell>
          <cell r="BF106">
            <v>768.51166599999999</v>
          </cell>
          <cell r="BG106">
            <v>772.79575550000004</v>
          </cell>
          <cell r="BH106">
            <v>777.07646050000005</v>
          </cell>
          <cell r="BI106">
            <v>781.35381240000004</v>
          </cell>
        </row>
        <row r="107">
          <cell r="F107">
            <v>954.38155940000001</v>
          </cell>
          <cell r="G107">
            <v>948.7629723</v>
          </cell>
          <cell r="H107">
            <v>945.11127590000001</v>
          </cell>
          <cell r="I107">
            <v>942.22732129999997</v>
          </cell>
          <cell r="J107">
            <v>939.5436962</v>
          </cell>
          <cell r="K107">
            <v>936.74349219999999</v>
          </cell>
          <cell r="L107">
            <v>933.42798100000005</v>
          </cell>
          <cell r="M107">
            <v>930.62771980000002</v>
          </cell>
          <cell r="N107">
            <v>928.15075430000002</v>
          </cell>
          <cell r="O107">
            <v>925.81525920000001</v>
          </cell>
          <cell r="P107">
            <v>923.53643390000002</v>
          </cell>
          <cell r="Q107">
            <v>921.27998960000002</v>
          </cell>
          <cell r="R107">
            <v>919.03050870000004</v>
          </cell>
          <cell r="S107">
            <v>916.78016720000005</v>
          </cell>
          <cell r="T107">
            <v>914.52437620000001</v>
          </cell>
          <cell r="U107">
            <v>912.26019329999997</v>
          </cell>
          <cell r="V107">
            <v>909.98581720000004</v>
          </cell>
          <cell r="W107">
            <v>907.70034120000003</v>
          </cell>
          <cell r="X107">
            <v>905.40315210000006</v>
          </cell>
          <cell r="Y107">
            <v>903.09404930000005</v>
          </cell>
          <cell r="Z107">
            <v>900.77316919999998</v>
          </cell>
          <cell r="AA107">
            <v>898.44063149999999</v>
          </cell>
          <cell r="AB107">
            <v>896.09764589999997</v>
          </cell>
          <cell r="AC107">
            <v>893.74564559999999</v>
          </cell>
          <cell r="AD107">
            <v>891.38633849999997</v>
          </cell>
          <cell r="AE107">
            <v>889.02125260000003</v>
          </cell>
          <cell r="AF107">
            <v>886.65055759999996</v>
          </cell>
          <cell r="AG107">
            <v>884.27550359999998</v>
          </cell>
          <cell r="AH107">
            <v>881.89739850000001</v>
          </cell>
          <cell r="AI107">
            <v>879.51776270000005</v>
          </cell>
          <cell r="AJ107">
            <v>877.13813149999999</v>
          </cell>
          <cell r="AK107">
            <v>874.75989440000001</v>
          </cell>
          <cell r="AL107">
            <v>872.38417749999996</v>
          </cell>
          <cell r="AM107">
            <v>870.01191770000003</v>
          </cell>
          <cell r="AN107">
            <v>867.64379970000005</v>
          </cell>
          <cell r="AO107">
            <v>865.2802557</v>
          </cell>
          <cell r="AP107">
            <v>862.92128219999995</v>
          </cell>
          <cell r="AQ107">
            <v>860.56618390000006</v>
          </cell>
          <cell r="AR107">
            <v>858.21476800000005</v>
          </cell>
          <cell r="AS107">
            <v>855.86693869999999</v>
          </cell>
          <cell r="AT107">
            <v>853.52260950000004</v>
          </cell>
          <cell r="AU107">
            <v>851.18165529999999</v>
          </cell>
          <cell r="AV107">
            <v>848.84389510000005</v>
          </cell>
          <cell r="AW107">
            <v>846.50918449999995</v>
          </cell>
          <cell r="AX107">
            <v>844.17738169999996</v>
          </cell>
          <cell r="AY107">
            <v>841.84833879999996</v>
          </cell>
          <cell r="AZ107">
            <v>839.52185669999994</v>
          </cell>
          <cell r="BA107">
            <v>837.19767609999997</v>
          </cell>
          <cell r="BB107">
            <v>834.87567620000004</v>
          </cell>
          <cell r="BC107">
            <v>832.55578279999997</v>
          </cell>
          <cell r="BD107">
            <v>830.23792879999996</v>
          </cell>
          <cell r="BE107">
            <v>827.92201950000003</v>
          </cell>
          <cell r="BF107">
            <v>825.60791919999997</v>
          </cell>
          <cell r="BG107">
            <v>823.29557120000004</v>
          </cell>
          <cell r="BH107">
            <v>820.98494849999997</v>
          </cell>
          <cell r="BI107">
            <v>818.67603759999997</v>
          </cell>
        </row>
        <row r="108">
          <cell r="F108">
            <v>878.79999729999997</v>
          </cell>
          <cell r="G108">
            <v>868.24190099999998</v>
          </cell>
          <cell r="H108">
            <v>859.31049370000005</v>
          </cell>
          <cell r="I108">
            <v>851.65156539999998</v>
          </cell>
          <cell r="J108">
            <v>844.74742330000004</v>
          </cell>
          <cell r="K108">
            <v>838.10504200000003</v>
          </cell>
          <cell r="L108">
            <v>830.85550249999994</v>
          </cell>
          <cell r="M108">
            <v>824.17685280000001</v>
          </cell>
          <cell r="N108">
            <v>818.19579580000004</v>
          </cell>
          <cell r="O108">
            <v>812.73415390000002</v>
          </cell>
          <cell r="P108">
            <v>807.61538870000004</v>
          </cell>
          <cell r="Q108">
            <v>802.71715740000002</v>
          </cell>
          <cell r="R108">
            <v>797.96228580000002</v>
          </cell>
          <cell r="S108">
            <v>793.30396599999995</v>
          </cell>
          <cell r="T108">
            <v>788.71411929999999</v>
          </cell>
          <cell r="U108">
            <v>784.17597639999997</v>
          </cell>
          <cell r="V108">
            <v>779.67956140000001</v>
          </cell>
          <cell r="W108">
            <v>775.21922429999995</v>
          </cell>
          <cell r="X108">
            <v>770.79134439999996</v>
          </cell>
          <cell r="Y108">
            <v>766.39356229999999</v>
          </cell>
          <cell r="Z108">
            <v>762.02428610000004</v>
          </cell>
          <cell r="AA108">
            <v>757.68213800000001</v>
          </cell>
          <cell r="AB108">
            <v>753.36669180000001</v>
          </cell>
          <cell r="AC108">
            <v>749.077583</v>
          </cell>
          <cell r="AD108">
            <v>744.81465079999998</v>
          </cell>
          <cell r="AE108">
            <v>740.57773169999996</v>
          </cell>
          <cell r="AF108">
            <v>736.36577450000004</v>
          </cell>
          <cell r="AG108">
            <v>732.17873359999999</v>
          </cell>
          <cell r="AH108">
            <v>728.01637979999998</v>
          </cell>
          <cell r="AI108">
            <v>723.87862029999997</v>
          </cell>
          <cell r="AJ108">
            <v>719.76544139999999</v>
          </cell>
          <cell r="AK108">
            <v>715.67686549999996</v>
          </cell>
          <cell r="AL108">
            <v>711.61286189999998</v>
          </cell>
          <cell r="AM108">
            <v>707.57341440000005</v>
          </cell>
          <cell r="AN108">
            <v>703.55848590000005</v>
          </cell>
          <cell r="AO108">
            <v>699.56800190000001</v>
          </cell>
          <cell r="AP108">
            <v>695.60180600000001</v>
          </cell>
          <cell r="AQ108">
            <v>691.65914210000005</v>
          </cell>
          <cell r="AR108">
            <v>687.73966829999995</v>
          </cell>
          <cell r="AS108">
            <v>683.84317129999999</v>
          </cell>
          <cell r="AT108">
            <v>679.96949329999995</v>
          </cell>
          <cell r="AU108">
            <v>676.11849380000001</v>
          </cell>
          <cell r="AV108">
            <v>672.28998230000002</v>
          </cell>
          <cell r="AW108">
            <v>668.48380759999998</v>
          </cell>
          <cell r="AX108">
            <v>664.69983590000004</v>
          </cell>
          <cell r="AY108">
            <v>660.9379394</v>
          </cell>
          <cell r="AZ108">
            <v>657.19798590000005</v>
          </cell>
          <cell r="BA108">
            <v>653.47969569999998</v>
          </cell>
          <cell r="BB108">
            <v>649.7828968</v>
          </cell>
          <cell r="BC108">
            <v>646.10747490000006</v>
          </cell>
          <cell r="BD108">
            <v>642.45333830000004</v>
          </cell>
          <cell r="BE108">
            <v>638.8203972</v>
          </cell>
          <cell r="BF108">
            <v>635.20846849999998</v>
          </cell>
          <cell r="BG108">
            <v>631.61743420000005</v>
          </cell>
          <cell r="BH108">
            <v>628.04720659999998</v>
          </cell>
          <cell r="BI108">
            <v>624.49771020000003</v>
          </cell>
        </row>
        <row r="109">
          <cell r="F109">
            <v>139.85209269999999</v>
          </cell>
          <cell r="G109">
            <v>137.9445575</v>
          </cell>
          <cell r="H109">
            <v>136.04007129999999</v>
          </cell>
          <cell r="I109">
            <v>134.15881429999999</v>
          </cell>
          <cell r="J109">
            <v>132.3161254</v>
          </cell>
          <cell r="K109">
            <v>130.52051449999999</v>
          </cell>
          <cell r="L109">
            <v>128.77410860000001</v>
          </cell>
          <cell r="M109">
            <v>127.0745821</v>
          </cell>
          <cell r="N109">
            <v>125.4174149</v>
          </cell>
          <cell r="O109">
            <v>123.7975252</v>
          </cell>
          <cell r="P109">
            <v>122.210335</v>
          </cell>
          <cell r="Q109">
            <v>120.6521063</v>
          </cell>
          <cell r="R109">
            <v>119.11999609999999</v>
          </cell>
          <cell r="S109">
            <v>117.6115381</v>
          </cell>
          <cell r="T109">
            <v>116.1247576</v>
          </cell>
          <cell r="U109">
            <v>114.65814570000001</v>
          </cell>
          <cell r="V109">
            <v>113.21069300000001</v>
          </cell>
          <cell r="W109">
            <v>111.7819636</v>
          </cell>
          <cell r="X109">
            <v>110.3715282</v>
          </cell>
          <cell r="Y109">
            <v>108.97908339999999</v>
          </cell>
          <cell r="Z109">
            <v>107.6044425</v>
          </cell>
          <cell r="AA109">
            <v>106.2475275</v>
          </cell>
          <cell r="AB109">
            <v>104.9083888</v>
          </cell>
          <cell r="AC109">
            <v>103.58715960000001</v>
          </cell>
          <cell r="AD109">
            <v>102.2839967</v>
          </cell>
          <cell r="AE109">
            <v>100.9989784</v>
          </cell>
          <cell r="AF109">
            <v>99.732047879999996</v>
          </cell>
          <cell r="AG109">
            <v>98.483076249999996</v>
          </cell>
          <cell r="AH109">
            <v>97.25207168</v>
          </cell>
          <cell r="AI109">
            <v>96.039066969999993</v>
          </cell>
          <cell r="AJ109">
            <v>94.844066249999997</v>
          </cell>
          <cell r="AK109">
            <v>93.666998699999994</v>
          </cell>
          <cell r="AL109">
            <v>92.507689720000002</v>
          </cell>
          <cell r="AM109">
            <v>91.36596376</v>
          </cell>
          <cell r="AN109">
            <v>90.241612910000001</v>
          </cell>
          <cell r="AO109">
            <v>89.134388529999995</v>
          </cell>
          <cell r="AP109">
            <v>88.043817369999999</v>
          </cell>
          <cell r="AQ109">
            <v>86.969007120000001</v>
          </cell>
          <cell r="AR109">
            <v>85.90950282</v>
          </cell>
          <cell r="AS109">
            <v>84.865008169999996</v>
          </cell>
          <cell r="AT109">
            <v>83.835270710000003</v>
          </cell>
          <cell r="AU109">
            <v>82.820015139999995</v>
          </cell>
          <cell r="AV109">
            <v>81.818904399999994</v>
          </cell>
          <cell r="AW109">
            <v>80.831664450000005</v>
          </cell>
          <cell r="AX109">
            <v>79.858044250000006</v>
          </cell>
          <cell r="AY109">
            <v>78.897801180000002</v>
          </cell>
          <cell r="AZ109">
            <v>77.950614889999997</v>
          </cell>
          <cell r="BA109">
            <v>77.01599598</v>
          </cell>
          <cell r="BB109">
            <v>76.093673800000005</v>
          </cell>
          <cell r="BC109">
            <v>75.183459650000003</v>
          </cell>
          <cell r="BD109">
            <v>74.285190679999999</v>
          </cell>
          <cell r="BE109">
            <v>73.398662389999998</v>
          </cell>
          <cell r="BF109">
            <v>72.523571380000007</v>
          </cell>
          <cell r="BG109">
            <v>71.659739799999997</v>
          </cell>
          <cell r="BH109">
            <v>70.807037070000007</v>
          </cell>
          <cell r="BI109">
            <v>69.965348039999995</v>
          </cell>
        </row>
        <row r="110">
          <cell r="F110">
            <v>3.874567114</v>
          </cell>
          <cell r="G110">
            <v>3.7239603300000002</v>
          </cell>
          <cell r="H110">
            <v>3.5778396899999998</v>
          </cell>
          <cell r="I110">
            <v>3.437575662</v>
          </cell>
          <cell r="J110">
            <v>3.3040480329999999</v>
          </cell>
          <cell r="K110">
            <v>3.1775851780000002</v>
          </cell>
          <cell r="L110">
            <v>3.058046654</v>
          </cell>
          <cell r="M110">
            <v>2.9449926070000001</v>
          </cell>
          <cell r="N110">
            <v>2.8378447389999999</v>
          </cell>
          <cell r="O110">
            <v>2.7360153170000001</v>
          </cell>
          <cell r="P110">
            <v>2.6389829499999999</v>
          </cell>
          <cell r="Q110">
            <v>2.5463126049999998</v>
          </cell>
          <cell r="R110">
            <v>2.4576519010000002</v>
          </cell>
          <cell r="S110">
            <v>2.3726903670000001</v>
          </cell>
          <cell r="T110">
            <v>2.2911645740000002</v>
          </cell>
          <cell r="U110">
            <v>2.2128536560000001</v>
          </cell>
          <cell r="V110">
            <v>2.1375794099999998</v>
          </cell>
          <cell r="W110">
            <v>2.0652062020000002</v>
          </cell>
          <cell r="X110">
            <v>1.9956034439999999</v>
          </cell>
          <cell r="Y110">
            <v>1.9286524789999999</v>
          </cell>
          <cell r="Z110">
            <v>1.8642454239999999</v>
          </cell>
          <cell r="AA110">
            <v>1.802284006</v>
          </cell>
          <cell r="AB110">
            <v>1.742680346</v>
          </cell>
          <cell r="AC110">
            <v>1.685354118</v>
          </cell>
          <cell r="AD110">
            <v>1.630229162</v>
          </cell>
          <cell r="AE110">
            <v>1.5772279119999999</v>
          </cell>
          <cell r="AF110">
            <v>1.5262683880000001</v>
          </cell>
          <cell r="AG110">
            <v>1.477268166</v>
          </cell>
          <cell r="AH110">
            <v>1.4301552259999999</v>
          </cell>
          <cell r="AI110">
            <v>1.3848620119999999</v>
          </cell>
          <cell r="AJ110">
            <v>1.341322766</v>
          </cell>
          <cell r="AK110">
            <v>1.2994714000000001</v>
          </cell>
          <cell r="AL110">
            <v>1.2592403510000001</v>
          </cell>
          <cell r="AM110">
            <v>1.220565259</v>
          </cell>
          <cell r="AN110">
            <v>1.1833833410000001</v>
          </cell>
          <cell r="AO110">
            <v>1.1476329240000001</v>
          </cell>
          <cell r="AP110">
            <v>1.1132449980000001</v>
          </cell>
          <cell r="AQ110">
            <v>1.0801363429999999</v>
          </cell>
          <cell r="AR110">
            <v>1.048246002</v>
          </cell>
          <cell r="AS110">
            <v>1.0175223689999999</v>
          </cell>
          <cell r="AT110">
            <v>0.98791788979999995</v>
          </cell>
          <cell r="AU110">
            <v>0.95938606189999998</v>
          </cell>
          <cell r="AV110">
            <v>0.93187994699999999</v>
          </cell>
          <cell r="AW110">
            <v>0.9053569897</v>
          </cell>
          <cell r="AX110">
            <v>0.87977723289999998</v>
          </cell>
          <cell r="AY110">
            <v>0.8551026169</v>
          </cell>
          <cell r="AZ110">
            <v>0.83129354290000002</v>
          </cell>
          <cell r="BA110">
            <v>0.8083060017</v>
          </cell>
          <cell r="BB110">
            <v>0.78610565700000001</v>
          </cell>
          <cell r="BC110">
            <v>0.76466244230000002</v>
          </cell>
          <cell r="BD110">
            <v>0.74394833839999996</v>
          </cell>
          <cell r="BE110">
            <v>0.72393484129999996</v>
          </cell>
          <cell r="BF110">
            <v>0.70459122939999996</v>
          </cell>
          <cell r="BG110">
            <v>0.68589211179999998</v>
          </cell>
          <cell r="BH110">
            <v>0.66781456920000004</v>
          </cell>
          <cell r="BI110">
            <v>0.65033697739999996</v>
          </cell>
        </row>
        <row r="112">
          <cell r="F112">
            <v>3.476542051</v>
          </cell>
          <cell r="G112">
            <v>7.164823524</v>
          </cell>
          <cell r="H112">
            <v>12.68276996</v>
          </cell>
          <cell r="I112">
            <v>18.617455240000002</v>
          </cell>
          <cell r="J112">
            <v>24.518504400000001</v>
          </cell>
          <cell r="K112">
            <v>30.217247740000001</v>
          </cell>
          <cell r="L112">
            <v>35.585701380000003</v>
          </cell>
          <cell r="M112">
            <v>40.533124839999999</v>
          </cell>
          <cell r="N112">
            <v>44.88846083</v>
          </cell>
          <cell r="O112">
            <v>48.34342582</v>
          </cell>
          <cell r="P112">
            <v>53.37464052</v>
          </cell>
          <cell r="Q112">
            <v>58.662766910000002</v>
          </cell>
          <cell r="R112">
            <v>63.95373799</v>
          </cell>
          <cell r="S112">
            <v>69.216960580000006</v>
          </cell>
          <cell r="T112">
            <v>74.464430329999999</v>
          </cell>
          <cell r="U112">
            <v>79.696521419999996</v>
          </cell>
          <cell r="V112">
            <v>84.903412639999999</v>
          </cell>
          <cell r="W112">
            <v>90.073562330000001</v>
          </cell>
          <cell r="X112">
            <v>95.197940369999998</v>
          </cell>
          <cell r="Y112">
            <v>100.2709492</v>
          </cell>
          <cell r="Z112">
            <v>105.2622471</v>
          </cell>
          <cell r="AA112">
            <v>110.2216806</v>
          </cell>
          <cell r="AB112">
            <v>115.1236342</v>
          </cell>
          <cell r="AC112">
            <v>119.97155410000001</v>
          </cell>
          <cell r="AD112">
            <v>124.7705921</v>
          </cell>
          <cell r="AE112">
            <v>129.45060609999999</v>
          </cell>
          <cell r="AF112">
            <v>134.11789759999999</v>
          </cell>
          <cell r="AG112">
            <v>138.73147499999999</v>
          </cell>
          <cell r="AH112">
            <v>143.29049459999999</v>
          </cell>
          <cell r="AI112">
            <v>147.7957931</v>
          </cell>
          <cell r="AJ112">
            <v>152.2494318</v>
          </cell>
          <cell r="AK112">
            <v>156.6541981</v>
          </cell>
          <cell r="AL112">
            <v>161.0133347</v>
          </cell>
          <cell r="AM112">
            <v>165.33038389999999</v>
          </cell>
          <cell r="AN112">
            <v>169.60810889999999</v>
          </cell>
          <cell r="AO112">
            <v>173.84794350000001</v>
          </cell>
          <cell r="AP112">
            <v>178.03353329999999</v>
          </cell>
          <cell r="AQ112">
            <v>182.17608910000001</v>
          </cell>
          <cell r="AR112">
            <v>186.26969589999999</v>
          </cell>
          <cell r="AS112">
            <v>190.3076691</v>
          </cell>
          <cell r="AT112">
            <v>194.2830141</v>
          </cell>
          <cell r="AU112">
            <v>198.18854830000001</v>
          </cell>
          <cell r="AV112">
            <v>202.01690730000001</v>
          </cell>
          <cell r="AW112">
            <v>205.76066420000001</v>
          </cell>
          <cell r="AX112">
            <v>209.4132749</v>
          </cell>
          <cell r="AY112">
            <v>212.98344080000001</v>
          </cell>
          <cell r="AZ112">
            <v>216.5026172</v>
          </cell>
          <cell r="BA112">
            <v>219.98551939999999</v>
          </cell>
          <cell r="BB112">
            <v>223.44052239999999</v>
          </cell>
          <cell r="BC112">
            <v>226.8719949</v>
          </cell>
          <cell r="BD112">
            <v>230.28222959999999</v>
          </cell>
          <cell r="BE112">
            <v>233.67245779999999</v>
          </cell>
          <cell r="BF112">
            <v>237.0433701</v>
          </cell>
          <cell r="BG112">
            <v>240.3953775</v>
          </cell>
          <cell r="BH112">
            <v>243.72874060000001</v>
          </cell>
          <cell r="BI112">
            <v>247.0436345</v>
          </cell>
        </row>
        <row r="113">
          <cell r="F113">
            <v>68.80476281</v>
          </cell>
          <cell r="G113">
            <v>75.564438429999996</v>
          </cell>
          <cell r="H113">
            <v>81.149063909999995</v>
          </cell>
          <cell r="I113">
            <v>85.943075129999997</v>
          </cell>
          <cell r="J113">
            <v>90.419673419999995</v>
          </cell>
          <cell r="K113">
            <v>94.821297830000006</v>
          </cell>
          <cell r="L113">
            <v>98.681995229999998</v>
          </cell>
          <cell r="M113">
            <v>102.7684896</v>
          </cell>
          <cell r="N113">
            <v>107.2785799</v>
          </cell>
          <cell r="O113">
            <v>112.5806486</v>
          </cell>
          <cell r="P113">
            <v>119.02852559999999</v>
          </cell>
          <cell r="Q113">
            <v>125.1316916</v>
          </cell>
          <cell r="R113">
            <v>132.04581870000001</v>
          </cell>
          <cell r="S113">
            <v>139.53871090000001</v>
          </cell>
          <cell r="T113">
            <v>147.32515459999999</v>
          </cell>
          <cell r="U113">
            <v>155.21064419999999</v>
          </cell>
          <cell r="V113">
            <v>163.10030040000001</v>
          </cell>
          <cell r="W113">
            <v>170.96561489999999</v>
          </cell>
          <cell r="X113">
            <v>178.81234069999999</v>
          </cell>
          <cell r="Y113">
            <v>186.65889139999999</v>
          </cell>
          <cell r="Z113">
            <v>193.84094039999999</v>
          </cell>
          <cell r="AA113">
            <v>201.7532933</v>
          </cell>
          <cell r="AB113">
            <v>209.72219670000001</v>
          </cell>
          <cell r="AC113">
            <v>217.74438000000001</v>
          </cell>
          <cell r="AD113">
            <v>225.80349480000001</v>
          </cell>
          <cell r="AE113">
            <v>232.0103421</v>
          </cell>
          <cell r="AF113">
            <v>239.23406069999999</v>
          </cell>
          <cell r="AG113">
            <v>246.49059360000001</v>
          </cell>
          <cell r="AH113">
            <v>253.7865639</v>
          </cell>
          <cell r="AI113">
            <v>261.12243109999997</v>
          </cell>
          <cell r="AJ113">
            <v>268.4919812</v>
          </cell>
          <cell r="AK113">
            <v>275.88356520000002</v>
          </cell>
          <cell r="AL113">
            <v>283.28156899999999</v>
          </cell>
          <cell r="AM113">
            <v>290.66769779999998</v>
          </cell>
          <cell r="AN113">
            <v>298.02502459999999</v>
          </cell>
          <cell r="AO113">
            <v>305.34133689999999</v>
          </cell>
          <cell r="AP113">
            <v>312.21351559999999</v>
          </cell>
          <cell r="AQ113">
            <v>319.05141809999998</v>
          </cell>
          <cell r="AR113">
            <v>325.8774995</v>
          </cell>
          <cell r="AS113">
            <v>332.72180900000001</v>
          </cell>
          <cell r="AT113">
            <v>339.6185006</v>
          </cell>
          <cell r="AU113">
            <v>346.603317</v>
          </cell>
          <cell r="AV113">
            <v>353.71185350000002</v>
          </cell>
          <cell r="AW113">
            <v>360.97799459999999</v>
          </cell>
          <cell r="AX113">
            <v>368.43048499999998</v>
          </cell>
          <cell r="AY113">
            <v>376.05505520000003</v>
          </cell>
          <cell r="AZ113">
            <v>383.79828839999999</v>
          </cell>
          <cell r="BA113">
            <v>391.55188140000001</v>
          </cell>
          <cell r="BB113">
            <v>399.26200710000001</v>
          </cell>
          <cell r="BC113">
            <v>406.8947794</v>
          </cell>
          <cell r="BD113">
            <v>414.43052139999998</v>
          </cell>
          <cell r="BE113">
            <v>421.85864270000002</v>
          </cell>
          <cell r="BF113">
            <v>429.17398750000001</v>
          </cell>
          <cell r="BG113">
            <v>436.3744901</v>
          </cell>
          <cell r="BH113">
            <v>443.45976189999999</v>
          </cell>
          <cell r="BI113">
            <v>450.4302768</v>
          </cell>
        </row>
        <row r="114">
          <cell r="F114">
            <v>408.28039699999999</v>
          </cell>
          <cell r="G114">
            <v>423.16628309999999</v>
          </cell>
          <cell r="H114">
            <v>436.78217960000001</v>
          </cell>
          <cell r="I114">
            <v>448.99166509999998</v>
          </cell>
          <cell r="J114">
            <v>460.63421290000002</v>
          </cell>
          <cell r="K114">
            <v>472.16333409999999</v>
          </cell>
          <cell r="L114">
            <v>482.13761540000002</v>
          </cell>
          <cell r="M114">
            <v>492.6020082</v>
          </cell>
          <cell r="N114">
            <v>503.98830170000002</v>
          </cell>
          <cell r="O114">
            <v>517.12044109999999</v>
          </cell>
          <cell r="P114">
            <v>531.45723080000005</v>
          </cell>
          <cell r="Q114">
            <v>542.86396000000002</v>
          </cell>
          <cell r="R114">
            <v>554.79422469999997</v>
          </cell>
          <cell r="S114">
            <v>567.19032890000005</v>
          </cell>
          <cell r="T114">
            <v>579.84199899999999</v>
          </cell>
          <cell r="U114">
            <v>592.58667969999999</v>
          </cell>
          <cell r="V114">
            <v>605.34230830000001</v>
          </cell>
          <cell r="W114">
            <v>618.08481759999995</v>
          </cell>
          <cell r="X114">
            <v>630.8209018</v>
          </cell>
          <cell r="Y114">
            <v>643.56859420000001</v>
          </cell>
          <cell r="Z114">
            <v>654.42061309999997</v>
          </cell>
          <cell r="AA114">
            <v>667.25055120000002</v>
          </cell>
          <cell r="AB114">
            <v>680.14590190000001</v>
          </cell>
          <cell r="AC114">
            <v>693.1029297</v>
          </cell>
          <cell r="AD114">
            <v>706.10515659999999</v>
          </cell>
          <cell r="AE114">
            <v>713.87262350000003</v>
          </cell>
          <cell r="AF114">
            <v>724.45071210000003</v>
          </cell>
          <cell r="AG114">
            <v>735.05864919999999</v>
          </cell>
          <cell r="AH114">
            <v>745.70209880000004</v>
          </cell>
          <cell r="AI114">
            <v>756.3808659</v>
          </cell>
          <cell r="AJ114">
            <v>767.08842240000001</v>
          </cell>
          <cell r="AK114">
            <v>777.81311800000003</v>
          </cell>
          <cell r="AL114">
            <v>788.53961809999998</v>
          </cell>
          <cell r="AM114">
            <v>799.25018699999998</v>
          </cell>
          <cell r="AN114">
            <v>809.92856099999995</v>
          </cell>
          <cell r="AO114">
            <v>820.56312349999996</v>
          </cell>
          <cell r="AP114">
            <v>830.02745689999995</v>
          </cell>
          <cell r="AQ114">
            <v>839.45222209999997</v>
          </cell>
          <cell r="AR114">
            <v>848.8592956</v>
          </cell>
          <cell r="AS114">
            <v>858.27787220000005</v>
          </cell>
          <cell r="AT114">
            <v>867.74107849999996</v>
          </cell>
          <cell r="AU114">
            <v>877.28352219999999</v>
          </cell>
          <cell r="AV114">
            <v>886.93959240000004</v>
          </cell>
          <cell r="AW114">
            <v>896.74192140000002</v>
          </cell>
          <cell r="AX114">
            <v>906.71801000000005</v>
          </cell>
          <cell r="AY114">
            <v>916.85305549999998</v>
          </cell>
          <cell r="AZ114">
            <v>927.15294229999995</v>
          </cell>
          <cell r="BA114">
            <v>937.45241220000003</v>
          </cell>
          <cell r="BB114">
            <v>947.69870360000004</v>
          </cell>
          <cell r="BC114">
            <v>957.85879999999997</v>
          </cell>
          <cell r="BD114">
            <v>967.91372209999997</v>
          </cell>
          <cell r="BE114">
            <v>977.8534598</v>
          </cell>
          <cell r="BF114">
            <v>987.67337259999999</v>
          </cell>
          <cell r="BG114">
            <v>997.37188449999996</v>
          </cell>
          <cell r="BH114">
            <v>1006.949098</v>
          </cell>
          <cell r="BI114">
            <v>1016.405996</v>
          </cell>
        </row>
        <row r="115">
          <cell r="F115">
            <v>954.38155940000001</v>
          </cell>
          <cell r="G115">
            <v>949.5560868</v>
          </cell>
          <cell r="H115">
            <v>946.45585149999999</v>
          </cell>
          <cell r="I115">
            <v>944.02171710000005</v>
          </cell>
          <cell r="J115">
            <v>941.77160570000001</v>
          </cell>
          <cell r="K115">
            <v>939.48538580000002</v>
          </cell>
          <cell r="L115">
            <v>937.0459108</v>
          </cell>
          <cell r="M115">
            <v>934.36407020000001</v>
          </cell>
          <cell r="N115">
            <v>931.32350299999996</v>
          </cell>
          <cell r="O115">
            <v>927.67296280000005</v>
          </cell>
          <cell r="P115">
            <v>922.69675370000004</v>
          </cell>
          <cell r="Q115">
            <v>915.89020789999995</v>
          </cell>
          <cell r="R115">
            <v>907.26037129999997</v>
          </cell>
          <cell r="S115">
            <v>897.34651959999997</v>
          </cell>
          <cell r="T115">
            <v>886.75118239999995</v>
          </cell>
          <cell r="U115">
            <v>875.89489360000005</v>
          </cell>
          <cell r="V115">
            <v>864.99854400000004</v>
          </cell>
          <cell r="W115">
            <v>854.14450950000003</v>
          </cell>
          <cell r="X115">
            <v>843.33915830000001</v>
          </cell>
          <cell r="Y115">
            <v>832.55686939999998</v>
          </cell>
          <cell r="Z115">
            <v>821.75980679999998</v>
          </cell>
          <cell r="AA115">
            <v>810.90773119999994</v>
          </cell>
          <cell r="AB115">
            <v>799.97929769999996</v>
          </cell>
          <cell r="AC115">
            <v>788.97823189999997</v>
          </cell>
          <cell r="AD115">
            <v>777.93212319999998</v>
          </cell>
          <cell r="AE115">
            <v>766.8666379</v>
          </cell>
          <cell r="AF115">
            <v>755.77681029999997</v>
          </cell>
          <cell r="AG115">
            <v>744.64821919999997</v>
          </cell>
          <cell r="AH115">
            <v>733.46951609999996</v>
          </cell>
          <cell r="AI115">
            <v>722.23964120000005</v>
          </cell>
          <cell r="AJ115">
            <v>710.96930239999995</v>
          </cell>
          <cell r="AK115">
            <v>699.67905949999999</v>
          </cell>
          <cell r="AL115">
            <v>688.39671120000003</v>
          </cell>
          <cell r="AM115">
            <v>677.15490150000005</v>
          </cell>
          <cell r="AN115">
            <v>665.98430529999996</v>
          </cell>
          <cell r="AO115">
            <v>654.90766299999996</v>
          </cell>
          <cell r="AP115">
            <v>643.93173750000005</v>
          </cell>
          <cell r="AQ115">
            <v>633.03942849999999</v>
          </cell>
          <cell r="AR115">
            <v>622.19301940000003</v>
          </cell>
          <cell r="AS115">
            <v>611.34068000000002</v>
          </cell>
          <cell r="AT115">
            <v>600.42284659999996</v>
          </cell>
          <cell r="AU115">
            <v>589.37704599999995</v>
          </cell>
          <cell r="AV115">
            <v>578.14131650000002</v>
          </cell>
          <cell r="AW115">
            <v>566.65718700000002</v>
          </cell>
          <cell r="AX115">
            <v>554.87553690000004</v>
          </cell>
          <cell r="AY115">
            <v>542.81728320000002</v>
          </cell>
          <cell r="AZ115">
            <v>530.62310939999998</v>
          </cell>
          <cell r="BA115">
            <v>518.42864229999998</v>
          </cell>
          <cell r="BB115">
            <v>506.33256030000001</v>
          </cell>
          <cell r="BC115">
            <v>494.39784120000002</v>
          </cell>
          <cell r="BD115">
            <v>482.66127110000002</v>
          </cell>
          <cell r="BE115">
            <v>471.14261520000002</v>
          </cell>
          <cell r="BF115">
            <v>459.85134590000001</v>
          </cell>
          <cell r="BG115">
            <v>448.79102749999998</v>
          </cell>
          <cell r="BH115">
            <v>437.96198479999998</v>
          </cell>
          <cell r="BI115">
            <v>427.36285099999998</v>
          </cell>
        </row>
        <row r="116">
          <cell r="F116">
            <v>878.79999729999997</v>
          </cell>
          <cell r="G116">
            <v>868.61704910000003</v>
          </cell>
          <cell r="H116">
            <v>859.85198549999996</v>
          </cell>
          <cell r="I116">
            <v>852.22813329999997</v>
          </cell>
          <cell r="J116">
            <v>845.34785380000005</v>
          </cell>
          <cell r="K116">
            <v>838.89406829999996</v>
          </cell>
          <cell r="L116">
            <v>832.61473320000005</v>
          </cell>
          <cell r="M116">
            <v>826.26335289999997</v>
          </cell>
          <cell r="N116">
            <v>819.50252039999998</v>
          </cell>
          <cell r="O116">
            <v>811.70494989999997</v>
          </cell>
          <cell r="P116">
            <v>805.29440550000004</v>
          </cell>
          <cell r="Q116">
            <v>799.75321970000005</v>
          </cell>
          <cell r="R116">
            <v>794.70104619999995</v>
          </cell>
          <cell r="S116">
            <v>789.92168470000001</v>
          </cell>
          <cell r="T116">
            <v>785.29807730000005</v>
          </cell>
          <cell r="U116">
            <v>780.76783690000002</v>
          </cell>
          <cell r="V116">
            <v>776.29787190000002</v>
          </cell>
          <cell r="W116">
            <v>771.87061630000005</v>
          </cell>
          <cell r="X116">
            <v>767.47670330000005</v>
          </cell>
          <cell r="Y116">
            <v>763.11110889999998</v>
          </cell>
          <cell r="Z116">
            <v>758.77108080000005</v>
          </cell>
          <cell r="AA116">
            <v>754.45479620000003</v>
          </cell>
          <cell r="AB116">
            <v>750.16171810000003</v>
          </cell>
          <cell r="AC116">
            <v>745.89149680000003</v>
          </cell>
          <cell r="AD116">
            <v>741.64404139999999</v>
          </cell>
          <cell r="AE116">
            <v>737.41927390000001</v>
          </cell>
          <cell r="AF116">
            <v>733.21623669999997</v>
          </cell>
          <cell r="AG116">
            <v>729.03512330000001</v>
          </cell>
          <cell r="AH116">
            <v>724.87583649999999</v>
          </cell>
          <cell r="AI116">
            <v>720.73836610000001</v>
          </cell>
          <cell r="AJ116">
            <v>716.62276450000002</v>
          </cell>
          <cell r="AK116">
            <v>712.52911779999999</v>
          </cell>
          <cell r="AL116">
            <v>708.45752919999995</v>
          </cell>
          <cell r="AM116">
            <v>704.40811069999995</v>
          </cell>
          <cell r="AN116">
            <v>700.38094650000005</v>
          </cell>
          <cell r="AO116">
            <v>696.3760747</v>
          </cell>
          <cell r="AP116">
            <v>692.39345609999998</v>
          </cell>
          <cell r="AQ116">
            <v>688.4327902</v>
          </cell>
          <cell r="AR116">
            <v>684.49385970000003</v>
          </cell>
          <cell r="AS116">
            <v>680.57641339999998</v>
          </cell>
          <cell r="AT116">
            <v>676.68019200000003</v>
          </cell>
          <cell r="AU116">
            <v>672.80494309999995</v>
          </cell>
          <cell r="AV116">
            <v>668.95042769999998</v>
          </cell>
          <cell r="AW116">
            <v>665.11642310000002</v>
          </cell>
          <cell r="AX116">
            <v>661.30272200000002</v>
          </cell>
          <cell r="AY116">
            <v>657.50912989999995</v>
          </cell>
          <cell r="AZ116">
            <v>653.73546350000004</v>
          </cell>
          <cell r="BA116">
            <v>649.98156329999995</v>
          </cell>
          <cell r="BB116">
            <v>646.24726429999998</v>
          </cell>
          <cell r="BC116">
            <v>642.53240740000001</v>
          </cell>
          <cell r="BD116">
            <v>638.83683989999997</v>
          </cell>
          <cell r="BE116">
            <v>635.16041800000005</v>
          </cell>
          <cell r="BF116">
            <v>631.50300949999996</v>
          </cell>
          <cell r="BG116">
            <v>627.86449679999998</v>
          </cell>
          <cell r="BH116">
            <v>624.24477860000002</v>
          </cell>
          <cell r="BI116">
            <v>620.64377200000001</v>
          </cell>
        </row>
        <row r="117">
          <cell r="F117">
            <v>139.85209269999999</v>
          </cell>
          <cell r="G117">
            <v>137.93459580000001</v>
          </cell>
          <cell r="H117">
            <v>136.0108396</v>
          </cell>
          <cell r="I117">
            <v>134.10192330000001</v>
          </cell>
          <cell r="J117">
            <v>132.22446170000001</v>
          </cell>
          <cell r="K117">
            <v>130.3881542</v>
          </cell>
          <cell r="L117">
            <v>128.59604289999999</v>
          </cell>
          <cell r="M117">
            <v>126.84644590000001</v>
          </cell>
          <cell r="N117">
            <v>125.1352256</v>
          </cell>
          <cell r="O117">
            <v>123.4575146</v>
          </cell>
          <cell r="P117">
            <v>121.80881340000001</v>
          </cell>
          <cell r="Q117">
            <v>120.18569429999999</v>
          </cell>
          <cell r="R117">
            <v>118.58534779999999</v>
          </cell>
          <cell r="S117">
            <v>117.0055679</v>
          </cell>
          <cell r="T117">
            <v>115.44470990000001</v>
          </cell>
          <cell r="U117">
            <v>113.9016086</v>
          </cell>
          <cell r="V117">
            <v>112.3754927</v>
          </cell>
          <cell r="W117">
            <v>110.86590990000001</v>
          </cell>
          <cell r="X117">
            <v>109.3726637</v>
          </cell>
          <cell r="Y117">
            <v>107.895758</v>
          </cell>
          <cell r="Z117">
            <v>106.4353163</v>
          </cell>
          <cell r="AA117">
            <v>104.9915515</v>
          </cell>
          <cell r="AB117">
            <v>103.5647872</v>
          </cell>
          <cell r="AC117">
            <v>102.15538909999999</v>
          </cell>
          <cell r="AD117">
            <v>100.76371349999999</v>
          </cell>
          <cell r="AE117">
            <v>99.390001040000001</v>
          </cell>
          <cell r="AF117">
            <v>98.034366739999996</v>
          </cell>
          <cell r="AG117">
            <v>96.69692981</v>
          </cell>
          <cell r="AH117">
            <v>95.377795340000006</v>
          </cell>
          <cell r="AI117">
            <v>94.07703291</v>
          </cell>
          <cell r="AJ117">
            <v>92.794663330000006</v>
          </cell>
          <cell r="AK117">
            <v>91.530651120000002</v>
          </cell>
          <cell r="AL117">
            <v>90.28489845</v>
          </cell>
          <cell r="AM117">
            <v>89.057235430000006</v>
          </cell>
          <cell r="AN117">
            <v>87.847426839999997</v>
          </cell>
          <cell r="AO117">
            <v>86.655184719999994</v>
          </cell>
          <cell r="AP117">
            <v>85.480166850000003</v>
          </cell>
          <cell r="AQ117">
            <v>84.321982370000001</v>
          </cell>
          <cell r="AR117">
            <v>83.180223130000002</v>
          </cell>
          <cell r="AS117">
            <v>82.054482719999996</v>
          </cell>
          <cell r="AT117">
            <v>80.944366799999997</v>
          </cell>
          <cell r="AU117">
            <v>79.849498530000005</v>
          </cell>
          <cell r="AV117">
            <v>78.769521040000001</v>
          </cell>
          <cell r="AW117">
            <v>77.704097700000005</v>
          </cell>
          <cell r="AX117">
            <v>76.65291182</v>
          </cell>
          <cell r="AY117">
            <v>75.615666410000003</v>
          </cell>
          <cell r="AZ117">
            <v>74.592082500000004</v>
          </cell>
          <cell r="BA117">
            <v>73.581896529999995</v>
          </cell>
          <cell r="BB117">
            <v>72.584857769999999</v>
          </cell>
          <cell r="BC117">
            <v>71.600728200000006</v>
          </cell>
          <cell r="BD117">
            <v>70.629283659999999</v>
          </cell>
          <cell r="BE117">
            <v>69.670315380000005</v>
          </cell>
          <cell r="BF117">
            <v>68.723631049999995</v>
          </cell>
          <cell r="BG117">
            <v>67.789055200000007</v>
          </cell>
          <cell r="BH117">
            <v>66.8664287</v>
          </cell>
          <cell r="BI117">
            <v>65.955607650000005</v>
          </cell>
        </row>
        <row r="118">
          <cell r="F118">
            <v>3.874567114</v>
          </cell>
          <cell r="G118">
            <v>3.7230967220000002</v>
          </cell>
          <cell r="H118">
            <v>3.5754166349999998</v>
          </cell>
          <cell r="I118">
            <v>3.433015648</v>
          </cell>
          <cell r="J118">
            <v>3.2969015559999999</v>
          </cell>
          <cell r="K118">
            <v>3.1675121509999999</v>
          </cell>
          <cell r="L118">
            <v>3.0447906800000002</v>
          </cell>
          <cell r="M118">
            <v>2.9283571880000001</v>
          </cell>
          <cell r="N118">
            <v>2.8176860559999999</v>
          </cell>
          <cell r="O118">
            <v>2.7122332029999998</v>
          </cell>
          <cell r="P118">
            <v>2.6115123100000002</v>
          </cell>
          <cell r="Q118">
            <v>2.5151169759999998</v>
          </cell>
          <cell r="R118">
            <v>2.4227058010000002</v>
          </cell>
          <cell r="S118">
            <v>2.3339959779999999</v>
          </cell>
          <cell r="T118">
            <v>2.2487547530000001</v>
          </cell>
          <cell r="U118">
            <v>2.1667893920000001</v>
          </cell>
          <cell r="V118">
            <v>2.0879383809999998</v>
          </cell>
          <cell r="W118">
            <v>2.0120644369999998</v>
          </cell>
          <cell r="X118">
            <v>1.939049048</v>
          </cell>
          <cell r="Y118">
            <v>1.868788052</v>
          </cell>
          <cell r="Z118">
            <v>1.801186336</v>
          </cell>
          <cell r="AA118">
            <v>1.736155683</v>
          </cell>
          <cell r="AB118">
            <v>1.673615552</v>
          </cell>
          <cell r="AC118">
            <v>1.61348954</v>
          </cell>
          <cell r="AD118">
            <v>1.5557029229999999</v>
          </cell>
          <cell r="AE118">
            <v>1.500177815</v>
          </cell>
          <cell r="AF118">
            <v>1.4468330279999999</v>
          </cell>
          <cell r="AG118">
            <v>1.395590264</v>
          </cell>
          <cell r="AH118">
            <v>1.346373633</v>
          </cell>
          <cell r="AI118">
            <v>1.2991088989999999</v>
          </cell>
          <cell r="AJ118">
            <v>1.2537230239999999</v>
          </cell>
          <cell r="AK118">
            <v>1.2101439380000001</v>
          </cell>
          <cell r="AL118">
            <v>1.1683004400000001</v>
          </cell>
          <cell r="AM118">
            <v>1.12812201</v>
          </cell>
          <cell r="AN118">
            <v>1.0895390680000001</v>
          </cell>
          <cell r="AO118">
            <v>1.0524833309999999</v>
          </cell>
          <cell r="AP118">
            <v>1.0168876840000001</v>
          </cell>
          <cell r="AQ118">
            <v>0.98268630440000004</v>
          </cell>
          <cell r="AR118">
            <v>0.94981569779999997</v>
          </cell>
          <cell r="AS118">
            <v>0.91821526050000002</v>
          </cell>
          <cell r="AT118">
            <v>0.88782749400000005</v>
          </cell>
          <cell r="AU118">
            <v>0.85859802399999996</v>
          </cell>
          <cell r="AV118">
            <v>0.83047550540000004</v>
          </cell>
          <cell r="AW118">
            <v>0.80341146249999995</v>
          </cell>
          <cell r="AX118">
            <v>0.77736011640000002</v>
          </cell>
          <cell r="AY118">
            <v>0.75227822720000004</v>
          </cell>
          <cell r="AZ118">
            <v>0.72812490279999997</v>
          </cell>
          <cell r="BA118">
            <v>0.70486139820000004</v>
          </cell>
          <cell r="BB118">
            <v>0.68245092529999996</v>
          </cell>
          <cell r="BC118">
            <v>0.66085853719999998</v>
          </cell>
          <cell r="BD118">
            <v>0.6400510546</v>
          </cell>
          <cell r="BE118">
            <v>0.61999700449999995</v>
          </cell>
          <cell r="BF118">
            <v>0.60066655219999998</v>
          </cell>
          <cell r="BG118">
            <v>0.58203141869999997</v>
          </cell>
          <cell r="BH118">
            <v>0.56406478569999996</v>
          </cell>
          <cell r="BI118">
            <v>0.54674119160000001</v>
          </cell>
        </row>
        <row r="205">
          <cell r="E205" t="str">
            <v>YG_toe_2</v>
          </cell>
          <cell r="F205">
            <v>148.541156</v>
          </cell>
          <cell r="G205">
            <v>146.50852449999999</v>
          </cell>
          <cell r="H205">
            <v>146.8157679</v>
          </cell>
          <cell r="I205">
            <v>147.38574729999999</v>
          </cell>
          <cell r="J205">
            <v>148.16739770000001</v>
          </cell>
          <cell r="K205">
            <v>149.14547160000001</v>
          </cell>
          <cell r="L205">
            <v>150.20656149999999</v>
          </cell>
          <cell r="M205">
            <v>151.37837279999999</v>
          </cell>
          <cell r="N205">
            <v>152.64393820000001</v>
          </cell>
          <cell r="O205">
            <v>153.98318309999999</v>
          </cell>
          <cell r="P205">
            <v>155.5191993</v>
          </cell>
          <cell r="Q205">
            <v>156.9846938</v>
          </cell>
          <cell r="R205">
            <v>158.45972359999999</v>
          </cell>
          <cell r="S205">
            <v>159.94747580000001</v>
          </cell>
          <cell r="T205">
            <v>161.44588229999999</v>
          </cell>
          <cell r="U205">
            <v>162.95264689999999</v>
          </cell>
          <cell r="V205">
            <v>164.45115229999999</v>
          </cell>
          <cell r="W205">
            <v>165.9534026</v>
          </cell>
          <cell r="X205">
            <v>167.46179810000001</v>
          </cell>
          <cell r="Y205">
            <v>168.97837150000001</v>
          </cell>
          <cell r="Z205">
            <v>170.40445120000001</v>
          </cell>
          <cell r="AA205">
            <v>171.9131572</v>
          </cell>
          <cell r="AB205">
            <v>173.44978929999999</v>
          </cell>
          <cell r="AC205">
            <v>175.00979380000001</v>
          </cell>
          <cell r="AD205">
            <v>176.59311030000001</v>
          </cell>
          <cell r="AE205">
            <v>177.91530510000001</v>
          </cell>
          <cell r="AF205">
            <v>179.3322703</v>
          </cell>
          <cell r="AG205">
            <v>180.77111629999999</v>
          </cell>
          <cell r="AH205">
            <v>182.23023069999999</v>
          </cell>
          <cell r="AI205">
            <v>183.71222370000001</v>
          </cell>
          <cell r="AJ205">
            <v>185.22002620000001</v>
          </cell>
          <cell r="AK205">
            <v>186.75949700000001</v>
          </cell>
          <cell r="AL205">
            <v>188.3299404</v>
          </cell>
          <cell r="AM205">
            <v>189.9322497</v>
          </cell>
          <cell r="AN205">
            <v>191.56698449999999</v>
          </cell>
          <cell r="AO205">
            <v>193.23435710000001</v>
          </cell>
          <cell r="AP205">
            <v>194.89672859999999</v>
          </cell>
          <cell r="AQ205">
            <v>196.57684309999999</v>
          </cell>
          <cell r="AR205">
            <v>198.279349</v>
          </cell>
          <cell r="AS205">
            <v>200.00630340000001</v>
          </cell>
          <cell r="AT205">
            <v>201.75898359999999</v>
          </cell>
          <cell r="AU205">
            <v>203.54288790000001</v>
          </cell>
          <cell r="AV205">
            <v>205.3551775</v>
          </cell>
          <cell r="AW205">
            <v>207.195784</v>
          </cell>
          <cell r="AX205">
            <v>209.0647074</v>
          </cell>
          <cell r="AY205">
            <v>210.96188900000001</v>
          </cell>
          <cell r="AZ205">
            <v>212.9083851</v>
          </cell>
          <cell r="BA205">
            <v>214.88841550000001</v>
          </cell>
          <cell r="BB205">
            <v>216.89945829999999</v>
          </cell>
          <cell r="BC205">
            <v>218.9402456</v>
          </cell>
          <cell r="BD205">
            <v>221.0099946</v>
          </cell>
          <cell r="BE205">
            <v>223.1176303</v>
          </cell>
          <cell r="BF205">
            <v>225.25572980000001</v>
          </cell>
          <cell r="BG205">
            <v>227.42318259999999</v>
          </cell>
          <cell r="BH205">
            <v>229.6195467</v>
          </cell>
          <cell r="BI205">
            <v>231.84470300000001</v>
          </cell>
        </row>
        <row r="206">
          <cell r="E206" t="str">
            <v>YG_toe_ccoa_2</v>
          </cell>
          <cell r="F206">
            <v>2.3895566189999999</v>
          </cell>
          <cell r="G206">
            <v>2.3340990920000002</v>
          </cell>
          <cell r="H206">
            <v>2.3386208499999999</v>
          </cell>
          <cell r="I206">
            <v>2.3568529269999998</v>
          </cell>
          <cell r="J206">
            <v>2.379988537</v>
          </cell>
          <cell r="K206">
            <v>2.4060220050000001</v>
          </cell>
          <cell r="L206">
            <v>2.4327301509999999</v>
          </cell>
          <cell r="M206">
            <v>2.46077871</v>
          </cell>
          <cell r="N206">
            <v>2.4901295800000001</v>
          </cell>
          <cell r="O206">
            <v>2.5206297329999998</v>
          </cell>
          <cell r="P206">
            <v>2.55456181</v>
          </cell>
          <cell r="Q206">
            <v>2.5873377579999999</v>
          </cell>
          <cell r="R206">
            <v>2.6204147070000001</v>
          </cell>
          <cell r="S206">
            <v>2.6540076789999998</v>
          </cell>
          <cell r="T206">
            <v>2.6881078060000001</v>
          </cell>
          <cell r="U206">
            <v>2.7226826649999998</v>
          </cell>
          <cell r="V206">
            <v>2.7573829860000001</v>
          </cell>
          <cell r="W206">
            <v>2.7924811530000002</v>
          </cell>
          <cell r="X206">
            <v>2.8280385030000001</v>
          </cell>
          <cell r="Y206">
            <v>2.8640816099999999</v>
          </cell>
          <cell r="Z206">
            <v>2.898857553</v>
          </cell>
          <cell r="AA206">
            <v>2.9353876040000002</v>
          </cell>
          <cell r="AB206">
            <v>2.9727430880000001</v>
          </cell>
          <cell r="AC206">
            <v>3.010758219</v>
          </cell>
          <cell r="AD206">
            <v>3.0494168319999999</v>
          </cell>
          <cell r="AE206">
            <v>3.083651659</v>
          </cell>
          <cell r="AF206">
            <v>3.1197508630000002</v>
          </cell>
          <cell r="AG206">
            <v>3.1565160250000002</v>
          </cell>
          <cell r="AH206">
            <v>3.1937543900000001</v>
          </cell>
          <cell r="AI206">
            <v>3.2314703420000002</v>
          </cell>
          <cell r="AJ206">
            <v>3.2696984429999998</v>
          </cell>
          <cell r="AK206">
            <v>3.308545429</v>
          </cell>
          <cell r="AL206">
            <v>3.3479744820000001</v>
          </cell>
          <cell r="AM206">
            <v>3.3879892109999998</v>
          </cell>
          <cell r="AN206">
            <v>3.4285946900000002</v>
          </cell>
          <cell r="AO206">
            <v>3.469791662</v>
          </cell>
          <cell r="AP206">
            <v>3.5110204280000001</v>
          </cell>
          <cell r="AQ206">
            <v>3.552545474</v>
          </cell>
          <cell r="AR206">
            <v>3.5944405590000001</v>
          </cell>
          <cell r="AS206">
            <v>3.6367370819999998</v>
          </cell>
          <cell r="AT206">
            <v>3.6794563830000002</v>
          </cell>
          <cell r="AU206">
            <v>3.7227206559999999</v>
          </cell>
          <cell r="AV206">
            <v>3.7664593599999998</v>
          </cell>
          <cell r="AW206">
            <v>3.8106680239999999</v>
          </cell>
          <cell r="AX206">
            <v>3.8553520909999999</v>
          </cell>
          <cell r="AY206">
            <v>3.900516562</v>
          </cell>
          <cell r="AZ206">
            <v>3.9466280029999998</v>
          </cell>
          <cell r="BA206">
            <v>3.9933286250000002</v>
          </cell>
          <cell r="BB206">
            <v>4.040550283</v>
          </cell>
          <cell r="BC206">
            <v>4.0882803900000004</v>
          </cell>
          <cell r="BD206">
            <v>4.1365169540000002</v>
          </cell>
          <cell r="BE206">
            <v>4.1854826899999997</v>
          </cell>
          <cell r="BF206">
            <v>4.2349998119999999</v>
          </cell>
          <cell r="BG206">
            <v>4.2850382900000001</v>
          </cell>
          <cell r="BH206">
            <v>4.3355972659999997</v>
          </cell>
          <cell r="BI206">
            <v>4.3866821600000003</v>
          </cell>
        </row>
        <row r="209">
          <cell r="E209" t="str">
            <v>YG_toe_ccoi_2</v>
          </cell>
          <cell r="F209">
            <v>1.0954922330000001</v>
          </cell>
          <cell r="G209">
            <v>1.0769641379999999</v>
          </cell>
          <cell r="H209">
            <v>1.075797471</v>
          </cell>
          <cell r="I209">
            <v>1.0791897269999999</v>
          </cell>
          <cell r="J209">
            <v>1.0848170859999999</v>
          </cell>
          <cell r="K209">
            <v>1.0921622639999999</v>
          </cell>
          <cell r="L209">
            <v>1.100353291</v>
          </cell>
          <cell r="M209">
            <v>1.1094859210000001</v>
          </cell>
          <cell r="N209">
            <v>1.119435958</v>
          </cell>
          <cell r="O209">
            <v>1.13004971</v>
          </cell>
          <cell r="P209">
            <v>1.142110527</v>
          </cell>
          <cell r="Q209">
            <v>1.1539052480000001</v>
          </cell>
          <cell r="R209">
            <v>1.1658511739999999</v>
          </cell>
          <cell r="S209">
            <v>1.1780042589999999</v>
          </cell>
          <cell r="T209">
            <v>1.19034354</v>
          </cell>
          <cell r="U209">
            <v>1.2028407249999999</v>
          </cell>
          <cell r="V209">
            <v>1.215358632</v>
          </cell>
          <cell r="W209">
            <v>1.2279746739999999</v>
          </cell>
          <cell r="X209">
            <v>1.2407027930000001</v>
          </cell>
          <cell r="Y209">
            <v>1.2535463140000001</v>
          </cell>
          <cell r="Z209">
            <v>1.265845922</v>
          </cell>
          <cell r="AA209">
            <v>1.2786843379999999</v>
          </cell>
          <cell r="AB209">
            <v>1.291767143</v>
          </cell>
          <cell r="AC209">
            <v>1.305027878</v>
          </cell>
          <cell r="AD209">
            <v>1.3184567599999999</v>
          </cell>
          <cell r="AE209">
            <v>1.330169537</v>
          </cell>
          <cell r="AF209">
            <v>1.342389504</v>
          </cell>
          <cell r="AG209">
            <v>1.3547775200000001</v>
          </cell>
          <cell r="AH209">
            <v>1.3672740910000001</v>
          </cell>
          <cell r="AI209">
            <v>1.379889369</v>
          </cell>
          <cell r="AJ209">
            <v>1.392644131</v>
          </cell>
          <cell r="AK209">
            <v>1.40558374</v>
          </cell>
          <cell r="AL209">
            <v>1.418703804</v>
          </cell>
          <cell r="AM209">
            <v>1.432011256</v>
          </cell>
          <cell r="AN209">
            <v>1.445512769</v>
          </cell>
          <cell r="AO209">
            <v>1.459212932</v>
          </cell>
          <cell r="AP209">
            <v>1.472898603</v>
          </cell>
          <cell r="AQ209">
            <v>1.486670172</v>
          </cell>
          <cell r="AR209">
            <v>1.500565809</v>
          </cell>
          <cell r="AS209">
            <v>1.5146040540000001</v>
          </cell>
          <cell r="AT209">
            <v>1.528797934</v>
          </cell>
          <cell r="AU209">
            <v>1.543194476</v>
          </cell>
          <cell r="AV209">
            <v>1.5577748300000001</v>
          </cell>
          <cell r="AW209">
            <v>1.572539608</v>
          </cell>
          <cell r="AX209">
            <v>1.58749205</v>
          </cell>
          <cell r="AY209">
            <v>1.6026346849999999</v>
          </cell>
          <cell r="AZ209">
            <v>1.6181314520000001</v>
          </cell>
          <cell r="BA209">
            <v>1.6338664789999999</v>
          </cell>
          <cell r="BB209">
            <v>1.6498132910000001</v>
          </cell>
          <cell r="BC209">
            <v>1.6659645620000001</v>
          </cell>
          <cell r="BD209">
            <v>1.682316919</v>
          </cell>
          <cell r="BE209">
            <v>1.698944714</v>
          </cell>
          <cell r="BF209">
            <v>1.7157889399999999</v>
          </cell>
          <cell r="BG209">
            <v>1.7328363</v>
          </cell>
          <cell r="BH209">
            <v>1.7500835029999999</v>
          </cell>
          <cell r="BI209">
            <v>1.767529677</v>
          </cell>
        </row>
        <row r="212">
          <cell r="E212" t="str">
            <v>YG_toe_cfut_2</v>
          </cell>
          <cell r="F212">
            <v>42.337050320000003</v>
          </cell>
          <cell r="G212">
            <v>41.629498320000003</v>
          </cell>
          <cell r="H212">
            <v>41.654269909999996</v>
          </cell>
          <cell r="I212">
            <v>41.776271360000003</v>
          </cell>
          <cell r="J212">
            <v>41.980629290000003</v>
          </cell>
          <cell r="K212">
            <v>42.258291679999999</v>
          </cell>
          <cell r="L212">
            <v>42.576524599999999</v>
          </cell>
          <cell r="M212">
            <v>42.938652320000003</v>
          </cell>
          <cell r="N212">
            <v>43.336600300000001</v>
          </cell>
          <cell r="O212">
            <v>43.763237259999997</v>
          </cell>
          <cell r="P212">
            <v>44.24786074</v>
          </cell>
          <cell r="Q212">
            <v>44.722813129999999</v>
          </cell>
          <cell r="R212">
            <v>45.209166770000003</v>
          </cell>
          <cell r="S212">
            <v>45.70578287</v>
          </cell>
          <cell r="T212">
            <v>46.210904669999998</v>
          </cell>
          <cell r="U212">
            <v>46.723096660000003</v>
          </cell>
          <cell r="V212">
            <v>47.237402090000003</v>
          </cell>
          <cell r="W212">
            <v>47.756534790000003</v>
          </cell>
          <cell r="X212">
            <v>48.280291609999999</v>
          </cell>
          <cell r="Y212">
            <v>48.808498739999997</v>
          </cell>
          <cell r="Z212">
            <v>49.315657819999998</v>
          </cell>
          <cell r="AA212">
            <v>49.844917969999997</v>
          </cell>
          <cell r="AB212">
            <v>50.380948230000001</v>
          </cell>
          <cell r="AC212">
            <v>50.922887950000003</v>
          </cell>
          <cell r="AD212">
            <v>51.470698380000002</v>
          </cell>
          <cell r="AE212">
            <v>51.951879740000003</v>
          </cell>
          <cell r="AF212">
            <v>52.456700499999997</v>
          </cell>
          <cell r="AG212">
            <v>52.96337638</v>
          </cell>
          <cell r="AH212">
            <v>53.472035920000003</v>
          </cell>
          <cell r="AI212">
            <v>53.983785400000002</v>
          </cell>
          <cell r="AJ212">
            <v>54.49975105</v>
          </cell>
          <cell r="AK212">
            <v>55.021735839999998</v>
          </cell>
          <cell r="AL212">
            <v>55.549722269999997</v>
          </cell>
          <cell r="AM212">
            <v>56.084193640000002</v>
          </cell>
          <cell r="AN212">
            <v>56.625509800000003</v>
          </cell>
          <cell r="AO212">
            <v>57.173918239999999</v>
          </cell>
          <cell r="AP212">
            <v>57.71995149</v>
          </cell>
          <cell r="AQ212">
            <v>58.268950750000002</v>
          </cell>
          <cell r="AR212">
            <v>58.822047050000002</v>
          </cell>
          <cell r="AS212">
            <v>59.379948910000003</v>
          </cell>
          <cell r="AT212">
            <v>59.943239179999999</v>
          </cell>
          <cell r="AU212">
            <v>60.513617289999999</v>
          </cell>
          <cell r="AV212">
            <v>61.090467199999999</v>
          </cell>
          <cell r="AW212">
            <v>61.674037040000002</v>
          </cell>
          <cell r="AX212">
            <v>62.264529969999998</v>
          </cell>
          <cell r="AY212">
            <v>62.862080640000002</v>
          </cell>
          <cell r="AZ212">
            <v>63.472341149999998</v>
          </cell>
          <cell r="BA212">
            <v>64.090851729999997</v>
          </cell>
          <cell r="BB212">
            <v>64.717259580000004</v>
          </cell>
          <cell r="BC212">
            <v>65.351403360000006</v>
          </cell>
          <cell r="BD212">
            <v>65.993154779999998</v>
          </cell>
          <cell r="BE212">
            <v>66.644918739999994</v>
          </cell>
          <cell r="BF212">
            <v>67.304462839999999</v>
          </cell>
          <cell r="BG212">
            <v>67.971580130000007</v>
          </cell>
          <cell r="BH212">
            <v>68.646177399999999</v>
          </cell>
          <cell r="BI212">
            <v>69.328198630000003</v>
          </cell>
        </row>
        <row r="215">
          <cell r="E215" t="str">
            <v>YG_toe_cfuh_2</v>
          </cell>
          <cell r="F215">
            <v>7.9350903610000003</v>
          </cell>
          <cell r="G215">
            <v>7.8803429180000002</v>
          </cell>
          <cell r="H215">
            <v>7.8901448500000004</v>
          </cell>
          <cell r="I215">
            <v>7.9109498360000003</v>
          </cell>
          <cell r="J215">
            <v>7.9406397589999997</v>
          </cell>
          <cell r="K215">
            <v>7.9791271559999997</v>
          </cell>
          <cell r="L215">
            <v>8.0212323669999996</v>
          </cell>
          <cell r="M215">
            <v>8.0689017570000008</v>
          </cell>
          <cell r="N215">
            <v>8.1220944199999998</v>
          </cell>
          <cell r="O215">
            <v>8.1801041090000002</v>
          </cell>
          <cell r="P215">
            <v>8.2486731249999998</v>
          </cell>
          <cell r="Q215">
            <v>8.3157667889999995</v>
          </cell>
          <cell r="R215">
            <v>8.3840331569999993</v>
          </cell>
          <cell r="S215">
            <v>8.4536513499999995</v>
          </cell>
          <cell r="T215">
            <v>8.52445144</v>
          </cell>
          <cell r="U215">
            <v>8.5961918669999999</v>
          </cell>
          <cell r="V215">
            <v>8.6680452579999994</v>
          </cell>
          <cell r="W215">
            <v>8.7404190499999999</v>
          </cell>
          <cell r="X215">
            <v>8.8134007160000003</v>
          </cell>
          <cell r="Y215">
            <v>8.8870402679999998</v>
          </cell>
          <cell r="Z215">
            <v>8.9566601079999995</v>
          </cell>
          <cell r="AA215">
            <v>9.0298793540000002</v>
          </cell>
          <cell r="AB215">
            <v>9.1047132610000006</v>
          </cell>
          <cell r="AC215">
            <v>9.1808101149999999</v>
          </cell>
          <cell r="AD215">
            <v>9.258099498</v>
          </cell>
          <cell r="AE215">
            <v>9.3231865549999995</v>
          </cell>
          <cell r="AF215">
            <v>9.3914444790000005</v>
          </cell>
          <cell r="AG215">
            <v>9.4606386259999997</v>
          </cell>
          <cell r="AH215">
            <v>9.5306216399999997</v>
          </cell>
          <cell r="AI215">
            <v>9.601519261</v>
          </cell>
          <cell r="AJ215">
            <v>9.673463023</v>
          </cell>
          <cell r="AK215">
            <v>9.7467278230000005</v>
          </cell>
          <cell r="AL215">
            <v>9.8213121440000002</v>
          </cell>
          <cell r="AM215">
            <v>9.8972697059999994</v>
          </cell>
          <cell r="AN215">
            <v>9.9746462299999994</v>
          </cell>
          <cell r="AO215">
            <v>10.05347342</v>
          </cell>
          <cell r="AP215">
            <v>10.131964480000001</v>
          </cell>
          <cell r="AQ215">
            <v>10.21103076</v>
          </cell>
          <cell r="AR215">
            <v>10.29095291</v>
          </cell>
          <cell r="AS215">
            <v>10.371881</v>
          </cell>
          <cell r="AT215">
            <v>10.4539221</v>
          </cell>
          <cell r="AU215">
            <v>10.53736767</v>
          </cell>
          <cell r="AV215">
            <v>10.62213584</v>
          </cell>
          <cell r="AW215">
            <v>10.708236980000001</v>
          </cell>
          <cell r="AX215">
            <v>10.79568725</v>
          </cell>
          <cell r="AY215">
            <v>10.88449774</v>
          </cell>
          <cell r="AZ215">
            <v>10.975645119999999</v>
          </cell>
          <cell r="BA215">
            <v>11.068487299999999</v>
          </cell>
          <cell r="BB215">
            <v>11.16286489</v>
          </cell>
          <cell r="BC215">
            <v>11.25871066</v>
          </cell>
          <cell r="BD215">
            <v>11.3559886</v>
          </cell>
          <cell r="BE215">
            <v>11.45510599</v>
          </cell>
          <cell r="BF215">
            <v>11.55575425</v>
          </cell>
          <cell r="BG215">
            <v>11.657859309999999</v>
          </cell>
          <cell r="BH215">
            <v>11.76139644</v>
          </cell>
          <cell r="BI215">
            <v>11.866360500000001</v>
          </cell>
        </row>
        <row r="217">
          <cell r="E217" t="str">
            <v>YG_toe_cgas_2</v>
          </cell>
          <cell r="F217">
            <v>6.5892954929999998</v>
          </cell>
          <cell r="G217">
            <v>6.4160818040000001</v>
          </cell>
          <cell r="H217">
            <v>6.4581917789999999</v>
          </cell>
          <cell r="I217">
            <v>6.4663466329999997</v>
          </cell>
          <cell r="J217">
            <v>6.4623947629999998</v>
          </cell>
          <cell r="K217">
            <v>6.4512272260000003</v>
          </cell>
          <cell r="L217">
            <v>6.4290586840000001</v>
          </cell>
          <cell r="M217">
            <v>6.4037779099999996</v>
          </cell>
          <cell r="N217">
            <v>6.377074575</v>
          </cell>
          <cell r="O217">
            <v>6.3497855569999997</v>
          </cell>
          <cell r="P217">
            <v>6.3295227440000001</v>
          </cell>
          <cell r="Q217">
            <v>6.3000222050000003</v>
          </cell>
          <cell r="R217">
            <v>6.2708890449999997</v>
          </cell>
          <cell r="S217">
            <v>6.2423656669999996</v>
          </cell>
          <cell r="T217">
            <v>6.2146973870000002</v>
          </cell>
          <cell r="U217">
            <v>6.1879562740000003</v>
          </cell>
          <cell r="V217">
            <v>6.1606631260000002</v>
          </cell>
          <cell r="W217">
            <v>6.1343229929999996</v>
          </cell>
          <cell r="X217">
            <v>6.1089755730000004</v>
          </cell>
          <cell r="Y217">
            <v>6.0846088610000004</v>
          </cell>
          <cell r="Z217">
            <v>6.0564209279999996</v>
          </cell>
          <cell r="AA217">
            <v>6.034559453</v>
          </cell>
          <cell r="AB217">
            <v>6.0133258769999998</v>
          </cell>
          <cell r="AC217">
            <v>5.9926639289999999</v>
          </cell>
          <cell r="AD217">
            <v>5.9723691480000003</v>
          </cell>
          <cell r="AE217">
            <v>5.9392583029999999</v>
          </cell>
          <cell r="AF217">
            <v>5.9161432300000003</v>
          </cell>
          <cell r="AG217">
            <v>5.8937686310000004</v>
          </cell>
          <cell r="AH217">
            <v>5.8721163440000002</v>
          </cell>
          <cell r="AI217">
            <v>5.8508349800000001</v>
          </cell>
          <cell r="AJ217">
            <v>5.829524213</v>
          </cell>
          <cell r="AK217">
            <v>5.8082785670000003</v>
          </cell>
          <cell r="AL217">
            <v>5.7865982850000002</v>
          </cell>
          <cell r="AM217">
            <v>5.7643786889999999</v>
          </cell>
          <cell r="AN217">
            <v>5.7415698099999997</v>
          </cell>
          <cell r="AO217">
            <v>5.7181613540000003</v>
          </cell>
          <cell r="AP217">
            <v>5.6944707179999998</v>
          </cell>
          <cell r="AQ217">
            <v>5.6709870049999997</v>
          </cell>
          <cell r="AR217">
            <v>5.6474754159999998</v>
          </cell>
          <cell r="AS217">
            <v>5.6238492500000001</v>
          </cell>
          <cell r="AT217">
            <v>5.6000467220000001</v>
          </cell>
          <cell r="AU217">
            <v>5.5765255519999997</v>
          </cell>
          <cell r="AV217">
            <v>5.5527739150000004</v>
          </cell>
          <cell r="AW217">
            <v>5.5287501050000003</v>
          </cell>
          <cell r="AX217">
            <v>5.5044364589999999</v>
          </cell>
          <cell r="AY217">
            <v>5.4798371829999999</v>
          </cell>
          <cell r="AZ217">
            <v>5.4569172049999999</v>
          </cell>
          <cell r="BA217">
            <v>5.4337957279999998</v>
          </cell>
          <cell r="BB217">
            <v>5.4104406049999998</v>
          </cell>
          <cell r="BC217">
            <v>5.3868414089999996</v>
          </cell>
          <cell r="BD217">
            <v>5.3630219290000003</v>
          </cell>
          <cell r="BE217">
            <v>5.3400799409999999</v>
          </cell>
          <cell r="BF217">
            <v>5.3170547839999998</v>
          </cell>
          <cell r="BG217">
            <v>5.2939333910000004</v>
          </cell>
          <cell r="BH217">
            <v>5.2707135550000004</v>
          </cell>
          <cell r="BI217">
            <v>5.2474056920000001</v>
          </cell>
        </row>
        <row r="223">
          <cell r="E223" t="str">
            <v>YG_toe_cele_2</v>
          </cell>
          <cell r="F223">
            <v>57.463026259999999</v>
          </cell>
          <cell r="G223">
            <v>56.828193880000001</v>
          </cell>
          <cell r="H223">
            <v>56.941554410000002</v>
          </cell>
          <cell r="I223">
            <v>57.171219239999999</v>
          </cell>
          <cell r="J223">
            <v>57.495671360000003</v>
          </cell>
          <cell r="K223">
            <v>57.908816389999998</v>
          </cell>
          <cell r="L223">
            <v>58.364749099999997</v>
          </cell>
          <cell r="M223">
            <v>58.870153360000003</v>
          </cell>
          <cell r="N223">
            <v>59.416014369999999</v>
          </cell>
          <cell r="O223">
            <v>59.99140689</v>
          </cell>
          <cell r="P223">
            <v>60.640523129999998</v>
          </cell>
          <cell r="Q223">
            <v>61.262567349999998</v>
          </cell>
          <cell r="R223">
            <v>61.882572179999997</v>
          </cell>
          <cell r="S223">
            <v>62.501398799999997</v>
          </cell>
          <cell r="T223">
            <v>63.118128370000001</v>
          </cell>
          <cell r="U223">
            <v>63.732065339999998</v>
          </cell>
          <cell r="V223">
            <v>64.338084309999999</v>
          </cell>
          <cell r="W223">
            <v>64.940177430000006</v>
          </cell>
          <cell r="X223">
            <v>65.540021469999999</v>
          </cell>
          <cell r="Y223">
            <v>66.13927142</v>
          </cell>
          <cell r="Z223">
            <v>66.700771140000001</v>
          </cell>
          <cell r="AA223">
            <v>67.290581230000001</v>
          </cell>
          <cell r="AB223">
            <v>67.890875489999999</v>
          </cell>
          <cell r="AC223">
            <v>68.500486629999997</v>
          </cell>
          <cell r="AD223">
            <v>69.120099640000007</v>
          </cell>
          <cell r="AE223">
            <v>69.6402815</v>
          </cell>
          <cell r="AF223">
            <v>70.194010770000006</v>
          </cell>
          <cell r="AG223">
            <v>70.758812730000002</v>
          </cell>
          <cell r="AH223">
            <v>71.334655729999994</v>
          </cell>
          <cell r="AI223">
            <v>71.923223210000003</v>
          </cell>
          <cell r="AJ223">
            <v>72.526229439999994</v>
          </cell>
          <cell r="AK223">
            <v>73.146055000000004</v>
          </cell>
          <cell r="AL223">
            <v>73.782973560000002</v>
          </cell>
          <cell r="AM223">
            <v>74.437402030000001</v>
          </cell>
          <cell r="AN223">
            <v>75.109505179999999</v>
          </cell>
          <cell r="AO223">
            <v>75.799232509999996</v>
          </cell>
          <cell r="AP223">
            <v>76.489106750000005</v>
          </cell>
          <cell r="AQ223">
            <v>77.189677180000004</v>
          </cell>
          <cell r="AR223">
            <v>77.90300981</v>
          </cell>
          <cell r="AS223">
            <v>78.629817680000002</v>
          </cell>
          <cell r="AT223">
            <v>79.370457610000003</v>
          </cell>
          <cell r="AU223">
            <v>80.126485369999997</v>
          </cell>
          <cell r="AV223">
            <v>80.89716378</v>
          </cell>
          <cell r="AW223">
            <v>81.682324140000006</v>
          </cell>
          <cell r="AX223">
            <v>82.481798749999996</v>
          </cell>
          <cell r="AY223">
            <v>83.295402019999997</v>
          </cell>
          <cell r="AZ223">
            <v>84.129669190000001</v>
          </cell>
          <cell r="BA223">
            <v>84.980233159999997</v>
          </cell>
          <cell r="BB223">
            <v>85.845984569999999</v>
          </cell>
          <cell r="BC223">
            <v>86.726231549999994</v>
          </cell>
          <cell r="BD223">
            <v>87.620493510000003</v>
          </cell>
          <cell r="BE223">
            <v>88.531120729999998</v>
          </cell>
          <cell r="BF223">
            <v>89.456307589999994</v>
          </cell>
          <cell r="BG223">
            <v>90.395614780000002</v>
          </cell>
          <cell r="BH223">
            <v>91.348829100000003</v>
          </cell>
          <cell r="BI223">
            <v>92.315892430000005</v>
          </cell>
        </row>
        <row r="233">
          <cell r="E233" t="str">
            <v>YG_toe_chea_2</v>
          </cell>
          <cell r="F233">
            <v>5.7098781040000004</v>
          </cell>
          <cell r="G233">
            <v>5.7218157830000003</v>
          </cell>
          <cell r="H233">
            <v>5.7675736029999998</v>
          </cell>
          <cell r="I233">
            <v>5.8189458099999998</v>
          </cell>
          <cell r="J233">
            <v>5.8732544769999997</v>
          </cell>
          <cell r="K233">
            <v>5.9314454530000003</v>
          </cell>
          <cell r="L233">
            <v>5.9903061800000001</v>
          </cell>
          <cell r="M233">
            <v>6.049368619</v>
          </cell>
          <cell r="N233">
            <v>6.1080738219999997</v>
          </cell>
          <cell r="O233">
            <v>6.1664964099999997</v>
          </cell>
          <cell r="P233">
            <v>6.2337425360000003</v>
          </cell>
          <cell r="Q233">
            <v>6.2953323579999996</v>
          </cell>
          <cell r="R233">
            <v>6.3549440559999999</v>
          </cell>
          <cell r="S233">
            <v>6.413867346</v>
          </cell>
          <cell r="T233">
            <v>6.4725803109999998</v>
          </cell>
          <cell r="U233">
            <v>6.5312513980000002</v>
          </cell>
          <cell r="V233">
            <v>6.5894241530000004</v>
          </cell>
          <cell r="W233">
            <v>6.6474177259999996</v>
          </cell>
          <cell r="X233">
            <v>6.7053640659999996</v>
          </cell>
          <cell r="Y233">
            <v>6.7633396719999999</v>
          </cell>
          <cell r="Z233">
            <v>6.8154140639999996</v>
          </cell>
          <cell r="AA233">
            <v>6.8712733640000003</v>
          </cell>
          <cell r="AB233">
            <v>6.9287101040000003</v>
          </cell>
          <cell r="AC233">
            <v>6.9870026129999996</v>
          </cell>
          <cell r="AD233">
            <v>7.0459055399999997</v>
          </cell>
          <cell r="AE233">
            <v>7.088816091</v>
          </cell>
          <cell r="AF233">
            <v>7.1347112060000004</v>
          </cell>
          <cell r="AG233">
            <v>7.1818638119999996</v>
          </cell>
          <cell r="AH233">
            <v>7.2298350229999997</v>
          </cell>
          <cell r="AI233">
            <v>7.278519245</v>
          </cell>
          <cell r="AJ233">
            <v>7.3279144409999999</v>
          </cell>
          <cell r="AK233">
            <v>7.3781692230000004</v>
          </cell>
          <cell r="AL233">
            <v>7.4292493080000002</v>
          </cell>
          <cell r="AM233">
            <v>7.4811542639999997</v>
          </cell>
          <cell r="AN233">
            <v>7.5338896389999999</v>
          </cell>
          <cell r="AO233">
            <v>7.5874577959999998</v>
          </cell>
          <cell r="AP233">
            <v>7.6392741040000001</v>
          </cell>
          <cell r="AQ233">
            <v>7.6909071649999996</v>
          </cell>
          <cell r="AR233">
            <v>7.7428930640000004</v>
          </cell>
          <cell r="AS233">
            <v>7.7954444389999997</v>
          </cell>
          <cell r="AT233">
            <v>7.8486503799999996</v>
          </cell>
          <cell r="AU233">
            <v>7.9027149699999999</v>
          </cell>
          <cell r="AV233">
            <v>7.9575602319999996</v>
          </cell>
          <cell r="AW233">
            <v>8.0131516450000007</v>
          </cell>
          <cell r="AX233">
            <v>8.0694711540000004</v>
          </cell>
          <cell r="AY233">
            <v>8.1265064109999994</v>
          </cell>
          <cell r="AZ233">
            <v>8.1851065989999992</v>
          </cell>
          <cell r="BA233">
            <v>8.2447714990000005</v>
          </cell>
          <cell r="BB233">
            <v>8.3052955480000001</v>
          </cell>
          <cell r="BC233">
            <v>8.3665867089999999</v>
          </cell>
          <cell r="BD233">
            <v>8.4285997879999996</v>
          </cell>
          <cell r="BE233">
            <v>8.491654059</v>
          </cell>
          <cell r="BF233">
            <v>8.5555488610000001</v>
          </cell>
          <cell r="BG233">
            <v>8.6201982580000003</v>
          </cell>
          <cell r="BH233">
            <v>8.6855672459999997</v>
          </cell>
          <cell r="BI233">
            <v>8.7516437329999999</v>
          </cell>
        </row>
        <row r="235">
          <cell r="E235" t="str">
            <v>YG_toe_cbio_2</v>
          </cell>
          <cell r="F235">
            <v>11.178279010000001</v>
          </cell>
          <cell r="G235">
            <v>11.14707134</v>
          </cell>
          <cell r="H235">
            <v>11.137505880000001</v>
          </cell>
          <cell r="I235">
            <v>11.13061853</v>
          </cell>
          <cell r="J235">
            <v>11.131727550000001</v>
          </cell>
          <cell r="K235">
            <v>11.14275188</v>
          </cell>
          <cell r="L235">
            <v>11.15725114</v>
          </cell>
          <cell r="M235">
            <v>11.176719459999999</v>
          </cell>
          <cell r="N235">
            <v>11.20122303</v>
          </cell>
          <cell r="O235">
            <v>11.23002967</v>
          </cell>
          <cell r="P235">
            <v>11.270885959999999</v>
          </cell>
          <cell r="Q235">
            <v>11.308202</v>
          </cell>
          <cell r="R235">
            <v>11.34479032</v>
          </cell>
          <cell r="S235">
            <v>11.381363090000001</v>
          </cell>
          <cell r="T235">
            <v>11.41802347</v>
          </cell>
          <cell r="U235">
            <v>11.454740279999999</v>
          </cell>
          <cell r="V235">
            <v>11.49051379</v>
          </cell>
          <cell r="W235">
            <v>11.52593437</v>
          </cell>
          <cell r="X235">
            <v>11.56126662</v>
          </cell>
          <cell r="Y235">
            <v>11.59668843</v>
          </cell>
          <cell r="Z235">
            <v>11.62634254</v>
          </cell>
          <cell r="AA235">
            <v>11.65984372</v>
          </cell>
          <cell r="AB235">
            <v>11.695239279999999</v>
          </cell>
          <cell r="AC235">
            <v>11.73192034</v>
          </cell>
          <cell r="AD235">
            <v>11.76970923</v>
          </cell>
          <cell r="AE235">
            <v>11.79191999</v>
          </cell>
          <cell r="AF235">
            <v>11.81739621</v>
          </cell>
          <cell r="AG235">
            <v>11.844578419999999</v>
          </cell>
          <cell r="AH235">
            <v>11.873135680000001</v>
          </cell>
          <cell r="AI235">
            <v>11.90303567</v>
          </cell>
          <cell r="AJ235">
            <v>11.934341229999999</v>
          </cell>
          <cell r="AK235">
            <v>11.9673464</v>
          </cell>
          <cell r="AL235">
            <v>12.001985230000001</v>
          </cell>
          <cell r="AM235">
            <v>12.038247569999999</v>
          </cell>
          <cell r="AN235">
            <v>12.07612754</v>
          </cell>
          <cell r="AO235">
            <v>12.115612260000001</v>
          </cell>
          <cell r="AP235">
            <v>12.154847800000001</v>
          </cell>
          <cell r="AQ235">
            <v>12.194791220000001</v>
          </cell>
          <cell r="AR235">
            <v>12.235785740000001</v>
          </cell>
          <cell r="AS235">
            <v>12.277967390000001</v>
          </cell>
          <cell r="AT235">
            <v>12.32139667</v>
          </cell>
          <cell r="AU235">
            <v>12.36639871</v>
          </cell>
          <cell r="AV235">
            <v>12.41281408</v>
          </cell>
          <cell r="AW235">
            <v>12.460578140000001</v>
          </cell>
          <cell r="AX235">
            <v>12.509654749999999</v>
          </cell>
          <cell r="AY235">
            <v>12.560018510000001</v>
          </cell>
          <cell r="AZ235">
            <v>12.612942990000001</v>
          </cell>
          <cell r="BA235">
            <v>12.66766374</v>
          </cell>
          <cell r="BB235">
            <v>12.723874240000001</v>
          </cell>
          <cell r="BC235">
            <v>12.781425670000001</v>
          </cell>
          <cell r="BD235">
            <v>12.840240700000001</v>
          </cell>
          <cell r="BE235">
            <v>12.900873969999999</v>
          </cell>
          <cell r="BF235">
            <v>12.962959789999999</v>
          </cell>
          <cell r="BG235">
            <v>13.02635401</v>
          </cell>
          <cell r="BH235">
            <v>13.09099294</v>
          </cell>
          <cell r="BI235">
            <v>13.156852349999999</v>
          </cell>
        </row>
        <row r="238">
          <cell r="E238" t="str">
            <v>YG_toe_cote_2</v>
          </cell>
          <cell r="F238">
            <v>13.84348756</v>
          </cell>
          <cell r="G238">
            <v>13.4744572</v>
          </cell>
          <cell r="H238">
            <v>13.55210918</v>
          </cell>
          <cell r="I238">
            <v>13.67535324</v>
          </cell>
          <cell r="J238">
            <v>13.818274840000001</v>
          </cell>
          <cell r="K238">
            <v>13.975627530000001</v>
          </cell>
          <cell r="L238">
            <v>14.134356</v>
          </cell>
          <cell r="M238">
            <v>14.30053472</v>
          </cell>
          <cell r="N238">
            <v>14.473292130000001</v>
          </cell>
          <cell r="O238">
            <v>14.651443779999999</v>
          </cell>
          <cell r="P238">
            <v>14.851318709999999</v>
          </cell>
          <cell r="Q238">
            <v>15.03874701</v>
          </cell>
          <cell r="R238">
            <v>15.22706215</v>
          </cell>
          <cell r="S238">
            <v>15.4170347</v>
          </cell>
          <cell r="T238">
            <v>15.60864533</v>
          </cell>
          <cell r="U238">
            <v>15.801821650000001</v>
          </cell>
          <cell r="V238">
            <v>15.99427794</v>
          </cell>
          <cell r="W238">
            <v>16.18814046</v>
          </cell>
          <cell r="X238">
            <v>16.383736750000001</v>
          </cell>
          <cell r="Y238">
            <v>16.581296219999999</v>
          </cell>
          <cell r="Z238">
            <v>16.768481139999999</v>
          </cell>
          <cell r="AA238">
            <v>16.968030200000001</v>
          </cell>
          <cell r="AB238">
            <v>17.171466840000001</v>
          </cell>
          <cell r="AC238">
            <v>17.378236090000001</v>
          </cell>
          <cell r="AD238">
            <v>17.588355329999999</v>
          </cell>
          <cell r="AE238">
            <v>17.766141749999999</v>
          </cell>
          <cell r="AF238">
            <v>17.959723539999999</v>
          </cell>
          <cell r="AG238">
            <v>18.156784160000001</v>
          </cell>
          <cell r="AH238">
            <v>18.35680189</v>
          </cell>
          <cell r="AI238">
            <v>18.55994626</v>
          </cell>
          <cell r="AJ238">
            <v>18.766460210000002</v>
          </cell>
          <cell r="AK238">
            <v>18.977054939999999</v>
          </cell>
          <cell r="AL238">
            <v>19.19142128</v>
          </cell>
          <cell r="AM238">
            <v>19.409603350000001</v>
          </cell>
          <cell r="AN238">
            <v>19.63162887</v>
          </cell>
          <cell r="AO238">
            <v>19.85749697</v>
          </cell>
          <cell r="AP238">
            <v>20.083194280000001</v>
          </cell>
          <cell r="AQ238">
            <v>20.311283400000001</v>
          </cell>
          <cell r="AR238">
            <v>20.542178589999999</v>
          </cell>
          <cell r="AS238">
            <v>20.776053579999999</v>
          </cell>
          <cell r="AT238">
            <v>21.013016660000002</v>
          </cell>
          <cell r="AU238">
            <v>21.253863209999999</v>
          </cell>
          <cell r="AV238">
            <v>21.49802828</v>
          </cell>
          <cell r="AW238">
            <v>21.745498300000001</v>
          </cell>
          <cell r="AX238">
            <v>21.996284889999998</v>
          </cell>
          <cell r="AY238">
            <v>22.25039529</v>
          </cell>
          <cell r="AZ238">
            <v>22.511003420000002</v>
          </cell>
          <cell r="BA238">
            <v>22.7754172</v>
          </cell>
          <cell r="BB238">
            <v>23.043375269999999</v>
          </cell>
          <cell r="BC238">
            <v>23.314801320000001</v>
          </cell>
          <cell r="BD238">
            <v>23.589661459999999</v>
          </cell>
          <cell r="BE238">
            <v>23.869449500000002</v>
          </cell>
          <cell r="BF238">
            <v>24.152852920000001</v>
          </cell>
          <cell r="BG238">
            <v>24.439768140000002</v>
          </cell>
          <cell r="BH238">
            <v>24.73018927</v>
          </cell>
          <cell r="BI238">
            <v>25.02413782</v>
          </cell>
        </row>
        <row r="241">
          <cell r="E241" t="str">
            <v>YG_toe_0</v>
          </cell>
          <cell r="F241">
            <v>148.75390949999999</v>
          </cell>
          <cell r="G241">
            <v>147.05079620000001</v>
          </cell>
          <cell r="H241">
            <v>147.69487839999999</v>
          </cell>
          <cell r="I241">
            <v>148.60496240000001</v>
          </cell>
          <cell r="J241">
            <v>149.7280547</v>
          </cell>
          <cell r="K241">
            <v>151.04792879999999</v>
          </cell>
          <cell r="L241">
            <v>152.4538244</v>
          </cell>
          <cell r="M241">
            <v>153.96914559999999</v>
          </cell>
          <cell r="N241">
            <v>155.5725334</v>
          </cell>
          <cell r="O241">
            <v>157.2395271</v>
          </cell>
          <cell r="P241">
            <v>159.09457889999999</v>
          </cell>
          <cell r="Q241">
            <v>160.87909339999999</v>
          </cell>
          <cell r="R241">
            <v>162.6631907</v>
          </cell>
          <cell r="S241">
            <v>164.45035490000001</v>
          </cell>
          <cell r="T241">
            <v>166.241195</v>
          </cell>
          <cell r="U241">
            <v>168.03641930000001</v>
          </cell>
          <cell r="V241">
            <v>169.83702640000001</v>
          </cell>
          <cell r="W241">
            <v>171.64427319999999</v>
          </cell>
          <cell r="X241">
            <v>173.4596779</v>
          </cell>
          <cell r="Y241">
            <v>175.28505770000001</v>
          </cell>
          <cell r="Z241">
            <v>177.01668219999999</v>
          </cell>
          <cell r="AA241">
            <v>178.83608609999999</v>
          </cell>
          <cell r="AB241">
            <v>180.6858029</v>
          </cell>
          <cell r="AC241">
            <v>182.561578</v>
          </cell>
          <cell r="AD241">
            <v>184.46396200000001</v>
          </cell>
          <cell r="AE241">
            <v>186.09191290000001</v>
          </cell>
          <cell r="AF241">
            <v>187.81679800000001</v>
          </cell>
          <cell r="AG241">
            <v>189.56590610000001</v>
          </cell>
          <cell r="AH241">
            <v>191.3385031</v>
          </cell>
          <cell r="AI241">
            <v>193.13787239999999</v>
          </cell>
          <cell r="AJ241">
            <v>194.96763050000001</v>
          </cell>
          <cell r="AK241">
            <v>196.83081189999999</v>
          </cell>
          <cell r="AL241">
            <v>198.72958940000001</v>
          </cell>
          <cell r="AM241">
            <v>200.6655092</v>
          </cell>
          <cell r="AN241">
            <v>202.6395334</v>
          </cell>
          <cell r="AO241">
            <v>204.6521128</v>
          </cell>
          <cell r="AP241">
            <v>206.6313237</v>
          </cell>
          <cell r="AQ241">
            <v>208.62628369999999</v>
          </cell>
          <cell r="AR241">
            <v>210.6449466</v>
          </cell>
          <cell r="AS241">
            <v>212.69059200000001</v>
          </cell>
          <cell r="AT241">
            <v>214.76498520000001</v>
          </cell>
          <cell r="AU241">
            <v>216.8692102</v>
          </cell>
          <cell r="AV241">
            <v>219.0039146</v>
          </cell>
          <cell r="AW241">
            <v>221.16942209999999</v>
          </cell>
          <cell r="AX241">
            <v>223.36581749999999</v>
          </cell>
          <cell r="AY241">
            <v>225.593233</v>
          </cell>
          <cell r="AZ241">
            <v>227.85862710000001</v>
          </cell>
          <cell r="BA241">
            <v>230.15821639999999</v>
          </cell>
          <cell r="BB241">
            <v>232.4918208</v>
          </cell>
          <cell r="BC241">
            <v>234.85948389999999</v>
          </cell>
          <cell r="BD241">
            <v>237.26123079999999</v>
          </cell>
          <cell r="BE241">
            <v>239.69706909999999</v>
          </cell>
          <cell r="BF241">
            <v>242.16703759999999</v>
          </cell>
          <cell r="BG241">
            <v>244.6712473</v>
          </cell>
          <cell r="BH241">
            <v>247.20990420000001</v>
          </cell>
          <cell r="BI241">
            <v>249.7833158</v>
          </cell>
        </row>
        <row r="242">
          <cell r="E242" t="str">
            <v>YG_toe_ccoa_0</v>
          </cell>
          <cell r="F242">
            <v>2.3953103800000002</v>
          </cell>
          <cell r="G242">
            <v>2.3460811349999999</v>
          </cell>
          <cell r="H242">
            <v>2.356987438</v>
          </cell>
          <cell r="I242">
            <v>2.381759508</v>
          </cell>
          <cell r="J242">
            <v>2.4115504959999998</v>
          </cell>
          <cell r="K242">
            <v>2.4443356719999998</v>
          </cell>
          <cell r="L242">
            <v>2.4779525640000002</v>
          </cell>
          <cell r="M242">
            <v>2.5129637809999998</v>
          </cell>
          <cell r="N242">
            <v>2.5492907370000002</v>
          </cell>
          <cell r="O242">
            <v>2.58675699</v>
          </cell>
          <cell r="P242">
            <v>2.6278004469999998</v>
          </cell>
          <cell r="Q242">
            <v>2.668037757</v>
          </cell>
          <cell r="R242">
            <v>2.7086944119999998</v>
          </cell>
          <cell r="S242">
            <v>2.7499378970000001</v>
          </cell>
          <cell r="T242">
            <v>2.7917499100000001</v>
          </cell>
          <cell r="U242">
            <v>2.8340997780000001</v>
          </cell>
          <cell r="V242">
            <v>2.8769742169999999</v>
          </cell>
          <cell r="W242">
            <v>2.9203780269999999</v>
          </cell>
          <cell r="X242">
            <v>2.9643292460000001</v>
          </cell>
          <cell r="Y242">
            <v>3.008854071</v>
          </cell>
          <cell r="Z242">
            <v>3.0520962759999999</v>
          </cell>
          <cell r="AA242">
            <v>3.0972614730000001</v>
          </cell>
          <cell r="AB242">
            <v>3.143375925</v>
          </cell>
          <cell r="AC242">
            <v>3.1902725279999999</v>
          </cell>
          <cell r="AD242">
            <v>3.2379413819999998</v>
          </cell>
          <cell r="AE242">
            <v>3.2809396049999999</v>
          </cell>
          <cell r="AF242">
            <v>3.3258700750000001</v>
          </cell>
          <cell r="AG242">
            <v>3.3715749169999998</v>
          </cell>
          <cell r="AH242">
            <v>3.4178725089999999</v>
          </cell>
          <cell r="AI242">
            <v>3.4647725710000001</v>
          </cell>
          <cell r="AJ242">
            <v>3.5123142610000002</v>
          </cell>
          <cell r="AK242">
            <v>3.5605329480000001</v>
          </cell>
          <cell r="AL242">
            <v>3.6094522410000001</v>
          </cell>
          <cell r="AM242">
            <v>3.6590858119999998</v>
          </cell>
          <cell r="AN242">
            <v>3.7094387580000001</v>
          </cell>
          <cell r="AO242">
            <v>3.760509528</v>
          </cell>
          <cell r="AP242">
            <v>3.8109620959999999</v>
          </cell>
          <cell r="AQ242">
            <v>3.8616758560000002</v>
          </cell>
          <cell r="AR242">
            <v>3.9128348169999998</v>
          </cell>
          <cell r="AS242">
            <v>3.9644866560000001</v>
          </cell>
          <cell r="AT242">
            <v>4.0166533040000001</v>
          </cell>
          <cell r="AU242">
            <v>4.069351181</v>
          </cell>
          <cell r="AV242">
            <v>4.1225940400000001</v>
          </cell>
          <cell r="AW242">
            <v>4.1763928850000003</v>
          </cell>
          <cell r="AX242">
            <v>4.2307559010000002</v>
          </cell>
          <cell r="AY242">
            <v>4.2856886669999996</v>
          </cell>
          <cell r="AZ242">
            <v>4.3413158960000002</v>
          </cell>
          <cell r="BA242">
            <v>4.3975585969999997</v>
          </cell>
          <cell r="BB242">
            <v>4.4544009210000004</v>
          </cell>
          <cell r="BC242">
            <v>4.511840104</v>
          </cell>
          <cell r="BD242">
            <v>4.5698769410000004</v>
          </cell>
          <cell r="BE242">
            <v>4.6285142549999998</v>
          </cell>
          <cell r="BF242">
            <v>4.6877567879999997</v>
          </cell>
          <cell r="BG242">
            <v>4.7476112439999998</v>
          </cell>
          <cell r="BH242">
            <v>4.8080862529999999</v>
          </cell>
          <cell r="BI242">
            <v>4.8691922239999998</v>
          </cell>
        </row>
        <row r="245">
          <cell r="E245" t="str">
            <v>YG_toe_ccoi_0</v>
          </cell>
          <cell r="F245">
            <v>1.0973689259999999</v>
          </cell>
          <cell r="G245">
            <v>1.081231807</v>
          </cell>
          <cell r="H245">
            <v>1.0825688149999999</v>
          </cell>
          <cell r="I245">
            <v>1.088538185</v>
          </cell>
          <cell r="J245">
            <v>1.0967973150000001</v>
          </cell>
          <cell r="K245">
            <v>1.1068189159999999</v>
          </cell>
          <cell r="L245">
            <v>1.1177504309999999</v>
          </cell>
          <cell r="M245">
            <v>1.1296438980000001</v>
          </cell>
          <cell r="N245">
            <v>1.142343551</v>
          </cell>
          <cell r="O245">
            <v>1.1556687569999999</v>
          </cell>
          <cell r="P245">
            <v>1.1704462470000001</v>
          </cell>
          <cell r="Q245">
            <v>1.1850323819999999</v>
          </cell>
          <cell r="R245">
            <v>1.199765129</v>
          </cell>
          <cell r="S245">
            <v>1.2146845040000001</v>
          </cell>
          <cell r="T245">
            <v>1.229772262</v>
          </cell>
          <cell r="U245">
            <v>1.245008447</v>
          </cell>
          <cell r="V245">
            <v>1.2603797349999999</v>
          </cell>
          <cell r="W245">
            <v>1.2758788940000001</v>
          </cell>
          <cell r="X245">
            <v>1.291503426</v>
          </cell>
          <cell r="Y245">
            <v>1.307254524</v>
          </cell>
          <cell r="Z245">
            <v>1.3224335190000001</v>
          </cell>
          <cell r="AA245">
            <v>1.338187818</v>
          </cell>
          <cell r="AB245">
            <v>1.3542071470000001</v>
          </cell>
          <cell r="AC245">
            <v>1.3704246309999999</v>
          </cell>
          <cell r="AD245">
            <v>1.3868338870000001</v>
          </cell>
          <cell r="AE245">
            <v>1.4014167319999999</v>
          </cell>
          <cell r="AF245">
            <v>1.4165107779999999</v>
          </cell>
          <cell r="AG245">
            <v>1.431791732</v>
          </cell>
          <cell r="AH245">
            <v>1.447206196</v>
          </cell>
          <cell r="AI245">
            <v>1.4627687629999999</v>
          </cell>
          <cell r="AJ245">
            <v>1.47850496</v>
          </cell>
          <cell r="AK245">
            <v>1.4944380930000001</v>
          </cell>
          <cell r="AL245">
            <v>1.5105857</v>
          </cell>
          <cell r="AM245">
            <v>1.526961083</v>
          </cell>
          <cell r="AN245">
            <v>1.5435738569999999</v>
          </cell>
          <cell r="AO245">
            <v>1.5604305089999999</v>
          </cell>
          <cell r="AP245">
            <v>1.5770477009999999</v>
          </cell>
          <cell r="AQ245">
            <v>1.593728721</v>
          </cell>
          <cell r="AR245">
            <v>1.6105551549999999</v>
          </cell>
          <cell r="AS245">
            <v>1.6275552959999999</v>
          </cell>
          <cell r="AT245">
            <v>1.6447452010000001</v>
          </cell>
          <cell r="AU245">
            <v>1.6621370120000001</v>
          </cell>
          <cell r="AV245">
            <v>1.6797403470000001</v>
          </cell>
          <cell r="AW245">
            <v>1.697562512</v>
          </cell>
          <cell r="AX245">
            <v>1.715608732</v>
          </cell>
          <cell r="AY245">
            <v>1.7338830940000001</v>
          </cell>
          <cell r="AZ245">
            <v>1.7524337780000001</v>
          </cell>
          <cell r="BA245">
            <v>1.7712373159999999</v>
          </cell>
          <cell r="BB245">
            <v>1.790289528</v>
          </cell>
          <cell r="BC245">
            <v>1.8095901190000001</v>
          </cell>
          <cell r="BD245">
            <v>1.829139179</v>
          </cell>
          <cell r="BE245">
            <v>1.8489367560000001</v>
          </cell>
          <cell r="BF245">
            <v>1.8689830220000001</v>
          </cell>
          <cell r="BG245">
            <v>1.8892784629999999</v>
          </cell>
          <cell r="BH245">
            <v>1.909823974</v>
          </cell>
          <cell r="BI245">
            <v>1.930620886</v>
          </cell>
        </row>
        <row r="248">
          <cell r="E248" t="str">
            <v>YG_toe_cfut_0</v>
          </cell>
          <cell r="F248">
            <v>42.403763189999999</v>
          </cell>
          <cell r="G248">
            <v>41.768581060000002</v>
          </cell>
          <cell r="H248">
            <v>41.871391510000002</v>
          </cell>
          <cell r="I248">
            <v>42.076055959999998</v>
          </cell>
          <cell r="J248">
            <v>42.366661440000001</v>
          </cell>
          <cell r="K248">
            <v>42.73327518</v>
          </cell>
          <cell r="L248">
            <v>43.143070160000001</v>
          </cell>
          <cell r="M248">
            <v>43.598111090000003</v>
          </cell>
          <cell r="N248">
            <v>44.089741619999998</v>
          </cell>
          <cell r="O248">
            <v>44.61037838</v>
          </cell>
          <cell r="P248">
            <v>45.190135179999999</v>
          </cell>
          <cell r="Q248">
            <v>45.763196090000001</v>
          </cell>
          <cell r="R248">
            <v>46.347822770000001</v>
          </cell>
          <cell r="S248">
            <v>46.942564249999997</v>
          </cell>
          <cell r="T248">
            <v>47.545530720000002</v>
          </cell>
          <cell r="U248">
            <v>48.155218660000003</v>
          </cell>
          <cell r="V248">
            <v>48.770573509999998</v>
          </cell>
          <cell r="W248">
            <v>49.390912319999998</v>
          </cell>
          <cell r="X248">
            <v>50.015836929999999</v>
          </cell>
          <cell r="Y248">
            <v>50.64516287</v>
          </cell>
          <cell r="Z248">
            <v>51.252015229999998</v>
          </cell>
          <cell r="AA248">
            <v>51.882012830000001</v>
          </cell>
          <cell r="AB248">
            <v>52.518984289999999</v>
          </cell>
          <cell r="AC248">
            <v>53.162162960000003</v>
          </cell>
          <cell r="AD248">
            <v>53.811652979999998</v>
          </cell>
          <cell r="AE248">
            <v>54.39023057</v>
          </cell>
          <cell r="AF248">
            <v>54.992876600000002</v>
          </cell>
          <cell r="AG248">
            <v>55.59767592</v>
          </cell>
          <cell r="AH248">
            <v>56.204946960000001</v>
          </cell>
          <cell r="AI248">
            <v>56.81597764</v>
          </cell>
          <cell r="AJ248">
            <v>57.432063120000002</v>
          </cell>
          <cell r="AK248">
            <v>58.054290350000002</v>
          </cell>
          <cell r="AL248">
            <v>58.683506749999999</v>
          </cell>
          <cell r="AM248">
            <v>59.320344040000002</v>
          </cell>
          <cell r="AN248">
            <v>59.965255790000001</v>
          </cell>
          <cell r="AO248">
            <v>60.61855722</v>
          </cell>
          <cell r="AP248">
            <v>61.261773239999997</v>
          </cell>
          <cell r="AQ248">
            <v>61.90797096</v>
          </cell>
          <cell r="AR248">
            <v>62.558797159999997</v>
          </cell>
          <cell r="AS248">
            <v>63.21515059</v>
          </cell>
          <cell r="AT248">
            <v>63.87775371</v>
          </cell>
          <cell r="AU248">
            <v>64.547231159999995</v>
          </cell>
          <cell r="AV248">
            <v>65.224104019999999</v>
          </cell>
          <cell r="AW248">
            <v>65.908782970000004</v>
          </cell>
          <cell r="AX248">
            <v>66.601573000000002</v>
          </cell>
          <cell r="AY248">
            <v>67.302689360000002</v>
          </cell>
          <cell r="AZ248">
            <v>68.013967050000005</v>
          </cell>
          <cell r="BA248">
            <v>68.734323860000003</v>
          </cell>
          <cell r="BB248">
            <v>69.463677820000001</v>
          </cell>
          <cell r="BC248">
            <v>70.201990469999998</v>
          </cell>
          <cell r="BD248">
            <v>70.949226870000004</v>
          </cell>
          <cell r="BE248">
            <v>71.705357680000006</v>
          </cell>
          <cell r="BF248">
            <v>72.470365799999996</v>
          </cell>
          <cell r="BG248">
            <v>73.244250600000001</v>
          </cell>
          <cell r="BH248">
            <v>74.027029040000002</v>
          </cell>
          <cell r="BI248">
            <v>74.818734539999994</v>
          </cell>
        </row>
        <row r="251">
          <cell r="E251" t="str">
            <v>YG_toe_cfuh_0</v>
          </cell>
          <cell r="F251">
            <v>7.9428238840000001</v>
          </cell>
          <cell r="G251">
            <v>7.9047964759999996</v>
          </cell>
          <cell r="H251">
            <v>7.9315508939999999</v>
          </cell>
          <cell r="I251">
            <v>7.9693903089999996</v>
          </cell>
          <cell r="J251">
            <v>8.0161693920000001</v>
          </cell>
          <cell r="K251">
            <v>8.0718908280000008</v>
          </cell>
          <cell r="L251">
            <v>8.1319315410000002</v>
          </cell>
          <cell r="M251">
            <v>8.1973398700000004</v>
          </cell>
          <cell r="N251">
            <v>8.267258043</v>
          </cell>
          <cell r="O251">
            <v>8.3402113690000004</v>
          </cell>
          <cell r="P251">
            <v>8.4230371589999997</v>
          </cell>
          <cell r="Q251">
            <v>8.5043603559999994</v>
          </cell>
          <cell r="R251">
            <v>8.5862517589999996</v>
          </cell>
          <cell r="S251">
            <v>8.6687970599999993</v>
          </cell>
          <cell r="T251">
            <v>8.7519705000000005</v>
          </cell>
          <cell r="U251">
            <v>8.8357812060000001</v>
          </cell>
          <cell r="V251">
            <v>8.920249578</v>
          </cell>
          <cell r="W251">
            <v>9.0053893630000008</v>
          </cell>
          <cell r="X251">
            <v>9.0912090919999997</v>
          </cell>
          <cell r="Y251">
            <v>9.1777212670000008</v>
          </cell>
          <cell r="Z251">
            <v>9.2600272839999995</v>
          </cell>
          <cell r="AA251">
            <v>9.3460208589999993</v>
          </cell>
          <cell r="AB251">
            <v>9.4336284609999996</v>
          </cell>
          <cell r="AC251">
            <v>9.5225025060000004</v>
          </cell>
          <cell r="AD251">
            <v>9.6126008729999999</v>
          </cell>
          <cell r="AE251">
            <v>9.6898987559999998</v>
          </cell>
          <cell r="AF251">
            <v>9.7702408179999995</v>
          </cell>
          <cell r="AG251">
            <v>9.8514853309999992</v>
          </cell>
          <cell r="AH251">
            <v>9.9335417439999993</v>
          </cell>
          <cell r="AI251">
            <v>10.01657348</v>
          </cell>
          <cell r="AJ251">
            <v>10.100773179999999</v>
          </cell>
          <cell r="AK251">
            <v>10.18630986</v>
          </cell>
          <cell r="AL251">
            <v>10.27328185</v>
          </cell>
          <cell r="AM251">
            <v>10.361779650000001</v>
          </cell>
          <cell r="AN251">
            <v>10.4518778</v>
          </cell>
          <cell r="AO251">
            <v>10.54363008</v>
          </cell>
          <cell r="AP251">
            <v>10.633738790000001</v>
          </cell>
          <cell r="AQ251">
            <v>10.724166090000001</v>
          </cell>
          <cell r="AR251">
            <v>10.815420039999999</v>
          </cell>
          <cell r="AS251">
            <v>10.90771947</v>
          </cell>
          <cell r="AT251">
            <v>11.00118631</v>
          </cell>
          <cell r="AU251">
            <v>11.095896590000001</v>
          </cell>
          <cell r="AV251">
            <v>11.191896849999999</v>
          </cell>
          <cell r="AW251">
            <v>11.28921207</v>
          </cell>
          <cell r="AX251">
            <v>11.3878529</v>
          </cell>
          <cell r="AY251">
            <v>11.48784085</v>
          </cell>
          <cell r="AZ251">
            <v>11.58953429</v>
          </cell>
          <cell r="BA251">
            <v>11.692835519999999</v>
          </cell>
          <cell r="BB251">
            <v>11.797766709999999</v>
          </cell>
          <cell r="BC251">
            <v>11.90435664</v>
          </cell>
          <cell r="BD251">
            <v>12.01262537</v>
          </cell>
          <cell r="BE251">
            <v>12.122585279999999</v>
          </cell>
          <cell r="BF251">
            <v>12.23424526</v>
          </cell>
          <cell r="BG251">
            <v>12.347614439999999</v>
          </cell>
          <cell r="BH251">
            <v>12.462704540000001</v>
          </cell>
          <cell r="BI251">
            <v>12.579531060000001</v>
          </cell>
        </row>
        <row r="253">
          <cell r="E253" t="str">
            <v>YG_toe_cgas_0</v>
          </cell>
          <cell r="F253">
            <v>6.6062603260000001</v>
          </cell>
          <cell r="G253">
            <v>6.4631010529999999</v>
          </cell>
          <cell r="H253">
            <v>6.5330241029999998</v>
          </cell>
          <cell r="I253">
            <v>6.5673077400000004</v>
          </cell>
          <cell r="J253">
            <v>6.5885733340000003</v>
          </cell>
          <cell r="K253">
            <v>6.6024655619999999</v>
          </cell>
          <cell r="L253">
            <v>6.6066502070000004</v>
          </cell>
          <cell r="M253">
            <v>6.607018418</v>
          </cell>
          <cell r="N253">
            <v>6.6042653199999997</v>
          </cell>
          <cell r="O253">
            <v>6.5984277809999998</v>
          </cell>
          <cell r="P253">
            <v>6.5979852020000003</v>
          </cell>
          <cell r="Q253">
            <v>6.5869173569999999</v>
          </cell>
          <cell r="R253">
            <v>6.5731744020000002</v>
          </cell>
          <cell r="S253">
            <v>6.557424299</v>
          </cell>
          <cell r="T253">
            <v>6.5410113330000001</v>
          </cell>
          <cell r="U253">
            <v>6.5251263169999998</v>
          </cell>
          <cell r="V253">
            <v>6.5105494720000001</v>
          </cell>
          <cell r="W253">
            <v>6.4976582680000003</v>
          </cell>
          <cell r="X253">
            <v>6.4865348049999998</v>
          </cell>
          <cell r="Y253">
            <v>6.4770835800000004</v>
          </cell>
          <cell r="Z253">
            <v>6.4638852619999998</v>
          </cell>
          <cell r="AA253">
            <v>6.457850884</v>
          </cell>
          <cell r="AB253">
            <v>6.4527640450000003</v>
          </cell>
          <cell r="AC253">
            <v>6.4485159879999996</v>
          </cell>
          <cell r="AD253">
            <v>6.44489365</v>
          </cell>
          <cell r="AE253">
            <v>6.427011051</v>
          </cell>
          <cell r="AF253">
            <v>6.4194145249999996</v>
          </cell>
          <cell r="AG253">
            <v>6.4126802620000003</v>
          </cell>
          <cell r="AH253">
            <v>6.4067986130000003</v>
          </cell>
          <cell r="AI253">
            <v>6.4014018540000004</v>
          </cell>
          <cell r="AJ253">
            <v>6.3961726829999996</v>
          </cell>
          <cell r="AK253">
            <v>6.3908830920000002</v>
          </cell>
          <cell r="AL253">
            <v>6.3853164759999999</v>
          </cell>
          <cell r="AM253">
            <v>6.3794058890000001</v>
          </cell>
          <cell r="AN253">
            <v>6.373166264</v>
          </cell>
          <cell r="AO253">
            <v>6.3666507579999996</v>
          </cell>
          <cell r="AP253">
            <v>6.3565130109999997</v>
          </cell>
          <cell r="AQ253">
            <v>6.3467430770000002</v>
          </cell>
          <cell r="AR253">
            <v>6.3372049549999998</v>
          </cell>
          <cell r="AS253">
            <v>6.3278207630000001</v>
          </cell>
          <cell r="AT253">
            <v>6.3184459730000002</v>
          </cell>
          <cell r="AU253">
            <v>6.3089042539999998</v>
          </cell>
          <cell r="AV253">
            <v>6.2990214330000001</v>
          </cell>
          <cell r="AW253">
            <v>6.2886448880000003</v>
          </cell>
          <cell r="AX253">
            <v>6.2776569389999999</v>
          </cell>
          <cell r="AY253">
            <v>6.2660579739999998</v>
          </cell>
          <cell r="AZ253">
            <v>6.2543559850000001</v>
          </cell>
          <cell r="BA253">
            <v>6.2424982529999999</v>
          </cell>
          <cell r="BB253">
            <v>6.2307766649999996</v>
          </cell>
          <cell r="BC253">
            <v>6.2194093529999996</v>
          </cell>
          <cell r="BD253">
            <v>6.2085511840000001</v>
          </cell>
          <cell r="BE253">
            <v>6.1983049689999996</v>
          </cell>
          <cell r="BF253">
            <v>6.1887351170000002</v>
          </cell>
          <cell r="BG253">
            <v>6.1798797910000003</v>
          </cell>
          <cell r="BH253">
            <v>6.1717600270000004</v>
          </cell>
          <cell r="BI253">
            <v>6.1643859570000004</v>
          </cell>
        </row>
        <row r="259">
          <cell r="E259" t="str">
            <v>YG_toe_cele_0</v>
          </cell>
          <cell r="F259">
            <v>57.52966223</v>
          </cell>
          <cell r="G259">
            <v>57.017870780000003</v>
          </cell>
          <cell r="H259">
            <v>57.257272219999997</v>
          </cell>
          <cell r="I259">
            <v>57.613241000000002</v>
          </cell>
          <cell r="J259">
            <v>58.062964280000003</v>
          </cell>
          <cell r="K259">
            <v>58.59987684</v>
          </cell>
          <cell r="L259">
            <v>59.179648540000002</v>
          </cell>
          <cell r="M259">
            <v>59.805696910000002</v>
          </cell>
          <cell r="N259">
            <v>60.466002209999999</v>
          </cell>
          <cell r="O259">
            <v>61.147127609999998</v>
          </cell>
          <cell r="P259">
            <v>61.89698886</v>
          </cell>
          <cell r="Q259">
            <v>62.61861313</v>
          </cell>
          <cell r="R259">
            <v>63.334075970000001</v>
          </cell>
          <cell r="S259">
            <v>64.044063949999995</v>
          </cell>
          <cell r="T259">
            <v>64.748408280000007</v>
          </cell>
          <cell r="U259">
            <v>65.447418150000004</v>
          </cell>
          <cell r="V259">
            <v>66.141868639999998</v>
          </cell>
          <cell r="W259">
            <v>66.832883010000003</v>
          </cell>
          <cell r="X259">
            <v>67.52186657</v>
          </cell>
          <cell r="Y259">
            <v>68.210461420000001</v>
          </cell>
          <cell r="Z259">
            <v>68.860094970000006</v>
          </cell>
          <cell r="AA259">
            <v>69.539407060000002</v>
          </cell>
          <cell r="AB259">
            <v>70.229915320000003</v>
          </cell>
          <cell r="AC259">
            <v>70.930692980000003</v>
          </cell>
          <cell r="AD259">
            <v>71.642775319999998</v>
          </cell>
          <cell r="AE259">
            <v>72.251980770000003</v>
          </cell>
          <cell r="AF259">
            <v>72.895712290000006</v>
          </cell>
          <cell r="AG259">
            <v>73.551545640000001</v>
          </cell>
          <cell r="AH259">
            <v>74.219831279999994</v>
          </cell>
          <cell r="AI259">
            <v>74.902582530000004</v>
          </cell>
          <cell r="AJ259">
            <v>75.601787119999997</v>
          </cell>
          <cell r="AK259">
            <v>76.319016910000002</v>
          </cell>
          <cell r="AL259">
            <v>77.055390970000005</v>
          </cell>
          <cell r="AM259">
            <v>77.811602100000002</v>
          </cell>
          <cell r="AN259">
            <v>78.58795997</v>
          </cell>
          <cell r="AO259">
            <v>79.384465300000002</v>
          </cell>
          <cell r="AP259">
            <v>80.173334990000001</v>
          </cell>
          <cell r="AQ259">
            <v>80.97179002</v>
          </cell>
          <cell r="AR259">
            <v>81.783076510000001</v>
          </cell>
          <cell r="AS259">
            <v>82.608453589999996</v>
          </cell>
          <cell r="AT259">
            <v>83.448556030000006</v>
          </cell>
          <cell r="AU259">
            <v>84.303730079999994</v>
          </cell>
          <cell r="AV259">
            <v>85.174129379999997</v>
          </cell>
          <cell r="AW259">
            <v>86.059757629999993</v>
          </cell>
          <cell r="AX259">
            <v>86.960502099999999</v>
          </cell>
          <cell r="AY259">
            <v>87.87625663</v>
          </cell>
          <cell r="AZ259">
            <v>88.809545630000002</v>
          </cell>
          <cell r="BA259">
            <v>89.758880250000004</v>
          </cell>
          <cell r="BB259">
            <v>90.724000129999993</v>
          </cell>
          <cell r="BC259">
            <v>91.704764850000004</v>
          </cell>
          <cell r="BD259">
            <v>92.701054970000001</v>
          </cell>
          <cell r="BE259">
            <v>93.712777540000005</v>
          </cell>
          <cell r="BF259">
            <v>94.739888339999993</v>
          </cell>
          <cell r="BG259">
            <v>95.782408380000007</v>
          </cell>
          <cell r="BH259">
            <v>96.840431150000001</v>
          </cell>
          <cell r="BI259">
            <v>97.9141221</v>
          </cell>
        </row>
        <row r="269">
          <cell r="E269" t="str">
            <v>YG_toe_chea_0</v>
          </cell>
          <cell r="F269">
            <v>5.7131595600000002</v>
          </cell>
          <cell r="G269">
            <v>5.7366835160000003</v>
          </cell>
          <cell r="H269">
            <v>5.7941949230000001</v>
          </cell>
          <cell r="I269">
            <v>5.8577191109999998</v>
          </cell>
          <cell r="J269">
            <v>5.924262347</v>
          </cell>
          <cell r="K269">
            <v>5.9941656959999996</v>
          </cell>
          <cell r="L269">
            <v>6.0623958069999997</v>
          </cell>
          <cell r="M269">
            <v>6.1322434049999996</v>
          </cell>
          <cell r="N269">
            <v>6.2051990469999998</v>
          </cell>
          <cell r="O269">
            <v>6.282745899</v>
          </cell>
          <cell r="P269">
            <v>6.3673901219999998</v>
          </cell>
          <cell r="Q269">
            <v>6.4440386319999998</v>
          </cell>
          <cell r="R269">
            <v>6.5166927929999998</v>
          </cell>
          <cell r="S269">
            <v>6.5872830029999996</v>
          </cell>
          <cell r="T269">
            <v>6.6568695250000003</v>
          </cell>
          <cell r="U269">
            <v>6.7260417339999998</v>
          </cell>
          <cell r="V269">
            <v>6.7951176110000002</v>
          </cell>
          <cell r="W269">
            <v>6.8642639790000004</v>
          </cell>
          <cell r="X269">
            <v>6.9335716769999998</v>
          </cell>
          <cell r="Y269">
            <v>7.0031005229999996</v>
          </cell>
          <cell r="Z269">
            <v>7.0666669659999997</v>
          </cell>
          <cell r="AA269">
            <v>7.1343058580000003</v>
          </cell>
          <cell r="AB269">
            <v>7.2037392709999999</v>
          </cell>
          <cell r="AC269">
            <v>7.274230126</v>
          </cell>
          <cell r="AD269">
            <v>7.3455378930000004</v>
          </cell>
          <cell r="AE269">
            <v>7.4002530809999998</v>
          </cell>
          <cell r="AF269">
            <v>7.457994652</v>
          </cell>
          <cell r="AG269">
            <v>7.5171183910000003</v>
          </cell>
          <cell r="AH269">
            <v>7.5772341599999997</v>
          </cell>
          <cell r="AI269">
            <v>7.6382599620000002</v>
          </cell>
          <cell r="AJ269">
            <v>7.7002059579999997</v>
          </cell>
          <cell r="AK269">
            <v>7.7631100240000004</v>
          </cell>
          <cell r="AL269">
            <v>7.8270079309999998</v>
          </cell>
          <cell r="AM269">
            <v>7.8919166880000002</v>
          </cell>
          <cell r="AN269">
            <v>7.9578534310000002</v>
          </cell>
          <cell r="AO269">
            <v>8.0248279230000001</v>
          </cell>
          <cell r="AP269">
            <v>8.0889679710000006</v>
          </cell>
          <cell r="AQ269">
            <v>8.1525752780000005</v>
          </cell>
          <cell r="AR269">
            <v>8.2164714480000001</v>
          </cell>
          <cell r="AS269">
            <v>8.2809796470000006</v>
          </cell>
          <cell r="AT269">
            <v>8.3462286110000008</v>
          </cell>
          <cell r="AU269">
            <v>8.4122655880000003</v>
          </cell>
          <cell r="AV269">
            <v>8.4791023340000002</v>
          </cell>
          <cell r="AW269">
            <v>8.5467346010000007</v>
          </cell>
          <cell r="AX269">
            <v>8.6151510570000003</v>
          </cell>
          <cell r="AY269">
            <v>8.6843415569999998</v>
          </cell>
          <cell r="AZ269">
            <v>8.754635618</v>
          </cell>
          <cell r="BA269">
            <v>8.8258533589999999</v>
          </cell>
          <cell r="BB269">
            <v>8.8979428669999994</v>
          </cell>
          <cell r="BC269">
            <v>8.9708890520000004</v>
          </cell>
          <cell r="BD269">
            <v>9.0446873239999999</v>
          </cell>
          <cell r="BE269">
            <v>9.1193360929999994</v>
          </cell>
          <cell r="BF269">
            <v>9.1948353740000002</v>
          </cell>
          <cell r="BG269">
            <v>9.2711871430000006</v>
          </cell>
          <cell r="BH269">
            <v>9.3483959090000006</v>
          </cell>
          <cell r="BI269">
            <v>9.4264690360000003</v>
          </cell>
        </row>
        <row r="271">
          <cell r="E271" t="str">
            <v>YG_toe_cbio_0</v>
          </cell>
          <cell r="F271">
            <v>11.18379972</v>
          </cell>
          <cell r="G271">
            <v>11.1788293</v>
          </cell>
          <cell r="H271">
            <v>11.19475211</v>
          </cell>
          <cell r="I271">
            <v>11.212095809999999</v>
          </cell>
          <cell r="J271">
            <v>11.23647669</v>
          </cell>
          <cell r="K271">
            <v>11.27014473</v>
          </cell>
          <cell r="L271">
            <v>11.30737854</v>
          </cell>
          <cell r="M271">
            <v>11.349431940000001</v>
          </cell>
          <cell r="N271">
            <v>11.395375100000001</v>
          </cell>
          <cell r="O271">
            <v>11.44324265</v>
          </cell>
          <cell r="P271">
            <v>11.50179968</v>
          </cell>
          <cell r="Q271">
            <v>11.55677305</v>
          </cell>
          <cell r="R271">
            <v>11.61058251</v>
          </cell>
          <cell r="S271">
            <v>11.663862630000001</v>
          </cell>
          <cell r="T271">
            <v>11.716871080000001</v>
          </cell>
          <cell r="U271">
            <v>11.769735020000001</v>
          </cell>
          <cell r="V271">
            <v>11.82253811</v>
          </cell>
          <cell r="W271">
            <v>11.87537266</v>
          </cell>
          <cell r="X271">
            <v>11.928332960000001</v>
          </cell>
          <cell r="Y271">
            <v>11.981520359999999</v>
          </cell>
          <cell r="Z271">
            <v>12.028793589999999</v>
          </cell>
          <cell r="AA271">
            <v>12.080092799999999</v>
          </cell>
          <cell r="AB271">
            <v>12.133390090000001</v>
          </cell>
          <cell r="AC271">
            <v>12.18807623</v>
          </cell>
          <cell r="AD271">
            <v>12.243999990000001</v>
          </cell>
          <cell r="AE271">
            <v>12.28367364</v>
          </cell>
          <cell r="AF271">
            <v>12.32640803</v>
          </cell>
          <cell r="AG271">
            <v>12.37083329</v>
          </cell>
          <cell r="AH271">
            <v>12.41671968</v>
          </cell>
          <cell r="AI271">
            <v>12.46408832</v>
          </cell>
          <cell r="AJ271">
            <v>12.513035540000001</v>
          </cell>
          <cell r="AK271">
            <v>12.563664490000001</v>
          </cell>
          <cell r="AL271">
            <v>12.61605988</v>
          </cell>
          <cell r="AM271">
            <v>12.67027858</v>
          </cell>
          <cell r="AN271">
            <v>12.726353420000001</v>
          </cell>
          <cell r="AO271">
            <v>12.784293440000001</v>
          </cell>
          <cell r="AP271">
            <v>12.84011454</v>
          </cell>
          <cell r="AQ271">
            <v>12.8960244</v>
          </cell>
          <cell r="AR271">
            <v>12.95281743</v>
          </cell>
          <cell r="AS271">
            <v>13.01080889</v>
          </cell>
          <cell r="AT271">
            <v>13.07011777</v>
          </cell>
          <cell r="AU271">
            <v>13.13077824</v>
          </cell>
          <cell r="AV271">
            <v>13.192779679999999</v>
          </cell>
          <cell r="AW271">
            <v>13.256091720000001</v>
          </cell>
          <cell r="AX271">
            <v>13.320678880000001</v>
          </cell>
          <cell r="AY271">
            <v>13.38652209</v>
          </cell>
          <cell r="AZ271">
            <v>13.45398881</v>
          </cell>
          <cell r="BA271">
            <v>13.522940520000001</v>
          </cell>
          <cell r="BB271">
            <v>13.59335958</v>
          </cell>
          <cell r="BC271">
            <v>13.665252990000001</v>
          </cell>
          <cell r="BD271">
            <v>13.738627559999999</v>
          </cell>
          <cell r="BE271">
            <v>13.81348558</v>
          </cell>
          <cell r="BF271">
            <v>13.889826960000001</v>
          </cell>
          <cell r="BG271">
            <v>13.96765246</v>
          </cell>
          <cell r="BH271">
            <v>14.04696599</v>
          </cell>
          <cell r="BI271">
            <v>14.12777593</v>
          </cell>
        </row>
        <row r="274">
          <cell r="E274" t="str">
            <v>YG_toe_cote_0</v>
          </cell>
          <cell r="F274">
            <v>13.881761259999999</v>
          </cell>
          <cell r="G274">
            <v>13.553621059999999</v>
          </cell>
          <cell r="H274">
            <v>13.67313637</v>
          </cell>
          <cell r="I274">
            <v>13.83885478</v>
          </cell>
          <cell r="J274">
            <v>14.02459936</v>
          </cell>
          <cell r="K274">
            <v>14.224955400000001</v>
          </cell>
          <cell r="L274">
            <v>14.427046600000001</v>
          </cell>
          <cell r="M274">
            <v>14.636696300000001</v>
          </cell>
          <cell r="N274">
            <v>14.85305778</v>
          </cell>
          <cell r="O274">
            <v>15.074967620000001</v>
          </cell>
          <cell r="P274">
            <v>15.31899598</v>
          </cell>
          <cell r="Q274">
            <v>15.55212467</v>
          </cell>
          <cell r="R274">
            <v>15.786130930000001</v>
          </cell>
          <cell r="S274">
            <v>16.021737309999999</v>
          </cell>
          <cell r="T274">
            <v>16.259011409999999</v>
          </cell>
          <cell r="U274">
            <v>16.497990009999999</v>
          </cell>
          <cell r="V274">
            <v>16.738775530000002</v>
          </cell>
          <cell r="W274">
            <v>16.981536689999999</v>
          </cell>
          <cell r="X274">
            <v>17.226493189999999</v>
          </cell>
          <cell r="Y274">
            <v>17.47389909</v>
          </cell>
          <cell r="Z274">
            <v>17.710669079999999</v>
          </cell>
          <cell r="AA274">
            <v>17.960946539999998</v>
          </cell>
          <cell r="AB274">
            <v>18.215798320000001</v>
          </cell>
          <cell r="AC274">
            <v>18.474700049999999</v>
          </cell>
          <cell r="AD274">
            <v>18.737726080000002</v>
          </cell>
          <cell r="AE274">
            <v>18.96650868</v>
          </cell>
          <cell r="AF274">
            <v>19.211770269999999</v>
          </cell>
          <cell r="AG274">
            <v>19.461200590000001</v>
          </cell>
          <cell r="AH274">
            <v>19.71435198</v>
          </cell>
          <cell r="AI274">
            <v>19.971447300000001</v>
          </cell>
          <cell r="AJ274">
            <v>20.232773640000001</v>
          </cell>
          <cell r="AK274">
            <v>20.498566159999999</v>
          </cell>
          <cell r="AL274">
            <v>20.76898757</v>
          </cell>
          <cell r="AM274">
            <v>21.04413534</v>
          </cell>
          <cell r="AN274">
            <v>21.32405412</v>
          </cell>
          <cell r="AO274">
            <v>21.608748070000001</v>
          </cell>
          <cell r="AP274">
            <v>21.888871349999999</v>
          </cell>
          <cell r="AQ274">
            <v>22.17160934</v>
          </cell>
          <cell r="AR274">
            <v>22.457769129999999</v>
          </cell>
          <cell r="AS274">
            <v>22.747617080000001</v>
          </cell>
          <cell r="AT274">
            <v>23.041298340000001</v>
          </cell>
          <cell r="AU274">
            <v>23.338916090000001</v>
          </cell>
          <cell r="AV274">
            <v>23.640546560000001</v>
          </cell>
          <cell r="AW274">
            <v>23.946242770000001</v>
          </cell>
          <cell r="AX274">
            <v>24.25603796</v>
          </cell>
          <cell r="AY274">
            <v>24.569952799999999</v>
          </cell>
          <cell r="AZ274">
            <v>24.888850009999999</v>
          </cell>
          <cell r="BA274">
            <v>25.212088730000001</v>
          </cell>
          <cell r="BB274">
            <v>25.53960653</v>
          </cell>
          <cell r="BC274">
            <v>25.871390340000001</v>
          </cell>
          <cell r="BD274">
            <v>26.2074414</v>
          </cell>
          <cell r="BE274">
            <v>26.54777095</v>
          </cell>
          <cell r="BF274">
            <v>26.892400940000002</v>
          </cell>
          <cell r="BG274">
            <v>27.241364789999999</v>
          </cell>
          <cell r="BH274">
            <v>27.594707320000001</v>
          </cell>
          <cell r="BI274">
            <v>27.952484030000001</v>
          </cell>
        </row>
        <row r="281">
          <cell r="F281">
            <v>162.18403699999999</v>
          </cell>
          <cell r="G281">
            <v>160.963572</v>
          </cell>
          <cell r="H281">
            <v>161.00962820000001</v>
          </cell>
          <cell r="I281">
            <v>161.4187962</v>
          </cell>
          <cell r="J281">
            <v>162.10416269999999</v>
          </cell>
          <cell r="K281">
            <v>163.04756180000001</v>
          </cell>
          <cell r="L281">
            <v>164.1351219</v>
          </cell>
          <cell r="M281">
            <v>165.37803840000001</v>
          </cell>
          <cell r="N281">
            <v>166.7564424</v>
          </cell>
          <cell r="O281">
            <v>168.24463030000001</v>
          </cell>
          <cell r="P281">
            <v>169.95354900000001</v>
          </cell>
          <cell r="Q281">
            <v>171.64238710000001</v>
          </cell>
          <cell r="R281">
            <v>173.35498390000001</v>
          </cell>
          <cell r="S281">
            <v>175.09313929999999</v>
          </cell>
          <cell r="T281">
            <v>176.85165119999999</v>
          </cell>
          <cell r="U281">
            <v>178.62538960000001</v>
          </cell>
          <cell r="V281">
            <v>180.3995621</v>
          </cell>
          <cell r="W281">
            <v>182.1796957</v>
          </cell>
          <cell r="X281">
            <v>183.9673401</v>
          </cell>
          <cell r="Y281">
            <v>185.763723</v>
          </cell>
          <cell r="Z281">
            <v>187.4733549</v>
          </cell>
          <cell r="AA281">
            <v>189.24945990000001</v>
          </cell>
          <cell r="AB281">
            <v>191.05626789999999</v>
          </cell>
          <cell r="AC281">
            <v>192.88741089999999</v>
          </cell>
          <cell r="AD281">
            <v>194.7425843</v>
          </cell>
          <cell r="AE281">
            <v>196.34735929999999</v>
          </cell>
          <cell r="AF281">
            <v>198.00626940000001</v>
          </cell>
          <cell r="AG281">
            <v>199.68195539999999</v>
          </cell>
          <cell r="AH281">
            <v>201.3723502</v>
          </cell>
          <cell r="AI281">
            <v>203.08163880000001</v>
          </cell>
          <cell r="AJ281">
            <v>204.81425089999999</v>
          </cell>
          <cell r="AK281">
            <v>206.57646449999999</v>
          </cell>
          <cell r="AL281">
            <v>208.3697952</v>
          </cell>
          <cell r="AM281">
            <v>210.19595469999999</v>
          </cell>
          <cell r="AN281">
            <v>212.056185</v>
          </cell>
          <cell r="AO281">
            <v>213.95122319999999</v>
          </cell>
          <cell r="AP281">
            <v>215.83792750000001</v>
          </cell>
          <cell r="AQ281">
            <v>217.7386406</v>
          </cell>
          <cell r="AR281">
            <v>219.6597874</v>
          </cell>
          <cell r="AS281">
            <v>221.6045043</v>
          </cell>
          <cell r="AT281">
            <v>223.57496190000001</v>
          </cell>
          <cell r="AU281">
            <v>225.57609909999999</v>
          </cell>
          <cell r="AV281">
            <v>227.6072154</v>
          </cell>
          <cell r="AW281">
            <v>229.6685784</v>
          </cell>
          <cell r="AX281">
            <v>231.7604729</v>
          </cell>
          <cell r="AY281">
            <v>233.8830217</v>
          </cell>
          <cell r="AZ281">
            <v>236.05273199999999</v>
          </cell>
          <cell r="BA281">
            <v>238.260008</v>
          </cell>
          <cell r="BB281">
            <v>240.50174849999999</v>
          </cell>
          <cell r="BC281">
            <v>242.77645709999999</v>
          </cell>
          <cell r="BD281">
            <v>245.0831508</v>
          </cell>
          <cell r="BE281">
            <v>247.4277491</v>
          </cell>
          <cell r="BF281">
            <v>249.80592100000001</v>
          </cell>
          <cell r="BG281">
            <v>252.216174</v>
          </cell>
          <cell r="BH281">
            <v>254.65788889999999</v>
          </cell>
          <cell r="BI281">
            <v>257.13081820000002</v>
          </cell>
        </row>
        <row r="282">
          <cell r="E282" t="str">
            <v>CF_toe_ccoa_2</v>
          </cell>
          <cell r="F282">
            <v>5.4706648409999996</v>
          </cell>
          <cell r="G282">
            <v>5.3602933869999996</v>
          </cell>
          <cell r="H282">
            <v>5.3810457899999999</v>
          </cell>
          <cell r="I282">
            <v>5.4315341779999997</v>
          </cell>
          <cell r="J282">
            <v>5.49289424</v>
          </cell>
          <cell r="K282">
            <v>5.5609323010000002</v>
          </cell>
          <cell r="L282">
            <v>5.6305190060000001</v>
          </cell>
          <cell r="M282">
            <v>5.703169666</v>
          </cell>
          <cell r="N282">
            <v>5.7787995829999996</v>
          </cell>
          <cell r="O282">
            <v>5.8570293800000002</v>
          </cell>
          <cell r="P282">
            <v>5.943483316</v>
          </cell>
          <cell r="Q282">
            <v>6.0271455769999998</v>
          </cell>
          <cell r="R282">
            <v>6.1111997249999996</v>
          </cell>
          <cell r="S282">
            <v>6.1961218970000003</v>
          </cell>
          <cell r="T282">
            <v>6.2819105930000001</v>
          </cell>
          <cell r="U282">
            <v>6.368523626</v>
          </cell>
          <cell r="V282">
            <v>6.4552279459999999</v>
          </cell>
          <cell r="W282">
            <v>6.5426414819999996</v>
          </cell>
          <cell r="X282">
            <v>6.6309507410000004</v>
          </cell>
          <cell r="Y282">
            <v>6.7202764449999997</v>
          </cell>
          <cell r="Z282">
            <v>6.8063326059999998</v>
          </cell>
          <cell r="AA282">
            <v>6.8964739220000002</v>
          </cell>
          <cell r="AB282">
            <v>6.9886755919999999</v>
          </cell>
          <cell r="AC282">
            <v>7.0826023070000002</v>
          </cell>
          <cell r="AD282">
            <v>7.1782483529999999</v>
          </cell>
          <cell r="AE282">
            <v>7.2630833700000004</v>
          </cell>
          <cell r="AF282">
            <v>7.352129895</v>
          </cell>
          <cell r="AG282">
            <v>7.4428672880000004</v>
          </cell>
          <cell r="AH282">
            <v>7.5349581839999997</v>
          </cell>
          <cell r="AI282">
            <v>7.6284718209999998</v>
          </cell>
          <cell r="AJ282">
            <v>7.7235293800000004</v>
          </cell>
          <cell r="AK282">
            <v>7.8203940899999997</v>
          </cell>
          <cell r="AL282">
            <v>7.919009129</v>
          </cell>
          <cell r="AM282">
            <v>8.0193882090000006</v>
          </cell>
          <cell r="AN282">
            <v>8.1215378620000003</v>
          </cell>
          <cell r="AO282">
            <v>8.2254485820000003</v>
          </cell>
          <cell r="AP282">
            <v>8.3295153640000006</v>
          </cell>
          <cell r="AQ282">
            <v>8.4344601109999999</v>
          </cell>
          <cell r="AR282">
            <v>8.5404939409999994</v>
          </cell>
          <cell r="AS282">
            <v>8.6477053470000005</v>
          </cell>
          <cell r="AT282">
            <v>8.7561491290000006</v>
          </cell>
          <cell r="AU282">
            <v>8.8660920690000005</v>
          </cell>
          <cell r="AV282">
            <v>8.9773888110000009</v>
          </cell>
          <cell r="AW282">
            <v>9.0900258879999996</v>
          </cell>
          <cell r="AX282">
            <v>9.204007593</v>
          </cell>
          <cell r="AY282">
            <v>9.3193363970000007</v>
          </cell>
          <cell r="AZ282">
            <v>9.4370453820000009</v>
          </cell>
          <cell r="BA282">
            <v>9.5563717930000003</v>
          </cell>
          <cell r="BB282">
            <v>9.6771549839999995</v>
          </cell>
          <cell r="BC282">
            <v>9.7993507910000002</v>
          </cell>
          <cell r="BD282">
            <v>9.9229414049999995</v>
          </cell>
          <cell r="BE282">
            <v>10.04839737</v>
          </cell>
          <cell r="BF282">
            <v>10.17534906</v>
          </cell>
          <cell r="BG282">
            <v>10.303731320000001</v>
          </cell>
          <cell r="BH282">
            <v>10.433541050000001</v>
          </cell>
          <cell r="BI282">
            <v>10.56479193</v>
          </cell>
        </row>
        <row r="285">
          <cell r="E285" t="str">
            <v>CF_toe_ccoi_2</v>
          </cell>
          <cell r="F285">
            <v>8.4807423800000004E-2</v>
          </cell>
          <cell r="G285">
            <v>8.3775646300000006E-2</v>
          </cell>
          <cell r="H285">
            <v>8.4029151999999996E-2</v>
          </cell>
          <cell r="I285">
            <v>8.4589131900000003E-2</v>
          </cell>
          <cell r="J285">
            <v>8.53331794E-2</v>
          </cell>
          <cell r="K285">
            <v>8.6248139099999996E-2</v>
          </cell>
          <cell r="L285">
            <v>8.7267638800000005E-2</v>
          </cell>
          <cell r="M285">
            <v>8.8403974799999993E-2</v>
          </cell>
          <cell r="N285">
            <v>8.9644157799999999E-2</v>
          </cell>
          <cell r="O285">
            <v>9.0971602499999998E-2</v>
          </cell>
          <cell r="P285">
            <v>9.2464343099999999E-2</v>
          </cell>
          <cell r="Q285">
            <v>9.3958410699999995E-2</v>
          </cell>
          <cell r="R285">
            <v>9.5484230599999997E-2</v>
          </cell>
          <cell r="S285">
            <v>9.7040218400000003E-2</v>
          </cell>
          <cell r="T285">
            <v>9.8620809300000001E-2</v>
          </cell>
          <cell r="U285">
            <v>0.1002211744</v>
          </cell>
          <cell r="V285">
            <v>0.10183221940000001</v>
          </cell>
          <cell r="W285">
            <v>0.1034549422</v>
          </cell>
          <cell r="X285">
            <v>0.10508874510000001</v>
          </cell>
          <cell r="Y285">
            <v>0.1067333969</v>
          </cell>
          <cell r="Z285">
            <v>0.1083196266</v>
          </cell>
          <cell r="AA285">
            <v>0.1099556755</v>
          </cell>
          <cell r="AB285">
            <v>0.1116148064</v>
          </cell>
          <cell r="AC285">
            <v>0.11329346849999999</v>
          </cell>
          <cell r="AD285">
            <v>0.1149921305</v>
          </cell>
          <cell r="AE285">
            <v>0.1165112484</v>
          </cell>
          <cell r="AF285">
            <v>0.1180676046</v>
          </cell>
          <cell r="AG285">
            <v>0.11963162970000001</v>
          </cell>
          <cell r="AH285">
            <v>0.1212030813</v>
          </cell>
          <cell r="AI285">
            <v>0.12278634400000001</v>
          </cell>
          <cell r="AJ285">
            <v>0.12438590889999999</v>
          </cell>
          <cell r="AK285">
            <v>0.12600656639999999</v>
          </cell>
          <cell r="AL285">
            <v>0.12765076089999999</v>
          </cell>
          <cell r="AM285">
            <v>0.1293206143</v>
          </cell>
          <cell r="AN285">
            <v>0.13101770709999999</v>
          </cell>
          <cell r="AO285">
            <v>0.13274312329999999</v>
          </cell>
          <cell r="AP285">
            <v>0.13445768690000001</v>
          </cell>
          <cell r="AQ285">
            <v>0.13618278070000001</v>
          </cell>
          <cell r="AR285">
            <v>0.13792403049999999</v>
          </cell>
          <cell r="AS285">
            <v>0.13968416010000001</v>
          </cell>
          <cell r="AT285">
            <v>0.14146508529999999</v>
          </cell>
          <cell r="AU285">
            <v>0.1432695393</v>
          </cell>
          <cell r="AV285">
            <v>0.1450980553</v>
          </cell>
          <cell r="AW285">
            <v>0.14695128260000001</v>
          </cell>
          <cell r="AX285">
            <v>0.1488296872</v>
          </cell>
          <cell r="AY285">
            <v>0.1507335283</v>
          </cell>
          <cell r="AZ285">
            <v>0.15267125400000001</v>
          </cell>
          <cell r="BA285">
            <v>0.15463881600000001</v>
          </cell>
          <cell r="BB285">
            <v>0.15663504710000001</v>
          </cell>
          <cell r="BC285">
            <v>0.15865931529999999</v>
          </cell>
          <cell r="BD285">
            <v>0.16071108109999999</v>
          </cell>
          <cell r="BE285">
            <v>0.16279225219999999</v>
          </cell>
          <cell r="BF285">
            <v>0.16490149539999999</v>
          </cell>
          <cell r="BG285">
            <v>0.1670383195</v>
          </cell>
          <cell r="BH285">
            <v>0.1692025304</v>
          </cell>
          <cell r="BI285">
            <v>0.17139407970000001</v>
          </cell>
        </row>
        <row r="288">
          <cell r="E288" t="str">
            <v>CF_toe_cfut_2</v>
          </cell>
          <cell r="F288">
            <v>47.360087559999997</v>
          </cell>
          <cell r="G288">
            <v>46.95822974</v>
          </cell>
          <cell r="H288">
            <v>46.847514590000003</v>
          </cell>
          <cell r="I288">
            <v>46.867968509999997</v>
          </cell>
          <cell r="J288">
            <v>47.005383909999999</v>
          </cell>
          <cell r="K288">
            <v>47.24814215</v>
          </cell>
          <cell r="L288">
            <v>47.562888510000001</v>
          </cell>
          <cell r="M288">
            <v>47.940799069999997</v>
          </cell>
          <cell r="N288">
            <v>48.369723020000002</v>
          </cell>
          <cell r="O288">
            <v>48.839061350000001</v>
          </cell>
          <cell r="P288">
            <v>49.36898987</v>
          </cell>
          <cell r="Q288">
            <v>49.908859759999999</v>
          </cell>
          <cell r="R288">
            <v>50.463778529999999</v>
          </cell>
          <cell r="S288">
            <v>51.0314689</v>
          </cell>
          <cell r="T288">
            <v>51.609093020000003</v>
          </cell>
          <cell r="U288">
            <v>52.194399410000003</v>
          </cell>
          <cell r="V288">
            <v>52.78360395</v>
          </cell>
          <cell r="W288">
            <v>53.377013820000002</v>
          </cell>
          <cell r="X288">
            <v>53.974186209999999</v>
          </cell>
          <cell r="Y288">
            <v>54.57478322</v>
          </cell>
          <cell r="Z288">
            <v>55.157546109999998</v>
          </cell>
          <cell r="AA288">
            <v>55.753219389999998</v>
          </cell>
          <cell r="AB288">
            <v>56.355294149999999</v>
          </cell>
          <cell r="AC288">
            <v>56.962756300000002</v>
          </cell>
          <cell r="AD288">
            <v>57.57559431</v>
          </cell>
          <cell r="AE288">
            <v>58.133504350000003</v>
          </cell>
          <cell r="AF288">
            <v>58.696853390000001</v>
          </cell>
          <cell r="AG288">
            <v>59.259114320000002</v>
          </cell>
          <cell r="AH288">
            <v>59.820912530000001</v>
          </cell>
          <cell r="AI288">
            <v>60.384068669999998</v>
          </cell>
          <cell r="AJ288">
            <v>60.950348159999997</v>
          </cell>
          <cell r="AK288">
            <v>61.521665740000003</v>
          </cell>
          <cell r="AL288">
            <v>62.09883722</v>
          </cell>
          <cell r="AM288">
            <v>62.682614610000002</v>
          </cell>
          <cell r="AN288">
            <v>63.273543869999997</v>
          </cell>
          <cell r="AO288">
            <v>63.871992400000003</v>
          </cell>
          <cell r="AP288">
            <v>64.467863940000001</v>
          </cell>
          <cell r="AQ288">
            <v>65.065173729999998</v>
          </cell>
          <cell r="AR288">
            <v>65.665523460000003</v>
          </cell>
          <cell r="AS288">
            <v>66.269973590000006</v>
          </cell>
          <cell r="AT288">
            <v>66.879410809999996</v>
          </cell>
          <cell r="AU288">
            <v>67.495227560000004</v>
          </cell>
          <cell r="AV288">
            <v>68.117636610000005</v>
          </cell>
          <cell r="AW288">
            <v>68.747020610000007</v>
          </cell>
          <cell r="AX288">
            <v>69.383670519999995</v>
          </cell>
          <cell r="AY288">
            <v>70.027763759999999</v>
          </cell>
          <cell r="AZ288">
            <v>70.682807190000005</v>
          </cell>
          <cell r="BA288">
            <v>71.346908040000002</v>
          </cell>
          <cell r="BB288">
            <v>72.019593060000005</v>
          </cell>
          <cell r="BC288">
            <v>72.700600969999996</v>
          </cell>
          <cell r="BD288">
            <v>73.389698210000006</v>
          </cell>
          <cell r="BE288">
            <v>74.087995789999994</v>
          </cell>
          <cell r="BF288">
            <v>74.794485739999999</v>
          </cell>
          <cell r="BG288">
            <v>75.508855710000006</v>
          </cell>
          <cell r="BH288">
            <v>76.230931310000003</v>
          </cell>
          <cell r="BI288">
            <v>76.96058524</v>
          </cell>
        </row>
        <row r="291">
          <cell r="E291" t="str">
            <v>CF_toe_cfuh_2</v>
          </cell>
          <cell r="F291">
            <v>14.823992000000001</v>
          </cell>
          <cell r="G291">
            <v>14.76265781</v>
          </cell>
          <cell r="H291">
            <v>14.76241602</v>
          </cell>
          <cell r="I291">
            <v>14.77914462</v>
          </cell>
          <cell r="J291">
            <v>14.812121599999999</v>
          </cell>
          <cell r="K291">
            <v>14.862273070000001</v>
          </cell>
          <cell r="L291">
            <v>14.920591870000001</v>
          </cell>
          <cell r="M291">
            <v>14.9901725</v>
          </cell>
          <cell r="N291">
            <v>15.07100612</v>
          </cell>
          <cell r="O291">
            <v>15.16166115</v>
          </cell>
          <cell r="P291">
            <v>15.27168584</v>
          </cell>
          <cell r="Q291">
            <v>15.380789930000001</v>
          </cell>
          <cell r="R291">
            <v>15.492322570000001</v>
          </cell>
          <cell r="S291">
            <v>15.60655811</v>
          </cell>
          <cell r="T291">
            <v>15.723109729999999</v>
          </cell>
          <cell r="U291">
            <v>15.84143664</v>
          </cell>
          <cell r="V291">
            <v>15.96008366</v>
          </cell>
          <cell r="W291">
            <v>16.079566679999999</v>
          </cell>
          <cell r="X291">
            <v>16.200023720000001</v>
          </cell>
          <cell r="Y291">
            <v>16.321523719999998</v>
          </cell>
          <cell r="Z291">
            <v>16.436063709999999</v>
          </cell>
          <cell r="AA291">
            <v>16.556215680000001</v>
          </cell>
          <cell r="AB291">
            <v>16.679189600000001</v>
          </cell>
          <cell r="AC291">
            <v>16.80429878</v>
          </cell>
          <cell r="AD291">
            <v>16.931393960000001</v>
          </cell>
          <cell r="AE291">
            <v>17.037642349999999</v>
          </cell>
          <cell r="AF291">
            <v>17.14799206</v>
          </cell>
          <cell r="AG291">
            <v>17.259822069999998</v>
          </cell>
          <cell r="AH291">
            <v>17.37285258</v>
          </cell>
          <cell r="AI291">
            <v>17.487313610000001</v>
          </cell>
          <cell r="AJ291">
            <v>17.6034398</v>
          </cell>
          <cell r="AK291">
            <v>17.72170942</v>
          </cell>
          <cell r="AL291">
            <v>17.842172260000002</v>
          </cell>
          <cell r="AM291">
            <v>17.9649389</v>
          </cell>
          <cell r="AN291">
            <v>18.090107710000002</v>
          </cell>
          <cell r="AO291">
            <v>18.217750850000002</v>
          </cell>
          <cell r="AP291">
            <v>18.34476927</v>
          </cell>
          <cell r="AQ291">
            <v>18.47264521</v>
          </cell>
          <cell r="AR291">
            <v>18.601897300000001</v>
          </cell>
          <cell r="AS291">
            <v>18.732804640000001</v>
          </cell>
          <cell r="AT291">
            <v>18.865566189999999</v>
          </cell>
          <cell r="AU291">
            <v>19.000673150000001</v>
          </cell>
          <cell r="AV291">
            <v>19.138031720000001</v>
          </cell>
          <cell r="AW291">
            <v>19.277654930000001</v>
          </cell>
          <cell r="AX291">
            <v>19.41956918</v>
          </cell>
          <cell r="AY291">
            <v>19.56379287</v>
          </cell>
          <cell r="AZ291">
            <v>19.711920769999999</v>
          </cell>
          <cell r="BA291">
            <v>19.863015789999999</v>
          </cell>
          <cell r="BB291">
            <v>20.016762910000001</v>
          </cell>
          <cell r="BC291">
            <v>20.17302613</v>
          </cell>
          <cell r="BD291">
            <v>20.33173141</v>
          </cell>
          <cell r="BE291">
            <v>20.49352056</v>
          </cell>
          <cell r="BF291">
            <v>20.65794412</v>
          </cell>
          <cell r="BG291">
            <v>20.824851370000001</v>
          </cell>
          <cell r="BH291">
            <v>20.994187950000001</v>
          </cell>
          <cell r="BI291">
            <v>21.165938520000001</v>
          </cell>
        </row>
        <row r="293">
          <cell r="E293" t="str">
            <v>CF_toe_cgas_2</v>
          </cell>
          <cell r="F293">
            <v>34.426773449999999</v>
          </cell>
          <cell r="G293">
            <v>34.222789429999999</v>
          </cell>
          <cell r="H293">
            <v>34.281545639999997</v>
          </cell>
          <cell r="I293">
            <v>34.396639819999997</v>
          </cell>
          <cell r="J293">
            <v>34.552642859999999</v>
          </cell>
          <cell r="K293">
            <v>34.751508970000003</v>
          </cell>
          <cell r="L293">
            <v>34.970683270000002</v>
          </cell>
          <cell r="M293">
            <v>35.220445169999998</v>
          </cell>
          <cell r="N293">
            <v>35.499927049999997</v>
          </cell>
          <cell r="O293">
            <v>35.8050657</v>
          </cell>
          <cell r="P293">
            <v>36.164243800000001</v>
          </cell>
          <cell r="Q293">
            <v>36.518858649999999</v>
          </cell>
          <cell r="R293">
            <v>36.880572360000002</v>
          </cell>
          <cell r="S293">
            <v>37.250280930000002</v>
          </cell>
          <cell r="T293">
            <v>37.62673324</v>
          </cell>
          <cell r="U293">
            <v>38.008468999999998</v>
          </cell>
          <cell r="V293">
            <v>38.391790870000001</v>
          </cell>
          <cell r="W293">
            <v>38.77766613</v>
          </cell>
          <cell r="X293">
            <v>39.166193669999998</v>
          </cell>
          <cell r="Y293">
            <v>39.557387749999997</v>
          </cell>
          <cell r="Z293">
            <v>39.927786910000002</v>
          </cell>
          <cell r="AA293">
            <v>40.314799469999997</v>
          </cell>
          <cell r="AB293">
            <v>40.709028840000002</v>
          </cell>
          <cell r="AC293">
            <v>41.108580609999997</v>
          </cell>
          <cell r="AD293">
            <v>41.513141699999998</v>
          </cell>
          <cell r="AE293">
            <v>41.856029079999999</v>
          </cell>
          <cell r="AF293">
            <v>42.212302450000003</v>
          </cell>
          <cell r="AG293">
            <v>42.572158889999997</v>
          </cell>
          <cell r="AH293">
            <v>42.934691340000001</v>
          </cell>
          <cell r="AI293">
            <v>43.300575979999998</v>
          </cell>
          <cell r="AJ293">
            <v>43.670514879999999</v>
          </cell>
          <cell r="AK293">
            <v>44.045812220000002</v>
          </cell>
          <cell r="AL293">
            <v>44.426793160000003</v>
          </cell>
          <cell r="AM293">
            <v>44.813895930000001</v>
          </cell>
          <cell r="AN293">
            <v>45.207503529999997</v>
          </cell>
          <cell r="AO293">
            <v>45.607910179999998</v>
          </cell>
          <cell r="AP293">
            <v>46.004672149999998</v>
          </cell>
          <cell r="AQ293">
            <v>46.40378209</v>
          </cell>
          <cell r="AR293">
            <v>46.806862119999998</v>
          </cell>
          <cell r="AS293">
            <v>47.214681429999999</v>
          </cell>
          <cell r="AT293">
            <v>47.627757070000001</v>
          </cell>
          <cell r="AU293">
            <v>48.047238890000003</v>
          </cell>
          <cell r="AV293">
            <v>48.472976760000002</v>
          </cell>
          <cell r="AW293">
            <v>48.905034579999999</v>
          </cell>
          <cell r="AX293">
            <v>49.343497960000001</v>
          </cell>
          <cell r="AY293">
            <v>49.788428070000002</v>
          </cell>
          <cell r="AZ293">
            <v>50.243729999999999</v>
          </cell>
          <cell r="BA293">
            <v>50.707204230000002</v>
          </cell>
          <cell r="BB293">
            <v>51.178135439999998</v>
          </cell>
          <cell r="BC293">
            <v>51.656209599999997</v>
          </cell>
          <cell r="BD293">
            <v>52.141241819999998</v>
          </cell>
          <cell r="BE293">
            <v>52.634630260000002</v>
          </cell>
          <cell r="BF293">
            <v>53.135423529999997</v>
          </cell>
          <cell r="BG293">
            <v>53.643275529999997</v>
          </cell>
          <cell r="BH293">
            <v>54.158049259999999</v>
          </cell>
          <cell r="BI293">
            <v>54.679695209999998</v>
          </cell>
        </row>
        <row r="299">
          <cell r="E299" t="str">
            <v>CF_toe_cele_2</v>
          </cell>
          <cell r="F299">
            <v>37.966719689999998</v>
          </cell>
          <cell r="G299">
            <v>37.731307309999998</v>
          </cell>
          <cell r="H299">
            <v>37.75088332</v>
          </cell>
          <cell r="I299">
            <v>37.849227740000003</v>
          </cell>
          <cell r="J299">
            <v>38.013809539999997</v>
          </cell>
          <cell r="K299">
            <v>38.242533039999998</v>
          </cell>
          <cell r="L299">
            <v>38.507903280000001</v>
          </cell>
          <cell r="M299">
            <v>38.811193510000003</v>
          </cell>
          <cell r="N299">
            <v>39.146310870000001</v>
          </cell>
          <cell r="O299">
            <v>39.505430029999999</v>
          </cell>
          <cell r="P299">
            <v>39.913459320000001</v>
          </cell>
          <cell r="Q299">
            <v>40.313083769999999</v>
          </cell>
          <cell r="R299">
            <v>40.713444029999998</v>
          </cell>
          <cell r="S299">
            <v>41.114789440000003</v>
          </cell>
          <cell r="T299">
            <v>41.516057709999998</v>
          </cell>
          <cell r="U299">
            <v>41.916389799999997</v>
          </cell>
          <cell r="V299">
            <v>42.313082129999998</v>
          </cell>
          <cell r="W299">
            <v>42.707348230000001</v>
          </cell>
          <cell r="X299">
            <v>43.100094640000002</v>
          </cell>
          <cell r="Y299">
            <v>43.492242400000002</v>
          </cell>
          <cell r="Z299">
            <v>43.861637999999999</v>
          </cell>
          <cell r="AA299">
            <v>44.245469700000001</v>
          </cell>
          <cell r="AB299">
            <v>44.636014619999997</v>
          </cell>
          <cell r="AC299">
            <v>45.032325159999999</v>
          </cell>
          <cell r="AD299">
            <v>45.434826630000003</v>
          </cell>
          <cell r="AE299">
            <v>45.77830101</v>
          </cell>
          <cell r="AF299">
            <v>46.135643299999998</v>
          </cell>
          <cell r="AG299">
            <v>46.499092400000002</v>
          </cell>
          <cell r="AH299">
            <v>46.86863297</v>
          </cell>
          <cell r="AI299">
            <v>47.245580359999998</v>
          </cell>
          <cell r="AJ299">
            <v>47.631263949999997</v>
          </cell>
          <cell r="AK299">
            <v>48.027187820000002</v>
          </cell>
          <cell r="AL299">
            <v>48.433940300000003</v>
          </cell>
          <cell r="AM299">
            <v>48.851912480000003</v>
          </cell>
          <cell r="AN299">
            <v>49.281311209999998</v>
          </cell>
          <cell r="AO299">
            <v>49.7221829</v>
          </cell>
          <cell r="AP299">
            <v>50.162559700000003</v>
          </cell>
          <cell r="AQ299">
            <v>50.609287709999997</v>
          </cell>
          <cell r="AR299">
            <v>51.063904119999997</v>
          </cell>
          <cell r="AS299">
            <v>51.526981999999997</v>
          </cell>
          <cell r="AT299">
            <v>51.998849759999999</v>
          </cell>
          <cell r="AU299">
            <v>52.480265459999998</v>
          </cell>
          <cell r="AV299">
            <v>52.971182970000001</v>
          </cell>
          <cell r="AW299">
            <v>53.471532070000002</v>
          </cell>
          <cell r="AX299">
            <v>53.981233490000001</v>
          </cell>
          <cell r="AY299">
            <v>54.50018532</v>
          </cell>
          <cell r="AZ299">
            <v>55.031362999999999</v>
          </cell>
          <cell r="BA299">
            <v>55.57340052</v>
          </cell>
          <cell r="BB299">
            <v>56.125523780000002</v>
          </cell>
          <cell r="BC299">
            <v>56.687251209999999</v>
          </cell>
          <cell r="BD299">
            <v>57.25824111</v>
          </cell>
          <cell r="BE299">
            <v>57.839255389999998</v>
          </cell>
          <cell r="BF299">
            <v>58.42989437</v>
          </cell>
          <cell r="BG299">
            <v>59.02983468</v>
          </cell>
          <cell r="BH299">
            <v>59.63891357</v>
          </cell>
          <cell r="BI299">
            <v>60.257076050000002</v>
          </cell>
        </row>
        <row r="309">
          <cell r="E309" t="str">
            <v>CF_toe_chea_2</v>
          </cell>
          <cell r="F309">
            <v>5.1388341769999997</v>
          </cell>
          <cell r="G309">
            <v>5.1495826180000002</v>
          </cell>
          <cell r="H309">
            <v>5.1907959420000003</v>
          </cell>
          <cell r="I309">
            <v>5.2370620270000003</v>
          </cell>
          <cell r="J309">
            <v>5.2859685179999998</v>
          </cell>
          <cell r="K309">
            <v>5.3383670099999998</v>
          </cell>
          <cell r="L309">
            <v>5.391365822</v>
          </cell>
          <cell r="M309">
            <v>5.4445438350000002</v>
          </cell>
          <cell r="N309">
            <v>5.4973980710000001</v>
          </cell>
          <cell r="O309">
            <v>5.5499963130000003</v>
          </cell>
          <cell r="P309">
            <v>5.610538236</v>
          </cell>
          <cell r="Q309">
            <v>5.6659855129999999</v>
          </cell>
          <cell r="R309">
            <v>5.7196519869999998</v>
          </cell>
          <cell r="S309">
            <v>5.7726988209999996</v>
          </cell>
          <cell r="T309">
            <v>5.8255563979999998</v>
          </cell>
          <cell r="U309">
            <v>5.8783763599999999</v>
          </cell>
          <cell r="V309">
            <v>5.9307477569999998</v>
          </cell>
          <cell r="W309">
            <v>5.9829579910000001</v>
          </cell>
          <cell r="X309">
            <v>6.0351257939999998</v>
          </cell>
          <cell r="Y309">
            <v>6.0873199749999998</v>
          </cell>
          <cell r="Z309">
            <v>6.1342007599999997</v>
          </cell>
          <cell r="AA309">
            <v>6.1844901209999996</v>
          </cell>
          <cell r="AB309">
            <v>6.2361992639999997</v>
          </cell>
          <cell r="AC309">
            <v>6.2886785009999997</v>
          </cell>
          <cell r="AD309">
            <v>6.3417069880000003</v>
          </cell>
          <cell r="AE309">
            <v>6.3803359159999999</v>
          </cell>
          <cell r="AF309">
            <v>6.4216539099999999</v>
          </cell>
          <cell r="AG309">
            <v>6.4641036859999996</v>
          </cell>
          <cell r="AH309">
            <v>6.5072900049999998</v>
          </cell>
          <cell r="AI309">
            <v>6.5511177979999999</v>
          </cell>
          <cell r="AJ309">
            <v>6.5955852159999999</v>
          </cell>
          <cell r="AK309">
            <v>6.640826036</v>
          </cell>
          <cell r="AL309">
            <v>6.6868093550000003</v>
          </cell>
          <cell r="AM309">
            <v>6.7335347810000004</v>
          </cell>
          <cell r="AN309">
            <v>6.7810073119999998</v>
          </cell>
          <cell r="AO309">
            <v>6.8292290810000003</v>
          </cell>
          <cell r="AP309">
            <v>6.8758729870000002</v>
          </cell>
          <cell r="AQ309">
            <v>6.9223516639999998</v>
          </cell>
          <cell r="AR309">
            <v>6.9691476410000002</v>
          </cell>
          <cell r="AS309">
            <v>7.0164523059999997</v>
          </cell>
          <cell r="AT309">
            <v>7.0643458460000002</v>
          </cell>
          <cell r="AU309">
            <v>7.1130120039999998</v>
          </cell>
          <cell r="AV309">
            <v>7.1623805349999996</v>
          </cell>
          <cell r="AW309">
            <v>7.2124203659999999</v>
          </cell>
          <cell r="AX309">
            <v>7.2631152520000004</v>
          </cell>
          <cell r="AY309">
            <v>7.3144540810000001</v>
          </cell>
          <cell r="AZ309">
            <v>7.3672014539999999</v>
          </cell>
          <cell r="BA309">
            <v>7.4209068419999999</v>
          </cell>
          <cell r="BB309">
            <v>7.4753852170000004</v>
          </cell>
          <cell r="BC309">
            <v>7.530553759</v>
          </cell>
          <cell r="BD309">
            <v>7.5863718000000002</v>
          </cell>
          <cell r="BE309">
            <v>7.6431268340000003</v>
          </cell>
          <cell r="BF309">
            <v>7.7006381270000004</v>
          </cell>
          <cell r="BG309">
            <v>7.7588283210000002</v>
          </cell>
          <cell r="BH309">
            <v>7.8176659129999999</v>
          </cell>
          <cell r="BI309">
            <v>7.8771400209999998</v>
          </cell>
        </row>
        <row r="311">
          <cell r="E311" t="str">
            <v>CF_toe_cbio_2</v>
          </cell>
          <cell r="F311">
            <v>8.2039779290000006</v>
          </cell>
          <cell r="G311">
            <v>8.1871027450000007</v>
          </cell>
          <cell r="H311">
            <v>8.1615981420000008</v>
          </cell>
          <cell r="I311">
            <v>8.1345969789999995</v>
          </cell>
          <cell r="J311">
            <v>8.1125932289999998</v>
          </cell>
          <cell r="K311">
            <v>8.0974444279999993</v>
          </cell>
          <cell r="L311">
            <v>8.0846207470000007</v>
          </cell>
          <cell r="M311">
            <v>8.0756514839999998</v>
          </cell>
          <cell r="N311">
            <v>8.0710083459999993</v>
          </cell>
          <cell r="O311">
            <v>8.0702214380000008</v>
          </cell>
          <cell r="P311">
            <v>8.0776090570000001</v>
          </cell>
          <cell r="Q311">
            <v>8.0835671219999998</v>
          </cell>
          <cell r="R311">
            <v>8.0896291429999998</v>
          </cell>
          <cell r="S311">
            <v>8.0960720750000004</v>
          </cell>
          <cell r="T311">
            <v>8.1028267629999995</v>
          </cell>
          <cell r="U311">
            <v>8.1097990269999993</v>
          </cell>
          <cell r="V311">
            <v>8.1162328660000007</v>
          </cell>
          <cell r="W311">
            <v>8.1225180950000002</v>
          </cell>
          <cell r="X311">
            <v>8.1288303240000008</v>
          </cell>
          <cell r="Y311">
            <v>8.1352752109999997</v>
          </cell>
          <cell r="Z311">
            <v>8.1384126430000006</v>
          </cell>
          <cell r="AA311">
            <v>8.1438749749999992</v>
          </cell>
          <cell r="AB311">
            <v>8.1504984169999997</v>
          </cell>
          <cell r="AC311">
            <v>8.1579203430000007</v>
          </cell>
          <cell r="AD311">
            <v>8.1660370360000005</v>
          </cell>
          <cell r="AE311">
            <v>8.1650941669999995</v>
          </cell>
          <cell r="AF311">
            <v>8.1661411679999993</v>
          </cell>
          <cell r="AG311">
            <v>8.1682076030000008</v>
          </cell>
          <cell r="AH311">
            <v>8.1710715500000006</v>
          </cell>
          <cell r="AI311">
            <v>8.1747156719999996</v>
          </cell>
          <cell r="AJ311">
            <v>8.1791789480000006</v>
          </cell>
          <cell r="AK311">
            <v>8.1846641780000002</v>
          </cell>
          <cell r="AL311">
            <v>8.1911167339999995</v>
          </cell>
          <cell r="AM311">
            <v>8.1985224159999994</v>
          </cell>
          <cell r="AN311">
            <v>8.2068749610000005</v>
          </cell>
          <cell r="AO311">
            <v>8.2161660600000008</v>
          </cell>
          <cell r="AP311">
            <v>8.2255858380000006</v>
          </cell>
          <cell r="AQ311">
            <v>8.2355263090000008</v>
          </cell>
          <cell r="AR311">
            <v>8.2461037449999992</v>
          </cell>
          <cell r="AS311">
            <v>8.2573661129999998</v>
          </cell>
          <cell r="AT311">
            <v>8.2693400649999997</v>
          </cell>
          <cell r="AU311">
            <v>8.2822550689999996</v>
          </cell>
          <cell r="AV311">
            <v>8.2959970619999996</v>
          </cell>
          <cell r="AW311">
            <v>8.3105187180000009</v>
          </cell>
          <cell r="AX311">
            <v>8.3257966339999996</v>
          </cell>
          <cell r="AY311">
            <v>8.3418157619999995</v>
          </cell>
          <cell r="AZ311">
            <v>8.3594479570000004</v>
          </cell>
          <cell r="BA311">
            <v>8.3781736369999997</v>
          </cell>
          <cell r="BB311">
            <v>8.3977746759999992</v>
          </cell>
          <cell r="BC311">
            <v>8.4181501109999992</v>
          </cell>
          <cell r="BD311">
            <v>8.4392490630000001</v>
          </cell>
          <cell r="BE311">
            <v>8.4614710649999996</v>
          </cell>
          <cell r="BF311">
            <v>8.4845553490000007</v>
          </cell>
          <cell r="BG311">
            <v>8.5083921690000004</v>
          </cell>
          <cell r="BH311">
            <v>8.532934332</v>
          </cell>
          <cell r="BI311">
            <v>8.5581629259999996</v>
          </cell>
        </row>
        <row r="314">
          <cell r="E314" t="str">
            <v>CF_toe_cote_2</v>
          </cell>
          <cell r="F314">
            <v>8.7081799540000002</v>
          </cell>
          <cell r="G314">
            <v>8.5078333330000007</v>
          </cell>
          <cell r="H314">
            <v>8.5497995810000003</v>
          </cell>
          <cell r="I314">
            <v>8.6380331839999993</v>
          </cell>
          <cell r="J314">
            <v>8.7434156359999999</v>
          </cell>
          <cell r="K314">
            <v>8.8601127230000003</v>
          </cell>
          <cell r="L314">
            <v>8.9792817419999995</v>
          </cell>
          <cell r="M314">
            <v>9.1036591530000006</v>
          </cell>
          <cell r="N314">
            <v>9.2326252419999992</v>
          </cell>
          <cell r="O314">
            <v>9.3651933070000002</v>
          </cell>
          <cell r="P314">
            <v>9.5110752400000003</v>
          </cell>
          <cell r="Q314">
            <v>9.6501383690000004</v>
          </cell>
          <cell r="R314">
            <v>9.7889013239999993</v>
          </cell>
          <cell r="S314">
            <v>9.9281089349999991</v>
          </cell>
          <cell r="T314">
            <v>10.06774298</v>
          </cell>
          <cell r="U314">
            <v>10.2077746</v>
          </cell>
          <cell r="V314">
            <v>10.3469607</v>
          </cell>
          <cell r="W314">
            <v>10.486528379999999</v>
          </cell>
          <cell r="X314">
            <v>10.62684625</v>
          </cell>
          <cell r="Y314">
            <v>10.768180879999999</v>
          </cell>
          <cell r="Z314">
            <v>10.90305457</v>
          </cell>
          <cell r="AA314">
            <v>11.04496093</v>
          </cell>
          <cell r="AB314">
            <v>11.189752629999999</v>
          </cell>
          <cell r="AC314">
            <v>11.336955489999999</v>
          </cell>
          <cell r="AD314">
            <v>11.486643150000001</v>
          </cell>
          <cell r="AE314">
            <v>11.616857789999999</v>
          </cell>
          <cell r="AF314">
            <v>11.75548562</v>
          </cell>
          <cell r="AG314">
            <v>11.89695751</v>
          </cell>
          <cell r="AH314">
            <v>12.04073797</v>
          </cell>
          <cell r="AI314">
            <v>12.187008540000001</v>
          </cell>
          <cell r="AJ314">
            <v>12.33600468</v>
          </cell>
          <cell r="AK314">
            <v>12.48819842</v>
          </cell>
          <cell r="AL314">
            <v>12.64346632</v>
          </cell>
          <cell r="AM314">
            <v>12.801826800000001</v>
          </cell>
          <cell r="AN314">
            <v>12.96328082</v>
          </cell>
          <cell r="AO314">
            <v>13.127799980000001</v>
          </cell>
          <cell r="AP314">
            <v>13.29263055</v>
          </cell>
          <cell r="AQ314">
            <v>13.45923101</v>
          </cell>
          <cell r="AR314">
            <v>13.62793108</v>
          </cell>
          <cell r="AS314">
            <v>13.7988547</v>
          </cell>
          <cell r="AT314">
            <v>13.972077949999999</v>
          </cell>
          <cell r="AU314">
            <v>14.14806535</v>
          </cell>
          <cell r="AV314">
            <v>14.326522860000001</v>
          </cell>
          <cell r="AW314">
            <v>14.50741994</v>
          </cell>
          <cell r="AX314">
            <v>14.690752529999999</v>
          </cell>
          <cell r="AY314">
            <v>14.876511929999999</v>
          </cell>
          <cell r="AZ314">
            <v>15.066545</v>
          </cell>
          <cell r="BA314">
            <v>15.25938835</v>
          </cell>
          <cell r="BB314">
            <v>15.4547834</v>
          </cell>
          <cell r="BC314">
            <v>15.652655190000001</v>
          </cell>
          <cell r="BD314">
            <v>15.85296486</v>
          </cell>
          <cell r="BE314">
            <v>16.0565596</v>
          </cell>
          <cell r="BF314">
            <v>16.26272917</v>
          </cell>
          <cell r="BG314">
            <v>16.471366530000001</v>
          </cell>
          <cell r="BH314">
            <v>16.68246297</v>
          </cell>
          <cell r="BI314">
            <v>16.89603425</v>
          </cell>
        </row>
        <row r="317">
          <cell r="E317" t="str">
            <v>CF_toe_0</v>
          </cell>
          <cell r="F317">
            <v>162.32540449999999</v>
          </cell>
          <cell r="G317">
            <v>161.39538719999999</v>
          </cell>
          <cell r="H317">
            <v>161.74480740000001</v>
          </cell>
          <cell r="I317">
            <v>162.46692049999999</v>
          </cell>
          <cell r="J317">
            <v>163.4715831</v>
          </cell>
          <cell r="K317">
            <v>164.73868289999999</v>
          </cell>
          <cell r="L317">
            <v>166.15684490000001</v>
          </cell>
          <cell r="M317">
            <v>167.7294584</v>
          </cell>
          <cell r="N317">
            <v>169.4294745</v>
          </cell>
          <cell r="O317">
            <v>171.2246212</v>
          </cell>
          <cell r="P317">
            <v>173.2285411</v>
          </cell>
          <cell r="Q317">
            <v>175.20666019999999</v>
          </cell>
          <cell r="R317">
            <v>177.19523989999999</v>
          </cell>
          <cell r="S317">
            <v>179.19583850000001</v>
          </cell>
          <cell r="T317">
            <v>181.2063459</v>
          </cell>
          <cell r="U317">
            <v>183.22524379999999</v>
          </cell>
          <cell r="V317">
            <v>185.2516962</v>
          </cell>
          <cell r="W317">
            <v>187.28541000000001</v>
          </cell>
          <cell r="X317">
            <v>189.3266065</v>
          </cell>
          <cell r="Y317">
            <v>191.37605919999999</v>
          </cell>
          <cell r="Z317">
            <v>193.33441160000001</v>
          </cell>
          <cell r="AA317">
            <v>195.36023159999999</v>
          </cell>
          <cell r="AB317">
            <v>197.4164437</v>
          </cell>
          <cell r="AC317">
            <v>199.49692039999999</v>
          </cell>
          <cell r="AD317">
            <v>201.60205490000001</v>
          </cell>
          <cell r="AE317">
            <v>203.44588160000001</v>
          </cell>
          <cell r="AF317">
            <v>205.34211120000001</v>
          </cell>
          <cell r="AG317">
            <v>207.25465149999999</v>
          </cell>
          <cell r="AH317">
            <v>209.1824719</v>
          </cell>
          <cell r="AI317">
            <v>211.1305965</v>
          </cell>
          <cell r="AJ317">
            <v>213.1044483</v>
          </cell>
          <cell r="AK317">
            <v>215.10861800000001</v>
          </cell>
          <cell r="AL317">
            <v>217.14642900000001</v>
          </cell>
          <cell r="AM317">
            <v>219.22042759999999</v>
          </cell>
          <cell r="AN317">
            <v>221.3323905</v>
          </cell>
          <cell r="AO317">
            <v>223.48339480000001</v>
          </cell>
          <cell r="AP317">
            <v>225.60574320000001</v>
          </cell>
          <cell r="AQ317">
            <v>227.73664959999999</v>
          </cell>
          <cell r="AR317">
            <v>229.88655729999999</v>
          </cell>
          <cell r="AS317">
            <v>232.05991539999999</v>
          </cell>
          <cell r="AT317">
            <v>234.2593957</v>
          </cell>
          <cell r="AU317">
            <v>236.48683209999999</v>
          </cell>
          <cell r="AV317">
            <v>238.7434638</v>
          </cell>
          <cell r="AW317">
            <v>241.0300494</v>
          </cell>
          <cell r="AX317">
            <v>243.3469758</v>
          </cell>
          <cell r="AY317">
            <v>245.69464400000001</v>
          </cell>
          <cell r="AZ317">
            <v>248.08000530000001</v>
          </cell>
          <cell r="BA317">
            <v>250.50071689999999</v>
          </cell>
          <cell r="BB317">
            <v>252.956627</v>
          </cell>
          <cell r="BC317">
            <v>255.4478225</v>
          </cell>
          <cell r="BD317">
            <v>257.974311</v>
          </cell>
          <cell r="BE317">
            <v>260.53604050000001</v>
          </cell>
          <cell r="BF317">
            <v>263.13297269999998</v>
          </cell>
          <cell r="BG317">
            <v>265.76514470000001</v>
          </cell>
          <cell r="BH317">
            <v>268.43270330000001</v>
          </cell>
          <cell r="BI317">
            <v>271.13591780000002</v>
          </cell>
        </row>
        <row r="318">
          <cell r="E318" t="str">
            <v>CF_toe_ccoa_0</v>
          </cell>
          <cell r="F318">
            <v>5.4830683029999996</v>
          </cell>
          <cell r="G318">
            <v>5.3869425050000004</v>
          </cell>
          <cell r="H318">
            <v>5.4224480939999999</v>
          </cell>
          <cell r="I318">
            <v>5.4880554039999998</v>
          </cell>
          <cell r="J318">
            <v>5.5647419019999997</v>
          </cell>
          <cell r="K318">
            <v>5.6482282289999999</v>
          </cell>
          <cell r="L318">
            <v>5.733467224</v>
          </cell>
          <cell r="M318">
            <v>5.8218143260000002</v>
          </cell>
          <cell r="N318">
            <v>5.913133277</v>
          </cell>
          <cell r="O318">
            <v>6.0070203879999999</v>
          </cell>
          <cell r="P318">
            <v>6.1093326819999998</v>
          </cell>
          <cell r="Q318">
            <v>6.209499664</v>
          </cell>
          <cell r="R318">
            <v>6.3102340549999996</v>
          </cell>
          <cell r="S318">
            <v>6.4119259450000001</v>
          </cell>
          <cell r="T318">
            <v>6.5145642969999997</v>
          </cell>
          <cell r="U318">
            <v>6.6181175520000002</v>
          </cell>
          <cell r="V318">
            <v>6.7226009189999996</v>
          </cell>
          <cell r="W318">
            <v>6.828078369</v>
          </cell>
          <cell r="X318">
            <v>6.9346507129999999</v>
          </cell>
          <cell r="Y318">
            <v>7.0424421170000002</v>
          </cell>
          <cell r="Z318">
            <v>7.1469524489999996</v>
          </cell>
          <cell r="AA318">
            <v>7.2559267570000001</v>
          </cell>
          <cell r="AB318">
            <v>7.3672583620000003</v>
          </cell>
          <cell r="AC318">
            <v>7.4806193609999996</v>
          </cell>
          <cell r="AD318">
            <v>7.5960256089999998</v>
          </cell>
          <cell r="AE318">
            <v>7.7001579089999996</v>
          </cell>
          <cell r="AF318">
            <v>7.8086731049999996</v>
          </cell>
          <cell r="AG318">
            <v>7.9191464969999998</v>
          </cell>
          <cell r="AH318">
            <v>8.0312735899999996</v>
          </cell>
          <cell r="AI318">
            <v>8.1451424540000001</v>
          </cell>
          <cell r="AJ318">
            <v>8.2608866509999999</v>
          </cell>
          <cell r="AK318">
            <v>8.3786149860000005</v>
          </cell>
          <cell r="AL318">
            <v>8.4983984849999992</v>
          </cell>
          <cell r="AM318">
            <v>8.6202716479999992</v>
          </cell>
          <cell r="AN318">
            <v>8.7442385720000004</v>
          </cell>
          <cell r="AO318">
            <v>8.8702802559999991</v>
          </cell>
          <cell r="AP318">
            <v>8.9951098270000003</v>
          </cell>
          <cell r="AQ318">
            <v>9.1207131429999997</v>
          </cell>
          <cell r="AR318">
            <v>9.2475339049999992</v>
          </cell>
          <cell r="AS318">
            <v>9.3757038870000002</v>
          </cell>
          <cell r="AT318">
            <v>9.5052869720000004</v>
          </cell>
          <cell r="AU318">
            <v>9.6363265630000008</v>
          </cell>
          <cell r="AV318">
            <v>9.7688541729999994</v>
          </cell>
          <cell r="AW318">
            <v>9.9028908839999996</v>
          </cell>
          <cell r="AX318">
            <v>10.038448349999999</v>
          </cell>
          <cell r="AY318">
            <v>10.175530500000001</v>
          </cell>
          <cell r="AZ318">
            <v>10.314432249999999</v>
          </cell>
          <cell r="BA318">
            <v>10.45496466</v>
          </cell>
          <cell r="BB318">
            <v>10.597079730000001</v>
          </cell>
          <cell r="BC318">
            <v>10.740760679999999</v>
          </cell>
          <cell r="BD318">
            <v>10.8860016</v>
          </cell>
          <cell r="BE318">
            <v>11.03280431</v>
          </cell>
          <cell r="BF318">
            <v>11.18117823</v>
          </cell>
          <cell r="BG318">
            <v>11.33114041</v>
          </cell>
          <cell r="BH318">
            <v>11.482715369999999</v>
          </cell>
          <cell r="BI318">
            <v>11.635934519999999</v>
          </cell>
        </row>
        <row r="321">
          <cell r="E321" t="str">
            <v>CF_toe_ccoi_0</v>
          </cell>
          <cell r="F321">
            <v>8.4917494900000001E-2</v>
          </cell>
          <cell r="G321">
            <v>8.4031716000000006E-2</v>
          </cell>
          <cell r="H321">
            <v>8.4454870200000004E-2</v>
          </cell>
          <cell r="I321">
            <v>8.5202834899999996E-2</v>
          </cell>
          <cell r="J321">
            <v>8.6147363800000001E-2</v>
          </cell>
          <cell r="K321">
            <v>8.7270795100000007E-2</v>
          </cell>
          <cell r="L321">
            <v>8.8504275399999999E-2</v>
          </cell>
          <cell r="M321">
            <v>8.9857147400000004E-2</v>
          </cell>
          <cell r="N321">
            <v>9.1314611599999998E-2</v>
          </cell>
          <cell r="O321">
            <v>9.2858816799999994E-2</v>
          </cell>
          <cell r="P321">
            <v>9.4568950999999998E-2</v>
          </cell>
          <cell r="Q321">
            <v>9.6282867899999999E-2</v>
          </cell>
          <cell r="R321">
            <v>9.8027938499999995E-2</v>
          </cell>
          <cell r="S321">
            <v>9.9801503400000005E-2</v>
          </cell>
          <cell r="T321">
            <v>0.1015973153</v>
          </cell>
          <cell r="U321">
            <v>0.103410021</v>
          </cell>
          <cell r="V321">
            <v>0.1052357506</v>
          </cell>
          <cell r="W321">
            <v>0.10707200710000001</v>
          </cell>
          <cell r="X321">
            <v>0.108917449</v>
          </cell>
          <cell r="Y321">
            <v>0.1107716777</v>
          </cell>
          <cell r="Z321">
            <v>0.11256274149999999</v>
          </cell>
          <cell r="AA321">
            <v>0.1144031199</v>
          </cell>
          <cell r="AB321">
            <v>0.1162650286</v>
          </cell>
          <cell r="AC321">
            <v>0.11814510459999999</v>
          </cell>
          <cell r="AD321">
            <v>0.1200442406</v>
          </cell>
          <cell r="AE321">
            <v>0.121754348</v>
          </cell>
          <cell r="AF321">
            <v>0.1235005326</v>
          </cell>
          <cell r="AG321">
            <v>0.12525269959999999</v>
          </cell>
          <cell r="AH321">
            <v>0.12701102419999999</v>
          </cell>
          <cell r="AI321">
            <v>0.1287804501</v>
          </cell>
          <cell r="AJ321">
            <v>0.13056602789999999</v>
          </cell>
          <cell r="AK321">
            <v>0.13237203659999999</v>
          </cell>
          <cell r="AL321">
            <v>0.13420187119999999</v>
          </cell>
          <cell r="AM321">
            <v>0.13605809939999999</v>
          </cell>
          <cell r="AN321">
            <v>0.13794256790000001</v>
          </cell>
          <cell r="AO321">
            <v>0.13985651900000001</v>
          </cell>
          <cell r="AP321">
            <v>0.1417498354</v>
          </cell>
          <cell r="AQ321">
            <v>0.14364977770000001</v>
          </cell>
          <cell r="AR321">
            <v>0.14556328090000001</v>
          </cell>
          <cell r="AS321">
            <v>0.14749361320000001</v>
          </cell>
          <cell r="AT321">
            <v>0.1494431957</v>
          </cell>
          <cell r="AU321">
            <v>0.15141401870000001</v>
          </cell>
          <cell r="AV321">
            <v>0.1534076801</v>
          </cell>
          <cell r="AW321">
            <v>0.15542539899999999</v>
          </cell>
          <cell r="AX321">
            <v>0.1574680547</v>
          </cell>
          <cell r="AY321">
            <v>0.15953624</v>
          </cell>
          <cell r="AZ321">
            <v>0.1616349393</v>
          </cell>
          <cell r="BA321">
            <v>0.16376191500000001</v>
          </cell>
          <cell r="BB321">
            <v>0.1659166685</v>
          </cell>
          <cell r="BC321">
            <v>0.16809899079999999</v>
          </cell>
          <cell r="BD321">
            <v>0.17030875679999999</v>
          </cell>
          <cell r="BE321">
            <v>0.1725459262</v>
          </cell>
          <cell r="BF321">
            <v>0.17481056580000001</v>
          </cell>
          <cell r="BG321">
            <v>0.17710286559999999</v>
          </cell>
          <cell r="BH321">
            <v>0.17942314300000001</v>
          </cell>
          <cell r="BI321">
            <v>0.18177184029999999</v>
          </cell>
        </row>
        <row r="324">
          <cell r="E324" t="str">
            <v>CF_toe_cfut_0</v>
          </cell>
          <cell r="F324">
            <v>47.396219530000003</v>
          </cell>
          <cell r="G324">
            <v>47.04190105</v>
          </cell>
          <cell r="H324">
            <v>46.987253170000002</v>
          </cell>
          <cell r="I324">
            <v>47.070845220000002</v>
          </cell>
          <cell r="J324">
            <v>47.276741530000002</v>
          </cell>
          <cell r="K324">
            <v>47.591837480000002</v>
          </cell>
          <cell r="L324">
            <v>47.981917969999998</v>
          </cell>
          <cell r="M324">
            <v>48.436907759999997</v>
          </cell>
          <cell r="N324">
            <v>48.943820019999997</v>
          </cell>
          <cell r="O324">
            <v>49.491417769999998</v>
          </cell>
          <cell r="P324">
            <v>50.099977289999998</v>
          </cell>
          <cell r="Q324">
            <v>50.719764290000001</v>
          </cell>
          <cell r="R324">
            <v>51.354431490000003</v>
          </cell>
          <cell r="S324">
            <v>52.001215799999997</v>
          </cell>
          <cell r="T324">
            <v>52.656984809999997</v>
          </cell>
          <cell r="U324">
            <v>53.319270850000002</v>
          </cell>
          <cell r="V324">
            <v>53.986319690000002</v>
          </cell>
          <cell r="W324">
            <v>54.65696252</v>
          </cell>
          <cell r="X324">
            <v>55.330478530000001</v>
          </cell>
          <cell r="Y324">
            <v>56.00648228</v>
          </cell>
          <cell r="Z324">
            <v>56.66299506</v>
          </cell>
          <cell r="AA324">
            <v>57.331898270000003</v>
          </cell>
          <cell r="AB324">
            <v>58.006504749999998</v>
          </cell>
          <cell r="AC324">
            <v>58.685920029999998</v>
          </cell>
          <cell r="AD324">
            <v>59.370312599999998</v>
          </cell>
          <cell r="AE324">
            <v>59.997047700000003</v>
          </cell>
          <cell r="AF324">
            <v>60.628367109999999</v>
          </cell>
          <cell r="AG324">
            <v>61.258035700000001</v>
          </cell>
          <cell r="AH324">
            <v>61.886935950000002</v>
          </cell>
          <cell r="AI324">
            <v>62.51714174</v>
          </cell>
          <cell r="AJ324">
            <v>63.150652880000003</v>
          </cell>
          <cell r="AK324">
            <v>63.789122599999999</v>
          </cell>
          <cell r="AL324">
            <v>64.433827170000001</v>
          </cell>
          <cell r="AM324">
            <v>65.085704410000005</v>
          </cell>
          <cell r="AN324">
            <v>65.745414190000005</v>
          </cell>
          <cell r="AO324">
            <v>66.413401160000006</v>
          </cell>
          <cell r="AP324">
            <v>67.074816499999997</v>
          </cell>
          <cell r="AQ324">
            <v>67.736685420000001</v>
          </cell>
          <cell r="AR324">
            <v>68.401201929999999</v>
          </cell>
          <cell r="AS324">
            <v>69.069661569999994</v>
          </cell>
          <cell r="AT324">
            <v>69.743148340000005</v>
          </cell>
          <cell r="AU324">
            <v>70.422604750000005</v>
          </cell>
          <cell r="AV324">
            <v>71.108810199999994</v>
          </cell>
          <cell r="AW324">
            <v>71.802368000000001</v>
          </cell>
          <cell r="AX324">
            <v>72.503712669999999</v>
          </cell>
          <cell r="AY324">
            <v>73.213131239999996</v>
          </cell>
          <cell r="AZ324">
            <v>73.932156390000003</v>
          </cell>
          <cell r="BA324">
            <v>74.660239689999997</v>
          </cell>
          <cell r="BB324">
            <v>75.397212490000001</v>
          </cell>
          <cell r="BC324">
            <v>76.142952609999995</v>
          </cell>
          <cell r="BD324">
            <v>76.897341060000002</v>
          </cell>
          <cell r="BE324">
            <v>77.660269170000007</v>
          </cell>
          <cell r="BF324">
            <v>78.431649109999995</v>
          </cell>
          <cell r="BG324">
            <v>79.211419770000006</v>
          </cell>
          <cell r="BH324">
            <v>79.999547960000001</v>
          </cell>
          <cell r="BI324">
            <v>80.796026179999998</v>
          </cell>
        </row>
        <row r="327">
          <cell r="E327" t="str">
            <v>CF_toe_cfuh_0</v>
          </cell>
          <cell r="F327">
            <v>14.83425304</v>
          </cell>
          <cell r="G327">
            <v>14.803320279999999</v>
          </cell>
          <cell r="H327">
            <v>14.8337302</v>
          </cell>
          <cell r="I327">
            <v>14.881127790000001</v>
          </cell>
          <cell r="J327">
            <v>14.944799420000001</v>
          </cell>
          <cell r="K327">
            <v>15.02592087</v>
          </cell>
          <cell r="L327">
            <v>15.116709139999999</v>
          </cell>
          <cell r="M327">
            <v>15.218315090000001</v>
          </cell>
          <cell r="N327">
            <v>15.328895429999999</v>
          </cell>
          <cell r="O327">
            <v>15.44528375</v>
          </cell>
          <cell r="P327">
            <v>15.57939771</v>
          </cell>
          <cell r="Q327">
            <v>15.71221403</v>
          </cell>
          <cell r="R327">
            <v>15.8460719</v>
          </cell>
          <cell r="S327">
            <v>15.98105327</v>
          </cell>
          <cell r="T327">
            <v>16.117098179999999</v>
          </cell>
          <cell r="U327">
            <v>16.25422755</v>
          </cell>
          <cell r="V327">
            <v>16.39246992</v>
          </cell>
          <cell r="W327">
            <v>16.53182241</v>
          </cell>
          <cell r="X327">
            <v>16.67225955</v>
          </cell>
          <cell r="Y327">
            <v>16.813759220000001</v>
          </cell>
          <cell r="Z327">
            <v>16.947953120000001</v>
          </cell>
          <cell r="AA327">
            <v>17.087769229999999</v>
          </cell>
          <cell r="AB327">
            <v>17.230301699999998</v>
          </cell>
          <cell r="AC327">
            <v>17.374861540000001</v>
          </cell>
          <cell r="AD327">
            <v>17.52134963</v>
          </cell>
          <cell r="AE327">
            <v>17.645999589999999</v>
          </cell>
          <cell r="AF327">
            <v>17.774335579999999</v>
          </cell>
          <cell r="AG327">
            <v>17.90395075</v>
          </cell>
          <cell r="AH327">
            <v>18.034673089999998</v>
          </cell>
          <cell r="AI327">
            <v>18.166802650000001</v>
          </cell>
          <cell r="AJ327">
            <v>18.300700899999999</v>
          </cell>
          <cell r="AK327">
            <v>18.436693210000001</v>
          </cell>
          <cell r="AL327">
            <v>18.574964510000001</v>
          </cell>
          <cell r="AM327">
            <v>18.715698239999998</v>
          </cell>
          <cell r="AN327">
            <v>18.859053719999999</v>
          </cell>
          <cell r="AO327">
            <v>19.005150929999999</v>
          </cell>
          <cell r="AP327">
            <v>19.148464239999999</v>
          </cell>
          <cell r="AQ327">
            <v>19.291977719999998</v>
          </cell>
          <cell r="AR327">
            <v>19.436659209999998</v>
          </cell>
          <cell r="AS327">
            <v>19.582921070000001</v>
          </cell>
          <cell r="AT327">
            <v>19.73098388</v>
          </cell>
          <cell r="AU327">
            <v>19.880976889999999</v>
          </cell>
          <cell r="AV327">
            <v>20.03297246</v>
          </cell>
          <cell r="AW327">
            <v>20.187003229999998</v>
          </cell>
          <cell r="AX327">
            <v>20.343077109999999</v>
          </cell>
          <cell r="AY327">
            <v>20.501232779999999</v>
          </cell>
          <cell r="AZ327">
            <v>20.662100179999999</v>
          </cell>
          <cell r="BA327">
            <v>20.825588069999998</v>
          </cell>
          <cell r="BB327">
            <v>20.991761360000002</v>
          </cell>
          <cell r="BC327">
            <v>21.160690670000001</v>
          </cell>
          <cell r="BD327">
            <v>21.332423469999998</v>
          </cell>
          <cell r="BE327">
            <v>21.506987330000001</v>
          </cell>
          <cell r="BF327">
            <v>21.684399599999999</v>
          </cell>
          <cell r="BG327">
            <v>21.86467584</v>
          </cell>
          <cell r="BH327">
            <v>22.047835460000002</v>
          </cell>
          <cell r="BI327">
            <v>22.233904710000001</v>
          </cell>
        </row>
        <row r="329">
          <cell r="E329" t="str">
            <v>CF_toe_cgas_0</v>
          </cell>
          <cell r="F329">
            <v>34.455909939999998</v>
          </cell>
          <cell r="G329">
            <v>34.325235130000003</v>
          </cell>
          <cell r="H329">
            <v>34.459596830000002</v>
          </cell>
          <cell r="I329">
            <v>34.652265509999999</v>
          </cell>
          <cell r="J329">
            <v>34.887496540000001</v>
          </cell>
          <cell r="K329">
            <v>35.167239809999998</v>
          </cell>
          <cell r="L329">
            <v>35.470440080000003</v>
          </cell>
          <cell r="M329">
            <v>35.803266110000003</v>
          </cell>
          <cell r="N329">
            <v>36.162523129999997</v>
          </cell>
          <cell r="O329">
            <v>36.542296620000002</v>
          </cell>
          <cell r="P329">
            <v>36.97139086</v>
          </cell>
          <cell r="Q329">
            <v>37.391025820000003</v>
          </cell>
          <cell r="R329">
            <v>37.810335530000003</v>
          </cell>
          <cell r="S329">
            <v>38.230715539999998</v>
          </cell>
          <cell r="T329">
            <v>38.653008829999997</v>
          </cell>
          <cell r="U329">
            <v>39.077938680000003</v>
          </cell>
          <cell r="V329">
            <v>39.50588673</v>
          </cell>
          <cell r="W329">
            <v>39.936890959999999</v>
          </cell>
          <cell r="X329">
            <v>40.370791539999999</v>
          </cell>
          <cell r="Y329">
            <v>40.807393439999998</v>
          </cell>
          <cell r="Z329">
            <v>41.222080339999998</v>
          </cell>
          <cell r="AA329">
            <v>41.653469889999997</v>
          </cell>
          <cell r="AB329">
            <v>42.091675770000002</v>
          </cell>
          <cell r="AC329">
            <v>42.534762450000002</v>
          </cell>
          <cell r="AD329">
            <v>42.98256215</v>
          </cell>
          <cell r="AE329">
            <v>43.365444170000004</v>
          </cell>
          <cell r="AF329">
            <v>43.760931659999997</v>
          </cell>
          <cell r="AG329">
            <v>44.159433360000001</v>
          </cell>
          <cell r="AH329">
            <v>44.560242510000002</v>
          </cell>
          <cell r="AI329">
            <v>44.964204459999998</v>
          </cell>
          <cell r="AJ329">
            <v>45.37238309</v>
          </cell>
          <cell r="AK329">
            <v>45.78575343</v>
          </cell>
          <cell r="AL329">
            <v>46.204989930000004</v>
          </cell>
          <cell r="AM329">
            <v>46.630771510000002</v>
          </cell>
          <cell r="AN329">
            <v>47.063688190000001</v>
          </cell>
          <cell r="AO329">
            <v>47.504197089999998</v>
          </cell>
          <cell r="AP329">
            <v>47.936120529999997</v>
          </cell>
          <cell r="AQ329">
            <v>48.368904890000003</v>
          </cell>
          <cell r="AR329">
            <v>48.805139099999998</v>
          </cell>
          <cell r="AS329">
            <v>49.24582899</v>
          </cell>
          <cell r="AT329">
            <v>49.691478140000001</v>
          </cell>
          <cell r="AU329">
            <v>50.142361000000001</v>
          </cell>
          <cell r="AV329">
            <v>50.598614769999998</v>
          </cell>
          <cell r="AW329">
            <v>51.060284609999997</v>
          </cell>
          <cell r="AX329">
            <v>51.52736419</v>
          </cell>
          <cell r="AY329">
            <v>51.999984019999999</v>
          </cell>
          <cell r="AZ329">
            <v>52.480088309999999</v>
          </cell>
          <cell r="BA329">
            <v>52.967447630000002</v>
          </cell>
          <cell r="BB329">
            <v>53.462353489999998</v>
          </cell>
          <cell r="BC329">
            <v>53.965082520000003</v>
          </cell>
          <cell r="BD329">
            <v>54.47581417</v>
          </cell>
          <cell r="BE329">
            <v>54.99464828</v>
          </cell>
          <cell r="BF329">
            <v>55.52164002</v>
          </cell>
          <cell r="BG329">
            <v>56.056829790000002</v>
          </cell>
          <cell r="BH329">
            <v>56.600263529999999</v>
          </cell>
          <cell r="BI329">
            <v>57.152004290000001</v>
          </cell>
        </row>
        <row r="335">
          <cell r="E335" t="str">
            <v>CF_toe_cele_0</v>
          </cell>
          <cell r="F335">
            <v>37.992390440000001</v>
          </cell>
          <cell r="G335">
            <v>37.827243520000003</v>
          </cell>
          <cell r="H335">
            <v>37.918933770000002</v>
          </cell>
          <cell r="I335">
            <v>38.090107959999997</v>
          </cell>
          <cell r="J335">
            <v>38.327303710000002</v>
          </cell>
          <cell r="K335">
            <v>38.628008909999998</v>
          </cell>
          <cell r="L335">
            <v>38.965645459999998</v>
          </cell>
          <cell r="M335">
            <v>39.339126710000002</v>
          </cell>
          <cell r="N335">
            <v>39.740015290000002</v>
          </cell>
          <cell r="O335">
            <v>40.158526420000001</v>
          </cell>
          <cell r="P335">
            <v>40.622092909999999</v>
          </cell>
          <cell r="Q335">
            <v>41.075385650000001</v>
          </cell>
          <cell r="R335">
            <v>41.526355039999999</v>
          </cell>
          <cell r="S335">
            <v>41.975054290000003</v>
          </cell>
          <cell r="T335">
            <v>42.420902519999999</v>
          </cell>
          <cell r="U335">
            <v>42.863700999999999</v>
          </cell>
          <cell r="V335">
            <v>43.303611080000003</v>
          </cell>
          <cell r="W335">
            <v>43.741067630000003</v>
          </cell>
          <cell r="X335">
            <v>44.17673491</v>
          </cell>
          <cell r="Y335">
            <v>44.611477999999998</v>
          </cell>
          <cell r="Z335">
            <v>45.022490070000003</v>
          </cell>
          <cell r="AA335">
            <v>45.448021779999998</v>
          </cell>
          <cell r="AB335">
            <v>45.880162669999997</v>
          </cell>
          <cell r="AC335">
            <v>46.318108090000003</v>
          </cell>
          <cell r="AD335">
            <v>46.762512149999999</v>
          </cell>
          <cell r="AE335">
            <v>47.14615895</v>
          </cell>
          <cell r="AF335">
            <v>47.543665349999998</v>
          </cell>
          <cell r="AG335">
            <v>47.947320869999999</v>
          </cell>
          <cell r="AH335">
            <v>48.357367119999999</v>
          </cell>
          <cell r="AI335">
            <v>48.775345590000001</v>
          </cell>
          <cell r="AJ335">
            <v>49.20277754</v>
          </cell>
          <cell r="AK335">
            <v>49.640885349999998</v>
          </cell>
          <cell r="AL335">
            <v>50.090569899999998</v>
          </cell>
          <cell r="AM335">
            <v>50.552428200000001</v>
          </cell>
          <cell r="AN335">
            <v>51.026780420000001</v>
          </cell>
          <cell r="AO335">
            <v>51.51372035</v>
          </cell>
          <cell r="AP335">
            <v>51.996994139999998</v>
          </cell>
          <cell r="AQ335">
            <v>52.485166149999998</v>
          </cell>
          <cell r="AR335">
            <v>52.980597469999999</v>
          </cell>
          <cell r="AS335">
            <v>53.484233760000002</v>
          </cell>
          <cell r="AT335">
            <v>53.996593699999998</v>
          </cell>
          <cell r="AU335">
            <v>54.51799166</v>
          </cell>
          <cell r="AV335">
            <v>55.048598570000003</v>
          </cell>
          <cell r="AW335">
            <v>55.588470350000001</v>
          </cell>
          <cell r="AX335">
            <v>56.137571739999998</v>
          </cell>
          <cell r="AY335">
            <v>56.695868369999999</v>
          </cell>
          <cell r="AZ335">
            <v>57.264883089999998</v>
          </cell>
          <cell r="BA335">
            <v>57.843936419999999</v>
          </cell>
          <cell r="BB335">
            <v>58.432870540000003</v>
          </cell>
          <cell r="BC335">
            <v>59.031603930000003</v>
          </cell>
          <cell r="BD335">
            <v>59.64006045</v>
          </cell>
          <cell r="BE335">
            <v>60.258176149999997</v>
          </cell>
          <cell r="BF335">
            <v>60.885916960000003</v>
          </cell>
          <cell r="BG335">
            <v>61.523291970000002</v>
          </cell>
          <cell r="BH335">
            <v>62.170359779999998</v>
          </cell>
          <cell r="BI335">
            <v>62.827229119999998</v>
          </cell>
        </row>
        <row r="345">
          <cell r="E345" t="str">
            <v>CF_toe_chea_0</v>
          </cell>
          <cell r="F345">
            <v>5.1417887630000001</v>
          </cell>
          <cell r="G345">
            <v>5.1629662229999997</v>
          </cell>
          <cell r="H345">
            <v>5.2147580140000001</v>
          </cell>
          <cell r="I345">
            <v>5.2719615549999999</v>
          </cell>
          <cell r="J345">
            <v>5.3318801669999996</v>
          </cell>
          <cell r="K345">
            <v>5.3948207320000003</v>
          </cell>
          <cell r="L345">
            <v>5.4562516060000004</v>
          </cell>
          <cell r="M345">
            <v>5.5191372400000001</v>
          </cell>
          <cell r="N345">
            <v>5.5848203420000004</v>
          </cell>
          <cell r="O345">
            <v>5.6546372539999998</v>
          </cell>
          <cell r="P345">
            <v>5.7308432070000004</v>
          </cell>
          <cell r="Q345">
            <v>5.7998480619999997</v>
          </cell>
          <cell r="R345">
            <v>5.8652569080000001</v>
          </cell>
          <cell r="S345">
            <v>5.9288078869999996</v>
          </cell>
          <cell r="T345">
            <v>5.9914555419999997</v>
          </cell>
          <cell r="U345">
            <v>6.0537304470000004</v>
          </cell>
          <cell r="V345">
            <v>6.11591883</v>
          </cell>
          <cell r="W345">
            <v>6.1781708359999996</v>
          </cell>
          <cell r="X345">
            <v>6.2405682069999999</v>
          </cell>
          <cell r="Y345">
            <v>6.3031647570000002</v>
          </cell>
          <cell r="Z345">
            <v>6.3603928439999997</v>
          </cell>
          <cell r="AA345">
            <v>6.4212885000000002</v>
          </cell>
          <cell r="AB345">
            <v>6.4837994510000003</v>
          </cell>
          <cell r="AC345">
            <v>6.5472621340000003</v>
          </cell>
          <cell r="AD345">
            <v>6.6114600369999996</v>
          </cell>
          <cell r="AE345">
            <v>6.660717923</v>
          </cell>
          <cell r="AF345">
            <v>6.7127026560000003</v>
          </cell>
          <cell r="AG345">
            <v>6.7659314979999996</v>
          </cell>
          <cell r="AH345">
            <v>6.8200530749999997</v>
          </cell>
          <cell r="AI345">
            <v>6.8749935469999999</v>
          </cell>
          <cell r="AJ345">
            <v>6.9307620329999997</v>
          </cell>
          <cell r="AK345">
            <v>6.9873926040000001</v>
          </cell>
          <cell r="AL345">
            <v>7.0449174350000003</v>
          </cell>
          <cell r="AM345">
            <v>7.1033518190000002</v>
          </cell>
          <cell r="AN345">
            <v>7.162711174</v>
          </cell>
          <cell r="AO345">
            <v>7.2230042890000004</v>
          </cell>
          <cell r="AP345">
            <v>7.280744747</v>
          </cell>
          <cell r="AQ345">
            <v>7.338005474</v>
          </cell>
          <cell r="AR345">
            <v>7.3955260010000003</v>
          </cell>
          <cell r="AS345">
            <v>7.4535971779999999</v>
          </cell>
          <cell r="AT345">
            <v>7.5123348679999999</v>
          </cell>
          <cell r="AU345">
            <v>7.5717815960000001</v>
          </cell>
          <cell r="AV345">
            <v>7.6319479450000003</v>
          </cell>
          <cell r="AW345">
            <v>7.692830099</v>
          </cell>
          <cell r="AX345">
            <v>7.7544178639999997</v>
          </cell>
          <cell r="AY345">
            <v>7.8167021109999997</v>
          </cell>
          <cell r="AZ345">
            <v>7.8799795140000004</v>
          </cell>
          <cell r="BA345">
            <v>7.9440880500000004</v>
          </cell>
          <cell r="BB345">
            <v>8.0089809780000003</v>
          </cell>
          <cell r="BC345">
            <v>8.0746447089999993</v>
          </cell>
          <cell r="BD345">
            <v>8.1410751040000005</v>
          </cell>
          <cell r="BE345">
            <v>8.2082707310000007</v>
          </cell>
          <cell r="BF345">
            <v>8.2762315999999991</v>
          </cell>
          <cell r="BG345">
            <v>8.3449594870000006</v>
          </cell>
          <cell r="BH345">
            <v>8.4144584469999995</v>
          </cell>
          <cell r="BI345">
            <v>8.4847351040000003</v>
          </cell>
        </row>
        <row r="347">
          <cell r="E347" t="str">
            <v>CF_toe_cbio_0</v>
          </cell>
          <cell r="F347">
            <v>8.2066322199999995</v>
          </cell>
          <cell r="G347">
            <v>8.2097900429999999</v>
          </cell>
          <cell r="H347">
            <v>8.2030989109999997</v>
          </cell>
          <cell r="I347">
            <v>8.1935720859999996</v>
          </cell>
          <cell r="J347">
            <v>8.1881400679999992</v>
          </cell>
          <cell r="K347">
            <v>8.1891599859999999</v>
          </cell>
          <cell r="L347">
            <v>8.1932697589999997</v>
          </cell>
          <cell r="M347">
            <v>8.2008931539999992</v>
          </cell>
          <cell r="N347">
            <v>8.2109214989999995</v>
          </cell>
          <cell r="O347">
            <v>8.2212570760000006</v>
          </cell>
          <cell r="P347">
            <v>8.2388678100000003</v>
          </cell>
          <cell r="Q347">
            <v>8.2557199509999997</v>
          </cell>
          <cell r="R347">
            <v>8.272985984</v>
          </cell>
          <cell r="S347">
            <v>8.2906812500000004</v>
          </cell>
          <cell r="T347">
            <v>8.3086868969999994</v>
          </cell>
          <cell r="U347">
            <v>8.3268976630000004</v>
          </cell>
          <cell r="V347">
            <v>8.3452488959999993</v>
          </cell>
          <cell r="W347">
            <v>8.3637331400000008</v>
          </cell>
          <cell r="X347">
            <v>8.3823688799999996</v>
          </cell>
          <cell r="Y347">
            <v>8.4011904340000001</v>
          </cell>
          <cell r="Z347">
            <v>8.4165816319999998</v>
          </cell>
          <cell r="AA347">
            <v>8.4343389549999994</v>
          </cell>
          <cell r="AB347">
            <v>8.4532590970000001</v>
          </cell>
          <cell r="AC347">
            <v>8.4729785409999998</v>
          </cell>
          <cell r="AD347">
            <v>8.4934115049999992</v>
          </cell>
          <cell r="AE347">
            <v>8.5043521969999993</v>
          </cell>
          <cell r="AF347">
            <v>8.5170292869999997</v>
          </cell>
          <cell r="AG347">
            <v>8.5306335170000001</v>
          </cell>
          <cell r="AH347">
            <v>8.5450194939999999</v>
          </cell>
          <cell r="AI347">
            <v>8.5602086669999995</v>
          </cell>
          <cell r="AJ347">
            <v>8.5762640940000008</v>
          </cell>
          <cell r="AK347">
            <v>8.5932517169999993</v>
          </cell>
          <cell r="AL347">
            <v>8.6112268780000001</v>
          </cell>
          <cell r="AM347">
            <v>8.6302302980000007</v>
          </cell>
          <cell r="AN347">
            <v>8.6502871119999991</v>
          </cell>
          <cell r="AO347">
            <v>8.6714070809999999</v>
          </cell>
          <cell r="AP347">
            <v>8.6912867820000006</v>
          </cell>
          <cell r="AQ347">
            <v>8.7111893669999994</v>
          </cell>
          <cell r="AR347">
            <v>8.7315690319999995</v>
          </cell>
          <cell r="AS347">
            <v>8.7526008879999999</v>
          </cell>
          <cell r="AT347">
            <v>8.7743491089999992</v>
          </cell>
          <cell r="AU347">
            <v>8.7968290140000001</v>
          </cell>
          <cell r="AV347">
            <v>8.8200272040000005</v>
          </cell>
          <cell r="AW347">
            <v>8.8439185610000006</v>
          </cell>
          <cell r="AX347">
            <v>8.8684771520000005</v>
          </cell>
          <cell r="AY347">
            <v>8.8936919910000007</v>
          </cell>
          <cell r="AZ347">
            <v>8.919784666</v>
          </cell>
          <cell r="BA347">
            <v>8.9466931909999996</v>
          </cell>
          <cell r="BB347">
            <v>8.9744220630000004</v>
          </cell>
          <cell r="BC347">
            <v>9.0029860189999997</v>
          </cell>
          <cell r="BD347">
            <v>9.0323952300000006</v>
          </cell>
          <cell r="BE347">
            <v>9.0626537890000005</v>
          </cell>
          <cell r="BF347">
            <v>9.0937620080000006</v>
          </cell>
          <cell r="BG347">
            <v>9.125719106</v>
          </cell>
          <cell r="BH347">
            <v>9.1585251830000001</v>
          </cell>
          <cell r="BI347">
            <v>9.1921823590000002</v>
          </cell>
        </row>
        <row r="350">
          <cell r="E350" t="str">
            <v>CF_toe_cote_0</v>
          </cell>
          <cell r="F350">
            <v>8.7302247650000009</v>
          </cell>
          <cell r="G350">
            <v>8.5539567319999996</v>
          </cell>
          <cell r="H350">
            <v>8.6205335390000002</v>
          </cell>
          <cell r="I350">
            <v>8.7337821210000008</v>
          </cell>
          <cell r="J350">
            <v>8.8643323820000006</v>
          </cell>
          <cell r="K350">
            <v>9.0061960590000005</v>
          </cell>
          <cell r="L350">
            <v>9.1506393470000003</v>
          </cell>
          <cell r="M350">
            <v>9.3001408380000008</v>
          </cell>
          <cell r="N350">
            <v>9.454030929</v>
          </cell>
          <cell r="O350">
            <v>9.6113231050000003</v>
          </cell>
          <cell r="P350">
            <v>9.7820697370000005</v>
          </cell>
          <cell r="Q350">
            <v>9.9469199079999999</v>
          </cell>
          <cell r="R350">
            <v>10.111541089999999</v>
          </cell>
          <cell r="S350">
            <v>10.27658297</v>
          </cell>
          <cell r="T350">
            <v>10.442047540000001</v>
          </cell>
          <cell r="U350">
            <v>10.60795004</v>
          </cell>
          <cell r="V350">
            <v>10.774404349999999</v>
          </cell>
          <cell r="W350">
            <v>10.94161216</v>
          </cell>
          <cell r="X350">
            <v>11.10983671</v>
          </cell>
          <cell r="Y350">
            <v>11.279377289999999</v>
          </cell>
          <cell r="Z350">
            <v>11.442403369999999</v>
          </cell>
          <cell r="AA350">
            <v>11.61311508</v>
          </cell>
          <cell r="AB350">
            <v>11.78721689</v>
          </cell>
          <cell r="AC350">
            <v>11.9642631</v>
          </cell>
          <cell r="AD350">
            <v>12.14437697</v>
          </cell>
          <cell r="AE350">
            <v>12.304248830000001</v>
          </cell>
          <cell r="AF350">
            <v>12.472905920000001</v>
          </cell>
          <cell r="AG350">
            <v>12.644946579999999</v>
          </cell>
          <cell r="AH350">
            <v>12.81989604</v>
          </cell>
          <cell r="AI350">
            <v>12.997976960000001</v>
          </cell>
          <cell r="AJ350">
            <v>13.179455089999999</v>
          </cell>
          <cell r="AK350">
            <v>13.36453208</v>
          </cell>
          <cell r="AL350">
            <v>13.55333283</v>
          </cell>
          <cell r="AM350">
            <v>13.74591335</v>
          </cell>
          <cell r="AN350">
            <v>13.94227457</v>
          </cell>
          <cell r="AO350">
            <v>14.14237713</v>
          </cell>
          <cell r="AP350">
            <v>14.340456590000001</v>
          </cell>
          <cell r="AQ350">
            <v>14.54035764</v>
          </cell>
          <cell r="AR350">
            <v>14.742767410000001</v>
          </cell>
          <cell r="AS350">
            <v>14.947874499999999</v>
          </cell>
          <cell r="AT350">
            <v>15.155777519999999</v>
          </cell>
          <cell r="AU350">
            <v>15.366546619999999</v>
          </cell>
          <cell r="AV350">
            <v>15.580230759999999</v>
          </cell>
          <cell r="AW350">
            <v>15.79685825</v>
          </cell>
          <cell r="AX350">
            <v>16.016438709999999</v>
          </cell>
          <cell r="AY350">
            <v>16.238966730000001</v>
          </cell>
          <cell r="AZ350">
            <v>16.464946009999998</v>
          </cell>
          <cell r="BA350">
            <v>16.693997320000001</v>
          </cell>
          <cell r="BB350">
            <v>16.92602965</v>
          </cell>
          <cell r="BC350">
            <v>17.16100235</v>
          </cell>
          <cell r="BD350">
            <v>17.398891200000001</v>
          </cell>
          <cell r="BE350">
            <v>17.639684760000002</v>
          </cell>
          <cell r="BF350">
            <v>17.883384629999998</v>
          </cell>
          <cell r="BG350">
            <v>18.130005489999999</v>
          </cell>
          <cell r="BH350">
            <v>18.37957441</v>
          </cell>
          <cell r="BI350">
            <v>18.63212965</v>
          </cell>
        </row>
        <row r="353">
          <cell r="F353">
            <v>64.301440170000006</v>
          </cell>
          <cell r="G353">
            <v>64.265913170000005</v>
          </cell>
          <cell r="H353">
            <v>63.93796511</v>
          </cell>
          <cell r="I353">
            <v>63.578523250000003</v>
          </cell>
          <cell r="J353">
            <v>63.275338130000002</v>
          </cell>
          <cell r="K353">
            <v>63.045923700000003</v>
          </cell>
          <cell r="L353">
            <v>62.86278128</v>
          </cell>
          <cell r="M353">
            <v>62.726596890000003</v>
          </cell>
          <cell r="N353">
            <v>62.63310637</v>
          </cell>
          <cell r="O353">
            <v>62.574986410000001</v>
          </cell>
          <cell r="P353">
            <v>62.573893220000002</v>
          </cell>
          <cell r="Q353">
            <v>62.57721978</v>
          </cell>
          <cell r="R353">
            <v>62.589960380000001</v>
          </cell>
          <cell r="S353">
            <v>62.61284216</v>
          </cell>
          <cell r="T353">
            <v>62.64464779</v>
          </cell>
          <cell r="U353">
            <v>62.683549839999998</v>
          </cell>
          <cell r="V353">
            <v>62.724347690000002</v>
          </cell>
          <cell r="W353">
            <v>62.767952800000003</v>
          </cell>
          <cell r="X353">
            <v>62.814326029999997</v>
          </cell>
          <cell r="Y353">
            <v>62.863060359999999</v>
          </cell>
          <cell r="Z353">
            <v>62.894838649999997</v>
          </cell>
          <cell r="AA353">
            <v>62.937369750000002</v>
          </cell>
          <cell r="AB353">
            <v>62.985190320000001</v>
          </cell>
          <cell r="AC353">
            <v>63.03562668</v>
          </cell>
          <cell r="AD353">
            <v>63.087358180000003</v>
          </cell>
          <cell r="AE353">
            <v>63.088691150000002</v>
          </cell>
          <cell r="AF353">
            <v>63.093231770000003</v>
          </cell>
          <cell r="AG353">
            <v>63.098130619999999</v>
          </cell>
          <cell r="AH353">
            <v>63.102216509999998</v>
          </cell>
          <cell r="AI353">
            <v>63.105188259999998</v>
          </cell>
          <cell r="AJ353">
            <v>63.106907130000003</v>
          </cell>
          <cell r="AK353">
            <v>63.108415909999998</v>
          </cell>
          <cell r="AL353">
            <v>63.10953679</v>
          </cell>
          <cell r="AM353">
            <v>63.110398920000002</v>
          </cell>
          <cell r="AN353">
            <v>63.111241020000001</v>
          </cell>
          <cell r="AO353">
            <v>63.112326299999999</v>
          </cell>
          <cell r="AP353">
            <v>63.110736930000002</v>
          </cell>
          <cell r="AQ353">
            <v>63.107536140000001</v>
          </cell>
          <cell r="AR353">
            <v>63.103451370000002</v>
          </cell>
          <cell r="AS353">
            <v>63.09904075</v>
          </cell>
          <cell r="AT353">
            <v>63.09477339</v>
          </cell>
          <cell r="AU353">
            <v>63.09225155</v>
          </cell>
          <cell r="AV353">
            <v>63.091139239999997</v>
          </cell>
          <cell r="AW353">
            <v>63.091419979999998</v>
          </cell>
          <cell r="AX353">
            <v>63.093189850000002</v>
          </cell>
          <cell r="AY353">
            <v>63.096565320000003</v>
          </cell>
          <cell r="AZ353">
            <v>63.106465020000002</v>
          </cell>
          <cell r="BA353">
            <v>63.12028901</v>
          </cell>
          <cell r="BB353">
            <v>63.136884000000002</v>
          </cell>
          <cell r="BC353">
            <v>63.155744830000003</v>
          </cell>
          <cell r="BD353">
            <v>63.176646050000002</v>
          </cell>
          <cell r="BE353">
            <v>63.201877080000003</v>
          </cell>
          <cell r="BF353">
            <v>63.229993049999997</v>
          </cell>
          <cell r="BG353">
            <v>63.26032395</v>
          </cell>
          <cell r="BH353">
            <v>63.292547689999999</v>
          </cell>
          <cell r="BI353">
            <v>63.326493800000001</v>
          </cell>
        </row>
        <row r="354">
          <cell r="F354">
            <v>42.52087745</v>
          </cell>
          <cell r="G354">
            <v>42.794201180000002</v>
          </cell>
          <cell r="H354">
            <v>42.65300671</v>
          </cell>
          <cell r="I354">
            <v>42.394391149999997</v>
          </cell>
          <cell r="J354">
            <v>42.130737229999994</v>
          </cell>
          <cell r="K354">
            <v>41.895572940000001</v>
          </cell>
          <cell r="L354">
            <v>41.674314079999995</v>
          </cell>
          <cell r="M354">
            <v>41.474478020000006</v>
          </cell>
          <cell r="N354">
            <v>41.2965844</v>
          </cell>
          <cell r="O354">
            <v>41.1368863</v>
          </cell>
          <cell r="P354">
            <v>41.015519310000002</v>
          </cell>
          <cell r="Q354">
            <v>40.887002799999998</v>
          </cell>
          <cell r="R354">
            <v>40.75845417</v>
          </cell>
          <cell r="S354">
            <v>40.632446619999996</v>
          </cell>
          <cell r="T354">
            <v>40.509311029999999</v>
          </cell>
          <cell r="U354">
            <v>40.388502630000005</v>
          </cell>
          <cell r="V354">
            <v>40.266006329999996</v>
          </cell>
          <cell r="W354">
            <v>40.143668149999996</v>
          </cell>
          <cell r="X354">
            <v>40.022214380000001</v>
          </cell>
          <cell r="Y354">
            <v>39.901881509999996</v>
          </cell>
          <cell r="Z354">
            <v>39.767012810000004</v>
          </cell>
          <cell r="AA354">
            <v>39.642416340000004</v>
          </cell>
          <cell r="AB354">
            <v>39.522967810000004</v>
          </cell>
          <cell r="AC354">
            <v>39.406234959999999</v>
          </cell>
          <cell r="AD354">
            <v>39.291107060000002</v>
          </cell>
          <cell r="AE354">
            <v>39.134816479999998</v>
          </cell>
          <cell r="AF354">
            <v>38.985741049999994</v>
          </cell>
          <cell r="AG354">
            <v>38.840697609999999</v>
          </cell>
          <cell r="AH354">
            <v>38.698019100000003</v>
          </cell>
          <cell r="AI354">
            <v>38.556874260000001</v>
          </cell>
          <cell r="AJ354">
            <v>38.416624249999998</v>
          </cell>
          <cell r="AK354">
            <v>38.277845219999996</v>
          </cell>
          <cell r="AL354">
            <v>38.139975299999996</v>
          </cell>
          <cell r="AM354">
            <v>38.002827200000006</v>
          </cell>
          <cell r="AN354">
            <v>37.866375560000002</v>
          </cell>
          <cell r="AO354">
            <v>37.730658890000001</v>
          </cell>
          <cell r="AP354">
            <v>37.59431172</v>
          </cell>
          <cell r="AQ354">
            <v>37.457993630000004</v>
          </cell>
          <cell r="AR354">
            <v>37.322086259999999</v>
          </cell>
          <cell r="AS354">
            <v>37.186800009999999</v>
          </cell>
          <cell r="AT354">
            <v>37.052260700000005</v>
          </cell>
          <cell r="AU354">
            <v>36.919718329999995</v>
          </cell>
          <cell r="AV354">
            <v>36.78854707</v>
          </cell>
          <cell r="AW354">
            <v>36.658498460000004</v>
          </cell>
          <cell r="AX354">
            <v>36.529488649999998</v>
          </cell>
          <cell r="AY354">
            <v>36.401499860000001</v>
          </cell>
          <cell r="AZ354">
            <v>36.279081600000005</v>
          </cell>
          <cell r="BA354">
            <v>36.159548710000003</v>
          </cell>
          <cell r="BB354">
            <v>36.04172329</v>
          </cell>
          <cell r="BC354">
            <v>35.925110060000002</v>
          </cell>
          <cell r="BD354">
            <v>35.809514139999997</v>
          </cell>
          <cell r="BE354">
            <v>35.697202099999998</v>
          </cell>
          <cell r="BF354">
            <v>35.586758140000001</v>
          </cell>
          <cell r="BG354">
            <v>35.47756605</v>
          </cell>
          <cell r="BH354">
            <v>35.369366840000005</v>
          </cell>
          <cell r="BI354">
            <v>35.262056610000002</v>
          </cell>
        </row>
        <row r="362">
          <cell r="F362">
            <v>21.78056273</v>
          </cell>
          <cell r="G362">
            <v>21.471712</v>
          </cell>
          <cell r="H362">
            <v>21.28495839</v>
          </cell>
          <cell r="I362">
            <v>21.184132100000003</v>
          </cell>
          <cell r="J362">
            <v>21.144600899999997</v>
          </cell>
          <cell r="K362">
            <v>21.150350760000002</v>
          </cell>
          <cell r="L362">
            <v>21.188467199999998</v>
          </cell>
          <cell r="M362">
            <v>21.25211886</v>
          </cell>
          <cell r="N362">
            <v>21.33652197</v>
          </cell>
          <cell r="O362">
            <v>21.4381001</v>
          </cell>
          <cell r="P362">
            <v>21.55837391</v>
          </cell>
          <cell r="Q362">
            <v>21.690216979999999</v>
          </cell>
          <cell r="R362">
            <v>21.8315062</v>
          </cell>
          <cell r="S362">
            <v>21.98039554</v>
          </cell>
          <cell r="T362">
            <v>22.135336769999999</v>
          </cell>
          <cell r="U362">
            <v>22.29504721</v>
          </cell>
          <cell r="V362">
            <v>22.458341369999999</v>
          </cell>
          <cell r="W362">
            <v>22.62428465</v>
          </cell>
          <cell r="X362">
            <v>22.792111649999999</v>
          </cell>
          <cell r="Y362">
            <v>22.961178850000003</v>
          </cell>
          <cell r="Z362">
            <v>23.12782584</v>
          </cell>
          <cell r="AA362">
            <v>23.294953420000002</v>
          </cell>
          <cell r="AB362">
            <v>23.46222251</v>
          </cell>
          <cell r="AC362">
            <v>23.62939171</v>
          </cell>
          <cell r="AD362">
            <v>23.796251120000001</v>
          </cell>
          <cell r="AE362">
            <v>23.953874670000001</v>
          </cell>
          <cell r="AF362">
            <v>24.107490719999998</v>
          </cell>
          <cell r="AG362">
            <v>24.257433010000003</v>
          </cell>
          <cell r="AH362">
            <v>24.404197410000002</v>
          </cell>
          <cell r="AI362">
            <v>24.548314000000001</v>
          </cell>
          <cell r="AJ362">
            <v>24.690282879999998</v>
          </cell>
          <cell r="AK362">
            <v>24.830570690000002</v>
          </cell>
          <cell r="AL362">
            <v>24.969561489999997</v>
          </cell>
          <cell r="AM362">
            <v>25.107571719999999</v>
          </cell>
          <cell r="AN362">
            <v>25.24486546</v>
          </cell>
          <cell r="AO362">
            <v>25.381667409999999</v>
          </cell>
          <cell r="AP362">
            <v>25.516425219999999</v>
          </cell>
          <cell r="AQ362">
            <v>25.649542499999999</v>
          </cell>
          <cell r="AR362">
            <v>25.781365109999999</v>
          </cell>
          <cell r="AS362">
            <v>25.912240739999998</v>
          </cell>
          <cell r="AT362">
            <v>26.042512690000002</v>
          </cell>
          <cell r="AU362">
            <v>26.172533219999998</v>
          </cell>
          <cell r="AV362">
            <v>26.30259217</v>
          </cell>
          <cell r="AW362">
            <v>26.43292151</v>
          </cell>
          <cell r="AX362">
            <v>26.563701200000001</v>
          </cell>
          <cell r="AY362">
            <v>26.695065460000002</v>
          </cell>
          <cell r="AZ362">
            <v>26.82738342</v>
          </cell>
          <cell r="BA362">
            <v>26.96074029</v>
          </cell>
          <cell r="BB362">
            <v>27.095160710000002</v>
          </cell>
          <cell r="BC362">
            <v>27.230634769999998</v>
          </cell>
          <cell r="BD362">
            <v>27.367131920000002</v>
          </cell>
          <cell r="BE362">
            <v>27.50467497</v>
          </cell>
          <cell r="BF362">
            <v>27.64323491</v>
          </cell>
          <cell r="BG362">
            <v>27.7827579</v>
          </cell>
          <cell r="BH362">
            <v>27.923180850000001</v>
          </cell>
          <cell r="BI362">
            <v>28.06443719</v>
          </cell>
        </row>
        <row r="366">
          <cell r="F366">
            <v>26.340995079999999</v>
          </cell>
          <cell r="G366">
            <v>26.086152469999998</v>
          </cell>
          <cell r="H366">
            <v>26.218188550000001</v>
          </cell>
          <cell r="I366">
            <v>26.446809869999999</v>
          </cell>
          <cell r="J366">
            <v>26.72311831</v>
          </cell>
          <cell r="K366">
            <v>27.03536021</v>
          </cell>
          <cell r="L366">
            <v>27.361769320000001</v>
          </cell>
          <cell r="M366">
            <v>27.706366670000001</v>
          </cell>
          <cell r="N366">
            <v>28.06714431</v>
          </cell>
          <cell r="O366">
            <v>28.44114862</v>
          </cell>
          <cell r="P366">
            <v>28.851811829999999</v>
          </cell>
          <cell r="Q366">
            <v>29.252816790000001</v>
          </cell>
          <cell r="R366">
            <v>29.654830570000001</v>
          </cell>
          <cell r="S366">
            <v>30.059090149999999</v>
          </cell>
          <cell r="T366">
            <v>30.465296760000001</v>
          </cell>
          <cell r="U366">
            <v>30.873152279999999</v>
          </cell>
          <cell r="V366">
            <v>31.280240620000001</v>
          </cell>
          <cell r="W366">
            <v>31.688481599999999</v>
          </cell>
          <cell r="X366">
            <v>32.098541599999997</v>
          </cell>
          <cell r="Y366">
            <v>32.510934409999997</v>
          </cell>
          <cell r="Z366">
            <v>32.906922690000002</v>
          </cell>
          <cell r="AA366">
            <v>33.317553080000003</v>
          </cell>
          <cell r="AB366">
            <v>33.735356639999999</v>
          </cell>
          <cell r="AC366">
            <v>34.159098360000002</v>
          </cell>
          <cell r="AD366">
            <v>34.588777020000002</v>
          </cell>
          <cell r="AE366">
            <v>34.96947677</v>
          </cell>
          <cell r="AF366">
            <v>35.363512839999999</v>
          </cell>
          <cell r="AG366">
            <v>35.76254058</v>
          </cell>
          <cell r="AH366">
            <v>36.166037250000002</v>
          </cell>
          <cell r="AI366">
            <v>36.57487141</v>
          </cell>
          <cell r="AJ366">
            <v>36.989967739999997</v>
          </cell>
          <cell r="AK366">
            <v>37.412566980000001</v>
          </cell>
          <cell r="AL366">
            <v>37.84276423</v>
          </cell>
          <cell r="AM366">
            <v>38.280765160000001</v>
          </cell>
          <cell r="AN366">
            <v>38.726679660000002</v>
          </cell>
          <cell r="AO366">
            <v>39.180525979999999</v>
          </cell>
          <cell r="AP366">
            <v>39.63374014</v>
          </cell>
          <cell r="AQ366">
            <v>40.090324430000003</v>
          </cell>
          <cell r="AR366">
            <v>40.551685749999997</v>
          </cell>
          <cell r="AS366">
            <v>41.018545770000003</v>
          </cell>
          <cell r="AT366">
            <v>41.491413430000001</v>
          </cell>
          <cell r="AU366">
            <v>41.971422390000001</v>
          </cell>
          <cell r="AV366">
            <v>42.458327359999998</v>
          </cell>
          <cell r="AW366">
            <v>42.952218199999997</v>
          </cell>
          <cell r="AX366">
            <v>43.453178350000002</v>
          </cell>
          <cell r="AY366">
            <v>43.961244690000001</v>
          </cell>
          <cell r="AZ366">
            <v>44.480112400000003</v>
          </cell>
          <cell r="BA366">
            <v>45.007271860000003</v>
          </cell>
          <cell r="BB366">
            <v>45.54212656</v>
          </cell>
          <cell r="BC366">
            <v>46.08443544</v>
          </cell>
          <cell r="BD366">
            <v>46.634049310000002</v>
          </cell>
          <cell r="BE366">
            <v>47.192444729999998</v>
          </cell>
          <cell r="BF366">
            <v>47.758430990000001</v>
          </cell>
          <cell r="BG366">
            <v>48.331759669999997</v>
          </cell>
          <cell r="BH366">
            <v>48.912373340000002</v>
          </cell>
          <cell r="BI366">
            <v>49.500278389999998</v>
          </cell>
        </row>
        <row r="378">
          <cell r="F378">
            <v>4.8896465080000002</v>
          </cell>
          <cell r="G378">
            <v>4.8268116980000002</v>
          </cell>
          <cell r="H378">
            <v>4.8263093140000004</v>
          </cell>
          <cell r="I378">
            <v>4.8464419269999999</v>
          </cell>
          <cell r="J378">
            <v>4.8807543610000002</v>
          </cell>
          <cell r="K378">
            <v>4.927472002</v>
          </cell>
          <cell r="L378">
            <v>4.9821699779999999</v>
          </cell>
          <cell r="M378">
            <v>5.0443363449999996</v>
          </cell>
          <cell r="N378">
            <v>5.1127811469999997</v>
          </cell>
          <cell r="O378">
            <v>5.1863099049999999</v>
          </cell>
          <cell r="P378">
            <v>5.2685710200000004</v>
          </cell>
          <cell r="Q378">
            <v>5.3515982749999997</v>
          </cell>
          <cell r="R378">
            <v>5.4361689289999999</v>
          </cell>
          <cell r="S378">
            <v>5.5220643999999997</v>
          </cell>
          <cell r="T378">
            <v>5.6089639050000004</v>
          </cell>
          <cell r="U378">
            <v>5.6966226420000003</v>
          </cell>
          <cell r="V378">
            <v>5.7844865739999998</v>
          </cell>
          <cell r="W378">
            <v>5.8727444560000004</v>
          </cell>
          <cell r="X378">
            <v>5.9614165010000004</v>
          </cell>
          <cell r="Y378">
            <v>6.0505274939999998</v>
          </cell>
          <cell r="Z378">
            <v>6.1366533160000003</v>
          </cell>
          <cell r="AA378">
            <v>6.2248005620000004</v>
          </cell>
          <cell r="AB378">
            <v>6.3141645879999997</v>
          </cell>
          <cell r="AC378">
            <v>6.4046174379999998</v>
          </cell>
          <cell r="AD378">
            <v>6.4961735819999999</v>
          </cell>
          <cell r="AE378">
            <v>6.5788979379999999</v>
          </cell>
          <cell r="AF378">
            <v>6.6624150249999996</v>
          </cell>
          <cell r="AG378">
            <v>6.7460896149999998</v>
          </cell>
          <cell r="AH378">
            <v>6.8301266050000002</v>
          </cell>
          <cell r="AI378">
            <v>6.9148670939999999</v>
          </cell>
          <cell r="AJ378">
            <v>7.0006175209999997</v>
          </cell>
          <cell r="AK378">
            <v>7.0877020870000003</v>
          </cell>
          <cell r="AL378">
            <v>7.1762327619999997</v>
          </cell>
          <cell r="AM378">
            <v>7.2663154460000001</v>
          </cell>
          <cell r="AN378">
            <v>7.3580207010000001</v>
          </cell>
          <cell r="AO378">
            <v>7.4513891560000003</v>
          </cell>
          <cell r="AP378">
            <v>7.5448099019999999</v>
          </cell>
          <cell r="AQ378">
            <v>7.6387327379999999</v>
          </cell>
          <cell r="AR378">
            <v>7.733457832</v>
          </cell>
          <cell r="AS378">
            <v>7.8292014190000003</v>
          </cell>
          <cell r="AT378">
            <v>7.9261337169999999</v>
          </cell>
          <cell r="AU378">
            <v>8.0245091710000001</v>
          </cell>
          <cell r="AV378">
            <v>8.1243481880000008</v>
          </cell>
          <cell r="AW378">
            <v>8.2257095570000001</v>
          </cell>
          <cell r="AX378">
            <v>8.3286357160000009</v>
          </cell>
          <cell r="AY378">
            <v>8.4331495099999998</v>
          </cell>
          <cell r="AZ378">
            <v>8.5398755130000001</v>
          </cell>
          <cell r="BA378">
            <v>8.6484495629999998</v>
          </cell>
          <cell r="BB378">
            <v>8.7587836909999996</v>
          </cell>
          <cell r="BC378">
            <v>8.8708307719999997</v>
          </cell>
          <cell r="BD378">
            <v>8.9845501159999994</v>
          </cell>
          <cell r="BE378">
            <v>9.1001568329999998</v>
          </cell>
          <cell r="BF378">
            <v>9.2174523589999993</v>
          </cell>
          <cell r="BG378">
            <v>9.3363914650000002</v>
          </cell>
          <cell r="BH378">
            <v>9.4569568250000007</v>
          </cell>
          <cell r="BI378">
            <v>9.5791402090000002</v>
          </cell>
        </row>
        <row r="390">
          <cell r="F390">
            <v>44.144980099999998</v>
          </cell>
          <cell r="G390">
            <v>43.278728979999997</v>
          </cell>
          <cell r="H390">
            <v>43.398578909999998</v>
          </cell>
          <cell r="I390">
            <v>43.735031960000001</v>
          </cell>
          <cell r="J390">
            <v>44.176166700000003</v>
          </cell>
          <cell r="K390">
            <v>44.700927710000002</v>
          </cell>
          <cell r="L390">
            <v>45.267573390000003</v>
          </cell>
          <cell r="M390">
            <v>45.882476109999999</v>
          </cell>
          <cell r="N390">
            <v>46.538301320000002</v>
          </cell>
          <cell r="O390">
            <v>47.22640234</v>
          </cell>
          <cell r="P390">
            <v>47.988707220000002</v>
          </cell>
          <cell r="Q390">
            <v>48.733104949999998</v>
          </cell>
          <cell r="R390">
            <v>49.482003059999997</v>
          </cell>
          <cell r="S390">
            <v>50.236352959999998</v>
          </cell>
          <cell r="T390">
            <v>50.994347500000003</v>
          </cell>
          <cell r="U390">
            <v>51.754476830000002</v>
          </cell>
          <cell r="V390">
            <v>52.510119940000003</v>
          </cell>
          <cell r="W390">
            <v>53.265517039999999</v>
          </cell>
          <cell r="X390">
            <v>54.021788170000001</v>
          </cell>
          <cell r="Y390">
            <v>54.779895580000002</v>
          </cell>
          <cell r="Z390">
            <v>55.504551280000001</v>
          </cell>
          <cell r="AA390">
            <v>56.25591403</v>
          </cell>
          <cell r="AB390">
            <v>57.018366129999997</v>
          </cell>
          <cell r="AC390">
            <v>57.790299660000002</v>
          </cell>
          <cell r="AD390">
            <v>58.572431109999997</v>
          </cell>
          <cell r="AE390">
            <v>59.261639440000003</v>
          </cell>
          <cell r="AF390">
            <v>59.979592660000002</v>
          </cell>
          <cell r="AG390">
            <v>60.706541399999999</v>
          </cell>
          <cell r="AH390">
            <v>61.44144137</v>
          </cell>
          <cell r="AI390">
            <v>62.186092369999997</v>
          </cell>
          <cell r="AJ390">
            <v>62.942404230000001</v>
          </cell>
          <cell r="AK390">
            <v>63.713209759999998</v>
          </cell>
          <cell r="AL390">
            <v>64.498665740000007</v>
          </cell>
          <cell r="AM390">
            <v>65.29934394</v>
          </cell>
          <cell r="AN390">
            <v>66.115606889999995</v>
          </cell>
          <cell r="AO390">
            <v>66.947571710000005</v>
          </cell>
          <cell r="AP390">
            <v>67.781740159999998</v>
          </cell>
          <cell r="AQ390">
            <v>68.624064349999998</v>
          </cell>
          <cell r="AR390">
            <v>69.476313509999997</v>
          </cell>
          <cell r="AS390">
            <v>70.339261739999998</v>
          </cell>
          <cell r="AT390">
            <v>71.213367969999993</v>
          </cell>
          <cell r="AU390">
            <v>72.100740560000006</v>
          </cell>
          <cell r="AV390">
            <v>73.000222379999997</v>
          </cell>
          <cell r="AW390">
            <v>73.911667989999998</v>
          </cell>
          <cell r="AX390">
            <v>74.835009679999999</v>
          </cell>
          <cell r="AY390">
            <v>75.770136600000001</v>
          </cell>
          <cell r="AZ390">
            <v>76.725248390000004</v>
          </cell>
          <cell r="BA390">
            <v>77.694353550000002</v>
          </cell>
          <cell r="BB390">
            <v>78.676210249999997</v>
          </cell>
          <cell r="BC390">
            <v>79.670317139999995</v>
          </cell>
          <cell r="BD390">
            <v>80.676316189999994</v>
          </cell>
          <cell r="BE390">
            <v>81.697765820000001</v>
          </cell>
          <cell r="BF390">
            <v>82.731655959999998</v>
          </cell>
          <cell r="BG390">
            <v>83.777411740000005</v>
          </cell>
          <cell r="BH390">
            <v>84.834885049999997</v>
          </cell>
          <cell r="BI390">
            <v>85.904052109999995</v>
          </cell>
        </row>
        <row r="402">
          <cell r="F402">
            <v>22.50697517</v>
          </cell>
          <cell r="G402">
            <v>22.505965700000001</v>
          </cell>
          <cell r="H402">
            <v>22.628586299999998</v>
          </cell>
          <cell r="I402">
            <v>22.811989180000001</v>
          </cell>
          <cell r="J402">
            <v>23.048785209999998</v>
          </cell>
          <cell r="K402">
            <v>23.337878199999999</v>
          </cell>
          <cell r="L402">
            <v>23.66082793</v>
          </cell>
          <cell r="M402">
            <v>24.018262360000001</v>
          </cell>
          <cell r="N402">
            <v>24.405109299999999</v>
          </cell>
          <cell r="O402">
            <v>24.815783</v>
          </cell>
          <cell r="P402">
            <v>25.27056572</v>
          </cell>
          <cell r="Q402">
            <v>25.727647300000001</v>
          </cell>
          <cell r="R402">
            <v>26.192020970000002</v>
          </cell>
          <cell r="S402">
            <v>26.662789650000001</v>
          </cell>
          <cell r="T402">
            <v>27.138395289999998</v>
          </cell>
          <cell r="U402">
            <v>27.617588040000001</v>
          </cell>
          <cell r="V402">
            <v>28.10036727</v>
          </cell>
          <cell r="W402">
            <v>28.584999849999999</v>
          </cell>
          <cell r="X402">
            <v>29.07126779</v>
          </cell>
          <cell r="Y402">
            <v>29.559305160000001</v>
          </cell>
          <cell r="Z402">
            <v>30.030389</v>
          </cell>
          <cell r="AA402">
            <v>30.513822449999999</v>
          </cell>
          <cell r="AB402">
            <v>31.003190230000001</v>
          </cell>
          <cell r="AC402">
            <v>31.49776881</v>
          </cell>
          <cell r="AD402">
            <v>31.997844359999998</v>
          </cell>
          <cell r="AE402">
            <v>32.448653989999997</v>
          </cell>
          <cell r="AF402">
            <v>32.9075171</v>
          </cell>
          <cell r="AG402">
            <v>33.368653190000003</v>
          </cell>
          <cell r="AH402">
            <v>33.83252847</v>
          </cell>
          <cell r="AI402">
            <v>34.300619660000002</v>
          </cell>
          <cell r="AJ402">
            <v>34.774354289999998</v>
          </cell>
          <cell r="AK402">
            <v>35.254569740000001</v>
          </cell>
          <cell r="AL402">
            <v>35.742595710000003</v>
          </cell>
          <cell r="AM402">
            <v>36.239131270000001</v>
          </cell>
          <cell r="AN402">
            <v>36.744636710000002</v>
          </cell>
          <cell r="AO402">
            <v>37.259410029999998</v>
          </cell>
          <cell r="AP402">
            <v>37.76690035</v>
          </cell>
          <cell r="AQ402">
            <v>38.277982969999996</v>
          </cell>
          <cell r="AR402">
            <v>38.794878969999999</v>
          </cell>
          <cell r="AS402">
            <v>39.318454610000003</v>
          </cell>
          <cell r="AT402">
            <v>39.84927338</v>
          </cell>
          <cell r="AU402">
            <v>40.38717544</v>
          </cell>
          <cell r="AV402">
            <v>40.933178210000001</v>
          </cell>
          <cell r="AW402">
            <v>41.487562650000001</v>
          </cell>
          <cell r="AX402">
            <v>42.050459259999997</v>
          </cell>
          <cell r="AY402">
            <v>42.621925609999998</v>
          </cell>
          <cell r="AZ402">
            <v>43.201030690000003</v>
          </cell>
          <cell r="BA402">
            <v>43.789644039999999</v>
          </cell>
          <cell r="BB402">
            <v>44.38774402</v>
          </cell>
          <cell r="BC402">
            <v>44.995128909999998</v>
          </cell>
          <cell r="BD402">
            <v>45.611589080000002</v>
          </cell>
          <cell r="BE402">
            <v>46.235504669999997</v>
          </cell>
          <cell r="BF402">
            <v>46.868388609999997</v>
          </cell>
          <cell r="BG402">
            <v>47.510287120000001</v>
          </cell>
          <cell r="BH402">
            <v>48.161125970000001</v>
          </cell>
          <cell r="BI402">
            <v>48.820853720000002</v>
          </cell>
        </row>
        <row r="414">
          <cell r="F414">
            <v>64.301440170000006</v>
          </cell>
          <cell r="G414">
            <v>64.379189030000006</v>
          </cell>
          <cell r="H414">
            <v>64.157349830000001</v>
          </cell>
          <cell r="I414">
            <v>63.899233590000001</v>
          </cell>
          <cell r="J414">
            <v>63.695062870000001</v>
          </cell>
          <cell r="K414">
            <v>63.56460414</v>
          </cell>
          <cell r="L414">
            <v>63.484673549999997</v>
          </cell>
          <cell r="M414">
            <v>63.451191870000002</v>
          </cell>
          <cell r="N414">
            <v>63.454294179999998</v>
          </cell>
          <cell r="O414">
            <v>63.481009759999999</v>
          </cell>
          <cell r="P414">
            <v>63.55388834</v>
          </cell>
          <cell r="Q414">
            <v>63.622740610000001</v>
          </cell>
          <cell r="R414">
            <v>63.689226560000002</v>
          </cell>
          <cell r="S414">
            <v>63.754814590000002</v>
          </cell>
          <cell r="T414">
            <v>63.821719260000002</v>
          </cell>
          <cell r="U414">
            <v>63.891840250000001</v>
          </cell>
          <cell r="V414">
            <v>63.96613</v>
          </cell>
          <cell r="W414">
            <v>64.044604680000006</v>
          </cell>
          <cell r="X414">
            <v>64.126615810000004</v>
          </cell>
          <cell r="Y414">
            <v>64.211186850000004</v>
          </cell>
          <cell r="Z414">
            <v>64.277716229999996</v>
          </cell>
          <cell r="AA414">
            <v>64.354334140000006</v>
          </cell>
          <cell r="AB414">
            <v>64.435128500000005</v>
          </cell>
          <cell r="AC414">
            <v>64.517253060000002</v>
          </cell>
          <cell r="AD414">
            <v>64.59947477</v>
          </cell>
          <cell r="AE414">
            <v>64.627800399999998</v>
          </cell>
          <cell r="AF414">
            <v>64.656553130000006</v>
          </cell>
          <cell r="AG414">
            <v>64.683873869999999</v>
          </cell>
          <cell r="AH414">
            <v>64.709007790000001</v>
          </cell>
          <cell r="AI414">
            <v>64.731862430000007</v>
          </cell>
          <cell r="AJ414">
            <v>64.752730220000004</v>
          </cell>
          <cell r="AK414">
            <v>64.77207654</v>
          </cell>
          <cell r="AL414">
            <v>64.790212710000006</v>
          </cell>
          <cell r="AM414">
            <v>64.807680669999996</v>
          </cell>
          <cell r="AN414">
            <v>64.825091060000005</v>
          </cell>
          <cell r="AO414">
            <v>64.843013229999997</v>
          </cell>
          <cell r="AP414">
            <v>64.850382699999997</v>
          </cell>
          <cell r="AQ414">
            <v>64.852994629999998</v>
          </cell>
          <cell r="AR414">
            <v>64.853498009999996</v>
          </cell>
          <cell r="AS414">
            <v>64.853027420000004</v>
          </cell>
          <cell r="AT414">
            <v>64.852000029999999</v>
          </cell>
          <cell r="AU414">
            <v>64.850496010000001</v>
          </cell>
          <cell r="AV414">
            <v>64.848431599999998</v>
          </cell>
          <cell r="AW414">
            <v>64.845651459999999</v>
          </cell>
          <cell r="AX414">
            <v>64.841991699999994</v>
          </cell>
          <cell r="AY414">
            <v>64.83760255</v>
          </cell>
          <cell r="AZ414">
            <v>64.834268690000002</v>
          </cell>
          <cell r="BA414">
            <v>64.832666489999994</v>
          </cell>
          <cell r="BB414">
            <v>64.83359274</v>
          </cell>
          <cell r="BC414">
            <v>64.837680449999993</v>
          </cell>
          <cell r="BD414">
            <v>64.845334649999998</v>
          </cell>
          <cell r="BE414">
            <v>64.856764060000003</v>
          </cell>
          <cell r="BF414">
            <v>64.872038489999994</v>
          </cell>
          <cell r="BG414">
            <v>64.89114112</v>
          </cell>
          <cell r="BH414">
            <v>64.914006610000001</v>
          </cell>
          <cell r="BI414">
            <v>64.940545330000006</v>
          </cell>
        </row>
        <row r="415">
          <cell r="F415">
            <v>42.52087745</v>
          </cell>
          <cell r="G415">
            <v>42.903991070000004</v>
          </cell>
          <cell r="H415">
            <v>42.861843229999998</v>
          </cell>
          <cell r="I415">
            <v>42.694294790000001</v>
          </cell>
          <cell r="J415">
            <v>42.516656939999997</v>
          </cell>
          <cell r="K415">
            <v>42.365186090000002</v>
          </cell>
          <cell r="L415">
            <v>42.230041960000001</v>
          </cell>
          <cell r="M415">
            <v>42.114396929999998</v>
          </cell>
          <cell r="N415">
            <v>42.013557069999997</v>
          </cell>
          <cell r="O415">
            <v>41.918473560000002</v>
          </cell>
          <cell r="P415">
            <v>41.850462130000004</v>
          </cell>
          <cell r="Q415">
            <v>41.766609950000003</v>
          </cell>
          <cell r="R415">
            <v>41.670895380000005</v>
          </cell>
          <cell r="S415">
            <v>41.56683314</v>
          </cell>
          <cell r="T415">
            <v>41.45837118</v>
          </cell>
          <cell r="U415">
            <v>41.348854549999999</v>
          </cell>
          <cell r="V415">
            <v>41.240437110000002</v>
          </cell>
          <cell r="W415">
            <v>41.134137039999999</v>
          </cell>
          <cell r="X415">
            <v>41.030145520000005</v>
          </cell>
          <cell r="Y415">
            <v>40.928190719999996</v>
          </cell>
          <cell r="Z415">
            <v>40.811399520000002</v>
          </cell>
          <cell r="AA415">
            <v>40.705018000000003</v>
          </cell>
          <cell r="AB415">
            <v>40.603465970000002</v>
          </cell>
          <cell r="AC415">
            <v>40.504115290000001</v>
          </cell>
          <cell r="AD415">
            <v>40.405907520000007</v>
          </cell>
          <cell r="AE415">
            <v>40.263813640000002</v>
          </cell>
          <cell r="AF415">
            <v>40.126942840000005</v>
          </cell>
          <cell r="AG415">
            <v>39.993052149999997</v>
          </cell>
          <cell r="AH415">
            <v>39.860815259999995</v>
          </cell>
          <cell r="AI415">
            <v>39.729527189999999</v>
          </cell>
          <cell r="AJ415">
            <v>39.598898729999995</v>
          </cell>
          <cell r="AK415">
            <v>39.468876299999998</v>
          </cell>
          <cell r="AL415">
            <v>39.339323189999995</v>
          </cell>
          <cell r="AM415">
            <v>39.210399539999997</v>
          </cell>
          <cell r="AN415">
            <v>39.082390310000001</v>
          </cell>
          <cell r="AO415">
            <v>38.955584170000002</v>
          </cell>
          <cell r="AP415">
            <v>38.820655729999999</v>
          </cell>
          <cell r="AQ415">
            <v>38.683035889999999</v>
          </cell>
          <cell r="AR415">
            <v>38.54499646</v>
          </cell>
          <cell r="AS415">
            <v>38.407266719999996</v>
          </cell>
          <cell r="AT415">
            <v>38.269854559999999</v>
          </cell>
          <cell r="AU415">
            <v>38.132454490000001</v>
          </cell>
          <cell r="AV415">
            <v>37.994640259999997</v>
          </cell>
          <cell r="AW415">
            <v>37.855967310000004</v>
          </cell>
          <cell r="AX415">
            <v>37.716037710000002</v>
          </cell>
          <cell r="AY415">
            <v>37.574819420000004</v>
          </cell>
          <cell r="AZ415">
            <v>37.433793090000002</v>
          </cell>
          <cell r="BA415">
            <v>37.293548770000001</v>
          </cell>
          <cell r="BB415">
            <v>37.154830629999999</v>
          </cell>
          <cell r="BC415">
            <v>37.01824749</v>
          </cell>
          <cell r="BD415">
            <v>36.884201279999999</v>
          </cell>
          <cell r="BE415">
            <v>36.752912500000001</v>
          </cell>
          <cell r="BF415">
            <v>36.624472920000002</v>
          </cell>
          <cell r="BG415">
            <v>36.498894970000002</v>
          </cell>
          <cell r="BH415">
            <v>36.376148219999997</v>
          </cell>
          <cell r="BI415">
            <v>36.25618291</v>
          </cell>
        </row>
        <row r="423">
          <cell r="F423">
            <v>21.78056273</v>
          </cell>
          <cell r="G423">
            <v>21.475197959999999</v>
          </cell>
          <cell r="H423">
            <v>21.29550661</v>
          </cell>
          <cell r="I423">
            <v>21.204938800000001</v>
          </cell>
          <cell r="J423">
            <v>21.17840593</v>
          </cell>
          <cell r="K423">
            <v>21.199418050000002</v>
          </cell>
          <cell r="L423">
            <v>21.254631589999999</v>
          </cell>
          <cell r="M423">
            <v>21.336794949999998</v>
          </cell>
          <cell r="N423">
            <v>21.440737110000001</v>
          </cell>
          <cell r="O423">
            <v>21.5625362</v>
          </cell>
          <cell r="P423">
            <v>21.70342621</v>
          </cell>
          <cell r="Q423">
            <v>21.856130660000002</v>
          </cell>
          <cell r="R423">
            <v>22.018331180000001</v>
          </cell>
          <cell r="S423">
            <v>22.187981449999999</v>
          </cell>
          <cell r="T423">
            <v>22.363348070000001</v>
          </cell>
          <cell r="U423">
            <v>22.542985699999999</v>
          </cell>
          <cell r="V423">
            <v>22.725692890000001</v>
          </cell>
          <cell r="W423">
            <v>22.91046764</v>
          </cell>
          <cell r="X423">
            <v>23.096470289999999</v>
          </cell>
          <cell r="Y423">
            <v>23.282996129999997</v>
          </cell>
          <cell r="Z423">
            <v>23.466316719999998</v>
          </cell>
          <cell r="AA423">
            <v>23.649316129999999</v>
          </cell>
          <cell r="AB423">
            <v>23.831662530000003</v>
          </cell>
          <cell r="AC423">
            <v>24.01313777</v>
          </cell>
          <cell r="AD423">
            <v>24.193567250000001</v>
          </cell>
          <cell r="AE423">
            <v>24.363986760000003</v>
          </cell>
          <cell r="AF423">
            <v>24.529610290000001</v>
          </cell>
          <cell r="AG423">
            <v>24.690821719999999</v>
          </cell>
          <cell r="AH423">
            <v>24.848192530000002</v>
          </cell>
          <cell r="AI423">
            <v>25.002335239999997</v>
          </cell>
          <cell r="AJ423">
            <v>25.153831499999999</v>
          </cell>
          <cell r="AK423">
            <v>25.303200239999999</v>
          </cell>
          <cell r="AL423">
            <v>25.45088952</v>
          </cell>
          <cell r="AM423">
            <v>25.597281129999999</v>
          </cell>
          <cell r="AN423">
            <v>25.742700750000001</v>
          </cell>
          <cell r="AO423">
            <v>25.887429059999999</v>
          </cell>
          <cell r="AP423">
            <v>26.029726969999999</v>
          </cell>
          <cell r="AQ423">
            <v>26.169958739999998</v>
          </cell>
          <cell r="AR423">
            <v>26.308501549999999</v>
          </cell>
          <cell r="AS423">
            <v>26.445760710000002</v>
          </cell>
          <cell r="AT423">
            <v>26.58214547</v>
          </cell>
          <cell r="AU423">
            <v>26.71804152</v>
          </cell>
          <cell r="AV423">
            <v>26.853791340000001</v>
          </cell>
          <cell r="AW423">
            <v>26.989684149999999</v>
          </cell>
          <cell r="AX423">
            <v>27.125953980000002</v>
          </cell>
          <cell r="AY423">
            <v>27.262783129999999</v>
          </cell>
          <cell r="AZ423">
            <v>27.4004756</v>
          </cell>
          <cell r="BA423">
            <v>27.53911772</v>
          </cell>
          <cell r="BB423">
            <v>27.678762110000001</v>
          </cell>
          <cell r="BC423">
            <v>27.819432969999998</v>
          </cell>
          <cell r="BD423">
            <v>27.961133359999998</v>
          </cell>
          <cell r="BE423">
            <v>28.103851559999999</v>
          </cell>
          <cell r="BF423">
            <v>28.247565569999999</v>
          </cell>
          <cell r="BG423">
            <v>28.392246159999999</v>
          </cell>
          <cell r="BH423">
            <v>28.53785839</v>
          </cell>
          <cell r="BI423">
            <v>28.68436243</v>
          </cell>
        </row>
        <row r="427">
          <cell r="F427">
            <v>26.37987115</v>
          </cell>
          <cell r="G427">
            <v>26.171750150000001</v>
          </cell>
          <cell r="H427">
            <v>26.354263069999998</v>
          </cell>
          <cell r="I427">
            <v>26.63574217</v>
          </cell>
          <cell r="J427">
            <v>26.96616298</v>
          </cell>
          <cell r="K427">
            <v>27.333013879999999</v>
          </cell>
          <cell r="L427">
            <v>27.714403440000002</v>
          </cell>
          <cell r="M427">
            <v>28.113680819999999</v>
          </cell>
          <cell r="N427">
            <v>28.52857062</v>
          </cell>
          <cell r="O427">
            <v>28.955994400000002</v>
          </cell>
          <cell r="P427">
            <v>29.419906390000001</v>
          </cell>
          <cell r="Q427">
            <v>29.87541693</v>
          </cell>
          <cell r="R427">
            <v>30.331742819999999</v>
          </cell>
          <cell r="S427">
            <v>30.78985217</v>
          </cell>
          <cell r="T427">
            <v>31.24940016</v>
          </cell>
          <cell r="U427">
            <v>31.710110969999999</v>
          </cell>
          <cell r="V427">
            <v>32.171992189999997</v>
          </cell>
          <cell r="W427">
            <v>32.635303899999997</v>
          </cell>
          <cell r="X427">
            <v>33.100485810000002</v>
          </cell>
          <cell r="Y427">
            <v>33.568090310000002</v>
          </cell>
          <cell r="Z427">
            <v>34.018758009999999</v>
          </cell>
          <cell r="AA427">
            <v>34.484743479999999</v>
          </cell>
          <cell r="AB427">
            <v>34.95842657</v>
          </cell>
          <cell r="AC427">
            <v>35.438684639999998</v>
          </cell>
          <cell r="AD427">
            <v>35.925664679999997</v>
          </cell>
          <cell r="AE427">
            <v>36.362112490000001</v>
          </cell>
          <cell r="AF427">
            <v>36.812163130000002</v>
          </cell>
          <cell r="AG427">
            <v>37.267895899999999</v>
          </cell>
          <cell r="AH427">
            <v>37.729013530000003</v>
          </cell>
          <cell r="AI427">
            <v>38.196557560000002</v>
          </cell>
          <cell r="AJ427">
            <v>38.671588219999997</v>
          </cell>
          <cell r="AK427">
            <v>39.154920580000002</v>
          </cell>
          <cell r="AL427">
            <v>39.647103629999997</v>
          </cell>
          <cell r="AM427">
            <v>40.148459690000003</v>
          </cell>
          <cell r="AN427">
            <v>40.659138149999997</v>
          </cell>
          <cell r="AO427">
            <v>41.179166879999997</v>
          </cell>
          <cell r="AP427">
            <v>41.694571359999998</v>
          </cell>
          <cell r="AQ427">
            <v>42.213206339999999</v>
          </cell>
          <cell r="AR427">
            <v>42.737239180000003</v>
          </cell>
          <cell r="AS427">
            <v>43.267631860000002</v>
          </cell>
          <cell r="AT427">
            <v>43.805033080000001</v>
          </cell>
          <cell r="AU427">
            <v>44.349940619999998</v>
          </cell>
          <cell r="AV427">
            <v>44.902726629999997</v>
          </cell>
          <cell r="AW427">
            <v>45.463647389999998</v>
          </cell>
          <cell r="AX427">
            <v>46.032858920000002</v>
          </cell>
          <cell r="AY427">
            <v>46.610437810000001</v>
          </cell>
          <cell r="AZ427">
            <v>47.197668030000003</v>
          </cell>
          <cell r="BA427">
            <v>47.793809940000003</v>
          </cell>
          <cell r="BB427">
            <v>48.398628070000001</v>
          </cell>
          <cell r="BC427">
            <v>49.011998560000002</v>
          </cell>
          <cell r="BD427">
            <v>49.633838990000001</v>
          </cell>
          <cell r="BE427">
            <v>50.264100190000001</v>
          </cell>
          <cell r="BF427">
            <v>50.90276712</v>
          </cell>
          <cell r="BG427">
            <v>51.549858690000001</v>
          </cell>
          <cell r="BH427">
            <v>52.205425400000003</v>
          </cell>
          <cell r="BI427">
            <v>52.869545420000001</v>
          </cell>
        </row>
        <row r="439">
          <cell r="F439">
            <v>4.8967256030000001</v>
          </cell>
          <cell r="G439">
            <v>4.8428077380000003</v>
          </cell>
          <cell r="H439">
            <v>4.8523252719999999</v>
          </cell>
          <cell r="I439">
            <v>4.8832952799999996</v>
          </cell>
          <cell r="J439">
            <v>4.9289803409999999</v>
          </cell>
          <cell r="K439">
            <v>4.9873756670000002</v>
          </cell>
          <cell r="L439">
            <v>5.0539488199999996</v>
          </cell>
          <cell r="M439">
            <v>5.1279952980000001</v>
          </cell>
          <cell r="N439">
            <v>5.2082088520000003</v>
          </cell>
          <cell r="O439">
            <v>5.2933135849999999</v>
          </cell>
          <cell r="P439">
            <v>5.3870407360000003</v>
          </cell>
          <cell r="Q439">
            <v>5.4816453259999998</v>
          </cell>
          <cell r="R439">
            <v>5.5776574510000003</v>
          </cell>
          <cell r="S439">
            <v>5.6747938089999996</v>
          </cell>
          <cell r="T439">
            <v>5.7727000740000003</v>
          </cell>
          <cell r="U439">
            <v>5.8711086789999998</v>
          </cell>
          <cell r="V439">
            <v>5.9698535379999997</v>
          </cell>
          <cell r="W439">
            <v>6.0688533949999997</v>
          </cell>
          <cell r="X439">
            <v>6.1680909440000002</v>
          </cell>
          <cell r="Y439">
            <v>6.2675951139999997</v>
          </cell>
          <cell r="Z439">
            <v>6.3638245800000002</v>
          </cell>
          <cell r="AA439">
            <v>6.4619958129999997</v>
          </cell>
          <cell r="AB439">
            <v>6.5612843019999998</v>
          </cell>
          <cell r="AC439">
            <v>6.6615890149999997</v>
          </cell>
          <cell r="AD439">
            <v>6.7629603080000003</v>
          </cell>
          <cell r="AE439">
            <v>6.85505706</v>
          </cell>
          <cell r="AF439">
            <v>6.9478262429999997</v>
          </cell>
          <cell r="AG439">
            <v>7.0407090759999997</v>
          </cell>
          <cell r="AH439">
            <v>7.133959012</v>
          </cell>
          <cell r="AI439">
            <v>7.2279628139999996</v>
          </cell>
          <cell r="AJ439">
            <v>7.3230680460000004</v>
          </cell>
          <cell r="AK439">
            <v>7.4195469650000003</v>
          </cell>
          <cell r="AL439">
            <v>7.5175982250000004</v>
          </cell>
          <cell r="AM439">
            <v>7.6173580230000004</v>
          </cell>
          <cell r="AN439">
            <v>7.7189137130000001</v>
          </cell>
          <cell r="AO439">
            <v>7.8223165190000001</v>
          </cell>
          <cell r="AP439">
            <v>7.9250764990000002</v>
          </cell>
          <cell r="AQ439">
            <v>8.0282418060000005</v>
          </cell>
          <cell r="AR439">
            <v>8.1322195179999994</v>
          </cell>
          <cell r="AS439">
            <v>8.2372662450000007</v>
          </cell>
          <cell r="AT439">
            <v>8.3435888229999993</v>
          </cell>
          <cell r="AU439">
            <v>8.4513578640000002</v>
          </cell>
          <cell r="AV439">
            <v>8.5607072940000002</v>
          </cell>
          <cell r="AW439">
            <v>8.6717353979999992</v>
          </cell>
          <cell r="AX439">
            <v>8.7845088909999998</v>
          </cell>
          <cell r="AY439">
            <v>8.8990684069999997</v>
          </cell>
          <cell r="AZ439">
            <v>9.0156624959999991</v>
          </cell>
          <cell r="BA439">
            <v>9.1342031069999994</v>
          </cell>
          <cell r="BB439">
            <v>9.2546523090000008</v>
          </cell>
          <cell r="BC439">
            <v>9.3769823670000001</v>
          </cell>
          <cell r="BD439">
            <v>9.5011700670000003</v>
          </cell>
          <cell r="BE439">
            <v>9.6271977890000002</v>
          </cell>
          <cell r="BF439">
            <v>9.7550549039999996</v>
          </cell>
          <cell r="BG439">
            <v>9.8847383369999999</v>
          </cell>
          <cell r="BH439">
            <v>10.01625235</v>
          </cell>
          <cell r="BI439">
            <v>10.14960784</v>
          </cell>
        </row>
        <row r="451">
          <cell r="F451">
            <v>44.244008669999999</v>
          </cell>
          <cell r="G451">
            <v>43.493058120000001</v>
          </cell>
          <cell r="H451">
            <v>43.736490889999999</v>
          </cell>
          <cell r="I451">
            <v>44.202693080000003</v>
          </cell>
          <cell r="J451">
            <v>44.777375120000002</v>
          </cell>
          <cell r="K451">
            <v>45.437861259999998</v>
          </cell>
          <cell r="L451">
            <v>46.142190980000002</v>
          </cell>
          <cell r="M451">
            <v>46.895167659999998</v>
          </cell>
          <cell r="N451">
            <v>47.688840910000003</v>
          </cell>
          <cell r="O451">
            <v>48.514244980000001</v>
          </cell>
          <cell r="P451">
            <v>49.41465951</v>
          </cell>
          <cell r="Q451">
            <v>50.301175000000001</v>
          </cell>
          <cell r="R451">
            <v>51.19261616</v>
          </cell>
          <cell r="S451">
            <v>52.089338130000002</v>
          </cell>
          <cell r="T451">
            <v>52.989416800000001</v>
          </cell>
          <cell r="U451">
            <v>53.891348170000001</v>
          </cell>
          <cell r="V451">
            <v>54.7944113</v>
          </cell>
          <cell r="W451">
            <v>55.698610219999999</v>
          </cell>
          <cell r="X451">
            <v>56.604539350000003</v>
          </cell>
          <cell r="Y451">
            <v>57.5132409</v>
          </cell>
          <cell r="Z451">
            <v>58.387674539999999</v>
          </cell>
          <cell r="AA451">
            <v>59.291204110000002</v>
          </cell>
          <cell r="AB451">
            <v>60.207619880000003</v>
          </cell>
          <cell r="AC451">
            <v>61.135500030000003</v>
          </cell>
          <cell r="AD451">
            <v>62.075865489999998</v>
          </cell>
          <cell r="AE451">
            <v>62.919226209999998</v>
          </cell>
          <cell r="AF451">
            <v>63.792365599999997</v>
          </cell>
          <cell r="AG451">
            <v>64.676238679999997</v>
          </cell>
          <cell r="AH451">
            <v>65.570133690000006</v>
          </cell>
          <cell r="AI451">
            <v>66.476138849999998</v>
          </cell>
          <cell r="AJ451">
            <v>67.396421500000002</v>
          </cell>
          <cell r="AK451">
            <v>68.332734060000007</v>
          </cell>
          <cell r="AL451">
            <v>69.286346800000004</v>
          </cell>
          <cell r="AM451">
            <v>70.25807709</v>
          </cell>
          <cell r="AN451">
            <v>71.248351549999995</v>
          </cell>
          <cell r="AO451">
            <v>72.257279109999999</v>
          </cell>
          <cell r="AP451">
            <v>73.257921159999995</v>
          </cell>
          <cell r="AQ451">
            <v>74.265883410000001</v>
          </cell>
          <cell r="AR451">
            <v>75.284463239999994</v>
          </cell>
          <cell r="AS451">
            <v>76.314782159999993</v>
          </cell>
          <cell r="AT451">
            <v>77.35750496</v>
          </cell>
          <cell r="AU451">
            <v>78.413117080000006</v>
          </cell>
          <cell r="AV451">
            <v>79.481961319999996</v>
          </cell>
          <cell r="AW451">
            <v>80.564245400000004</v>
          </cell>
          <cell r="AX451">
            <v>81.660055740000004</v>
          </cell>
          <cell r="AY451">
            <v>82.769377910000003</v>
          </cell>
          <cell r="AZ451">
            <v>83.894560319999997</v>
          </cell>
          <cell r="BA451">
            <v>85.034015049999994</v>
          </cell>
          <cell r="BB451">
            <v>86.187254809999999</v>
          </cell>
          <cell r="BC451">
            <v>87.354002449999996</v>
          </cell>
          <cell r="BD451">
            <v>88.534060080000003</v>
          </cell>
          <cell r="BE451">
            <v>89.727301890000007</v>
          </cell>
          <cell r="BF451">
            <v>90.93368169</v>
          </cell>
          <cell r="BG451">
            <v>92.153237279999999</v>
          </cell>
          <cell r="BH451">
            <v>93.386089580000004</v>
          </cell>
          <cell r="BI451">
            <v>94.632437719999999</v>
          </cell>
        </row>
        <row r="463">
          <cell r="F463">
            <v>22.503358890000001</v>
          </cell>
          <cell r="G463">
            <v>22.50858217</v>
          </cell>
          <cell r="H463">
            <v>22.644378329999999</v>
          </cell>
          <cell r="I463">
            <v>22.845956359999999</v>
          </cell>
          <cell r="J463">
            <v>23.104001780000001</v>
          </cell>
          <cell r="K463">
            <v>23.41582794</v>
          </cell>
          <cell r="L463">
            <v>23.761628080000001</v>
          </cell>
          <cell r="M463">
            <v>24.141422729999999</v>
          </cell>
          <cell r="N463">
            <v>24.549559970000001</v>
          </cell>
          <cell r="O463">
            <v>24.980058469999999</v>
          </cell>
          <cell r="P463">
            <v>25.453046180000001</v>
          </cell>
          <cell r="Q463">
            <v>25.925682380000001</v>
          </cell>
          <cell r="R463">
            <v>26.40399695</v>
          </cell>
          <cell r="S463">
            <v>26.88703976</v>
          </cell>
          <cell r="T463">
            <v>27.373109629999998</v>
          </cell>
          <cell r="U463">
            <v>27.860835739999999</v>
          </cell>
          <cell r="V463">
            <v>28.34930915</v>
          </cell>
          <cell r="W463">
            <v>28.838037830000001</v>
          </cell>
          <cell r="X463">
            <v>29.326874579999998</v>
          </cell>
          <cell r="Y463">
            <v>29.815946050000001</v>
          </cell>
          <cell r="Z463">
            <v>30.286438270000001</v>
          </cell>
          <cell r="AA463">
            <v>30.767954039999999</v>
          </cell>
          <cell r="AB463">
            <v>31.253984460000002</v>
          </cell>
          <cell r="AC463">
            <v>31.7438936</v>
          </cell>
          <cell r="AD463">
            <v>32.238089639999998</v>
          </cell>
          <cell r="AE463">
            <v>32.681685440000003</v>
          </cell>
          <cell r="AF463">
            <v>33.133203080000001</v>
          </cell>
          <cell r="AG463">
            <v>33.585933949999998</v>
          </cell>
          <cell r="AH463">
            <v>34.040357890000003</v>
          </cell>
          <cell r="AI463">
            <v>34.498074860000003</v>
          </cell>
          <cell r="AJ463">
            <v>34.960640320000003</v>
          </cell>
          <cell r="AK463">
            <v>35.429339859999999</v>
          </cell>
          <cell r="AL463">
            <v>35.905167640000002</v>
          </cell>
          <cell r="AM463">
            <v>36.388852100000001</v>
          </cell>
          <cell r="AN463">
            <v>36.880896049999997</v>
          </cell>
          <cell r="AO463">
            <v>37.381619059999998</v>
          </cell>
          <cell r="AP463">
            <v>37.877791469999998</v>
          </cell>
          <cell r="AQ463">
            <v>38.376323399999997</v>
          </cell>
          <cell r="AR463">
            <v>38.879137389999997</v>
          </cell>
          <cell r="AS463">
            <v>39.387207760000003</v>
          </cell>
          <cell r="AT463">
            <v>39.901268819999999</v>
          </cell>
          <cell r="AU463">
            <v>40.421920540000002</v>
          </cell>
          <cell r="AV463">
            <v>40.949636920000003</v>
          </cell>
          <cell r="AW463">
            <v>41.484769729999996</v>
          </cell>
          <cell r="AX463">
            <v>42.02756059</v>
          </cell>
          <cell r="AY463">
            <v>42.578157300000001</v>
          </cell>
          <cell r="AZ463">
            <v>43.137845800000001</v>
          </cell>
          <cell r="BA463">
            <v>43.706022359999999</v>
          </cell>
          <cell r="BB463">
            <v>44.282499039999998</v>
          </cell>
          <cell r="BC463">
            <v>44.86715864</v>
          </cell>
          <cell r="BD463">
            <v>45.459907250000001</v>
          </cell>
          <cell r="BE463">
            <v>46.060676530000002</v>
          </cell>
          <cell r="BF463">
            <v>46.669430509999998</v>
          </cell>
          <cell r="BG463">
            <v>47.286169289999997</v>
          </cell>
          <cell r="BH463">
            <v>47.910929340000003</v>
          </cell>
          <cell r="BI463">
            <v>48.543781459999998</v>
          </cell>
        </row>
        <row r="1365">
          <cell r="E1365" t="str">
            <v>100*(GDP_2/GDP_0-1)</v>
          </cell>
          <cell r="F1365">
            <v>-0.12387812955572119</v>
          </cell>
          <cell r="G1365">
            <v>-0.26002258249444576</v>
          </cell>
          <cell r="H1365">
            <v>-0.40684591032005279</v>
          </cell>
          <cell r="I1365">
            <v>-0.56040879623990847</v>
          </cell>
          <cell r="J1365">
            <v>-0.71660320838492497</v>
          </cell>
          <cell r="K1365">
            <v>-0.8725705903099068</v>
          </cell>
          <cell r="L1365">
            <v>-1.0281671843244578</v>
          </cell>
          <cell r="M1365">
            <v>-1.1806139343125577</v>
          </cell>
          <cell r="N1365">
            <v>-1.3289669784647185</v>
          </cell>
          <cell r="O1365">
            <v>-1.4726244897594332</v>
          </cell>
          <cell r="P1365">
            <v>-1.6110605066345207</v>
          </cell>
          <cell r="Q1365">
            <v>-1.7507069691454991</v>
          </cell>
          <cell r="R1365">
            <v>-1.88598760947708</v>
          </cell>
          <cell r="S1365">
            <v>-2.0167298471643447</v>
          </cell>
          <cell r="T1365">
            <v>-2.1427786003025973</v>
          </cell>
          <cell r="U1365">
            <v>-2.2640973132313391</v>
          </cell>
          <cell r="V1365">
            <v>-2.3866291310953081</v>
          </cell>
          <cell r="W1365">
            <v>-2.5054136927858961</v>
          </cell>
          <cell r="X1365">
            <v>-2.6205597380858148</v>
          </cell>
          <cell r="Y1365">
            <v>-2.7321499110581793</v>
          </cell>
          <cell r="Z1365">
            <v>-2.8405307498020282</v>
          </cell>
          <cell r="AA1365">
            <v>-2.9453591024204862</v>
          </cell>
          <cell r="AB1365">
            <v>-3.047159888664619</v>
          </cell>
          <cell r="AC1365">
            <v>-3.1462960177082056</v>
          </cell>
          <cell r="AD1365">
            <v>-3.2430842203880927</v>
          </cell>
          <cell r="AE1365">
            <v>-3.3383185211761313</v>
          </cell>
          <cell r="AF1365">
            <v>-3.4290906047009573</v>
          </cell>
          <cell r="AG1365">
            <v>-3.5177230435464946</v>
          </cell>
          <cell r="AH1365">
            <v>-3.6045639632559023</v>
          </cell>
          <cell r="AI1365">
            <v>-3.689916885964617</v>
          </cell>
          <cell r="AJ1365">
            <v>-3.7740008450478757</v>
          </cell>
          <cell r="AK1365">
            <v>-3.8559000942881116</v>
          </cell>
          <cell r="AL1365">
            <v>-3.9366051472919716</v>
          </cell>
          <cell r="AM1365">
            <v>-4.0161833979315382</v>
          </cell>
          <cell r="AN1365">
            <v>-4.0946817180927848</v>
          </cell>
          <cell r="AO1365">
            <v>-4.1721145546979592</v>
          </cell>
          <cell r="AP1365">
            <v>-4.2398494465811343</v>
          </cell>
          <cell r="AQ1365">
            <v>-4.305204172153509</v>
          </cell>
          <cell r="AR1365">
            <v>-4.3683422765877999</v>
          </cell>
          <cell r="AS1365">
            <v>-4.4296092732756147</v>
          </cell>
          <cell r="AT1365">
            <v>-4.4893124319510864</v>
          </cell>
          <cell r="AU1365">
            <v>-4.5463815657271089</v>
          </cell>
          <cell r="AV1365">
            <v>-4.6021027053292807</v>
          </cell>
          <cell r="AW1365">
            <v>-4.6566491162013612</v>
          </cell>
          <cell r="AX1365">
            <v>-4.7101748644916004</v>
          </cell>
          <cell r="AY1365">
            <v>-4.7627952082361258</v>
          </cell>
          <cell r="AZ1365">
            <v>-4.8104135337768916</v>
          </cell>
          <cell r="BA1365">
            <v>-4.8565876269606179</v>
          </cell>
          <cell r="BB1365">
            <v>-4.9014968178984208</v>
          </cell>
          <cell r="BC1365">
            <v>-4.9453672269198385</v>
          </cell>
          <cell r="BD1365">
            <v>-4.9883901337668739</v>
          </cell>
          <cell r="BE1365">
            <v>-5.0282666158354861</v>
          </cell>
          <cell r="BF1365">
            <v>-5.0671696082860818</v>
          </cell>
          <cell r="BG1365">
            <v>-5.1052814334782042</v>
          </cell>
          <cell r="BH1365">
            <v>-5.1428024673215162</v>
          </cell>
          <cell r="BI1365">
            <v>-5.1799008759286336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-0.15527509467913037</v>
          </cell>
          <cell r="G1366">
            <v>-0.3213202792026193</v>
          </cell>
          <cell r="H1366">
            <v>-0.49714236517072186</v>
          </cell>
          <cell r="I1366">
            <v>-0.67936456329736883</v>
          </cell>
          <cell r="J1366">
            <v>-0.86350875818760331</v>
          </cell>
          <cell r="K1366">
            <v>-1.0465169536737484</v>
          </cell>
          <cell r="L1366">
            <v>-1.2285118130466621</v>
          </cell>
          <cell r="M1366">
            <v>-1.4063722808156598</v>
          </cell>
          <cell r="N1366">
            <v>-1.5792020797268713</v>
          </cell>
          <cell r="O1366">
            <v>-1.7464655612317137</v>
          </cell>
          <cell r="P1366">
            <v>-1.9078315649924904</v>
          </cell>
          <cell r="Q1366">
            <v>-2.0710123715143247</v>
          </cell>
          <cell r="R1366">
            <v>-2.2291330078397675</v>
          </cell>
          <cell r="S1366">
            <v>-2.382135269382446</v>
          </cell>
          <cell r="T1366">
            <v>-2.5299273677689471</v>
          </cell>
          <cell r="U1366">
            <v>-2.6725304863339572</v>
          </cell>
          <cell r="V1366">
            <v>-2.8174712758985532</v>
          </cell>
          <cell r="W1366">
            <v>-2.9582633606147324</v>
          </cell>
          <cell r="X1366">
            <v>-3.095117441576134</v>
          </cell>
          <cell r="Y1366">
            <v>-3.2281586249019778</v>
          </cell>
          <cell r="Z1366">
            <v>-3.3575915344050467</v>
          </cell>
          <cell r="AA1366">
            <v>-3.4835292797540718</v>
          </cell>
          <cell r="AB1366">
            <v>-3.6062336415627283</v>
          </cell>
          <cell r="AC1366">
            <v>-3.7261155057061734</v>
          </cell>
          <cell r="AD1366">
            <v>-3.8435131180938442</v>
          </cell>
          <cell r="AE1366">
            <v>-3.9586642383695025</v>
          </cell>
          <cell r="AF1366">
            <v>-4.0692868397940618</v>
          </cell>
          <cell r="AG1366">
            <v>-4.1777011640221513</v>
          </cell>
          <cell r="AH1366">
            <v>-4.2842503472950266</v>
          </cell>
          <cell r="AI1366">
            <v>-4.3892232643341744</v>
          </cell>
          <cell r="AJ1366">
            <v>-4.4928163035339308</v>
          </cell>
          <cell r="AK1366">
            <v>-4.5938141557026242</v>
          </cell>
          <cell r="AL1366">
            <v>-4.6934608704463638</v>
          </cell>
          <cell r="AM1366">
            <v>-4.791790013438546</v>
          </cell>
          <cell r="AN1366">
            <v>-4.8888244744461744</v>
          </cell>
          <cell r="AO1366">
            <v>-4.984555705969651</v>
          </cell>
          <cell r="AP1366">
            <v>-5.0679296996952505</v>
          </cell>
          <cell r="AQ1366">
            <v>-5.1487894116417525</v>
          </cell>
          <cell r="AR1366">
            <v>-5.2271880358545575</v>
          </cell>
          <cell r="AS1366">
            <v>-5.3034657197350228</v>
          </cell>
          <cell r="AT1366">
            <v>-5.3779318769280104</v>
          </cell>
          <cell r="AU1366">
            <v>-5.4491779709464838</v>
          </cell>
          <cell r="AV1366">
            <v>-5.5188276288405387</v>
          </cell>
          <cell r="AW1366">
            <v>-5.5870438421598223</v>
          </cell>
          <cell r="AX1366">
            <v>-5.6539824498805569</v>
          </cell>
          <cell r="AY1366">
            <v>-5.7197603502595618</v>
          </cell>
          <cell r="AZ1366">
            <v>-5.7792209606024603</v>
          </cell>
          <cell r="BA1366">
            <v>-5.8369746928079502</v>
          </cell>
          <cell r="BB1366">
            <v>-5.8931831201812335</v>
          </cell>
          <cell r="BC1366">
            <v>-5.9480908722395087</v>
          </cell>
          <cell r="BD1366">
            <v>-6.0019080554303939</v>
          </cell>
          <cell r="BE1366">
            <v>-6.051720435508912</v>
          </cell>
          <cell r="BF1366">
            <v>-6.1003442944666748</v>
          </cell>
          <cell r="BG1366">
            <v>-6.1479610979539139</v>
          </cell>
          <cell r="BH1366">
            <v>-6.1947910309679832</v>
          </cell>
          <cell r="BI1366">
            <v>-6.2410207409614333</v>
          </cell>
        </row>
        <row r="1367">
          <cell r="E1367" t="str">
            <v>100*((CH_2-CH_0)/GDP_0)</v>
          </cell>
          <cell r="F1367">
            <v>-2.2219321315265921E-2</v>
          </cell>
          <cell r="G1367">
            <v>-7.0460409543374736E-2</v>
          </cell>
          <cell r="H1367">
            <v>-0.13641332857266328</v>
          </cell>
          <cell r="I1367">
            <v>-0.21450563499979014</v>
          </cell>
          <cell r="J1367">
            <v>-0.30007091231723121</v>
          </cell>
          <cell r="K1367">
            <v>-0.38962158057239177</v>
          </cell>
          <cell r="L1367">
            <v>-0.48118156225359476</v>
          </cell>
          <cell r="M1367">
            <v>-0.57269091044210019</v>
          </cell>
          <cell r="N1367">
            <v>-0.66267428933280292</v>
          </cell>
          <cell r="O1367">
            <v>-0.75004369162499585</v>
          </cell>
          <cell r="P1367">
            <v>-0.83343939307139059</v>
          </cell>
          <cell r="Q1367">
            <v>-0.91465553000259914</v>
          </cell>
          <cell r="R1367">
            <v>-0.99269726894413901</v>
          </cell>
          <cell r="S1367">
            <v>-1.0669788198868455</v>
          </cell>
          <cell r="T1367">
            <v>-1.136999515268734</v>
          </cell>
          <cell r="U1367">
            <v>-1.2024054064787457</v>
          </cell>
          <cell r="V1367">
            <v>-1.2640344532047931</v>
          </cell>
          <cell r="W1367">
            <v>-1.3219303320470692</v>
          </cell>
          <cell r="X1367">
            <v>-1.3759742611067245</v>
          </cell>
          <cell r="Y1367">
            <v>-1.4261023314471122</v>
          </cell>
          <cell r="Z1367">
            <v>-1.4729009405044446</v>
          </cell>
          <cell r="AA1367">
            <v>-1.5151380820829512</v>
          </cell>
          <cell r="AB1367">
            <v>-1.5538127279544276</v>
          </cell>
          <cell r="AC1367">
            <v>-1.5892766427787099</v>
          </cell>
          <cell r="AD1367">
            <v>-1.6218821272494621</v>
          </cell>
          <cell r="AE1367">
            <v>-1.6535453586966187</v>
          </cell>
          <cell r="AF1367">
            <v>-1.6809485345981232</v>
          </cell>
          <cell r="AG1367">
            <v>-1.7055980865658447</v>
          </cell>
          <cell r="AH1367">
            <v>-1.7280296126995709</v>
          </cell>
          <cell r="AI1367">
            <v>-1.7487427669167073</v>
          </cell>
          <cell r="AJ1367">
            <v>-1.7681551494941063</v>
          </cell>
          <cell r="AK1367">
            <v>-1.7864094792652767</v>
          </cell>
          <cell r="AL1367">
            <v>-1.8037577288788333</v>
          </cell>
          <cell r="AM1367">
            <v>-1.8204491383966501</v>
          </cell>
          <cell r="AN1367">
            <v>-1.8366956923626685</v>
          </cell>
          <cell r="AO1367">
            <v>-1.8526670666298415</v>
          </cell>
          <cell r="AP1367">
            <v>-1.8672375303771729</v>
          </cell>
          <cell r="AQ1367">
            <v>-1.8798191305544432</v>
          </cell>
          <cell r="AR1367">
            <v>-1.8908044162987205</v>
          </cell>
          <cell r="AS1367">
            <v>-1.9006818008692625</v>
          </cell>
          <cell r="AT1367">
            <v>-1.9099006825284432</v>
          </cell>
          <cell r="AU1367">
            <v>-1.9185944025158621</v>
          </cell>
          <cell r="AV1367">
            <v>-1.9270386557708126</v>
          </cell>
          <cell r="AW1367">
            <v>-1.9355056736138294</v>
          </cell>
          <cell r="AX1367">
            <v>-1.9442179559600679</v>
          </cell>
          <cell r="AY1367">
            <v>-1.9533427646029338</v>
          </cell>
          <cell r="AZ1367">
            <v>-1.96220608672112</v>
          </cell>
          <cell r="BA1367">
            <v>-1.9708698248734522</v>
          </cell>
          <cell r="BB1367">
            <v>-1.9795343346046836</v>
          </cell>
          <cell r="BC1367">
            <v>-1.9884091805694857</v>
          </cell>
          <cell r="BD1367">
            <v>-1.99766948204562</v>
          </cell>
          <cell r="BE1367">
            <v>-2.0070009544159979</v>
          </cell>
          <cell r="BF1367">
            <v>-2.0164695925540008</v>
          </cell>
          <cell r="BG1367">
            <v>-2.0262408641795346</v>
          </cell>
          <cell r="BH1367">
            <v>-2.0364763969777893</v>
          </cell>
          <cell r="BI1367">
            <v>-2.0473060655915294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-1.9345825700419495E-5</v>
          </cell>
          <cell r="G1368">
            <v>-4.0252317373844415E-3</v>
          </cell>
          <cell r="H1368">
            <v>-1.0181535431738355E-2</v>
          </cell>
          <cell r="I1368">
            <v>-1.7083691533886676E-2</v>
          </cell>
          <cell r="J1368">
            <v>-2.3889202238781129E-2</v>
          </cell>
          <cell r="K1368">
            <v>-3.0158272074737109E-2</v>
          </cell>
          <cell r="L1368">
            <v>-3.577395484841308E-2</v>
          </cell>
          <cell r="M1368">
            <v>-4.068476342848007E-2</v>
          </cell>
          <cell r="N1368">
            <v>-4.491636804242765E-2</v>
          </cell>
          <cell r="O1368">
            <v>-4.852430176743816E-2</v>
          </cell>
          <cell r="P1368">
            <v>-5.1534762214542881E-2</v>
          </cell>
          <cell r="Q1368">
            <v>-5.4206823965879947E-2</v>
          </cell>
          <cell r="R1368">
            <v>-5.6523572951230977E-2</v>
          </cell>
          <cell r="S1368">
            <v>-5.84795818330405E-2</v>
          </cell>
          <cell r="T1368">
            <v>-6.0078431239928641E-2</v>
          </cell>
          <cell r="U1368">
            <v>-6.1335620546894128E-2</v>
          </cell>
          <cell r="V1368">
            <v>-6.2390631397966356E-2</v>
          </cell>
          <cell r="W1368">
            <v>-6.3253322809597501E-2</v>
          </cell>
          <cell r="X1368">
            <v>-6.3917502351823391E-2</v>
          </cell>
          <cell r="Y1368">
            <v>-6.4389072554538393E-2</v>
          </cell>
          <cell r="Z1368">
            <v>-6.4705666052181865E-2</v>
          </cell>
          <cell r="AA1368">
            <v>-6.4833337258192625E-2</v>
          </cell>
          <cell r="AB1368">
            <v>-6.4841172792021201E-2</v>
          </cell>
          <cell r="AC1368">
            <v>-6.4760463277383259E-2</v>
          </cell>
          <cell r="AD1368">
            <v>-6.4616418385344487E-2</v>
          </cell>
          <cell r="AE1368">
            <v>-6.4476381258962559E-2</v>
          </cell>
          <cell r="AF1368">
            <v>-6.4191019096559235E-2</v>
          </cell>
          <cell r="AG1368">
            <v>-6.3853818531627679E-2</v>
          </cell>
          <cell r="AH1368">
            <v>-6.3508292119302007E-2</v>
          </cell>
          <cell r="AI1368">
            <v>-6.3180883135418142E-2</v>
          </cell>
          <cell r="AJ1368">
            <v>-6.2884742252690209E-2</v>
          </cell>
          <cell r="AK1368">
            <v>-6.260577108128923E-2</v>
          </cell>
          <cell r="AL1368">
            <v>-6.2349150332558986E-2</v>
          </cell>
          <cell r="AM1368">
            <v>-6.2121230761128715E-2</v>
          </cell>
          <cell r="AN1368">
            <v>-6.1925090356928399E-2</v>
          </cell>
          <cell r="AO1368">
            <v>-6.1760961437780315E-2</v>
          </cell>
          <cell r="AP1368">
            <v>-6.1479776463003649E-2</v>
          </cell>
          <cell r="AQ1368">
            <v>-6.1091989663780148E-2</v>
          </cell>
          <cell r="AR1368">
            <v>-6.0660229678918584E-2</v>
          </cell>
          <cell r="AS1368">
            <v>-6.0231664995578929E-2</v>
          </cell>
          <cell r="AT1368">
            <v>-5.9833958800456291E-2</v>
          </cell>
          <cell r="AU1368">
            <v>-5.9458487804835952E-2</v>
          </cell>
          <cell r="AV1368">
            <v>-5.9115112688585256E-2</v>
          </cell>
          <cell r="AW1368">
            <v>-5.8812692801867003E-2</v>
          </cell>
          <cell r="AX1368">
            <v>-5.8554671286447681E-2</v>
          </cell>
          <cell r="AY1368">
            <v>-5.8340309083533992E-2</v>
          </cell>
          <cell r="AZ1368">
            <v>-5.8097127276563722E-2</v>
          </cell>
          <cell r="BA1368">
            <v>-5.78367609267239E-2</v>
          </cell>
          <cell r="BB1368">
            <v>-5.7581748307322288E-2</v>
          </cell>
          <cell r="BC1368">
            <v>-5.7347031628983081E-2</v>
          </cell>
          <cell r="BD1368">
            <v>-5.7139947011215345E-2</v>
          </cell>
          <cell r="BE1368">
            <v>-5.6923912008845556E-2</v>
          </cell>
          <cell r="BF1368">
            <v>-5.6707295693882533E-2</v>
          </cell>
          <cell r="BG1368">
            <v>-5.650468111265982E-2</v>
          </cell>
          <cell r="BH1368">
            <v>-5.6325328077502658E-2</v>
          </cell>
          <cell r="BI1368">
            <v>-5.617314722186665E-2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</row>
        <row r="1370">
          <cell r="E1370" t="str">
            <v>100*((I_2-I_0)/GDP_0)</v>
          </cell>
          <cell r="F1370">
            <v>-1.8525592318490047E-2</v>
          </cell>
          <cell r="G1370">
            <v>-4.6927357378518365E-2</v>
          </cell>
          <cell r="H1370">
            <v>-8.0007173478490401E-2</v>
          </cell>
          <cell r="I1370">
            <v>-0.11629315034392236</v>
          </cell>
          <cell r="J1370">
            <v>-0.15473456384983703</v>
          </cell>
          <cell r="K1370">
            <v>-0.19470040061895019</v>
          </cell>
          <cell r="L1370">
            <v>-0.23611111746325184</v>
          </cell>
          <cell r="M1370">
            <v>-0.27851671693580754</v>
          </cell>
          <cell r="N1370">
            <v>-0.32165138832272816</v>
          </cell>
          <cell r="O1370">
            <v>-0.36531843176308149</v>
          </cell>
          <cell r="P1370">
            <v>-0.40915887318795902</v>
          </cell>
          <cell r="Q1370">
            <v>-0.45439232912949706</v>
          </cell>
          <cell r="R1370">
            <v>-0.50021401992476655</v>
          </cell>
          <cell r="S1370">
            <v>-0.54628580421484585</v>
          </cell>
          <cell r="T1370">
            <v>-0.59238280138935906</v>
          </cell>
          <cell r="U1370">
            <v>-0.63833902791058483</v>
          </cell>
          <cell r="V1370">
            <v>-0.68489845893643631</v>
          </cell>
          <cell r="W1370">
            <v>-0.73156006845508004</v>
          </cell>
          <cell r="X1370">
            <v>-0.77802282679785106</v>
          </cell>
          <cell r="Y1370">
            <v>-0.82410868345878885</v>
          </cell>
          <cell r="Z1370">
            <v>-0.86997060709686613</v>
          </cell>
          <cell r="AA1370">
            <v>-0.91487547834815641</v>
          </cell>
          <cell r="AB1370">
            <v>-0.95913002202356101</v>
          </cell>
          <cell r="AC1370">
            <v>-1.0026712359586287</v>
          </cell>
          <cell r="AD1370">
            <v>-1.0454513307302744</v>
          </cell>
          <cell r="AE1370">
            <v>-1.0883381307581319</v>
          </cell>
          <cell r="AF1370">
            <v>-1.1292728875887903</v>
          </cell>
          <cell r="AG1370">
            <v>-1.1690383345120281</v>
          </cell>
          <cell r="AH1370">
            <v>-1.2076462452880041</v>
          </cell>
          <cell r="AI1370">
            <v>-1.2450855864434183</v>
          </cell>
          <cell r="AJ1370">
            <v>-1.2813310104626396</v>
          </cell>
          <cell r="AK1370">
            <v>-1.3161879695144161</v>
          </cell>
          <cell r="AL1370">
            <v>-1.3496856603282985</v>
          </cell>
          <cell r="AM1370">
            <v>-1.3818213870384877</v>
          </cell>
          <cell r="AN1370">
            <v>-1.4125744941983425</v>
          </cell>
          <cell r="AO1370">
            <v>-1.4419179254289234</v>
          </cell>
          <cell r="AP1370">
            <v>-1.4687555097992664</v>
          </cell>
          <cell r="AQ1370">
            <v>-1.4932831709889112</v>
          </cell>
          <cell r="AR1370">
            <v>-1.5158069124984064</v>
          </cell>
          <cell r="AS1370">
            <v>-1.5364788217259637</v>
          </cell>
          <cell r="AT1370">
            <v>-1.5553873857380305</v>
          </cell>
          <cell r="AU1370">
            <v>-1.5723954893574694</v>
          </cell>
          <cell r="AV1370">
            <v>-1.5876395432525603</v>
          </cell>
          <cell r="AW1370">
            <v>-1.6012194919564979</v>
          </cell>
          <cell r="AX1370">
            <v>-1.613215152222685</v>
          </cell>
          <cell r="AY1370">
            <v>-1.6236983433557035</v>
          </cell>
          <cell r="AZ1370">
            <v>-1.6320759923307404</v>
          </cell>
          <cell r="BA1370">
            <v>-1.6387046552970235</v>
          </cell>
          <cell r="BB1370">
            <v>-1.6438025473251989</v>
          </cell>
          <cell r="BC1370">
            <v>-1.6475241236363347</v>
          </cell>
          <cell r="BD1370">
            <v>-1.649993833606743</v>
          </cell>
          <cell r="BE1370">
            <v>-1.6509451620244304</v>
          </cell>
          <cell r="BF1370">
            <v>-1.6506318983299306</v>
          </cell>
          <cell r="BG1370">
            <v>-1.6492416219538923</v>
          </cell>
          <cell r="BH1370">
            <v>-1.6469207198579514</v>
          </cell>
          <cell r="BI1370">
            <v>-1.6437945365436906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</row>
        <row r="1372">
          <cell r="E1372" t="str">
            <v>100*((X_2-X_0)/GDP_0)-100*((M_2-M_0)/GDP_0)</v>
          </cell>
          <cell r="F1372">
            <v>-8.3133220466124355E-2</v>
          </cell>
          <cell r="G1372">
            <v>-0.1426347927770735</v>
          </cell>
          <cell r="H1372">
            <v>-0.19042540826890231</v>
          </cell>
          <cell r="I1372">
            <v>-0.22961004653457745</v>
          </cell>
          <cell r="J1372">
            <v>-0.26179771463502577</v>
          </cell>
          <cell r="K1372">
            <v>-0.28824860045273981</v>
          </cell>
          <cell r="L1372">
            <v>-0.31087447471518703</v>
          </cell>
          <cell r="M1372">
            <v>-0.32940630693465039</v>
          </cell>
          <cell r="N1372">
            <v>-0.3446412759541162</v>
          </cell>
          <cell r="O1372">
            <v>-0.35726237860605392</v>
          </cell>
          <cell r="P1372">
            <v>-0.36846226443440011</v>
          </cell>
          <cell r="Q1372">
            <v>-0.38165906661360482</v>
          </cell>
          <cell r="R1372">
            <v>-0.39307630507971636</v>
          </cell>
          <cell r="S1372">
            <v>-0.40346524598282063</v>
          </cell>
          <cell r="T1372">
            <v>-0.41339629868150285</v>
          </cell>
          <cell r="U1372">
            <v>-0.42335284184413591</v>
          </cell>
          <cell r="V1372">
            <v>-0.43769621531246372</v>
          </cell>
          <cell r="W1372">
            <v>-0.45192331020718912</v>
          </cell>
          <cell r="X1372">
            <v>-0.46656266076811437</v>
          </cell>
          <cell r="Y1372">
            <v>-0.48193887878045572</v>
          </cell>
          <cell r="Z1372">
            <v>-0.4976591748150061</v>
          </cell>
          <cell r="AA1372">
            <v>-0.51534552513291443</v>
          </cell>
          <cell r="AB1372">
            <v>-0.53421713204627186</v>
          </cell>
          <cell r="AC1372">
            <v>-0.55434811608177381</v>
          </cell>
          <cell r="AD1372">
            <v>-0.57575076562865846</v>
          </cell>
          <cell r="AE1372">
            <v>-0.59643501583429703</v>
          </cell>
          <cell r="AF1372">
            <v>-0.61886916684639393</v>
          </cell>
          <cell r="AG1372">
            <v>-0.64308659774369548</v>
          </cell>
          <cell r="AH1372">
            <v>-0.66888808392881383</v>
          </cell>
          <cell r="AI1372">
            <v>-0.69608854463273584</v>
          </cell>
          <cell r="AJ1372">
            <v>-0.72451468212491532</v>
          </cell>
          <cell r="AK1372">
            <v>-0.75330266598963469</v>
          </cell>
          <cell r="AL1372">
            <v>-0.78316178983149221</v>
          </cell>
          <cell r="AM1372">
            <v>-0.81391284972271127</v>
          </cell>
          <cell r="AN1372">
            <v>-0.84541152872393877</v>
          </cell>
          <cell r="AO1372">
            <v>-0.87752955710031588</v>
          </cell>
          <cell r="AP1372">
            <v>-0.9038563927418235</v>
          </cell>
          <cell r="AQ1372">
            <v>-0.93210186521726279</v>
          </cell>
          <cell r="AR1372">
            <v>-0.96173093182478597</v>
          </cell>
          <cell r="AS1372">
            <v>-0.9924486375498125</v>
          </cell>
          <cell r="AT1372">
            <v>-1.0240243818272183</v>
          </cell>
          <cell r="AU1372">
            <v>-1.0553916917597053</v>
          </cell>
          <cell r="AV1372">
            <v>-1.0874244936826525</v>
          </cell>
          <cell r="AW1372">
            <v>-1.1199239830240093</v>
          </cell>
          <cell r="AX1372">
            <v>-1.1527417390936217</v>
          </cell>
          <cell r="AY1372">
            <v>-1.1857541099866884</v>
          </cell>
          <cell r="AZ1372">
            <v>-1.2161314667031684</v>
          </cell>
          <cell r="BA1372">
            <v>-1.247013142061443</v>
          </cell>
          <cell r="BB1372">
            <v>-1.2781599196341591</v>
          </cell>
          <cell r="BC1372">
            <v>-1.3094339042898837</v>
          </cell>
          <cell r="BD1372">
            <v>-1.3407268112956507</v>
          </cell>
          <cell r="BE1372">
            <v>-1.3703204993950635</v>
          </cell>
          <cell r="BF1372">
            <v>-1.4000680841917053</v>
          </cell>
          <cell r="BG1372">
            <v>-1.4297989276783145</v>
          </cell>
          <cell r="BH1372">
            <v>-1.4594053655825792</v>
          </cell>
          <cell r="BI1372">
            <v>-1.4888003014650679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-2.1868336788102544E-2</v>
          </cell>
          <cell r="G1373">
            <v>-6.9559086862898981E-2</v>
          </cell>
          <cell r="H1373">
            <v>-0.13477992470697051</v>
          </cell>
          <cell r="I1373">
            <v>-0.21201393265119148</v>
          </cell>
          <cell r="J1373">
            <v>-0.29663095157476949</v>
          </cell>
          <cell r="K1373">
            <v>-0.38516709210820504</v>
          </cell>
          <cell r="L1373">
            <v>-0.47565981019846781</v>
          </cell>
          <cell r="M1373">
            <v>-0.56606735354965543</v>
          </cell>
          <cell r="N1373">
            <v>-0.65492974847460972</v>
          </cell>
          <cell r="O1373">
            <v>-0.74117262752661595</v>
          </cell>
          <cell r="P1373">
            <v>-0.82346014665337852</v>
          </cell>
          <cell r="Q1373">
            <v>-0.90357070001428863</v>
          </cell>
          <cell r="R1373">
            <v>-0.98052645244544689</v>
          </cell>
          <cell r="S1373">
            <v>-1.0537548002365069</v>
          </cell>
          <cell r="T1373">
            <v>-1.1227665118917678</v>
          </cell>
          <cell r="U1373">
            <v>-1.1872157328401778</v>
          </cell>
          <cell r="V1373">
            <v>-1.2479331002576275</v>
          </cell>
          <cell r="W1373">
            <v>-1.3049624369594954</v>
          </cell>
          <cell r="X1373">
            <v>-1.3581873027754483</v>
          </cell>
          <cell r="Y1373">
            <v>-1.4075446129763107</v>
          </cell>
          <cell r="Z1373">
            <v>-1.4536118253368762</v>
          </cell>
          <cell r="AA1373">
            <v>-1.4951731477872103</v>
          </cell>
          <cell r="AB1373">
            <v>-1.5332132305418935</v>
          </cell>
          <cell r="AC1373">
            <v>-1.5680786155546043</v>
          </cell>
          <cell r="AD1373">
            <v>-1.6001169706975367</v>
          </cell>
          <cell r="AE1373">
            <v>-1.6312174511894681</v>
          </cell>
          <cell r="AF1373">
            <v>-1.6581084311640366</v>
          </cell>
          <cell r="AG1373">
            <v>-1.6822754380959519</v>
          </cell>
          <cell r="AH1373">
            <v>-1.7042461213609583</v>
          </cell>
          <cell r="AI1373">
            <v>-1.7245133647717021</v>
          </cell>
          <cell r="AJ1373">
            <v>-1.7434898615009302</v>
          </cell>
          <cell r="AK1373">
            <v>-1.7613171908175518</v>
          </cell>
          <cell r="AL1373">
            <v>-1.7782450246740851</v>
          </cell>
          <cell r="AM1373">
            <v>-1.7945200926001734</v>
          </cell>
          <cell r="AN1373">
            <v>-1.8103522458183245</v>
          </cell>
          <cell r="AO1373">
            <v>-1.8259094586501878</v>
          </cell>
          <cell r="AP1373">
            <v>-1.8400790421194091</v>
          </cell>
          <cell r="AQ1373">
            <v>-1.8522822666677843</v>
          </cell>
          <cell r="AR1373">
            <v>-1.8629053337282573</v>
          </cell>
          <cell r="AS1373">
            <v>-1.8724295512759992</v>
          </cell>
          <cell r="AT1373">
            <v>-1.8812987612103043</v>
          </cell>
          <cell r="AU1373">
            <v>-1.8896454310387483</v>
          </cell>
          <cell r="AV1373">
            <v>-1.8977429291768149</v>
          </cell>
          <cell r="AW1373">
            <v>-1.9058608620513535</v>
          </cell>
          <cell r="AX1373">
            <v>-1.9142196561047247</v>
          </cell>
          <cell r="AY1373">
            <v>-1.9229852732555217</v>
          </cell>
          <cell r="AZ1373">
            <v>-1.9314933982375504</v>
          </cell>
          <cell r="BA1373">
            <v>-1.9398061890357463</v>
          </cell>
          <cell r="BB1373">
            <v>-1.9481215661329037</v>
          </cell>
          <cell r="BC1373">
            <v>-1.9566467151193967</v>
          </cell>
          <cell r="BD1373">
            <v>-1.965555208860446</v>
          </cell>
          <cell r="BE1373">
            <v>-1.9745377888246092</v>
          </cell>
          <cell r="BF1373">
            <v>-1.9836605824077087</v>
          </cell>
          <cell r="BG1373">
            <v>-1.9930872144339913</v>
          </cell>
          <cell r="BH1373">
            <v>-2.0029775560235938</v>
          </cell>
          <cell r="BI1373">
            <v>-2.0134603288619379</v>
          </cell>
        </row>
        <row r="1374">
          <cell r="E1374" t="str">
            <v>100*((I_2+CH_ccon_2-(I_0+CH_ccon_0))/GDP_0)</v>
          </cell>
          <cell r="F1374">
            <v>-1.8876576845658709E-2</v>
          </cell>
          <cell r="G1374">
            <v>-4.7828680058999422E-2</v>
          </cell>
          <cell r="H1374">
            <v>-8.1640577344175305E-2</v>
          </cell>
          <cell r="I1374">
            <v>-0.1187848526925158</v>
          </cell>
          <cell r="J1374">
            <v>-0.15817452459230644</v>
          </cell>
          <cell r="K1374">
            <v>-0.19915488908314197</v>
          </cell>
          <cell r="L1374">
            <v>-0.24163286951837878</v>
          </cell>
          <cell r="M1374">
            <v>-0.28514027382825469</v>
          </cell>
          <cell r="N1374">
            <v>-0.32939592918092375</v>
          </cell>
          <cell r="O1374">
            <v>-0.37418949586145911</v>
          </cell>
          <cell r="P1374">
            <v>-0.41913811960597103</v>
          </cell>
          <cell r="Q1374">
            <v>-0.46547715911781207</v>
          </cell>
          <cell r="R1374">
            <v>-0.51238483642345434</v>
          </cell>
          <cell r="S1374">
            <v>-0.55950982386518444</v>
          </cell>
          <cell r="T1374">
            <v>-0.60661580476632082</v>
          </cell>
          <cell r="U1374">
            <v>-0.65352870154914866</v>
          </cell>
          <cell r="V1374">
            <v>-0.70099981188359772</v>
          </cell>
          <cell r="W1374">
            <v>-0.74852796354264961</v>
          </cell>
          <cell r="X1374">
            <v>-0.79580978512912726</v>
          </cell>
          <cell r="Y1374">
            <v>-0.84266640192959041</v>
          </cell>
          <cell r="Z1374">
            <v>-0.88925972226443872</v>
          </cell>
          <cell r="AA1374">
            <v>-0.93484041264389339</v>
          </cell>
          <cell r="AB1374">
            <v>-0.97972951943609898</v>
          </cell>
          <cell r="AC1374">
            <v>-1.0238692631827342</v>
          </cell>
          <cell r="AD1374">
            <v>-1.0672164872822001</v>
          </cell>
          <cell r="AE1374">
            <v>-1.110666038265286</v>
          </cell>
          <cell r="AF1374">
            <v>-1.1521129910228769</v>
          </cell>
          <cell r="AG1374">
            <v>-1.1923609829819244</v>
          </cell>
          <cell r="AH1374">
            <v>-1.2314297366266167</v>
          </cell>
          <cell r="AI1374">
            <v>-1.2693149885884196</v>
          </cell>
          <cell r="AJ1374">
            <v>-1.3059962984558198</v>
          </cell>
          <cell r="AK1374">
            <v>-1.3412802579621375</v>
          </cell>
          <cell r="AL1374">
            <v>-1.3751983645330501</v>
          </cell>
          <cell r="AM1374">
            <v>-1.4077504328349639</v>
          </cell>
          <cell r="AN1374">
            <v>-1.4389179407426866</v>
          </cell>
          <cell r="AO1374">
            <v>-1.4686755334085835</v>
          </cell>
          <cell r="AP1374">
            <v>-1.4959139980570304</v>
          </cell>
          <cell r="AQ1374">
            <v>-1.5208200348755703</v>
          </cell>
          <cell r="AR1374">
            <v>-1.5437059950688665</v>
          </cell>
          <cell r="AS1374">
            <v>-1.5647310713192208</v>
          </cell>
          <cell r="AT1374">
            <v>-1.5839893070561661</v>
          </cell>
          <cell r="AU1374">
            <v>-1.6013444608345837</v>
          </cell>
          <cell r="AV1374">
            <v>-1.6169352698465553</v>
          </cell>
          <cell r="AW1374">
            <v>-1.6308643035189738</v>
          </cell>
          <cell r="AX1374">
            <v>-1.6432134520780282</v>
          </cell>
          <cell r="AY1374">
            <v>-1.6540558347031129</v>
          </cell>
          <cell r="AZ1374">
            <v>-1.6627886808143182</v>
          </cell>
          <cell r="BA1374">
            <v>-1.6697682911347242</v>
          </cell>
          <cell r="BB1374">
            <v>-1.6752153157969734</v>
          </cell>
          <cell r="BC1374">
            <v>-1.6792865890864266</v>
          </cell>
          <cell r="BD1374">
            <v>-1.6821081067919221</v>
          </cell>
          <cell r="BE1374">
            <v>-1.6834083276158294</v>
          </cell>
          <cell r="BF1374">
            <v>-1.683440908476223</v>
          </cell>
          <cell r="BG1374">
            <v>-1.6823952716994333</v>
          </cell>
          <cell r="BH1374">
            <v>-1.6804195608121468</v>
          </cell>
          <cell r="BI1374">
            <v>-1.6776402732732822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-1.8280579274106919E-2</v>
          </cell>
          <cell r="G1375">
            <v>-4.6348390555380488E-2</v>
          </cell>
          <cell r="H1375">
            <v>-7.9080254977011974E-2</v>
          </cell>
          <cell r="I1375">
            <v>-0.1150154629647618</v>
          </cell>
          <cell r="J1375">
            <v>-0.15309569892599059</v>
          </cell>
          <cell r="K1375">
            <v>-0.19267512003935108</v>
          </cell>
          <cell r="L1375">
            <v>-0.23365638761425239</v>
          </cell>
          <cell r="M1375">
            <v>-0.27558339205849991</v>
          </cell>
          <cell r="N1375">
            <v>-0.31818653894876819</v>
          </cell>
          <cell r="O1375">
            <v>-0.3612678921223948</v>
          </cell>
          <cell r="P1375">
            <v>-0.40447298463712389</v>
          </cell>
          <cell r="Q1375">
            <v>-0.44900508694558866</v>
          </cell>
          <cell r="R1375">
            <v>-0.49407467558596174</v>
          </cell>
          <cell r="S1375">
            <v>-0.53935317639522362</v>
          </cell>
          <cell r="T1375">
            <v>-0.58462327109463985</v>
          </cell>
          <cell r="U1375">
            <v>-0.62972558631772058</v>
          </cell>
          <cell r="V1375">
            <v>-0.67539878917745755</v>
          </cell>
          <cell r="W1375">
            <v>-0.7211535933676344</v>
          </cell>
          <cell r="X1375">
            <v>-0.76669787099119779</v>
          </cell>
          <cell r="Y1375">
            <v>-0.81185989388157298</v>
          </cell>
          <cell r="Z1375">
            <v>-0.85679377189711892</v>
          </cell>
          <cell r="AA1375">
            <v>-0.90078041384674712</v>
          </cell>
          <cell r="AB1375">
            <v>-0.9441237622309766</v>
          </cell>
          <cell r="AC1375">
            <v>-0.98676389310421997</v>
          </cell>
          <cell r="AD1375">
            <v>-1.0286559138261719</v>
          </cell>
          <cell r="AE1375">
            <v>-1.0706584683638756</v>
          </cell>
          <cell r="AF1375">
            <v>-1.1107449948021619</v>
          </cell>
          <cell r="AG1375">
            <v>-1.1496858780028949</v>
          </cell>
          <cell r="AH1375">
            <v>-1.1874924839589316</v>
          </cell>
          <cell r="AI1375">
            <v>-1.2241538273347699</v>
          </cell>
          <cell r="AJ1375">
            <v>-1.2596450261310126</v>
          </cell>
          <cell r="AK1375">
            <v>-1.2937743886846305</v>
          </cell>
          <cell r="AL1375">
            <v>-1.3265706919027955</v>
          </cell>
          <cell r="AM1375">
            <v>-1.3580310052710531</v>
          </cell>
          <cell r="AN1375">
            <v>-1.3881345730187415</v>
          </cell>
          <cell r="AO1375">
            <v>-1.4168541472129399</v>
          </cell>
          <cell r="AP1375">
            <v>-1.4431085033953084</v>
          </cell>
          <cell r="AQ1375">
            <v>-1.4670893846275128</v>
          </cell>
          <cell r="AR1375">
            <v>-1.4890953344483167</v>
          </cell>
          <cell r="AS1375">
            <v>-1.5092743004919296</v>
          </cell>
          <cell r="AT1375">
            <v>-1.527712372562342</v>
          </cell>
          <cell r="AU1375">
            <v>-1.5442736606145351</v>
          </cell>
          <cell r="AV1375">
            <v>-1.5590920354660227</v>
          </cell>
          <cell r="AW1375">
            <v>-1.5722653782244751</v>
          </cell>
          <cell r="AX1375">
            <v>-1.5838719385471292</v>
          </cell>
          <cell r="AY1375">
            <v>-1.5939822563898698</v>
          </cell>
          <cell r="AZ1375">
            <v>-1.6020115276725335</v>
          </cell>
          <cell r="BA1375">
            <v>-1.6083108005196154</v>
          </cell>
          <cell r="BB1375">
            <v>-1.6130944117190478</v>
          </cell>
          <cell r="BC1375">
            <v>-1.6165143976949898</v>
          </cell>
          <cell r="BD1375">
            <v>-1.6186936890294836</v>
          </cell>
          <cell r="BE1375">
            <v>-1.6193701308044663</v>
          </cell>
          <cell r="BF1375">
            <v>-1.6187943008602685</v>
          </cell>
          <cell r="BG1375">
            <v>-1.617151217645709</v>
          </cell>
          <cell r="BH1375">
            <v>-1.6145856103207894</v>
          </cell>
          <cell r="BI1375">
            <v>-1.6112217418527104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-3.5098452716916107E-4</v>
          </cell>
          <cell r="G1376">
            <v>-9.0132268048039195E-4</v>
          </cell>
          <cell r="H1376">
            <v>-1.6334038656847312E-3</v>
          </cell>
          <cell r="I1376">
            <v>-2.491702348593625E-3</v>
          </cell>
          <cell r="J1376">
            <v>-3.4399607424681253E-3</v>
          </cell>
          <cell r="K1376">
            <v>-4.4544884641912847E-3</v>
          </cell>
          <cell r="L1376">
            <v>-5.5217520551265062E-3</v>
          </cell>
          <cell r="M1376">
            <v>-6.6235568924463781E-3</v>
          </cell>
          <cell r="N1376">
            <v>-7.7445408581932095E-3</v>
          </cell>
          <cell r="O1376">
            <v>-8.8710640983804406E-3</v>
          </cell>
          <cell r="P1376">
            <v>-9.9792464180119868E-3</v>
          </cell>
          <cell r="Q1376">
            <v>-1.1084829988312577E-2</v>
          </cell>
          <cell r="R1376">
            <v>-1.2170816498688057E-2</v>
          </cell>
          <cell r="S1376">
            <v>-1.3224019650339569E-2</v>
          </cell>
          <cell r="T1376">
            <v>-1.4233003376963246E-2</v>
          </cell>
          <cell r="U1376">
            <v>-1.5189673638563484E-2</v>
          </cell>
          <cell r="V1376">
            <v>-1.6101352947161557E-2</v>
          </cell>
          <cell r="W1376">
            <v>-1.6967895087571502E-2</v>
          </cell>
          <cell r="X1376">
            <v>-1.77869583312757E-2</v>
          </cell>
          <cell r="Y1376">
            <v>-1.8557718470802967E-2</v>
          </cell>
          <cell r="Z1376">
            <v>-1.9289115167571071E-2</v>
          </cell>
          <cell r="AA1376">
            <v>-1.9964934295739128E-2</v>
          </cell>
          <cell r="AB1376">
            <v>-2.0599497412535007E-2</v>
          </cell>
          <cell r="AC1376">
            <v>-2.1198027224105961E-2</v>
          </cell>
          <cell r="AD1376">
            <v>-2.1765156551925662E-2</v>
          </cell>
          <cell r="AE1376">
            <v>-2.2327907507152512E-2</v>
          </cell>
          <cell r="AF1376">
            <v>-2.2840103434087506E-2</v>
          </cell>
          <cell r="AG1376">
            <v>-2.3322648469894246E-2</v>
          </cell>
          <cell r="AH1376">
            <v>-2.3783491338612753E-2</v>
          </cell>
          <cell r="AI1376">
            <v>-2.4229402145002514E-2</v>
          </cell>
          <cell r="AJ1376">
            <v>-2.4665287993179776E-2</v>
          </cell>
          <cell r="AK1376">
            <v>-2.5092288447721933E-2</v>
          </cell>
          <cell r="AL1376">
            <v>-2.5512704204749673E-2</v>
          </cell>
          <cell r="AM1376">
            <v>-2.5929045796477132E-2</v>
          </cell>
          <cell r="AN1376">
            <v>-2.634344654434494E-2</v>
          </cell>
          <cell r="AO1376">
            <v>-2.6757607979658309E-2</v>
          </cell>
          <cell r="AP1376">
            <v>-2.7158488257764721E-2</v>
          </cell>
          <cell r="AQ1376">
            <v>-2.7536863886659397E-2</v>
          </cell>
          <cell r="AR1376">
            <v>-2.7899082570462606E-2</v>
          </cell>
          <cell r="AS1376">
            <v>-2.8252249593258807E-2</v>
          </cell>
          <cell r="AT1376">
            <v>-2.8601921318136332E-2</v>
          </cell>
          <cell r="AU1376">
            <v>-2.8948971477114276E-2</v>
          </cell>
          <cell r="AV1376">
            <v>-2.9295726593996357E-2</v>
          </cell>
          <cell r="AW1376">
            <v>-2.964481156247525E-2</v>
          </cell>
          <cell r="AX1376">
            <v>-2.9998299855344589E-2</v>
          </cell>
          <cell r="AY1376">
            <v>-3.0357491347409869E-2</v>
          </cell>
          <cell r="AZ1376">
            <v>-3.0712688483576753E-2</v>
          </cell>
          <cell r="BA1376">
            <v>-3.1063635837701251E-2</v>
          </cell>
          <cell r="BB1376">
            <v>-3.1412768471774433E-2</v>
          </cell>
          <cell r="BC1376">
            <v>-3.1762465450092307E-2</v>
          </cell>
          <cell r="BD1376">
            <v>-3.2114273185177844E-2</v>
          </cell>
          <cell r="BE1376">
            <v>-3.2463165591397315E-2</v>
          </cell>
          <cell r="BF1376">
            <v>-3.2809010146294441E-2</v>
          </cell>
          <cell r="BG1376">
            <v>-3.3153649745541788E-2</v>
          </cell>
          <cell r="BH1376">
            <v>-3.3498840954196543E-2</v>
          </cell>
          <cell r="BI1376">
            <v>-3.3845736729591964E-2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-2.4501304438411832E-4</v>
          </cell>
          <cell r="G1377">
            <v>-5.7896682313721191E-4</v>
          </cell>
          <cell r="H1377">
            <v>-9.269185014781086E-4</v>
          </cell>
          <cell r="I1377">
            <v>-1.2776873791615266E-3</v>
          </cell>
          <cell r="J1377">
            <v>-1.6388649238454646E-3</v>
          </cell>
          <cell r="K1377">
            <v>-2.0252805796013248E-3</v>
          </cell>
          <cell r="L1377">
            <v>-2.4547298489991372E-3</v>
          </cell>
          <cell r="M1377">
            <v>-2.9333248773076642E-3</v>
          </cell>
          <cell r="N1377">
            <v>-3.4648493739593352E-3</v>
          </cell>
          <cell r="O1377">
            <v>-4.0505396406857611E-3</v>
          </cell>
          <cell r="P1377">
            <v>-4.6858885508365431E-3</v>
          </cell>
          <cell r="Q1377">
            <v>-5.3872421839081062E-3</v>
          </cell>
          <cell r="R1377">
            <v>-6.1393443388045059E-3</v>
          </cell>
          <cell r="S1377">
            <v>-6.9326278196200665E-3</v>
          </cell>
          <cell r="T1377">
            <v>-7.7595302947210927E-3</v>
          </cell>
          <cell r="U1377">
            <v>-8.6134415928645694E-3</v>
          </cell>
          <cell r="V1377">
            <v>-9.4996697589779105E-3</v>
          </cell>
          <cell r="W1377">
            <v>-1.0406475087447098E-2</v>
          </cell>
          <cell r="X1377">
            <v>-1.1324955806654258E-2</v>
          </cell>
          <cell r="Y1377">
            <v>-1.2248789577217232E-2</v>
          </cell>
          <cell r="Z1377">
            <v>-1.3176835199746276E-2</v>
          </cell>
          <cell r="AA1377">
            <v>-1.4095064501410383E-2</v>
          </cell>
          <cell r="AB1377">
            <v>-1.5006259792584001E-2</v>
          </cell>
          <cell r="AC1377">
            <v>-1.5907342854408358E-2</v>
          </cell>
          <cell r="AD1377">
            <v>-1.6795416904104066E-2</v>
          </cell>
          <cell r="AE1377">
            <v>-1.7679662394257747E-2</v>
          </cell>
          <cell r="AF1377">
            <v>-1.8527892786629752E-2</v>
          </cell>
          <cell r="AG1377">
            <v>-1.9352456509134155E-2</v>
          </cell>
          <cell r="AH1377">
            <v>-2.0153761329071797E-2</v>
          </cell>
          <cell r="AI1377">
            <v>-2.093175910864848E-2</v>
          </cell>
          <cell r="AJ1377">
            <v>-2.1685984331629531E-2</v>
          </cell>
          <cell r="AK1377">
            <v>-2.2413580829784757E-2</v>
          </cell>
          <cell r="AL1377">
            <v>-2.3114968425504669E-2</v>
          </cell>
          <cell r="AM1377">
            <v>-2.3790381767434542E-2</v>
          </cell>
          <cell r="AN1377">
            <v>-2.4439921179603037E-2</v>
          </cell>
          <cell r="AO1377">
            <v>-2.5063778215983483E-2</v>
          </cell>
          <cell r="AP1377">
            <v>-2.564700640395812E-2</v>
          </cell>
          <cell r="AQ1377">
            <v>-2.6193786361400399E-2</v>
          </cell>
          <cell r="AR1377">
            <v>-2.6711578050087774E-2</v>
          </cell>
          <cell r="AS1377">
            <v>-2.7204521234033011E-2</v>
          </cell>
          <cell r="AT1377">
            <v>-2.767501317568637E-2</v>
          </cell>
          <cell r="AU1377">
            <v>-2.8121828742932335E-2</v>
          </cell>
          <cell r="AV1377">
            <v>-2.8547507786537165E-2</v>
          </cell>
          <cell r="AW1377">
            <v>-2.8954113732024386E-2</v>
          </cell>
          <cell r="AX1377">
            <v>-2.9343213675556114E-2</v>
          </cell>
          <cell r="AY1377">
            <v>-2.9716086965832923E-2</v>
          </cell>
          <cell r="AZ1377">
            <v>-3.0064464658206433E-2</v>
          </cell>
          <cell r="BA1377">
            <v>-3.0393854777408739E-2</v>
          </cell>
          <cell r="BB1377">
            <v>-3.0708135606151404E-2</v>
          </cell>
          <cell r="BC1377">
            <v>-3.1009725941345406E-2</v>
          </cell>
          <cell r="BD1377">
            <v>-3.1300144577259999E-2</v>
          </cell>
          <cell r="BE1377">
            <v>-3.1575031219964224E-2</v>
          </cell>
          <cell r="BF1377">
            <v>-3.1837597469660896E-2</v>
          </cell>
          <cell r="BG1377">
            <v>-3.20904043081836E-2</v>
          </cell>
          <cell r="BH1377">
            <v>-3.2335109537160213E-2</v>
          </cell>
          <cell r="BI1377">
            <v>-3.2572794690980754E-2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-4.0645978967157603E-2</v>
          </cell>
          <cell r="G1378">
            <v>-0.12752309544170615</v>
          </cell>
          <cell r="H1378">
            <v>-0.24774842196274571</v>
          </cell>
          <cell r="I1378">
            <v>-0.39082384571854645</v>
          </cell>
          <cell r="J1378">
            <v>-0.54826650735958493</v>
          </cell>
          <cell r="K1378">
            <v>-0.71353222221083312</v>
          </cell>
          <cell r="L1378">
            <v>-0.88256111942157656</v>
          </cell>
          <cell r="M1378">
            <v>-1.0515775218900458</v>
          </cell>
          <cell r="N1378">
            <v>-1.217661004943571</v>
          </cell>
          <cell r="O1378">
            <v>-1.3786607543482932</v>
          </cell>
          <cell r="P1378">
            <v>-1.5324850616041163</v>
          </cell>
          <cell r="Q1378">
            <v>-1.6809895034619937</v>
          </cell>
          <cell r="R1378">
            <v>-1.8233438879173725</v>
          </cell>
          <cell r="S1378">
            <v>-1.9585160957651504</v>
          </cell>
          <cell r="T1378">
            <v>-2.0856611086079613</v>
          </cell>
          <cell r="U1378">
            <v>-2.2042110437520246</v>
          </cell>
          <cell r="V1378">
            <v>-2.3157832950357893</v>
          </cell>
          <cell r="W1378">
            <v>-2.4205359075512578</v>
          </cell>
          <cell r="X1378">
            <v>-2.5183274640959152</v>
          </cell>
          <cell r="Y1378">
            <v>-2.6091139185895118</v>
          </cell>
          <cell r="Z1378">
            <v>-2.6934816344509671</v>
          </cell>
          <cell r="AA1378">
            <v>-2.7708232403403477</v>
          </cell>
          <cell r="AB1378">
            <v>-2.8418608851972338</v>
          </cell>
          <cell r="AC1378">
            <v>-2.9072975455989969</v>
          </cell>
          <cell r="AD1378">
            <v>-2.9678132484893371</v>
          </cell>
          <cell r="AE1378">
            <v>-3.0252798208975751</v>
          </cell>
          <cell r="AF1378">
            <v>-3.0776270786851856</v>
          </cell>
          <cell r="AG1378">
            <v>-3.1255898088887513</v>
          </cell>
          <cell r="AH1378">
            <v>-3.1700488978722019</v>
          </cell>
          <cell r="AI1378">
            <v>-3.2118058264740013</v>
          </cell>
          <cell r="AJ1378">
            <v>-3.2515292081538361</v>
          </cell>
          <cell r="AK1378">
            <v>-3.2894035123872456</v>
          </cell>
          <cell r="AL1378">
            <v>-3.3258315454236853</v>
          </cell>
          <cell r="AM1378">
            <v>-3.3612247777070614</v>
          </cell>
          <cell r="AN1378">
            <v>-3.3959357031813409</v>
          </cell>
          <cell r="AO1378">
            <v>-3.4302451844249515</v>
          </cell>
          <cell r="AP1378">
            <v>-3.4616418965689011</v>
          </cell>
          <cell r="AQ1378">
            <v>-3.4897390331934952</v>
          </cell>
          <cell r="AR1378">
            <v>-3.5151331217567638</v>
          </cell>
          <cell r="AS1378">
            <v>-3.5386245279844353</v>
          </cell>
          <cell r="AT1378">
            <v>-3.5609584435753572</v>
          </cell>
          <cell r="AU1378">
            <v>-3.5823089093617644</v>
          </cell>
          <cell r="AV1378">
            <v>-3.6031327940989177</v>
          </cell>
          <cell r="AW1378">
            <v>-3.6238977601810829</v>
          </cell>
          <cell r="AX1378">
            <v>-3.644993269874397</v>
          </cell>
          <cell r="AY1378">
            <v>-3.6667168744262901</v>
          </cell>
          <cell r="AZ1378">
            <v>-3.6878271408507191</v>
          </cell>
          <cell r="BA1378">
            <v>-3.7083698351195404</v>
          </cell>
          <cell r="BB1378">
            <v>-3.7287272107522473</v>
          </cell>
          <cell r="BC1378">
            <v>-3.7493013088616522</v>
          </cell>
          <cell r="BD1378">
            <v>-3.7704314633248082</v>
          </cell>
          <cell r="BE1378">
            <v>-3.7915336930737453</v>
          </cell>
          <cell r="BF1378">
            <v>-3.8127405385005586</v>
          </cell>
          <cell r="BG1378">
            <v>-3.8343728240279096</v>
          </cell>
          <cell r="BH1378">
            <v>-3.8567447441935743</v>
          </cell>
          <cell r="BI1378">
            <v>-3.8801109459960514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-6.8501881673732612E-4</v>
          </cell>
          <cell r="G1379">
            <v>-0.13452476871043118</v>
          </cell>
          <cell r="H1379">
            <v>-0.32487423343047217</v>
          </cell>
          <cell r="I1379">
            <v>-0.52622555230296131</v>
          </cell>
          <cell r="J1379">
            <v>-0.71924899073581017</v>
          </cell>
          <cell r="K1379">
            <v>-0.89622835018924318</v>
          </cell>
          <cell r="L1379">
            <v>-1.0565331733181083</v>
          </cell>
          <cell r="M1379">
            <v>-1.1994358716817533</v>
          </cell>
          <cell r="N1379">
            <v>-1.3253246338582936</v>
          </cell>
          <cell r="O1379">
            <v>-1.4352734319655558</v>
          </cell>
          <cell r="P1379">
            <v>-1.5291514687148511</v>
          </cell>
          <cell r="Q1379">
            <v>-1.6145745892490293</v>
          </cell>
          <cell r="R1379">
            <v>-1.691400843305757</v>
          </cell>
          <cell r="S1379">
            <v>-1.7590607780225143</v>
          </cell>
          <cell r="T1379">
            <v>-1.8173681286733023</v>
          </cell>
          <cell r="U1379">
            <v>-1.8665411447897462</v>
          </cell>
          <cell r="V1379">
            <v>-1.9106223151983959</v>
          </cell>
          <cell r="W1379">
            <v>-1.949777961889998</v>
          </cell>
          <cell r="X1379">
            <v>-1.9836924254462152</v>
          </cell>
          <cell r="Y1379">
            <v>-2.0124240266430893</v>
          </cell>
          <cell r="Z1379">
            <v>-2.0374196510535403</v>
          </cell>
          <cell r="AA1379">
            <v>-2.0571135740039104</v>
          </cell>
          <cell r="AB1379">
            <v>-2.0731337669470329</v>
          </cell>
          <cell r="AC1379">
            <v>-2.0866061266107128</v>
          </cell>
          <cell r="AD1379">
            <v>-2.0983702587587749</v>
          </cell>
          <cell r="AE1379">
            <v>-2.1117707935516483</v>
          </cell>
          <cell r="AF1379">
            <v>-2.1212456271072377</v>
          </cell>
          <cell r="AG1379">
            <v>-2.1285940161739458</v>
          </cell>
          <cell r="AH1379">
            <v>-2.1352893041448717</v>
          </cell>
          <cell r="AI1379">
            <v>-2.1422494892808119</v>
          </cell>
          <cell r="AJ1379">
            <v>-2.1499800485732523</v>
          </cell>
          <cell r="AK1379">
            <v>-2.1580716237678654</v>
          </cell>
          <cell r="AL1379">
            <v>-2.1667687484704712</v>
          </cell>
          <cell r="AM1379">
            <v>-2.1763546530797817</v>
          </cell>
          <cell r="AN1379">
            <v>-2.1869922419110899</v>
          </cell>
          <cell r="AO1379">
            <v>-2.1987344724837987</v>
          </cell>
          <cell r="AP1379">
            <v>-2.2065444118465449</v>
          </cell>
          <cell r="AQ1379">
            <v>-2.210673626637738</v>
          </cell>
          <cell r="AR1379">
            <v>-2.2130389963318065</v>
          </cell>
          <cell r="AS1379">
            <v>-2.215206917067325</v>
          </cell>
          <cell r="AT1379">
            <v>-2.2181503661076074</v>
          </cell>
          <cell r="AU1379">
            <v>-2.2215621973945887</v>
          </cell>
          <cell r="AV1379">
            <v>-2.2258466645033503</v>
          </cell>
          <cell r="AW1379">
            <v>-2.2313947469366435</v>
          </cell>
          <cell r="AX1379">
            <v>-2.2384053018232541</v>
          </cell>
          <cell r="AY1379">
            <v>-2.2469193322750325</v>
          </cell>
          <cell r="AZ1379">
            <v>-2.2541663163684889</v>
          </cell>
          <cell r="BA1379">
            <v>-2.2606017050940341</v>
          </cell>
          <cell r="BB1379">
            <v>-2.2671381671869995</v>
          </cell>
          <cell r="BC1379">
            <v>-2.2743967362210626</v>
          </cell>
          <cell r="BD1379">
            <v>-2.2827026382635673</v>
          </cell>
          <cell r="BE1379">
            <v>-2.29061686559765</v>
          </cell>
          <cell r="BF1379">
            <v>-2.2984766201759377</v>
          </cell>
          <cell r="BG1379">
            <v>-2.306880964138347</v>
          </cell>
          <cell r="BH1379">
            <v>-2.3162268746245052</v>
          </cell>
          <cell r="BI1379">
            <v>-2.3267012624447747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-8.6149740180974099E-2</v>
          </cell>
          <cell r="G1381">
            <v>-0.21706039438176283</v>
          </cell>
          <cell r="H1381">
            <v>-0.37133913520210893</v>
          </cell>
          <cell r="I1381">
            <v>-0.54039730281949527</v>
          </cell>
          <cell r="J1381">
            <v>-0.71939565054793819</v>
          </cell>
          <cell r="K1381">
            <v>-0.90551914176285608</v>
          </cell>
          <cell r="L1381">
            <v>-1.09817407872429</v>
          </cell>
          <cell r="M1381">
            <v>-1.2956146095612464</v>
          </cell>
          <cell r="N1381">
            <v>-1.4965422108330517</v>
          </cell>
          <cell r="O1381">
            <v>-1.6999281035706582</v>
          </cell>
          <cell r="P1381">
            <v>-1.9048193251853363</v>
          </cell>
          <cell r="Q1381">
            <v>-2.1147002077532173</v>
          </cell>
          <cell r="R1381">
            <v>-2.3268778071908414</v>
          </cell>
          <cell r="S1381">
            <v>-2.5395527186709566</v>
          </cell>
          <cell r="T1381">
            <v>-2.7515041564791676</v>
          </cell>
          <cell r="U1381">
            <v>-2.9618226706627615</v>
          </cell>
          <cell r="V1381">
            <v>-3.1738445806802851</v>
          </cell>
          <cell r="W1381">
            <v>-3.385145372100351</v>
          </cell>
          <cell r="X1381">
            <v>-3.5942532762816559</v>
          </cell>
          <cell r="Y1381">
            <v>-3.8002892026105961</v>
          </cell>
          <cell r="Z1381">
            <v>-4.0027603095172388</v>
          </cell>
          <cell r="AA1381">
            <v>-4.2010322807561113</v>
          </cell>
          <cell r="AB1381">
            <v>-4.3948271831416914</v>
          </cell>
          <cell r="AC1381">
            <v>-4.5839754095873158</v>
          </cell>
          <cell r="AD1381">
            <v>-4.7683366110232273</v>
          </cell>
          <cell r="AE1381">
            <v>-4.9480574937345363</v>
          </cell>
          <cell r="AF1381">
            <v>-5.1211535897773715</v>
          </cell>
          <cell r="AG1381">
            <v>-5.2881159299015268</v>
          </cell>
          <cell r="AH1381">
            <v>-5.4492502895228885</v>
          </cell>
          <cell r="AI1381">
            <v>-5.6047038026286744</v>
          </cell>
          <cell r="AJ1381">
            <v>-5.7545237032241792</v>
          </cell>
          <cell r="AK1381">
            <v>-5.897976287484985</v>
          </cell>
          <cell r="AL1381">
            <v>-6.0353203124476007</v>
          </cell>
          <cell r="AM1381">
            <v>-6.1666604188042378</v>
          </cell>
          <cell r="AN1381">
            <v>-6.2920135764228835</v>
          </cell>
          <cell r="AO1381">
            <v>-6.4113622509106794</v>
          </cell>
          <cell r="AP1381">
            <v>-6.518860534234916</v>
          </cell>
          <cell r="AQ1381">
            <v>-6.6169575790034791</v>
          </cell>
          <cell r="AR1381">
            <v>-6.7070023679853374</v>
          </cell>
          <cell r="AS1381">
            <v>-6.7897241432295585</v>
          </cell>
          <cell r="AT1381">
            <v>-6.8655811283851005</v>
          </cell>
          <cell r="AU1381">
            <v>-6.9340253550418058</v>
          </cell>
          <cell r="AV1381">
            <v>-6.9956988037587102</v>
          </cell>
          <cell r="AW1381">
            <v>-7.0510626780369563</v>
          </cell>
          <cell r="AX1381">
            <v>-7.1004725397865727</v>
          </cell>
          <cell r="AY1381">
            <v>-7.1442349967976941</v>
          </cell>
          <cell r="AZ1381">
            <v>-7.1798155637165078</v>
          </cell>
          <cell r="BA1381">
            <v>-7.2086231035774828</v>
          </cell>
          <cell r="BB1381">
            <v>-7.2315896550904757</v>
          </cell>
          <cell r="BC1381">
            <v>-7.2493527978900518</v>
          </cell>
          <cell r="BD1381">
            <v>-7.2624106078687518</v>
          </cell>
          <cell r="BE1381">
            <v>-7.2695353093108377</v>
          </cell>
          <cell r="BF1381">
            <v>-7.2717852562012686</v>
          </cell>
          <cell r="BG1381">
            <v>-7.2699258681727326</v>
          </cell>
          <cell r="BH1381">
            <v>-7.2645403950645449</v>
          </cell>
          <cell r="BI1381">
            <v>-7.256119253312332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-9.2768413388033544E-2</v>
          </cell>
          <cell r="G1382">
            <v>-0.23417754049063211</v>
          </cell>
          <cell r="H1382">
            <v>-0.40119573674750608</v>
          </cell>
          <cell r="I1382">
            <v>-0.58446964448802818</v>
          </cell>
          <cell r="J1382">
            <v>-0.77863158980360225</v>
          </cell>
          <cell r="K1382">
            <v>-0.98049415904519766</v>
          </cell>
          <cell r="L1382">
            <v>-1.1892699689290964</v>
          </cell>
          <cell r="M1382">
            <v>-1.4030098957739101</v>
          </cell>
          <cell r="N1382">
            <v>-1.6202644991438975</v>
          </cell>
          <cell r="O1382">
            <v>-1.8398916072258964</v>
          </cell>
          <cell r="P1382">
            <v>-2.0609174611960879</v>
          </cell>
          <cell r="Q1382">
            <v>-2.286956695057496</v>
          </cell>
          <cell r="R1382">
            <v>-2.5151708734563849</v>
          </cell>
          <cell r="S1382">
            <v>-2.7436592241958491</v>
          </cell>
          <cell r="T1382">
            <v>-2.9711334959893754</v>
          </cell>
          <cell r="U1382">
            <v>-3.1966382469775789</v>
          </cell>
          <cell r="V1382">
            <v>-3.4238011361554133</v>
          </cell>
          <cell r="W1382">
            <v>-3.6500325651864451</v>
          </cell>
          <cell r="X1382">
            <v>-3.8737705268400036</v>
          </cell>
          <cell r="Y1382">
            <v>-4.0940877145274834</v>
          </cell>
          <cell r="Z1382">
            <v>-4.3103850982694647</v>
          </cell>
          <cell r="AA1382">
            <v>-4.5221811967596786</v>
          </cell>
          <cell r="AB1382">
            <v>-4.7291143220227987</v>
          </cell>
          <cell r="AC1382">
            <v>-4.9309890823880149</v>
          </cell>
          <cell r="AD1382">
            <v>-5.1276593372504902</v>
          </cell>
          <cell r="AE1382">
            <v>-5.3190186311694143</v>
          </cell>
          <cell r="AF1382">
            <v>-5.5034103524201239</v>
          </cell>
          <cell r="AG1382">
            <v>-5.6812778628786091</v>
          </cell>
          <cell r="AH1382">
            <v>-5.8529148319453324</v>
          </cell>
          <cell r="AI1382">
            <v>-6.0184664683296525</v>
          </cell>
          <cell r="AJ1382">
            <v>-6.177978910862592</v>
          </cell>
          <cell r="AK1382">
            <v>-6.3306610136226737</v>
          </cell>
          <cell r="AL1382">
            <v>-6.4767919969184735</v>
          </cell>
          <cell r="AM1382">
            <v>-6.6164857028344954</v>
          </cell>
          <cell r="AN1382">
            <v>-6.7497626239042425</v>
          </cell>
          <cell r="AO1382">
            <v>-6.8766065409825767</v>
          </cell>
          <cell r="AP1382">
            <v>-6.9906555319012238</v>
          </cell>
          <cell r="AQ1382">
            <v>-7.0946322380595621</v>
          </cell>
          <cell r="AR1382">
            <v>-7.190004151580121</v>
          </cell>
          <cell r="AS1382">
            <v>-7.2775550769251467</v>
          </cell>
          <cell r="AT1382">
            <v>-7.3577751695985461</v>
          </cell>
          <cell r="AU1382">
            <v>-7.4300728206514899</v>
          </cell>
          <cell r="AV1382">
            <v>-7.4951366472378655</v>
          </cell>
          <cell r="AW1382">
            <v>-7.5534605370237262</v>
          </cell>
          <cell r="AX1382">
            <v>-7.6054257271759411</v>
          </cell>
          <cell r="AY1382">
            <v>-7.651361528313549</v>
          </cell>
          <cell r="AZ1382">
            <v>-7.6885485192110909</v>
          </cell>
          <cell r="BA1382">
            <v>-7.7184924038351754</v>
          </cell>
          <cell r="BB1382">
            <v>-7.7421894095141219</v>
          </cell>
          <cell r="BC1382">
            <v>-7.760323066871111</v>
          </cell>
          <cell r="BD1382">
            <v>-7.7734289738072953</v>
          </cell>
          <cell r="BE1382">
            <v>-7.7801873596540112</v>
          </cell>
          <cell r="BF1382">
            <v>-7.7817356525615056</v>
          </cell>
          <cell r="BG1382">
            <v>-7.7788942215617602</v>
          </cell>
          <cell r="BH1382">
            <v>-7.7722884891934125</v>
          </cell>
          <cell r="BI1382">
            <v>-7.7624449207178259</v>
          </cell>
        </row>
        <row r="1383">
          <cell r="E1383" t="str">
            <v>100*(X_2/X_0-1)</v>
          </cell>
          <cell r="F1383">
            <v>-0.44185933503848585</v>
          </cell>
          <cell r="G1383">
            <v>-0.8745725356623657</v>
          </cell>
          <cell r="H1383">
            <v>-1.2577336589219112</v>
          </cell>
          <cell r="I1383">
            <v>-1.6186969415174501</v>
          </cell>
          <cell r="J1383">
            <v>-1.9586707391875291</v>
          </cell>
          <cell r="K1383">
            <v>-2.2793581776211047</v>
          </cell>
          <cell r="L1383">
            <v>-2.5889974712091646</v>
          </cell>
          <cell r="M1383">
            <v>-2.882723429411016</v>
          </cell>
          <cell r="N1383">
            <v>-3.1623814761349012</v>
          </cell>
          <cell r="O1383">
            <v>-3.4297592924762643</v>
          </cell>
          <cell r="P1383">
            <v>-3.6865887698462885</v>
          </cell>
          <cell r="Q1383">
            <v>-3.9575735513533994</v>
          </cell>
          <cell r="R1383">
            <v>-4.2197240544261323</v>
          </cell>
          <cell r="S1383">
            <v>-4.4743897990852428</v>
          </cell>
          <cell r="T1383">
            <v>-4.722864309033814</v>
          </cell>
          <cell r="U1383">
            <v>-4.9663508231829638</v>
          </cell>
          <cell r="V1383">
            <v>-5.2272472409760518</v>
          </cell>
          <cell r="W1383">
            <v>-5.4839295221354885</v>
          </cell>
          <cell r="X1383">
            <v>-5.7371595237088124</v>
          </cell>
          <cell r="Y1383">
            <v>-5.9876185708559015</v>
          </cell>
          <cell r="Z1383">
            <v>-6.2358656411682256</v>
          </cell>
          <cell r="AA1383">
            <v>-6.4814762001354831</v>
          </cell>
          <cell r="AB1383">
            <v>-6.7257790717492716</v>
          </cell>
          <cell r="AC1383">
            <v>-6.9690521948377544</v>
          </cell>
          <cell r="AD1383">
            <v>-7.2114709144806444</v>
          </cell>
          <cell r="AE1383">
            <v>-7.4530458521481657</v>
          </cell>
          <cell r="AF1383">
            <v>-7.6844732102142599</v>
          </cell>
          <cell r="AG1383">
            <v>-7.9154653112087026</v>
          </cell>
          <cell r="AH1383">
            <v>-8.145985546155476</v>
          </cell>
          <cell r="AI1383">
            <v>-8.3759432272190626</v>
          </cell>
          <cell r="AJ1383">
            <v>-8.6052008942737892</v>
          </cell>
          <cell r="AK1383">
            <v>-8.8297170461723695</v>
          </cell>
          <cell r="AL1383">
            <v>-9.0533471807221932</v>
          </cell>
          <cell r="AM1383">
            <v>-9.2758985111269787</v>
          </cell>
          <cell r="AN1383">
            <v>-9.4971681514207535</v>
          </cell>
          <cell r="AO1383">
            <v>-9.7169545211263415</v>
          </cell>
          <cell r="AP1383">
            <v>-9.9034327528277117</v>
          </cell>
          <cell r="AQ1383">
            <v>-10.089343758544189</v>
          </cell>
          <cell r="AR1383">
            <v>-10.27463625768501</v>
          </cell>
          <cell r="AS1383">
            <v>-10.459211924095291</v>
          </cell>
          <cell r="AT1383">
            <v>-10.642943347712031</v>
          </cell>
          <cell r="AU1383">
            <v>-10.820950252823557</v>
          </cell>
          <cell r="AV1383">
            <v>-10.998004855803888</v>
          </cell>
          <cell r="AW1383">
            <v>-11.173984559439187</v>
          </cell>
          <cell r="AX1383">
            <v>-11.348761717116595</v>
          </cell>
          <cell r="AY1383">
            <v>-11.522209805064643</v>
          </cell>
          <cell r="AZ1383">
            <v>-11.679217463079539</v>
          </cell>
          <cell r="BA1383">
            <v>-11.835178009101599</v>
          </cell>
          <cell r="BB1383">
            <v>-11.990051292511527</v>
          </cell>
          <cell r="BC1383">
            <v>-12.143773993332941</v>
          </cell>
          <cell r="BD1383">
            <v>-12.296268158602597</v>
          </cell>
          <cell r="BE1383">
            <v>-12.438712569852051</v>
          </cell>
          <cell r="BF1383">
            <v>-12.580034579730871</v>
          </cell>
          <cell r="BG1383">
            <v>-12.720192978374556</v>
          </cell>
          <cell r="BH1383">
            <v>-12.859134025343554</v>
          </cell>
          <cell r="BI1383">
            <v>-12.996795810282769</v>
          </cell>
        </row>
        <row r="1384">
          <cell r="E1384" t="str">
            <v>100*(M_2/M_0-1)</v>
          </cell>
          <cell r="F1384">
            <v>-0.14768517259088343</v>
          </cell>
          <cell r="G1384">
            <v>-0.33527140696527624</v>
          </cell>
          <cell r="H1384">
            <v>-0.54201921337493353</v>
          </cell>
          <cell r="I1384">
            <v>-0.76110858607958409</v>
          </cell>
          <cell r="J1384">
            <v>-0.98695406747761893</v>
          </cell>
          <cell r="K1384">
            <v>-1.2156666253234305</v>
          </cell>
          <cell r="L1384">
            <v>-1.4467522387202059</v>
          </cell>
          <cell r="M1384">
            <v>-1.6766821945557564</v>
          </cell>
          <cell r="N1384">
            <v>-1.9037194732215768</v>
          </cell>
          <cell r="O1384">
            <v>-2.1266720384606641</v>
          </cell>
          <cell r="P1384">
            <v>-2.3445984410973897</v>
          </cell>
          <cell r="Q1384">
            <v>-2.5645952963342933</v>
          </cell>
          <cell r="R1384">
            <v>-2.7804512029946937</v>
          </cell>
          <cell r="S1384">
            <v>-2.9907697809150924</v>
          </cell>
          <cell r="T1384">
            <v>-3.1948711528454576</v>
          </cell>
          <cell r="U1384">
            <v>-3.392358777557769</v>
          </cell>
          <cell r="V1384">
            <v>-3.5902212073665063</v>
          </cell>
          <cell r="W1384">
            <v>-3.7829613162737474</v>
          </cell>
          <cell r="X1384">
            <v>-3.969713472676184</v>
          </cell>
          <cell r="Y1384">
            <v>-4.1502577476583031</v>
          </cell>
          <cell r="Z1384">
            <v>-4.3246953045369407</v>
          </cell>
          <cell r="AA1384">
            <v>-4.4928925110580327</v>
          </cell>
          <cell r="AB1384">
            <v>-4.6551477264887842</v>
          </cell>
          <cell r="AC1384">
            <v>-4.8118483086740937</v>
          </cell>
          <cell r="AD1384">
            <v>-4.9633806307931128</v>
          </cell>
          <cell r="AE1384">
            <v>-5.1102802157613425</v>
          </cell>
          <cell r="AF1384">
            <v>-5.2500862235183572</v>
          </cell>
          <cell r="AG1384">
            <v>-5.3850087179460271</v>
          </cell>
          <cell r="AH1384">
            <v>-5.5157637921519509</v>
          </cell>
          <cell r="AI1384">
            <v>-5.6428308680780965</v>
          </cell>
          <cell r="AJ1384">
            <v>-5.7665859835183131</v>
          </cell>
          <cell r="AK1384">
            <v>-5.8860362660468235</v>
          </cell>
          <cell r="AL1384">
            <v>-6.0023751380560153</v>
          </cell>
          <cell r="AM1384">
            <v>-6.115966534599937</v>
          </cell>
          <cell r="AN1384">
            <v>-6.2270454245988986</v>
          </cell>
          <cell r="AO1384">
            <v>-6.3357897172673034</v>
          </cell>
          <cell r="AP1384">
            <v>-6.4317011283465453</v>
          </cell>
          <cell r="AQ1384">
            <v>-6.5227950321694594</v>
          </cell>
          <cell r="AR1384">
            <v>-6.610450326954675</v>
          </cell>
          <cell r="AS1384">
            <v>-6.6952970925075572</v>
          </cell>
          <cell r="AT1384">
            <v>-6.77775941100548</v>
          </cell>
          <cell r="AU1384">
            <v>-6.8565655204040565</v>
          </cell>
          <cell r="AV1384">
            <v>-6.9331354219390517</v>
          </cell>
          <cell r="AW1384">
            <v>-7.0078811250690265</v>
          </cell>
          <cell r="AX1384">
            <v>-7.0810633389043254</v>
          </cell>
          <cell r="AY1384">
            <v>-7.1528811732446185</v>
          </cell>
          <cell r="AZ1384">
            <v>-7.2184226279042303</v>
          </cell>
          <cell r="BA1384">
            <v>-7.2814826553432628</v>
          </cell>
          <cell r="BB1384">
            <v>-7.3428181594648585</v>
          </cell>
          <cell r="BC1384">
            <v>-7.4028110232485016</v>
          </cell>
          <cell r="BD1384">
            <v>-7.461728972522474</v>
          </cell>
          <cell r="BE1384">
            <v>-7.5168026194282644</v>
          </cell>
          <cell r="BF1384">
            <v>-7.5703600220712648</v>
          </cell>
          <cell r="BG1384">
            <v>-7.6229266166910392</v>
          </cell>
          <cell r="BH1384">
            <v>-7.6747984412879777</v>
          </cell>
          <cell r="BI1384">
            <v>-7.7261933116292809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-4.0608958822352381E-2</v>
          </cell>
          <cell r="G1385">
            <v>-0.12779270717476754</v>
          </cell>
          <cell r="H1385">
            <v>-0.24847453999935487</v>
          </cell>
          <cell r="I1385">
            <v>-0.39211150466927913</v>
          </cell>
          <cell r="J1385">
            <v>-0.55016157616932793</v>
          </cell>
          <cell r="K1385">
            <v>-0.71602569485997858</v>
          </cell>
          <cell r="L1385">
            <v>-0.88560953738376913</v>
          </cell>
          <cell r="M1385">
            <v>-1.0551116045769304</v>
          </cell>
          <cell r="N1385">
            <v>-1.221597929576379</v>
          </cell>
          <cell r="O1385">
            <v>-1.3829136980593626</v>
          </cell>
          <cell r="P1385">
            <v>-1.536976335290241</v>
          </cell>
          <cell r="Q1385">
            <v>-1.6856605731441876</v>
          </cell>
          <cell r="R1385">
            <v>-1.8281448943527567</v>
          </cell>
          <cell r="S1385">
            <v>-1.9634070968764572</v>
          </cell>
          <cell r="T1385">
            <v>-2.0906108924427236</v>
          </cell>
          <cell r="U1385">
            <v>-2.2091945491088838</v>
          </cell>
          <cell r="V1385">
            <v>-2.3207855128840049</v>
          </cell>
          <cell r="W1385">
            <v>-2.4255435430103223</v>
          </cell>
          <cell r="X1385">
            <v>-2.523328308348427</v>
          </cell>
          <cell r="Y1385">
            <v>-2.6140953597192707</v>
          </cell>
          <cell r="Z1385">
            <v>-2.6984304683377869</v>
          </cell>
          <cell r="AA1385">
            <v>-2.7757235218392684</v>
          </cell>
          <cell r="AB1385">
            <v>-2.8466954099654496</v>
          </cell>
          <cell r="AC1385">
            <v>-2.9120485416031849</v>
          </cell>
          <cell r="AD1385">
            <v>-2.9724633607718931</v>
          </cell>
          <cell r="AE1385">
            <v>-3.029815093436472</v>
          </cell>
          <cell r="AF1385">
            <v>-3.0820302973458724</v>
          </cell>
          <cell r="AG1385">
            <v>-3.1298440297853558</v>
          </cell>
          <cell r="AH1385">
            <v>-3.1741366944355476</v>
          </cell>
          <cell r="AI1385">
            <v>-3.2157101384167497</v>
          </cell>
          <cell r="AJ1385">
            <v>-3.2552345389696646</v>
          </cell>
          <cell r="AK1385">
            <v>-3.2928953864133081</v>
          </cell>
          <cell r="AL1385">
            <v>-3.3290975959966662</v>
          </cell>
          <cell r="AM1385">
            <v>-3.364254463705163</v>
          </cell>
          <cell r="AN1385">
            <v>-3.3987201342764339</v>
          </cell>
          <cell r="AO1385">
            <v>-3.4327768824525706</v>
          </cell>
          <cell r="AP1385">
            <v>-3.4639062464190906</v>
          </cell>
          <cell r="AQ1385">
            <v>-3.4917222127636038</v>
          </cell>
          <cell r="AR1385">
            <v>-3.516820464661996</v>
          </cell>
          <cell r="AS1385">
            <v>-3.5400018739886296</v>
          </cell>
          <cell r="AT1385">
            <v>-3.5620139002143891</v>
          </cell>
          <cell r="AU1385">
            <v>-3.5830325657656426</v>
          </cell>
          <cell r="AV1385">
            <v>-3.6035180955477752</v>
          </cell>
          <cell r="AW1385">
            <v>-3.623940897008715</v>
          </cell>
          <cell r="AX1385">
            <v>-3.6446928432717129</v>
          </cell>
          <cell r="AY1385">
            <v>-3.666073810970838</v>
          </cell>
          <cell r="AZ1385">
            <v>-3.6868409291356929</v>
          </cell>
          <cell r="BA1385">
            <v>-3.7070421553837551</v>
          </cell>
          <cell r="BB1385">
            <v>-3.7270608825357265</v>
          </cell>
          <cell r="BC1385">
            <v>-3.7473007296031979</v>
          </cell>
          <cell r="BD1385">
            <v>-3.7681032425053829</v>
          </cell>
          <cell r="BE1385">
            <v>-3.7888847638266832</v>
          </cell>
          <cell r="BF1385">
            <v>-3.809780037308752</v>
          </cell>
          <cell r="BG1385">
            <v>-3.8311112700951444</v>
          </cell>
          <cell r="BH1385">
            <v>-3.8531941050553797</v>
          </cell>
          <cell r="BI1385">
            <v>-3.8762848595671473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-8.4578489599484996E-2</v>
          </cell>
          <cell r="G1386">
            <v>-0.21312732646773247</v>
          </cell>
          <cell r="H1386">
            <v>-0.36505585508965765</v>
          </cell>
          <cell r="I1386">
            <v>-0.53181773634123353</v>
          </cell>
          <cell r="J1386">
            <v>-0.70857980944825094</v>
          </cell>
          <cell r="K1386">
            <v>-0.8925193599720771</v>
          </cell>
          <cell r="L1386">
            <v>-1.0829967738767099</v>
          </cell>
          <cell r="M1386">
            <v>-1.2782516848356518</v>
          </cell>
          <cell r="N1386">
            <v>-1.4769575719643324</v>
          </cell>
          <cell r="O1386">
            <v>-1.678053891452902</v>
          </cell>
          <cell r="P1386">
            <v>-1.8805220463969152</v>
          </cell>
          <cell r="Q1386">
            <v>-2.087744978983197</v>
          </cell>
          <cell r="R1386">
            <v>-2.2970775567889068</v>
          </cell>
          <cell r="S1386">
            <v>-2.5067264248485821</v>
          </cell>
          <cell r="T1386">
            <v>-2.7154654087879981</v>
          </cell>
          <cell r="U1386">
            <v>-2.9223845874312371</v>
          </cell>
          <cell r="V1386">
            <v>-3.1307358601579294</v>
          </cell>
          <cell r="W1386">
            <v>-3.338186472389526</v>
          </cell>
          <cell r="X1386">
            <v>-3.5433127095559902</v>
          </cell>
          <cell r="Y1386">
            <v>-3.7452692900911022</v>
          </cell>
          <cell r="Z1386">
            <v>-3.9436100729586032</v>
          </cell>
          <cell r="AA1386">
            <v>-4.137706550312215</v>
          </cell>
          <cell r="AB1386">
            <v>-4.3273218913830958</v>
          </cell>
          <cell r="AC1386">
            <v>-4.512320317564777</v>
          </cell>
          <cell r="AD1386">
            <v>-4.6925912996242385</v>
          </cell>
          <cell r="AE1386">
            <v>-4.8683495328683986</v>
          </cell>
          <cell r="AF1386">
            <v>-5.0376060570113124</v>
          </cell>
          <cell r="AG1386">
            <v>-5.2008573622924548</v>
          </cell>
          <cell r="AH1386">
            <v>-5.3584252270604154</v>
          </cell>
          <cell r="AI1386">
            <v>-5.510474122450848</v>
          </cell>
          <cell r="AJ1386">
            <v>-5.65706534095386</v>
          </cell>
          <cell r="AK1386">
            <v>-5.797491535802191</v>
          </cell>
          <cell r="AL1386">
            <v>-5.9320081520962802</v>
          </cell>
          <cell r="AM1386">
            <v>-6.0607232158893183</v>
          </cell>
          <cell r="AN1386">
            <v>-6.1836586050912246</v>
          </cell>
          <cell r="AO1386">
            <v>-6.3008009611039029</v>
          </cell>
          <cell r="AP1386">
            <v>-6.406438426415562</v>
          </cell>
          <cell r="AQ1386">
            <v>-6.5029140819696458</v>
          </cell>
          <cell r="AR1386">
            <v>-6.5915480206119481</v>
          </cell>
          <cell r="AS1386">
            <v>-6.6730660738456793</v>
          </cell>
          <cell r="AT1386">
            <v>-6.7479270970730809</v>
          </cell>
          <cell r="AU1386">
            <v>-6.8156004663928353</v>
          </cell>
          <cell r="AV1386">
            <v>-6.8767118042821647</v>
          </cell>
          <cell r="AW1386">
            <v>-6.9317150281035573</v>
          </cell>
          <cell r="AX1386">
            <v>-6.9809609678316287</v>
          </cell>
          <cell r="AY1386">
            <v>-7.02475089549226</v>
          </cell>
          <cell r="AZ1386">
            <v>-7.0605988832718181</v>
          </cell>
          <cell r="BA1386">
            <v>-7.0898627835570549</v>
          </cell>
          <cell r="BB1386">
            <v>-7.1134545827981954</v>
          </cell>
          <cell r="BC1386">
            <v>-7.1320020187046751</v>
          </cell>
          <cell r="BD1386">
            <v>-7.1459947333086689</v>
          </cell>
          <cell r="BE1386">
            <v>-7.1542287439229524</v>
          </cell>
          <cell r="BF1386">
            <v>-7.157727443250872</v>
          </cell>
          <cell r="BG1386">
            <v>-7.1572398559268446</v>
          </cell>
          <cell r="BH1386">
            <v>-7.1533388006272851</v>
          </cell>
          <cell r="BI1386">
            <v>-7.146504912495411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-4.3093675532113185E-2</v>
          </cell>
          <cell r="G1387">
            <v>-0.10966715009769201</v>
          </cell>
          <cell r="H1387">
            <v>-0.19961469686191613</v>
          </cell>
          <cell r="I1387">
            <v>-0.30546923533093517</v>
          </cell>
          <cell r="J1387">
            <v>-0.42270977653827702</v>
          </cell>
          <cell r="K1387">
            <v>-0.54840205778012852</v>
          </cell>
          <cell r="L1387">
            <v>-0.68071618291781766</v>
          </cell>
          <cell r="M1387">
            <v>-0.81754893855404687</v>
          </cell>
          <cell r="N1387">
            <v>-0.95687557481204388</v>
          </cell>
          <cell r="O1387">
            <v>-1.0968356024271153</v>
          </cell>
          <cell r="P1387">
            <v>-1.2347520810358947</v>
          </cell>
          <cell r="Q1387">
            <v>-1.3712503706341583</v>
          </cell>
          <cell r="R1387">
            <v>-1.5049387307236151</v>
          </cell>
          <cell r="S1387">
            <v>-1.6341375673156078</v>
          </cell>
          <cell r="T1387">
            <v>-1.75742731342865</v>
          </cell>
          <cell r="U1387">
            <v>-1.8738317890179879</v>
          </cell>
          <cell r="V1387">
            <v>-1.9842985507094513</v>
          </cell>
          <cell r="W1387">
            <v>-2.0888671978817719</v>
          </cell>
          <cell r="X1387">
            <v>-2.1873186201331496</v>
          </cell>
          <cell r="Y1387">
            <v>-2.2796291354735598</v>
          </cell>
          <cell r="Z1387">
            <v>-2.366426609584027</v>
          </cell>
          <cell r="AA1387">
            <v>-2.4472669996530638</v>
          </cell>
          <cell r="AB1387">
            <v>-2.5229512889287986</v>
          </cell>
          <cell r="AC1387">
            <v>-2.5942114288300067</v>
          </cell>
          <cell r="AD1387">
            <v>-2.6616912484247357</v>
          </cell>
          <cell r="AE1387">
            <v>-2.7270542505913986</v>
          </cell>
          <cell r="AF1387">
            <v>-2.7884215199417861</v>
          </cell>
          <cell r="AG1387">
            <v>-2.8465094877362263</v>
          </cell>
          <cell r="AH1387">
            <v>-2.9022238103085907</v>
          </cell>
          <cell r="AI1387">
            <v>-2.9563329356191215</v>
          </cell>
          <cell r="AJ1387">
            <v>-3.0093944921146365</v>
          </cell>
          <cell r="AK1387">
            <v>-3.0615189583999447</v>
          </cell>
          <cell r="AL1387">
            <v>-3.1129657743052097</v>
          </cell>
          <cell r="AM1387">
            <v>-3.1640232653357359</v>
          </cell>
          <cell r="AN1387">
            <v>-3.2149336202677459</v>
          </cell>
          <cell r="AO1387">
            <v>-3.2658840825240953</v>
          </cell>
          <cell r="AP1387">
            <v>-3.3148273140126028</v>
          </cell>
          <cell r="AQ1387">
            <v>-3.3613212791631208</v>
          </cell>
          <cell r="AR1387">
            <v>-3.4060141016288514</v>
          </cell>
          <cell r="AS1387">
            <v>-3.4496696992547093</v>
          </cell>
          <cell r="AT1387">
            <v>-3.4928828605982232</v>
          </cell>
          <cell r="AU1387">
            <v>-3.5356962601305941</v>
          </cell>
          <cell r="AV1387">
            <v>-3.5783477561933119</v>
          </cell>
          <cell r="AW1387">
            <v>-3.6211266530910113</v>
          </cell>
          <cell r="AX1387">
            <v>-3.664266728749066</v>
          </cell>
          <cell r="AY1387">
            <v>-3.7079164405259712</v>
          </cell>
          <cell r="AZ1387">
            <v>-3.7509272028374507</v>
          </cell>
          <cell r="BA1387">
            <v>-3.7932054520572356</v>
          </cell>
          <cell r="BB1387">
            <v>-3.8350622308852889</v>
          </cell>
          <cell r="BC1387">
            <v>-3.8768009401314973</v>
          </cell>
          <cell r="BD1387">
            <v>-3.9186225056616619</v>
          </cell>
          <cell r="BE1387">
            <v>-3.9599253390788069</v>
          </cell>
          <cell r="BF1387">
            <v>-4.0007051626816947</v>
          </cell>
          <cell r="BG1387">
            <v>-4.0411987446836495</v>
          </cell>
          <cell r="BH1387">
            <v>-4.0816325216716738</v>
          </cell>
          <cell r="BI1387">
            <v>-4.1221597937410763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-1.3624421983016166E-2</v>
          </cell>
          <cell r="G1388">
            <v>-3.1680718407123276E-2</v>
          </cell>
          <cell r="H1388">
            <v>-5.0528678752559397E-2</v>
          </cell>
          <cell r="I1388">
            <v>-6.9389298167910063E-2</v>
          </cell>
          <cell r="J1388">
            <v>-8.8739960185446609E-2</v>
          </cell>
          <cell r="K1388">
            <v>-0.10943294573015905</v>
          </cell>
          <cell r="L1388">
            <v>-0.13245236305993169</v>
          </cell>
          <cell r="M1388">
            <v>-0.15816641283039612</v>
          </cell>
          <cell r="N1388">
            <v>-0.1867809840407797</v>
          </cell>
          <cell r="O1388">
            <v>-0.21836415794573849</v>
          </cell>
          <cell r="P1388">
            <v>-0.25270075016747828</v>
          </cell>
          <cell r="Q1388">
            <v>-0.29057153210695352</v>
          </cell>
          <cell r="R1388">
            <v>-0.33124098948238423</v>
          </cell>
          <cell r="S1388">
            <v>-0.37414331133757139</v>
          </cell>
          <cell r="T1388">
            <v>-0.41883608335738787</v>
          </cell>
          <cell r="U1388">
            <v>-0.46493385111751051</v>
          </cell>
          <cell r="V1388">
            <v>-0.51269741042899719</v>
          </cell>
          <cell r="W1388">
            <v>-0.56146985391973825</v>
          </cell>
          <cell r="X1388">
            <v>-0.610750673421534</v>
          </cell>
          <cell r="Y1388">
            <v>-0.66018254459441206</v>
          </cell>
          <cell r="Z1388">
            <v>-0.70963874665737059</v>
          </cell>
          <cell r="AA1388">
            <v>-0.7585172726551126</v>
          </cell>
          <cell r="AB1388">
            <v>-0.80679016008045057</v>
          </cell>
          <cell r="AC1388">
            <v>-0.85435198016365899</v>
          </cell>
          <cell r="AD1388">
            <v>-0.90107121618971942</v>
          </cell>
          <cell r="AE1388">
            <v>-0.94726613551623373</v>
          </cell>
          <cell r="AF1388">
            <v>-0.9917012140861492</v>
          </cell>
          <cell r="AG1388">
            <v>-1.0346135316756988</v>
          </cell>
          <cell r="AH1388">
            <v>-1.0761370155235817</v>
          </cell>
          <cell r="AI1388">
            <v>-1.1163314412574454</v>
          </cell>
          <cell r="AJ1388">
            <v>-1.1552142507467389</v>
          </cell>
          <cell r="AK1388">
            <v>-1.1926651661551935</v>
          </cell>
          <cell r="AL1388">
            <v>-1.2287314590695209</v>
          </cell>
          <cell r="AM1388">
            <v>-1.2634447093405443</v>
          </cell>
          <cell r="AN1388">
            <v>-1.2968245129612699</v>
          </cell>
          <cell r="AO1388">
            <v>-1.3288912135328346</v>
          </cell>
          <cell r="AP1388">
            <v>-1.3588037731599778</v>
          </cell>
          <cell r="AQ1388">
            <v>-1.3869018023730528</v>
          </cell>
          <cell r="AR1388">
            <v>-1.4135121975253462</v>
          </cell>
          <cell r="AS1388">
            <v>-1.4388455361174501</v>
          </cell>
          <cell r="AT1388">
            <v>-1.4630354499921228</v>
          </cell>
          <cell r="AU1388">
            <v>-1.4860253805579093</v>
          </cell>
          <cell r="AV1388">
            <v>-1.5079550052556234</v>
          </cell>
          <cell r="AW1388">
            <v>-1.5289350845621774</v>
          </cell>
          <cell r="AX1388">
            <v>-1.5490468530547474</v>
          </cell>
          <cell r="AY1388">
            <v>-1.5683537998971819</v>
          </cell>
          <cell r="AZ1388">
            <v>-1.5864190973987835</v>
          </cell>
          <cell r="BA1388">
            <v>-1.6035161181700675</v>
          </cell>
          <cell r="BB1388">
            <v>-1.6198487492789182</v>
          </cell>
          <cell r="BC1388">
            <v>-1.6355378929790665</v>
          </cell>
          <cell r="BD1388">
            <v>-1.6506556855058085</v>
          </cell>
          <cell r="BE1388">
            <v>-1.6649645658756485</v>
          </cell>
          <cell r="BF1388">
            <v>-1.6786271908025507</v>
          </cell>
          <cell r="BG1388">
            <v>-1.6917728964380818</v>
          </cell>
          <cell r="BH1388">
            <v>-1.7044844113304092</v>
          </cell>
          <cell r="BI1388">
            <v>-1.7168150510170954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-7.3311055766034361E-2</v>
          </cell>
          <cell r="G1389">
            <v>-0.2102744453922667</v>
          </cell>
          <cell r="H1389">
            <v>-0.38974561975655408</v>
          </cell>
          <cell r="I1389">
            <v>-0.60288846865785839</v>
          </cell>
          <cell r="J1389">
            <v>-0.8411475099261434</v>
          </cell>
          <cell r="K1389">
            <v>-1.0970428123401543</v>
          </cell>
          <cell r="L1389">
            <v>-1.3657183227604563</v>
          </cell>
          <cell r="M1389">
            <v>-1.6413033601527793</v>
          </cell>
          <cell r="N1389">
            <v>-1.9191332686941065</v>
          </cell>
          <cell r="O1389">
            <v>-2.1953145123799644</v>
          </cell>
          <cell r="P1389">
            <v>-2.4656707426755076</v>
          </cell>
          <cell r="Q1389">
            <v>-2.7327897739905405</v>
          </cell>
          <cell r="R1389">
            <v>-2.9928593053885955</v>
          </cell>
          <cell r="S1389">
            <v>-3.2434215944226019</v>
          </cell>
          <cell r="T1389">
            <v>-3.4824970549525269</v>
          </cell>
          <cell r="U1389">
            <v>-3.7085655160465025</v>
          </cell>
          <cell r="V1389">
            <v>-3.9238223113803872</v>
          </cell>
          <cell r="W1389">
            <v>-4.1270855156196777</v>
          </cell>
          <cell r="X1389">
            <v>-4.3176143523060091</v>
          </cell>
          <cell r="Y1389">
            <v>-4.4950668338136541</v>
          </cell>
          <cell r="Z1389">
            <v>-4.660212396775143</v>
          </cell>
          <cell r="AA1389">
            <v>-4.8115484682160981</v>
          </cell>
          <cell r="AB1389">
            <v>-4.950513473009055</v>
          </cell>
          <cell r="AC1389">
            <v>-5.0778244673307604</v>
          </cell>
          <cell r="AD1389">
            <v>-5.1943227922650266</v>
          </cell>
          <cell r="AE1389">
            <v>-5.3030956405119785</v>
          </cell>
          <cell r="AF1389">
            <v>-5.400016776755157</v>
          </cell>
          <cell r="AG1389">
            <v>-5.4876793944244717</v>
          </cell>
          <cell r="AH1389">
            <v>-5.5672366445350896</v>
          </cell>
          <cell r="AI1389">
            <v>-5.6397710505005865</v>
          </cell>
          <cell r="AJ1389">
            <v>-5.7062978356408163</v>
          </cell>
          <cell r="AK1389">
            <v>-5.7671826995886804</v>
          </cell>
          <cell r="AL1389">
            <v>-5.823382665953214</v>
          </cell>
          <cell r="AM1389">
            <v>-5.875752697850567</v>
          </cell>
          <cell r="AN1389">
            <v>-5.9250459931853854</v>
          </cell>
          <cell r="AO1389">
            <v>-5.9719178141102613</v>
          </cell>
          <cell r="AP1389">
            <v>-6.0126771317421941</v>
          </cell>
          <cell r="AQ1389">
            <v>-6.0480073040723674</v>
          </cell>
          <cell r="AR1389">
            <v>-6.0790134684649555</v>
          </cell>
          <cell r="AS1389">
            <v>-6.1066697302264439</v>
          </cell>
          <cell r="AT1389">
            <v>-6.1318440718422735</v>
          </cell>
          <cell r="AU1389">
            <v>-6.1546044430082159</v>
          </cell>
          <cell r="AV1389">
            <v>-6.1757351337254356</v>
          </cell>
          <cell r="AW1389">
            <v>-6.195908049724852</v>
          </cell>
          <cell r="AX1389">
            <v>-6.2156938138666407</v>
          </cell>
          <cell r="AY1389">
            <v>-6.2355734906931133</v>
          </cell>
          <cell r="AZ1389">
            <v>-6.2536998376158115</v>
          </cell>
          <cell r="BA1389">
            <v>-6.2708055481061509</v>
          </cell>
          <cell r="BB1389">
            <v>-6.2874647401623296</v>
          </cell>
          <cell r="BC1389">
            <v>-6.3041692270081491</v>
          </cell>
          <cell r="BD1389">
            <v>-6.3213513851111403</v>
          </cell>
          <cell r="BE1389">
            <v>-6.3380964347743767</v>
          </cell>
          <cell r="BF1389">
            <v>-6.3549400338835493</v>
          </cell>
          <cell r="BG1389">
            <v>-6.3723375238193825</v>
          </cell>
          <cell r="BH1389">
            <v>-6.3906767592564417</v>
          </cell>
          <cell r="BI1389">
            <v>-6.4102905930046976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-5.9761795128809858E-2</v>
          </cell>
          <cell r="G1390">
            <v>-0.16336003127429555</v>
          </cell>
          <cell r="H1390">
            <v>-0.28957111431080484</v>
          </cell>
          <cell r="I1390">
            <v>-0.43173226750422566</v>
          </cell>
          <cell r="J1390">
            <v>-0.58413116700628542</v>
          </cell>
          <cell r="K1390">
            <v>-0.74211932204776287</v>
          </cell>
          <cell r="L1390">
            <v>-0.90323260737712463</v>
          </cell>
          <cell r="M1390">
            <v>-1.0638448232932363</v>
          </cell>
          <cell r="N1390">
            <v>-1.2214341487624902</v>
          </cell>
          <cell r="O1390">
            <v>-1.3741328191788527</v>
          </cell>
          <cell r="P1390">
            <v>-1.519755125245692</v>
          </cell>
          <cell r="Q1390">
            <v>-1.6619187687824999</v>
          </cell>
          <cell r="R1390">
            <v>-1.7979955110623558</v>
          </cell>
          <cell r="S1390">
            <v>-1.9268374063109661</v>
          </cell>
          <cell r="T1390">
            <v>-2.0477209933650764</v>
          </cell>
          <cell r="U1390">
            <v>-2.1602318467420445</v>
          </cell>
          <cell r="V1390">
            <v>-2.2669569548434576</v>
          </cell>
          <cell r="W1390">
            <v>-2.3671031182393891</v>
          </cell>
          <cell r="X1390">
            <v>-2.4603830500353303</v>
          </cell>
          <cell r="Y1390">
            <v>-2.5468381349893372</v>
          </cell>
          <cell r="Z1390">
            <v>-2.62736510372511</v>
          </cell>
          <cell r="AA1390">
            <v>-2.7007336411933758</v>
          </cell>
          <cell r="AB1390">
            <v>-2.7684116096975853</v>
          </cell>
          <cell r="AC1390">
            <v>-2.8309888416069295</v>
          </cell>
          <cell r="AD1390">
            <v>-2.8890577007191771</v>
          </cell>
          <cell r="AE1390">
            <v>-2.9449686232619894</v>
          </cell>
          <cell r="AF1390">
            <v>-2.9946275466690047</v>
          </cell>
          <cell r="AG1390">
            <v>-3.0404752652705813</v>
          </cell>
          <cell r="AH1390">
            <v>-3.083347312090523</v>
          </cell>
          <cell r="AI1390">
            <v>-3.1239002021225541</v>
          </cell>
          <cell r="AJ1390">
            <v>-3.162664568340678</v>
          </cell>
          <cell r="AK1390">
            <v>-3.1995673796159978</v>
          </cell>
          <cell r="AL1390">
            <v>-3.2351345595306058</v>
          </cell>
          <cell r="AM1390">
            <v>-3.2697649982343147</v>
          </cell>
          <cell r="AN1390">
            <v>-3.3037655621173561</v>
          </cell>
          <cell r="AO1390">
            <v>-3.3373749204358649</v>
          </cell>
          <cell r="AP1390">
            <v>-3.3668897560299</v>
          </cell>
          <cell r="AQ1390">
            <v>-3.3932534669228414</v>
          </cell>
          <cell r="AR1390">
            <v>-3.4175077852032554</v>
          </cell>
          <cell r="AS1390">
            <v>-3.4404036298086194</v>
          </cell>
          <cell r="AT1390">
            <v>-3.4625206059665898</v>
          </cell>
          <cell r="AU1390">
            <v>-3.4836825562723384</v>
          </cell>
          <cell r="AV1390">
            <v>-3.5044703203279797</v>
          </cell>
          <cell r="AW1390">
            <v>-3.5253108826629243</v>
          </cell>
          <cell r="AX1390">
            <v>-3.5465190957462478</v>
          </cell>
          <cell r="AY1390">
            <v>-3.5683284974540981</v>
          </cell>
          <cell r="AZ1390">
            <v>-3.5888288092481235</v>
          </cell>
          <cell r="BA1390">
            <v>-3.6088540823121962</v>
          </cell>
          <cell r="BB1390">
            <v>-3.6289135493918545</v>
          </cell>
          <cell r="BC1390">
            <v>-3.6493510518668333</v>
          </cell>
          <cell r="BD1390">
            <v>-3.6704211953417332</v>
          </cell>
          <cell r="BE1390">
            <v>-3.691105600564804</v>
          </cell>
          <cell r="BF1390">
            <v>-3.7119593631750769</v>
          </cell>
          <cell r="BG1390">
            <v>-3.7333616979234541</v>
          </cell>
          <cell r="BH1390">
            <v>-3.7555756505785687</v>
          </cell>
          <cell r="BI1390">
            <v>-3.7787915146304867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-1.0789297278102072E-2</v>
          </cell>
          <cell r="G1391">
            <v>-4.1109412722017957E-2</v>
          </cell>
          <cell r="H1391">
            <v>-8.6503150577932342E-2</v>
          </cell>
          <cell r="I1391">
            <v>-0.14999241138806685</v>
          </cell>
          <cell r="J1391">
            <v>-0.23182193373781912</v>
          </cell>
          <cell r="K1391">
            <v>-0.33067378949329651</v>
          </cell>
          <cell r="L1391">
            <v>-0.44484794170379649</v>
          </cell>
          <cell r="M1391">
            <v>-0.57106679964621376</v>
          </cell>
          <cell r="N1391">
            <v>-0.70612583423416142</v>
          </cell>
          <cell r="O1391">
            <v>-0.8467655783121919</v>
          </cell>
          <cell r="P1391">
            <v>-0.98909308638926996</v>
          </cell>
          <cell r="Q1391">
            <v>-1.1323485514902254</v>
          </cell>
          <cell r="R1391">
            <v>-1.2731147129813047</v>
          </cell>
          <cell r="S1391">
            <v>-1.4093357227126346</v>
          </cell>
          <cell r="T1391">
            <v>-1.539257947220507</v>
          </cell>
          <cell r="U1391">
            <v>-1.6614075950085239</v>
          </cell>
          <cell r="V1391">
            <v>-1.7751149558347445</v>
          </cell>
          <cell r="W1391">
            <v>-1.8796154142441295</v>
          </cell>
          <cell r="X1391">
            <v>-1.9745414559289682</v>
          </cell>
          <cell r="Y1391">
            <v>-2.0597052658336219</v>
          </cell>
          <cell r="Z1391">
            <v>-2.1356834526004009</v>
          </cell>
          <cell r="AA1391">
            <v>-2.2011313119526199</v>
          </cell>
          <cell r="AB1391">
            <v>-2.2571955635010466</v>
          </cell>
          <cell r="AC1391">
            <v>-2.3042285403490625</v>
          </cell>
          <cell r="AD1391">
            <v>-2.3426986672450019</v>
          </cell>
          <cell r="AE1391">
            <v>-2.37489876259469</v>
          </cell>
          <cell r="AF1391">
            <v>-2.3979834931895265</v>
          </cell>
          <cell r="AG1391">
            <v>-2.4141485053730372</v>
          </cell>
          <cell r="AH1391">
            <v>-2.4240859943360449</v>
          </cell>
          <cell r="AI1391">
            <v>-2.4284738361823992</v>
          </cell>
          <cell r="AJ1391">
            <v>-2.4280173905362519</v>
          </cell>
          <cell r="AK1391">
            <v>-2.4233305786825037</v>
          </cell>
          <cell r="AL1391">
            <v>-2.4151582517127679</v>
          </cell>
          <cell r="AM1391">
            <v>-2.4041949842644961</v>
          </cell>
          <cell r="AN1391">
            <v>-2.3911101855112364</v>
          </cell>
          <cell r="AO1391">
            <v>-2.3765400506318701</v>
          </cell>
          <cell r="AP1391">
            <v>-2.3603853608314291</v>
          </cell>
          <cell r="AQ1391">
            <v>-2.342767108351274</v>
          </cell>
          <cell r="AR1391">
            <v>-2.3240024322270125</v>
          </cell>
          <cell r="AS1391">
            <v>-2.3043801475103876</v>
          </cell>
          <cell r="AT1391">
            <v>-2.2842254996320861</v>
          </cell>
          <cell r="AU1391">
            <v>-2.2637335095275768</v>
          </cell>
          <cell r="AV1391">
            <v>-2.2433035742457146</v>
          </cell>
          <cell r="AW1391">
            <v>-2.2232745515081809</v>
          </cell>
          <cell r="AX1391">
            <v>-2.2039699951572507</v>
          </cell>
          <cell r="AY1391">
            <v>-2.1857020776774085</v>
          </cell>
          <cell r="AZ1391">
            <v>-2.1681882413600695</v>
          </cell>
          <cell r="BA1391">
            <v>-2.1518465676168779</v>
          </cell>
          <cell r="BB1391">
            <v>-2.1368232483458431</v>
          </cell>
          <cell r="BC1391">
            <v>-2.1232350134245284</v>
          </cell>
          <cell r="BD1391">
            <v>-2.1112142192093115</v>
          </cell>
          <cell r="BE1391">
            <v>-2.1005665445721471</v>
          </cell>
          <cell r="BF1391">
            <v>-2.0915184307826014</v>
          </cell>
          <cell r="BG1391">
            <v>-2.0841666198939013</v>
          </cell>
          <cell r="BH1391">
            <v>-2.0785885565624334</v>
          </cell>
          <cell r="BI1391">
            <v>-2.0748675950150961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2.7599633591224304E-3</v>
          </cell>
          <cell r="G1392">
            <v>5.805001395953191E-3</v>
          </cell>
          <cell r="H1392">
            <v>1.3671354867816898E-2</v>
          </cell>
          <cell r="I1392">
            <v>2.1163789765565877E-2</v>
          </cell>
          <cell r="J1392">
            <v>2.5194409182038857E-2</v>
          </cell>
          <cell r="K1392">
            <v>2.4249700799094942E-2</v>
          </cell>
          <cell r="L1392">
            <v>1.7637773679535229E-2</v>
          </cell>
          <cell r="M1392">
            <v>6.3917372133293071E-3</v>
          </cell>
          <cell r="N1392">
            <v>-8.4267143025451574E-3</v>
          </cell>
          <cell r="O1392">
            <v>-2.5583885111080118E-2</v>
          </cell>
          <cell r="P1392">
            <v>-4.3177468959454401E-2</v>
          </cell>
          <cell r="Q1392">
            <v>-6.1477546282184825E-2</v>
          </cell>
          <cell r="R1392">
            <v>-7.825091865506506E-2</v>
          </cell>
          <cell r="S1392">
            <v>-9.2751534600998831E-2</v>
          </cell>
          <cell r="T1392">
            <v>-0.10448188563305649</v>
          </cell>
          <cell r="U1392">
            <v>-0.11307392570406583</v>
          </cell>
          <cell r="V1392">
            <v>-0.11824959929781498</v>
          </cell>
          <cell r="W1392">
            <v>-0.11963301686384087</v>
          </cell>
          <cell r="X1392">
            <v>-0.11731015365828945</v>
          </cell>
          <cell r="Y1392">
            <v>-0.11147656700930497</v>
          </cell>
          <cell r="Z1392">
            <v>-0.10283615955036796</v>
          </cell>
          <cell r="AA1392">
            <v>-9.0316484929897634E-2</v>
          </cell>
          <cell r="AB1392">
            <v>-7.509370018957684E-2</v>
          </cell>
          <cell r="AC1392">
            <v>-5.7392914625231661E-2</v>
          </cell>
          <cell r="AD1392">
            <v>-3.7433575699152399E-2</v>
          </cell>
          <cell r="AE1392">
            <v>-1.6771745344700939E-2</v>
          </cell>
          <cell r="AF1392">
            <v>7.4057368966258252E-3</v>
          </cell>
          <cell r="AG1392">
            <v>3.3055623780853249E-2</v>
          </cell>
          <cell r="AH1392">
            <v>5.9803338108521675E-2</v>
          </cell>
          <cell r="AI1392">
            <v>8.7397012195633117E-2</v>
          </cell>
          <cell r="AJ1392">
            <v>0.1156158767638864</v>
          </cell>
          <cell r="AK1392">
            <v>0.14428474129017888</v>
          </cell>
          <cell r="AL1392">
            <v>0.17308985470984029</v>
          </cell>
          <cell r="AM1392">
            <v>0.20179271535175625</v>
          </cell>
          <cell r="AN1392">
            <v>0.23017024555679289</v>
          </cell>
          <cell r="AO1392">
            <v>0.2580028430425263</v>
          </cell>
          <cell r="AP1392">
            <v>0.28540201488086492</v>
          </cell>
          <cell r="AQ1392">
            <v>0.31198672879825207</v>
          </cell>
          <cell r="AR1392">
            <v>0.33750325103468759</v>
          </cell>
          <cell r="AS1392">
            <v>0.36188595290743697</v>
          </cell>
          <cell r="AT1392">
            <v>0.3850979662435976</v>
          </cell>
          <cell r="AU1392">
            <v>0.4071883772083007</v>
          </cell>
          <cell r="AV1392">
            <v>0.42796123915174134</v>
          </cell>
          <cell r="AW1392">
            <v>0.44732261555374686</v>
          </cell>
          <cell r="AX1392">
            <v>0.46520472296314219</v>
          </cell>
          <cell r="AY1392">
            <v>0.48154291556160667</v>
          </cell>
          <cell r="AZ1392">
            <v>0.49668278700761848</v>
          </cell>
          <cell r="BA1392">
            <v>0.51010489817707683</v>
          </cell>
          <cell r="BB1392">
            <v>0.52172794242463194</v>
          </cell>
          <cell r="BC1392">
            <v>0.53158316171678743</v>
          </cell>
          <cell r="BD1392">
            <v>0.53971597056009557</v>
          </cell>
          <cell r="BE1392">
            <v>0.54642428963742562</v>
          </cell>
          <cell r="BF1392">
            <v>0.55146223992587107</v>
          </cell>
          <cell r="BG1392">
            <v>0.5548092060020271</v>
          </cell>
          <cell r="BH1392">
            <v>0.55651255211543971</v>
          </cell>
          <cell r="BI1392">
            <v>0.55663148335911483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-5.9761795128809858E-2</v>
          </cell>
          <cell r="G1394">
            <v>-0.16336003127429555</v>
          </cell>
          <cell r="H1394">
            <v>-0.28957111431080484</v>
          </cell>
          <cell r="I1394">
            <v>-0.43173226750422566</v>
          </cell>
          <cell r="J1394">
            <v>-0.58413116700628542</v>
          </cell>
          <cell r="K1394">
            <v>-0.74211932204776287</v>
          </cell>
          <cell r="L1394">
            <v>-0.90323260737712463</v>
          </cell>
          <cell r="M1394">
            <v>-1.0638448232932363</v>
          </cell>
          <cell r="N1394">
            <v>-1.2214341487624902</v>
          </cell>
          <cell r="O1394">
            <v>-1.3741328191788527</v>
          </cell>
          <cell r="P1394">
            <v>-1.519755125245692</v>
          </cell>
          <cell r="Q1394">
            <v>-1.6619187687824999</v>
          </cell>
          <cell r="R1394">
            <v>-1.7979955110623558</v>
          </cell>
          <cell r="S1394">
            <v>-1.9268374063109661</v>
          </cell>
          <cell r="T1394">
            <v>-2.0477209933650764</v>
          </cell>
          <cell r="U1394">
            <v>-2.1602318467420445</v>
          </cell>
          <cell r="V1394">
            <v>-2.2669569548434576</v>
          </cell>
          <cell r="W1394">
            <v>-2.3671031182393891</v>
          </cell>
          <cell r="X1394">
            <v>-2.4603830500353303</v>
          </cell>
          <cell r="Y1394">
            <v>-2.5468381349893372</v>
          </cell>
          <cell r="Z1394">
            <v>-2.62736510372511</v>
          </cell>
          <cell r="AA1394">
            <v>-2.7007336411933758</v>
          </cell>
          <cell r="AB1394">
            <v>-2.7684116096975853</v>
          </cell>
          <cell r="AC1394">
            <v>-2.8309888416069295</v>
          </cell>
          <cell r="AD1394">
            <v>-2.8890577007191771</v>
          </cell>
          <cell r="AE1394">
            <v>-2.9449686232619894</v>
          </cell>
          <cell r="AF1394">
            <v>-2.9946275466690047</v>
          </cell>
          <cell r="AG1394">
            <v>-3.0404752652705813</v>
          </cell>
          <cell r="AH1394">
            <v>-3.083347312090523</v>
          </cell>
          <cell r="AI1394">
            <v>-3.1239002021225541</v>
          </cell>
          <cell r="AJ1394">
            <v>-3.162664568340678</v>
          </cell>
          <cell r="AK1394">
            <v>-3.1995673796159978</v>
          </cell>
          <cell r="AL1394">
            <v>-3.2351345595306058</v>
          </cell>
          <cell r="AM1394">
            <v>-3.2697649982343147</v>
          </cell>
          <cell r="AN1394">
            <v>-3.3037655621173561</v>
          </cell>
          <cell r="AO1394">
            <v>-3.3373749204358649</v>
          </cell>
          <cell r="AP1394">
            <v>-3.3668897560299</v>
          </cell>
          <cell r="AQ1394">
            <v>-3.3932534669228414</v>
          </cell>
          <cell r="AR1394">
            <v>-3.4175077852032554</v>
          </cell>
          <cell r="AS1394">
            <v>-3.4404036298086194</v>
          </cell>
          <cell r="AT1394">
            <v>-3.4625206059665898</v>
          </cell>
          <cell r="AU1394">
            <v>-3.4836825562723384</v>
          </cell>
          <cell r="AV1394">
            <v>-3.5044703203279797</v>
          </cell>
          <cell r="AW1394">
            <v>-3.5253108826629243</v>
          </cell>
          <cell r="AX1394">
            <v>-3.5465190957462478</v>
          </cell>
          <cell r="AY1394">
            <v>-3.5683284974540981</v>
          </cell>
          <cell r="AZ1394">
            <v>-3.5888288092481235</v>
          </cell>
          <cell r="BA1394">
            <v>-3.6088540823121962</v>
          </cell>
          <cell r="BB1394">
            <v>-3.6289135493918545</v>
          </cell>
          <cell r="BC1394">
            <v>-3.6493510518668333</v>
          </cell>
          <cell r="BD1394">
            <v>-3.6704211953417332</v>
          </cell>
          <cell r="BE1394">
            <v>-3.691105600564804</v>
          </cell>
          <cell r="BF1394">
            <v>-3.7119593631750769</v>
          </cell>
          <cell r="BG1394">
            <v>-3.7333616979234541</v>
          </cell>
          <cell r="BH1394">
            <v>-3.7555756505785687</v>
          </cell>
          <cell r="BI1394">
            <v>-3.7787915146304867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-1.7381569754748583E-2</v>
          </cell>
          <cell r="G1395">
            <v>-5.9331692906461342E-2</v>
          </cell>
          <cell r="H1395">
            <v>-0.12592328811790177</v>
          </cell>
          <cell r="I1395">
            <v>-0.21423511134430751</v>
          </cell>
          <cell r="J1395">
            <v>-0.32050823154913255</v>
          </cell>
          <cell r="K1395">
            <v>-0.44103452257573394</v>
          </cell>
          <cell r="L1395">
            <v>-0.5727459905957577</v>
          </cell>
          <cell r="M1395">
            <v>-0.71281453322590282</v>
          </cell>
          <cell r="N1395">
            <v>-0.85861165722661559</v>
          </cell>
          <cell r="O1395">
            <v>-1.0076995677146261</v>
          </cell>
          <cell r="P1395">
            <v>-1.1577110751841535</v>
          </cell>
          <cell r="Q1395">
            <v>-1.307534007164135</v>
          </cell>
          <cell r="R1395">
            <v>-1.4557691491061453</v>
          </cell>
          <cell r="S1395">
            <v>-1.6008869504465451</v>
          </cell>
          <cell r="T1395">
            <v>-1.7414201654407879</v>
          </cell>
          <cell r="U1395">
            <v>-1.8760850881860192</v>
          </cell>
          <cell r="V1395">
            <v>-2.004518863130611</v>
          </cell>
          <cell r="W1395">
            <v>-2.1262846191448248</v>
          </cell>
          <cell r="X1395">
            <v>-2.2408721422753408</v>
          </cell>
          <cell r="Y1395">
            <v>-2.3478459087147185</v>
          </cell>
          <cell r="Z1395">
            <v>-2.4470651048555836</v>
          </cell>
          <cell r="AA1395">
            <v>-2.5382334683788033</v>
          </cell>
          <cell r="AB1395">
            <v>-2.6213310557666292</v>
          </cell>
          <cell r="AC1395">
            <v>-2.6965252132799322</v>
          </cell>
          <cell r="AD1395">
            <v>-2.76412900451527</v>
          </cell>
          <cell r="AE1395">
            <v>-2.8249966647471259</v>
          </cell>
          <cell r="AF1395">
            <v>-2.879125590059306</v>
          </cell>
          <cell r="AG1395">
            <v>-2.9266995622173164</v>
          </cell>
          <cell r="AH1395">
            <v>-2.9681059517846609</v>
          </cell>
          <cell r="AI1395">
            <v>-3.0038664767447654</v>
          </cell>
          <cell r="AJ1395">
            <v>-3.0345712457749863</v>
          </cell>
          <cell r="AK1395">
            <v>-3.0607425235067875</v>
          </cell>
          <cell r="AL1395">
            <v>-3.0828975921302737</v>
          </cell>
          <cell r="AM1395">
            <v>-3.1015794487412207</v>
          </cell>
          <cell r="AN1395">
            <v>-3.1173181340290901</v>
          </cell>
          <cell r="AO1395">
            <v>-3.1306063357842251</v>
          </cell>
          <cell r="AP1395">
            <v>-3.1413717759565252</v>
          </cell>
          <cell r="AQ1395">
            <v>-3.1493149487278771</v>
          </cell>
          <cell r="AR1395">
            <v>-3.1545152441985191</v>
          </cell>
          <cell r="AS1395">
            <v>-3.1572580903421965</v>
          </cell>
          <cell r="AT1395">
            <v>-3.1579142505439139</v>
          </cell>
          <cell r="AU1395">
            <v>-3.1567916228860571</v>
          </cell>
          <cell r="AV1395">
            <v>-3.1541555427854528</v>
          </cell>
          <cell r="AW1395">
            <v>-3.1503157927660452</v>
          </cell>
          <cell r="AX1395">
            <v>-3.1455927521377269</v>
          </cell>
          <cell r="AY1395">
            <v>-3.1402943695273189</v>
          </cell>
          <cell r="AZ1395">
            <v>-3.1344759557853541</v>
          </cell>
          <cell r="BA1395">
            <v>-3.1280255009203506</v>
          </cell>
          <cell r="BB1395">
            <v>-3.1210269612402586</v>
          </cell>
          <cell r="BC1395">
            <v>-3.1136705973460632</v>
          </cell>
          <cell r="BD1395">
            <v>-3.1061843716426951</v>
          </cell>
          <cell r="BE1395">
            <v>-3.0986886816687265</v>
          </cell>
          <cell r="BF1395">
            <v>-3.0911751934369347</v>
          </cell>
          <cell r="BG1395">
            <v>-3.0837441036552282</v>
          </cell>
          <cell r="BH1395">
            <v>-3.0765559141219923</v>
          </cell>
          <cell r="BI1395">
            <v>-3.0697926837024547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-2.1212469591003202E-2</v>
          </cell>
          <cell r="G1396">
            <v>-6.6471366322773395E-2</v>
          </cell>
          <cell r="H1396">
            <v>-0.13220268966540605</v>
          </cell>
          <cell r="I1396">
            <v>-0.21425422313567921</v>
          </cell>
          <cell r="J1396">
            <v>-0.30886088486962171</v>
          </cell>
          <cell r="K1396">
            <v>-0.41291514834423948</v>
          </cell>
          <cell r="L1396">
            <v>-0.52421080991774671</v>
          </cell>
          <cell r="M1396">
            <v>-0.6407063210699171</v>
          </cell>
          <cell r="N1396">
            <v>-0.76052003563367165</v>
          </cell>
          <cell r="O1396">
            <v>-0.88190146087522292</v>
          </cell>
          <cell r="P1396">
            <v>-1.0031450211390291</v>
          </cell>
          <cell r="Q1396">
            <v>-1.1238210664906934</v>
          </cell>
          <cell r="R1396">
            <v>-1.2427812194089616</v>
          </cell>
          <cell r="S1396">
            <v>-1.3587406962817794</v>
          </cell>
          <cell r="T1396">
            <v>-1.4705193803811745</v>
          </cell>
          <cell r="U1396">
            <v>-1.5771312071265919</v>
          </cell>
          <cell r="V1396">
            <v>-1.6787116344734065</v>
          </cell>
          <cell r="W1396">
            <v>-1.7748390448572238</v>
          </cell>
          <cell r="X1396">
            <v>-1.8650284948399043</v>
          </cell>
          <cell r="Y1396">
            <v>-1.9489155106312994</v>
          </cell>
          <cell r="Z1396">
            <v>-2.0264036206060099</v>
          </cell>
          <cell r="AA1396">
            <v>-2.0973375809479666</v>
          </cell>
          <cell r="AB1396">
            <v>-2.1617407991217918</v>
          </cell>
          <cell r="AC1396">
            <v>-2.219792900401496</v>
          </cell>
          <cell r="AD1396">
            <v>-2.2717874662214532</v>
          </cell>
          <cell r="AE1396">
            <v>-2.3184176430641745</v>
          </cell>
          <cell r="AF1396">
            <v>-2.3596620290594728</v>
          </cell>
          <cell r="AG1396">
            <v>-2.3957385610285931</v>
          </cell>
          <cell r="AH1396">
            <v>-2.4270113705009866</v>
          </cell>
          <cell r="AI1396">
            <v>-2.4539225526230335</v>
          </cell>
          <cell r="AJ1396">
            <v>-2.4769510100125847</v>
          </cell>
          <cell r="AK1396">
            <v>-2.4964455153090537</v>
          </cell>
          <cell r="AL1396">
            <v>-2.512845522109608</v>
          </cell>
          <cell r="AM1396">
            <v>-2.5266083721750654</v>
          </cell>
          <cell r="AN1396">
            <v>-2.5381680913532212</v>
          </cell>
          <cell r="AO1396">
            <v>-2.5479189287011206</v>
          </cell>
          <cell r="AP1396">
            <v>-2.5552337451005824</v>
          </cell>
          <cell r="AQ1396">
            <v>-2.5601370287223868</v>
          </cell>
          <cell r="AR1396">
            <v>-2.5629273792642793</v>
          </cell>
          <cell r="AS1396">
            <v>-2.5639524198827535</v>
          </cell>
          <cell r="AT1396">
            <v>-2.5635444721479606</v>
          </cell>
          <cell r="AU1396">
            <v>-2.5618559825592691</v>
          </cell>
          <cell r="AV1396">
            <v>-2.5591098871051043</v>
          </cell>
          <cell r="AW1396">
            <v>-2.5555586353987914</v>
          </cell>
          <cell r="AX1396">
            <v>-2.5514504740358102</v>
          </cell>
          <cell r="AY1396">
            <v>-2.5470163331733131</v>
          </cell>
          <cell r="AZ1396">
            <v>-2.5420135425032298</v>
          </cell>
          <cell r="BA1396">
            <v>-2.5364558091331646</v>
          </cell>
          <cell r="BB1396">
            <v>-2.5305074087796808</v>
          </cell>
          <cell r="BC1396">
            <v>-2.5243693351067353</v>
          </cell>
          <cell r="BD1396">
            <v>-2.5182366587283123</v>
          </cell>
          <cell r="BE1396">
            <v>-2.5120402829402644</v>
          </cell>
          <cell r="BF1396">
            <v>-2.5058278521050248</v>
          </cell>
          <cell r="BG1396">
            <v>-2.4997264561508525</v>
          </cell>
          <cell r="BH1396">
            <v>-2.493882750321319</v>
          </cell>
          <cell r="BI1396">
            <v>-2.4884404504383562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0</v>
          </cell>
          <cell r="AI1397">
            <v>0</v>
          </cell>
          <cell r="AJ1397">
            <v>0</v>
          </cell>
          <cell r="AK1397">
            <v>0</v>
          </cell>
          <cell r="AL1397">
            <v>0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-1.51863600261537E-2</v>
          </cell>
          <cell r="G1398">
            <v>-5.0358539049677464E-2</v>
          </cell>
          <cell r="H1398">
            <v>-0.10847615167478564</v>
          </cell>
          <cell r="I1398">
            <v>-0.1908588808335665</v>
          </cell>
          <cell r="J1398">
            <v>-0.29678888425178629</v>
          </cell>
          <cell r="K1398">
            <v>-0.4240018206699725</v>
          </cell>
          <cell r="L1398">
            <v>-0.56961044898338198</v>
          </cell>
          <cell r="M1398">
            <v>-0.73011779392821996</v>
          </cell>
          <cell r="N1398">
            <v>-0.90202912148457104</v>
          </cell>
          <cell r="O1398">
            <v>-1.0820387237604923</v>
          </cell>
          <cell r="P1398">
            <v>-1.266927290017017</v>
          </cell>
          <cell r="Q1398">
            <v>-1.4550604997801586</v>
          </cell>
          <cell r="R1398">
            <v>-1.6441424374791014</v>
          </cell>
          <cell r="S1398">
            <v>-1.832165021583132</v>
          </cell>
          <cell r="T1398">
            <v>-2.0173373903339176</v>
          </cell>
          <cell r="U1398">
            <v>-2.1980579028784364</v>
          </cell>
          <cell r="V1398">
            <v>-2.3736973645702042</v>
          </cell>
          <cell r="W1398">
            <v>-2.5432431947191914</v>
          </cell>
          <cell r="X1398">
            <v>-2.7058718232963241</v>
          </cell>
          <cell r="Y1398">
            <v>-2.8609291695812944</v>
          </cell>
          <cell r="Z1398">
            <v>-3.0081138593099577</v>
          </cell>
          <cell r="AA1398">
            <v>-3.146745124431749</v>
          </cell>
          <cell r="AB1398">
            <v>-3.2767344822523303</v>
          </cell>
          <cell r="AC1398">
            <v>-3.3981006573482131</v>
          </cell>
          <cell r="AD1398">
            <v>-3.510994826494207</v>
          </cell>
          <cell r="AE1398">
            <v>-3.6162890108339285</v>
          </cell>
          <cell r="AF1398">
            <v>-3.7133173917665463</v>
          </cell>
          <cell r="AG1398">
            <v>-3.8025796210358509</v>
          </cell>
          <cell r="AH1398">
            <v>-3.8845843448193085</v>
          </cell>
          <cell r="AI1398">
            <v>-3.9598712661215063</v>
          </cell>
          <cell r="AJ1398">
            <v>-4.0290204745049074</v>
          </cell>
          <cell r="AK1398">
            <v>-4.0924886356894952</v>
          </cell>
          <cell r="AL1398">
            <v>-4.1508855149273156</v>
          </cell>
          <cell r="AM1398">
            <v>-4.2048157120024188</v>
          </cell>
          <cell r="AN1398">
            <v>-4.2548670822586736</v>
          </cell>
          <cell r="AO1398">
            <v>-4.3015992350613157</v>
          </cell>
          <cell r="AP1398">
            <v>-4.3443562551506059</v>
          </cell>
          <cell r="AQ1398">
            <v>-4.3834084344368973</v>
          </cell>
          <cell r="AR1398">
            <v>-4.4190305325669037</v>
          </cell>
          <cell r="AS1398">
            <v>-4.4515106661638715</v>
          </cell>
          <cell r="AT1398">
            <v>-4.4811733436883605</v>
          </cell>
          <cell r="AU1398">
            <v>-4.508171854526843</v>
          </cell>
          <cell r="AV1398">
            <v>-4.5328756797983534</v>
          </cell>
          <cell r="AW1398">
            <v>-4.555650860206728</v>
          </cell>
          <cell r="AX1398">
            <v>-4.5768526348907379</v>
          </cell>
          <cell r="AY1398">
            <v>-4.5968211696605588</v>
          </cell>
          <cell r="AZ1398">
            <v>-4.6151852112767404</v>
          </cell>
          <cell r="BA1398">
            <v>-4.632233429443211</v>
          </cell>
          <cell r="BB1398">
            <v>-4.6481944480240012</v>
          </cell>
          <cell r="BC1398">
            <v>-4.6632702745107562</v>
          </cell>
          <cell r="BD1398">
            <v>-4.6776632501034481</v>
          </cell>
          <cell r="BE1398">
            <v>-4.691174304387169</v>
          </cell>
          <cell r="BF1398">
            <v>-4.7040196141258424</v>
          </cell>
          <cell r="BG1398">
            <v>-4.7163935715965337</v>
          </cell>
          <cell r="BH1398">
            <v>-4.7284800613274331</v>
          </cell>
          <cell r="BI1398">
            <v>-4.7404639951163174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-1.6373212338494092E-3</v>
          </cell>
          <cell r="G1399">
            <v>-3.4457414811339682E-3</v>
          </cell>
          <cell r="H1399">
            <v>-8.3099707010925172E-3</v>
          </cell>
          <cell r="I1399">
            <v>-1.9736459854868826E-2</v>
          </cell>
          <cell r="J1399">
            <v>-3.9875026667202107E-2</v>
          </cell>
          <cell r="K1399">
            <v>-6.9324378882729132E-2</v>
          </cell>
          <cell r="L1399">
            <v>-0.10762247216034027</v>
          </cell>
          <cell r="M1399">
            <v>-0.15354592109806386</v>
          </cell>
          <cell r="N1399">
            <v>-0.205765626518295</v>
          </cell>
          <cell r="O1399">
            <v>-0.26301687700336362</v>
          </cell>
          <cell r="P1399">
            <v>-0.32407716914264473</v>
          </cell>
          <cell r="Q1399">
            <v>-0.3883482028759766</v>
          </cell>
          <cell r="R1399">
            <v>-0.45471183018018779</v>
          </cell>
          <cell r="S1399">
            <v>-0.52245945200590782</v>
          </cell>
          <cell r="T1399">
            <v>-0.59104144998491925</v>
          </cell>
          <cell r="U1399">
            <v>-0.65994234306973043</v>
          </cell>
          <cell r="V1399">
            <v>-0.72890904955602576</v>
          </cell>
          <cell r="W1399">
            <v>-0.79729301404156683</v>
          </cell>
          <cell r="X1399">
            <v>-0.86470000009820636</v>
          </cell>
          <cell r="Y1399">
            <v>-0.93083527063833049</v>
          </cell>
          <cell r="Z1399">
            <v>-0.99550363495533034</v>
          </cell>
          <cell r="AA1399">
            <v>-1.0582683833545659</v>
          </cell>
          <cell r="AB1399">
            <v>-1.1190514617388736</v>
          </cell>
          <cell r="AC1399">
            <v>-1.1777266127328989</v>
          </cell>
          <cell r="AD1399">
            <v>-1.2341808758457695</v>
          </cell>
          <cell r="AE1399">
            <v>-1.2885475822511427</v>
          </cell>
          <cell r="AF1399">
            <v>-1.3401643301431232</v>
          </cell>
          <cell r="AG1399">
            <v>-1.3893763677223503</v>
          </cell>
          <cell r="AH1399">
            <v>-1.4363729262643621</v>
          </cell>
          <cell r="AI1399">
            <v>-1.4812671870900629</v>
          </cell>
          <cell r="AJ1399">
            <v>-1.5241561500838996</v>
          </cell>
          <cell r="AK1399">
            <v>-1.5650579842878209</v>
          </cell>
          <cell r="AL1399">
            <v>-1.6041569709288162</v>
          </cell>
          <cell r="AM1399">
            <v>-1.6416081180176123</v>
          </cell>
          <cell r="AN1399">
            <v>-1.6775602086596231</v>
          </cell>
          <cell r="AO1399">
            <v>-1.7121640373612634</v>
          </cell>
          <cell r="AP1399">
            <v>-1.744730745235934</v>
          </cell>
          <cell r="AQ1399">
            <v>-1.7757976536373232</v>
          </cell>
          <cell r="AR1399">
            <v>-1.805580476297719</v>
          </cell>
          <cell r="AS1399">
            <v>-1.8341478275022971</v>
          </cell>
          <cell r="AT1399">
            <v>-1.8615404128804469</v>
          </cell>
          <cell r="AU1399">
            <v>-1.8876681084484481</v>
          </cell>
          <cell r="AV1399">
            <v>-1.9127042623452883</v>
          </cell>
          <cell r="AW1399">
            <v>-1.9367772104596281</v>
          </cell>
          <cell r="AX1399">
            <v>-1.959993569607088</v>
          </cell>
          <cell r="AY1399">
            <v>-1.9824530563092635</v>
          </cell>
          <cell r="AZ1399">
            <v>-2.0037104830646024</v>
          </cell>
          <cell r="BA1399">
            <v>-2.0241642331229492</v>
          </cell>
          <cell r="BB1399">
            <v>-2.0439836077977835</v>
          </cell>
          <cell r="BC1399">
            <v>-2.0632270254351326</v>
          </cell>
          <cell r="BD1399">
            <v>-2.0819233961709926</v>
          </cell>
          <cell r="BE1399">
            <v>-2.0997640316350097</v>
          </cell>
          <cell r="BF1399">
            <v>-2.1169905956614166</v>
          </cell>
          <cell r="BG1399">
            <v>-2.1337262660525269</v>
          </cell>
          <cell r="BH1399">
            <v>-2.1500345365594087</v>
          </cell>
          <cell r="BI1399">
            <v>-2.1659621918587946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-1.5186334884897956E-2</v>
          </cell>
          <cell r="G1400">
            <v>-5.0358533781125203E-2</v>
          </cell>
          <cell r="H1400">
            <v>-0.10847615655170673</v>
          </cell>
          <cell r="I1400">
            <v>-0.19085889154067948</v>
          </cell>
          <cell r="J1400">
            <v>-0.29678889497092298</v>
          </cell>
          <cell r="K1400">
            <v>-0.42400183306071648</v>
          </cell>
          <cell r="L1400">
            <v>-0.56961044849589415</v>
          </cell>
          <cell r="M1400">
            <v>-0.73011779466584104</v>
          </cell>
          <cell r="N1400">
            <v>-0.90202909284541333</v>
          </cell>
          <cell r="O1400">
            <v>-1.0820387176230573</v>
          </cell>
          <cell r="P1400">
            <v>-1.2669272769987971</v>
          </cell>
          <cell r="Q1400">
            <v>-1.455060515522888</v>
          </cell>
          <cell r="R1400">
            <v>-1.6441424471572819</v>
          </cell>
          <cell r="S1400">
            <v>-1.832165016830678</v>
          </cell>
          <cell r="T1400">
            <v>-2.0173373900500779</v>
          </cell>
          <cell r="U1400">
            <v>-2.1980579079788232</v>
          </cell>
          <cell r="V1400">
            <v>-2.3736973661007688</v>
          </cell>
          <cell r="W1400">
            <v>-2.5432431989994231</v>
          </cell>
          <cell r="X1400">
            <v>-2.7058718227441214</v>
          </cell>
          <cell r="Y1400">
            <v>-2.860929179790539</v>
          </cell>
          <cell r="Z1400">
            <v>-3.0081138555690723</v>
          </cell>
          <cell r="AA1400">
            <v>-3.1467451194241325</v>
          </cell>
          <cell r="AB1400">
            <v>-3.2767344865119896</v>
          </cell>
          <cell r="AC1400">
            <v>-3.3981006679346226</v>
          </cell>
          <cell r="AD1400">
            <v>-3.5109948536694358</v>
          </cell>
          <cell r="AE1400">
            <v>-3.6162890025201344</v>
          </cell>
          <cell r="AF1400">
            <v>-3.7133174012856873</v>
          </cell>
          <cell r="AG1400">
            <v>-3.8025796774292187</v>
          </cell>
          <cell r="AH1400">
            <v>-3.8845843042678796</v>
          </cell>
          <cell r="AI1400">
            <v>-3.9598712492194932</v>
          </cell>
          <cell r="AJ1400">
            <v>-4.0290204945639179</v>
          </cell>
          <cell r="AK1400">
            <v>-4.0924886643270986</v>
          </cell>
          <cell r="AL1400">
            <v>-4.1508854868007594</v>
          </cell>
          <cell r="AM1400">
            <v>-4.2048156768453859</v>
          </cell>
          <cell r="AN1400">
            <v>-4.2548669784051256</v>
          </cell>
          <cell r="AO1400">
            <v>-4.3015992341523646</v>
          </cell>
          <cell r="AP1400">
            <v>-4.3443562677111691</v>
          </cell>
          <cell r="AQ1400">
            <v>-4.383408480801398</v>
          </cell>
          <cell r="AR1400">
            <v>-4.4190305298087207</v>
          </cell>
          <cell r="AS1400">
            <v>-4.4515107134779459</v>
          </cell>
          <cell r="AT1400">
            <v>-4.4811733424090168</v>
          </cell>
          <cell r="AU1400">
            <v>-4.5081718023716633</v>
          </cell>
          <cell r="AV1400">
            <v>-4.5328757173194507</v>
          </cell>
          <cell r="AW1400">
            <v>-4.5556508763784915</v>
          </cell>
          <cell r="AX1400">
            <v>-4.576852642798257</v>
          </cell>
          <cell r="AY1400">
            <v>-4.5968211485556854</v>
          </cell>
          <cell r="AZ1400">
            <v>-4.6151852466176706</v>
          </cell>
          <cell r="BA1400">
            <v>-4.6322334705273471</v>
          </cell>
          <cell r="BB1400">
            <v>-4.6481944733119285</v>
          </cell>
          <cell r="BC1400">
            <v>-4.6632702804284998</v>
          </cell>
          <cell r="BD1400">
            <v>-4.6776632300800092</v>
          </cell>
          <cell r="BE1400">
            <v>-4.6911742648360955</v>
          </cell>
          <cell r="BF1400">
            <v>-4.7040196235230258</v>
          </cell>
          <cell r="BG1400">
            <v>-4.716393582772116</v>
          </cell>
          <cell r="BH1400">
            <v>-4.7284800370124502</v>
          </cell>
          <cell r="BI1400">
            <v>-4.7404639822804402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5.772419321736777E-3</v>
          </cell>
          <cell r="G1401">
            <v>2.0841647673797148E-2</v>
          </cell>
          <cell r="H1401">
            <v>4.2515552162525339E-2</v>
          </cell>
          <cell r="I1401">
            <v>6.6105929729887158E-2</v>
          </cell>
          <cell r="J1401">
            <v>8.7799534855137473E-2</v>
          </cell>
          <cell r="K1401">
            <v>0.10532080011758094</v>
          </cell>
          <cell r="L1401">
            <v>0.11777917541864191</v>
          </cell>
          <cell r="M1401">
            <v>0.12516258050279117</v>
          </cell>
          <cell r="N1401">
            <v>0.12775351109195476</v>
          </cell>
          <cell r="O1401">
            <v>0.12589992224472102</v>
          </cell>
          <cell r="P1401">
            <v>0.11991966189546233</v>
          </cell>
          <cell r="Q1401">
            <v>0.11024924391251911</v>
          </cell>
          <cell r="R1401">
            <v>9.7423722224077025E-2</v>
          </cell>
          <cell r="S1401">
            <v>8.1668161774595127E-2</v>
          </cell>
          <cell r="T1401">
            <v>6.3043993199785042E-2</v>
          </cell>
          <cell r="U1401">
            <v>4.1643280841552333E-2</v>
          </cell>
          <cell r="V1401">
            <v>1.7701279935433689E-2</v>
          </cell>
          <cell r="W1401">
            <v>-8.258400975225122E-3</v>
          </cell>
          <cell r="X1401">
            <v>-3.5978396577784899E-2</v>
          </cell>
          <cell r="Y1401">
            <v>-6.5294449878972038E-2</v>
          </cell>
          <cell r="Z1401">
            <v>-9.5991603178391394E-2</v>
          </cell>
          <cell r="AA1401">
            <v>-0.12787041230414298</v>
          </cell>
          <cell r="AB1401">
            <v>-0.1607216566766434</v>
          </cell>
          <cell r="AC1401">
            <v>-0.19436507950955084</v>
          </cell>
          <cell r="AD1401">
            <v>-0.2285622910950913</v>
          </cell>
          <cell r="AE1401">
            <v>-0.26298889336124898</v>
          </cell>
          <cell r="AF1401">
            <v>-0.29734691090901322</v>
          </cell>
          <cell r="AG1401">
            <v>-0.33168164975309056</v>
          </cell>
          <cell r="AH1401">
            <v>-0.36606716310512155</v>
          </cell>
          <cell r="AI1401">
            <v>-0.400416394477765</v>
          </cell>
          <cell r="AJ1401">
            <v>-0.43459960091322136</v>
          </cell>
          <cell r="AK1401">
            <v>-0.46844841784945412</v>
          </cell>
          <cell r="AL1401">
            <v>-0.50195947506036509</v>
          </cell>
          <cell r="AM1401">
            <v>-0.53509751514481119</v>
          </cell>
          <cell r="AN1401">
            <v>-0.5678262733967987</v>
          </cell>
          <cell r="AO1401">
            <v>-0.6001267145132605</v>
          </cell>
          <cell r="AP1401">
            <v>-0.63140516476188902</v>
          </cell>
          <cell r="AQ1401">
            <v>-0.66236997781629059</v>
          </cell>
          <cell r="AR1401">
            <v>-0.69320162291286458</v>
          </cell>
          <cell r="AS1401">
            <v>-0.72384012137609588</v>
          </cell>
          <cell r="AT1401">
            <v>-0.75415358859119985</v>
          </cell>
          <cell r="AU1401">
            <v>-0.78391401200496036</v>
          </cell>
          <cell r="AV1401">
            <v>-0.81316551903564127</v>
          </cell>
          <cell r="AW1401">
            <v>-0.84190043151226579</v>
          </cell>
          <cell r="AX1401">
            <v>-0.8700880664497701</v>
          </cell>
          <cell r="AY1401">
            <v>-0.89769907691359396</v>
          </cell>
          <cell r="AZ1401">
            <v>-0.92429651599587048</v>
          </cell>
          <cell r="BA1401">
            <v>-0.95030231708286284</v>
          </cell>
          <cell r="BB1401">
            <v>-0.9758555183579154</v>
          </cell>
          <cell r="BC1401">
            <v>-1.0009293123885432</v>
          </cell>
          <cell r="BD1401">
            <v>-1.0254482167722512</v>
          </cell>
          <cell r="BE1401">
            <v>-1.0490631899979119</v>
          </cell>
          <cell r="BF1401">
            <v>-1.0719978058152835</v>
          </cell>
          <cell r="BG1401">
            <v>-1.094329762461288</v>
          </cell>
          <cell r="BH1401">
            <v>-1.1160483754534156</v>
          </cell>
          <cell r="BI1401">
            <v>-1.1371176168976427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-6.2521758487932289E-2</v>
          </cell>
          <cell r="G1402">
            <v>-0.16916503267024874</v>
          </cell>
          <cell r="H1402">
            <v>-0.30324246917862174</v>
          </cell>
          <cell r="I1402">
            <v>-0.45289605726979154</v>
          </cell>
          <cell r="J1402">
            <v>-0.60932557618832428</v>
          </cell>
          <cell r="K1402">
            <v>-0.76636902284685782</v>
          </cell>
          <cell r="L1402">
            <v>-0.92087038105665986</v>
          </cell>
          <cell r="M1402">
            <v>-1.0702365605065656</v>
          </cell>
          <cell r="N1402">
            <v>-1.2130074344599451</v>
          </cell>
          <cell r="O1402">
            <v>-1.3485489340677725</v>
          </cell>
          <cell r="P1402">
            <v>-1.4765776562862376</v>
          </cell>
          <cell r="Q1402">
            <v>-1.6004412225003151</v>
          </cell>
          <cell r="R1402">
            <v>-1.7197445924072907</v>
          </cell>
          <cell r="S1402">
            <v>-1.8340858717099673</v>
          </cell>
          <cell r="T1402">
            <v>-1.9432391077320199</v>
          </cell>
          <cell r="U1402">
            <v>-2.0471579210379787</v>
          </cell>
          <cell r="V1402">
            <v>-2.1487073555456426</v>
          </cell>
          <cell r="W1402">
            <v>-2.2474701013755483</v>
          </cell>
          <cell r="X1402">
            <v>-2.3430728963770409</v>
          </cell>
          <cell r="Y1402">
            <v>-2.4353615679800322</v>
          </cell>
          <cell r="Z1402">
            <v>-2.5245289441747421</v>
          </cell>
          <cell r="AA1402">
            <v>-2.6104171562634781</v>
          </cell>
          <cell r="AB1402">
            <v>-2.6933179095080084</v>
          </cell>
          <cell r="AC1402">
            <v>-2.7735959269816979</v>
          </cell>
          <cell r="AD1402">
            <v>-2.8516241250200247</v>
          </cell>
          <cell r="AE1402">
            <v>-2.9281968779172884</v>
          </cell>
          <cell r="AF1402">
            <v>-3.0020332835656305</v>
          </cell>
          <cell r="AG1402">
            <v>-3.0735308890514346</v>
          </cell>
          <cell r="AH1402">
            <v>-3.1431506501990447</v>
          </cell>
          <cell r="AI1402">
            <v>-3.2112972143181873</v>
          </cell>
          <cell r="AJ1402">
            <v>-3.2782804451045644</v>
          </cell>
          <cell r="AK1402">
            <v>-3.3438521209061767</v>
          </cell>
          <cell r="AL1402">
            <v>-3.4082244142404461</v>
          </cell>
          <cell r="AM1402">
            <v>-3.4715577135860709</v>
          </cell>
          <cell r="AN1402">
            <v>-3.5339358076741489</v>
          </cell>
          <cell r="AO1402">
            <v>-3.5953777634783912</v>
          </cell>
          <cell r="AP1402">
            <v>-3.652291770910765</v>
          </cell>
          <cell r="AQ1402">
            <v>-3.7052401957210934</v>
          </cell>
          <cell r="AR1402">
            <v>-3.755011036237943</v>
          </cell>
          <cell r="AS1402">
            <v>-3.8022895827160563</v>
          </cell>
          <cell r="AT1402">
            <v>-3.8476185722101874</v>
          </cell>
          <cell r="AU1402">
            <v>-3.8908709334806391</v>
          </cell>
          <cell r="AV1402">
            <v>-3.932431559479721</v>
          </cell>
          <cell r="AW1402">
            <v>-3.9726334982166711</v>
          </cell>
          <cell r="AX1402">
            <v>-4.01172381870939</v>
          </cell>
          <cell r="AY1402">
            <v>-4.0498714130157047</v>
          </cell>
          <cell r="AZ1402">
            <v>-4.085511596255742</v>
          </cell>
          <cell r="BA1402">
            <v>-4.118958980489273</v>
          </cell>
          <cell r="BB1402">
            <v>-4.1506414918164865</v>
          </cell>
          <cell r="BC1402">
            <v>-4.1809342135836207</v>
          </cell>
          <cell r="BD1402">
            <v>-4.2101371659018287</v>
          </cell>
          <cell r="BE1402">
            <v>-4.2375298902022296</v>
          </cell>
          <cell r="BF1402">
            <v>-4.263421603100948</v>
          </cell>
          <cell r="BG1402">
            <v>-4.2881709039254812</v>
          </cell>
          <cell r="BH1402">
            <v>-4.3120882026940084</v>
          </cell>
          <cell r="BI1402">
            <v>-4.3354229979896015</v>
          </cell>
        </row>
        <row r="1403">
          <cell r="C1403" t="str">
            <v>Emploi en millier</v>
          </cell>
          <cell r="E1403" t="str">
            <v>F_L_2-F_L_0</v>
          </cell>
          <cell r="F1403">
            <v>-17.113359999999375</v>
          </cell>
          <cell r="G1403">
            <v>-46.001800000001822</v>
          </cell>
          <cell r="H1403">
            <v>-82.064719999998488</v>
          </cell>
          <cell r="I1403">
            <v>-122.27058000000034</v>
          </cell>
          <cell r="J1403">
            <v>-164.48030999999901</v>
          </cell>
          <cell r="K1403">
            <v>-207.2342200000021</v>
          </cell>
          <cell r="L1403">
            <v>-249.71811000000162</v>
          </cell>
          <cell r="M1403">
            <v>-291.26983000000109</v>
          </cell>
          <cell r="N1403">
            <v>-331.49482999999964</v>
          </cell>
          <cell r="O1403">
            <v>-370.19377000000168</v>
          </cell>
          <cell r="P1403">
            <v>-407.50272000000041</v>
          </cell>
          <cell r="Q1403">
            <v>-444.02680999999939</v>
          </cell>
          <cell r="R1403">
            <v>-479.58666000000085</v>
          </cell>
          <cell r="S1403">
            <v>-514.01610000000073</v>
          </cell>
          <cell r="T1403">
            <v>-547.20522999999957</v>
          </cell>
          <cell r="U1403">
            <v>-579.10139999999956</v>
          </cell>
          <cell r="V1403">
            <v>-610.48630000000048</v>
          </cell>
          <cell r="W1403">
            <v>-641.22555999999895</v>
          </cell>
          <cell r="X1403">
            <v>-671.20051999999851</v>
          </cell>
          <cell r="Y1403">
            <v>-700.35785000000033</v>
          </cell>
          <cell r="Z1403">
            <v>-728.45237999999881</v>
          </cell>
          <cell r="AA1403">
            <v>-755.76382999999987</v>
          </cell>
          <cell r="AB1403">
            <v>-782.39024000000063</v>
          </cell>
          <cell r="AC1403">
            <v>-808.43481999999858</v>
          </cell>
          <cell r="AD1403">
            <v>-834.00055000000066</v>
          </cell>
          <cell r="AE1403">
            <v>-858.3841399999983</v>
          </cell>
          <cell r="AF1403">
            <v>-881.8119200000001</v>
          </cell>
          <cell r="AG1403">
            <v>-904.48957000000155</v>
          </cell>
          <cell r="AH1403">
            <v>-926.61129000000074</v>
          </cell>
          <cell r="AI1403">
            <v>-948.34103999999934</v>
          </cell>
          <cell r="AJ1403">
            <v>-969.80429999999978</v>
          </cell>
          <cell r="AK1403">
            <v>-990.95151999999871</v>
          </cell>
          <cell r="AL1403">
            <v>-1011.8600699999988</v>
          </cell>
          <cell r="AM1403">
            <v>-1032.5845300000001</v>
          </cell>
          <cell r="AN1403">
            <v>-1053.1508400000021</v>
          </cell>
          <cell r="AO1403">
            <v>-1073.5613300000005</v>
          </cell>
          <cell r="AP1403">
            <v>-1092.4882799999978</v>
          </cell>
          <cell r="AQ1403">
            <v>-1110.1202200000007</v>
          </cell>
          <cell r="AR1403">
            <v>-1126.7258699999984</v>
          </cell>
          <cell r="AS1403">
            <v>-1142.5415099999991</v>
          </cell>
          <cell r="AT1403">
            <v>-1157.755720000001</v>
          </cell>
          <cell r="AU1403">
            <v>-1172.3497700000007</v>
          </cell>
          <cell r="AV1403">
            <v>-1186.4530999999988</v>
          </cell>
          <cell r="AW1403">
            <v>-1200.1746500000008</v>
          </cell>
          <cell r="AX1403">
            <v>-1213.593280000001</v>
          </cell>
          <cell r="AY1403">
            <v>-1226.7609300000004</v>
          </cell>
          <cell r="AZ1403">
            <v>-1239.223579999998</v>
          </cell>
          <cell r="BA1403">
            <v>-1251.0679500000006</v>
          </cell>
          <cell r="BB1403">
            <v>-1262.4139800000012</v>
          </cell>
          <cell r="BC1403">
            <v>-1273.3664700000008</v>
          </cell>
          <cell r="BD1403">
            <v>-1284.00893</v>
          </cell>
          <cell r="BE1403">
            <v>-1294.1150100000013</v>
          </cell>
          <cell r="BF1403">
            <v>-1303.7734400000008</v>
          </cell>
          <cell r="BG1403">
            <v>-1313.0899299999983</v>
          </cell>
          <cell r="BH1403">
            <v>-1322.1572099999976</v>
          </cell>
          <cell r="BI1403">
            <v>-1331.0508300000001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4.564321999999954E-2</v>
          </cell>
          <cell r="G1404">
            <v>0.1192390399999993</v>
          </cell>
          <cell r="H1404">
            <v>0.20798315999999983</v>
          </cell>
          <cell r="I1404">
            <v>0.30439542000000042</v>
          </cell>
          <cell r="J1404">
            <v>0.40344844999999907</v>
          </cell>
          <cell r="K1404">
            <v>0.50186735000000149</v>
          </cell>
          <cell r="L1404">
            <v>0.5985103399999997</v>
          </cell>
          <cell r="M1404">
            <v>0.69167532999999948</v>
          </cell>
          <cell r="N1404">
            <v>0.78066152000000055</v>
          </cell>
          <cell r="O1404">
            <v>0.86520260999999876</v>
          </cell>
          <cell r="P1404">
            <v>0.94449457999999931</v>
          </cell>
          <cell r="Q1404">
            <v>1.0227277300000004</v>
          </cell>
          <cell r="R1404">
            <v>1.0981612599999995</v>
          </cell>
          <cell r="S1404">
            <v>1.1704615100000009</v>
          </cell>
          <cell r="T1404">
            <v>1.2394471300000016</v>
          </cell>
          <cell r="U1404">
            <v>1.3050733600000002</v>
          </cell>
          <cell r="V1404">
            <v>1.3694034000000022</v>
          </cell>
          <cell r="W1404">
            <v>1.4319794800000007</v>
          </cell>
          <cell r="X1404">
            <v>1.4924866099999989</v>
          </cell>
          <cell r="Y1404">
            <v>1.5508157999999994</v>
          </cell>
          <cell r="Z1404">
            <v>1.6078570600000008</v>
          </cell>
          <cell r="AA1404">
            <v>1.6615370900000008</v>
          </cell>
          <cell r="AB1404">
            <v>1.713491880000001</v>
          </cell>
          <cell r="AC1404">
            <v>1.7639066499999996</v>
          </cell>
          <cell r="AD1404">
            <v>1.8129967899999988</v>
          </cell>
          <cell r="AE1404">
            <v>1.8635967700000005</v>
          </cell>
          <cell r="AF1404">
            <v>1.9097003699999977</v>
          </cell>
          <cell r="AG1404">
            <v>1.9542500500000004</v>
          </cell>
          <cell r="AH1404">
            <v>1.9976079300000005</v>
          </cell>
          <cell r="AI1404">
            <v>2.0400789600000024</v>
          </cell>
          <cell r="AJ1404">
            <v>2.0818891700000011</v>
          </cell>
          <cell r="AK1404">
            <v>2.1228518700000003</v>
          </cell>
          <cell r="AL1404">
            <v>2.1631361599999983</v>
          </cell>
          <cell r="AM1404">
            <v>2.2028532900000011</v>
          </cell>
          <cell r="AN1404">
            <v>2.2420496099999991</v>
          </cell>
          <cell r="AO1404">
            <v>2.28072265</v>
          </cell>
          <cell r="AP1404">
            <v>2.3168409500000013</v>
          </cell>
          <cell r="AQ1404">
            <v>2.3500036099999981</v>
          </cell>
          <cell r="AR1404">
            <v>2.3809788500000013</v>
          </cell>
          <cell r="AS1404">
            <v>2.4103279400000011</v>
          </cell>
          <cell r="AT1404">
            <v>2.4384513500000011</v>
          </cell>
          <cell r="AU1404">
            <v>2.4652401399999997</v>
          </cell>
          <cell r="AV1404">
            <v>2.4909807299999978</v>
          </cell>
          <cell r="AW1404">
            <v>2.5159009300000008</v>
          </cell>
          <cell r="AX1404">
            <v>2.5401570200000001</v>
          </cell>
          <cell r="AY1404">
            <v>2.5638472200000013</v>
          </cell>
          <cell r="AZ1404">
            <v>2.5857563599999995</v>
          </cell>
          <cell r="BA1404">
            <v>2.6062715599999979</v>
          </cell>
          <cell r="BB1404">
            <v>2.6257005500000012</v>
          </cell>
          <cell r="BC1404">
            <v>2.6442874799999987</v>
          </cell>
          <cell r="BD1404">
            <v>2.6622151399999989</v>
          </cell>
          <cell r="BE1404">
            <v>2.6789253500000001</v>
          </cell>
          <cell r="BF1404">
            <v>2.6946656099999995</v>
          </cell>
          <cell r="BG1404">
            <v>2.7096899500000022</v>
          </cell>
          <cell r="BH1404">
            <v>2.7242029200000015</v>
          </cell>
          <cell r="BI1404">
            <v>2.7383614500000015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-9.08608458322923E-2</v>
          </cell>
          <cell r="G1405">
            <v>-0.16805452765433943</v>
          </cell>
          <cell r="H1405">
            <v>-0.23787887603453142</v>
          </cell>
          <cell r="I1405">
            <v>-0.30414287217529373</v>
          </cell>
          <cell r="J1405">
            <v>-0.36714972493550707</v>
          </cell>
          <cell r="K1405">
            <v>-0.42711817181772976</v>
          </cell>
          <cell r="L1405">
            <v>-0.48544146988153092</v>
          </cell>
          <cell r="M1405">
            <v>-0.54104261750335636</v>
          </cell>
          <cell r="N1405">
            <v>-0.5942223006917402</v>
          </cell>
          <cell r="O1405">
            <v>-0.64520214006246812</v>
          </cell>
          <cell r="P1405">
            <v>-0.69436619032276181</v>
          </cell>
          <cell r="Q1405">
            <v>-0.74617639058328977</v>
          </cell>
          <cell r="R1405">
            <v>-0.79567076954093541</v>
          </cell>
          <cell r="S1405">
            <v>-0.84329315658073001</v>
          </cell>
          <cell r="T1405">
            <v>-0.88928466610392309</v>
          </cell>
          <cell r="U1405">
            <v>-0.93384342824047195</v>
          </cell>
          <cell r="V1405">
            <v>-0.98159163478026135</v>
          </cell>
          <cell r="W1405">
            <v>-1.0276735650303421</v>
          </cell>
          <cell r="X1405">
            <v>-1.0724864988611034</v>
          </cell>
          <cell r="Y1405">
            <v>-1.1162395334468989</v>
          </cell>
          <cell r="Z1405">
            <v>-1.1589133988926721</v>
          </cell>
          <cell r="AA1405">
            <v>-1.2009348136550195</v>
          </cell>
          <cell r="AB1405">
            <v>-1.2423432525531133</v>
          </cell>
          <cell r="AC1405">
            <v>-1.2831854516248011</v>
          </cell>
          <cell r="AD1405">
            <v>-1.3235252147583301</v>
          </cell>
          <cell r="AE1405">
            <v>-1.3628541454594238</v>
          </cell>
          <cell r="AF1405">
            <v>-1.4006028743437233</v>
          </cell>
          <cell r="AG1405">
            <v>-1.4385141877249081</v>
          </cell>
          <cell r="AH1405">
            <v>-1.476448029565526</v>
          </cell>
          <cell r="AI1405">
            <v>-1.5143601827849951</v>
          </cell>
          <cell r="AJ1405">
            <v>-1.5522342130492419</v>
          </cell>
          <cell r="AK1405">
            <v>-1.5892641607971647</v>
          </cell>
          <cell r="AL1405">
            <v>-1.6263522292418662</v>
          </cell>
          <cell r="AM1405">
            <v>-1.6634532935435316</v>
          </cell>
          <cell r="AN1405">
            <v>-1.7005520196318291</v>
          </cell>
          <cell r="AO1405">
            <v>-1.7376383565507685</v>
          </cell>
          <cell r="AP1405">
            <v>-1.7679567617493848</v>
          </cell>
          <cell r="AQ1405">
            <v>-1.7991857338436299</v>
          </cell>
          <cell r="AR1405">
            <v>-1.8309480632736623</v>
          </cell>
          <cell r="AS1405">
            <v>-1.8631007431336917</v>
          </cell>
          <cell r="AT1405">
            <v>-1.8955523167814654</v>
          </cell>
          <cell r="AU1405">
            <v>-1.9272375766086112</v>
          </cell>
          <cell r="AV1405">
            <v>-1.9592050362106255</v>
          </cell>
          <cell r="AW1405">
            <v>-1.9913451170984455</v>
          </cell>
          <cell r="AX1405">
            <v>-2.0235962969481194</v>
          </cell>
          <cell r="AY1405">
            <v>-2.0559131771489283</v>
          </cell>
          <cell r="AZ1405">
            <v>-2.0851168917393617</v>
          </cell>
          <cell r="BA1405">
            <v>-2.114680313677793</v>
          </cell>
          <cell r="BB1405">
            <v>-2.1443907620092033</v>
          </cell>
          <cell r="BC1405">
            <v>-2.174166238153727</v>
          </cell>
          <cell r="BD1405">
            <v>-2.2039570163820295</v>
          </cell>
          <cell r="BE1405">
            <v>-2.231871190874672</v>
          </cell>
          <cell r="BF1405">
            <v>-2.2599467180026336</v>
          </cell>
          <cell r="BG1405">
            <v>-2.2880408917540227</v>
          </cell>
          <cell r="BH1405">
            <v>-2.3160890496844688</v>
          </cell>
          <cell r="BI1405">
            <v>-2.3440480429995056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3.0993139560625202E-3</v>
          </cell>
          <cell r="G1406">
            <v>5.167891906069505E-3</v>
          </cell>
          <cell r="H1406">
            <v>7.4765387753765802E-3</v>
          </cell>
          <cell r="I1406">
            <v>1.0102731044619832E-2</v>
          </cell>
          <cell r="J1406">
            <v>1.2975756429072123E-2</v>
          </cell>
          <cell r="K1406">
            <v>1.603109940960714E-2</v>
          </cell>
          <cell r="L1406">
            <v>1.9234712049398008E-2</v>
          </cell>
          <cell r="M1406">
            <v>2.2549214614421206E-2</v>
          </cell>
          <cell r="N1406">
            <v>2.5984598527586771E-2</v>
          </cell>
          <cell r="O1406">
            <v>2.9543305866405745E-2</v>
          </cell>
          <cell r="P1406">
            <v>3.3161634651978841E-2</v>
          </cell>
          <cell r="Q1406">
            <v>3.695519883966554E-2</v>
          </cell>
          <cell r="R1406">
            <v>4.0741753930066855E-2</v>
          </cell>
          <cell r="S1406">
            <v>4.4505734806416473E-2</v>
          </cell>
          <cell r="T1406">
            <v>4.8194297008500621E-2</v>
          </cell>
          <cell r="U1406">
            <v>5.1753715213932912E-2</v>
          </cell>
          <cell r="V1406">
            <v>5.5267322660284071E-2</v>
          </cell>
          <cell r="W1406">
            <v>5.8572914675768251E-2</v>
          </cell>
          <cell r="X1406">
            <v>6.1690140893470684E-2</v>
          </cell>
          <cell r="Y1406">
            <v>6.4622887375407126E-2</v>
          </cell>
          <cell r="Z1406">
            <v>6.7391986401574455E-2</v>
          </cell>
          <cell r="AA1406">
            <v>6.9973424577438395E-2</v>
          </cell>
          <cell r="AB1406">
            <v>7.2389004440304688E-2</v>
          </cell>
          <cell r="AC1406">
            <v>7.4645368180241589E-2</v>
          </cell>
          <cell r="AD1406">
            <v>7.675047418136699E-2</v>
          </cell>
          <cell r="AE1406">
            <v>7.8762900376325509E-2</v>
          </cell>
          <cell r="AF1406">
            <v>8.0591943272611932E-2</v>
          </cell>
          <cell r="AG1406">
            <v>8.2319756318450371E-2</v>
          </cell>
          <cell r="AH1406">
            <v>8.3943355202896308E-2</v>
          </cell>
          <cell r="AI1406">
            <v>8.5469571935637395E-2</v>
          </cell>
          <cell r="AJ1406">
            <v>8.6905028258418671E-2</v>
          </cell>
          <cell r="AK1406">
            <v>8.8236720926511761E-2</v>
          </cell>
          <cell r="AL1406">
            <v>8.9499789450778536E-2</v>
          </cell>
          <cell r="AM1406">
            <v>9.0697336846027987E-2</v>
          </cell>
          <cell r="AN1406">
            <v>9.1835337496547043E-2</v>
          </cell>
          <cell r="AO1406">
            <v>9.2920017351421844E-2</v>
          </cell>
          <cell r="AP1406">
            <v>9.3799107869714349E-2</v>
          </cell>
          <cell r="AQ1406">
            <v>9.4679726991343971E-2</v>
          </cell>
          <cell r="AR1406">
            <v>9.5525243965368684E-2</v>
          </cell>
          <cell r="AS1406">
            <v>9.6333222795278423E-2</v>
          </cell>
          <cell r="AT1406">
            <v>9.7108810076706159E-2</v>
          </cell>
          <cell r="AU1406">
            <v>9.7833396520656188E-2</v>
          </cell>
          <cell r="AV1406">
            <v>9.8544489279481062E-2</v>
          </cell>
          <cell r="AW1406">
            <v>9.9242115061195901E-2</v>
          </cell>
          <cell r="AX1406">
            <v>9.9930749657819659E-2</v>
          </cell>
          <cell r="AY1406">
            <v>0.10061396262130949</v>
          </cell>
          <cell r="AZ1406">
            <v>0.10121085107481306</v>
          </cell>
          <cell r="BA1406">
            <v>0.10181777165967076</v>
          </cell>
          <cell r="BB1406">
            <v>0.10241336040356062</v>
          </cell>
          <cell r="BC1406">
            <v>0.1029932696542826</v>
          </cell>
          <cell r="BD1406">
            <v>0.1035578288141806</v>
          </cell>
          <cell r="BE1406">
            <v>0.10406210954578589</v>
          </cell>
          <cell r="BF1406">
            <v>0.10456574784055428</v>
          </cell>
          <cell r="BG1406">
            <v>0.10505943704360779</v>
          </cell>
          <cell r="BH1406">
            <v>0.10554326956910103</v>
          </cell>
          <cell r="BI1406">
            <v>0.10601941435481338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4.6703549497115714E-2</v>
          </cell>
          <cell r="G1407">
            <v>0.12558193405246448</v>
          </cell>
          <cell r="H1407">
            <v>0.22076127883119481</v>
          </cell>
          <cell r="I1407">
            <v>0.32623955588834441</v>
          </cell>
          <cell r="J1407">
            <v>0.43661436544959881</v>
          </cell>
          <cell r="K1407">
            <v>0.54793554252810306</v>
          </cell>
          <cell r="L1407">
            <v>0.65818103405341843</v>
          </cell>
          <cell r="M1407">
            <v>0.76541725114260206</v>
          </cell>
          <cell r="N1407">
            <v>0.86832257936005042</v>
          </cell>
          <cell r="O1407">
            <v>0.96608077954863991</v>
          </cell>
          <cell r="P1407">
            <v>1.0584140576851557</v>
          </cell>
          <cell r="Q1407">
            <v>1.1468736147314891</v>
          </cell>
          <cell r="R1407">
            <v>1.2309264848253683</v>
          </cell>
          <cell r="S1407">
            <v>1.3100795770557296</v>
          </cell>
          <cell r="T1407">
            <v>1.3840666019534702</v>
          </cell>
          <cell r="U1407">
            <v>1.4528006117731571</v>
          </cell>
          <cell r="V1407">
            <v>1.5187082438765331</v>
          </cell>
          <cell r="W1407">
            <v>1.580967871681753</v>
          </cell>
          <cell r="X1407">
            <v>1.6394077418068538</v>
          </cell>
          <cell r="Y1407">
            <v>1.6940569767346956</v>
          </cell>
          <cell r="Z1407">
            <v>1.7448232677030064</v>
          </cell>
          <cell r="AA1407">
            <v>1.7928324168982823</v>
          </cell>
          <cell r="AB1407">
            <v>1.8376654119852434</v>
          </cell>
          <cell r="AC1407">
            <v>1.879718867546867</v>
          </cell>
          <cell r="AD1407">
            <v>1.9193906720343434</v>
          </cell>
          <cell r="AE1407">
            <v>1.9561386417339752</v>
          </cell>
          <cell r="AF1407">
            <v>1.9919747387911819</v>
          </cell>
          <cell r="AG1407">
            <v>2.0261430137630709</v>
          </cell>
          <cell r="AH1407">
            <v>2.0590149753051952</v>
          </cell>
          <cell r="AI1407">
            <v>2.0908849605014739</v>
          </cell>
          <cell r="AJ1407">
            <v>2.1219840547138209</v>
          </cell>
          <cell r="AK1407">
            <v>2.1520614376003477</v>
          </cell>
          <cell r="AL1407">
            <v>2.1814314220152129</v>
          </cell>
          <cell r="AM1407">
            <v>2.2102786363522799</v>
          </cell>
          <cell r="AN1407">
            <v>2.238734909872004</v>
          </cell>
          <cell r="AO1407">
            <v>2.2668903649681145</v>
          </cell>
          <cell r="AP1407">
            <v>2.2909607189964643</v>
          </cell>
          <cell r="AQ1407">
            <v>2.3130306225856567</v>
          </cell>
          <cell r="AR1407">
            <v>2.333724562338503</v>
          </cell>
          <cell r="AS1407">
            <v>2.353499796588177</v>
          </cell>
          <cell r="AT1407">
            <v>2.3726968958150865</v>
          </cell>
          <cell r="AU1407">
            <v>2.3910360077579194</v>
          </cell>
          <cell r="AV1407">
            <v>2.4089293282340778</v>
          </cell>
          <cell r="AW1407">
            <v>2.4266220785069548</v>
          </cell>
          <cell r="AX1407">
            <v>2.4442944274377036</v>
          </cell>
          <cell r="AY1407">
            <v>2.4620771552741116</v>
          </cell>
          <cell r="AZ1407">
            <v>2.4783792933244646</v>
          </cell>
          <cell r="BA1407">
            <v>2.4939099017197779</v>
          </cell>
          <cell r="BB1407">
            <v>2.5090429579922922</v>
          </cell>
          <cell r="BC1407">
            <v>2.5240568415287274</v>
          </cell>
          <cell r="BD1407">
            <v>2.5391611438253072</v>
          </cell>
          <cell r="BE1407">
            <v>2.5535077346213679</v>
          </cell>
          <cell r="BF1407">
            <v>2.5676266396841045</v>
          </cell>
          <cell r="BG1407">
            <v>2.5817960580340777</v>
          </cell>
          <cell r="BH1407">
            <v>2.5962218289190409</v>
          </cell>
          <cell r="BI1407">
            <v>2.6110546157865464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4.9617911456852765E-2</v>
          </cell>
          <cell r="G1408">
            <v>0.12666314531570994</v>
          </cell>
          <cell r="H1408">
            <v>0.21490093910284946</v>
          </cell>
          <cell r="I1408">
            <v>0.31092788007093669</v>
          </cell>
          <cell r="J1408">
            <v>0.41224564677587311</v>
          </cell>
          <cell r="K1408">
            <v>0.51717165364920659</v>
          </cell>
          <cell r="L1408">
            <v>0.62510388488885638</v>
          </cell>
          <cell r="M1408">
            <v>0.73465466855642536</v>
          </cell>
          <cell r="N1408">
            <v>0.844696371172312</v>
          </cell>
          <cell r="O1408">
            <v>0.95443716286781888</v>
          </cell>
          <cell r="P1408">
            <v>1.0635006027417995</v>
          </cell>
          <cell r="Q1408">
            <v>1.1736385072762292</v>
          </cell>
          <cell r="R1408">
            <v>1.2834727711390443</v>
          </cell>
          <cell r="S1408">
            <v>1.3920616261474852</v>
          </cell>
          <cell r="T1408">
            <v>1.4988421587529861</v>
          </cell>
          <cell r="U1408">
            <v>1.6033870671322337</v>
          </cell>
          <cell r="V1408">
            <v>1.7078759393148728</v>
          </cell>
          <cell r="W1408">
            <v>1.8105855910328179</v>
          </cell>
          <cell r="X1408">
            <v>1.9107956697123223</v>
          </cell>
          <cell r="Y1408">
            <v>2.008170453169599</v>
          </cell>
          <cell r="Z1408">
            <v>2.1025683887797464</v>
          </cell>
          <cell r="AA1408">
            <v>2.1939599646922119</v>
          </cell>
          <cell r="AB1408">
            <v>2.2821947186135652</v>
          </cell>
          <cell r="AC1408">
            <v>2.367511105955832</v>
          </cell>
          <cell r="AD1408">
            <v>2.4500904816800793</v>
          </cell>
          <cell r="AE1408">
            <v>2.5303707666766764</v>
          </cell>
          <cell r="AF1408">
            <v>2.6073929449324948</v>
          </cell>
          <cell r="AG1408">
            <v>2.681604193545077</v>
          </cell>
          <cell r="AH1408">
            <v>2.753712409353998</v>
          </cell>
          <cell r="AI1408">
            <v>2.8241178212419427</v>
          </cell>
          <cell r="AJ1408">
            <v>2.8930915556509116</v>
          </cell>
          <cell r="AK1408">
            <v>2.9604026571023305</v>
          </cell>
          <cell r="AL1408">
            <v>3.0265272416012627</v>
          </cell>
          <cell r="AM1408">
            <v>3.0918013046713111</v>
          </cell>
          <cell r="AN1408">
            <v>3.1564782726443337</v>
          </cell>
          <cell r="AO1408">
            <v>3.2207613507341875</v>
          </cell>
          <cell r="AP1408">
            <v>3.2810827334649337</v>
          </cell>
          <cell r="AQ1408">
            <v>3.3393874333813525</v>
          </cell>
          <cell r="AR1408">
            <v>3.3966222910036912</v>
          </cell>
          <cell r="AS1408">
            <v>3.4532589855917046</v>
          </cell>
          <cell r="AT1408">
            <v>3.5095589759507315</v>
          </cell>
          <cell r="AU1408">
            <v>3.5651125801911951</v>
          </cell>
          <cell r="AV1408">
            <v>3.6203480757458633</v>
          </cell>
          <cell r="AW1408">
            <v>3.6755331396039108</v>
          </cell>
          <cell r="AX1408">
            <v>3.7308232108344765</v>
          </cell>
          <cell r="AY1408">
            <v>3.7863199555744909</v>
          </cell>
          <cell r="AZ1408">
            <v>3.8402081814082951</v>
          </cell>
          <cell r="BA1408">
            <v>3.893473396142312</v>
          </cell>
          <cell r="BB1408">
            <v>3.946663593784701</v>
          </cell>
          <cell r="BC1408">
            <v>3.9999811558316658</v>
          </cell>
          <cell r="BD1408">
            <v>4.0535015260215381</v>
          </cell>
          <cell r="BE1408">
            <v>4.10616156308458</v>
          </cell>
          <cell r="BF1408">
            <v>4.1585217726348729</v>
          </cell>
          <cell r="BG1408">
            <v>4.2109324161325041</v>
          </cell>
          <cell r="BH1408">
            <v>4.2635399416712181</v>
          </cell>
          <cell r="BI1408">
            <v>4.3164102989617943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0.18359336566209361</v>
          </cell>
          <cell r="G1409">
            <v>0.48366433729949421</v>
          </cell>
          <cell r="H1409">
            <v>0.90332980401659491</v>
          </cell>
          <cell r="I1409">
            <v>1.4440591370244116</v>
          </cell>
          <cell r="J1409">
            <v>2.0990515832742362</v>
          </cell>
          <cell r="K1409">
            <v>2.8600916520710618</v>
          </cell>
          <cell r="L1409">
            <v>3.723664123331405</v>
          </cell>
          <cell r="M1409">
            <v>4.6793193890030338</v>
          </cell>
          <cell r="N1409">
            <v>5.7186259899787428</v>
          </cell>
          <cell r="O1409">
            <v>6.8330910819981883</v>
          </cell>
          <cell r="P1409">
            <v>8.0061390222357254</v>
          </cell>
          <cell r="Q1409">
            <v>9.2544705040951349</v>
          </cell>
          <cell r="R1409">
            <v>10.561032076586407</v>
          </cell>
          <cell r="S1409">
            <v>11.919616849132497</v>
          </cell>
          <cell r="T1409">
            <v>13.323949932319223</v>
          </cell>
          <cell r="U1409">
            <v>14.768184706229203</v>
          </cell>
          <cell r="V1409">
            <v>16.25788852861745</v>
          </cell>
          <cell r="W1409">
            <v>17.783322062873253</v>
          </cell>
          <cell r="X1409">
            <v>19.340687193852556</v>
          </cell>
          <cell r="Y1409">
            <v>20.926171276343752</v>
          </cell>
          <cell r="Z1409">
            <v>22.551966767443552</v>
          </cell>
          <cell r="AA1409">
            <v>24.188681455595074</v>
          </cell>
          <cell r="AB1409">
            <v>25.843530577966266</v>
          </cell>
          <cell r="AC1409">
            <v>27.514303477208358</v>
          </cell>
          <cell r="AD1409">
            <v>29.199303312530823</v>
          </cell>
          <cell r="AE1409">
            <v>30.955185425858666</v>
          </cell>
          <cell r="AF1409">
            <v>32.707803480578647</v>
          </cell>
          <cell r="AG1409">
            <v>34.476385101761295</v>
          </cell>
          <cell r="AH1409">
            <v>36.258674049577252</v>
          </cell>
          <cell r="AI1409">
            <v>38.053123132041947</v>
          </cell>
          <cell r="AJ1409">
            <v>39.858444918504432</v>
          </cell>
          <cell r="AK1409">
            <v>41.671350528945752</v>
          </cell>
          <cell r="AL1409">
            <v>43.49185228224426</v>
          </cell>
          <cell r="AM1409">
            <v>45.319017063749257</v>
          </cell>
          <cell r="AN1409">
            <v>47.152170051802166</v>
          </cell>
          <cell r="AO1409">
            <v>48.990788608466261</v>
          </cell>
          <cell r="AP1409">
            <v>50.836253090443883</v>
          </cell>
          <cell r="AQ1409">
            <v>52.683860876101377</v>
          </cell>
          <cell r="AR1409">
            <v>54.531525477082241</v>
          </cell>
          <cell r="AS1409">
            <v>56.378236485696263</v>
          </cell>
          <cell r="AT1409">
            <v>58.223438628316785</v>
          </cell>
          <cell r="AU1409">
            <v>60.063943897564577</v>
          </cell>
          <cell r="AV1409">
            <v>61.900931433847781</v>
          </cell>
          <cell r="AW1409">
            <v>63.73424664976308</v>
          </cell>
          <cell r="AX1409">
            <v>65.5640313625685</v>
          </cell>
          <cell r="AY1409">
            <v>67.390581618524607</v>
          </cell>
          <cell r="AZ1409">
            <v>69.2026427902303</v>
          </cell>
          <cell r="BA1409">
            <v>71.006609467499374</v>
          </cell>
          <cell r="BB1409">
            <v>72.802696012433572</v>
          </cell>
          <cell r="BC1409">
            <v>74.591726512910512</v>
          </cell>
          <cell r="BD1409">
            <v>76.374675508136718</v>
          </cell>
          <cell r="BE1409">
            <v>78.146779775312027</v>
          </cell>
          <cell r="BF1409">
            <v>79.911753223194012</v>
          </cell>
          <cell r="BG1409">
            <v>81.670248303055615</v>
          </cell>
          <cell r="BH1409">
            <v>83.423233603389889</v>
          </cell>
          <cell r="BI1409">
            <v>85.171722291915486</v>
          </cell>
        </row>
        <row r="1410">
          <cell r="C1410" t="str">
            <v>PIB</v>
          </cell>
          <cell r="E1410" t="str">
            <v>GDP_2</v>
          </cell>
          <cell r="F1410">
            <v>2197903.673</v>
          </cell>
          <cell r="G1410">
            <v>2187714.1850000001</v>
          </cell>
          <cell r="H1410">
            <v>2208701.9180000001</v>
          </cell>
          <cell r="I1410">
            <v>2232191.4360000002</v>
          </cell>
          <cell r="J1410">
            <v>2258646.5699999998</v>
          </cell>
          <cell r="K1410">
            <v>2287777.0920000002</v>
          </cell>
          <cell r="L1410">
            <v>2317652.4840000002</v>
          </cell>
          <cell r="M1410">
            <v>2349095.7379999999</v>
          </cell>
          <cell r="N1410">
            <v>2381914.0699999998</v>
          </cell>
          <cell r="O1410">
            <v>2415933.767</v>
          </cell>
          <cell r="P1410">
            <v>2453668.7540000002</v>
          </cell>
          <cell r="Q1410">
            <v>2490201.2239999999</v>
          </cell>
          <cell r="R1410">
            <v>2527337.5299999998</v>
          </cell>
          <cell r="S1410">
            <v>2564988.3640000001</v>
          </cell>
          <cell r="T1410">
            <v>2603104.6710000001</v>
          </cell>
          <cell r="U1410">
            <v>2641662.6060000001</v>
          </cell>
          <cell r="V1410">
            <v>2680496.1320000002</v>
          </cell>
          <cell r="W1410">
            <v>2719748.6179999998</v>
          </cell>
          <cell r="X1410">
            <v>2759438.2519999999</v>
          </cell>
          <cell r="Y1410">
            <v>2799589.2949999999</v>
          </cell>
          <cell r="Z1410">
            <v>2838253.5329999998</v>
          </cell>
          <cell r="AA1410">
            <v>2878855.4619999998</v>
          </cell>
          <cell r="AB1410">
            <v>2920099.47</v>
          </cell>
          <cell r="AC1410">
            <v>2962004.7</v>
          </cell>
          <cell r="AD1410">
            <v>3004578.3849999998</v>
          </cell>
          <cell r="AE1410">
            <v>3042147.4569999999</v>
          </cell>
          <cell r="AF1410">
            <v>3081856.9419999998</v>
          </cell>
          <cell r="AG1410">
            <v>3121781.9849999999</v>
          </cell>
          <cell r="AH1410">
            <v>3162060.1919999998</v>
          </cell>
          <cell r="AI1410">
            <v>3202796.5109999999</v>
          </cell>
          <cell r="AJ1410">
            <v>3244071.8139999998</v>
          </cell>
          <cell r="AK1410">
            <v>3285980.4219999998</v>
          </cell>
          <cell r="AL1410">
            <v>3328530.736</v>
          </cell>
          <cell r="AM1410">
            <v>3371744.642</v>
          </cell>
          <cell r="AN1410">
            <v>3415632.3470000001</v>
          </cell>
          <cell r="AO1410">
            <v>3460197.1269999999</v>
          </cell>
          <cell r="AP1410">
            <v>3504394.1260000002</v>
          </cell>
          <cell r="AQ1410">
            <v>3548924.1519999998</v>
          </cell>
          <cell r="AR1410">
            <v>3593849.787</v>
          </cell>
          <cell r="AS1410">
            <v>3639227.81</v>
          </cell>
          <cell r="AT1410">
            <v>3685108.76</v>
          </cell>
          <cell r="AU1410">
            <v>3731586.665</v>
          </cell>
          <cell r="AV1410">
            <v>3778653.7239999999</v>
          </cell>
          <cell r="AW1410">
            <v>3826333.8059999999</v>
          </cell>
          <cell r="AX1410">
            <v>3874642.2510000002</v>
          </cell>
          <cell r="AY1410">
            <v>3923588.642</v>
          </cell>
          <cell r="AZ1410">
            <v>3973475.8319999999</v>
          </cell>
          <cell r="BA1410">
            <v>4024079.27</v>
          </cell>
          <cell r="BB1410">
            <v>4075390.8229999999</v>
          </cell>
          <cell r="BC1410">
            <v>4127399.7629999998</v>
          </cell>
          <cell r="BD1410">
            <v>4180097.85</v>
          </cell>
          <cell r="BE1410">
            <v>4233589.6189999999</v>
          </cell>
          <cell r="BF1410">
            <v>4287785.574</v>
          </cell>
          <cell r="BG1410">
            <v>4342684.7709999997</v>
          </cell>
          <cell r="BH1410">
            <v>4398287.318</v>
          </cell>
          <cell r="BI1410">
            <v>4454596.34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-4.4799031151399049E-8</v>
          </cell>
          <cell r="J1411">
            <v>0</v>
          </cell>
          <cell r="K1411">
            <v>0</v>
          </cell>
          <cell r="L1411">
            <v>0</v>
          </cell>
          <cell r="M1411">
            <v>4.256957009118878E-8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3.0432301123539673E-8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  <cell r="AP1411">
            <v>2.8535618312730548E-8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1178064.0930000001</v>
          </cell>
          <cell r="G1412">
            <v>1217089.7749999999</v>
          </cell>
          <cell r="H1412">
            <v>1255357.338</v>
          </cell>
          <cell r="I1412">
            <v>1293943.4010000001</v>
          </cell>
          <cell r="J1412">
            <v>1334628.3689999999</v>
          </cell>
          <cell r="K1412">
            <v>1378095.35</v>
          </cell>
          <cell r="L1412">
            <v>1423127.155</v>
          </cell>
          <cell r="M1412">
            <v>1471016.871</v>
          </cell>
          <cell r="N1412">
            <v>1521713.121</v>
          </cell>
          <cell r="O1412">
            <v>1575211.0589999999</v>
          </cell>
          <cell r="P1412">
            <v>1634125.611</v>
          </cell>
          <cell r="Q1412">
            <v>1693444.1229999999</v>
          </cell>
          <cell r="R1412">
            <v>1755690.074</v>
          </cell>
          <cell r="S1412">
            <v>1820846.9950000001</v>
          </cell>
          <cell r="T1412">
            <v>1888920.683</v>
          </cell>
          <cell r="U1412">
            <v>1959913.274</v>
          </cell>
          <cell r="V1412">
            <v>2033822.17</v>
          </cell>
          <cell r="W1412">
            <v>2110618.6839999999</v>
          </cell>
          <cell r="X1412">
            <v>2190285.6609999998</v>
          </cell>
          <cell r="Y1412">
            <v>2272821.1460000002</v>
          </cell>
          <cell r="Z1412">
            <v>2355903.2149999999</v>
          </cell>
          <cell r="AA1412">
            <v>2444088.997</v>
          </cell>
          <cell r="AB1412">
            <v>2535174.0619999999</v>
          </cell>
          <cell r="AC1412">
            <v>2629233.699</v>
          </cell>
          <cell r="AD1412">
            <v>2726329.9509999999</v>
          </cell>
          <cell r="AE1412">
            <v>2819075.906</v>
          </cell>
          <cell r="AF1412">
            <v>2918443.8319999999</v>
          </cell>
          <cell r="AG1412">
            <v>3020679.628</v>
          </cell>
          <cell r="AH1412">
            <v>3125936.89</v>
          </cell>
          <cell r="AI1412">
            <v>3234336.824</v>
          </cell>
          <cell r="AJ1412">
            <v>3346001.4219999998</v>
          </cell>
          <cell r="AK1412">
            <v>3461067.4410000001</v>
          </cell>
          <cell r="AL1412">
            <v>3579697.9649999999</v>
          </cell>
          <cell r="AM1412">
            <v>3702072.2439999999</v>
          </cell>
          <cell r="AN1412">
            <v>3828379.0959999999</v>
          </cell>
          <cell r="AO1412">
            <v>3958814.8939999999</v>
          </cell>
          <cell r="AP1412">
            <v>4091336.523</v>
          </cell>
          <cell r="AQ1412">
            <v>4228221.2019999996</v>
          </cell>
          <cell r="AR1412">
            <v>4369670.4759999998</v>
          </cell>
          <cell r="AS1412">
            <v>4515883.2290000003</v>
          </cell>
          <cell r="AT1412">
            <v>4667051.8530000001</v>
          </cell>
          <cell r="AU1412">
            <v>4823363.9610000001</v>
          </cell>
          <cell r="AV1412">
            <v>4985022.091</v>
          </cell>
          <cell r="AW1412">
            <v>5152236.6619999995</v>
          </cell>
          <cell r="AX1412">
            <v>5325219.5460000001</v>
          </cell>
          <cell r="AY1412">
            <v>5504187.3020000001</v>
          </cell>
          <cell r="AZ1412">
            <v>5689588.8689999999</v>
          </cell>
          <cell r="BA1412">
            <v>5881455.1720000003</v>
          </cell>
          <cell r="BB1412">
            <v>6080050.8959999997</v>
          </cell>
          <cell r="BC1412">
            <v>6285613.9869999997</v>
          </cell>
          <cell r="BD1412">
            <v>6498375.2199999997</v>
          </cell>
          <cell r="BE1412">
            <v>6718556.6550000003</v>
          </cell>
          <cell r="BF1412">
            <v>6946410.7920000004</v>
          </cell>
          <cell r="BG1412">
            <v>7182203.8300000001</v>
          </cell>
          <cell r="BH1412">
            <v>7426189.0439999998</v>
          </cell>
          <cell r="BI1412">
            <v>7678619.0750000002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1009816.572</v>
          </cell>
          <cell r="G1413">
            <v>1027513.517</v>
          </cell>
          <cell r="H1413">
            <v>1048439.648</v>
          </cell>
          <cell r="I1413">
            <v>1071634.5490000001</v>
          </cell>
          <cell r="J1413">
            <v>1097536.3119999999</v>
          </cell>
          <cell r="K1413">
            <v>1126436.068</v>
          </cell>
          <cell r="L1413">
            <v>1157766.334</v>
          </cell>
          <cell r="M1413">
            <v>1191811.703</v>
          </cell>
          <cell r="N1413">
            <v>1228581.3589999999</v>
          </cell>
          <cell r="O1413">
            <v>1268053.9569999999</v>
          </cell>
          <cell r="P1413">
            <v>1311475.8230000001</v>
          </cell>
          <cell r="Q1413">
            <v>1356978.963</v>
          </cell>
          <cell r="R1413">
            <v>1404911.9820000001</v>
          </cell>
          <cell r="S1413">
            <v>1455221.99</v>
          </cell>
          <cell r="T1413">
            <v>1507875.0060000001</v>
          </cell>
          <cell r="U1413">
            <v>1562846.922</v>
          </cell>
          <cell r="V1413">
            <v>1620046.08</v>
          </cell>
          <cell r="W1413">
            <v>1679465.8770000001</v>
          </cell>
          <cell r="X1413">
            <v>1741092.56</v>
          </cell>
          <cell r="Y1413">
            <v>1804913.0319999999</v>
          </cell>
          <cell r="Z1413">
            <v>1869747.024</v>
          </cell>
          <cell r="AA1413">
            <v>1937184.68</v>
          </cell>
          <cell r="AB1413">
            <v>2006887.844</v>
          </cell>
          <cell r="AC1413">
            <v>2078877.1270000001</v>
          </cell>
          <cell r="AD1413">
            <v>2153164.949</v>
          </cell>
          <cell r="AE1413">
            <v>2226023.9950000001</v>
          </cell>
          <cell r="AF1413">
            <v>2300813.4849999999</v>
          </cell>
          <cell r="AG1413">
            <v>2377092.6869999999</v>
          </cell>
          <cell r="AH1413">
            <v>2455057.5920000002</v>
          </cell>
          <cell r="AI1413">
            <v>2534887.9739999999</v>
          </cell>
          <cell r="AJ1413">
            <v>2616747.9160000002</v>
          </cell>
          <cell r="AK1413">
            <v>2700809.93</v>
          </cell>
          <cell r="AL1413">
            <v>2787211.9530000002</v>
          </cell>
          <cell r="AM1413">
            <v>2876088.4079999998</v>
          </cell>
          <cell r="AN1413">
            <v>2967571.122</v>
          </cell>
          <cell r="AO1413">
            <v>3061791.7420000001</v>
          </cell>
          <cell r="AP1413">
            <v>3157978.5669999998</v>
          </cell>
          <cell r="AQ1413">
            <v>3256606.9070000001</v>
          </cell>
          <cell r="AR1413">
            <v>3357868.7349999999</v>
          </cell>
          <cell r="AS1413">
            <v>3461972.4249999998</v>
          </cell>
          <cell r="AT1413">
            <v>3569126.3470000001</v>
          </cell>
          <cell r="AU1413">
            <v>3679566.5120000001</v>
          </cell>
          <cell r="AV1413">
            <v>3793476.0809999998</v>
          </cell>
          <cell r="AW1413">
            <v>3911030.923</v>
          </cell>
          <cell r="AX1413">
            <v>4032397.3360000001</v>
          </cell>
          <cell r="AY1413">
            <v>4157734.2590000001</v>
          </cell>
          <cell r="AZ1413">
            <v>4287447.0949999997</v>
          </cell>
          <cell r="BA1413">
            <v>4421624.3059999999</v>
          </cell>
          <cell r="BB1413">
            <v>4560400.8849999998</v>
          </cell>
          <cell r="BC1413">
            <v>4703911.0460000001</v>
          </cell>
          <cell r="BD1413">
            <v>4852291.085</v>
          </cell>
          <cell r="BE1413">
            <v>5005771.2460000003</v>
          </cell>
          <cell r="BF1413">
            <v>5164482.6689999998</v>
          </cell>
          <cell r="BG1413">
            <v>5328572.4649999999</v>
          </cell>
          <cell r="BH1413">
            <v>5498194.4610000001</v>
          </cell>
          <cell r="BI1413">
            <v>5673509.3200000003</v>
          </cell>
        </row>
        <row r="1414">
          <cell r="C1414" t="str">
            <v>Solde public</v>
          </cell>
          <cell r="E1414" t="str">
            <v>Bal_G_tot_VAL_2</v>
          </cell>
          <cell r="F1414">
            <v>-66270.453219999996</v>
          </cell>
          <cell r="G1414">
            <v>-84285.6679</v>
          </cell>
          <cell r="H1414">
            <v>-97412.816990000007</v>
          </cell>
          <cell r="I1414">
            <v>-107933.3377</v>
          </cell>
          <cell r="J1414">
            <v>-117319.87519999999</v>
          </cell>
          <cell r="K1414">
            <v>-126021.107</v>
          </cell>
          <cell r="L1414">
            <v>-133421.5895</v>
          </cell>
          <cell r="M1414">
            <v>-140594.85800000001</v>
          </cell>
          <cell r="N1414">
            <v>-147491.70910000001</v>
          </cell>
          <cell r="O1414">
            <v>-154142.46340000001</v>
          </cell>
          <cell r="P1414">
            <v>-161928.02739999999</v>
          </cell>
          <cell r="Q1414">
            <v>-167646.99650000001</v>
          </cell>
          <cell r="R1414">
            <v>-173577.57930000001</v>
          </cell>
          <cell r="S1414">
            <v>-179745.614</v>
          </cell>
          <cell r="T1414">
            <v>-186179.005</v>
          </cell>
          <cell r="U1414">
            <v>-192890.72880000001</v>
          </cell>
          <cell r="V1414">
            <v>-199955.9308</v>
          </cell>
          <cell r="W1414">
            <v>-207334.85200000001</v>
          </cell>
          <cell r="X1414">
            <v>-215008.4019</v>
          </cell>
          <cell r="Y1414">
            <v>-222972.99590000001</v>
          </cell>
          <cell r="Z1414">
            <v>-230072.42259999999</v>
          </cell>
          <cell r="AA1414">
            <v>-239316.92790000001</v>
          </cell>
          <cell r="AB1414">
            <v>-248732.9822</v>
          </cell>
          <cell r="AC1414">
            <v>-258366.68770000001</v>
          </cell>
          <cell r="AD1414">
            <v>-268256.78220000002</v>
          </cell>
          <cell r="AE1414">
            <v>-274730.85210000002</v>
          </cell>
          <cell r="AF1414">
            <v>-285572.74589999998</v>
          </cell>
          <cell r="AG1414">
            <v>-297250.70309999998</v>
          </cell>
          <cell r="AH1414">
            <v>-309680.52470000001</v>
          </cell>
          <cell r="AI1414">
            <v>-322766.05</v>
          </cell>
          <cell r="AJ1414">
            <v>-336432.4045</v>
          </cell>
          <cell r="AK1414">
            <v>-350614.78820000001</v>
          </cell>
          <cell r="AL1414">
            <v>-365312.55050000001</v>
          </cell>
          <cell r="AM1414">
            <v>-380544.74660000001</v>
          </cell>
          <cell r="AN1414">
            <v>-396341.64720000001</v>
          </cell>
          <cell r="AO1414">
            <v>-412739.74320000003</v>
          </cell>
          <cell r="AP1414">
            <v>-428437.56040000002</v>
          </cell>
          <cell r="AQ1414">
            <v>-445272.02120000002</v>
          </cell>
          <cell r="AR1414">
            <v>-463195.8665</v>
          </cell>
          <cell r="AS1414">
            <v>-482145.13510000001</v>
          </cell>
          <cell r="AT1414">
            <v>-502052.58010000002</v>
          </cell>
          <cell r="AU1414">
            <v>-522821.89439999999</v>
          </cell>
          <cell r="AV1414">
            <v>-544429.36069999996</v>
          </cell>
          <cell r="AW1414">
            <v>-566867.62159999995</v>
          </cell>
          <cell r="AX1414">
            <v>-590140.71180000005</v>
          </cell>
          <cell r="AY1414">
            <v>-614264.51</v>
          </cell>
          <cell r="AZ1414">
            <v>-639240.0148</v>
          </cell>
          <cell r="BA1414">
            <v>-664967.10580000002</v>
          </cell>
          <cell r="BB1414">
            <v>-691537.89639999997</v>
          </cell>
          <cell r="BC1414">
            <v>-719013.93130000005</v>
          </cell>
          <cell r="BD1414">
            <v>-747444.42830000003</v>
          </cell>
          <cell r="BE1414">
            <v>-776773.48049999995</v>
          </cell>
          <cell r="BF1414">
            <v>-807077.52069999999</v>
          </cell>
          <cell r="BG1414">
            <v>-838426.88699999999</v>
          </cell>
          <cell r="BH1414">
            <v>-870868.76020000002</v>
          </cell>
          <cell r="BI1414">
            <v>-904440.49490000005</v>
          </cell>
        </row>
        <row r="1415">
          <cell r="C1415" t="str">
            <v>Dette publique</v>
          </cell>
          <cell r="E1415" t="str">
            <v>DEBT_G_VAL_2</v>
          </cell>
          <cell r="F1415">
            <v>2105811.807</v>
          </cell>
          <cell r="G1415">
            <v>2190097.4750000001</v>
          </cell>
          <cell r="H1415">
            <v>2287510.2919999999</v>
          </cell>
          <cell r="I1415">
            <v>2395443.6290000002</v>
          </cell>
          <cell r="J1415">
            <v>2512763.5040000002</v>
          </cell>
          <cell r="K1415">
            <v>2638784.611</v>
          </cell>
          <cell r="L1415">
            <v>2772206.2009999999</v>
          </cell>
          <cell r="M1415">
            <v>2912801.0589999999</v>
          </cell>
          <cell r="N1415">
            <v>3060292.7680000002</v>
          </cell>
          <cell r="O1415">
            <v>3214435.2319999998</v>
          </cell>
          <cell r="P1415">
            <v>3376363.2590000001</v>
          </cell>
          <cell r="Q1415">
            <v>3544010.2549999999</v>
          </cell>
          <cell r="R1415">
            <v>3717587.835</v>
          </cell>
          <cell r="S1415">
            <v>3897333.449</v>
          </cell>
          <cell r="T1415">
            <v>4083512.4539999999</v>
          </cell>
          <cell r="U1415">
            <v>4276403.1830000002</v>
          </cell>
          <cell r="V1415">
            <v>4476359.1129999999</v>
          </cell>
          <cell r="W1415">
            <v>4683693.9649999999</v>
          </cell>
          <cell r="X1415">
            <v>4898702.3669999996</v>
          </cell>
          <cell r="Y1415">
            <v>5121675.3629999999</v>
          </cell>
          <cell r="Z1415">
            <v>5351747.7860000003</v>
          </cell>
          <cell r="AA1415">
            <v>5591064.7139999997</v>
          </cell>
          <cell r="AB1415">
            <v>5839797.6960000005</v>
          </cell>
          <cell r="AC1415">
            <v>6098164.3839999996</v>
          </cell>
          <cell r="AD1415">
            <v>6366421.1660000002</v>
          </cell>
          <cell r="AE1415">
            <v>6641152.0180000002</v>
          </cell>
          <cell r="AF1415">
            <v>6926724.7640000004</v>
          </cell>
          <cell r="AG1415">
            <v>7223975.4670000002</v>
          </cell>
          <cell r="AH1415">
            <v>7533655.9919999996</v>
          </cell>
          <cell r="AI1415">
            <v>7856422.0420000004</v>
          </cell>
          <cell r="AJ1415">
            <v>8192854.4460000005</v>
          </cell>
          <cell r="AK1415">
            <v>8543469.2339999992</v>
          </cell>
          <cell r="AL1415">
            <v>8908781.7850000001</v>
          </cell>
          <cell r="AM1415">
            <v>9289326.5309999995</v>
          </cell>
          <cell r="AN1415">
            <v>9685668.1789999995</v>
          </cell>
          <cell r="AO1415">
            <v>10098407.92</v>
          </cell>
          <cell r="AP1415">
            <v>10526845.48</v>
          </cell>
          <cell r="AQ1415">
            <v>10972117.5</v>
          </cell>
          <cell r="AR1415">
            <v>11435313.369999999</v>
          </cell>
          <cell r="AS1415">
            <v>11917458.5</v>
          </cell>
          <cell r="AT1415">
            <v>12419511.09</v>
          </cell>
          <cell r="AU1415">
            <v>12942332.98</v>
          </cell>
          <cell r="AV1415">
            <v>13486762.34</v>
          </cell>
          <cell r="AW1415">
            <v>14053629.960000001</v>
          </cell>
          <cell r="AX1415">
            <v>14643770.67</v>
          </cell>
          <cell r="AY1415">
            <v>15258035.18</v>
          </cell>
          <cell r="AZ1415">
            <v>15897275.199999999</v>
          </cell>
          <cell r="BA1415">
            <v>16562242.300000001</v>
          </cell>
          <cell r="BB1415">
            <v>17253780.199999999</v>
          </cell>
          <cell r="BC1415">
            <v>17972794.129999999</v>
          </cell>
          <cell r="BD1415">
            <v>18720238.559999999</v>
          </cell>
          <cell r="BE1415">
            <v>19497012.039999999</v>
          </cell>
          <cell r="BF1415">
            <v>20304089.559999999</v>
          </cell>
          <cell r="BG1415">
            <v>21142516.449999999</v>
          </cell>
          <cell r="BH1415">
            <v>22013385.210000001</v>
          </cell>
          <cell r="BI1415">
            <v>22917825.699999999</v>
          </cell>
        </row>
        <row r="1434">
          <cell r="F1434">
            <v>27354.733520000002</v>
          </cell>
          <cell r="G1434">
            <v>27147.44313</v>
          </cell>
          <cell r="H1434">
            <v>26980.34518</v>
          </cell>
          <cell r="I1434">
            <v>26875.222119999999</v>
          </cell>
          <cell r="J1434">
            <v>26829.34966</v>
          </cell>
          <cell r="K1434">
            <v>26833.81439</v>
          </cell>
          <cell r="L1434">
            <v>26867.899649999999</v>
          </cell>
          <cell r="M1434">
            <v>26924.19269</v>
          </cell>
          <cell r="N1434">
            <v>26996.847979999999</v>
          </cell>
          <cell r="O1434">
            <v>27081.073339999999</v>
          </cell>
          <cell r="P1434">
            <v>27190.28181</v>
          </cell>
          <cell r="Q1434">
            <v>27299.998009999999</v>
          </cell>
          <cell r="R1434">
            <v>27407.49972</v>
          </cell>
          <cell r="S1434">
            <v>27511.721839999998</v>
          </cell>
          <cell r="T1434">
            <v>27612.23371</v>
          </cell>
          <cell r="U1434">
            <v>27708.965390000001</v>
          </cell>
          <cell r="V1434">
            <v>27801.307349999999</v>
          </cell>
          <cell r="W1434">
            <v>27889.76845</v>
          </cell>
          <cell r="X1434">
            <v>27974.96414</v>
          </cell>
          <cell r="Y1434">
            <v>28057.501319999999</v>
          </cell>
          <cell r="Z1434">
            <v>28126.529920000001</v>
          </cell>
          <cell r="AA1434">
            <v>28196.077379999999</v>
          </cell>
          <cell r="AB1434">
            <v>28266.918689999999</v>
          </cell>
          <cell r="AC1434">
            <v>28339.099330000001</v>
          </cell>
          <cell r="AD1434">
            <v>28412.509979999999</v>
          </cell>
          <cell r="AE1434">
            <v>28456.042990000002</v>
          </cell>
          <cell r="AF1434">
            <v>28492.010310000001</v>
          </cell>
          <cell r="AG1434">
            <v>28523.86507</v>
          </cell>
          <cell r="AH1434">
            <v>28553.72208</v>
          </cell>
          <cell r="AI1434">
            <v>28583.059410000002</v>
          </cell>
          <cell r="AJ1434">
            <v>28612.90884</v>
          </cell>
          <cell r="AK1434">
            <v>28644.076710000001</v>
          </cell>
          <cell r="AL1434">
            <v>28676.914700000001</v>
          </cell>
          <cell r="AM1434">
            <v>28711.54232</v>
          </cell>
          <cell r="AN1434">
            <v>28747.923579999999</v>
          </cell>
          <cell r="AO1434">
            <v>28785.924950000001</v>
          </cell>
          <cell r="AP1434">
            <v>28819.916000000001</v>
          </cell>
          <cell r="AQ1434">
            <v>28850.696390000001</v>
          </cell>
          <cell r="AR1434">
            <v>28879.201120000002</v>
          </cell>
          <cell r="AS1434">
            <v>28906.235290000001</v>
          </cell>
          <cell r="AT1434">
            <v>28932.433789999999</v>
          </cell>
          <cell r="AU1434">
            <v>28958.43046</v>
          </cell>
          <cell r="AV1434">
            <v>28984.525900000001</v>
          </cell>
          <cell r="AW1434">
            <v>29010.88435</v>
          </cell>
          <cell r="AX1434">
            <v>29037.573919999999</v>
          </cell>
          <cell r="AY1434">
            <v>29064.594150000001</v>
          </cell>
          <cell r="AZ1434">
            <v>29092.928240000001</v>
          </cell>
          <cell r="BA1434">
            <v>29122.333579999999</v>
          </cell>
          <cell r="BB1434">
            <v>29152.49857</v>
          </cell>
          <cell r="BC1434">
            <v>29183.139299999999</v>
          </cell>
          <cell r="BD1434">
            <v>29214.02188</v>
          </cell>
          <cell r="BE1434">
            <v>29245.256829999998</v>
          </cell>
          <cell r="BF1434">
            <v>29276.674879999999</v>
          </cell>
          <cell r="BG1434">
            <v>29308.12269</v>
          </cell>
          <cell r="BH1434">
            <v>29339.488560000002</v>
          </cell>
          <cell r="BI1434">
            <v>29370.70147</v>
          </cell>
        </row>
        <row r="1435">
          <cell r="F1435">
            <v>759.82560709999996</v>
          </cell>
          <cell r="G1435">
            <v>748.66465500000004</v>
          </cell>
          <cell r="H1435">
            <v>738.91135010000005</v>
          </cell>
          <cell r="I1435">
            <v>731.59887990000004</v>
          </cell>
          <cell r="J1435">
            <v>726.79436940000005</v>
          </cell>
          <cell r="K1435">
            <v>724.23163969999996</v>
          </cell>
          <cell r="L1435">
            <v>723.25627440000005</v>
          </cell>
          <cell r="M1435">
            <v>723.47979769999995</v>
          </cell>
          <cell r="N1435">
            <v>724.57901300000003</v>
          </cell>
          <cell r="O1435">
            <v>726.28857779999998</v>
          </cell>
          <cell r="P1435">
            <v>728.81586170000003</v>
          </cell>
          <cell r="Q1435">
            <v>731.51592059999996</v>
          </cell>
          <cell r="R1435">
            <v>734.22329490000004</v>
          </cell>
          <cell r="S1435">
            <v>736.85078329999999</v>
          </cell>
          <cell r="T1435">
            <v>739.35159780000004</v>
          </cell>
          <cell r="U1435">
            <v>741.70489320000001</v>
          </cell>
          <cell r="V1435">
            <v>743.87378799999999</v>
          </cell>
          <cell r="W1435">
            <v>745.87534010000002</v>
          </cell>
          <cell r="X1435">
            <v>747.7314963</v>
          </cell>
          <cell r="Y1435">
            <v>749.46474269999999</v>
          </cell>
          <cell r="Z1435">
            <v>750.82194600000003</v>
          </cell>
          <cell r="AA1435">
            <v>752.11369009999999</v>
          </cell>
          <cell r="AB1435">
            <v>753.39275139999995</v>
          </cell>
          <cell r="AC1435">
            <v>754.67952760000003</v>
          </cell>
          <cell r="AD1435">
            <v>755.9820886</v>
          </cell>
          <cell r="AE1435">
            <v>756.56162229999995</v>
          </cell>
          <cell r="AF1435">
            <v>756.86577910000005</v>
          </cell>
          <cell r="AG1435">
            <v>757.00776529999996</v>
          </cell>
          <cell r="AH1435">
            <v>757.06564949999995</v>
          </cell>
          <cell r="AI1435">
            <v>757.09814259999996</v>
          </cell>
          <cell r="AJ1435">
            <v>757.14806090000002</v>
          </cell>
          <cell r="AK1435">
            <v>757.25016500000004</v>
          </cell>
          <cell r="AL1435">
            <v>757.41990559999999</v>
          </cell>
          <cell r="AM1435">
            <v>757.66371430000004</v>
          </cell>
          <cell r="AN1435">
            <v>757.98180149999996</v>
          </cell>
          <cell r="AO1435">
            <v>758.37038930000006</v>
          </cell>
          <cell r="AP1435">
            <v>758.7171462</v>
          </cell>
          <cell r="AQ1435">
            <v>759.01080909999996</v>
          </cell>
          <cell r="AR1435">
            <v>759.26188709999997</v>
          </cell>
          <cell r="AS1435">
            <v>759.48750580000001</v>
          </cell>
          <cell r="AT1435">
            <v>759.70513359999995</v>
          </cell>
          <cell r="AU1435">
            <v>759.9369921</v>
          </cell>
          <cell r="AV1435">
            <v>760.19258339999999</v>
          </cell>
          <cell r="AW1435">
            <v>760.47756930000003</v>
          </cell>
          <cell r="AX1435">
            <v>760.79442930000005</v>
          </cell>
          <cell r="AY1435">
            <v>761.14310680000006</v>
          </cell>
          <cell r="AZ1435">
            <v>761.55693489999999</v>
          </cell>
          <cell r="BA1435">
            <v>762.02681429999996</v>
          </cell>
          <cell r="BB1435">
            <v>762.54152680000004</v>
          </cell>
          <cell r="BC1435">
            <v>763.09055839999996</v>
          </cell>
          <cell r="BD1435">
            <v>763.66481699999997</v>
          </cell>
          <cell r="BE1435">
            <v>764.27017620000004</v>
          </cell>
          <cell r="BF1435">
            <v>764.89779550000003</v>
          </cell>
          <cell r="BG1435">
            <v>765.5403556</v>
          </cell>
          <cell r="BH1435">
            <v>766.19244270000002</v>
          </cell>
          <cell r="BI1435">
            <v>766.85027360000004</v>
          </cell>
        </row>
        <row r="1438">
          <cell r="F1438">
            <v>4363.0357560000002</v>
          </cell>
          <cell r="G1438">
            <v>4309.9971429999996</v>
          </cell>
          <cell r="H1438">
            <v>4271.280272</v>
          </cell>
          <cell r="I1438">
            <v>4247.30854</v>
          </cell>
          <cell r="J1438">
            <v>4235.7084850000001</v>
          </cell>
          <cell r="K1438">
            <v>4233.7889729999997</v>
          </cell>
          <cell r="L1438">
            <v>4237.6847070000003</v>
          </cell>
          <cell r="M1438">
            <v>4245.5550899999998</v>
          </cell>
          <cell r="N1438">
            <v>4256.11942</v>
          </cell>
          <cell r="O1438">
            <v>4268.4654270000001</v>
          </cell>
          <cell r="P1438">
            <v>4284.255314</v>
          </cell>
          <cell r="Q1438">
            <v>4300.2895390000003</v>
          </cell>
          <cell r="R1438">
            <v>4316.0722079999996</v>
          </cell>
          <cell r="S1438">
            <v>4331.4106179999999</v>
          </cell>
          <cell r="T1438">
            <v>4346.2429089999996</v>
          </cell>
          <cell r="U1438">
            <v>4360.577808</v>
          </cell>
          <cell r="V1438">
            <v>4374.2737379999999</v>
          </cell>
          <cell r="W1438">
            <v>4387.4689500000004</v>
          </cell>
          <cell r="X1438">
            <v>4400.306259</v>
          </cell>
          <cell r="Y1438">
            <v>4412.9183540000004</v>
          </cell>
          <cell r="Z1438">
            <v>4423.9052830000001</v>
          </cell>
          <cell r="AA1438">
            <v>4435.0146109999996</v>
          </cell>
          <cell r="AB1438">
            <v>4446.4770490000001</v>
          </cell>
          <cell r="AC1438">
            <v>4458.3709449999997</v>
          </cell>
          <cell r="AD1438">
            <v>4470.7181810000002</v>
          </cell>
          <cell r="AE1438">
            <v>4479.4107610000001</v>
          </cell>
          <cell r="AF1438">
            <v>4487.0033480000002</v>
          </cell>
          <cell r="AG1438">
            <v>4494.0016820000001</v>
          </cell>
          <cell r="AH1438">
            <v>4500.7285849999998</v>
          </cell>
          <cell r="AI1438">
            <v>4507.4073179999996</v>
          </cell>
          <cell r="AJ1438">
            <v>4514.1890050000002</v>
          </cell>
          <cell r="AK1438">
            <v>4521.2016460000004</v>
          </cell>
          <cell r="AL1438">
            <v>4528.4824410000001</v>
          </cell>
          <cell r="AM1438">
            <v>4536.0336719999996</v>
          </cell>
          <cell r="AN1438">
            <v>4543.8334279999999</v>
          </cell>
          <cell r="AO1438">
            <v>4551.8439440000002</v>
          </cell>
          <cell r="AP1438">
            <v>4559.4364919999998</v>
          </cell>
          <cell r="AQ1438">
            <v>4566.5418019999997</v>
          </cell>
          <cell r="AR1438">
            <v>4573.1870779999999</v>
          </cell>
          <cell r="AS1438">
            <v>4579.4284340000004</v>
          </cell>
          <cell r="AT1438">
            <v>4585.3242989999999</v>
          </cell>
          <cell r="AU1438">
            <v>4590.9665670000004</v>
          </cell>
          <cell r="AV1438">
            <v>4596.3817630000003</v>
          </cell>
          <cell r="AW1438">
            <v>4601.5845769999996</v>
          </cell>
          <cell r="AX1438">
            <v>4606.5809509999999</v>
          </cell>
          <cell r="AY1438">
            <v>4611.3703219999998</v>
          </cell>
          <cell r="AZ1438">
            <v>4616.1492150000004</v>
          </cell>
          <cell r="BA1438">
            <v>4620.8722710000002</v>
          </cell>
          <cell r="BB1438">
            <v>4625.4887689999996</v>
          </cell>
          <cell r="BC1438">
            <v>4629.9560119999996</v>
          </cell>
          <cell r="BD1438">
            <v>4634.2420689999999</v>
          </cell>
          <cell r="BE1438">
            <v>4638.402685</v>
          </cell>
          <cell r="BF1438">
            <v>4642.4071299999996</v>
          </cell>
          <cell r="BG1438">
            <v>4646.2336379999997</v>
          </cell>
          <cell r="BH1438">
            <v>4649.8712420000002</v>
          </cell>
          <cell r="BI1438">
            <v>4653.3182040000002</v>
          </cell>
        </row>
        <row r="1450">
          <cell r="F1450">
            <v>867.53051070000004</v>
          </cell>
          <cell r="G1450">
            <v>857.15660349999996</v>
          </cell>
          <cell r="H1450">
            <v>849.23356120000005</v>
          </cell>
          <cell r="I1450">
            <v>843.96580940000001</v>
          </cell>
          <cell r="J1450">
            <v>840.93567670000004</v>
          </cell>
          <cell r="K1450">
            <v>839.67095800000004</v>
          </cell>
          <cell r="L1450">
            <v>839.44314210000005</v>
          </cell>
          <cell r="M1450">
            <v>839.95176030000005</v>
          </cell>
          <cell r="N1450">
            <v>840.97381700000005</v>
          </cell>
          <cell r="O1450">
            <v>842.33296199999995</v>
          </cell>
          <cell r="P1450">
            <v>844.3768278</v>
          </cell>
          <cell r="Q1450">
            <v>846.38181789999999</v>
          </cell>
          <cell r="R1450">
            <v>848.25689590000002</v>
          </cell>
          <cell r="S1450">
            <v>849.97163929999999</v>
          </cell>
          <cell r="T1450">
            <v>851.51666729999999</v>
          </cell>
          <cell r="U1450">
            <v>852.89438800000005</v>
          </cell>
          <cell r="V1450">
            <v>854.07945229999996</v>
          </cell>
          <cell r="W1450">
            <v>855.10035289999996</v>
          </cell>
          <cell r="X1450">
            <v>855.98633280000001</v>
          </cell>
          <cell r="Y1450">
            <v>856.76440439999999</v>
          </cell>
          <cell r="Z1450">
            <v>857.14045020000003</v>
          </cell>
          <cell r="AA1450">
            <v>857.51360539999996</v>
          </cell>
          <cell r="AB1450">
            <v>857.91764000000001</v>
          </cell>
          <cell r="AC1450">
            <v>858.35805070000004</v>
          </cell>
          <cell r="AD1450">
            <v>858.83499659999995</v>
          </cell>
          <cell r="AE1450">
            <v>858.48856000000001</v>
          </cell>
          <cell r="AF1450">
            <v>857.94585400000005</v>
          </cell>
          <cell r="AG1450">
            <v>857.31779240000003</v>
          </cell>
          <cell r="AH1450">
            <v>856.66668930000003</v>
          </cell>
          <cell r="AI1450">
            <v>856.03496419999999</v>
          </cell>
          <cell r="AJ1450">
            <v>855.45191560000001</v>
          </cell>
          <cell r="AK1450">
            <v>854.94262849999996</v>
          </cell>
          <cell r="AL1450">
            <v>854.51497619999998</v>
          </cell>
          <cell r="AM1450">
            <v>854.17039590000002</v>
          </cell>
          <cell r="AN1450">
            <v>853.90601819999995</v>
          </cell>
          <cell r="AO1450">
            <v>853.71625489999997</v>
          </cell>
          <cell r="AP1450">
            <v>853.46649060000004</v>
          </cell>
          <cell r="AQ1450">
            <v>853.16510419999997</v>
          </cell>
          <cell r="AR1450">
            <v>852.83201340000005</v>
          </cell>
          <cell r="AS1450">
            <v>852.48621449999996</v>
          </cell>
          <cell r="AT1450">
            <v>852.14317240000003</v>
          </cell>
          <cell r="AU1450">
            <v>851.82219929999997</v>
          </cell>
          <cell r="AV1450">
            <v>851.52864279999994</v>
          </cell>
          <cell r="AW1450">
            <v>851.26481450000006</v>
          </cell>
          <cell r="AX1450">
            <v>851.03089450000004</v>
          </cell>
          <cell r="AY1450">
            <v>850.82548259999999</v>
          </cell>
          <cell r="AZ1450">
            <v>850.68501379999998</v>
          </cell>
          <cell r="BA1450">
            <v>850.59635730000002</v>
          </cell>
          <cell r="BB1450">
            <v>850.54629379999994</v>
          </cell>
          <cell r="BC1450">
            <v>850.52406810000002</v>
          </cell>
          <cell r="BD1450">
            <v>850.52141080000001</v>
          </cell>
          <cell r="BE1450">
            <v>850.54649240000003</v>
          </cell>
          <cell r="BF1450">
            <v>850.59068769999999</v>
          </cell>
          <cell r="BG1450">
            <v>850.64720829999999</v>
          </cell>
          <cell r="BH1450">
            <v>850.71146420000002</v>
          </cell>
          <cell r="BI1450">
            <v>850.78062910000006</v>
          </cell>
        </row>
        <row r="1455">
          <cell r="F1455">
            <v>21259.450089999998</v>
          </cell>
          <cell r="G1455">
            <v>21127.915140000001</v>
          </cell>
          <cell r="H1455">
            <v>21018.48186</v>
          </cell>
          <cell r="I1455">
            <v>20951.075959999998</v>
          </cell>
          <cell r="J1455">
            <v>20925.628390000002</v>
          </cell>
          <cell r="K1455">
            <v>20936.637220000001</v>
          </cell>
          <cell r="L1455">
            <v>20968.67872</v>
          </cell>
          <cell r="M1455">
            <v>21016.895369999998</v>
          </cell>
          <cell r="N1455">
            <v>21077.294679999999</v>
          </cell>
          <cell r="O1455">
            <v>21146.464540000001</v>
          </cell>
          <cell r="P1455">
            <v>21235.574140000001</v>
          </cell>
          <cell r="Q1455">
            <v>21324.79567</v>
          </cell>
          <cell r="R1455">
            <v>21412.178929999998</v>
          </cell>
          <cell r="S1455">
            <v>21496.976030000002</v>
          </cell>
          <cell r="T1455">
            <v>21578.876919999999</v>
          </cell>
          <cell r="U1455">
            <v>21657.822039999999</v>
          </cell>
          <cell r="V1455">
            <v>21733.409179999999</v>
          </cell>
          <cell r="W1455">
            <v>21805.961569999999</v>
          </cell>
          <cell r="X1455">
            <v>21875.897799999999</v>
          </cell>
          <cell r="Y1455">
            <v>21943.639599999999</v>
          </cell>
          <cell r="Z1455">
            <v>22000.31308</v>
          </cell>
          <cell r="AA1455">
            <v>22057.449379999998</v>
          </cell>
          <cell r="AB1455">
            <v>22115.499830000001</v>
          </cell>
          <cell r="AC1455">
            <v>22174.404689999999</v>
          </cell>
          <cell r="AD1455">
            <v>22234.0245</v>
          </cell>
          <cell r="AE1455">
            <v>22269.043229999999</v>
          </cell>
          <cell r="AF1455">
            <v>22298.084790000001</v>
          </cell>
          <cell r="AG1455">
            <v>22323.856199999998</v>
          </cell>
          <cell r="AH1455">
            <v>22348.00171</v>
          </cell>
          <cell r="AI1455">
            <v>22371.670969999999</v>
          </cell>
          <cell r="AJ1455">
            <v>22395.670099999999</v>
          </cell>
          <cell r="AK1455">
            <v>22420.615549999999</v>
          </cell>
          <cell r="AL1455">
            <v>22446.797879999998</v>
          </cell>
          <cell r="AM1455">
            <v>22474.32648</v>
          </cell>
          <cell r="AN1455">
            <v>22503.190360000001</v>
          </cell>
          <cell r="AO1455">
            <v>22533.303800000002</v>
          </cell>
          <cell r="AP1455">
            <v>22559.925139999999</v>
          </cell>
          <cell r="AQ1455">
            <v>22583.925179999998</v>
          </cell>
          <cell r="AR1455">
            <v>22606.179110000001</v>
          </cell>
          <cell r="AS1455">
            <v>22627.398089999999</v>
          </cell>
          <cell r="AT1455">
            <v>22648.124589999999</v>
          </cell>
          <cell r="AU1455">
            <v>22668.85773</v>
          </cell>
          <cell r="AV1455">
            <v>22689.856589999999</v>
          </cell>
          <cell r="AW1455">
            <v>22711.262940000001</v>
          </cell>
          <cell r="AX1455">
            <v>22733.136709999999</v>
          </cell>
          <cell r="AY1455">
            <v>22755.479940000001</v>
          </cell>
          <cell r="AZ1455">
            <v>22779.006430000001</v>
          </cell>
          <cell r="BA1455">
            <v>22803.541959999999</v>
          </cell>
          <cell r="BB1455">
            <v>22828.851460000002</v>
          </cell>
          <cell r="BC1455">
            <v>22854.71631</v>
          </cell>
          <cell r="BD1455">
            <v>22880.952959999999</v>
          </cell>
          <cell r="BE1455">
            <v>22907.601719999999</v>
          </cell>
          <cell r="BF1455">
            <v>22934.542119999998</v>
          </cell>
          <cell r="BG1455">
            <v>22961.657439999999</v>
          </cell>
          <cell r="BH1455">
            <v>22988.857520000001</v>
          </cell>
          <cell r="BI1455">
            <v>23016.080109999999</v>
          </cell>
        </row>
        <row r="1458">
          <cell r="F1458">
            <v>17.976082770000001</v>
          </cell>
          <cell r="G1458">
            <v>17.666790280000001</v>
          </cell>
          <cell r="H1458">
            <v>17.396475949999999</v>
          </cell>
          <cell r="I1458">
            <v>17.18006476</v>
          </cell>
          <cell r="J1458">
            <v>17.01497578</v>
          </cell>
          <cell r="K1458">
            <v>16.894748400000001</v>
          </cell>
          <cell r="L1458">
            <v>16.80578259</v>
          </cell>
          <cell r="M1458">
            <v>16.741354059999999</v>
          </cell>
          <cell r="N1458">
            <v>16.695553050000001</v>
          </cell>
          <cell r="O1458">
            <v>16.663299850000001</v>
          </cell>
          <cell r="P1458">
            <v>16.649200499999999</v>
          </cell>
          <cell r="Q1458">
            <v>16.6384343</v>
          </cell>
          <cell r="R1458">
            <v>16.628905169999999</v>
          </cell>
          <cell r="S1458">
            <v>16.619686160000001</v>
          </cell>
          <cell r="T1458">
            <v>16.610191690000001</v>
          </cell>
          <cell r="U1458">
            <v>16.600024829999999</v>
          </cell>
          <cell r="V1458">
            <v>16.58805104</v>
          </cell>
          <cell r="W1458">
            <v>16.574497529999999</v>
          </cell>
          <cell r="X1458">
            <v>16.559613550000002</v>
          </cell>
          <cell r="Y1458">
            <v>16.543614600000002</v>
          </cell>
          <cell r="Z1458">
            <v>16.521060550000001</v>
          </cell>
          <cell r="AA1458">
            <v>16.499040870000002</v>
          </cell>
          <cell r="AB1458">
            <v>16.477775380000001</v>
          </cell>
          <cell r="AC1458">
            <v>16.4570963</v>
          </cell>
          <cell r="AD1458">
            <v>16.436865269999998</v>
          </cell>
          <cell r="AE1458">
            <v>16.401881230000001</v>
          </cell>
          <cell r="AF1458">
            <v>16.363907309999998</v>
          </cell>
          <cell r="AG1458">
            <v>16.32458493</v>
          </cell>
          <cell r="AH1458">
            <v>16.284673900000001</v>
          </cell>
          <cell r="AI1458">
            <v>16.244689489999999</v>
          </cell>
          <cell r="AJ1458">
            <v>16.205017990000002</v>
          </cell>
          <cell r="AK1458">
            <v>16.166106379999999</v>
          </cell>
          <cell r="AL1458">
            <v>16.128098730000001</v>
          </cell>
          <cell r="AM1458">
            <v>16.091077510000002</v>
          </cell>
          <cell r="AN1458">
            <v>16.05508197</v>
          </cell>
          <cell r="AO1458">
            <v>16.020116609999999</v>
          </cell>
          <cell r="AP1458">
            <v>15.984320779999999</v>
          </cell>
          <cell r="AQ1458">
            <v>15.947892749999999</v>
          </cell>
          <cell r="AR1458">
            <v>15.91115265</v>
          </cell>
          <cell r="AS1458">
            <v>15.874379980000001</v>
          </cell>
          <cell r="AT1458">
            <v>15.83779348</v>
          </cell>
          <cell r="AU1458">
            <v>15.80174725</v>
          </cell>
          <cell r="AV1458">
            <v>15.76628637</v>
          </cell>
          <cell r="AW1458">
            <v>15.731427610000001</v>
          </cell>
          <cell r="AX1458">
            <v>15.69717314</v>
          </cell>
          <cell r="AY1458">
            <v>15.66351169</v>
          </cell>
          <cell r="AZ1458">
            <v>15.631268609999999</v>
          </cell>
          <cell r="BA1458">
            <v>15.600144050000001</v>
          </cell>
          <cell r="BB1458">
            <v>15.5698714</v>
          </cell>
          <cell r="BC1458">
            <v>15.54025843</v>
          </cell>
          <cell r="BD1458">
            <v>15.511169150000001</v>
          </cell>
          <cell r="BE1458">
            <v>15.48285394</v>
          </cell>
          <cell r="BF1458">
            <v>15.455120000000001</v>
          </cell>
          <cell r="BG1458">
            <v>15.427816999999999</v>
          </cell>
          <cell r="BH1458">
            <v>15.40084483</v>
          </cell>
          <cell r="BI1458">
            <v>15.37413914</v>
          </cell>
        </row>
        <row r="1460">
          <cell r="F1460">
            <v>6.6801074180000004</v>
          </cell>
          <cell r="G1460">
            <v>6.564900948</v>
          </cell>
          <cell r="H1460">
            <v>6.4598409529999996</v>
          </cell>
          <cell r="I1460">
            <v>6.3720511450000004</v>
          </cell>
          <cell r="J1460">
            <v>6.3029966850000001</v>
          </cell>
          <cell r="K1460">
            <v>6.2515042000000003</v>
          </cell>
          <cell r="L1460">
            <v>6.2131268229999996</v>
          </cell>
          <cell r="M1460">
            <v>6.1852391840000003</v>
          </cell>
          <cell r="N1460">
            <v>6.1653171130000004</v>
          </cell>
          <cell r="O1460">
            <v>6.1511751410000004</v>
          </cell>
          <cell r="P1460">
            <v>6.1439580109999996</v>
          </cell>
          <cell r="Q1460">
            <v>6.1384808279999996</v>
          </cell>
          <cell r="R1460">
            <v>6.1339479289999996</v>
          </cell>
          <cell r="S1460">
            <v>6.1298999470000002</v>
          </cell>
          <cell r="T1460">
            <v>6.1260190659999996</v>
          </cell>
          <cell r="U1460">
            <v>6.1220860730000002</v>
          </cell>
          <cell r="V1460">
            <v>6.1176649410000001</v>
          </cell>
          <cell r="W1460">
            <v>6.1127900459999998</v>
          </cell>
          <cell r="X1460">
            <v>6.1075000570000002</v>
          </cell>
          <cell r="Y1460">
            <v>6.1018290769999997</v>
          </cell>
          <cell r="Z1460">
            <v>6.0939383659999997</v>
          </cell>
          <cell r="AA1460">
            <v>6.0861623500000004</v>
          </cell>
          <cell r="AB1460">
            <v>6.0785083059999998</v>
          </cell>
          <cell r="AC1460">
            <v>6.0709180500000004</v>
          </cell>
          <cell r="AD1460">
            <v>6.0633526030000002</v>
          </cell>
          <cell r="AE1460">
            <v>6.0507559259999999</v>
          </cell>
          <cell r="AF1460">
            <v>6.0370521459999997</v>
          </cell>
          <cell r="AG1460">
            <v>6.02266865</v>
          </cell>
          <cell r="AH1460">
            <v>6.007844263</v>
          </cell>
          <cell r="AI1460">
            <v>5.9927689930000003</v>
          </cell>
          <cell r="AJ1460">
            <v>5.9776012840000003</v>
          </cell>
          <cell r="AK1460">
            <v>5.9625191529999997</v>
          </cell>
          <cell r="AL1460">
            <v>5.9475964670000003</v>
          </cell>
          <cell r="AM1460">
            <v>5.9328844529999998</v>
          </cell>
          <cell r="AN1460">
            <v>5.9184157060000002</v>
          </cell>
          <cell r="AO1460">
            <v>5.9042074329999998</v>
          </cell>
          <cell r="AP1460">
            <v>5.8896384990000001</v>
          </cell>
          <cell r="AQ1460">
            <v>5.8747810810000001</v>
          </cell>
          <cell r="AR1460">
            <v>5.8597413239999998</v>
          </cell>
          <cell r="AS1460">
            <v>5.8446163550000003</v>
          </cell>
          <cell r="AT1460">
            <v>5.829487587</v>
          </cell>
          <cell r="AU1460">
            <v>5.8144821220000003</v>
          </cell>
          <cell r="AV1460">
            <v>5.7996252549999996</v>
          </cell>
          <cell r="AW1460">
            <v>5.7849348779999996</v>
          </cell>
          <cell r="AX1460">
            <v>5.7704223160000003</v>
          </cell>
          <cell r="AY1460">
            <v>5.7560919339999996</v>
          </cell>
          <cell r="AZ1460">
            <v>5.742218662</v>
          </cell>
          <cell r="BA1460">
            <v>5.7287021429999996</v>
          </cell>
          <cell r="BB1460">
            <v>5.7154625619999999</v>
          </cell>
          <cell r="BC1460">
            <v>5.7024428199999999</v>
          </cell>
          <cell r="BD1460">
            <v>5.6896010810000002</v>
          </cell>
          <cell r="BE1460">
            <v>5.6770178830000004</v>
          </cell>
          <cell r="BF1460">
            <v>5.6646257090000001</v>
          </cell>
          <cell r="BG1460">
            <v>5.6523754300000002</v>
          </cell>
          <cell r="BH1460">
            <v>5.640233866</v>
          </cell>
          <cell r="BI1460">
            <v>5.6281784080000001</v>
          </cell>
        </row>
        <row r="1462">
          <cell r="F1462">
            <v>0.71940992650000002</v>
          </cell>
          <cell r="G1462">
            <v>0.70836184629999999</v>
          </cell>
          <cell r="H1462">
            <v>0.69901644470000002</v>
          </cell>
          <cell r="I1462">
            <v>0.69189564189999997</v>
          </cell>
          <cell r="J1462">
            <v>0.68665002740000003</v>
          </cell>
          <cell r="K1462">
            <v>0.68294095639999997</v>
          </cell>
          <cell r="L1462">
            <v>0.68020145119999997</v>
          </cell>
          <cell r="M1462">
            <v>0.67822410759999996</v>
          </cell>
          <cell r="N1462">
            <v>0.67684724210000002</v>
          </cell>
          <cell r="O1462">
            <v>0.67592168809999997</v>
          </cell>
          <cell r="P1462">
            <v>0.67573774399999997</v>
          </cell>
          <cell r="Q1462">
            <v>0.67564019819999999</v>
          </cell>
          <cell r="R1462">
            <v>0.67552016770000001</v>
          </cell>
          <cell r="S1462">
            <v>0.67534789090000003</v>
          </cell>
          <cell r="T1462">
            <v>0.67511046149999998</v>
          </cell>
          <cell r="U1462">
            <v>0.67480028520000002</v>
          </cell>
          <cell r="V1462">
            <v>0.67437510389999999</v>
          </cell>
          <cell r="W1462">
            <v>0.67384804700000001</v>
          </cell>
          <cell r="X1462">
            <v>0.67323641789999999</v>
          </cell>
          <cell r="Y1462">
            <v>0.67255644619999999</v>
          </cell>
          <cell r="Z1462">
            <v>0.67155155639999997</v>
          </cell>
          <cell r="AA1462">
            <v>0.67055893960000001</v>
          </cell>
          <cell r="AB1462">
            <v>0.66961195110000005</v>
          </cell>
          <cell r="AC1462">
            <v>0.66870713020000005</v>
          </cell>
          <cell r="AD1462">
            <v>0.66783831039999997</v>
          </cell>
          <cell r="AE1462">
            <v>0.66627554519999999</v>
          </cell>
          <cell r="AF1462">
            <v>0.66455711579999999</v>
          </cell>
          <cell r="AG1462">
            <v>0.66279956760000003</v>
          </cell>
          <cell r="AH1462">
            <v>0.66105091979999997</v>
          </cell>
          <cell r="AI1462">
            <v>0.65933759240000001</v>
          </cell>
          <cell r="AJ1462">
            <v>0.65767548229999995</v>
          </cell>
          <cell r="AK1462">
            <v>0.65608159219999995</v>
          </cell>
          <cell r="AL1462">
            <v>0.65456000619999999</v>
          </cell>
          <cell r="AM1462">
            <v>0.65311161870000001</v>
          </cell>
          <cell r="AN1462">
            <v>0.65173560949999998</v>
          </cell>
          <cell r="AO1462">
            <v>0.65042991500000003</v>
          </cell>
          <cell r="AP1462">
            <v>0.64909888289999995</v>
          </cell>
          <cell r="AQ1462">
            <v>0.64775136850000004</v>
          </cell>
          <cell r="AR1462">
            <v>0.64640527430000005</v>
          </cell>
          <cell r="AS1462">
            <v>0.64507530749999997</v>
          </cell>
          <cell r="AT1462">
            <v>0.64377165199999997</v>
          </cell>
          <cell r="AU1462">
            <v>0.64250903969999995</v>
          </cell>
          <cell r="AV1462">
            <v>0.64128870869999999</v>
          </cell>
          <cell r="AW1462">
            <v>0.64010948830000003</v>
          </cell>
          <cell r="AX1462">
            <v>0.63896942639999998</v>
          </cell>
          <cell r="AY1462">
            <v>0.63786619499999997</v>
          </cell>
          <cell r="AZ1462">
            <v>0.63683508919999998</v>
          </cell>
          <cell r="BA1462">
            <v>0.63586445430000005</v>
          </cell>
          <cell r="BB1462">
            <v>0.63494086199999999</v>
          </cell>
          <cell r="BC1462">
            <v>0.6340539033</v>
          </cell>
          <cell r="BD1462">
            <v>0.63319610670000004</v>
          </cell>
          <cell r="BE1462">
            <v>0.63237725140000001</v>
          </cell>
          <cell r="BF1462">
            <v>0.63158979640000001</v>
          </cell>
          <cell r="BG1462">
            <v>0.63082677149999999</v>
          </cell>
          <cell r="BH1462">
            <v>0.63008333559999996</v>
          </cell>
          <cell r="BI1462">
            <v>0.62935643500000005</v>
          </cell>
        </row>
        <row r="1463">
          <cell r="F1463">
            <v>86.915472100000002</v>
          </cell>
          <cell r="G1463">
            <v>86.042794499999999</v>
          </cell>
          <cell r="H1463">
            <v>85.04166189</v>
          </cell>
          <cell r="I1463">
            <v>84.092865399999994</v>
          </cell>
          <cell r="J1463">
            <v>83.267760969999998</v>
          </cell>
          <cell r="K1463">
            <v>82.590852960000007</v>
          </cell>
          <cell r="L1463">
            <v>82.031024239999994</v>
          </cell>
          <cell r="M1463">
            <v>81.569324879999996</v>
          </cell>
          <cell r="N1463">
            <v>81.185498730000006</v>
          </cell>
          <cell r="O1463">
            <v>80.858524689999996</v>
          </cell>
          <cell r="P1463">
            <v>80.610471669999995</v>
          </cell>
          <cell r="Q1463">
            <v>80.37663474</v>
          </cell>
          <cell r="R1463">
            <v>80.139484319999994</v>
          </cell>
          <cell r="S1463">
            <v>79.893081199999997</v>
          </cell>
          <cell r="T1463">
            <v>79.63543104</v>
          </cell>
          <cell r="U1463">
            <v>79.366234719999994</v>
          </cell>
          <cell r="V1463">
            <v>79.08314197</v>
          </cell>
          <cell r="W1463">
            <v>78.78774627</v>
          </cell>
          <cell r="X1463">
            <v>78.482642400000003</v>
          </cell>
          <cell r="Y1463">
            <v>78.170600530000002</v>
          </cell>
          <cell r="Z1463">
            <v>77.828093280000004</v>
          </cell>
          <cell r="AA1463">
            <v>77.487049670000005</v>
          </cell>
          <cell r="AB1463">
            <v>77.15364271</v>
          </cell>
          <cell r="AC1463">
            <v>76.829023230000004</v>
          </cell>
          <cell r="AD1463">
            <v>76.513353370000004</v>
          </cell>
          <cell r="AE1463">
            <v>76.136934490000002</v>
          </cell>
          <cell r="AF1463">
            <v>75.746632590000004</v>
          </cell>
          <cell r="AG1463">
            <v>75.357050380000004</v>
          </cell>
          <cell r="AH1463">
            <v>74.974776039999995</v>
          </cell>
          <cell r="AI1463">
            <v>74.60333378</v>
          </cell>
          <cell r="AJ1463">
            <v>74.244748229999999</v>
          </cell>
          <cell r="AK1463">
            <v>73.900616990000003</v>
          </cell>
          <cell r="AL1463">
            <v>73.571403810000007</v>
          </cell>
          <cell r="AM1463">
            <v>73.256984349999996</v>
          </cell>
          <cell r="AN1463">
            <v>72.956890880000003</v>
          </cell>
          <cell r="AO1463">
            <v>72.670446010000006</v>
          </cell>
          <cell r="AP1463">
            <v>72.386410060000003</v>
          </cell>
          <cell r="AQ1463">
            <v>72.105595370000003</v>
          </cell>
          <cell r="AR1463">
            <v>71.829876400000003</v>
          </cell>
          <cell r="AS1463">
            <v>71.560663439999999</v>
          </cell>
          <cell r="AT1463">
            <v>71.298797359999995</v>
          </cell>
          <cell r="AU1463">
            <v>71.045219029999998</v>
          </cell>
          <cell r="AV1463">
            <v>70.800043590000001</v>
          </cell>
          <cell r="AW1463">
            <v>70.563022320000002</v>
          </cell>
          <cell r="AX1463">
            <v>70.333756140000006</v>
          </cell>
          <cell r="AY1463">
            <v>70.111789360000003</v>
          </cell>
          <cell r="AZ1463">
            <v>69.899377889999997</v>
          </cell>
          <cell r="BA1463">
            <v>69.696039630000001</v>
          </cell>
          <cell r="BB1463">
            <v>69.50065008</v>
          </cell>
          <cell r="BC1463">
            <v>69.312095850000006</v>
          </cell>
          <cell r="BD1463">
            <v>69.129453440000006</v>
          </cell>
          <cell r="BE1463">
            <v>68.952903489999997</v>
          </cell>
          <cell r="BF1463">
            <v>68.782018320000006</v>
          </cell>
          <cell r="BG1463">
            <v>68.616229189999999</v>
          </cell>
          <cell r="BH1463">
            <v>68.455046870000004</v>
          </cell>
          <cell r="BI1463">
            <v>68.298116710000002</v>
          </cell>
        </row>
        <row r="1473">
          <cell r="F1473">
            <v>27371.846880000001</v>
          </cell>
          <cell r="G1473">
            <v>27193.444930000001</v>
          </cell>
          <cell r="H1473">
            <v>27062.409899999999</v>
          </cell>
          <cell r="I1473">
            <v>26997.492699999999</v>
          </cell>
          <cell r="J1473">
            <v>26993.829969999999</v>
          </cell>
          <cell r="K1473">
            <v>27041.048610000002</v>
          </cell>
          <cell r="L1473">
            <v>27117.617760000001</v>
          </cell>
          <cell r="M1473">
            <v>27215.462520000001</v>
          </cell>
          <cell r="N1473">
            <v>27328.342809999998</v>
          </cell>
          <cell r="O1473">
            <v>27451.267110000001</v>
          </cell>
          <cell r="P1473">
            <v>27597.784530000001</v>
          </cell>
          <cell r="Q1473">
            <v>27744.024819999999</v>
          </cell>
          <cell r="R1473">
            <v>27887.086380000001</v>
          </cell>
          <cell r="S1473">
            <v>28025.737939999999</v>
          </cell>
          <cell r="T1473">
            <v>28159.43894</v>
          </cell>
          <cell r="U1473">
            <v>28288.066790000001</v>
          </cell>
          <cell r="V1473">
            <v>28411.79365</v>
          </cell>
          <cell r="W1473">
            <v>28530.994009999999</v>
          </cell>
          <cell r="X1473">
            <v>28646.164659999999</v>
          </cell>
          <cell r="Y1473">
            <v>28757.85917</v>
          </cell>
          <cell r="Z1473">
            <v>28854.9823</v>
          </cell>
          <cell r="AA1473">
            <v>28951.841209999999</v>
          </cell>
          <cell r="AB1473">
            <v>29049.308929999999</v>
          </cell>
          <cell r="AC1473">
            <v>29147.534149999999</v>
          </cell>
          <cell r="AD1473">
            <v>29246.51053</v>
          </cell>
          <cell r="AE1473">
            <v>29314.42713</v>
          </cell>
          <cell r="AF1473">
            <v>29373.822230000002</v>
          </cell>
          <cell r="AG1473">
            <v>29428.354640000001</v>
          </cell>
          <cell r="AH1473">
            <v>29480.33337</v>
          </cell>
          <cell r="AI1473">
            <v>29531.400450000001</v>
          </cell>
          <cell r="AJ1473">
            <v>29582.71314</v>
          </cell>
          <cell r="AK1473">
            <v>29635.02823</v>
          </cell>
          <cell r="AL1473">
            <v>29688.77477</v>
          </cell>
          <cell r="AM1473">
            <v>29744.126850000001</v>
          </cell>
          <cell r="AN1473">
            <v>29801.074420000001</v>
          </cell>
          <cell r="AO1473">
            <v>29859.486280000001</v>
          </cell>
          <cell r="AP1473">
            <v>29912.404279999999</v>
          </cell>
          <cell r="AQ1473">
            <v>29960.816610000002</v>
          </cell>
          <cell r="AR1473">
            <v>30005.92699</v>
          </cell>
          <cell r="AS1473">
            <v>30048.7768</v>
          </cell>
          <cell r="AT1473">
            <v>30090.18951</v>
          </cell>
          <cell r="AU1473">
            <v>30130.78023</v>
          </cell>
          <cell r="AV1473">
            <v>30170.978999999999</v>
          </cell>
          <cell r="AW1473">
            <v>30211.059000000001</v>
          </cell>
          <cell r="AX1473">
            <v>30251.1672</v>
          </cell>
          <cell r="AY1473">
            <v>30291.355080000001</v>
          </cell>
          <cell r="AZ1473">
            <v>30332.151819999999</v>
          </cell>
          <cell r="BA1473">
            <v>30373.401529999999</v>
          </cell>
          <cell r="BB1473">
            <v>30414.912550000001</v>
          </cell>
          <cell r="BC1473">
            <v>30456.50577</v>
          </cell>
          <cell r="BD1473">
            <v>30498.03081</v>
          </cell>
          <cell r="BE1473">
            <v>30539.37184</v>
          </cell>
          <cell r="BF1473">
            <v>30580.44832</v>
          </cell>
          <cell r="BG1473">
            <v>30621.212619999998</v>
          </cell>
          <cell r="BH1473">
            <v>30661.645769999999</v>
          </cell>
          <cell r="BI1473">
            <v>30701.7523</v>
          </cell>
        </row>
        <row r="1474">
          <cell r="F1474">
            <v>760.53305030000001</v>
          </cell>
          <cell r="G1474">
            <v>750.54522069999996</v>
          </cell>
          <cell r="H1474">
            <v>742.22681169999998</v>
          </cell>
          <cell r="I1474">
            <v>736.48848499999997</v>
          </cell>
          <cell r="J1474">
            <v>733.31712470000002</v>
          </cell>
          <cell r="K1474">
            <v>732.39420749999999</v>
          </cell>
          <cell r="L1474">
            <v>733.03839200000004</v>
          </cell>
          <cell r="M1474">
            <v>734.83560350000005</v>
          </cell>
          <cell r="N1474">
            <v>737.44502109999996</v>
          </cell>
          <cell r="O1474">
            <v>740.58999689999996</v>
          </cell>
          <cell r="P1474">
            <v>744.48575579999999</v>
          </cell>
          <cell r="Q1474">
            <v>748.51497959999995</v>
          </cell>
          <cell r="R1474">
            <v>752.50449119999996</v>
          </cell>
          <cell r="S1474">
            <v>756.36099460000003</v>
          </cell>
          <cell r="T1474">
            <v>760.03414480000004</v>
          </cell>
          <cell r="U1474">
            <v>763.50177080000003</v>
          </cell>
          <cell r="V1474">
            <v>766.76102879999996</v>
          </cell>
          <cell r="W1474">
            <v>769.82181209999999</v>
          </cell>
          <cell r="X1474">
            <v>772.7015993</v>
          </cell>
          <cell r="Y1474">
            <v>775.42164270000001</v>
          </cell>
          <cell r="Z1474">
            <v>777.71956109999996</v>
          </cell>
          <cell r="AA1474">
            <v>779.91938100000004</v>
          </cell>
          <cell r="AB1474">
            <v>782.07815949999997</v>
          </cell>
          <cell r="AC1474">
            <v>784.22098319999998</v>
          </cell>
          <cell r="AD1474">
            <v>786.3607293</v>
          </cell>
          <cell r="AE1474">
            <v>787.72995209999999</v>
          </cell>
          <cell r="AF1474">
            <v>788.78917239999998</v>
          </cell>
          <cell r="AG1474">
            <v>789.66145059999997</v>
          </cell>
          <cell r="AH1474">
            <v>790.43342740000003</v>
          </cell>
          <cell r="AI1474">
            <v>791.17095600000005</v>
          </cell>
          <cell r="AJ1474">
            <v>791.92243540000004</v>
          </cell>
          <cell r="AK1474">
            <v>792.72071870000002</v>
          </cell>
          <cell r="AL1474">
            <v>793.58553819999997</v>
          </cell>
          <cell r="AM1474">
            <v>794.52629760000002</v>
          </cell>
          <cell r="AN1474">
            <v>795.54489530000001</v>
          </cell>
          <cell r="AO1474">
            <v>796.63824850000003</v>
          </cell>
          <cell r="AP1474">
            <v>797.63639069999999</v>
          </cell>
          <cell r="AQ1474">
            <v>798.54186770000001</v>
          </cell>
          <cell r="AR1474">
            <v>799.37796709999998</v>
          </cell>
          <cell r="AS1474">
            <v>800.17176770000003</v>
          </cell>
          <cell r="AT1474">
            <v>800.94834549999996</v>
          </cell>
          <cell r="AU1474">
            <v>801.72835780000003</v>
          </cell>
          <cell r="AV1474">
            <v>802.52714619999995</v>
          </cell>
          <cell r="AW1474">
            <v>803.35478049999995</v>
          </cell>
          <cell r="AX1474">
            <v>804.21669029999998</v>
          </cell>
          <cell r="AY1474">
            <v>805.11458240000002</v>
          </cell>
          <cell r="AZ1474">
            <v>806.06064000000003</v>
          </cell>
          <cell r="BA1474">
            <v>807.05123300000002</v>
          </cell>
          <cell r="BB1474">
            <v>808.08013010000002</v>
          </cell>
          <cell r="BC1474">
            <v>809.14054999999996</v>
          </cell>
          <cell r="BD1474">
            <v>810.22609030000001</v>
          </cell>
          <cell r="BE1474">
            <v>811.33119499999998</v>
          </cell>
          <cell r="BF1474">
            <v>812.45135379999999</v>
          </cell>
          <cell r="BG1474">
            <v>813.58312290000003</v>
          </cell>
          <cell r="BH1474">
            <v>814.72403389999999</v>
          </cell>
          <cell r="BI1474">
            <v>815.87243960000001</v>
          </cell>
        </row>
        <row r="1477">
          <cell r="F1477">
            <v>4367.1201659999997</v>
          </cell>
          <cell r="G1477">
            <v>4320.7281149999999</v>
          </cell>
          <cell r="H1477">
            <v>4290.0737900000004</v>
          </cell>
          <cell r="I1477">
            <v>4274.9539109999996</v>
          </cell>
          <cell r="J1477">
            <v>4272.5785489999998</v>
          </cell>
          <cell r="K1477">
            <v>4279.9891710000002</v>
          </cell>
          <cell r="L1477">
            <v>4293.1935320000002</v>
          </cell>
          <cell r="M1477">
            <v>4310.2425599999997</v>
          </cell>
          <cell r="N1477">
            <v>4329.7994189999999</v>
          </cell>
          <cell r="O1477">
            <v>4350.9303300000001</v>
          </cell>
          <cell r="P1477">
            <v>4375.3473279999998</v>
          </cell>
          <cell r="Q1477">
            <v>4400.0067769999996</v>
          </cell>
          <cell r="R1477">
            <v>4424.3603110000004</v>
          </cell>
          <cell r="S1477">
            <v>4448.1753289999997</v>
          </cell>
          <cell r="T1477">
            <v>4471.3655170000002</v>
          </cell>
          <cell r="U1477">
            <v>4493.9278100000001</v>
          </cell>
          <cell r="V1477">
            <v>4515.9116869999998</v>
          </cell>
          <cell r="W1477">
            <v>4537.3997980000004</v>
          </cell>
          <cell r="X1477">
            <v>4558.4934670000002</v>
          </cell>
          <cell r="Y1477">
            <v>4579.3013099999998</v>
          </cell>
          <cell r="Z1477">
            <v>4598.3516460000001</v>
          </cell>
          <cell r="AA1477">
            <v>4617.4499310000001</v>
          </cell>
          <cell r="AB1477">
            <v>4636.8327330000002</v>
          </cell>
          <cell r="AC1477">
            <v>4656.5858749999998</v>
          </cell>
          <cell r="AD1477">
            <v>4676.7386560000004</v>
          </cell>
          <cell r="AE1477">
            <v>4692.9905799999997</v>
          </cell>
          <cell r="AF1477">
            <v>4707.9423699999998</v>
          </cell>
          <cell r="AG1477">
            <v>4722.1340959999998</v>
          </cell>
          <cell r="AH1477">
            <v>4735.9159449999997</v>
          </cell>
          <cell r="AI1477">
            <v>4749.5305840000001</v>
          </cell>
          <cell r="AJ1477">
            <v>4763.1407319999998</v>
          </cell>
          <cell r="AK1477">
            <v>4776.844384</v>
          </cell>
          <cell r="AL1477">
            <v>4790.6871430000001</v>
          </cell>
          <cell r="AM1477">
            <v>4804.6736650000003</v>
          </cell>
          <cell r="AN1477">
            <v>4818.7784970000002</v>
          </cell>
          <cell r="AO1477">
            <v>4832.9559300000001</v>
          </cell>
          <cell r="AP1477">
            <v>4846.2297939999999</v>
          </cell>
          <cell r="AQ1477">
            <v>4858.6032169999999</v>
          </cell>
          <cell r="AR1477">
            <v>4870.1688359999998</v>
          </cell>
          <cell r="AS1477">
            <v>4881.0314150000004</v>
          </cell>
          <cell r="AT1477">
            <v>4891.283754</v>
          </cell>
          <cell r="AU1477">
            <v>4900.9995019999997</v>
          </cell>
          <cell r="AV1477">
            <v>4910.2323729999998</v>
          </cell>
          <cell r="AW1477">
            <v>4919.0181679999996</v>
          </cell>
          <cell r="AX1477">
            <v>4927.3780839999999</v>
          </cell>
          <cell r="AY1477">
            <v>4935.322467</v>
          </cell>
          <cell r="AZ1477">
            <v>4942.9288290000004</v>
          </cell>
          <cell r="BA1477">
            <v>4950.1912469999997</v>
          </cell>
          <cell r="BB1477">
            <v>4957.0959819999998</v>
          </cell>
          <cell r="BC1477">
            <v>4963.6304090000003</v>
          </cell>
          <cell r="BD1477">
            <v>4969.7867249999999</v>
          </cell>
          <cell r="BE1477">
            <v>4975.5635089999996</v>
          </cell>
          <cell r="BF1477">
            <v>4980.96612</v>
          </cell>
          <cell r="BG1477">
            <v>4986.006394</v>
          </cell>
          <cell r="BH1477">
            <v>4990.7019300000002</v>
          </cell>
          <cell r="BI1477">
            <v>4995.0751460000001</v>
          </cell>
        </row>
        <row r="1489">
          <cell r="F1489">
            <v>868.26537059999998</v>
          </cell>
          <cell r="G1489">
            <v>859.07777039999996</v>
          </cell>
          <cell r="H1489">
            <v>852.58063360000006</v>
          </cell>
          <cell r="I1489">
            <v>848.85428890000003</v>
          </cell>
          <cell r="J1489">
            <v>847.40081039999995</v>
          </cell>
          <cell r="K1489">
            <v>847.69745020000005</v>
          </cell>
          <cell r="L1489">
            <v>848.99193549999995</v>
          </cell>
          <cell r="M1489">
            <v>850.96319140000003</v>
          </cell>
          <cell r="N1489">
            <v>853.37766739999995</v>
          </cell>
          <cell r="O1489">
            <v>856.05541389999996</v>
          </cell>
          <cell r="P1489">
            <v>859.35435910000001</v>
          </cell>
          <cell r="Q1489">
            <v>862.5812287</v>
          </cell>
          <cell r="R1489">
            <v>865.63605399999994</v>
          </cell>
          <cell r="S1489">
            <v>868.48270609999997</v>
          </cell>
          <cell r="T1489">
            <v>871.10974380000005</v>
          </cell>
          <cell r="U1489">
            <v>873.52024989999995</v>
          </cell>
          <cell r="V1489">
            <v>875.72740220000003</v>
          </cell>
          <cell r="W1489">
            <v>877.75115400000004</v>
          </cell>
          <cell r="X1489">
            <v>879.61536260000003</v>
          </cell>
          <cell r="Y1489">
            <v>881.34544849999997</v>
          </cell>
          <cell r="Z1489">
            <v>882.63782570000001</v>
          </cell>
          <cell r="AA1489">
            <v>883.90579119999995</v>
          </cell>
          <cell r="AB1489">
            <v>885.18699289999995</v>
          </cell>
          <cell r="AC1489">
            <v>886.49097210000002</v>
          </cell>
          <cell r="AD1489">
            <v>887.8218822</v>
          </cell>
          <cell r="AE1489">
            <v>888.28965770000002</v>
          </cell>
          <cell r="AF1489">
            <v>888.5345939</v>
          </cell>
          <cell r="AG1489">
            <v>888.67770210000003</v>
          </cell>
          <cell r="AH1489">
            <v>888.7892938</v>
          </cell>
          <cell r="AI1489">
            <v>888.91774859999998</v>
          </cell>
          <cell r="AJ1489">
            <v>889.09651829999996</v>
          </cell>
          <cell r="AK1489">
            <v>889.34689430000003</v>
          </cell>
          <cell r="AL1489">
            <v>889.68020309999997</v>
          </cell>
          <cell r="AM1489">
            <v>890.10001050000005</v>
          </cell>
          <cell r="AN1489">
            <v>890.60427600000003</v>
          </cell>
          <cell r="AO1489">
            <v>891.18728060000001</v>
          </cell>
          <cell r="AP1489">
            <v>891.65213489999996</v>
          </cell>
          <cell r="AQ1489">
            <v>892.02503490000004</v>
          </cell>
          <cell r="AR1489">
            <v>892.34100839999996</v>
          </cell>
          <cell r="AS1489">
            <v>892.62951899999996</v>
          </cell>
          <cell r="AT1489">
            <v>892.91292499999997</v>
          </cell>
          <cell r="AU1489">
            <v>893.20714580000003</v>
          </cell>
          <cell r="AV1489">
            <v>893.52259670000001</v>
          </cell>
          <cell r="AW1489">
            <v>893.86513739999998</v>
          </cell>
          <cell r="AX1489">
            <v>894.23702579999997</v>
          </cell>
          <cell r="AY1489">
            <v>894.63784269999996</v>
          </cell>
          <cell r="AZ1489">
            <v>895.08057719999999</v>
          </cell>
          <cell r="BA1489">
            <v>895.55906340000001</v>
          </cell>
          <cell r="BB1489">
            <v>896.06601239999998</v>
          </cell>
          <cell r="BC1489">
            <v>896.59467849999999</v>
          </cell>
          <cell r="BD1489">
            <v>897.13931049999997</v>
          </cell>
          <cell r="BE1489">
            <v>897.69527889999995</v>
          </cell>
          <cell r="BF1489">
            <v>898.25906850000001</v>
          </cell>
          <cell r="BG1489">
            <v>898.82819129999996</v>
          </cell>
          <cell r="BH1489">
            <v>899.40105089999997</v>
          </cell>
          <cell r="BI1489">
            <v>899.9767812</v>
          </cell>
        </row>
        <row r="1494">
          <cell r="F1494">
            <v>21270.980510000001</v>
          </cell>
          <cell r="G1494">
            <v>21159.176220000001</v>
          </cell>
          <cell r="H1494">
            <v>21074.68635</v>
          </cell>
          <cell r="I1494">
            <v>21035.307349999999</v>
          </cell>
          <cell r="J1494">
            <v>21039.423299999999</v>
          </cell>
          <cell r="K1494">
            <v>21080.450120000001</v>
          </cell>
          <cell r="L1494">
            <v>21142.329689999999</v>
          </cell>
          <cell r="M1494">
            <v>21219.697980000001</v>
          </cell>
          <cell r="N1494">
            <v>21308.253809999998</v>
          </cell>
          <cell r="O1494">
            <v>21404.423989999999</v>
          </cell>
          <cell r="P1494">
            <v>21519.446980000001</v>
          </cell>
          <cell r="Q1494">
            <v>21633.883709999998</v>
          </cell>
          <cell r="R1494">
            <v>21745.67412</v>
          </cell>
          <cell r="S1494">
            <v>21853.95551</v>
          </cell>
          <cell r="T1494">
            <v>21958.336469999998</v>
          </cell>
          <cell r="U1494">
            <v>22058.715090000002</v>
          </cell>
          <cell r="V1494">
            <v>22155.201150000001</v>
          </cell>
          <cell r="W1494">
            <v>22248.053779999998</v>
          </cell>
          <cell r="X1494">
            <v>22337.624220000002</v>
          </cell>
          <cell r="Y1494">
            <v>22424.307949999999</v>
          </cell>
          <cell r="Z1494">
            <v>22499.077740000001</v>
          </cell>
          <cell r="AA1494">
            <v>22573.657719999999</v>
          </cell>
          <cell r="AB1494">
            <v>22648.583180000001</v>
          </cell>
          <cell r="AC1494">
            <v>22723.881219999999</v>
          </cell>
          <cell r="AD1494">
            <v>22799.49886</v>
          </cell>
          <cell r="AE1494">
            <v>22849.671490000001</v>
          </cell>
          <cell r="AF1494">
            <v>22893.175630000002</v>
          </cell>
          <cell r="AG1494">
            <v>22932.86879</v>
          </cell>
          <cell r="AH1494">
            <v>22970.544709999998</v>
          </cell>
          <cell r="AI1494">
            <v>23007.48387</v>
          </cell>
          <cell r="AJ1494">
            <v>23044.596079999999</v>
          </cell>
          <cell r="AK1494">
            <v>23082.484260000001</v>
          </cell>
          <cell r="AL1494">
            <v>23121.499879999999</v>
          </cell>
          <cell r="AM1494">
            <v>23161.799129999999</v>
          </cell>
          <cell r="AN1494">
            <v>23203.39774</v>
          </cell>
          <cell r="AO1494">
            <v>23246.219550000002</v>
          </cell>
          <cell r="AP1494">
            <v>23284.668590000001</v>
          </cell>
          <cell r="AQ1494">
            <v>23319.699540000001</v>
          </cell>
          <cell r="AR1494">
            <v>23352.36147</v>
          </cell>
          <cell r="AS1494">
            <v>23383.531510000001</v>
          </cell>
          <cell r="AT1494">
            <v>23413.891019999999</v>
          </cell>
          <cell r="AU1494">
            <v>23443.94382</v>
          </cell>
          <cell r="AV1494">
            <v>23474.040079999999</v>
          </cell>
          <cell r="AW1494">
            <v>23504.40121</v>
          </cell>
          <cell r="AX1494">
            <v>23535.14558</v>
          </cell>
          <cell r="AY1494">
            <v>23566.31338</v>
          </cell>
          <cell r="AZ1494">
            <v>23598.32994</v>
          </cell>
          <cell r="BA1494">
            <v>23631.055489999999</v>
          </cell>
          <cell r="BB1494">
            <v>23664.326120000002</v>
          </cell>
          <cell r="BC1494">
            <v>23697.989369999999</v>
          </cell>
          <cell r="BD1494">
            <v>23731.915249999998</v>
          </cell>
          <cell r="BE1494">
            <v>23765.999940000002</v>
          </cell>
          <cell r="BF1494">
            <v>23800.16591</v>
          </cell>
          <cell r="BG1494">
            <v>23834.359919999999</v>
          </cell>
          <cell r="BH1494">
            <v>23868.5497</v>
          </cell>
          <cell r="BI1494">
            <v>23902.720020000001</v>
          </cell>
        </row>
        <row r="1497">
          <cell r="F1497">
            <v>17.994161099999999</v>
          </cell>
          <cell r="G1497">
            <v>17.71508884</v>
          </cell>
          <cell r="H1497">
            <v>17.480750870000001</v>
          </cell>
          <cell r="I1497">
            <v>17.302921399999999</v>
          </cell>
          <cell r="J1497">
            <v>17.177309430000001</v>
          </cell>
          <cell r="K1497">
            <v>17.096533749999999</v>
          </cell>
          <cell r="L1497">
            <v>17.046706629999999</v>
          </cell>
          <cell r="M1497">
            <v>17.02063308</v>
          </cell>
          <cell r="N1497">
            <v>17.012027209999999</v>
          </cell>
          <cell r="O1497">
            <v>17.015513559999999</v>
          </cell>
          <cell r="P1497">
            <v>17.035876630000001</v>
          </cell>
          <cell r="Q1497">
            <v>17.058882870000001</v>
          </cell>
          <cell r="R1497">
            <v>17.08206071</v>
          </cell>
          <cell r="S1497">
            <v>17.10427297</v>
          </cell>
          <cell r="T1497">
            <v>17.12490657</v>
          </cell>
          <cell r="U1497">
            <v>17.14364956</v>
          </cell>
          <cell r="V1497">
            <v>17.160381579999999</v>
          </cell>
          <cell r="W1497">
            <v>17.175104109999999</v>
          </cell>
          <cell r="X1497">
            <v>17.187895619999999</v>
          </cell>
          <cell r="Y1497">
            <v>17.198883859999999</v>
          </cell>
          <cell r="Z1497">
            <v>17.202283059999999</v>
          </cell>
          <cell r="AA1497">
            <v>17.205564420000002</v>
          </cell>
          <cell r="AB1497">
            <v>17.208970839999999</v>
          </cell>
          <cell r="AC1497">
            <v>17.21236596</v>
          </cell>
          <cell r="AD1497">
            <v>17.215660280000002</v>
          </cell>
          <cell r="AE1497">
            <v>17.202696150000001</v>
          </cell>
          <cell r="AF1497">
            <v>17.185766040000001</v>
          </cell>
          <cell r="AG1497">
            <v>17.16677395</v>
          </cell>
          <cell r="AH1497">
            <v>17.146656620000002</v>
          </cell>
          <cell r="AI1497">
            <v>17.12604997</v>
          </cell>
          <cell r="AJ1497">
            <v>17.105430569999999</v>
          </cell>
          <cell r="AK1497">
            <v>17.08515242</v>
          </cell>
          <cell r="AL1497">
            <v>17.065459570000002</v>
          </cell>
          <cell r="AM1497">
            <v>17.046509010000001</v>
          </cell>
          <cell r="AN1497">
            <v>17.02838848</v>
          </cell>
          <cell r="AO1497">
            <v>17.011131639999999</v>
          </cell>
          <cell r="AP1497">
            <v>16.991325069999998</v>
          </cell>
          <cell r="AQ1497">
            <v>16.969727670000001</v>
          </cell>
          <cell r="AR1497">
            <v>16.94709434</v>
          </cell>
          <cell r="AS1497">
            <v>16.92396935</v>
          </cell>
          <cell r="AT1497">
            <v>16.900721269999998</v>
          </cell>
          <cell r="AU1497">
            <v>16.877593739999998</v>
          </cell>
          <cell r="AV1497">
            <v>16.8547419</v>
          </cell>
          <cell r="AW1497">
            <v>16.8322568</v>
          </cell>
          <cell r="AX1497">
            <v>16.81018268</v>
          </cell>
          <cell r="AY1497">
            <v>16.788533749999999</v>
          </cell>
          <cell r="AZ1497">
            <v>16.767583569999999</v>
          </cell>
          <cell r="BA1497">
            <v>16.747260189999999</v>
          </cell>
          <cell r="BB1497">
            <v>16.727484019999999</v>
          </cell>
          <cell r="BC1497">
            <v>16.708185109999999</v>
          </cell>
          <cell r="BD1497">
            <v>16.689302269999999</v>
          </cell>
          <cell r="BE1497">
            <v>16.670781850000001</v>
          </cell>
          <cell r="BF1497">
            <v>16.65257763</v>
          </cell>
          <cell r="BG1497">
            <v>16.634651130000002</v>
          </cell>
          <cell r="BH1497">
            <v>16.616971620000001</v>
          </cell>
          <cell r="BI1497">
            <v>16.599515650000001</v>
          </cell>
        </row>
        <row r="1499">
          <cell r="F1499">
            <v>6.6863688420000003</v>
          </cell>
          <cell r="G1499">
            <v>6.580923275</v>
          </cell>
          <cell r="H1499">
            <v>6.4874267080000001</v>
          </cell>
          <cell r="I1499">
            <v>6.4121652390000001</v>
          </cell>
          <cell r="J1499">
            <v>6.3561131690000003</v>
          </cell>
          <cell r="K1499">
            <v>6.3177982620000002</v>
          </cell>
          <cell r="L1499">
            <v>6.2926361819999999</v>
          </cell>
          <cell r="M1499">
            <v>6.2778401769999999</v>
          </cell>
          <cell r="N1499">
            <v>6.2707742910000004</v>
          </cell>
          <cell r="O1499">
            <v>6.2691762769999997</v>
          </cell>
          <cell r="P1499">
            <v>6.2742381969999999</v>
          </cell>
          <cell r="Q1499">
            <v>6.2809473029999996</v>
          </cell>
          <cell r="R1499">
            <v>6.2883705010000002</v>
          </cell>
          <cell r="S1499">
            <v>6.295961309</v>
          </cell>
          <cell r="T1499">
            <v>6.3033552569999998</v>
          </cell>
          <cell r="U1499">
            <v>6.3103123669999999</v>
          </cell>
          <cell r="V1499">
            <v>6.3166857399999996</v>
          </cell>
          <cell r="W1499">
            <v>6.3223970319999996</v>
          </cell>
          <cell r="X1499">
            <v>6.3274166149999997</v>
          </cell>
          <cell r="Y1499">
            <v>6.3317482189999996</v>
          </cell>
          <cell r="Z1499">
            <v>6.3334379580000002</v>
          </cell>
          <cell r="AA1499">
            <v>6.3349603739999996</v>
          </cell>
          <cell r="AB1499">
            <v>6.3363323429999996</v>
          </cell>
          <cell r="AC1499">
            <v>6.337509925</v>
          </cell>
          <cell r="AD1499">
            <v>6.3384735049999996</v>
          </cell>
          <cell r="AE1499">
            <v>6.3338386519999998</v>
          </cell>
          <cell r="AF1499">
            <v>6.3277302889999998</v>
          </cell>
          <cell r="AG1499">
            <v>6.3206620969999996</v>
          </cell>
          <cell r="AH1499">
            <v>6.312930562</v>
          </cell>
          <cell r="AI1499">
            <v>6.304766495</v>
          </cell>
          <cell r="AJ1499">
            <v>6.296358755</v>
          </cell>
          <cell r="AK1499">
            <v>6.2878568890000004</v>
          </cell>
          <cell r="AL1499">
            <v>6.2793729069999999</v>
          </cell>
          <cell r="AM1499">
            <v>6.2709853080000002</v>
          </cell>
          <cell r="AN1499">
            <v>6.2627446170000001</v>
          </cell>
          <cell r="AO1499">
            <v>6.2546794229999998</v>
          </cell>
          <cell r="AP1499">
            <v>6.2456619140000003</v>
          </cell>
          <cell r="AQ1499">
            <v>6.2359658360000001</v>
          </cell>
          <cell r="AR1499">
            <v>6.2258350130000002</v>
          </cell>
          <cell r="AS1499">
            <v>6.2154487989999998</v>
          </cell>
          <cell r="AT1499">
            <v>6.2049372299999996</v>
          </cell>
          <cell r="AU1499">
            <v>6.194394988</v>
          </cell>
          <cell r="AV1499">
            <v>6.1838900060000004</v>
          </cell>
          <cell r="AW1499">
            <v>6.1734688860000002</v>
          </cell>
          <cell r="AX1499">
            <v>6.16316094</v>
          </cell>
          <cell r="AY1499">
            <v>6.1529817539999998</v>
          </cell>
          <cell r="AZ1499">
            <v>6.1430279490000004</v>
          </cell>
          <cell r="BA1499">
            <v>6.133274825</v>
          </cell>
          <cell r="BB1499">
            <v>6.1236948470000003</v>
          </cell>
          <cell r="BC1499">
            <v>6.1142626949999999</v>
          </cell>
          <cell r="BD1499">
            <v>6.104955747</v>
          </cell>
          <cell r="BE1499">
            <v>6.0957541749999997</v>
          </cell>
          <cell r="BF1499">
            <v>6.0866410330000003</v>
          </cell>
          <cell r="BG1499">
            <v>6.0776022430000003</v>
          </cell>
          <cell r="BH1499">
            <v>6.068626439</v>
          </cell>
          <cell r="BI1499">
            <v>6.0597046450000001</v>
          </cell>
        </row>
        <row r="1501">
          <cell r="F1501">
            <v>0.72011375529999999</v>
          </cell>
          <cell r="G1501">
            <v>0.71046814670000003</v>
          </cell>
          <cell r="H1501">
            <v>0.7028447538</v>
          </cell>
          <cell r="I1501">
            <v>0.69756822429999998</v>
          </cell>
          <cell r="J1501">
            <v>0.69418643130000002</v>
          </cell>
          <cell r="K1501">
            <v>0.69230976450000004</v>
          </cell>
          <cell r="L1501">
            <v>0.69135756049999997</v>
          </cell>
          <cell r="M1501">
            <v>0.69110039400000001</v>
          </cell>
          <cell r="N1501">
            <v>0.69136075279999998</v>
          </cell>
          <cell r="O1501">
            <v>0.69197792280000003</v>
          </cell>
          <cell r="P1501">
            <v>0.69323501210000005</v>
          </cell>
          <cell r="Q1501">
            <v>0.69448832660000004</v>
          </cell>
          <cell r="R1501">
            <v>0.69560757200000001</v>
          </cell>
          <cell r="S1501">
            <v>0.69655858380000002</v>
          </cell>
          <cell r="T1501">
            <v>0.69734255860000005</v>
          </cell>
          <cell r="U1501">
            <v>0.69797498179999995</v>
          </cell>
          <cell r="V1501">
            <v>0.69847519680000003</v>
          </cell>
          <cell r="W1501">
            <v>0.69886157039999997</v>
          </cell>
          <cell r="X1501">
            <v>0.69915011260000004</v>
          </cell>
          <cell r="Y1501">
            <v>0.69935483259999998</v>
          </cell>
          <cell r="Z1501">
            <v>0.69920373550000003</v>
          </cell>
          <cell r="AA1501">
            <v>0.69904776629999998</v>
          </cell>
          <cell r="AB1501">
            <v>0.69892043479999999</v>
          </cell>
          <cell r="AC1501">
            <v>0.69881857560000005</v>
          </cell>
          <cell r="AD1501">
            <v>0.69873763</v>
          </cell>
          <cell r="AE1501">
            <v>0.69790745720000003</v>
          </cell>
          <cell r="AF1501">
            <v>0.69688553860000002</v>
          </cell>
          <cell r="AG1501">
            <v>0.69580016330000005</v>
          </cell>
          <cell r="AH1501">
            <v>0.69470757650000003</v>
          </cell>
          <cell r="AI1501">
            <v>0.69363976169999997</v>
          </cell>
          <cell r="AJ1501">
            <v>0.69261722069999998</v>
          </cell>
          <cell r="AK1501">
            <v>0.69165330869999997</v>
          </cell>
          <cell r="AL1501">
            <v>0.69075565269999994</v>
          </cell>
          <cell r="AM1501">
            <v>0.68992830999999999</v>
          </cell>
          <cell r="AN1501">
            <v>0.68917274930000005</v>
          </cell>
          <cell r="AO1501">
            <v>0.68848835399999997</v>
          </cell>
          <cell r="AP1501">
            <v>0.68771208780000004</v>
          </cell>
          <cell r="AQ1501">
            <v>0.68687116839999995</v>
          </cell>
          <cell r="AR1501">
            <v>0.68600263699999997</v>
          </cell>
          <cell r="AS1501">
            <v>0.68513360369999998</v>
          </cell>
          <cell r="AT1501">
            <v>0.68428097359999995</v>
          </cell>
          <cell r="AU1501">
            <v>0.68345410029999998</v>
          </cell>
          <cell r="AV1501">
            <v>0.68265721759999998</v>
          </cell>
          <cell r="AW1501">
            <v>0.68189123009999997</v>
          </cell>
          <cell r="AX1501">
            <v>0.68115500120000005</v>
          </cell>
          <cell r="AY1501">
            <v>0.68044684560000002</v>
          </cell>
          <cell r="AZ1501">
            <v>0.67977891729999995</v>
          </cell>
          <cell r="BA1501">
            <v>0.67914908159999998</v>
          </cell>
          <cell r="BB1501">
            <v>0.6785546066</v>
          </cell>
          <cell r="BC1501">
            <v>0.67799311240000004</v>
          </cell>
          <cell r="BD1501">
            <v>0.67746237549999999</v>
          </cell>
          <cell r="BE1501">
            <v>0.67696020999999995</v>
          </cell>
          <cell r="BF1501">
            <v>0.67648451190000003</v>
          </cell>
          <cell r="BG1501">
            <v>0.67603336839999995</v>
          </cell>
          <cell r="BH1501">
            <v>0.67560515970000001</v>
          </cell>
          <cell r="BI1501">
            <v>0.67519861719999996</v>
          </cell>
        </row>
        <row r="1502">
          <cell r="F1502">
            <v>86.953616359999998</v>
          </cell>
          <cell r="G1502">
            <v>86.202505889999998</v>
          </cell>
          <cell r="H1502">
            <v>85.361558239999994</v>
          </cell>
          <cell r="I1502">
            <v>84.585737069999993</v>
          </cell>
          <cell r="J1502">
            <v>83.932876809999996</v>
          </cell>
          <cell r="K1502">
            <v>83.421130919999996</v>
          </cell>
          <cell r="L1502">
            <v>83.017500859999998</v>
          </cell>
          <cell r="M1502">
            <v>82.702548410000006</v>
          </cell>
          <cell r="N1502">
            <v>82.454866730000006</v>
          </cell>
          <cell r="O1502">
            <v>82.251870159999996</v>
          </cell>
          <cell r="P1502">
            <v>82.114235260000001</v>
          </cell>
          <cell r="Q1502">
            <v>81.979240349999998</v>
          </cell>
          <cell r="R1502">
            <v>81.829340680000001</v>
          </cell>
          <cell r="S1502">
            <v>81.659127609999999</v>
          </cell>
          <cell r="T1502">
            <v>81.468156300000004</v>
          </cell>
          <cell r="U1502">
            <v>81.258220429999994</v>
          </cell>
          <cell r="V1502">
            <v>81.03199481</v>
          </cell>
          <cell r="W1502">
            <v>80.79235765</v>
          </cell>
          <cell r="X1502">
            <v>80.542114310000002</v>
          </cell>
          <cell r="Y1502">
            <v>80.283928259999996</v>
          </cell>
          <cell r="Z1502">
            <v>79.993247159999996</v>
          </cell>
          <cell r="AA1502">
            <v>79.702822560000001</v>
          </cell>
          <cell r="AB1502">
            <v>79.418898600000006</v>
          </cell>
          <cell r="AC1502">
            <v>79.142740939999996</v>
          </cell>
          <cell r="AD1502">
            <v>78.874743570000007</v>
          </cell>
          <cell r="AE1502">
            <v>78.542756299999994</v>
          </cell>
          <cell r="AF1502">
            <v>78.194698430000003</v>
          </cell>
          <cell r="AG1502">
            <v>77.845825079999997</v>
          </cell>
          <cell r="AH1502">
            <v>77.503334629999998</v>
          </cell>
          <cell r="AI1502">
            <v>77.171244439999995</v>
          </cell>
          <cell r="AJ1502">
            <v>76.851950149999993</v>
          </cell>
          <cell r="AK1502">
            <v>76.546828550000001</v>
          </cell>
          <cell r="AL1502">
            <v>76.256545689999996</v>
          </cell>
          <cell r="AM1502">
            <v>75.981235650000002</v>
          </cell>
          <cell r="AN1502">
            <v>75.720627210000004</v>
          </cell>
          <cell r="AO1502">
            <v>75.474146009999998</v>
          </cell>
          <cell r="AP1502">
            <v>75.22604681</v>
          </cell>
          <cell r="AQ1502">
            <v>74.977225110000006</v>
          </cell>
          <cell r="AR1502">
            <v>74.730613559999995</v>
          </cell>
          <cell r="AS1502">
            <v>74.488611719999994</v>
          </cell>
          <cell r="AT1502">
            <v>74.25274383</v>
          </cell>
          <cell r="AU1502">
            <v>74.023804659999996</v>
          </cell>
          <cell r="AV1502">
            <v>73.80206527</v>
          </cell>
          <cell r="AW1502">
            <v>73.587444899999994</v>
          </cell>
          <cell r="AX1502">
            <v>73.379639409999996</v>
          </cell>
          <cell r="AY1502">
            <v>73.178273110000006</v>
          </cell>
          <cell r="AZ1502">
            <v>72.984246029999994</v>
          </cell>
          <cell r="BA1502">
            <v>72.797241260000007</v>
          </cell>
          <cell r="BB1502">
            <v>72.616822119999995</v>
          </cell>
          <cell r="BC1502">
            <v>72.442577749999998</v>
          </cell>
          <cell r="BD1502">
            <v>72.274130760000006</v>
          </cell>
          <cell r="BE1502">
            <v>72.111136560000006</v>
          </cell>
          <cell r="BF1502">
            <v>71.953291010000001</v>
          </cell>
          <cell r="BG1502">
            <v>71.800340689999999</v>
          </cell>
          <cell r="BH1502">
            <v>71.652089950000004</v>
          </cell>
          <cell r="BI1502">
            <v>71.508402459999999</v>
          </cell>
        </row>
        <row r="1512">
          <cell r="F1512">
            <v>1966899.7660000001</v>
          </cell>
          <cell r="G1512">
            <v>1956553.2609999999</v>
          </cell>
          <cell r="H1512">
            <v>1976141.922</v>
          </cell>
          <cell r="I1512">
            <v>1997870.7830000001</v>
          </cell>
          <cell r="J1512">
            <v>2022212.0519999999</v>
          </cell>
          <cell r="K1512">
            <v>2048888.9240000001</v>
          </cell>
          <cell r="L1512">
            <v>2076111.3559999999</v>
          </cell>
          <cell r="M1512">
            <v>2104684.1260000002</v>
          </cell>
          <cell r="N1512">
            <v>2134425.574</v>
          </cell>
          <cell r="O1512">
            <v>2165181.2039999999</v>
          </cell>
          <cell r="P1512">
            <v>2199284.52</v>
          </cell>
          <cell r="Q1512">
            <v>2232125.7510000002</v>
          </cell>
          <cell r="R1512">
            <v>2265486.642</v>
          </cell>
          <cell r="S1512">
            <v>2299287.409</v>
          </cell>
          <cell r="T1512">
            <v>2333488.6009999998</v>
          </cell>
          <cell r="U1512">
            <v>2368073.497</v>
          </cell>
          <cell r="V1512">
            <v>2402891.733</v>
          </cell>
          <cell r="W1512">
            <v>2438084.6320000002</v>
          </cell>
          <cell r="X1512">
            <v>2473671.48</v>
          </cell>
          <cell r="Y1512">
            <v>2509677.2769999998</v>
          </cell>
          <cell r="Z1512">
            <v>2544303.9950000001</v>
          </cell>
          <cell r="AA1512">
            <v>2580774.6039999998</v>
          </cell>
          <cell r="AB1512">
            <v>2617822.21</v>
          </cell>
          <cell r="AC1512">
            <v>2655471.0410000002</v>
          </cell>
          <cell r="AD1512">
            <v>2693731.16</v>
          </cell>
          <cell r="AE1512">
            <v>2727362.1579999998</v>
          </cell>
          <cell r="AF1512">
            <v>2763130.5649999999</v>
          </cell>
          <cell r="AG1512">
            <v>2799126.9240000001</v>
          </cell>
          <cell r="AH1512">
            <v>2835472.7940000002</v>
          </cell>
          <cell r="AI1512">
            <v>2872257.1779999998</v>
          </cell>
          <cell r="AJ1512">
            <v>2909548.0690000001</v>
          </cell>
          <cell r="AK1512">
            <v>2947427.861</v>
          </cell>
          <cell r="AL1512">
            <v>2985899.6290000002</v>
          </cell>
          <cell r="AM1512">
            <v>3024981.3360000001</v>
          </cell>
          <cell r="AN1512">
            <v>3064680.8160000001</v>
          </cell>
          <cell r="AO1512">
            <v>3104999.9070000001</v>
          </cell>
          <cell r="AP1512">
            <v>3144973.662</v>
          </cell>
          <cell r="AQ1512">
            <v>3185277.6869999999</v>
          </cell>
          <cell r="AR1512">
            <v>3225960.3169999998</v>
          </cell>
          <cell r="AS1512">
            <v>3267067.1170000001</v>
          </cell>
          <cell r="AT1512">
            <v>3308639.06</v>
          </cell>
          <cell r="AU1512">
            <v>3350758.7779999999</v>
          </cell>
          <cell r="AV1512">
            <v>3393413.8560000001</v>
          </cell>
          <cell r="AW1512">
            <v>3436624.0159999998</v>
          </cell>
          <cell r="AX1512">
            <v>3480401.852</v>
          </cell>
          <cell r="AY1512">
            <v>3524755.2749999999</v>
          </cell>
          <cell r="AZ1512">
            <v>3569965.3029999998</v>
          </cell>
          <cell r="BA1512">
            <v>3615815.2719999999</v>
          </cell>
          <cell r="BB1512">
            <v>3662299.5260000001</v>
          </cell>
          <cell r="BC1512">
            <v>3709409.5070000002</v>
          </cell>
          <cell r="BD1512">
            <v>3757138.773</v>
          </cell>
          <cell r="BE1512">
            <v>3805585.8620000002</v>
          </cell>
          <cell r="BF1512">
            <v>3854665.4679999999</v>
          </cell>
          <cell r="BG1512">
            <v>3904377.929</v>
          </cell>
          <cell r="BH1512">
            <v>3954724.202</v>
          </cell>
          <cell r="BI1512">
            <v>4005707.8309999998</v>
          </cell>
        </row>
        <row r="1513">
          <cell r="F1513">
            <v>36075.172359999997</v>
          </cell>
          <cell r="G1513">
            <v>35472.31609</v>
          </cell>
          <cell r="H1513">
            <v>35632.103360000001</v>
          </cell>
          <cell r="I1513">
            <v>35828.373540000001</v>
          </cell>
          <cell r="J1513">
            <v>36092.27115</v>
          </cell>
          <cell r="K1513">
            <v>36420.574059999999</v>
          </cell>
          <cell r="L1513">
            <v>36779.23302</v>
          </cell>
          <cell r="M1513">
            <v>37175.941559999999</v>
          </cell>
          <cell r="N1513">
            <v>37604.32804</v>
          </cell>
          <cell r="O1513">
            <v>38058.769339999999</v>
          </cell>
          <cell r="P1513">
            <v>38574.403760000001</v>
          </cell>
          <cell r="Q1513">
            <v>39075.248420000004</v>
          </cell>
          <cell r="R1513">
            <v>39586.516989999996</v>
          </cell>
          <cell r="S1513">
            <v>40105.50419</v>
          </cell>
          <cell r="T1513">
            <v>40630.564729999998</v>
          </cell>
          <cell r="U1513">
            <v>41160.77173</v>
          </cell>
          <cell r="V1513">
            <v>41691.803370000001</v>
          </cell>
          <cell r="W1513">
            <v>42227.022470000004</v>
          </cell>
          <cell r="X1513">
            <v>42766.531640000001</v>
          </cell>
          <cell r="Y1513">
            <v>43310.682460000004</v>
          </cell>
          <cell r="Z1513">
            <v>43830.662759999999</v>
          </cell>
          <cell r="AA1513">
            <v>44376.335279999999</v>
          </cell>
          <cell r="AB1513">
            <v>44929.856670000001</v>
          </cell>
          <cell r="AC1513">
            <v>45491.660889999999</v>
          </cell>
          <cell r="AD1513">
            <v>46061.943169999999</v>
          </cell>
          <cell r="AE1513">
            <v>46557.295259999999</v>
          </cell>
          <cell r="AF1513">
            <v>47080.682540000002</v>
          </cell>
          <cell r="AG1513">
            <v>47605.627800000002</v>
          </cell>
          <cell r="AH1513">
            <v>48134.800770000002</v>
          </cell>
          <cell r="AI1513">
            <v>48670.242910000001</v>
          </cell>
          <cell r="AJ1513">
            <v>49213.488109999998</v>
          </cell>
          <cell r="AK1513">
            <v>49766.498119999997</v>
          </cell>
          <cell r="AL1513">
            <v>50329.217969999998</v>
          </cell>
          <cell r="AM1513">
            <v>50902.061909999997</v>
          </cell>
          <cell r="AN1513">
            <v>51485.208879999998</v>
          </cell>
          <cell r="AO1513">
            <v>52078.704530000003</v>
          </cell>
          <cell r="AP1513">
            <v>52670.455730000001</v>
          </cell>
          <cell r="AQ1513">
            <v>53267.0167</v>
          </cell>
          <cell r="AR1513">
            <v>53869.568509999997</v>
          </cell>
          <cell r="AS1513">
            <v>54479.072359999998</v>
          </cell>
          <cell r="AT1513">
            <v>55096.383289999998</v>
          </cell>
          <cell r="AU1513">
            <v>55723.462679999997</v>
          </cell>
          <cell r="AV1513">
            <v>56359.80833</v>
          </cell>
          <cell r="AW1513">
            <v>57005.81725</v>
          </cell>
          <cell r="AX1513">
            <v>57661.707920000001</v>
          </cell>
          <cell r="AY1513">
            <v>58327.592199999999</v>
          </cell>
          <cell r="AZ1513">
            <v>59009.497080000001</v>
          </cell>
          <cell r="BA1513">
            <v>59702.644699999997</v>
          </cell>
          <cell r="BB1513">
            <v>60406.890939999997</v>
          </cell>
          <cell r="BC1513">
            <v>61121.955929999996</v>
          </cell>
          <cell r="BD1513">
            <v>61847.591780000002</v>
          </cell>
          <cell r="BE1513">
            <v>62586.25662</v>
          </cell>
          <cell r="BF1513">
            <v>63335.595179999997</v>
          </cell>
          <cell r="BG1513">
            <v>64095.543680000002</v>
          </cell>
          <cell r="BH1513">
            <v>64866.00765</v>
          </cell>
          <cell r="BI1513">
            <v>65646.943350000001</v>
          </cell>
        </row>
        <row r="1516">
          <cell r="F1516">
            <v>331507.98979999998</v>
          </cell>
          <cell r="G1516">
            <v>325944.49459999998</v>
          </cell>
          <cell r="H1516">
            <v>330331.1949</v>
          </cell>
          <cell r="I1516">
            <v>334233.11780000001</v>
          </cell>
          <cell r="J1516">
            <v>338408.62689999997</v>
          </cell>
          <cell r="K1516">
            <v>342886.58689999999</v>
          </cell>
          <cell r="L1516">
            <v>347375.64919999999</v>
          </cell>
          <cell r="M1516">
            <v>352041.69569999998</v>
          </cell>
          <cell r="N1516">
            <v>356852.00880000001</v>
          </cell>
          <cell r="O1516">
            <v>361790.80129999999</v>
          </cell>
          <cell r="P1516">
            <v>367254.82059999998</v>
          </cell>
          <cell r="Q1516">
            <v>372442.77679999999</v>
          </cell>
          <cell r="R1516">
            <v>377735.47200000001</v>
          </cell>
          <cell r="S1516">
            <v>383103.70890000003</v>
          </cell>
          <cell r="T1516">
            <v>388543.60560000001</v>
          </cell>
          <cell r="U1516">
            <v>394056.92170000001</v>
          </cell>
          <cell r="V1516">
            <v>399605.28389999998</v>
          </cell>
          <cell r="W1516">
            <v>405238.79350000003</v>
          </cell>
          <cell r="X1516">
            <v>410960.06050000002</v>
          </cell>
          <cell r="Y1516">
            <v>416775.65139999997</v>
          </cell>
          <cell r="Z1516">
            <v>422393.48019999999</v>
          </cell>
          <cell r="AA1516">
            <v>428364.98820000002</v>
          </cell>
          <cell r="AB1516">
            <v>434444.07770000002</v>
          </cell>
          <cell r="AC1516">
            <v>440649.39319999999</v>
          </cell>
          <cell r="AD1516">
            <v>446985.1936</v>
          </cell>
          <cell r="AE1516">
            <v>452597.78940000001</v>
          </cell>
          <cell r="AF1516">
            <v>458656.58390000003</v>
          </cell>
          <cell r="AG1516">
            <v>464756.40350000001</v>
          </cell>
          <cell r="AH1516">
            <v>470932.13319999998</v>
          </cell>
          <cell r="AI1516">
            <v>477196.80420000001</v>
          </cell>
          <cell r="AJ1516">
            <v>483558.06040000002</v>
          </cell>
          <cell r="AK1516">
            <v>490030.10279999999</v>
          </cell>
          <cell r="AL1516">
            <v>496605.39769999997</v>
          </cell>
          <cell r="AM1516">
            <v>503285.09240000002</v>
          </cell>
          <cell r="AN1516">
            <v>510068.0907</v>
          </cell>
          <cell r="AO1516">
            <v>516952.348</v>
          </cell>
          <cell r="AP1516">
            <v>523814.9792</v>
          </cell>
          <cell r="AQ1516">
            <v>530730.96950000001</v>
          </cell>
          <cell r="AR1516">
            <v>537701.7328</v>
          </cell>
          <cell r="AS1516">
            <v>544730.68790000002</v>
          </cell>
          <cell r="AT1516">
            <v>551821.34290000005</v>
          </cell>
          <cell r="AU1516">
            <v>558990.27989999996</v>
          </cell>
          <cell r="AV1516">
            <v>566226.22050000005</v>
          </cell>
          <cell r="AW1516">
            <v>573531.97270000004</v>
          </cell>
          <cell r="AX1516">
            <v>580908.51980000001</v>
          </cell>
          <cell r="AY1516">
            <v>588356.29099999997</v>
          </cell>
          <cell r="AZ1516">
            <v>595939.80689999997</v>
          </cell>
          <cell r="BA1516">
            <v>603598.16799999995</v>
          </cell>
          <cell r="BB1516">
            <v>611335.48540000001</v>
          </cell>
          <cell r="BC1516">
            <v>619151.17200000002</v>
          </cell>
          <cell r="BD1516">
            <v>627044.60100000002</v>
          </cell>
          <cell r="BE1516">
            <v>635044.51769999997</v>
          </cell>
          <cell r="BF1516">
            <v>643122.45940000005</v>
          </cell>
          <cell r="BG1516">
            <v>651281.7132</v>
          </cell>
          <cell r="BH1516">
            <v>659523.47809999995</v>
          </cell>
          <cell r="BI1516">
            <v>667849.17310000001</v>
          </cell>
        </row>
        <row r="1528">
          <cell r="F1528">
            <v>48478.047610000001</v>
          </cell>
          <cell r="G1528">
            <v>47731.57879</v>
          </cell>
          <cell r="H1528">
            <v>48283.38639</v>
          </cell>
          <cell r="I1528">
            <v>48787.80242</v>
          </cell>
          <cell r="J1528">
            <v>49342.854930000001</v>
          </cell>
          <cell r="K1528">
            <v>49953.256990000002</v>
          </cell>
          <cell r="L1528">
            <v>50575.445849999996</v>
          </cell>
          <cell r="M1528">
            <v>51232.487410000002</v>
          </cell>
          <cell r="N1528">
            <v>51917.15092</v>
          </cell>
          <cell r="O1528">
            <v>52624.229370000001</v>
          </cell>
          <cell r="P1528">
            <v>53410.644950000002</v>
          </cell>
          <cell r="Q1528">
            <v>54154.118600000002</v>
          </cell>
          <cell r="R1528">
            <v>54908.92843</v>
          </cell>
          <cell r="S1528">
            <v>55670.042390000002</v>
          </cell>
          <cell r="T1528">
            <v>56435.916129999998</v>
          </cell>
          <cell r="U1528">
            <v>57206.058340000003</v>
          </cell>
          <cell r="V1528">
            <v>57974.831810000003</v>
          </cell>
          <cell r="W1528">
            <v>58748.564039999997</v>
          </cell>
          <cell r="X1528">
            <v>59527.497020000003</v>
          </cell>
          <cell r="Y1528">
            <v>60312.467559999997</v>
          </cell>
          <cell r="Z1528">
            <v>61059.321989999997</v>
          </cell>
          <cell r="AA1528">
            <v>61851.797749999998</v>
          </cell>
          <cell r="AB1528">
            <v>62653.152300000002</v>
          </cell>
          <cell r="AC1528">
            <v>63465.939879999998</v>
          </cell>
          <cell r="AD1528">
            <v>64290.970300000001</v>
          </cell>
          <cell r="AE1528">
            <v>64999.443189999998</v>
          </cell>
          <cell r="AF1528">
            <v>65769.642569999996</v>
          </cell>
          <cell r="AG1528">
            <v>66542.452619999996</v>
          </cell>
          <cell r="AH1528">
            <v>67323.283739999999</v>
          </cell>
          <cell r="AI1528">
            <v>68114.803119999997</v>
          </cell>
          <cell r="AJ1528">
            <v>68918.838780000005</v>
          </cell>
          <cell r="AK1528">
            <v>69737.941080000004</v>
          </cell>
          <cell r="AL1528">
            <v>70571.633360000007</v>
          </cell>
          <cell r="AM1528">
            <v>71420.47279</v>
          </cell>
          <cell r="AN1528">
            <v>72284.656359999994</v>
          </cell>
          <cell r="AO1528">
            <v>73164.205010000005</v>
          </cell>
          <cell r="AP1528">
            <v>74039.384680000003</v>
          </cell>
          <cell r="AQ1528">
            <v>74923.932029999996</v>
          </cell>
          <cell r="AR1528">
            <v>75818.609930000006</v>
          </cell>
          <cell r="AS1528">
            <v>76724.367410000006</v>
          </cell>
          <cell r="AT1528">
            <v>77642.097869999998</v>
          </cell>
          <cell r="AU1528">
            <v>78574.365399999995</v>
          </cell>
          <cell r="AV1528">
            <v>79519.943090000001</v>
          </cell>
          <cell r="AW1528">
            <v>80479.367840000006</v>
          </cell>
          <cell r="AX1528">
            <v>81452.879879999993</v>
          </cell>
          <cell r="AY1528">
            <v>82440.594200000007</v>
          </cell>
          <cell r="AZ1528">
            <v>83451.495540000004</v>
          </cell>
          <cell r="BA1528">
            <v>84477.200159999993</v>
          </cell>
          <cell r="BB1528">
            <v>85518.117110000007</v>
          </cell>
          <cell r="BC1528">
            <v>86574.062770000004</v>
          </cell>
          <cell r="BD1528">
            <v>87644.836410000004</v>
          </cell>
          <cell r="BE1528">
            <v>88734.164130000005</v>
          </cell>
          <cell r="BF1528">
            <v>89838.160900000003</v>
          </cell>
          <cell r="BG1528">
            <v>90957.10355</v>
          </cell>
          <cell r="BH1528">
            <v>92091.019459999996</v>
          </cell>
          <cell r="BI1528">
            <v>93239.967730000004</v>
          </cell>
        </row>
        <row r="1533">
          <cell r="F1533">
            <v>1512274.1040000001</v>
          </cell>
          <cell r="G1533">
            <v>1509210.3859999999</v>
          </cell>
          <cell r="H1533">
            <v>1523545.328</v>
          </cell>
          <cell r="I1533">
            <v>1540537.1969999999</v>
          </cell>
          <cell r="J1533">
            <v>1559713.0160000001</v>
          </cell>
          <cell r="K1533">
            <v>1580753.902</v>
          </cell>
          <cell r="L1533">
            <v>1602266.5009999999</v>
          </cell>
          <cell r="M1533">
            <v>1624849.5889999999</v>
          </cell>
          <cell r="N1533">
            <v>1648373.723</v>
          </cell>
          <cell r="O1533">
            <v>1672717.362</v>
          </cell>
          <cell r="P1533">
            <v>1699691.0719999999</v>
          </cell>
          <cell r="Q1533">
            <v>1725761.452</v>
          </cell>
          <cell r="R1533">
            <v>1752223.578</v>
          </cell>
          <cell r="S1533">
            <v>1779035.6429999999</v>
          </cell>
          <cell r="T1533">
            <v>1806166.196</v>
          </cell>
          <cell r="U1533">
            <v>1833598.7</v>
          </cell>
          <cell r="V1533">
            <v>1861234.652</v>
          </cell>
          <cell r="W1533">
            <v>1889152.649</v>
          </cell>
          <cell r="X1533">
            <v>1917368.395</v>
          </cell>
          <cell r="Y1533">
            <v>1945898.2819999999</v>
          </cell>
          <cell r="Z1533">
            <v>1973336.6129999999</v>
          </cell>
          <cell r="AA1533">
            <v>2002170.513</v>
          </cell>
          <cell r="AB1533">
            <v>2031452.0970000001</v>
          </cell>
          <cell r="AC1533">
            <v>2061183.7169999999</v>
          </cell>
          <cell r="AD1533">
            <v>2091369.577</v>
          </cell>
          <cell r="AE1533">
            <v>2117914.3659999999</v>
          </cell>
          <cell r="AF1533">
            <v>2146029.0929999999</v>
          </cell>
          <cell r="AG1533">
            <v>2174321.821</v>
          </cell>
          <cell r="AH1533">
            <v>2202869.83</v>
          </cell>
          <cell r="AI1533">
            <v>2231743.0240000002</v>
          </cell>
          <cell r="AJ1533">
            <v>2260997.31</v>
          </cell>
          <cell r="AK1533">
            <v>2290694.8629999999</v>
          </cell>
          <cell r="AL1533">
            <v>2320846.787</v>
          </cell>
          <cell r="AM1533">
            <v>2351468.6090000002</v>
          </cell>
          <cell r="AN1533">
            <v>2382568.753</v>
          </cell>
          <cell r="AO1533">
            <v>2414151.0359999998</v>
          </cell>
          <cell r="AP1533">
            <v>2445417.9849999999</v>
          </cell>
          <cell r="AQ1533">
            <v>2476940.6749999998</v>
          </cell>
          <cell r="AR1533">
            <v>2508763.2230000002</v>
          </cell>
          <cell r="AS1533">
            <v>2540925.5350000001</v>
          </cell>
          <cell r="AT1533">
            <v>2573463.1189999999</v>
          </cell>
          <cell r="AU1533">
            <v>2606436.4530000002</v>
          </cell>
          <cell r="AV1533">
            <v>2639846.7289999998</v>
          </cell>
          <cell r="AW1533">
            <v>2673709.9449999998</v>
          </cell>
          <cell r="AX1533">
            <v>2708037.3330000001</v>
          </cell>
          <cell r="AY1533">
            <v>2742836.25</v>
          </cell>
          <cell r="AZ1533">
            <v>2778303.6949999998</v>
          </cell>
          <cell r="BA1533">
            <v>2814300.588</v>
          </cell>
          <cell r="BB1533">
            <v>2850817.219</v>
          </cell>
          <cell r="BC1533">
            <v>2887846.4449999998</v>
          </cell>
          <cell r="BD1533">
            <v>2925383.179</v>
          </cell>
          <cell r="BE1533">
            <v>2963489.44</v>
          </cell>
          <cell r="BF1533">
            <v>3002116.0359999998</v>
          </cell>
          <cell r="BG1533">
            <v>3041259.9049999998</v>
          </cell>
          <cell r="BH1533">
            <v>3080920.9750000001</v>
          </cell>
          <cell r="BI1533">
            <v>3121101.3859999999</v>
          </cell>
        </row>
        <row r="1537">
          <cell r="F1537">
            <v>-2123.5958479999999</v>
          </cell>
          <cell r="G1537">
            <v>-2171.9567619999998</v>
          </cell>
          <cell r="H1537">
            <v>-2097.036024</v>
          </cell>
          <cell r="I1537">
            <v>-2088.2766259999999</v>
          </cell>
          <cell r="J1537">
            <v>-2094.922705</v>
          </cell>
          <cell r="K1537">
            <v>-2107.848962</v>
          </cell>
          <cell r="L1537">
            <v>-2125.6246609999998</v>
          </cell>
          <cell r="M1537">
            <v>-2144.7717779999998</v>
          </cell>
          <cell r="N1537">
            <v>-2165.8545330000002</v>
          </cell>
          <cell r="O1537">
            <v>-2188.5684339999998</v>
          </cell>
          <cell r="P1537">
            <v>-2211.6694210000001</v>
          </cell>
          <cell r="Q1537">
            <v>-2239.7370249999999</v>
          </cell>
          <cell r="R1537">
            <v>-2265.8054889999999</v>
          </cell>
          <cell r="S1537">
            <v>-2291.7028089999999</v>
          </cell>
          <cell r="T1537">
            <v>-2317.76235</v>
          </cell>
          <cell r="U1537">
            <v>-2343.9997370000001</v>
          </cell>
          <cell r="V1537">
            <v>-2370.4840079999999</v>
          </cell>
          <cell r="W1537">
            <v>-2396.7061520000002</v>
          </cell>
          <cell r="X1537">
            <v>-2422.9950090000002</v>
          </cell>
          <cell r="Y1537">
            <v>-2449.4269180000001</v>
          </cell>
          <cell r="Z1537">
            <v>-2476.6283680000001</v>
          </cell>
          <cell r="AA1537">
            <v>-2501.1416810000001</v>
          </cell>
          <cell r="AB1537">
            <v>-2527.4999349999998</v>
          </cell>
          <cell r="AC1537">
            <v>-2554.504653</v>
          </cell>
          <cell r="AD1537">
            <v>-2581.8960849999999</v>
          </cell>
          <cell r="AE1537">
            <v>-2611.3354060000001</v>
          </cell>
          <cell r="AF1537">
            <v>-2633.6842150000002</v>
          </cell>
          <cell r="AG1537">
            <v>-2658.1004720000001</v>
          </cell>
          <cell r="AH1537">
            <v>-2683.1340810000002</v>
          </cell>
          <cell r="AI1537">
            <v>-2708.5007500000002</v>
          </cell>
          <cell r="AJ1537">
            <v>-2734.193303</v>
          </cell>
          <cell r="AK1537">
            <v>-2760.2278879999999</v>
          </cell>
          <cell r="AL1537">
            <v>-2786.749808</v>
          </cell>
          <cell r="AM1537">
            <v>-2813.7145500000001</v>
          </cell>
          <cell r="AN1537">
            <v>-2841.1248869999999</v>
          </cell>
          <cell r="AO1537">
            <v>-2868.9867720000002</v>
          </cell>
          <cell r="AP1537">
            <v>-2897.5131809999998</v>
          </cell>
          <cell r="AQ1537">
            <v>-2925.716238</v>
          </cell>
          <cell r="AR1537">
            <v>-2954.0357330000002</v>
          </cell>
          <cell r="AS1537">
            <v>-2982.6115949999999</v>
          </cell>
          <cell r="AT1537">
            <v>-3011.4993800000002</v>
          </cell>
          <cell r="AU1537">
            <v>-3040.701388</v>
          </cell>
          <cell r="AV1537">
            <v>-3070.3919460000002</v>
          </cell>
          <cell r="AW1537">
            <v>-3100.4897310000001</v>
          </cell>
          <cell r="AX1537">
            <v>-3130.9874180000002</v>
          </cell>
          <cell r="AY1537">
            <v>-3161.8887289999998</v>
          </cell>
          <cell r="AZ1537">
            <v>-3193.0577920000001</v>
          </cell>
          <cell r="BA1537">
            <v>-3225.1738359999999</v>
          </cell>
          <cell r="BB1537">
            <v>-3257.8081280000001</v>
          </cell>
          <cell r="BC1537">
            <v>-3290.8706109999998</v>
          </cell>
          <cell r="BD1537">
            <v>-3324.3413970000001</v>
          </cell>
          <cell r="BE1537">
            <v>-3358.1501330000001</v>
          </cell>
          <cell r="BF1537">
            <v>-3392.6083789999998</v>
          </cell>
          <cell r="BG1537">
            <v>-3427.5079730000002</v>
          </cell>
          <cell r="BH1537">
            <v>-3462.808755</v>
          </cell>
          <cell r="BI1537">
            <v>-3498.5053280000002</v>
          </cell>
        </row>
        <row r="1538">
          <cell r="F1538">
            <v>-612.76103179999996</v>
          </cell>
          <cell r="G1538">
            <v>-612.01591269999994</v>
          </cell>
          <cell r="H1538">
            <v>-603.31705650000004</v>
          </cell>
          <cell r="I1538">
            <v>-602.53046589999997</v>
          </cell>
          <cell r="J1538">
            <v>-604.1109606</v>
          </cell>
          <cell r="K1538">
            <v>-607.21526340000003</v>
          </cell>
          <cell r="L1538">
            <v>-611.42253559999995</v>
          </cell>
          <cell r="M1538">
            <v>-616.34956669999997</v>
          </cell>
          <cell r="N1538">
            <v>-621.92520249999995</v>
          </cell>
          <cell r="O1538">
            <v>-628.00518529999999</v>
          </cell>
          <cell r="P1538">
            <v>-634.66964800000005</v>
          </cell>
          <cell r="Q1538">
            <v>-641.81309710000005</v>
          </cell>
          <cell r="R1538">
            <v>-648.88402659999997</v>
          </cell>
          <cell r="S1538">
            <v>-656.06357409999998</v>
          </cell>
          <cell r="T1538">
            <v>-663.35646699999995</v>
          </cell>
          <cell r="U1538">
            <v>-670.7437271</v>
          </cell>
          <cell r="V1538">
            <v>-678.18523889999994</v>
          </cell>
          <cell r="W1538">
            <v>-685.64934870000002</v>
          </cell>
          <cell r="X1538">
            <v>-693.16523719999998</v>
          </cell>
          <cell r="Y1538">
            <v>-700.73478009999997</v>
          </cell>
          <cell r="Z1538">
            <v>-708.20975629999998</v>
          </cell>
          <cell r="AA1538">
            <v>-715.58563389999995</v>
          </cell>
          <cell r="AB1538">
            <v>-723.20161910000002</v>
          </cell>
          <cell r="AC1538">
            <v>-730.91898079999999</v>
          </cell>
          <cell r="AD1538">
            <v>-738.71502269999996</v>
          </cell>
          <cell r="AE1538">
            <v>-746.16662359999998</v>
          </cell>
          <cell r="AF1538">
            <v>-753.07180359999995</v>
          </cell>
          <cell r="AG1538">
            <v>-760.19482479999999</v>
          </cell>
          <cell r="AH1538">
            <v>-767.36746049999999</v>
          </cell>
          <cell r="AI1538">
            <v>-774.57623960000001</v>
          </cell>
          <cell r="AJ1538">
            <v>-781.83457099999998</v>
          </cell>
          <cell r="AK1538">
            <v>-789.16292829999998</v>
          </cell>
          <cell r="AL1538">
            <v>-796.57835009999997</v>
          </cell>
          <cell r="AM1538">
            <v>-804.08236590000001</v>
          </cell>
          <cell r="AN1538">
            <v>-811.68032960000005</v>
          </cell>
          <cell r="AO1538">
            <v>-819.37645090000001</v>
          </cell>
          <cell r="AP1538">
            <v>-827.1189081</v>
          </cell>
          <cell r="AQ1538">
            <v>-834.84444570000005</v>
          </cell>
          <cell r="AR1538">
            <v>-842.6087546</v>
          </cell>
          <cell r="AS1538">
            <v>-850.43161039999995</v>
          </cell>
          <cell r="AT1538">
            <v>-858.32421069999998</v>
          </cell>
          <cell r="AU1538">
            <v>-866.30231419999996</v>
          </cell>
          <cell r="AV1538">
            <v>-874.37915959999998</v>
          </cell>
          <cell r="AW1538">
            <v>-882.54945329999998</v>
          </cell>
          <cell r="AX1538">
            <v>-890.81549410000002</v>
          </cell>
          <cell r="AY1538">
            <v>-899.17961100000002</v>
          </cell>
          <cell r="AZ1538">
            <v>-907.67613540000002</v>
          </cell>
          <cell r="BA1538">
            <v>-916.33595089999994</v>
          </cell>
          <cell r="BB1538">
            <v>-925.11201740000001</v>
          </cell>
          <cell r="BC1538">
            <v>-933.99580790000005</v>
          </cell>
          <cell r="BD1538">
            <v>-942.9847565</v>
          </cell>
          <cell r="BE1538">
            <v>-952.0920625</v>
          </cell>
          <cell r="BF1538">
            <v>-961.32929609999997</v>
          </cell>
          <cell r="BG1538">
            <v>-970.67279970000004</v>
          </cell>
          <cell r="BH1538">
            <v>-980.1181934</v>
          </cell>
          <cell r="BI1538">
            <v>-989.66426220000005</v>
          </cell>
        </row>
        <row r="1540">
          <cell r="F1540">
            <v>494.85749379999999</v>
          </cell>
          <cell r="G1540">
            <v>487.23681090000002</v>
          </cell>
          <cell r="H1540">
            <v>488.95301089999998</v>
          </cell>
          <cell r="I1540">
            <v>491.80472329999998</v>
          </cell>
          <cell r="J1540">
            <v>495.29592480000002</v>
          </cell>
          <cell r="K1540">
            <v>499.37289800000002</v>
          </cell>
          <cell r="L1540">
            <v>503.64740060000003</v>
          </cell>
          <cell r="M1540">
            <v>508.28909629999998</v>
          </cell>
          <cell r="N1540">
            <v>513.26903279999999</v>
          </cell>
          <cell r="O1540">
            <v>518.53202309999995</v>
          </cell>
          <cell r="P1540">
            <v>524.5739992</v>
          </cell>
          <cell r="Q1540">
            <v>530.36072730000001</v>
          </cell>
          <cell r="R1540">
            <v>536.20543439999994</v>
          </cell>
          <cell r="S1540">
            <v>542.12789350000003</v>
          </cell>
          <cell r="T1540">
            <v>548.11846630000002</v>
          </cell>
          <cell r="U1540">
            <v>554.16516390000004</v>
          </cell>
          <cell r="V1540">
            <v>560.20236739999996</v>
          </cell>
          <cell r="W1540">
            <v>566.27273479999997</v>
          </cell>
          <cell r="X1540">
            <v>572.38261480000006</v>
          </cell>
          <cell r="Y1540">
            <v>578.53630369999996</v>
          </cell>
          <cell r="Z1540">
            <v>584.34307039999999</v>
          </cell>
          <cell r="AA1540">
            <v>590.47904600000004</v>
          </cell>
          <cell r="AB1540">
            <v>596.72913589999996</v>
          </cell>
          <cell r="AC1540">
            <v>603.06944810000005</v>
          </cell>
          <cell r="AD1540">
            <v>609.49801460000003</v>
          </cell>
          <cell r="AE1540">
            <v>614.89392810000004</v>
          </cell>
          <cell r="AF1540">
            <v>620.65455550000001</v>
          </cell>
          <cell r="AG1540">
            <v>626.49901750000004</v>
          </cell>
          <cell r="AH1540">
            <v>632.41283439999995</v>
          </cell>
          <cell r="AI1540">
            <v>638.40497960000005</v>
          </cell>
          <cell r="AJ1540">
            <v>644.48581000000001</v>
          </cell>
          <cell r="AK1540">
            <v>650.67764309999995</v>
          </cell>
          <cell r="AL1540">
            <v>656.97829669999999</v>
          </cell>
          <cell r="AM1540">
            <v>663.39210679999997</v>
          </cell>
          <cell r="AN1540">
            <v>669.92257099999995</v>
          </cell>
          <cell r="AO1540">
            <v>676.57196820000001</v>
          </cell>
          <cell r="AP1540">
            <v>683.18882959999996</v>
          </cell>
          <cell r="AQ1540">
            <v>689.86540830000001</v>
          </cell>
          <cell r="AR1540">
            <v>696.62247349999996</v>
          </cell>
          <cell r="AS1540">
            <v>703.46952969999995</v>
          </cell>
          <cell r="AT1540">
            <v>710.41278050000005</v>
          </cell>
          <cell r="AU1540">
            <v>717.47432719999995</v>
          </cell>
          <cell r="AV1540">
            <v>724.64393359999997</v>
          </cell>
          <cell r="AW1540">
            <v>731.92199800000003</v>
          </cell>
          <cell r="AX1540">
            <v>739.30937559999995</v>
          </cell>
          <cell r="AY1540">
            <v>746.80660150000006</v>
          </cell>
          <cell r="AZ1540">
            <v>754.49578120000001</v>
          </cell>
          <cell r="BA1540">
            <v>762.31544650000001</v>
          </cell>
          <cell r="BB1540">
            <v>770.25577209999994</v>
          </cell>
          <cell r="BC1540">
            <v>778.31289619999995</v>
          </cell>
          <cell r="BD1540">
            <v>786.48462719999998</v>
          </cell>
          <cell r="BE1540">
            <v>794.80581050000001</v>
          </cell>
          <cell r="BF1540">
            <v>803.24749680000002</v>
          </cell>
          <cell r="BG1540">
            <v>811.8053089</v>
          </cell>
          <cell r="BH1540">
            <v>820.47797379999997</v>
          </cell>
          <cell r="BI1540">
            <v>829.26533029999996</v>
          </cell>
        </row>
        <row r="1541">
          <cell r="F1541">
            <v>40596.111069999999</v>
          </cell>
          <cell r="G1541">
            <v>40284.947639999999</v>
          </cell>
          <cell r="H1541">
            <v>40354.007270000002</v>
          </cell>
          <cell r="I1541">
            <v>40474.717080000002</v>
          </cell>
          <cell r="J1541">
            <v>40648.948089999998</v>
          </cell>
          <cell r="K1541">
            <v>40878.488429999998</v>
          </cell>
          <cell r="L1541">
            <v>41134.314720000002</v>
          </cell>
          <cell r="M1541">
            <v>41421.666429999997</v>
          </cell>
          <cell r="N1541">
            <v>41735.186439999998</v>
          </cell>
          <cell r="O1541">
            <v>42068.168339999997</v>
          </cell>
          <cell r="P1541">
            <v>42452.856460000003</v>
          </cell>
          <cell r="Q1541">
            <v>42818.421159999998</v>
          </cell>
          <cell r="R1541">
            <v>43183.237179999996</v>
          </cell>
          <cell r="S1541">
            <v>43548.248269999996</v>
          </cell>
          <cell r="T1541">
            <v>43912.881329999997</v>
          </cell>
          <cell r="U1541">
            <v>44276.624280000004</v>
          </cell>
          <cell r="V1541">
            <v>44636.073369999998</v>
          </cell>
          <cell r="W1541">
            <v>44993.557809999998</v>
          </cell>
          <cell r="X1541">
            <v>45350.054880000003</v>
          </cell>
          <cell r="Y1541">
            <v>45706.491199999997</v>
          </cell>
          <cell r="Z1541">
            <v>46036.632510000003</v>
          </cell>
          <cell r="AA1541">
            <v>46386.827850000001</v>
          </cell>
          <cell r="AB1541">
            <v>46743.954890000001</v>
          </cell>
          <cell r="AC1541">
            <v>47106.950929999999</v>
          </cell>
          <cell r="AD1541">
            <v>47476.129159999997</v>
          </cell>
          <cell r="AE1541">
            <v>47775.154020000002</v>
          </cell>
          <cell r="AF1541">
            <v>48097.49134</v>
          </cell>
          <cell r="AG1541">
            <v>48426.756930000003</v>
          </cell>
          <cell r="AH1541">
            <v>48762.665050000003</v>
          </cell>
          <cell r="AI1541">
            <v>49106.263250000004</v>
          </cell>
          <cell r="AJ1541">
            <v>49458.620150000002</v>
          </cell>
          <cell r="AK1541">
            <v>49821.248500000002</v>
          </cell>
          <cell r="AL1541">
            <v>50194.348539999999</v>
          </cell>
          <cell r="AM1541">
            <v>50578.190269999999</v>
          </cell>
          <cell r="AN1541">
            <v>50972.905500000001</v>
          </cell>
          <cell r="AO1541">
            <v>51378.499819999997</v>
          </cell>
          <cell r="AP1541">
            <v>51782.593419999997</v>
          </cell>
          <cell r="AQ1541">
            <v>52193.250599999999</v>
          </cell>
          <cell r="AR1541">
            <v>52611.801959999997</v>
          </cell>
          <cell r="AS1541">
            <v>53038.720269999998</v>
          </cell>
          <cell r="AT1541">
            <v>53474.275090000003</v>
          </cell>
          <cell r="AU1541">
            <v>53919.499510000001</v>
          </cell>
          <cell r="AV1541">
            <v>54373.99381</v>
          </cell>
          <cell r="AW1541">
            <v>54837.655489999997</v>
          </cell>
          <cell r="AX1541">
            <v>55310.396950000002</v>
          </cell>
          <cell r="AY1541">
            <v>55792.122360000001</v>
          </cell>
          <cell r="AZ1541">
            <v>56287.096680000002</v>
          </cell>
          <cell r="BA1541">
            <v>56792.600270000003</v>
          </cell>
          <cell r="BB1541">
            <v>57307.845090000003</v>
          </cell>
          <cell r="BC1541">
            <v>57832.376349999999</v>
          </cell>
          <cell r="BD1541">
            <v>58365.893360000002</v>
          </cell>
          <cell r="BE1541">
            <v>58909.877540000001</v>
          </cell>
          <cell r="BF1541">
            <v>59463.284729999999</v>
          </cell>
          <cell r="BG1541">
            <v>60025.788310000004</v>
          </cell>
          <cell r="BH1541">
            <v>60597.242480000001</v>
          </cell>
          <cell r="BI1541">
            <v>61177.611850000001</v>
          </cell>
        </row>
        <row r="1551">
          <cell r="F1551">
            <v>1969443.8559999999</v>
          </cell>
          <cell r="G1551">
            <v>1961793.702</v>
          </cell>
          <cell r="H1551">
            <v>1984352.382</v>
          </cell>
          <cell r="I1551">
            <v>2009239.068</v>
          </cell>
          <cell r="J1551">
            <v>2036867.4950000001</v>
          </cell>
          <cell r="K1551">
            <v>2066919.1810000001</v>
          </cell>
          <cell r="L1551">
            <v>2097598.8130000001</v>
          </cell>
          <cell r="M1551">
            <v>2129665.574</v>
          </cell>
          <cell r="N1551">
            <v>2162921.7629999998</v>
          </cell>
          <cell r="O1551">
            <v>2197201.4730000002</v>
          </cell>
          <cell r="P1551">
            <v>2234865.3360000001</v>
          </cell>
          <cell r="Q1551">
            <v>2271386.6680000001</v>
          </cell>
          <cell r="R1551">
            <v>2308439.3849999998</v>
          </cell>
          <cell r="S1551">
            <v>2345937.4309999999</v>
          </cell>
          <cell r="T1551">
            <v>2383834.7680000002</v>
          </cell>
          <cell r="U1551">
            <v>2422110.6090000002</v>
          </cell>
          <cell r="V1551">
            <v>2460763.5180000002</v>
          </cell>
          <cell r="W1551">
            <v>2499805.824</v>
          </cell>
          <cell r="X1551">
            <v>2539258.5389999999</v>
          </cell>
          <cell r="Y1551">
            <v>2579147.429</v>
          </cell>
          <cell r="Z1551">
            <v>2617629.469</v>
          </cell>
          <cell r="AA1551">
            <v>2658006.5380000002</v>
          </cell>
          <cell r="AB1551">
            <v>2698989.28</v>
          </cell>
          <cell r="AC1551">
            <v>2740610.8149999999</v>
          </cell>
          <cell r="AD1551">
            <v>2782888.804</v>
          </cell>
          <cell r="AE1551">
            <v>2820425.2349999999</v>
          </cell>
          <cell r="AF1551">
            <v>2860119.0869999998</v>
          </cell>
          <cell r="AG1551">
            <v>2900066.844</v>
          </cell>
          <cell r="AH1551">
            <v>2940402.2459999998</v>
          </cell>
          <cell r="AI1551">
            <v>2981225.0249999999</v>
          </cell>
          <cell r="AJ1551">
            <v>3022611.2969999998</v>
          </cell>
          <cell r="AK1551">
            <v>3064615.3459999999</v>
          </cell>
          <cell r="AL1551">
            <v>3107272.5219999999</v>
          </cell>
          <cell r="AM1551">
            <v>3150603.023</v>
          </cell>
          <cell r="AN1551">
            <v>3194616.0789999999</v>
          </cell>
          <cell r="AO1551">
            <v>3239313.7059999998</v>
          </cell>
          <cell r="AP1551">
            <v>3283380.6</v>
          </cell>
          <cell r="AQ1551">
            <v>3327779.361</v>
          </cell>
          <cell r="AR1551">
            <v>3372561.7519999999</v>
          </cell>
          <cell r="AS1551">
            <v>3417784.3059999999</v>
          </cell>
          <cell r="AT1551">
            <v>3463498.267</v>
          </cell>
          <cell r="AU1551">
            <v>3509746.8080000002</v>
          </cell>
          <cell r="AV1551">
            <v>3556564.0649999999</v>
          </cell>
          <cell r="AW1551">
            <v>3603975.39</v>
          </cell>
          <cell r="AX1551">
            <v>3651998.497</v>
          </cell>
          <cell r="AY1551">
            <v>3700645.07</v>
          </cell>
          <cell r="AZ1551">
            <v>3750041.7519999999</v>
          </cell>
          <cell r="BA1551">
            <v>3800105.3480000002</v>
          </cell>
          <cell r="BB1551">
            <v>3850834.5529999998</v>
          </cell>
          <cell r="BC1551">
            <v>3902227.7319999998</v>
          </cell>
          <cell r="BD1551">
            <v>3954284.6140000001</v>
          </cell>
          <cell r="BE1551">
            <v>4007006.9759999998</v>
          </cell>
          <cell r="BF1551">
            <v>4060398.9389999998</v>
          </cell>
          <cell r="BG1551">
            <v>4114466.9610000001</v>
          </cell>
          <cell r="BH1551">
            <v>4169219.65</v>
          </cell>
          <cell r="BI1551">
            <v>4224667.4620000003</v>
          </cell>
        </row>
        <row r="1552">
          <cell r="F1552">
            <v>36136.789320000003</v>
          </cell>
          <cell r="G1552">
            <v>35604.107040000003</v>
          </cell>
          <cell r="H1552">
            <v>35839.226069999997</v>
          </cell>
          <cell r="I1552">
            <v>36114.20551</v>
          </cell>
          <cell r="J1552">
            <v>36459.103479999998</v>
          </cell>
          <cell r="K1552">
            <v>36869.942929999997</v>
          </cell>
          <cell r="L1552">
            <v>37313.062570000002</v>
          </cell>
          <cell r="M1552">
            <v>37794.502540000001</v>
          </cell>
          <cell r="N1552">
            <v>38306.722280000002</v>
          </cell>
          <cell r="O1552">
            <v>38842.980009999999</v>
          </cell>
          <cell r="P1552">
            <v>39440.403330000001</v>
          </cell>
          <cell r="Q1552">
            <v>40025.625169999999</v>
          </cell>
          <cell r="R1552">
            <v>40621.075349999999</v>
          </cell>
          <cell r="S1552">
            <v>41223.898179999997</v>
          </cell>
          <cell r="T1552">
            <v>41832.30328</v>
          </cell>
          <cell r="U1552">
            <v>42445.271130000001</v>
          </cell>
          <cell r="V1552">
            <v>43062.351849999999</v>
          </cell>
          <cell r="W1552">
            <v>43683.50834</v>
          </cell>
          <cell r="X1552">
            <v>44308.96686</v>
          </cell>
          <cell r="Y1552">
            <v>44939.115230000003</v>
          </cell>
          <cell r="Z1552">
            <v>45543.986140000001</v>
          </cell>
          <cell r="AA1552">
            <v>46175.558239999998</v>
          </cell>
          <cell r="AB1552">
            <v>46815.324379999998</v>
          </cell>
          <cell r="AC1552">
            <v>47463.972329999997</v>
          </cell>
          <cell r="AD1552">
            <v>48121.919309999997</v>
          </cell>
          <cell r="AE1552">
            <v>48701.75013</v>
          </cell>
          <cell r="AF1552">
            <v>49310.132270000002</v>
          </cell>
          <cell r="AG1552">
            <v>49920.62601</v>
          </cell>
          <cell r="AH1552">
            <v>50536.238980000002</v>
          </cell>
          <cell r="AI1552">
            <v>51159.325949999999</v>
          </cell>
          <cell r="AJ1552">
            <v>51791.673199999997</v>
          </cell>
          <cell r="AK1552">
            <v>52434.560749999997</v>
          </cell>
          <cell r="AL1552">
            <v>53088.844720000001</v>
          </cell>
          <cell r="AM1552">
            <v>53755.045760000001</v>
          </cell>
          <cell r="AN1552">
            <v>54433.442170000002</v>
          </cell>
          <cell r="AO1552">
            <v>55124.149559999998</v>
          </cell>
          <cell r="AP1552">
            <v>55806.054329999999</v>
          </cell>
          <cell r="AQ1552">
            <v>56493.436900000001</v>
          </cell>
          <cell r="AR1552">
            <v>57187.487880000001</v>
          </cell>
          <cell r="AS1552">
            <v>57889.480889999999</v>
          </cell>
          <cell r="AT1552">
            <v>58600.577340000003</v>
          </cell>
          <cell r="AU1552">
            <v>59321.745210000001</v>
          </cell>
          <cell r="AV1552">
            <v>60053.730629999998</v>
          </cell>
          <cell r="AW1552">
            <v>60797.069739999999</v>
          </cell>
          <cell r="AX1552">
            <v>61552.120620000002</v>
          </cell>
          <cell r="AY1552">
            <v>62319.105710000003</v>
          </cell>
          <cell r="AZ1552">
            <v>63100.070970000001</v>
          </cell>
          <cell r="BA1552">
            <v>63893.79391</v>
          </cell>
          <cell r="BB1552">
            <v>64700.209410000003</v>
          </cell>
          <cell r="BC1552">
            <v>65519.228029999998</v>
          </cell>
          <cell r="BD1552">
            <v>66350.770319999996</v>
          </cell>
          <cell r="BE1552">
            <v>67194.785870000007</v>
          </cell>
          <cell r="BF1552">
            <v>68051.262440000006</v>
          </cell>
          <cell r="BG1552">
            <v>68920.228180000006</v>
          </cell>
          <cell r="BH1552">
            <v>69801.749089999998</v>
          </cell>
          <cell r="BI1552">
            <v>70695.92383</v>
          </cell>
        </row>
        <row r="1555">
          <cell r="F1555">
            <v>332226.51299999998</v>
          </cell>
          <cell r="G1555">
            <v>327294.1251</v>
          </cell>
          <cell r="H1555">
            <v>332357.73790000001</v>
          </cell>
          <cell r="I1555">
            <v>336963.5025</v>
          </cell>
          <cell r="J1555">
            <v>341864.17060000001</v>
          </cell>
          <cell r="K1555">
            <v>347084.88449999999</v>
          </cell>
          <cell r="L1555">
            <v>352338.79180000001</v>
          </cell>
          <cell r="M1555">
            <v>357782.23830000003</v>
          </cell>
          <cell r="N1555">
            <v>363382.46529999998</v>
          </cell>
          <cell r="O1555">
            <v>369123.47159999999</v>
          </cell>
          <cell r="P1555">
            <v>375411.74949999998</v>
          </cell>
          <cell r="Q1555">
            <v>381469.51250000001</v>
          </cell>
          <cell r="R1555">
            <v>387643.38750000001</v>
          </cell>
          <cell r="S1555">
            <v>393907.05050000001</v>
          </cell>
          <cell r="T1555">
            <v>400256.5478</v>
          </cell>
          <cell r="U1555">
            <v>406693.57530000003</v>
          </cell>
          <cell r="V1555">
            <v>413222.59169999999</v>
          </cell>
          <cell r="W1555">
            <v>419849.74229999998</v>
          </cell>
          <cell r="X1555">
            <v>426582.04229999997</v>
          </cell>
          <cell r="Y1555">
            <v>433426.71850000002</v>
          </cell>
          <cell r="Z1555">
            <v>440078.85729999997</v>
          </cell>
          <cell r="AA1555">
            <v>447113.52370000002</v>
          </cell>
          <cell r="AB1555">
            <v>454274.07500000001</v>
          </cell>
          <cell r="AC1555">
            <v>461580.94540000003</v>
          </cell>
          <cell r="AD1555">
            <v>469039.10580000002</v>
          </cell>
          <cell r="AE1555">
            <v>475749.10430000001</v>
          </cell>
          <cell r="AF1555">
            <v>482923.75670000003</v>
          </cell>
          <cell r="AG1555">
            <v>490153.5013</v>
          </cell>
          <cell r="AH1555">
            <v>497473.73849999998</v>
          </cell>
          <cell r="AI1555">
            <v>504898.02409999998</v>
          </cell>
          <cell r="AJ1555">
            <v>512434.08980000002</v>
          </cell>
          <cell r="AK1555">
            <v>520086.25540000002</v>
          </cell>
          <cell r="AL1555">
            <v>527856.09770000004</v>
          </cell>
          <cell r="AM1555">
            <v>535742.99560000002</v>
          </cell>
          <cell r="AN1555">
            <v>543744.7352</v>
          </cell>
          <cell r="AO1555">
            <v>551858.08829999994</v>
          </cell>
          <cell r="AP1555">
            <v>559859.92070000002</v>
          </cell>
          <cell r="AQ1555">
            <v>567922.5797</v>
          </cell>
          <cell r="AR1555">
            <v>576037.99029999995</v>
          </cell>
          <cell r="AS1555">
            <v>584209.14260000002</v>
          </cell>
          <cell r="AT1555">
            <v>592439.99639999995</v>
          </cell>
          <cell r="AU1555">
            <v>600733.93240000005</v>
          </cell>
          <cell r="AV1555">
            <v>609093.49509999994</v>
          </cell>
          <cell r="AW1555">
            <v>617520.40330000001</v>
          </cell>
          <cell r="AX1555">
            <v>626015.67879999999</v>
          </cell>
          <cell r="AY1555">
            <v>634579.83109999995</v>
          </cell>
          <cell r="AZ1555">
            <v>643233.05290000001</v>
          </cell>
          <cell r="BA1555">
            <v>651959.40789999999</v>
          </cell>
          <cell r="BB1555">
            <v>660759.59169999999</v>
          </cell>
          <cell r="BC1555">
            <v>669633.62580000004</v>
          </cell>
          <cell r="BD1555">
            <v>678581.88289999997</v>
          </cell>
          <cell r="BE1555">
            <v>687605.27910000004</v>
          </cell>
          <cell r="BF1555">
            <v>696705.30940000003</v>
          </cell>
          <cell r="BG1555">
            <v>705884.03150000004</v>
          </cell>
          <cell r="BH1555">
            <v>715144.02099999995</v>
          </cell>
          <cell r="BI1555">
            <v>724488.3088</v>
          </cell>
        </row>
        <row r="1567">
          <cell r="F1567">
            <v>48571.106160000003</v>
          </cell>
          <cell r="G1567">
            <v>47910.119019999998</v>
          </cell>
          <cell r="H1567">
            <v>48554.34059</v>
          </cell>
          <cell r="I1567">
            <v>49154.875180000003</v>
          </cell>
          <cell r="J1567">
            <v>49808.286959999998</v>
          </cell>
          <cell r="K1567">
            <v>50518.171580000002</v>
          </cell>
          <cell r="L1567">
            <v>51241.08915</v>
          </cell>
          <cell r="M1567">
            <v>51998.473740000001</v>
          </cell>
          <cell r="N1567">
            <v>52782.815609999998</v>
          </cell>
          <cell r="O1567">
            <v>53588.705249999999</v>
          </cell>
          <cell r="P1567">
            <v>54474.332369999996</v>
          </cell>
          <cell r="Q1567">
            <v>55320.51397</v>
          </cell>
          <cell r="R1567">
            <v>56177.021399999998</v>
          </cell>
          <cell r="S1567">
            <v>57039.185989999998</v>
          </cell>
          <cell r="T1567">
            <v>57905.490559999998</v>
          </cell>
          <cell r="U1567">
            <v>58775.49467</v>
          </cell>
          <cell r="V1567">
            <v>59649.400300000001</v>
          </cell>
          <cell r="W1567">
            <v>60527.839039999999</v>
          </cell>
          <cell r="X1567">
            <v>61411.712829999997</v>
          </cell>
          <cell r="Y1567">
            <v>62302.075129999997</v>
          </cell>
          <cell r="Z1567">
            <v>63153.227160000002</v>
          </cell>
          <cell r="AA1567">
            <v>64052.198530000001</v>
          </cell>
          <cell r="AB1567">
            <v>64961.041740000001</v>
          </cell>
          <cell r="AC1567">
            <v>65882.724019999994</v>
          </cell>
          <cell r="AD1567">
            <v>66818.343550000005</v>
          </cell>
          <cell r="AE1567">
            <v>67633.360520000002</v>
          </cell>
          <cell r="AF1567">
            <v>68511.948770000003</v>
          </cell>
          <cell r="AG1567">
            <v>69394.718479999996</v>
          </cell>
          <cell r="AH1567">
            <v>70287.394490000006</v>
          </cell>
          <cell r="AI1567">
            <v>71192.954700000002</v>
          </cell>
          <cell r="AJ1567">
            <v>72113.471999999994</v>
          </cell>
          <cell r="AK1567">
            <v>73050.392779999995</v>
          </cell>
          <cell r="AL1567">
            <v>74004.650829999999</v>
          </cell>
          <cell r="AM1567">
            <v>74976.775819999995</v>
          </cell>
          <cell r="AN1567">
            <v>75967.002410000001</v>
          </cell>
          <cell r="AO1567">
            <v>76975.366859999995</v>
          </cell>
          <cell r="AP1567">
            <v>77968.950960000002</v>
          </cell>
          <cell r="AQ1567">
            <v>78974.502080000006</v>
          </cell>
          <cell r="AR1567">
            <v>79991.812090000007</v>
          </cell>
          <cell r="AS1567">
            <v>81021.967600000004</v>
          </cell>
          <cell r="AT1567">
            <v>82066.104699999996</v>
          </cell>
          <cell r="AU1567">
            <v>83125.187980000002</v>
          </cell>
          <cell r="AV1567">
            <v>84199.961850000007</v>
          </cell>
          <cell r="AW1567">
            <v>85290.953590000005</v>
          </cell>
          <cell r="AX1567">
            <v>86398.502649999995</v>
          </cell>
          <cell r="AY1567">
            <v>87522.801229999997</v>
          </cell>
          <cell r="AZ1567">
            <v>88666.929839999997</v>
          </cell>
          <cell r="BA1567">
            <v>89828.462</v>
          </cell>
          <cell r="BB1567">
            <v>91007.407229999997</v>
          </cell>
          <cell r="BC1567">
            <v>92203.662020000003</v>
          </cell>
          <cell r="BD1567">
            <v>93417.142540000001</v>
          </cell>
          <cell r="BE1567">
            <v>94647.815600000002</v>
          </cell>
          <cell r="BF1567">
            <v>95895.707970000003</v>
          </cell>
          <cell r="BG1567">
            <v>97160.90655</v>
          </cell>
          <cell r="BH1567">
            <v>98443.553490000006</v>
          </cell>
          <cell r="BI1567">
            <v>99743.838470000002</v>
          </cell>
        </row>
        <row r="1572">
          <cell r="F1572">
            <v>1513908.5689999999</v>
          </cell>
          <cell r="G1572">
            <v>1512673.74</v>
          </cell>
          <cell r="H1572">
            <v>1529056.294</v>
          </cell>
          <cell r="I1572">
            <v>1548250.3289999999</v>
          </cell>
          <cell r="J1572">
            <v>1569732.8019999999</v>
          </cell>
          <cell r="K1572">
            <v>1593149.058</v>
          </cell>
          <cell r="L1572">
            <v>1617095.0560000001</v>
          </cell>
          <cell r="M1572">
            <v>1642137.325</v>
          </cell>
          <cell r="N1572">
            <v>1668133.172</v>
          </cell>
          <cell r="O1572">
            <v>1694952.4620000001</v>
          </cell>
          <cell r="P1572">
            <v>1724420.67</v>
          </cell>
          <cell r="Q1572">
            <v>1753056.1259999999</v>
          </cell>
          <cell r="R1572">
            <v>1782089.541</v>
          </cell>
          <cell r="S1572">
            <v>1811469.182</v>
          </cell>
          <cell r="T1572">
            <v>1841156.1850000001</v>
          </cell>
          <cell r="U1572">
            <v>1871129.0349999999</v>
          </cell>
          <cell r="V1572">
            <v>1901381.463</v>
          </cell>
          <cell r="W1572">
            <v>1931918.3740000001</v>
          </cell>
          <cell r="X1572">
            <v>1962751.8729999999</v>
          </cell>
          <cell r="Y1572">
            <v>1993898.1950000001</v>
          </cell>
          <cell r="Z1572">
            <v>2023923.165</v>
          </cell>
          <cell r="AA1572">
            <v>2055361.98</v>
          </cell>
          <cell r="AB1572">
            <v>2087257.442</v>
          </cell>
          <cell r="AC1572">
            <v>2119618.1239999998</v>
          </cell>
          <cell r="AD1572">
            <v>2152454.3769999999</v>
          </cell>
          <cell r="AE1572">
            <v>2181571.949</v>
          </cell>
          <cell r="AF1572">
            <v>2212257.9079999998</v>
          </cell>
          <cell r="AG1572">
            <v>2243131.327</v>
          </cell>
          <cell r="AH1572">
            <v>2274280.2450000001</v>
          </cell>
          <cell r="AI1572">
            <v>2305783.9380000001</v>
          </cell>
          <cell r="AJ1572">
            <v>2337705.6740000001</v>
          </cell>
          <cell r="AK1572">
            <v>2370091.7420000001</v>
          </cell>
          <cell r="AL1572">
            <v>2402973.4389999998</v>
          </cell>
          <cell r="AM1572">
            <v>2436370.0839999998</v>
          </cell>
          <cell r="AN1572">
            <v>2470292.3739999998</v>
          </cell>
          <cell r="AO1572">
            <v>2504745.3509999998</v>
          </cell>
          <cell r="AP1572">
            <v>2538710.5469999998</v>
          </cell>
          <cell r="AQ1572">
            <v>2572922.5630000001</v>
          </cell>
          <cell r="AR1572">
            <v>2607439.2829999998</v>
          </cell>
          <cell r="AS1572">
            <v>2642311.3250000002</v>
          </cell>
          <cell r="AT1572">
            <v>2677583.3199999998</v>
          </cell>
          <cell r="AU1572">
            <v>2713292.9330000002</v>
          </cell>
          <cell r="AV1572">
            <v>2749470.1940000001</v>
          </cell>
          <cell r="AW1572">
            <v>2786137.6949999998</v>
          </cell>
          <cell r="AX1572">
            <v>2823311.5219999999</v>
          </cell>
          <cell r="AY1572">
            <v>2861002.4849999999</v>
          </cell>
          <cell r="AZ1572">
            <v>2899310.0559999999</v>
          </cell>
          <cell r="BA1572">
            <v>2938171.781</v>
          </cell>
          <cell r="BB1572">
            <v>2977585.68</v>
          </cell>
          <cell r="BC1572">
            <v>3017550.2820000001</v>
          </cell>
          <cell r="BD1572">
            <v>3058065.1260000002</v>
          </cell>
          <cell r="BE1572">
            <v>3099131.1809999999</v>
          </cell>
          <cell r="BF1572">
            <v>3140751.0610000002</v>
          </cell>
          <cell r="BG1572">
            <v>3182929.0249999999</v>
          </cell>
          <cell r="BH1572">
            <v>3225670.8309999998</v>
          </cell>
          <cell r="BI1572">
            <v>3268983.5090000001</v>
          </cell>
        </row>
        <row r="1575">
          <cell r="F1575">
            <v>-2029.2272129999999</v>
          </cell>
          <cell r="G1575">
            <v>-2092.3121169999999</v>
          </cell>
          <cell r="H1575">
            <v>-2011.161347</v>
          </cell>
          <cell r="I1575">
            <v>-2002.8248759999999</v>
          </cell>
          <cell r="J1575">
            <v>-2011.385241</v>
          </cell>
          <cell r="K1575">
            <v>-2026.8886070000001</v>
          </cell>
          <cell r="L1575">
            <v>-2048.0105060000001</v>
          </cell>
          <cell r="M1575">
            <v>-2070.7908539999999</v>
          </cell>
          <cell r="N1575">
            <v>-2095.6679039999999</v>
          </cell>
          <cell r="O1575">
            <v>-2122.2183799999998</v>
          </cell>
          <cell r="P1575">
            <v>-2148.465698</v>
          </cell>
          <cell r="Q1575">
            <v>-2180.5233509999998</v>
          </cell>
          <cell r="R1575">
            <v>-2210.7591010000001</v>
          </cell>
          <cell r="S1575">
            <v>-2240.8508969999998</v>
          </cell>
          <cell r="T1575">
            <v>-2271.0768240000002</v>
          </cell>
          <cell r="U1575">
            <v>-2301.438564</v>
          </cell>
          <cell r="V1575">
            <v>-2331.9132669999999</v>
          </cell>
          <cell r="W1575">
            <v>-2362.4928239999999</v>
          </cell>
          <cell r="X1575">
            <v>-2393.183004</v>
          </cell>
          <cell r="Y1575">
            <v>-2423.9983269999998</v>
          </cell>
          <cell r="Z1575">
            <v>-2456.036807</v>
          </cell>
          <cell r="AA1575">
            <v>-2484.5973720000002</v>
          </cell>
          <cell r="AB1575">
            <v>-2515.1934849999998</v>
          </cell>
          <cell r="AC1575">
            <v>-2546.442211</v>
          </cell>
          <cell r="AD1575">
            <v>-2578.0547449999999</v>
          </cell>
          <cell r="AE1575">
            <v>-2613.0887189999999</v>
          </cell>
          <cell r="AF1575">
            <v>-2639.4318410000001</v>
          </cell>
          <cell r="AG1575">
            <v>-2667.9595899999999</v>
          </cell>
          <cell r="AH1575">
            <v>-2697.1023650000002</v>
          </cell>
          <cell r="AI1575">
            <v>-2726.5569639999999</v>
          </cell>
          <cell r="AJ1575">
            <v>-2756.3177620000001</v>
          </cell>
          <cell r="AK1575">
            <v>-2786.4315160000001</v>
          </cell>
          <cell r="AL1575">
            <v>-2816.9452759999999</v>
          </cell>
          <cell r="AM1575">
            <v>-2847.8887199999999</v>
          </cell>
          <cell r="AN1575">
            <v>-2879.2807120000002</v>
          </cell>
          <cell r="AO1575">
            <v>-2911.1317730000001</v>
          </cell>
          <cell r="AP1575">
            <v>-2944.1887980000001</v>
          </cell>
          <cell r="AQ1575">
            <v>-2975.9320750000002</v>
          </cell>
          <cell r="AR1575">
            <v>-3007.6315370000002</v>
          </cell>
          <cell r="AS1575">
            <v>-3039.5813819999998</v>
          </cell>
          <cell r="AT1575">
            <v>-3071.8602729999998</v>
          </cell>
          <cell r="AU1575">
            <v>-3104.5035419999999</v>
          </cell>
          <cell r="AV1575">
            <v>-3137.5361939999998</v>
          </cell>
          <cell r="AW1575">
            <v>-3170.9776109999998</v>
          </cell>
          <cell r="AX1575">
            <v>-3204.8416240000001</v>
          </cell>
          <cell r="AY1575">
            <v>-3239.1346199999998</v>
          </cell>
          <cell r="AZ1575">
            <v>-3273.788865</v>
          </cell>
          <cell r="BA1575">
            <v>-3309.0307910000001</v>
          </cell>
          <cell r="BB1575">
            <v>-3344.744201</v>
          </cell>
          <cell r="BC1575">
            <v>-3380.9015850000001</v>
          </cell>
          <cell r="BD1575">
            <v>-3417.4945189999999</v>
          </cell>
          <cell r="BE1575">
            <v>-3454.5182570000002</v>
          </cell>
          <cell r="BF1575">
            <v>-3491.9692209999998</v>
          </cell>
          <cell r="BG1575">
            <v>-3529.8449930000002</v>
          </cell>
          <cell r="BH1575">
            <v>-3568.1445410000001</v>
          </cell>
          <cell r="BI1575">
            <v>-3606.8682669999998</v>
          </cell>
        </row>
        <row r="1577">
          <cell r="F1577">
            <v>-613.16616929999998</v>
          </cell>
          <cell r="G1577">
            <v>-613.57324310000001</v>
          </cell>
          <cell r="H1577">
            <v>-606.09313480000003</v>
          </cell>
          <cell r="I1577">
            <v>-606.58828470000003</v>
          </cell>
          <cell r="J1577">
            <v>-609.49944300000004</v>
          </cell>
          <cell r="K1577">
            <v>-613.97187469999994</v>
          </cell>
          <cell r="L1577">
            <v>-619.57868389999999</v>
          </cell>
          <cell r="M1577">
            <v>-625.93009229999996</v>
          </cell>
          <cell r="N1577">
            <v>-632.94086870000001</v>
          </cell>
          <cell r="O1577">
            <v>-640.45949059999998</v>
          </cell>
          <cell r="P1577">
            <v>-648.56804030000001</v>
          </cell>
          <cell r="Q1577">
            <v>-657.182502</v>
          </cell>
          <cell r="R1577">
            <v>-665.75323739999999</v>
          </cell>
          <cell r="S1577">
            <v>-674.43116640000005</v>
          </cell>
          <cell r="T1577">
            <v>-683.21548180000002</v>
          </cell>
          <cell r="U1577">
            <v>-692.08586620000005</v>
          </cell>
          <cell r="V1577">
            <v>-701.02539030000003</v>
          </cell>
          <cell r="W1577">
            <v>-710.02293299999997</v>
          </cell>
          <cell r="X1577">
            <v>-719.07217179999998</v>
          </cell>
          <cell r="Y1577">
            <v>-728.17032129999996</v>
          </cell>
          <cell r="Z1577">
            <v>-737.16081499999996</v>
          </cell>
          <cell r="AA1577">
            <v>-746.03978419999999</v>
          </cell>
          <cell r="AB1577">
            <v>-755.16849839999998</v>
          </cell>
          <cell r="AC1577">
            <v>-764.4010323</v>
          </cell>
          <cell r="AD1577">
            <v>-773.71553019999999</v>
          </cell>
          <cell r="AE1577">
            <v>-782.66084160000003</v>
          </cell>
          <cell r="AF1577">
            <v>-791.01286249999998</v>
          </cell>
          <cell r="AG1577">
            <v>-799.58616540000003</v>
          </cell>
          <cell r="AH1577">
            <v>-808.21523260000004</v>
          </cell>
          <cell r="AI1577">
            <v>-816.88873030000002</v>
          </cell>
          <cell r="AJ1577">
            <v>-825.62233470000001</v>
          </cell>
          <cell r="AK1577">
            <v>-834.4335638</v>
          </cell>
          <cell r="AL1577">
            <v>-843.33693519999997</v>
          </cell>
          <cell r="AM1577">
            <v>-852.34341059999997</v>
          </cell>
          <cell r="AN1577">
            <v>-861.46084089999999</v>
          </cell>
          <cell r="AO1577">
            <v>-870.69461020000006</v>
          </cell>
          <cell r="AP1577">
            <v>-879.93928600000004</v>
          </cell>
          <cell r="AQ1577">
            <v>-889.08420239999998</v>
          </cell>
          <cell r="AR1577">
            <v>-898.26667810000004</v>
          </cell>
          <cell r="AS1577">
            <v>-907.51922809999996</v>
          </cell>
          <cell r="AT1577">
            <v>-916.85538610000003</v>
          </cell>
          <cell r="AU1577">
            <v>-926.28495290000001</v>
          </cell>
          <cell r="AV1577">
            <v>-935.81613919999995</v>
          </cell>
          <cell r="AW1577">
            <v>-945.45560230000001</v>
          </cell>
          <cell r="AX1577">
            <v>-955.20837879999999</v>
          </cell>
          <cell r="AY1577">
            <v>-965.07799650000004</v>
          </cell>
          <cell r="AZ1577">
            <v>-975.07657240000003</v>
          </cell>
          <cell r="BA1577">
            <v>-985.21556539999995</v>
          </cell>
          <cell r="BB1577">
            <v>-995.48323270000003</v>
          </cell>
          <cell r="BC1577">
            <v>-1005.876932</v>
          </cell>
          <cell r="BD1577">
            <v>-1016.395524</v>
          </cell>
          <cell r="BE1577">
            <v>-1027.038145</v>
          </cell>
          <cell r="BF1577">
            <v>-1037.804124</v>
          </cell>
          <cell r="BG1577">
            <v>-1048.693037</v>
          </cell>
          <cell r="BH1577">
            <v>-1059.704747</v>
          </cell>
          <cell r="BI1577">
            <v>-1070.8393920000001</v>
          </cell>
        </row>
        <row r="1579">
          <cell r="F1579">
            <v>495.7000534</v>
          </cell>
        </row>
        <row r="1580">
          <cell r="F1580">
            <v>40630.106370000001</v>
          </cell>
          <cell r="G1580">
            <v>40403.922400000003</v>
          </cell>
          <cell r="H1580">
            <v>40555.944929999998</v>
          </cell>
          <cell r="I1580">
            <v>40758.980490000002</v>
          </cell>
          <cell r="J1580">
            <v>41014.516799999998</v>
          </cell>
          <cell r="K1580">
            <v>41324.012170000002</v>
          </cell>
          <cell r="L1580">
            <v>41658.824679999998</v>
          </cell>
          <cell r="M1580">
            <v>42023.8249</v>
          </cell>
          <cell r="N1580">
            <v>42412.254849999998</v>
          </cell>
          <cell r="O1580">
            <v>42816.072059999999</v>
          </cell>
          <cell r="P1580">
            <v>43266.64587</v>
          </cell>
          <cell r="Q1580">
            <v>43695.413919999999</v>
          </cell>
          <cell r="R1580">
            <v>44119.11823</v>
          </cell>
          <cell r="S1580">
            <v>44538.965300000003</v>
          </cell>
          <cell r="T1580">
            <v>44955.318460000002</v>
          </cell>
          <cell r="U1580">
            <v>45368.671159999998</v>
          </cell>
          <cell r="V1580">
            <v>45779.624100000001</v>
          </cell>
          <cell r="W1580">
            <v>46188.8537</v>
          </cell>
          <cell r="X1580">
            <v>46597.127540000001</v>
          </cell>
          <cell r="Y1580">
            <v>47005.323380000002</v>
          </cell>
          <cell r="Z1580">
            <v>47386.269950000002</v>
          </cell>
          <cell r="AA1580">
            <v>47787.874709999996</v>
          </cell>
          <cell r="AB1580">
            <v>48196.590550000001</v>
          </cell>
          <cell r="AC1580">
            <v>48611.491979999999</v>
          </cell>
          <cell r="AD1580">
            <v>49033.113720000001</v>
          </cell>
          <cell r="AE1580">
            <v>49382.159220000001</v>
          </cell>
          <cell r="AF1580">
            <v>49754.772259999998</v>
          </cell>
          <cell r="AG1580">
            <v>50134.630899999996</v>
          </cell>
          <cell r="AH1580">
            <v>50521.730710000003</v>
          </cell>
          <cell r="AI1580">
            <v>50917.339910000002</v>
          </cell>
          <cell r="AJ1580">
            <v>51322.705759999997</v>
          </cell>
          <cell r="AK1580">
            <v>51738.82602</v>
          </cell>
          <cell r="AL1580">
            <v>52166.435010000001</v>
          </cell>
          <cell r="AM1580">
            <v>52606.011050000001</v>
          </cell>
          <cell r="AN1580">
            <v>53057.805999999997</v>
          </cell>
          <cell r="AO1580">
            <v>53521.882460000001</v>
          </cell>
          <cell r="AP1580">
            <v>53979.315880000002</v>
          </cell>
          <cell r="AQ1580">
            <v>54442.211329999998</v>
          </cell>
          <cell r="AR1580">
            <v>54912.81093</v>
          </cell>
          <cell r="AS1580">
            <v>55391.971619999997</v>
          </cell>
          <cell r="AT1580">
            <v>55880.128660000002</v>
          </cell>
          <cell r="AU1580">
            <v>56377.51268</v>
          </cell>
          <cell r="AV1580">
            <v>56884.219599999997</v>
          </cell>
          <cell r="AW1580">
            <v>57400.245849999999</v>
          </cell>
          <cell r="AX1580">
            <v>57925.514580000003</v>
          </cell>
          <cell r="AY1580">
            <v>58459.981419999996</v>
          </cell>
          <cell r="AZ1580">
            <v>59005.430939999998</v>
          </cell>
          <cell r="BA1580">
            <v>59560.934020000001</v>
          </cell>
          <cell r="BB1580">
            <v>60126.409019999999</v>
          </cell>
          <cell r="BC1580">
            <v>60701.835830000004</v>
          </cell>
          <cell r="BD1580">
            <v>61287.186439999998</v>
          </cell>
          <cell r="BE1580">
            <v>61882.43331</v>
          </cell>
          <cell r="BF1580">
            <v>62487.567940000001</v>
          </cell>
          <cell r="BG1580">
            <v>63102.615019999997</v>
          </cell>
          <cell r="BH1580">
            <v>63727.639900000002</v>
          </cell>
          <cell r="BI1580">
            <v>64362.750350000002</v>
          </cell>
        </row>
        <row r="1600">
          <cell r="F1600">
            <v>472814.52519999997</v>
          </cell>
          <cell r="G1600">
            <v>473176.45039999997</v>
          </cell>
          <cell r="H1600">
            <v>476047.31579999998</v>
          </cell>
          <cell r="I1600">
            <v>480462.8247</v>
          </cell>
          <cell r="J1600">
            <v>485797.85249999998</v>
          </cell>
          <cell r="K1600">
            <v>491743.39980000001</v>
          </cell>
          <cell r="L1600">
            <v>497950.60230000003</v>
          </cell>
          <cell r="M1600">
            <v>504394.61900000001</v>
          </cell>
          <cell r="N1600">
            <v>511074.66200000001</v>
          </cell>
          <cell r="O1600">
            <v>517991.90840000001</v>
          </cell>
          <cell r="P1600">
            <v>525479.17550000001</v>
          </cell>
          <cell r="Q1600">
            <v>533095.07059999998</v>
          </cell>
          <cell r="R1600">
            <v>540865.85199999996</v>
          </cell>
          <cell r="S1600">
            <v>548813.20449999999</v>
          </cell>
          <cell r="T1600">
            <v>556947.05539999995</v>
          </cell>
          <cell r="U1600">
            <v>565272.93949999998</v>
          </cell>
          <cell r="V1600">
            <v>573771.66249999998</v>
          </cell>
          <cell r="W1600">
            <v>582458.29790000001</v>
          </cell>
          <cell r="X1600">
            <v>591343.72290000005</v>
          </cell>
          <cell r="Y1600">
            <v>600435.85239999997</v>
          </cell>
          <cell r="Z1600">
            <v>609494.50410000002</v>
          </cell>
          <cell r="AA1600">
            <v>618828.56409999996</v>
          </cell>
          <cell r="AB1600">
            <v>628426.05619999999</v>
          </cell>
          <cell r="AC1600">
            <v>638273.92740000004</v>
          </cell>
          <cell r="AD1600">
            <v>648365.36340000003</v>
          </cell>
          <cell r="AE1600">
            <v>657985.04079999996</v>
          </cell>
          <cell r="AF1600">
            <v>667677.35979999998</v>
          </cell>
          <cell r="AG1600">
            <v>677465.66119999997</v>
          </cell>
          <cell r="AH1600">
            <v>687355.82409999997</v>
          </cell>
          <cell r="AI1600">
            <v>697355.90430000005</v>
          </cell>
          <cell r="AJ1600">
            <v>707474.02229999995</v>
          </cell>
          <cell r="AK1600">
            <v>717721.88910000003</v>
          </cell>
          <cell r="AL1600">
            <v>728100.93420000002</v>
          </cell>
          <cell r="AM1600">
            <v>738610.89780000004</v>
          </cell>
          <cell r="AN1600">
            <v>749249.98340000003</v>
          </cell>
          <cell r="AO1600">
            <v>760015.21569999994</v>
          </cell>
          <cell r="AP1600">
            <v>770779.11769999994</v>
          </cell>
          <cell r="AQ1600">
            <v>781556.24369999999</v>
          </cell>
          <cell r="AR1600">
            <v>792360.30059999996</v>
          </cell>
          <cell r="AS1600">
            <v>803200.78249999997</v>
          </cell>
          <cell r="AT1600">
            <v>814085.11959999998</v>
          </cell>
          <cell r="AU1600">
            <v>825027.51009999996</v>
          </cell>
          <cell r="AV1600">
            <v>836030.51809999999</v>
          </cell>
          <cell r="AW1600">
            <v>847097.04229999997</v>
          </cell>
          <cell r="AX1600">
            <v>858229.8689</v>
          </cell>
          <cell r="AY1600">
            <v>869431.39159999997</v>
          </cell>
          <cell r="AZ1600">
            <v>880745.9423</v>
          </cell>
          <cell r="BA1600">
            <v>892162.14280000003</v>
          </cell>
          <cell r="BB1600">
            <v>903673.54980000004</v>
          </cell>
          <cell r="BC1600">
            <v>915277.40650000004</v>
          </cell>
          <cell r="BD1600">
            <v>926973.02309999999</v>
          </cell>
          <cell r="BE1600">
            <v>938777.83400000003</v>
          </cell>
          <cell r="BF1600">
            <v>950687.35250000004</v>
          </cell>
          <cell r="BG1600">
            <v>962700.44990000001</v>
          </cell>
          <cell r="BH1600">
            <v>974818.3273</v>
          </cell>
          <cell r="BI1600">
            <v>987043.59869999997</v>
          </cell>
        </row>
        <row r="1601">
          <cell r="F1601">
            <v>4438.7092309999998</v>
          </cell>
          <cell r="G1601">
            <v>4411.3633149999996</v>
          </cell>
          <cell r="H1601">
            <v>4411.8740429999998</v>
          </cell>
          <cell r="I1601">
            <v>4430.5666760000004</v>
          </cell>
          <cell r="J1601">
            <v>4461.5789720000002</v>
          </cell>
          <cell r="K1601">
            <v>4501.9947490000004</v>
          </cell>
          <cell r="L1601">
            <v>4548.2338220000001</v>
          </cell>
          <cell r="M1601">
            <v>4599.5480459999999</v>
          </cell>
          <cell r="N1601">
            <v>4655.4074289999999</v>
          </cell>
          <cell r="O1601">
            <v>4715.3222599999999</v>
          </cell>
          <cell r="P1601">
            <v>4781.9522509999997</v>
          </cell>
          <cell r="Q1601">
            <v>4850.8198970000003</v>
          </cell>
          <cell r="R1601">
            <v>4921.7710550000002</v>
          </cell>
          <cell r="S1601">
            <v>4994.7176319999999</v>
          </cell>
          <cell r="T1601">
            <v>5069.5362560000003</v>
          </cell>
          <cell r="U1601">
            <v>5146.1212189999997</v>
          </cell>
          <cell r="V1601">
            <v>5224.0824380000004</v>
          </cell>
          <cell r="W1601">
            <v>5303.5506109999997</v>
          </cell>
          <cell r="X1601">
            <v>5384.5863890000001</v>
          </cell>
          <cell r="Y1601">
            <v>5467.2283639999996</v>
          </cell>
          <cell r="Z1601">
            <v>5549.2044509999996</v>
          </cell>
          <cell r="AA1601">
            <v>5633.2888899999998</v>
          </cell>
          <cell r="AB1601">
            <v>5719.4760930000002</v>
          </cell>
          <cell r="AC1601">
            <v>5807.6805770000001</v>
          </cell>
          <cell r="AD1601">
            <v>5897.8534540000001</v>
          </cell>
          <cell r="AE1601">
            <v>5983.308841</v>
          </cell>
          <cell r="AF1601">
            <v>6068.906105</v>
          </cell>
          <cell r="AG1601">
            <v>6155.0474240000003</v>
          </cell>
          <cell r="AH1601">
            <v>6241.9407730000003</v>
          </cell>
          <cell r="AI1601">
            <v>6329.8008950000003</v>
          </cell>
          <cell r="AJ1601">
            <v>6418.8257020000001</v>
          </cell>
          <cell r="AK1601">
            <v>6509.2507830000004</v>
          </cell>
          <cell r="AL1601">
            <v>6601.1499389999999</v>
          </cell>
          <cell r="AM1601">
            <v>6694.5787360000004</v>
          </cell>
          <cell r="AN1601">
            <v>6789.5684469999997</v>
          </cell>
          <cell r="AO1601">
            <v>6886.1316029999998</v>
          </cell>
          <cell r="AP1601">
            <v>6983.3458339999997</v>
          </cell>
          <cell r="AQ1601">
            <v>7081.1352429999997</v>
          </cell>
          <cell r="AR1601">
            <v>7179.6311439999999</v>
          </cell>
          <cell r="AS1601">
            <v>7278.9724889999998</v>
          </cell>
          <cell r="AT1601">
            <v>7379.2914730000002</v>
          </cell>
          <cell r="AU1601">
            <v>7480.8225380000003</v>
          </cell>
          <cell r="AV1601">
            <v>7583.6135940000004</v>
          </cell>
          <cell r="AW1601">
            <v>7687.7277340000001</v>
          </cell>
          <cell r="AX1601">
            <v>7793.2199460000002</v>
          </cell>
          <cell r="AY1601">
            <v>7900.1331140000002</v>
          </cell>
          <cell r="AZ1601">
            <v>8009.039291</v>
          </cell>
          <cell r="BA1601">
            <v>8119.7394880000002</v>
          </cell>
          <cell r="BB1601">
            <v>8232.1473050000004</v>
          </cell>
          <cell r="BC1601">
            <v>8346.2160590000003</v>
          </cell>
          <cell r="BD1601">
            <v>8461.9178690000008</v>
          </cell>
          <cell r="BE1601">
            <v>8579.4864180000004</v>
          </cell>
          <cell r="BF1601">
            <v>8698.7885640000004</v>
          </cell>
          <cell r="BG1601">
            <v>8819.7741970000006</v>
          </cell>
          <cell r="BH1601">
            <v>8942.4229410000007</v>
          </cell>
          <cell r="BI1601">
            <v>9066.7302729999992</v>
          </cell>
        </row>
        <row r="1604">
          <cell r="F1604">
            <v>234878.14540000001</v>
          </cell>
          <cell r="G1604">
            <v>234852.84099999999</v>
          </cell>
          <cell r="H1604">
            <v>236279.05480000001</v>
          </cell>
          <cell r="I1604">
            <v>238514.94279999999</v>
          </cell>
          <cell r="J1604">
            <v>241200.99189999999</v>
          </cell>
          <cell r="K1604">
            <v>244164.42180000001</v>
          </cell>
          <cell r="L1604">
            <v>247236.32459999999</v>
          </cell>
          <cell r="M1604">
            <v>250397.02660000001</v>
          </cell>
          <cell r="N1604">
            <v>253647.8279</v>
          </cell>
          <cell r="O1604">
            <v>256995.44</v>
          </cell>
          <cell r="P1604">
            <v>260592.4509</v>
          </cell>
          <cell r="Q1604">
            <v>264260.20929999999</v>
          </cell>
          <cell r="R1604">
            <v>268010.8468</v>
          </cell>
          <cell r="S1604">
            <v>271856.80739999999</v>
          </cell>
          <cell r="T1604">
            <v>275806.30320000002</v>
          </cell>
          <cell r="U1604">
            <v>279865.36170000001</v>
          </cell>
          <cell r="V1604">
            <v>284025.94429999997</v>
          </cell>
          <cell r="W1604">
            <v>288298.6102</v>
          </cell>
          <cell r="X1604">
            <v>292691.01040000003</v>
          </cell>
          <cell r="Y1604">
            <v>297208.93790000002</v>
          </cell>
          <cell r="Z1604">
            <v>301750.03220000002</v>
          </cell>
          <cell r="AA1604">
            <v>306442.44040000002</v>
          </cell>
          <cell r="AB1604">
            <v>311287.01250000001</v>
          </cell>
          <cell r="AC1604">
            <v>316280.8431</v>
          </cell>
          <cell r="AD1604">
            <v>321421.96429999999</v>
          </cell>
          <cell r="AE1604">
            <v>326400.55829999998</v>
          </cell>
          <cell r="AF1604">
            <v>331430.82900000003</v>
          </cell>
          <cell r="AG1604">
            <v>336525.31599999999</v>
          </cell>
          <cell r="AH1604">
            <v>341686.89299999998</v>
          </cell>
          <cell r="AI1604">
            <v>346917.49849999999</v>
          </cell>
          <cell r="AJ1604">
            <v>352218.45059999998</v>
          </cell>
          <cell r="AK1604">
            <v>357593.17070000002</v>
          </cell>
          <cell r="AL1604">
            <v>363039.76069999998</v>
          </cell>
          <cell r="AM1604">
            <v>368555.79369999998</v>
          </cell>
          <cell r="AN1604">
            <v>374138.2426</v>
          </cell>
          <cell r="AO1604">
            <v>379783.57990000001</v>
          </cell>
          <cell r="AP1604">
            <v>385439.91690000001</v>
          </cell>
          <cell r="AQ1604">
            <v>391102.83140000002</v>
          </cell>
          <cell r="AR1604">
            <v>396772.67540000001</v>
          </cell>
          <cell r="AS1604">
            <v>402450.06209999998</v>
          </cell>
          <cell r="AT1604">
            <v>408135.44579999999</v>
          </cell>
          <cell r="AU1604">
            <v>413833.49589999998</v>
          </cell>
          <cell r="AV1604">
            <v>419542.86009999999</v>
          </cell>
          <cell r="AW1604">
            <v>425262.84370000003</v>
          </cell>
          <cell r="AX1604">
            <v>430993.06589999999</v>
          </cell>
          <cell r="AY1604">
            <v>436733.27020000003</v>
          </cell>
          <cell r="AZ1604">
            <v>442504.74190000002</v>
          </cell>
          <cell r="BA1604">
            <v>448301.04680000001</v>
          </cell>
          <cell r="BB1604">
            <v>454118.47720000002</v>
          </cell>
          <cell r="BC1604">
            <v>459955.2721</v>
          </cell>
          <cell r="BD1604">
            <v>465810.8665</v>
          </cell>
          <cell r="BE1604">
            <v>471694.76360000001</v>
          </cell>
          <cell r="BF1604">
            <v>477604.46779999998</v>
          </cell>
          <cell r="BG1604">
            <v>483539.5857</v>
          </cell>
          <cell r="BH1604">
            <v>489501.07909999997</v>
          </cell>
          <cell r="BI1604">
            <v>495490.76189999998</v>
          </cell>
        </row>
        <row r="1616">
          <cell r="F1616">
            <v>8010.900963</v>
          </cell>
          <cell r="G1616">
            <v>7924.3434850000003</v>
          </cell>
          <cell r="H1616">
            <v>7945.9457920000004</v>
          </cell>
          <cell r="I1616">
            <v>8013.5965759999999</v>
          </cell>
          <cell r="J1616">
            <v>8101.7327089999999</v>
          </cell>
          <cell r="K1616">
            <v>8200.9047790000004</v>
          </cell>
          <cell r="L1616">
            <v>8303.0700259999994</v>
          </cell>
          <cell r="M1616">
            <v>8408.3521820000005</v>
          </cell>
          <cell r="N1616">
            <v>8516.6804649999995</v>
          </cell>
          <cell r="O1616">
            <v>8627.8133949999992</v>
          </cell>
          <cell r="P1616">
            <v>8748.4374690000004</v>
          </cell>
          <cell r="Q1616">
            <v>8867.3704390000003</v>
          </cell>
          <cell r="R1616">
            <v>8986.4487079999999</v>
          </cell>
          <cell r="S1616">
            <v>9106.4530489999997</v>
          </cell>
          <cell r="T1616">
            <v>9227.6309089999995</v>
          </cell>
          <cell r="U1616">
            <v>9350.0840669999998</v>
          </cell>
          <cell r="V1616">
            <v>9473.1020549999994</v>
          </cell>
          <cell r="W1616">
            <v>9597.2738890000001</v>
          </cell>
          <cell r="X1616">
            <v>9722.9244529999996</v>
          </cell>
          <cell r="Y1616">
            <v>9850.2702140000001</v>
          </cell>
          <cell r="Z1616">
            <v>9974.3831109999992</v>
          </cell>
          <cell r="AA1616">
            <v>10102.8053</v>
          </cell>
          <cell r="AB1616">
            <v>10234.50411</v>
          </cell>
          <cell r="AC1616">
            <v>10369.03961</v>
          </cell>
          <cell r="AD1616">
            <v>10506.30696</v>
          </cell>
          <cell r="AE1616">
            <v>10631.672759999999</v>
          </cell>
          <cell r="AF1616">
            <v>10759.66864</v>
          </cell>
          <cell r="AG1616">
            <v>10889.78494</v>
          </cell>
          <cell r="AH1616">
            <v>11021.81734</v>
          </cell>
          <cell r="AI1616">
            <v>11155.857739999999</v>
          </cell>
          <cell r="AJ1616">
            <v>11292.07501</v>
          </cell>
          <cell r="AK1616">
            <v>11430.80528</v>
          </cell>
          <cell r="AL1616">
            <v>11572.05717</v>
          </cell>
          <cell r="AM1616">
            <v>11715.856250000001</v>
          </cell>
          <cell r="AN1616">
            <v>11862.216560000001</v>
          </cell>
          <cell r="AO1616">
            <v>12011.134599999999</v>
          </cell>
          <cell r="AP1616">
            <v>12160.67992</v>
          </cell>
          <cell r="AQ1616">
            <v>12311.402770000001</v>
          </cell>
          <cell r="AR1616">
            <v>12463.64</v>
          </cell>
          <cell r="AS1616">
            <v>12617.58833</v>
          </cell>
          <cell r="AT1616">
            <v>12773.387419999999</v>
          </cell>
          <cell r="AU1616">
            <v>12931.406559999999</v>
          </cell>
          <cell r="AV1616">
            <v>13091.59339</v>
          </cell>
          <cell r="AW1616">
            <v>13253.96227</v>
          </cell>
          <cell r="AX1616">
            <v>13418.545480000001</v>
          </cell>
          <cell r="AY1616">
            <v>13585.372719999999</v>
          </cell>
          <cell r="AZ1616">
            <v>13755.65783</v>
          </cell>
          <cell r="BA1616">
            <v>13928.79543</v>
          </cell>
          <cell r="BB1616">
            <v>14104.53448</v>
          </cell>
          <cell r="BC1616">
            <v>14282.77824</v>
          </cell>
          <cell r="BD1616">
            <v>14463.48813</v>
          </cell>
          <cell r="BE1616">
            <v>14647.20024</v>
          </cell>
          <cell r="BF1616">
            <v>14833.61073</v>
          </cell>
          <cell r="BG1616">
            <v>15022.606320000001</v>
          </cell>
          <cell r="BH1616">
            <v>15214.15763</v>
          </cell>
          <cell r="BI1616">
            <v>15408.26945</v>
          </cell>
        </row>
        <row r="1621">
          <cell r="F1621">
            <v>219590.54819999999</v>
          </cell>
          <cell r="G1621">
            <v>220118.0349</v>
          </cell>
          <cell r="H1621">
            <v>221546.36290000001</v>
          </cell>
          <cell r="I1621">
            <v>223632.23120000001</v>
          </cell>
          <cell r="J1621">
            <v>226144.96280000001</v>
          </cell>
          <cell r="K1621">
            <v>228961.79240000001</v>
          </cell>
          <cell r="L1621">
            <v>231917.42980000001</v>
          </cell>
          <cell r="M1621">
            <v>235007.65849999999</v>
          </cell>
          <cell r="N1621">
            <v>238231.45800000001</v>
          </cell>
          <cell r="O1621">
            <v>241584.69399999999</v>
          </cell>
          <cell r="P1621">
            <v>245235.22409999999</v>
          </cell>
          <cell r="Q1621">
            <v>248941.67689999999</v>
          </cell>
          <cell r="R1621">
            <v>252716.677</v>
          </cell>
          <cell r="S1621">
            <v>256568.72440000001</v>
          </cell>
          <cell r="T1621">
            <v>260499.47649999999</v>
          </cell>
          <cell r="U1621">
            <v>264508.55650000001</v>
          </cell>
          <cell r="V1621">
            <v>268586.3702</v>
          </cell>
          <cell r="W1621">
            <v>272736.61709999997</v>
          </cell>
          <cell r="X1621">
            <v>276962.0661</v>
          </cell>
          <cell r="Y1621">
            <v>281264.5209</v>
          </cell>
          <cell r="Z1621">
            <v>285515.96010000003</v>
          </cell>
          <cell r="AA1621">
            <v>289883.31280000001</v>
          </cell>
          <cell r="AB1621">
            <v>294354.82520000002</v>
          </cell>
          <cell r="AC1621">
            <v>298921.03419999999</v>
          </cell>
          <cell r="AD1621">
            <v>303577.28749999998</v>
          </cell>
          <cell r="AE1621">
            <v>307946.96169999999</v>
          </cell>
          <cell r="AF1621">
            <v>312334.55609999999</v>
          </cell>
          <cell r="AG1621">
            <v>316750.36339999997</v>
          </cell>
          <cell r="AH1621">
            <v>321197.2586</v>
          </cell>
          <cell r="AI1621">
            <v>325680.90999999997</v>
          </cell>
          <cell r="AJ1621">
            <v>330207.58899999998</v>
          </cell>
          <cell r="AK1621">
            <v>334784.7769</v>
          </cell>
          <cell r="AL1621">
            <v>339415.61459999997</v>
          </cell>
          <cell r="AM1621">
            <v>344102.09659999999</v>
          </cell>
          <cell r="AN1621">
            <v>348845.33490000002</v>
          </cell>
          <cell r="AO1621">
            <v>353645.81800000003</v>
          </cell>
          <cell r="AP1621">
            <v>358431.8934</v>
          </cell>
          <cell r="AQ1621">
            <v>363221.85649999999</v>
          </cell>
          <cell r="AR1621">
            <v>368028.34960000002</v>
          </cell>
          <cell r="AS1621">
            <v>372859.77289999998</v>
          </cell>
          <cell r="AT1621">
            <v>377722.73959999997</v>
          </cell>
          <cell r="AU1621">
            <v>382626.00449999998</v>
          </cell>
          <cell r="AV1621">
            <v>387573.48489999998</v>
          </cell>
          <cell r="AW1621">
            <v>392568.6862</v>
          </cell>
          <cell r="AX1621">
            <v>397614.67719999998</v>
          </cell>
          <cell r="AY1621">
            <v>402714.02769999998</v>
          </cell>
          <cell r="AZ1621">
            <v>407887.48330000002</v>
          </cell>
          <cell r="BA1621">
            <v>413131.09519999998</v>
          </cell>
          <cell r="BB1621">
            <v>418442.58610000001</v>
          </cell>
          <cell r="BC1621">
            <v>423821.17839999998</v>
          </cell>
          <cell r="BD1621">
            <v>429266.86180000001</v>
          </cell>
          <cell r="BE1621">
            <v>434786.6153</v>
          </cell>
          <cell r="BF1621">
            <v>440378.99939999997</v>
          </cell>
          <cell r="BG1621">
            <v>446043.50790000003</v>
          </cell>
          <cell r="BH1621">
            <v>451780.46750000003</v>
          </cell>
          <cell r="BI1621">
            <v>457590.69929999998</v>
          </cell>
        </row>
        <row r="1624">
          <cell r="F1624">
            <v>2249.586311</v>
          </cell>
          <cell r="G1624">
            <v>2227.3441290000001</v>
          </cell>
          <cell r="H1624">
            <v>2219.7347770000001</v>
          </cell>
          <cell r="I1624">
            <v>2220.53487</v>
          </cell>
          <cell r="J1624">
            <v>2226.3690069999998</v>
          </cell>
          <cell r="K1624">
            <v>2236.0146850000001</v>
          </cell>
          <cell r="L1624">
            <v>2247.9619929999999</v>
          </cell>
          <cell r="M1624">
            <v>2262.0881049999998</v>
          </cell>
          <cell r="N1624">
            <v>2278.205449</v>
          </cell>
          <cell r="O1624">
            <v>2296.0748020000001</v>
          </cell>
          <cell r="P1624">
            <v>2316.908257</v>
          </cell>
          <cell r="Q1624">
            <v>2338.3722600000001</v>
          </cell>
          <cell r="R1624">
            <v>2360.5823820000001</v>
          </cell>
          <cell r="S1624">
            <v>2383.586937</v>
          </cell>
          <cell r="T1624">
            <v>2407.3467409999998</v>
          </cell>
          <cell r="U1624">
            <v>2431.7972359999999</v>
          </cell>
          <cell r="V1624">
            <v>2456.7070140000001</v>
          </cell>
          <cell r="W1624">
            <v>2482.1133679999998</v>
          </cell>
          <cell r="X1624">
            <v>2508.023377</v>
          </cell>
          <cell r="Y1624">
            <v>2534.429639</v>
          </cell>
          <cell r="Z1624">
            <v>2560.2838929999998</v>
          </cell>
          <cell r="AA1624">
            <v>2586.9856599999998</v>
          </cell>
          <cell r="AB1624">
            <v>2614.385436</v>
          </cell>
          <cell r="AC1624">
            <v>2642.3764160000001</v>
          </cell>
          <cell r="AD1624">
            <v>2670.9177639999998</v>
          </cell>
          <cell r="AE1624">
            <v>2697.0334600000001</v>
          </cell>
          <cell r="AF1624">
            <v>2723.3856970000002</v>
          </cell>
          <cell r="AG1624">
            <v>2749.9972299999999</v>
          </cell>
          <cell r="AH1624">
            <v>2776.8342090000001</v>
          </cell>
          <cell r="AI1624">
            <v>2803.9152199999999</v>
          </cell>
          <cell r="AJ1624">
            <v>2831.2801220000001</v>
          </cell>
          <cell r="AK1624">
            <v>2859.0097580000001</v>
          </cell>
          <cell r="AL1624">
            <v>2887.1244449999999</v>
          </cell>
          <cell r="AM1624">
            <v>2915.6468100000002</v>
          </cell>
          <cell r="AN1624">
            <v>2944.5977520000001</v>
          </cell>
          <cell r="AO1624">
            <v>2973.9939989999998</v>
          </cell>
          <cell r="AP1624">
            <v>3003.478161</v>
          </cell>
          <cell r="AQ1624">
            <v>3033.135374</v>
          </cell>
          <cell r="AR1624">
            <v>3063.0344329999998</v>
          </cell>
          <cell r="AS1624">
            <v>3093.2190719999999</v>
          </cell>
          <cell r="AT1624">
            <v>3123.721008</v>
          </cell>
          <cell r="AU1624">
            <v>3154.6187129999998</v>
          </cell>
          <cell r="AV1624">
            <v>3185.9086569999999</v>
          </cell>
          <cell r="AW1624">
            <v>3217.5961109999998</v>
          </cell>
          <cell r="AX1624">
            <v>3249.689856</v>
          </cell>
          <cell r="AY1624">
            <v>3282.1979580000002</v>
          </cell>
          <cell r="AZ1624">
            <v>3315.366599</v>
          </cell>
          <cell r="BA1624">
            <v>3349.0946589999999</v>
          </cell>
          <cell r="BB1624">
            <v>3383.330504</v>
          </cell>
          <cell r="BC1624">
            <v>3418.0520019999999</v>
          </cell>
          <cell r="BD1624">
            <v>3453.248055</v>
          </cell>
          <cell r="BE1624">
            <v>3489.0220650000001</v>
          </cell>
          <cell r="BF1624">
            <v>3525.3165779999999</v>
          </cell>
          <cell r="BG1624">
            <v>3562.101936</v>
          </cell>
          <cell r="BH1624">
            <v>3599.3647839999999</v>
          </cell>
          <cell r="BI1624">
            <v>3637.0985540000001</v>
          </cell>
        </row>
        <row r="1629">
          <cell r="F1629">
            <v>3646.6350779999998</v>
          </cell>
          <cell r="G1629">
            <v>3642.5235990000001</v>
          </cell>
          <cell r="H1629">
            <v>3644.3435760000002</v>
          </cell>
          <cell r="I1629">
            <v>3650.9525509999999</v>
          </cell>
          <cell r="J1629">
            <v>3662.217208</v>
          </cell>
          <cell r="K1629">
            <v>3678.27142</v>
          </cell>
          <cell r="L1629">
            <v>3697.5821219999998</v>
          </cell>
          <cell r="M1629">
            <v>3719.9455379999999</v>
          </cell>
          <cell r="N1629">
            <v>3745.0828430000001</v>
          </cell>
          <cell r="O1629">
            <v>3772.563995</v>
          </cell>
          <cell r="P1629">
            <v>3804.2025090000002</v>
          </cell>
          <cell r="Q1629">
            <v>3836.6217929999998</v>
          </cell>
          <cell r="R1629">
            <v>3869.5260410000001</v>
          </cell>
          <cell r="S1629">
            <v>3902.9151510000002</v>
          </cell>
          <cell r="T1629">
            <v>3936.7617540000001</v>
          </cell>
          <cell r="U1629">
            <v>3971.0187799999999</v>
          </cell>
          <cell r="V1629">
            <v>4005.456467</v>
          </cell>
          <cell r="W1629">
            <v>4040.1327799999999</v>
          </cell>
          <cell r="X1629">
            <v>4075.1122059999998</v>
          </cell>
          <cell r="Y1629">
            <v>4110.4653950000002</v>
          </cell>
          <cell r="Z1629">
            <v>4144.6403399999999</v>
          </cell>
          <cell r="AA1629">
            <v>4179.7309759999998</v>
          </cell>
          <cell r="AB1629">
            <v>4215.85286</v>
          </cell>
          <cell r="AC1629">
            <v>4252.9534759999997</v>
          </cell>
          <cell r="AD1629">
            <v>4291.0334499999999</v>
          </cell>
          <cell r="AE1629">
            <v>4325.5056450000002</v>
          </cell>
          <cell r="AF1629">
            <v>4360.0142150000001</v>
          </cell>
          <cell r="AG1629">
            <v>4395.1521540000003</v>
          </cell>
          <cell r="AH1629">
            <v>4431.0802000000003</v>
          </cell>
          <cell r="AI1629">
            <v>4467.9219460000004</v>
          </cell>
          <cell r="AJ1629">
            <v>4505.8018959999999</v>
          </cell>
          <cell r="AK1629">
            <v>4544.8756649999996</v>
          </cell>
          <cell r="AL1629">
            <v>4585.2272970000004</v>
          </cell>
          <cell r="AM1629">
            <v>4626.9256160000004</v>
          </cell>
          <cell r="AN1629">
            <v>4670.0230869999996</v>
          </cell>
          <cell r="AO1629">
            <v>4714.5576279999996</v>
          </cell>
          <cell r="AP1629">
            <v>4759.8034740000003</v>
          </cell>
          <cell r="AQ1629">
            <v>4805.882415</v>
          </cell>
          <cell r="AR1629">
            <v>4852.9700279999997</v>
          </cell>
          <cell r="AS1629">
            <v>4901.167555</v>
          </cell>
          <cell r="AT1629">
            <v>4950.5343560000001</v>
          </cell>
          <cell r="AU1629">
            <v>5001.1618879999996</v>
          </cell>
          <cell r="AV1629">
            <v>5053.0573510000004</v>
          </cell>
          <cell r="AW1629">
            <v>5106.2262739999996</v>
          </cell>
          <cell r="AX1629">
            <v>5160.6706270000004</v>
          </cell>
          <cell r="AY1629">
            <v>5216.3898760000002</v>
          </cell>
          <cell r="AZ1629">
            <v>5273.653311</v>
          </cell>
          <cell r="BA1629">
            <v>5332.3712530000003</v>
          </cell>
          <cell r="BB1629">
            <v>5392.4742370000004</v>
          </cell>
          <cell r="BC1629">
            <v>5453.9098139999996</v>
          </cell>
          <cell r="BD1629">
            <v>5516.640754</v>
          </cell>
          <cell r="BE1629">
            <v>5580.7463859999998</v>
          </cell>
          <cell r="BF1629">
            <v>5646.1693359999999</v>
          </cell>
          <cell r="BG1629">
            <v>5712.87392</v>
          </cell>
          <cell r="BH1629">
            <v>5780.8352679999998</v>
          </cell>
          <cell r="BI1629">
            <v>5850.0392860000002</v>
          </cell>
        </row>
        <row r="1639">
          <cell r="F1639">
            <v>473222.20490000001</v>
          </cell>
          <cell r="G1639">
            <v>474205.76329999999</v>
          </cell>
          <cell r="H1639">
            <v>477821.65460000001</v>
          </cell>
          <cell r="I1639">
            <v>483073.34</v>
          </cell>
          <cell r="J1639">
            <v>489317.98479999998</v>
          </cell>
          <cell r="K1639">
            <v>496236.92009999999</v>
          </cell>
          <cell r="L1639">
            <v>503479.68569999997</v>
          </cell>
          <cell r="M1639">
            <v>511015.4093</v>
          </cell>
          <cell r="N1639">
            <v>518839.3113</v>
          </cell>
          <cell r="O1639">
            <v>526949.674</v>
          </cell>
          <cell r="P1639">
            <v>535682.9682</v>
          </cell>
          <cell r="Q1639">
            <v>544611.98129999998</v>
          </cell>
          <cell r="R1639">
            <v>553750.96019999997</v>
          </cell>
          <cell r="S1639">
            <v>563113.7757</v>
          </cell>
          <cell r="T1639">
            <v>572705.05889999995</v>
          </cell>
          <cell r="U1639">
            <v>582526.33660000004</v>
          </cell>
          <cell r="V1639">
            <v>592579.20550000004</v>
          </cell>
          <cell r="W1639">
            <v>602866.19499999995</v>
          </cell>
          <cell r="X1639">
            <v>613390.53220000002</v>
          </cell>
          <cell r="Y1639">
            <v>624155.56909999996</v>
          </cell>
          <cell r="Z1639">
            <v>634908.36410000001</v>
          </cell>
          <cell r="AA1639">
            <v>645965.79570000002</v>
          </cell>
          <cell r="AB1639">
            <v>657313.86459999997</v>
          </cell>
          <cell r="AC1639">
            <v>668937.87509999995</v>
          </cell>
          <cell r="AD1639">
            <v>680829.61100000003</v>
          </cell>
          <cell r="AE1639">
            <v>692237.34250000003</v>
          </cell>
          <cell r="AF1639">
            <v>703715.72279999999</v>
          </cell>
          <cell r="AG1639">
            <v>715291.08290000004</v>
          </cell>
          <cell r="AH1639">
            <v>726970.25269999995</v>
          </cell>
          <cell r="AI1639">
            <v>738761.28619999997</v>
          </cell>
          <cell r="AJ1639">
            <v>750671.59730000002</v>
          </cell>
          <cell r="AK1639">
            <v>762706.11490000004</v>
          </cell>
          <cell r="AL1639">
            <v>774866.6165</v>
          </cell>
          <cell r="AM1639">
            <v>787151.88130000001</v>
          </cell>
          <cell r="AN1639">
            <v>799558.30020000006</v>
          </cell>
          <cell r="AO1639">
            <v>812080.64780000004</v>
          </cell>
          <cell r="AP1639">
            <v>824529.01419999998</v>
          </cell>
          <cell r="AQ1639">
            <v>836935.93980000005</v>
          </cell>
          <cell r="AR1639">
            <v>849324.51599999995</v>
          </cell>
          <cell r="AS1639">
            <v>861708.40619999997</v>
          </cell>
          <cell r="AT1639">
            <v>874096.95519999997</v>
          </cell>
          <cell r="AU1639">
            <v>886497.46939999994</v>
          </cell>
          <cell r="AV1639">
            <v>898915.97199999995</v>
          </cell>
          <cell r="AW1639">
            <v>911357.42559999996</v>
          </cell>
          <cell r="AX1639">
            <v>923825.87120000005</v>
          </cell>
          <cell r="AY1639">
            <v>936324.62300000002</v>
          </cell>
          <cell r="AZ1639">
            <v>948873.29480000003</v>
          </cell>
          <cell r="BA1639">
            <v>961470.96059999999</v>
          </cell>
          <cell r="BB1639">
            <v>974117.74809999997</v>
          </cell>
          <cell r="BC1639">
            <v>986815.11569999997</v>
          </cell>
          <cell r="BD1639">
            <v>999565.57979999995</v>
          </cell>
          <cell r="BE1639">
            <v>1012372.6189999999</v>
          </cell>
          <cell r="BF1639">
            <v>1025240.651</v>
          </cell>
          <cell r="BG1639">
            <v>1038175.003</v>
          </cell>
          <cell r="BH1639">
            <v>1051181.858</v>
          </cell>
          <cell r="BI1639">
            <v>1064268.166</v>
          </cell>
        </row>
        <row r="1640">
          <cell r="F1640">
            <v>4444.0176270000002</v>
          </cell>
          <cell r="G1640">
            <v>4424.3432190000003</v>
          </cell>
          <cell r="H1640">
            <v>4433.7287880000003</v>
          </cell>
          <cell r="I1640">
            <v>4462.0628770000003</v>
          </cell>
          <cell r="J1640">
            <v>4503.233389</v>
          </cell>
          <cell r="K1640">
            <v>4554.1583360000004</v>
          </cell>
          <cell r="L1640">
            <v>4611.1944039999998</v>
          </cell>
          <cell r="M1640">
            <v>4673.4502549999997</v>
          </cell>
          <cell r="N1640">
            <v>4740.284044</v>
          </cell>
          <cell r="O1640">
            <v>4811.1135690000001</v>
          </cell>
          <cell r="P1640">
            <v>4888.6321090000001</v>
          </cell>
          <cell r="Q1640">
            <v>4968.5579820000003</v>
          </cell>
          <cell r="R1640">
            <v>5050.5488509999996</v>
          </cell>
          <cell r="S1640">
            <v>5134.413689</v>
          </cell>
          <cell r="T1640">
            <v>5219.9603349999998</v>
          </cell>
          <cell r="U1640">
            <v>5307.0318399999996</v>
          </cell>
          <cell r="V1640">
            <v>5395.5223560000004</v>
          </cell>
          <cell r="W1640">
            <v>5485.3727250000002</v>
          </cell>
          <cell r="X1640">
            <v>5576.5577309999999</v>
          </cell>
          <cell r="Y1640">
            <v>5669.0732879999996</v>
          </cell>
          <cell r="Z1640">
            <v>5760.5301460000001</v>
          </cell>
          <cell r="AA1640">
            <v>5853.7996249999997</v>
          </cell>
          <cell r="AB1640">
            <v>5948.8698949999998</v>
          </cell>
          <cell r="AC1640">
            <v>6045.6577020000004</v>
          </cell>
          <cell r="AD1640">
            <v>6144.1227040000003</v>
          </cell>
          <cell r="AE1640">
            <v>6237.2740979999999</v>
          </cell>
          <cell r="AF1640">
            <v>6330.0756600000004</v>
          </cell>
          <cell r="AG1640">
            <v>6423.0266519999996</v>
          </cell>
          <cell r="AH1640">
            <v>6516.3893440000002</v>
          </cell>
          <cell r="AI1640">
            <v>6610.4216100000003</v>
          </cell>
          <cell r="AJ1640">
            <v>6705.3561099999997</v>
          </cell>
          <cell r="AK1640">
            <v>6801.3786620000001</v>
          </cell>
          <cell r="AL1640">
            <v>6898.6232950000003</v>
          </cell>
          <cell r="AM1640">
            <v>6997.1775779999998</v>
          </cell>
          <cell r="AN1640">
            <v>7097.0928729999996</v>
          </cell>
          <cell r="AO1640">
            <v>7198.395426</v>
          </cell>
          <cell r="AP1640">
            <v>7299.3913750000002</v>
          </cell>
          <cell r="AQ1640">
            <v>7400.3930639999999</v>
          </cell>
          <cell r="AR1640">
            <v>7501.6981150000001</v>
          </cell>
          <cell r="AS1640">
            <v>7603.5387010000004</v>
          </cell>
          <cell r="AT1640">
            <v>7706.1108910000003</v>
          </cell>
          <cell r="AU1640">
            <v>7809.5852409999998</v>
          </cell>
          <cell r="AV1640">
            <v>7914.1071780000002</v>
          </cell>
          <cell r="AW1640">
            <v>8019.7961329999998</v>
          </cell>
          <cell r="AX1640">
            <v>8126.7466109999996</v>
          </cell>
          <cell r="AY1640">
            <v>8235.0311189999993</v>
          </cell>
          <cell r="AZ1640">
            <v>8344.8595740000001</v>
          </cell>
          <cell r="BA1640">
            <v>8456.2446920000002</v>
          </cell>
          <cell r="BB1640">
            <v>8569.1925100000008</v>
          </cell>
          <cell r="BC1640">
            <v>8683.7108850000004</v>
          </cell>
          <cell r="BD1640">
            <v>8799.8095940000003</v>
          </cell>
          <cell r="BE1640">
            <v>8917.5011360000008</v>
          </cell>
          <cell r="BF1640">
            <v>9036.8016520000001</v>
          </cell>
          <cell r="BG1640">
            <v>9157.7313689999992</v>
          </cell>
          <cell r="BH1640">
            <v>9280.3144630000006</v>
          </cell>
          <cell r="BI1640">
            <v>9404.5784779999994</v>
          </cell>
        </row>
        <row r="1643">
          <cell r="F1643">
            <v>235100.95439999999</v>
          </cell>
          <cell r="G1643">
            <v>235414.2414</v>
          </cell>
          <cell r="H1643">
            <v>237246.103</v>
          </cell>
          <cell r="I1643">
            <v>239938.82699999999</v>
          </cell>
          <cell r="J1643">
            <v>243124.07509999999</v>
          </cell>
          <cell r="K1643">
            <v>246624.79569999999</v>
          </cell>
          <cell r="L1643">
            <v>250272.4295</v>
          </cell>
          <cell r="M1643">
            <v>254045.2078</v>
          </cell>
          <cell r="N1643">
            <v>257943.36739999999</v>
          </cell>
          <cell r="O1643">
            <v>261972.9687</v>
          </cell>
          <cell r="P1643">
            <v>266289.44790000003</v>
          </cell>
          <cell r="Q1643">
            <v>270722.56229999999</v>
          </cell>
          <cell r="R1643">
            <v>275278.30190000002</v>
          </cell>
          <cell r="S1643">
            <v>279965.34769999998</v>
          </cell>
          <cell r="T1643">
            <v>284789.43530000001</v>
          </cell>
          <cell r="U1643">
            <v>289754.73</v>
          </cell>
          <cell r="V1643">
            <v>294864.89159999997</v>
          </cell>
          <cell r="W1643">
            <v>300123.49599999998</v>
          </cell>
          <cell r="X1643">
            <v>305534.02730000002</v>
          </cell>
          <cell r="Y1643">
            <v>311099.68</v>
          </cell>
          <cell r="Z1643">
            <v>316710.8027</v>
          </cell>
          <cell r="AA1643">
            <v>322499.67879999999</v>
          </cell>
          <cell r="AB1643">
            <v>328465.50329999998</v>
          </cell>
          <cell r="AC1643">
            <v>334603.92170000001</v>
          </cell>
          <cell r="AD1643">
            <v>340911.56430000003</v>
          </cell>
          <cell r="AE1643">
            <v>347057.44750000001</v>
          </cell>
          <cell r="AF1643">
            <v>353260.60930000001</v>
          </cell>
          <cell r="AG1643">
            <v>359533.94929999998</v>
          </cell>
          <cell r="AH1643">
            <v>365879.55609999999</v>
          </cell>
          <cell r="AI1643">
            <v>372298.03100000002</v>
          </cell>
          <cell r="AJ1643">
            <v>378788.96309999999</v>
          </cell>
          <cell r="AK1643">
            <v>385350.71460000001</v>
          </cell>
          <cell r="AL1643">
            <v>391980.29210000002</v>
          </cell>
          <cell r="AM1643">
            <v>398673.41749999998</v>
          </cell>
          <cell r="AN1643">
            <v>405424.77020000003</v>
          </cell>
          <cell r="AO1643">
            <v>412228.31679999997</v>
          </cell>
          <cell r="AP1643">
            <v>418996.36369999999</v>
          </cell>
          <cell r="AQ1643">
            <v>425733.31829999998</v>
          </cell>
          <cell r="AR1643">
            <v>432443.14649999997</v>
          </cell>
          <cell r="AS1643">
            <v>439127.32010000001</v>
          </cell>
          <cell r="AT1643">
            <v>445786.02</v>
          </cell>
          <cell r="AU1643">
            <v>452418.90149999998</v>
          </cell>
          <cell r="AV1643">
            <v>459025.4411</v>
          </cell>
          <cell r="AW1643">
            <v>465605.0748</v>
          </cell>
          <cell r="AX1643">
            <v>472157.27260000003</v>
          </cell>
          <cell r="AY1643">
            <v>478681.61580000003</v>
          </cell>
          <cell r="AZ1643">
            <v>485185.33689999999</v>
          </cell>
          <cell r="BA1643">
            <v>491667.52669999999</v>
          </cell>
          <cell r="BB1643">
            <v>498127.78149999998</v>
          </cell>
          <cell r="BC1643">
            <v>504566.51459999999</v>
          </cell>
          <cell r="BD1643">
            <v>510984.93060000002</v>
          </cell>
          <cell r="BE1643">
            <v>517385.00160000002</v>
          </cell>
          <cell r="BF1643">
            <v>523769.44709999999</v>
          </cell>
          <cell r="BG1643">
            <v>530141.70680000004</v>
          </cell>
          <cell r="BH1643">
            <v>536505.89870000002</v>
          </cell>
          <cell r="BI1643">
            <v>542866.76329999999</v>
          </cell>
        </row>
        <row r="1655">
          <cell r="F1655">
            <v>8024.163904</v>
          </cell>
          <cell r="G1655">
            <v>7955.6152750000001</v>
          </cell>
          <cell r="H1655">
            <v>7996.9883669999999</v>
          </cell>
          <cell r="I1655">
            <v>8085.5544360000004</v>
          </cell>
          <cell r="J1655">
            <v>8195.3985730000004</v>
          </cell>
          <cell r="K1655">
            <v>8316.8783600000006</v>
          </cell>
          <cell r="L1655">
            <v>8441.967928</v>
          </cell>
          <cell r="M1655">
            <v>8570.6175860000003</v>
          </cell>
          <cell r="N1655">
            <v>8702.6698450000004</v>
          </cell>
          <cell r="O1655">
            <v>8837.8366019999994</v>
          </cell>
          <cell r="P1655">
            <v>8982.988335</v>
          </cell>
          <cell r="Q1655">
            <v>9127.4274100000002</v>
          </cell>
          <cell r="R1655">
            <v>9272.5490030000001</v>
          </cell>
          <cell r="S1655">
            <v>9418.9544729999998</v>
          </cell>
          <cell r="T1655">
            <v>9566.8212650000005</v>
          </cell>
          <cell r="U1655">
            <v>9716.2237069999992</v>
          </cell>
          <cell r="V1655">
            <v>9867.2451110000002</v>
          </cell>
          <cell r="W1655">
            <v>10020.0033</v>
          </cell>
          <cell r="X1655">
            <v>10174.64553</v>
          </cell>
          <cell r="Y1655">
            <v>10331.335730000001</v>
          </cell>
          <cell r="Z1655">
            <v>10484.844859999999</v>
          </cell>
          <cell r="AA1655">
            <v>10643.11766</v>
          </cell>
          <cell r="AB1655">
            <v>10805.08518</v>
          </cell>
          <cell r="AC1655">
            <v>10970.307720000001</v>
          </cell>
          <cell r="AD1655">
            <v>11138.69707</v>
          </cell>
          <cell r="AE1655">
            <v>11294.60628</v>
          </cell>
          <cell r="AF1655">
            <v>11453.19023</v>
          </cell>
          <cell r="AG1655">
            <v>11614.12722</v>
          </cell>
          <cell r="AH1655">
            <v>11777.30032</v>
          </cell>
          <cell r="AI1655">
            <v>11942.85383</v>
          </cell>
          <cell r="AJ1655">
            <v>12110.99127</v>
          </cell>
          <cell r="AK1655">
            <v>12281.89039</v>
          </cell>
          <cell r="AL1655">
            <v>12455.676820000001</v>
          </cell>
          <cell r="AM1655">
            <v>12632.42324</v>
          </cell>
          <cell r="AN1655">
            <v>12812.15899</v>
          </cell>
          <cell r="AO1655">
            <v>12994.88249</v>
          </cell>
          <cell r="AP1655">
            <v>13176.731949999999</v>
          </cell>
          <cell r="AQ1655">
            <v>13359.311530000001</v>
          </cell>
          <cell r="AR1655">
            <v>13543.38307</v>
          </cell>
          <cell r="AS1655">
            <v>13729.30831</v>
          </cell>
          <cell r="AT1655">
            <v>13917.302089999999</v>
          </cell>
          <cell r="AU1655">
            <v>14107.519319999999</v>
          </cell>
          <cell r="AV1655">
            <v>14300.08102</v>
          </cell>
          <cell r="AW1655">
            <v>14495.081560000001</v>
          </cell>
          <cell r="AX1655">
            <v>14692.592339999999</v>
          </cell>
          <cell r="AY1655">
            <v>14892.665569999999</v>
          </cell>
          <cell r="AZ1655">
            <v>15095.69073</v>
          </cell>
          <cell r="BA1655">
            <v>15301.54586</v>
          </cell>
          <cell r="BB1655">
            <v>15510.18189</v>
          </cell>
          <cell r="BC1655">
            <v>15721.58641</v>
          </cell>
          <cell r="BD1655">
            <v>15935.76339</v>
          </cell>
          <cell r="BE1655">
            <v>16152.72709</v>
          </cell>
          <cell r="BF1655">
            <v>16372.50051</v>
          </cell>
          <cell r="BG1655">
            <v>16595.114860000001</v>
          </cell>
          <cell r="BH1655">
            <v>16820.608939999998</v>
          </cell>
          <cell r="BI1655">
            <v>17049.02807</v>
          </cell>
        </row>
        <row r="1660">
          <cell r="F1660">
            <v>219751.9693</v>
          </cell>
          <cell r="G1660">
            <v>220526.7427</v>
          </cell>
          <cell r="H1660">
            <v>222253.7831</v>
          </cell>
          <cell r="I1660">
            <v>224675.61910000001</v>
          </cell>
          <cell r="J1660">
            <v>227553.7464</v>
          </cell>
          <cell r="K1660">
            <v>230760.57440000001</v>
          </cell>
          <cell r="L1660">
            <v>234128.96359999999</v>
          </cell>
          <cell r="M1660">
            <v>237651.2114</v>
          </cell>
          <cell r="N1660">
            <v>241323.75630000001</v>
          </cell>
          <cell r="O1660">
            <v>245140.56690000001</v>
          </cell>
          <cell r="P1660">
            <v>249270.1874</v>
          </cell>
          <cell r="Q1660">
            <v>253476.17850000001</v>
          </cell>
          <cell r="R1660">
            <v>257766.13329999999</v>
          </cell>
          <cell r="S1660">
            <v>262144.87109999999</v>
          </cell>
          <cell r="T1660">
            <v>266611.3591</v>
          </cell>
          <cell r="U1660">
            <v>271163.09490000003</v>
          </cell>
          <cell r="V1660">
            <v>275798.07280000002</v>
          </cell>
          <cell r="W1660">
            <v>280515.2009</v>
          </cell>
          <cell r="X1660">
            <v>285314.09100000001</v>
          </cell>
          <cell r="Y1660">
            <v>290194.70919999998</v>
          </cell>
          <cell r="Z1660">
            <v>295024.11139999999</v>
          </cell>
          <cell r="AA1660">
            <v>299972.44530000002</v>
          </cell>
          <cell r="AB1660">
            <v>305027.64049999998</v>
          </cell>
          <cell r="AC1660">
            <v>310180.03580000001</v>
          </cell>
          <cell r="AD1660">
            <v>315424.93540000002</v>
          </cell>
          <cell r="AE1660">
            <v>320372.13370000001</v>
          </cell>
          <cell r="AF1660">
            <v>325330.62719999999</v>
          </cell>
          <cell r="AG1660">
            <v>330312.96149999998</v>
          </cell>
          <cell r="AH1660">
            <v>335323.55440000002</v>
          </cell>
          <cell r="AI1660">
            <v>340369.27519999997</v>
          </cell>
          <cell r="AJ1660">
            <v>345457.31479999999</v>
          </cell>
          <cell r="AK1660">
            <v>350593.68930000003</v>
          </cell>
          <cell r="AL1660">
            <v>355782.74920000002</v>
          </cell>
          <cell r="AM1660">
            <v>361027.26040000003</v>
          </cell>
          <cell r="AN1660">
            <v>366328.75309999997</v>
          </cell>
          <cell r="AO1660">
            <v>371687.93670000002</v>
          </cell>
          <cell r="AP1660">
            <v>377009.989</v>
          </cell>
          <cell r="AQ1660">
            <v>382320.58350000001</v>
          </cell>
          <cell r="AR1660">
            <v>387637.35769999999</v>
          </cell>
          <cell r="AS1660">
            <v>392971.66879999998</v>
          </cell>
          <cell r="AT1660">
            <v>398332.12929999997</v>
          </cell>
          <cell r="AU1660">
            <v>403725.97399999999</v>
          </cell>
          <cell r="AV1660">
            <v>409159.42129999999</v>
          </cell>
          <cell r="AW1660">
            <v>414637.74040000001</v>
          </cell>
          <cell r="AX1660">
            <v>420165.30839999998</v>
          </cell>
          <cell r="AY1660">
            <v>425745.71169999999</v>
          </cell>
          <cell r="AZ1660">
            <v>431390.53499999997</v>
          </cell>
          <cell r="BA1660">
            <v>437099.88419999997</v>
          </cell>
          <cell r="BB1660">
            <v>442874.33990000002</v>
          </cell>
          <cell r="BC1660">
            <v>448714.94780000002</v>
          </cell>
          <cell r="BD1660">
            <v>454623.00040000002</v>
          </cell>
          <cell r="BE1660">
            <v>460599.973</v>
          </cell>
          <cell r="BF1660">
            <v>466647.5196</v>
          </cell>
          <cell r="BG1660">
            <v>472767.4706</v>
          </cell>
          <cell r="BH1660">
            <v>478961.8186</v>
          </cell>
          <cell r="BI1660">
            <v>485232.68910000002</v>
          </cell>
        </row>
        <row r="1663">
          <cell r="F1663">
            <v>2252.4374440000001</v>
          </cell>
          <cell r="G1663">
            <v>2234.624656</v>
          </cell>
          <cell r="H1663">
            <v>2232.1670810000001</v>
          </cell>
          <cell r="I1663">
            <v>2238.5926669999999</v>
          </cell>
          <cell r="J1663">
            <v>2250.4124470000002</v>
          </cell>
          <cell r="K1663">
            <v>2266.3398729999999</v>
          </cell>
          <cell r="L1663">
            <v>2284.859477</v>
          </cell>
          <cell r="M1663">
            <v>2305.7706899999998</v>
          </cell>
          <cell r="N1663">
            <v>2328.8124600000001</v>
          </cell>
          <cell r="O1663">
            <v>2353.6778169999998</v>
          </cell>
          <cell r="P1663">
            <v>2381.612607</v>
          </cell>
          <cell r="Q1663">
            <v>2410.370973</v>
          </cell>
          <cell r="R1663">
            <v>2439.966598</v>
          </cell>
          <cell r="S1663">
            <v>2470.3942860000002</v>
          </cell>
          <cell r="T1663">
            <v>2501.594505</v>
          </cell>
          <cell r="U1663">
            <v>2533.4983130000001</v>
          </cell>
          <cell r="V1663">
            <v>2566.044746</v>
          </cell>
          <cell r="W1663">
            <v>2599.1844120000001</v>
          </cell>
          <cell r="X1663">
            <v>2632.878933</v>
          </cell>
          <cell r="Y1663">
            <v>2667.099616</v>
          </cell>
          <cell r="Z1663">
            <v>2700.7149220000001</v>
          </cell>
          <cell r="AA1663">
            <v>2735.2099760000001</v>
          </cell>
          <cell r="AB1663">
            <v>2770.4206730000001</v>
          </cell>
          <cell r="AC1663">
            <v>2806.2324610000001</v>
          </cell>
          <cell r="AD1663">
            <v>2842.603623</v>
          </cell>
          <cell r="AE1663">
            <v>2876.3112620000002</v>
          </cell>
          <cell r="AF1663">
            <v>2910.1663579999999</v>
          </cell>
          <cell r="AG1663">
            <v>2944.2296120000001</v>
          </cell>
          <cell r="AH1663">
            <v>2978.4835250000001</v>
          </cell>
          <cell r="AI1663">
            <v>3012.957339</v>
          </cell>
          <cell r="AJ1663">
            <v>3047.7012009999999</v>
          </cell>
          <cell r="AK1663">
            <v>3082.767601</v>
          </cell>
          <cell r="AL1663">
            <v>3118.202123</v>
          </cell>
          <cell r="AM1663">
            <v>3154.0428160000001</v>
          </cell>
          <cell r="AN1663">
            <v>3190.320299</v>
          </cell>
          <cell r="AO1663">
            <v>3227.05834</v>
          </cell>
          <cell r="AP1663">
            <v>3263.496666</v>
          </cell>
          <cell r="AQ1663">
            <v>3299.914358</v>
          </cell>
          <cell r="AR1663">
            <v>3336.47658</v>
          </cell>
          <cell r="AS1663">
            <v>3373.2672670000002</v>
          </cell>
          <cell r="AT1663">
            <v>3410.337184</v>
          </cell>
          <cell r="AU1663">
            <v>3447.7236720000001</v>
          </cell>
          <cell r="AV1663">
            <v>3485.4570330000001</v>
          </cell>
          <cell r="AW1663">
            <v>3523.5623150000001</v>
          </cell>
          <cell r="AX1663">
            <v>3562.0599779999998</v>
          </cell>
          <cell r="AY1663">
            <v>3600.9673509999998</v>
          </cell>
          <cell r="AZ1663">
            <v>3640.371142</v>
          </cell>
          <cell r="BA1663">
            <v>3680.2622419999998</v>
          </cell>
          <cell r="BB1663">
            <v>3720.6400370000001</v>
          </cell>
          <cell r="BC1663">
            <v>3761.5091229999998</v>
          </cell>
          <cell r="BD1663">
            <v>3802.8752030000001</v>
          </cell>
          <cell r="BE1663">
            <v>3844.7438390000002</v>
          </cell>
          <cell r="BF1663">
            <v>3887.1204560000001</v>
          </cell>
          <cell r="BG1663">
            <v>3930.0106580000001</v>
          </cell>
          <cell r="BH1663">
            <v>3973.4205059999999</v>
          </cell>
          <cell r="BI1663">
            <v>4017.3566729999998</v>
          </cell>
        </row>
        <row r="1668">
          <cell r="F1668">
            <v>3648.6622240000002</v>
          </cell>
          <cell r="G1668">
            <v>3650.1960300000001</v>
          </cell>
          <cell r="H1668">
            <v>3658.8841739999998</v>
          </cell>
          <cell r="I1668">
            <v>3672.6839030000001</v>
          </cell>
          <cell r="J1668">
            <v>3691.1189279999999</v>
          </cell>
          <cell r="K1668">
            <v>3714.1734670000001</v>
          </cell>
          <cell r="L1668">
            <v>3740.2708510000002</v>
          </cell>
          <cell r="M1668">
            <v>3769.1514790000001</v>
          </cell>
          <cell r="N1668">
            <v>3800.4212000000002</v>
          </cell>
          <cell r="O1668">
            <v>3833.5104219999998</v>
          </cell>
          <cell r="P1668">
            <v>3870.0998810000001</v>
          </cell>
          <cell r="Q1668">
            <v>3906.884196</v>
          </cell>
          <cell r="R1668">
            <v>3943.4605999999999</v>
          </cell>
          <cell r="S1668">
            <v>3979.794386</v>
          </cell>
          <cell r="T1668">
            <v>4015.8883700000001</v>
          </cell>
          <cell r="U1668">
            <v>4051.757826</v>
          </cell>
          <cell r="V1668">
            <v>4087.4288689999998</v>
          </cell>
          <cell r="W1668">
            <v>4122.9376940000002</v>
          </cell>
          <cell r="X1668">
            <v>4158.3316800000002</v>
          </cell>
          <cell r="Y1668">
            <v>4193.6712470000002</v>
          </cell>
          <cell r="Z1668">
            <v>4227.3600550000001</v>
          </cell>
          <cell r="AA1668">
            <v>4261.5443759999998</v>
          </cell>
          <cell r="AB1668">
            <v>4296.3450279999997</v>
          </cell>
          <cell r="AC1668">
            <v>4331.7198479999997</v>
          </cell>
          <cell r="AD1668">
            <v>4367.6879559999998</v>
          </cell>
          <cell r="AE1668">
            <v>4399.5696150000003</v>
          </cell>
          <cell r="AF1668">
            <v>4431.0539699999999</v>
          </cell>
          <cell r="AG1668">
            <v>4462.7885500000002</v>
          </cell>
          <cell r="AH1668">
            <v>4494.9690030000002</v>
          </cell>
          <cell r="AI1668">
            <v>4527.7472379999999</v>
          </cell>
          <cell r="AJ1668">
            <v>4561.2708069999999</v>
          </cell>
          <cell r="AK1668">
            <v>4595.6743619999997</v>
          </cell>
          <cell r="AL1668">
            <v>4631.0730679999997</v>
          </cell>
          <cell r="AM1668">
            <v>4667.5597120000002</v>
          </cell>
          <cell r="AN1668">
            <v>4705.2047499999999</v>
          </cell>
          <cell r="AO1668">
            <v>4744.0580170000003</v>
          </cell>
          <cell r="AP1668">
            <v>4783.0415220000004</v>
          </cell>
          <cell r="AQ1668">
            <v>4822.4190779999999</v>
          </cell>
          <cell r="AR1668">
            <v>4862.4539619999996</v>
          </cell>
          <cell r="AS1668">
            <v>4903.3029809999998</v>
          </cell>
          <cell r="AT1668">
            <v>4945.0557710000003</v>
          </cell>
          <cell r="AU1668">
            <v>4987.7655759999998</v>
          </cell>
          <cell r="AV1668">
            <v>5031.4644660000004</v>
          </cell>
          <cell r="AW1668">
            <v>5076.1704390000004</v>
          </cell>
          <cell r="AX1668">
            <v>5121.8911790000002</v>
          </cell>
          <cell r="AY1668">
            <v>5168.6314279999997</v>
          </cell>
          <cell r="AZ1668">
            <v>5216.5014719999999</v>
          </cell>
          <cell r="BA1668">
            <v>5265.4968479999998</v>
          </cell>
          <cell r="BB1668">
            <v>5315.6122100000002</v>
          </cell>
          <cell r="BC1668">
            <v>5366.8468359999997</v>
          </cell>
          <cell r="BD1668">
            <v>5419.2005820000004</v>
          </cell>
          <cell r="BE1668">
            <v>5472.672595</v>
          </cell>
          <cell r="BF1668">
            <v>5527.262009</v>
          </cell>
          <cell r="BG1668">
            <v>5582.9691819999998</v>
          </cell>
          <cell r="BH1668">
            <v>5639.7967200000003</v>
          </cell>
          <cell r="BI1668">
            <v>5697.7501099999999</v>
          </cell>
        </row>
        <row r="1702">
          <cell r="F1702">
            <v>1202495.9609999999</v>
          </cell>
          <cell r="G1702">
            <v>1210384.7830000001</v>
          </cell>
          <cell r="H1702">
            <v>1218081.1939999999</v>
          </cell>
          <cell r="I1702">
            <v>1227238.8840000001</v>
          </cell>
          <cell r="J1702">
            <v>1238272.3940000001</v>
          </cell>
          <cell r="K1702">
            <v>1251236.3049999999</v>
          </cell>
          <cell r="L1702">
            <v>1265467.4029999999</v>
          </cell>
          <cell r="M1702">
            <v>1280992.0549999999</v>
          </cell>
          <cell r="N1702">
            <v>1297745.2350000001</v>
          </cell>
          <cell r="O1702">
            <v>1315612.996</v>
          </cell>
          <cell r="P1702">
            <v>1335489.2749999999</v>
          </cell>
          <cell r="Q1702">
            <v>1355923.1329999999</v>
          </cell>
          <cell r="R1702">
            <v>1376856.5260000001</v>
          </cell>
          <cell r="S1702">
            <v>1398208.696</v>
          </cell>
          <cell r="T1702">
            <v>1419912.5049999999</v>
          </cell>
          <cell r="U1702">
            <v>1441919.852</v>
          </cell>
          <cell r="V1702">
            <v>1464169.202</v>
          </cell>
          <cell r="W1702">
            <v>1486632.8689999999</v>
          </cell>
          <cell r="X1702">
            <v>1509296.2279999999</v>
          </cell>
          <cell r="Y1702">
            <v>1532148.8970000001</v>
          </cell>
          <cell r="Z1702">
            <v>1554416.895</v>
          </cell>
          <cell r="AA1702">
            <v>1577043.0719999999</v>
          </cell>
          <cell r="AB1702">
            <v>1599971.173</v>
          </cell>
          <cell r="AC1702">
            <v>1623177.8870000001</v>
          </cell>
          <cell r="AD1702">
            <v>1646645.304</v>
          </cell>
          <cell r="AE1702">
            <v>1668149.665</v>
          </cell>
          <cell r="AF1702">
            <v>1689384.926</v>
          </cell>
          <cell r="AG1702">
            <v>1710443.824</v>
          </cell>
          <cell r="AH1702">
            <v>1731444.5689999999</v>
          </cell>
          <cell r="AI1702">
            <v>1752494.3470000001</v>
          </cell>
          <cell r="AJ1702">
            <v>1773678.29</v>
          </cell>
          <cell r="AK1702">
            <v>1795065.327</v>
          </cell>
          <cell r="AL1702">
            <v>1816699.2760000001</v>
          </cell>
          <cell r="AM1702">
            <v>1838607.6880000001</v>
          </cell>
          <cell r="AN1702">
            <v>1860808.0390000001</v>
          </cell>
          <cell r="AO1702">
            <v>1883312.041</v>
          </cell>
          <cell r="AP1702">
            <v>1905660.1880000001</v>
          </cell>
          <cell r="AQ1702">
            <v>1927990.996</v>
          </cell>
          <cell r="AR1702">
            <v>1950393.63</v>
          </cell>
          <cell r="AS1702">
            <v>1972941.7549999999</v>
          </cell>
          <cell r="AT1702">
            <v>1995699.2879999999</v>
          </cell>
          <cell r="AU1702">
            <v>2018728.9140000001</v>
          </cell>
          <cell r="AV1702">
            <v>2042073.5060000001</v>
          </cell>
          <cell r="AW1702">
            <v>2065762.14</v>
          </cell>
          <cell r="AX1702">
            <v>2089813.763</v>
          </cell>
          <cell r="AY1702">
            <v>2114239.9309999999</v>
          </cell>
          <cell r="AZ1702">
            <v>2139126.0619999999</v>
          </cell>
          <cell r="BA1702">
            <v>2164468.3679999998</v>
          </cell>
          <cell r="BB1702">
            <v>2190255.2110000001</v>
          </cell>
          <cell r="BC1702">
            <v>2216473.5520000001</v>
          </cell>
          <cell r="BD1702">
            <v>2243111.6660000002</v>
          </cell>
          <cell r="BE1702">
            <v>2270180.264</v>
          </cell>
          <cell r="BF1702">
            <v>2297675.037</v>
          </cell>
          <cell r="BG1702">
            <v>2325588.46</v>
          </cell>
          <cell r="BH1702">
            <v>2353914.1179999998</v>
          </cell>
          <cell r="BI1702">
            <v>2382647.75</v>
          </cell>
        </row>
        <row r="1731">
          <cell r="F1731">
            <v>1202984.926</v>
          </cell>
          <cell r="G1731">
            <v>1211930.274</v>
          </cell>
          <cell r="H1731">
            <v>1221106.466</v>
          </cell>
          <cell r="I1731">
            <v>1232054.0449999999</v>
          </cell>
          <cell r="J1731">
            <v>1245098.8540000001</v>
          </cell>
          <cell r="K1731">
            <v>1260228.4410000001</v>
          </cell>
          <cell r="L1731">
            <v>1276735.3729999999</v>
          </cell>
          <cell r="M1731">
            <v>1294605.8389999999</v>
          </cell>
          <cell r="N1731">
            <v>1313742.1610000001</v>
          </cell>
          <cell r="O1731">
            <v>1334004.3910000001</v>
          </cell>
          <cell r="P1731">
            <v>1356273.9709999999</v>
          </cell>
          <cell r="Q1731">
            <v>1379105.7560000001</v>
          </cell>
          <cell r="R1731">
            <v>1402427.6040000001</v>
          </cell>
          <cell r="S1731">
            <v>1426139.875</v>
          </cell>
          <cell r="T1731">
            <v>1450157.8840000001</v>
          </cell>
          <cell r="U1731">
            <v>1474419.162</v>
          </cell>
          <cell r="V1731">
            <v>1498880.0149999999</v>
          </cell>
          <cell r="W1731">
            <v>1523509.9750000001</v>
          </cell>
          <cell r="X1731">
            <v>1548287.169</v>
          </cell>
          <cell r="Y1731">
            <v>1573195.3559999999</v>
          </cell>
          <cell r="Z1731">
            <v>1597443.7490000001</v>
          </cell>
          <cell r="AA1731">
            <v>1621985.4210000001</v>
          </cell>
          <cell r="AB1731">
            <v>1646770.088</v>
          </cell>
          <cell r="AC1731">
            <v>1671781.551</v>
          </cell>
          <cell r="AD1731">
            <v>1697009.3729999999</v>
          </cell>
          <cell r="AE1731">
            <v>1720190.233</v>
          </cell>
          <cell r="AF1731">
            <v>1743028.8540000001</v>
          </cell>
          <cell r="AG1731">
            <v>1765630.1810000001</v>
          </cell>
          <cell r="AH1731">
            <v>1788129.1370000001</v>
          </cell>
          <cell r="AI1731">
            <v>1810648.8729999999</v>
          </cell>
          <cell r="AJ1731">
            <v>1833288.1910000001</v>
          </cell>
          <cell r="AK1731">
            <v>1856120.6240000001</v>
          </cell>
          <cell r="AL1731">
            <v>1879198.2439999999</v>
          </cell>
          <cell r="AM1731">
            <v>1902556.902</v>
          </cell>
          <cell r="AN1731">
            <v>1926221.2749999999</v>
          </cell>
          <cell r="AO1731">
            <v>1950208.9909999999</v>
          </cell>
          <cell r="AP1731">
            <v>1973992.7479999999</v>
          </cell>
          <cell r="AQ1731">
            <v>1997705.7120000001</v>
          </cell>
          <cell r="AR1731">
            <v>2021450.2990000001</v>
          </cell>
          <cell r="AS1731">
            <v>2045317.875</v>
          </cell>
          <cell r="AT1731">
            <v>2069389.3840000001</v>
          </cell>
          <cell r="AU1731">
            <v>2093732.8940000001</v>
          </cell>
          <cell r="AV1731">
            <v>2118402.3560000001</v>
          </cell>
          <cell r="AW1731">
            <v>2143438.1469999999</v>
          </cell>
          <cell r="AX1731">
            <v>2168868.8879999998</v>
          </cell>
          <cell r="AY1731">
            <v>2194713.875</v>
          </cell>
          <cell r="AZ1731">
            <v>2221033.9550000001</v>
          </cell>
          <cell r="BA1731">
            <v>2247826.0720000002</v>
          </cell>
          <cell r="BB1731">
            <v>2275086.9989999998</v>
          </cell>
          <cell r="BC1731">
            <v>2302812.9479999999</v>
          </cell>
          <cell r="BD1731">
            <v>2331000.44</v>
          </cell>
          <cell r="BE1731">
            <v>2359647.0780000002</v>
          </cell>
          <cell r="BF1731">
            <v>2388751.9509999999</v>
          </cell>
          <cell r="BG1731">
            <v>2418315.7000000002</v>
          </cell>
          <cell r="BH1731">
            <v>2448340.3560000001</v>
          </cell>
          <cell r="BI1731">
            <v>2478829.068</v>
          </cell>
        </row>
        <row r="1760">
          <cell r="F1760">
            <v>0.99914791319999996</v>
          </cell>
          <cell r="G1760">
            <v>1.015871805</v>
          </cell>
          <cell r="H1760">
            <v>1.0314509700000001</v>
          </cell>
          <cell r="I1760">
            <v>1.04691087</v>
          </cell>
          <cell r="J1760">
            <v>1.062839055</v>
          </cell>
          <cell r="K1760">
            <v>1.079533957</v>
          </cell>
          <cell r="L1760">
            <v>1.0971004259999999</v>
          </cell>
          <cell r="M1760">
            <v>1.115584312</v>
          </cell>
          <cell r="N1760">
            <v>1.1350107899999999</v>
          </cell>
          <cell r="O1760">
            <v>1.1553973959999999</v>
          </cell>
          <cell r="P1760">
            <v>1.176810846</v>
          </cell>
          <cell r="Q1760">
            <v>1.199217024</v>
          </cell>
          <cell r="R1760">
            <v>1.2225896510000001</v>
          </cell>
          <cell r="S1760">
            <v>1.2469033940000001</v>
          </cell>
          <cell r="T1760">
            <v>1.2721282679999999</v>
          </cell>
          <cell r="U1760">
            <v>1.29822807</v>
          </cell>
          <cell r="V1760">
            <v>1.325154468</v>
          </cell>
          <cell r="W1760">
            <v>1.352858393</v>
          </cell>
          <cell r="X1760">
            <v>1.38129349</v>
          </cell>
          <cell r="Y1760">
            <v>1.410416307</v>
          </cell>
          <cell r="Z1760">
            <v>1.4401437850000001</v>
          </cell>
          <cell r="AA1760">
            <v>1.470462479</v>
          </cell>
          <cell r="AB1760">
            <v>1.501352386</v>
          </cell>
          <cell r="AC1760">
            <v>1.532792519</v>
          </cell>
          <cell r="AD1760">
            <v>1.564764577</v>
          </cell>
          <cell r="AE1760">
            <v>1.5971277180000001</v>
          </cell>
          <cell r="AF1760">
            <v>1.6298805890000001</v>
          </cell>
          <cell r="AG1760">
            <v>1.6630254520000001</v>
          </cell>
          <cell r="AH1760">
            <v>1.6965661110000001</v>
          </cell>
          <cell r="AI1760">
            <v>1.7305101570000001</v>
          </cell>
          <cell r="AJ1760">
            <v>1.764870876</v>
          </cell>
          <cell r="AK1760">
            <v>1.7996690019999999</v>
          </cell>
          <cell r="AL1760">
            <v>1.8349310350000001</v>
          </cell>
          <cell r="AM1760">
            <v>1.8706870920000001</v>
          </cell>
          <cell r="AN1760">
            <v>1.906969929</v>
          </cell>
          <cell r="AO1760">
            <v>1.943813915</v>
          </cell>
          <cell r="AP1760">
            <v>1.9812304169999999</v>
          </cell>
          <cell r="AQ1760">
            <v>2.019250451</v>
          </cell>
          <cell r="AR1760">
            <v>2.0579057180000002</v>
          </cell>
          <cell r="AS1760">
            <v>2.097227051</v>
          </cell>
          <cell r="AT1760">
            <v>2.1372442540000001</v>
          </cell>
          <cell r="AU1760">
            <v>2.1779878400000001</v>
          </cell>
          <cell r="AV1760">
            <v>2.2194888929999999</v>
          </cell>
          <cell r="AW1760">
            <v>2.2617771090000001</v>
          </cell>
          <cell r="AX1760">
            <v>2.3048811910000002</v>
          </cell>
          <cell r="AY1760">
            <v>2.348828965</v>
          </cell>
          <cell r="AZ1760">
            <v>2.393654449</v>
          </cell>
          <cell r="BA1760">
            <v>2.4393930510000001</v>
          </cell>
          <cell r="BB1760">
            <v>2.4860740419999998</v>
          </cell>
          <cell r="BC1760">
            <v>2.5337227059999998</v>
          </cell>
          <cell r="BD1760">
            <v>2.5823617670000001</v>
          </cell>
          <cell r="BE1760">
            <v>2.632014286</v>
          </cell>
          <cell r="BF1760">
            <v>2.6827053639999998</v>
          </cell>
          <cell r="BG1760">
            <v>2.7344565250000001</v>
          </cell>
          <cell r="BH1760">
            <v>2.7872870399999998</v>
          </cell>
          <cell r="BI1760">
            <v>2.8412149250000001</v>
          </cell>
        </row>
        <row r="1789">
          <cell r="F1789">
            <v>0.99928330870000004</v>
          </cell>
          <cell r="G1789">
            <v>1.016348619</v>
          </cell>
          <cell r="H1789">
            <v>1.032485257</v>
          </cell>
          <cell r="I1789">
            <v>1.0487057950000001</v>
          </cell>
          <cell r="J1789">
            <v>1.0655777639999999</v>
          </cell>
          <cell r="K1789">
            <v>1.0833791239999999</v>
          </cell>
          <cell r="L1789">
            <v>1.1021979340000001</v>
          </cell>
          <cell r="M1789">
            <v>1.122063765</v>
          </cell>
          <cell r="N1789">
            <v>1.1429853889999999</v>
          </cell>
          <cell r="O1789">
            <v>1.1649638659999999</v>
          </cell>
          <cell r="P1789">
            <v>1.1880487850000001</v>
          </cell>
          <cell r="Q1789">
            <v>1.2121981020000001</v>
          </cell>
          <cell r="R1789">
            <v>1.2373745920000001</v>
          </cell>
          <cell r="S1789">
            <v>1.2635389480000001</v>
          </cell>
          <cell r="T1789">
            <v>1.2906461499999999</v>
          </cell>
          <cell r="U1789">
            <v>1.318645096</v>
          </cell>
          <cell r="V1789">
            <v>1.3474804039999999</v>
          </cell>
          <cell r="W1789">
            <v>1.3770950230000001</v>
          </cell>
          <cell r="X1789">
            <v>1.4074327719999999</v>
          </cell>
          <cell r="Y1789">
            <v>1.4384404159999999</v>
          </cell>
          <cell r="Z1789">
            <v>1.470027193</v>
          </cell>
          <cell r="AA1789">
            <v>1.5021705169999999</v>
          </cell>
          <cell r="AB1789">
            <v>1.534844251</v>
          </cell>
          <cell r="AC1789">
            <v>1.5680234280000001</v>
          </cell>
          <cell r="AD1789">
            <v>1.6016877249999999</v>
          </cell>
          <cell r="AE1789">
            <v>1.6356995919999999</v>
          </cell>
          <cell r="AF1789">
            <v>1.6700518360000001</v>
          </cell>
          <cell r="AG1789">
            <v>1.704744018</v>
          </cell>
          <cell r="AH1789">
            <v>1.739780329</v>
          </cell>
          <cell r="AI1789">
            <v>1.775171171</v>
          </cell>
          <cell r="AJ1789">
            <v>1.8109344060000001</v>
          </cell>
          <cell r="AK1789">
            <v>1.847095304</v>
          </cell>
          <cell r="AL1789">
            <v>1.8836854890000001</v>
          </cell>
          <cell r="AM1789">
            <v>1.9207413760000001</v>
          </cell>
          <cell r="AN1789">
            <v>1.9583025300000001</v>
          </cell>
          <cell r="AO1789">
            <v>1.996410198</v>
          </cell>
          <cell r="AP1789">
            <v>2.035074152</v>
          </cell>
          <cell r="AQ1789">
            <v>2.074318501</v>
          </cell>
          <cell r="AR1789">
            <v>2.1141745950000002</v>
          </cell>
          <cell r="AS1789">
            <v>2.154676459</v>
          </cell>
          <cell r="AT1789">
            <v>2.1958588290000001</v>
          </cell>
          <cell r="AU1789">
            <v>2.2377565700000002</v>
          </cell>
          <cell r="AV1789">
            <v>2.2804045369999999</v>
          </cell>
          <cell r="AW1789">
            <v>2.3238374460000002</v>
          </cell>
          <cell r="AX1789">
            <v>2.3680896410000001</v>
          </cell>
          <cell r="AY1789">
            <v>2.4131947820000001</v>
          </cell>
          <cell r="AZ1789">
            <v>2.4591886550000002</v>
          </cell>
          <cell r="BA1789">
            <v>2.506104332</v>
          </cell>
          <cell r="BB1789">
            <v>2.5539727139999999</v>
          </cell>
          <cell r="BC1789">
            <v>2.6028229220000001</v>
          </cell>
          <cell r="BD1789">
            <v>2.6526825289999998</v>
          </cell>
          <cell r="BE1789">
            <v>2.7035777410000001</v>
          </cell>
          <cell r="BF1789">
            <v>2.7555335840000001</v>
          </cell>
          <cell r="BG1789">
            <v>2.808574117</v>
          </cell>
          <cell r="BH1789">
            <v>2.8627226769999998</v>
          </cell>
          <cell r="BI1789">
            <v>2.918002124</v>
          </cell>
        </row>
      </sheetData>
      <sheetData sheetId="7"/>
      <sheetData sheetId="8">
        <row r="820">
          <cell r="B820">
            <v>350.59143469999998</v>
          </cell>
          <cell r="C820">
            <v>348.57112899999998</v>
          </cell>
          <cell r="D820">
            <v>349.25957519999997</v>
          </cell>
          <cell r="E820">
            <v>350.77754779999998</v>
          </cell>
          <cell r="F820">
            <v>352.9341068</v>
          </cell>
          <cell r="G820">
            <v>355.68807750000002</v>
          </cell>
          <cell r="H820">
            <v>358.80161670000001</v>
          </cell>
          <cell r="I820">
            <v>362.27945019999999</v>
          </cell>
          <cell r="J820">
            <v>366.06210160000001</v>
          </cell>
          <cell r="K820">
            <v>370.078641</v>
          </cell>
          <cell r="L820">
            <v>374.5803353</v>
          </cell>
          <cell r="M820">
            <v>379.06849629999999</v>
          </cell>
          <cell r="N820">
            <v>383.6156259</v>
          </cell>
          <cell r="O820">
            <v>388.22095039999999</v>
          </cell>
          <cell r="P820">
            <v>392.87563469999998</v>
          </cell>
          <cell r="Q820">
            <v>397.5723587</v>
          </cell>
          <cell r="R820">
            <v>402.30577019999998</v>
          </cell>
          <cell r="S820">
            <v>407.07220310000002</v>
          </cell>
          <cell r="T820">
            <v>411.86946399999999</v>
          </cell>
          <cell r="U820">
            <v>416.6968056</v>
          </cell>
          <cell r="V820">
            <v>421.337107</v>
          </cell>
          <cell r="W820">
            <v>426.12716110000002</v>
          </cell>
          <cell r="X820">
            <v>430.98797530000002</v>
          </cell>
          <cell r="Y820">
            <v>435.90534689999998</v>
          </cell>
          <cell r="Z820">
            <v>440.87901069999998</v>
          </cell>
          <cell r="AA820">
            <v>445.28698509999998</v>
          </cell>
          <cell r="AB820">
            <v>449.79721740000002</v>
          </cell>
          <cell r="AC820">
            <v>454.33379830000001</v>
          </cell>
          <cell r="AD820">
            <v>458.89450540000001</v>
          </cell>
          <cell r="AE820">
            <v>463.49037170000003</v>
          </cell>
          <cell r="AF820">
            <v>468.133486</v>
          </cell>
          <cell r="AG820">
            <v>472.8342887</v>
          </cell>
          <cell r="AH820">
            <v>477.6005662</v>
          </cell>
          <cell r="AI820">
            <v>482.43848539999999</v>
          </cell>
          <cell r="AJ820">
            <v>487.35259550000001</v>
          </cell>
          <cell r="AK820">
            <v>492.34595660000002</v>
          </cell>
          <cell r="AL820">
            <v>497.27138760000003</v>
          </cell>
          <cell r="AM820">
            <v>502.20797119999997</v>
          </cell>
          <cell r="AN820">
            <v>507.17850729999998</v>
          </cell>
          <cell r="AO820">
            <v>512.19319689999998</v>
          </cell>
          <cell r="AP820">
            <v>517.25856580000004</v>
          </cell>
          <cell r="AQ820">
            <v>522.37939319999998</v>
          </cell>
          <cell r="AR820">
            <v>527.55916569999999</v>
          </cell>
          <cell r="AS820">
            <v>532.80030020000004</v>
          </cell>
          <cell r="AT820">
            <v>538.10436679999998</v>
          </cell>
          <cell r="AU820">
            <v>543.47280499999999</v>
          </cell>
          <cell r="AV820">
            <v>548.92111490000002</v>
          </cell>
          <cell r="AW820">
            <v>554.44455579999999</v>
          </cell>
          <cell r="AX820">
            <v>560.04299170000002</v>
          </cell>
          <cell r="AY820">
            <v>565.71681349999994</v>
          </cell>
          <cell r="AZ820">
            <v>571.46626179999998</v>
          </cell>
          <cell r="BA820">
            <v>577.29146009999999</v>
          </cell>
          <cell r="BB820">
            <v>583.19256329999996</v>
          </cell>
          <cell r="BC820">
            <v>589.16988170000002</v>
          </cell>
          <cell r="BD820">
            <v>595.22395259999996</v>
          </cell>
          <cell r="BE820">
            <v>601.35556799999995</v>
          </cell>
        </row>
        <row r="821">
          <cell r="B821">
            <v>215.8206874</v>
          </cell>
          <cell r="C821">
            <v>213.8273978</v>
          </cell>
          <cell r="D821">
            <v>214.92372689999999</v>
          </cell>
          <cell r="E821">
            <v>216.81423989999999</v>
          </cell>
          <cell r="F821">
            <v>219.16518980000001</v>
          </cell>
          <cell r="G821">
            <v>221.91689579999999</v>
          </cell>
          <cell r="H821">
            <v>224.89319380000001</v>
          </cell>
          <cell r="I821">
            <v>228.1167844</v>
          </cell>
          <cell r="J821">
            <v>231.5560744</v>
          </cell>
          <cell r="K821">
            <v>235.1723714</v>
          </cell>
          <cell r="L821">
            <v>239.1583569</v>
          </cell>
          <cell r="M821">
            <v>243.11926270000001</v>
          </cell>
          <cell r="N821">
            <v>247.12519829999999</v>
          </cell>
          <cell r="O821">
            <v>251.17733459999999</v>
          </cell>
          <cell r="P821">
            <v>255.2668018</v>
          </cell>
          <cell r="Q821">
            <v>259.38569539999997</v>
          </cell>
          <cell r="R821">
            <v>263.52874150000002</v>
          </cell>
          <cell r="S821">
            <v>267.69319180000002</v>
          </cell>
          <cell r="T821">
            <v>271.87842970000003</v>
          </cell>
          <cell r="U821">
            <v>276.08556379999999</v>
          </cell>
          <cell r="V821">
            <v>280.14188460000003</v>
          </cell>
          <cell r="W821">
            <v>284.32311229999999</v>
          </cell>
          <cell r="X821">
            <v>288.56352349999997</v>
          </cell>
          <cell r="Y821">
            <v>292.85363610000002</v>
          </cell>
          <cell r="Z821">
            <v>297.19498149999998</v>
          </cell>
          <cell r="AA821">
            <v>301.08482240000001</v>
          </cell>
          <cell r="AB821">
            <v>305.07268219999997</v>
          </cell>
          <cell r="AC821">
            <v>309.0902754</v>
          </cell>
          <cell r="AD821">
            <v>313.13599349999998</v>
          </cell>
          <cell r="AE821">
            <v>317.21982320000001</v>
          </cell>
          <cell r="AF821">
            <v>321.35230050000001</v>
          </cell>
          <cell r="AG821">
            <v>325.5422615</v>
          </cell>
          <cell r="AH821">
            <v>329.79650570000001</v>
          </cell>
          <cell r="AI821">
            <v>334.11994320000002</v>
          </cell>
          <cell r="AJ821">
            <v>338.5158773</v>
          </cell>
          <cell r="AK821">
            <v>342.9862966</v>
          </cell>
          <cell r="AL821">
            <v>347.40980519999999</v>
          </cell>
          <cell r="AM821">
            <v>351.8527307</v>
          </cell>
          <cell r="AN821">
            <v>356.33293159999999</v>
          </cell>
          <cell r="AO821">
            <v>360.85831710000002</v>
          </cell>
          <cell r="AP821">
            <v>365.43425089999999</v>
          </cell>
          <cell r="AQ821">
            <v>370.0649095</v>
          </cell>
          <cell r="AR821">
            <v>374.75351740000002</v>
          </cell>
          <cell r="AS821">
            <v>379.502433</v>
          </cell>
          <cell r="AT821">
            <v>384.31325950000002</v>
          </cell>
          <cell r="AU821">
            <v>389.18703140000002</v>
          </cell>
          <cell r="AV821">
            <v>394.13552010000001</v>
          </cell>
          <cell r="AW821">
            <v>399.15316380000002</v>
          </cell>
          <cell r="AX821">
            <v>404.23860059999998</v>
          </cell>
          <cell r="AY821">
            <v>409.39126729999998</v>
          </cell>
          <cell r="AZ821">
            <v>414.61083500000001</v>
          </cell>
          <cell r="BA821">
            <v>419.89717899999999</v>
          </cell>
          <cell r="BB821">
            <v>425.25042500000001</v>
          </cell>
          <cell r="BC821">
            <v>430.67098440000001</v>
          </cell>
          <cell r="BD821">
            <v>436.1595638</v>
          </cell>
          <cell r="BE821">
            <v>441.7171553</v>
          </cell>
        </row>
        <row r="822">
          <cell r="B822">
            <v>2.7572479300000001E-2</v>
          </cell>
          <cell r="C822">
            <v>2.7226520000000001E-2</v>
          </cell>
          <cell r="D822">
            <v>2.73686837E-2</v>
          </cell>
          <cell r="E822">
            <v>2.76041655E-2</v>
          </cell>
          <cell r="F822">
            <v>2.7911620299999999E-2</v>
          </cell>
          <cell r="G822">
            <v>2.8279161600000002E-2</v>
          </cell>
          <cell r="H822">
            <v>2.8679535400000001E-2</v>
          </cell>
          <cell r="I822">
            <v>2.911263E-2</v>
          </cell>
          <cell r="J822">
            <v>2.9572522300000001E-2</v>
          </cell>
          <cell r="K822">
            <v>3.0053916399999998E-2</v>
          </cell>
          <cell r="L822">
            <v>3.0581679000000001E-2</v>
          </cell>
          <cell r="M822">
            <v>3.1106409500000001E-2</v>
          </cell>
          <cell r="N822">
            <v>3.1637760100000002E-2</v>
          </cell>
          <cell r="O822">
            <v>3.2174349400000003E-2</v>
          </cell>
          <cell r="P822">
            <v>3.2714827500000002E-2</v>
          </cell>
          <cell r="Q822">
            <v>3.32583355E-2</v>
          </cell>
          <cell r="R822">
            <v>3.3804493800000002E-2</v>
          </cell>
          <cell r="S822">
            <v>3.4353289000000002E-2</v>
          </cell>
          <cell r="T822">
            <v>3.49049554E-2</v>
          </cell>
          <cell r="U822">
            <v>3.5459881999999998E-2</v>
          </cell>
          <cell r="V822">
            <v>3.5996567399999999E-2</v>
          </cell>
          <cell r="W822">
            <v>3.65495209E-2</v>
          </cell>
          <cell r="X822">
            <v>3.7109988099999998E-2</v>
          </cell>
          <cell r="Y822">
            <v>3.7677853499999997E-2</v>
          </cell>
          <cell r="Z822">
            <v>3.8253377599999999E-2</v>
          </cell>
          <cell r="AA822">
            <v>3.8773338300000001E-2</v>
          </cell>
          <cell r="AB822">
            <v>3.9305878099999997E-2</v>
          </cell>
          <cell r="AC822">
            <v>3.9840520900000002E-2</v>
          </cell>
          <cell r="AD822">
            <v>4.0379099299999999E-2</v>
          </cell>
          <cell r="AE822">
            <v>4.0923644299999999E-2</v>
          </cell>
          <cell r="AF822">
            <v>4.1475835000000003E-2</v>
          </cell>
          <cell r="AG822">
            <v>4.2036904999999999E-2</v>
          </cell>
          <cell r="AH822">
            <v>4.2607686200000001E-2</v>
          </cell>
          <cell r="AI822">
            <v>4.3188686800000001E-2</v>
          </cell>
          <cell r="AJ822">
            <v>4.3780178000000003E-2</v>
          </cell>
          <cell r="AK822">
            <v>4.4382272200000003E-2</v>
          </cell>
          <cell r="AL822">
            <v>4.4979611599999997E-2</v>
          </cell>
          <cell r="AM822">
            <v>4.5580363200000001E-2</v>
          </cell>
          <cell r="AN822">
            <v>4.6186301899999997E-2</v>
          </cell>
          <cell r="AO822">
            <v>4.6798741200000001E-2</v>
          </cell>
          <cell r="AP822">
            <v>4.7418796200000002E-2</v>
          </cell>
          <cell r="AQ822">
            <v>4.8047393799999998E-2</v>
          </cell>
          <cell r="AR822">
            <v>4.8685258799999999E-2</v>
          </cell>
          <cell r="AS822">
            <v>4.9332918599999998E-2</v>
          </cell>
          <cell r="AT822">
            <v>4.9990726999999999E-2</v>
          </cell>
          <cell r="AU822">
            <v>5.0658895699999998E-2</v>
          </cell>
          <cell r="AV822">
            <v>5.1338924299999998E-2</v>
          </cell>
          <cell r="AW822">
            <v>5.2030095899999997E-2</v>
          </cell>
          <cell r="AX822">
            <v>5.2732242899999997E-2</v>
          </cell>
          <cell r="AY822">
            <v>5.34452313E-2</v>
          </cell>
          <cell r="AZ822">
            <v>5.4168953300000003E-2</v>
          </cell>
          <cell r="BA822">
            <v>5.4903335999999997E-2</v>
          </cell>
          <cell r="BB822">
            <v>5.5648347399999999E-2</v>
          </cell>
          <cell r="BC822">
            <v>5.64039967E-2</v>
          </cell>
          <cell r="BD822">
            <v>5.7170330700000001E-2</v>
          </cell>
          <cell r="BE822">
            <v>5.7947428799999999E-2</v>
          </cell>
        </row>
        <row r="823">
          <cell r="B823">
            <v>15.252688839999999</v>
          </cell>
          <cell r="C823">
            <v>15.249484580000001</v>
          </cell>
          <cell r="D823">
            <v>15.396718290000001</v>
          </cell>
          <cell r="E823">
            <v>15.592980750000001</v>
          </cell>
          <cell r="F823">
            <v>15.816089549999999</v>
          </cell>
          <cell r="G823">
            <v>16.058260229999998</v>
          </cell>
          <cell r="H823">
            <v>16.306004340000001</v>
          </cell>
          <cell r="I823">
            <v>16.561833010000001</v>
          </cell>
          <cell r="J823">
            <v>16.825150019999999</v>
          </cell>
          <cell r="K823">
            <v>17.095153960000001</v>
          </cell>
          <cell r="L823">
            <v>17.387280409999999</v>
          </cell>
          <cell r="M823">
            <v>17.675371890000001</v>
          </cell>
          <cell r="N823">
            <v>17.966103520000001</v>
          </cell>
          <cell r="O823">
            <v>18.260458320000001</v>
          </cell>
          <cell r="P823">
            <v>18.558601920000001</v>
          </cell>
          <cell r="Q823">
            <v>18.860645130000002</v>
          </cell>
          <cell r="R823">
            <v>19.16676541</v>
          </cell>
          <cell r="S823">
            <v>19.477209689999999</v>
          </cell>
          <cell r="T823">
            <v>19.79227143</v>
          </cell>
          <cell r="U823">
            <v>20.112264710000002</v>
          </cell>
          <cell r="V823">
            <v>20.425468540000001</v>
          </cell>
          <cell r="W823">
            <v>20.751235640000001</v>
          </cell>
          <cell r="X823">
            <v>21.084565489999999</v>
          </cell>
          <cell r="Y823">
            <v>21.424762950000002</v>
          </cell>
          <cell r="Z823">
            <v>21.77179516</v>
          </cell>
          <cell r="AA823">
            <v>22.09089166</v>
          </cell>
          <cell r="AB823">
            <v>22.420620979999999</v>
          </cell>
          <cell r="AC823">
            <v>22.75519139</v>
          </cell>
          <cell r="AD823">
            <v>23.094205370000001</v>
          </cell>
          <cell r="AE823">
            <v>23.43798576</v>
          </cell>
          <cell r="AF823">
            <v>23.78686652</v>
          </cell>
          <cell r="AG823">
            <v>24.141076290000001</v>
          </cell>
          <cell r="AH823">
            <v>24.500727349999998</v>
          </cell>
          <cell r="AI823">
            <v>24.86583014</v>
          </cell>
          <cell r="AJ823">
            <v>25.236316680000002</v>
          </cell>
          <cell r="AK823">
            <v>25.612065390000001</v>
          </cell>
          <cell r="AL823">
            <v>25.984443540000001</v>
          </cell>
          <cell r="AM823">
            <v>26.358080480000002</v>
          </cell>
          <cell r="AN823">
            <v>26.73398602</v>
          </cell>
          <cell r="AO823">
            <v>27.112544629999999</v>
          </cell>
          <cell r="AP823">
            <v>27.49399227</v>
          </cell>
          <cell r="AQ823">
            <v>27.878501069999999</v>
          </cell>
          <cell r="AR823">
            <v>28.266196709999999</v>
          </cell>
          <cell r="AS823">
            <v>28.657164860000002</v>
          </cell>
          <cell r="AT823">
            <v>29.051457930000002</v>
          </cell>
          <cell r="AU823">
            <v>29.449103539999999</v>
          </cell>
          <cell r="AV823">
            <v>29.850886150000001</v>
          </cell>
          <cell r="AW823">
            <v>30.256375909999999</v>
          </cell>
          <cell r="AX823">
            <v>30.665477379999999</v>
          </cell>
          <cell r="AY823">
            <v>31.078165250000001</v>
          </cell>
          <cell r="AZ823">
            <v>31.494446400000001</v>
          </cell>
          <cell r="BA823">
            <v>31.91435534</v>
          </cell>
          <cell r="BB823">
            <v>32.337953769999999</v>
          </cell>
          <cell r="BC823">
            <v>32.765329739999999</v>
          </cell>
          <cell r="BD823">
            <v>33.196595780000003</v>
          </cell>
          <cell r="BE823">
            <v>33.631886270000003</v>
          </cell>
        </row>
        <row r="824">
          <cell r="B824">
            <v>119.490486</v>
          </cell>
          <cell r="C824">
            <v>119.46702000000001</v>
          </cell>
          <cell r="D824">
            <v>118.91176129999999</v>
          </cell>
          <cell r="E824">
            <v>118.34272300000001</v>
          </cell>
          <cell r="F824">
            <v>117.92491579999999</v>
          </cell>
          <cell r="G824">
            <v>117.68464229999999</v>
          </cell>
          <cell r="H824">
            <v>117.5737389</v>
          </cell>
          <cell r="I824">
            <v>117.5717202</v>
          </cell>
          <cell r="J824">
            <v>117.6513046</v>
          </cell>
          <cell r="K824">
            <v>117.7810617</v>
          </cell>
          <cell r="L824">
            <v>118.00411630000001</v>
          </cell>
          <cell r="M824">
            <v>118.2427553</v>
          </cell>
          <cell r="N824">
            <v>118.4926863</v>
          </cell>
          <cell r="O824">
            <v>118.7509831</v>
          </cell>
          <cell r="P824">
            <v>119.01751609999999</v>
          </cell>
          <cell r="Q824">
            <v>119.2927598</v>
          </cell>
          <cell r="R824">
            <v>119.5764588</v>
          </cell>
          <cell r="S824">
            <v>119.8674484</v>
          </cell>
          <cell r="T824">
            <v>120.1638579</v>
          </cell>
          <cell r="U824">
            <v>120.4635172</v>
          </cell>
          <cell r="V824">
            <v>120.73375729999999</v>
          </cell>
          <cell r="W824">
            <v>121.0162636</v>
          </cell>
          <cell r="X824">
            <v>121.3027763</v>
          </cell>
          <cell r="Y824">
            <v>121.58927</v>
          </cell>
          <cell r="Z824">
            <v>121.8739807</v>
          </cell>
          <cell r="AA824">
            <v>122.0724977</v>
          </cell>
          <cell r="AB824">
            <v>122.26460830000001</v>
          </cell>
          <cell r="AC824">
            <v>122.448491</v>
          </cell>
          <cell r="AD824">
            <v>122.6239274</v>
          </cell>
          <cell r="AE824">
            <v>122.7916391</v>
          </cell>
          <cell r="AF824">
            <v>122.9528432</v>
          </cell>
          <cell r="AG824">
            <v>123.108914</v>
          </cell>
          <cell r="AH824">
            <v>123.2607254</v>
          </cell>
          <cell r="AI824">
            <v>123.4095234</v>
          </cell>
          <cell r="AJ824">
            <v>123.5566213</v>
          </cell>
          <cell r="AK824">
            <v>123.7032123</v>
          </cell>
          <cell r="AL824">
            <v>123.8321593</v>
          </cell>
          <cell r="AM824">
            <v>123.9515796</v>
          </cell>
          <cell r="AN824">
            <v>124.0654033</v>
          </cell>
          <cell r="AO824">
            <v>124.1755364</v>
          </cell>
          <cell r="AP824">
            <v>124.2829038</v>
          </cell>
          <cell r="AQ824">
            <v>124.3879352</v>
          </cell>
          <cell r="AR824">
            <v>124.4907664</v>
          </cell>
          <cell r="AS824">
            <v>124.5913693</v>
          </cell>
          <cell r="AT824">
            <v>124.6896586</v>
          </cell>
          <cell r="AU824">
            <v>124.7860112</v>
          </cell>
          <cell r="AV824">
            <v>124.8833697</v>
          </cell>
          <cell r="AW824">
            <v>124.982986</v>
          </cell>
          <cell r="AX824">
            <v>125.0861815</v>
          </cell>
          <cell r="AY824">
            <v>125.1939357</v>
          </cell>
          <cell r="AZ824">
            <v>125.3068114</v>
          </cell>
          <cell r="BA824">
            <v>125.4250224</v>
          </cell>
          <cell r="BB824">
            <v>125.5485362</v>
          </cell>
          <cell r="BC824">
            <v>125.6771636</v>
          </cell>
          <cell r="BD824">
            <v>125.8106227</v>
          </cell>
          <cell r="BE824">
            <v>125.9485791</v>
          </cell>
        </row>
        <row r="825">
          <cell r="B825">
            <v>350.28895519999998</v>
          </cell>
          <cell r="C825">
            <v>347.67222390000001</v>
          </cell>
          <cell r="D825">
            <v>347.72183239999998</v>
          </cell>
          <cell r="E825">
            <v>348.57148480000001</v>
          </cell>
          <cell r="F825">
            <v>350.03832729999999</v>
          </cell>
          <cell r="G825">
            <v>352.08584919999998</v>
          </cell>
          <cell r="H825">
            <v>354.47016109999998</v>
          </cell>
          <cell r="I825">
            <v>357.21584280000002</v>
          </cell>
          <cell r="J825">
            <v>360.2808263</v>
          </cell>
          <cell r="K825">
            <v>363.61040930000001</v>
          </cell>
          <cell r="L825">
            <v>367.442519</v>
          </cell>
          <cell r="M825">
            <v>371.26485359999998</v>
          </cell>
          <cell r="N825">
            <v>375.16605340000001</v>
          </cell>
          <cell r="O825">
            <v>379.14742360000002</v>
          </cell>
          <cell r="P825">
            <v>383.1956313</v>
          </cell>
          <cell r="Q825">
            <v>387.29762060000002</v>
          </cell>
          <cell r="R825">
            <v>391.42072560000003</v>
          </cell>
          <cell r="S825">
            <v>395.57389419999998</v>
          </cell>
          <cell r="T825">
            <v>399.75815460000001</v>
          </cell>
          <cell r="U825">
            <v>403.97406430000001</v>
          </cell>
          <cell r="V825">
            <v>408.01326030000001</v>
          </cell>
          <cell r="W825">
            <v>412.20121</v>
          </cell>
          <cell r="X825">
            <v>416.46189170000002</v>
          </cell>
          <cell r="Y825">
            <v>420.78084059999998</v>
          </cell>
          <cell r="Z825">
            <v>425.15653429999998</v>
          </cell>
          <cell r="AA825">
            <v>428.99258950000001</v>
          </cell>
          <cell r="AB825">
            <v>432.93680849999998</v>
          </cell>
          <cell r="AC825">
            <v>436.91087599999997</v>
          </cell>
          <cell r="AD825">
            <v>440.9105275</v>
          </cell>
          <cell r="AE825">
            <v>444.94505830000003</v>
          </cell>
          <cell r="AF825">
            <v>449.02444059999999</v>
          </cell>
          <cell r="AG825">
            <v>453.16245120000002</v>
          </cell>
          <cell r="AH825">
            <v>457.3631575</v>
          </cell>
          <cell r="AI825">
            <v>461.63098309999998</v>
          </cell>
          <cell r="AJ825">
            <v>465.96932779999997</v>
          </cell>
          <cell r="AK825">
            <v>470.38048759999998</v>
          </cell>
          <cell r="AL825">
            <v>474.76789309999998</v>
          </cell>
          <cell r="AM825">
            <v>479.18029539999998</v>
          </cell>
          <cell r="AN825">
            <v>483.63238719999998</v>
          </cell>
          <cell r="AO825">
            <v>488.13169379999999</v>
          </cell>
          <cell r="AP825">
            <v>492.6836174</v>
          </cell>
          <cell r="AQ825">
            <v>497.29910000000001</v>
          </cell>
          <cell r="AR825">
            <v>501.97750139999999</v>
          </cell>
          <cell r="AS825">
            <v>506.72005919999998</v>
          </cell>
          <cell r="AT825">
            <v>511.5279281</v>
          </cell>
          <cell r="AU825">
            <v>516.40182679999998</v>
          </cell>
          <cell r="AV825">
            <v>521.37667610000005</v>
          </cell>
          <cell r="AW825">
            <v>526.43307049999999</v>
          </cell>
          <cell r="AX825">
            <v>531.56500779999999</v>
          </cell>
          <cell r="AY825">
            <v>536.76968539999996</v>
          </cell>
          <cell r="AZ825">
            <v>542.04525739999997</v>
          </cell>
          <cell r="BA825">
            <v>547.40388099999996</v>
          </cell>
          <cell r="BB825">
            <v>552.83681309999997</v>
          </cell>
          <cell r="BC825">
            <v>558.34113969999999</v>
          </cell>
          <cell r="BD825">
            <v>563.91568800000005</v>
          </cell>
          <cell r="BE825">
            <v>569.56001130000004</v>
          </cell>
        </row>
        <row r="826">
          <cell r="B826">
            <v>215.53410270000001</v>
          </cell>
          <cell r="C826">
            <v>213.14562950000001</v>
          </cell>
          <cell r="D826">
            <v>213.79894329999999</v>
          </cell>
          <cell r="E826">
            <v>215.2132436</v>
          </cell>
          <cell r="F826">
            <v>217.06673359999999</v>
          </cell>
          <cell r="G826">
            <v>219.30860060000001</v>
          </cell>
          <cell r="H826">
            <v>221.76741060000001</v>
          </cell>
          <cell r="I826">
            <v>224.46952569999999</v>
          </cell>
          <cell r="J826">
            <v>227.38574840000001</v>
          </cell>
          <cell r="K826">
            <v>230.47933090000001</v>
          </cell>
          <cell r="L826">
            <v>233.94497720000001</v>
          </cell>
          <cell r="M826">
            <v>237.38117679999999</v>
          </cell>
          <cell r="N826">
            <v>240.86718719999999</v>
          </cell>
          <cell r="O826">
            <v>244.40593179999999</v>
          </cell>
          <cell r="P826">
            <v>247.98860339999999</v>
          </cell>
          <cell r="Q826">
            <v>251.6069627</v>
          </cell>
          <cell r="R826">
            <v>255.23860550000001</v>
          </cell>
          <cell r="S826">
            <v>258.89121230000001</v>
          </cell>
          <cell r="T826">
            <v>262.56616880000001</v>
          </cell>
          <cell r="U826">
            <v>266.26485910000002</v>
          </cell>
          <cell r="V826">
            <v>269.82101719999997</v>
          </cell>
          <cell r="W826">
            <v>273.49990810000003</v>
          </cell>
          <cell r="X826">
            <v>277.23799480000002</v>
          </cell>
          <cell r="Y826">
            <v>281.02529099999998</v>
          </cell>
          <cell r="Z826">
            <v>284.86227220000001</v>
          </cell>
          <cell r="AA826">
            <v>288.26751030000003</v>
          </cell>
          <cell r="AB826">
            <v>291.77176429999997</v>
          </cell>
          <cell r="AC826">
            <v>295.30602199999998</v>
          </cell>
          <cell r="AD826">
            <v>298.86736990000003</v>
          </cell>
          <cell r="AE826">
            <v>302.46447360000002</v>
          </cell>
          <cell r="AF826">
            <v>306.10664389999999</v>
          </cell>
          <cell r="AG826">
            <v>309.80507219999998</v>
          </cell>
          <cell r="AH826">
            <v>313.56364330000002</v>
          </cell>
          <cell r="AI826">
            <v>317.38618580000002</v>
          </cell>
          <cell r="AJ826">
            <v>321.27545759999998</v>
          </cell>
          <cell r="AK826">
            <v>325.23317850000001</v>
          </cell>
          <cell r="AL826">
            <v>329.17365480000001</v>
          </cell>
          <cell r="AM826">
            <v>333.14139790000002</v>
          </cell>
          <cell r="AN826">
            <v>337.14934820000002</v>
          </cell>
          <cell r="AO826">
            <v>341.20369260000001</v>
          </cell>
          <cell r="AP826">
            <v>345.30863069999998</v>
          </cell>
          <cell r="AQ826">
            <v>349.47185180000002</v>
          </cell>
          <cell r="AR826">
            <v>353.69303539999999</v>
          </cell>
          <cell r="AS826">
            <v>357.97318990000002</v>
          </cell>
          <cell r="AT826">
            <v>362.3131305</v>
          </cell>
          <cell r="AU826">
            <v>366.713278</v>
          </cell>
          <cell r="AV826">
            <v>371.19900410000002</v>
          </cell>
          <cell r="AW826">
            <v>375.75586929999997</v>
          </cell>
          <cell r="AX826">
            <v>380.37990509999997</v>
          </cell>
          <cell r="AY826">
            <v>385.06925410000002</v>
          </cell>
          <cell r="AZ826">
            <v>389.82257709999999</v>
          </cell>
          <cell r="BA826">
            <v>394.64794389999997</v>
          </cell>
          <cell r="BB826">
            <v>399.53937059999998</v>
          </cell>
          <cell r="BC826">
            <v>404.4951974</v>
          </cell>
          <cell r="BD826">
            <v>409.51490410000002</v>
          </cell>
          <cell r="BE826">
            <v>414.59843940000002</v>
          </cell>
        </row>
        <row r="827">
          <cell r="B827">
            <v>2.75266352E-2</v>
          </cell>
          <cell r="C827">
            <v>2.7129689799999999E-2</v>
          </cell>
          <cell r="D827">
            <v>2.7215260299999999E-2</v>
          </cell>
          <cell r="E827">
            <v>2.73901387E-2</v>
          </cell>
          <cell r="F827">
            <v>2.7634350500000002E-2</v>
          </cell>
          <cell r="G827">
            <v>2.7937060199999999E-2</v>
          </cell>
          <cell r="H827">
            <v>2.8271389300000001E-2</v>
          </cell>
          <cell r="I827">
            <v>2.8638158300000001E-2</v>
          </cell>
          <cell r="J827">
            <v>2.90318278E-2</v>
          </cell>
          <cell r="K827">
            <v>2.9447331699999999E-2</v>
          </cell>
          <cell r="L827">
            <v>2.9909076999999999E-2</v>
          </cell>
          <cell r="M827">
            <v>3.03662528E-2</v>
          </cell>
          <cell r="N827">
            <v>3.0830247299999999E-2</v>
          </cell>
          <cell r="O827">
            <v>3.1299922700000003E-2</v>
          </cell>
          <cell r="P827">
            <v>3.17740933E-2</v>
          </cell>
          <cell r="Q827">
            <v>3.2252004899999999E-2</v>
          </cell>
          <cell r="R827">
            <v>3.2730684599999997E-2</v>
          </cell>
          <cell r="S827">
            <v>3.3212133900000003E-2</v>
          </cell>
          <cell r="T827">
            <v>3.3696673099999998E-2</v>
          </cell>
          <cell r="U827">
            <v>3.4184659499999999E-2</v>
          </cell>
          <cell r="V827">
            <v>3.4655369200000001E-2</v>
          </cell>
          <cell r="W827">
            <v>3.5141893799999997E-2</v>
          </cell>
          <cell r="X827">
            <v>3.5635747799999999E-2</v>
          </cell>
          <cell r="Y827">
            <v>3.6136634399999999E-2</v>
          </cell>
          <cell r="Z827">
            <v>3.6644622100000003E-2</v>
          </cell>
          <cell r="AA827">
            <v>3.7099255499999997E-2</v>
          </cell>
          <cell r="AB827">
            <v>3.7566372700000003E-2</v>
          </cell>
          <cell r="AC827">
            <v>3.8035221399999999E-2</v>
          </cell>
          <cell r="AD827">
            <v>3.8507340199999997E-2</v>
          </cell>
          <cell r="AE827">
            <v>3.8984489800000001E-2</v>
          </cell>
          <cell r="AF827">
            <v>3.9468124100000002E-2</v>
          </cell>
          <cell r="AG827">
            <v>3.9959889999999998E-2</v>
          </cell>
          <cell r="AH827">
            <v>4.0460038500000003E-2</v>
          </cell>
          <cell r="AI827">
            <v>4.0968946399999998E-2</v>
          </cell>
          <cell r="AJ827">
            <v>4.1486801900000002E-2</v>
          </cell>
          <cell r="AK827">
            <v>4.2013663899999998E-2</v>
          </cell>
          <cell r="AL827">
            <v>4.2540266100000002E-2</v>
          </cell>
          <cell r="AM827">
            <v>4.3070226099999998E-2</v>
          </cell>
          <cell r="AN827">
            <v>4.3604895300000002E-2</v>
          </cell>
          <cell r="AO827">
            <v>4.41452944E-2</v>
          </cell>
          <cell r="AP827">
            <v>4.4692274400000002E-2</v>
          </cell>
          <cell r="AQ827">
            <v>4.52473683E-2</v>
          </cell>
          <cell r="AR827">
            <v>4.5810489900000001E-2</v>
          </cell>
          <cell r="AS827">
            <v>4.6381965300000001E-2</v>
          </cell>
          <cell r="AT827">
            <v>4.6962005899999999E-2</v>
          </cell>
          <cell r="AU827">
            <v>4.7550722500000003E-2</v>
          </cell>
          <cell r="AV827">
            <v>4.8152292899999997E-2</v>
          </cell>
          <cell r="AW827">
            <v>4.8763917099999998E-2</v>
          </cell>
          <cell r="AX827">
            <v>4.9385214099999998E-2</v>
          </cell>
          <cell r="AY827">
            <v>5.0015908499999998E-2</v>
          </cell>
          <cell r="AZ827">
            <v>5.0655772699999997E-2</v>
          </cell>
          <cell r="BA827">
            <v>5.1306415600000002E-2</v>
          </cell>
          <cell r="BB827">
            <v>5.1966399199999999E-2</v>
          </cell>
          <cell r="BC827">
            <v>5.2635536599999998E-2</v>
          </cell>
          <cell r="BD827">
            <v>5.3313732000000003E-2</v>
          </cell>
          <cell r="BE827">
            <v>5.4000944000000002E-2</v>
          </cell>
        </row>
        <row r="828">
          <cell r="B828">
            <v>15.236839890000001</v>
          </cell>
          <cell r="C828">
            <v>15.2137537</v>
          </cell>
          <cell r="D828">
            <v>15.339027550000001</v>
          </cell>
          <cell r="E828">
            <v>15.51195974</v>
          </cell>
          <cell r="F828">
            <v>15.710822350000001</v>
          </cell>
          <cell r="G828">
            <v>15.92808799</v>
          </cell>
          <cell r="H828">
            <v>16.15025962</v>
          </cell>
          <cell r="I828">
            <v>16.38005029</v>
          </cell>
          <cell r="J828">
            <v>16.616934440000001</v>
          </cell>
          <cell r="K828">
            <v>16.860136929999999</v>
          </cell>
          <cell r="L828">
            <v>17.12488445</v>
          </cell>
          <cell r="M828">
            <v>17.38441937</v>
          </cell>
          <cell r="N828">
            <v>17.645948969999999</v>
          </cell>
          <cell r="O828">
            <v>17.910594459999999</v>
          </cell>
          <cell r="P828">
            <v>18.178571730000002</v>
          </cell>
          <cell r="Q828">
            <v>18.45001001</v>
          </cell>
          <cell r="R828">
            <v>18.724149799999999</v>
          </cell>
          <cell r="S828">
            <v>19.001849790000001</v>
          </cell>
          <cell r="T828">
            <v>19.283538750000002</v>
          </cell>
          <cell r="U828">
            <v>19.569561589999999</v>
          </cell>
          <cell r="V828">
            <v>19.848488540000002</v>
          </cell>
          <cell r="W828">
            <v>20.139269469999999</v>
          </cell>
          <cell r="X828">
            <v>20.436966609999999</v>
          </cell>
          <cell r="Y828">
            <v>20.740869849999999</v>
          </cell>
          <cell r="Z828">
            <v>21.050923610000002</v>
          </cell>
          <cell r="AA828">
            <v>21.333356720000001</v>
          </cell>
          <cell r="AB828">
            <v>21.62620171</v>
          </cell>
          <cell r="AC828">
            <v>21.923530060000001</v>
          </cell>
          <cell r="AD828">
            <v>22.224886519999998</v>
          </cell>
          <cell r="AE828">
            <v>22.530563319999999</v>
          </cell>
          <cell r="AF828">
            <v>22.840884979999998</v>
          </cell>
          <cell r="AG828">
            <v>23.156299860000001</v>
          </cell>
          <cell r="AH828">
            <v>23.47681012</v>
          </cell>
          <cell r="AI828">
            <v>23.802430990000001</v>
          </cell>
          <cell r="AJ828">
            <v>24.133130449999999</v>
          </cell>
          <cell r="AK828">
            <v>24.468836150000001</v>
          </cell>
          <cell r="AL828">
            <v>24.80315002</v>
          </cell>
          <cell r="AM828">
            <v>25.139425509999999</v>
          </cell>
          <cell r="AN828">
            <v>25.478393659999998</v>
          </cell>
          <cell r="AO828">
            <v>25.82035213</v>
          </cell>
          <cell r="AP828">
            <v>26.165498540000002</v>
          </cell>
          <cell r="AQ828">
            <v>26.514284589999999</v>
          </cell>
          <cell r="AR828">
            <v>26.866640690000001</v>
          </cell>
          <cell r="AS828">
            <v>27.222604310000001</v>
          </cell>
          <cell r="AT828">
            <v>27.582212290000001</v>
          </cell>
          <cell r="AU828">
            <v>27.945487239999999</v>
          </cell>
          <cell r="AV828">
            <v>28.314191309999998</v>
          </cell>
          <cell r="AW828">
            <v>28.687274609999999</v>
          </cell>
          <cell r="AX828">
            <v>29.064477629999999</v>
          </cell>
          <cell r="AY828">
            <v>29.44570023</v>
          </cell>
          <cell r="AZ828">
            <v>29.830897060000002</v>
          </cell>
          <cell r="BA828">
            <v>30.22069415</v>
          </cell>
          <cell r="BB828">
            <v>30.61471328</v>
          </cell>
          <cell r="BC828">
            <v>31.012895360000002</v>
          </cell>
          <cell r="BD828">
            <v>31.415262760000001</v>
          </cell>
          <cell r="BE828">
            <v>31.82187455</v>
          </cell>
        </row>
        <row r="829">
          <cell r="B829">
            <v>119.490486</v>
          </cell>
          <cell r="C829">
            <v>119.28571100000001</v>
          </cell>
          <cell r="D829">
            <v>118.5566462</v>
          </cell>
          <cell r="E829">
            <v>117.8188914</v>
          </cell>
          <cell r="F829">
            <v>117.233137</v>
          </cell>
          <cell r="G829">
            <v>116.8212235</v>
          </cell>
          <cell r="H829">
            <v>116.52421940000001</v>
          </cell>
          <cell r="I829">
            <v>116.3376287</v>
          </cell>
          <cell r="J829">
            <v>116.24911160000001</v>
          </cell>
          <cell r="K829">
            <v>116.2414941</v>
          </cell>
          <cell r="L829">
            <v>116.3427483</v>
          </cell>
          <cell r="M829">
            <v>116.4688912</v>
          </cell>
          <cell r="N829">
            <v>116.62208699999999</v>
          </cell>
          <cell r="O829">
            <v>116.7995974</v>
          </cell>
          <cell r="P829">
            <v>116.9966821</v>
          </cell>
          <cell r="Q829">
            <v>117.20839599999999</v>
          </cell>
          <cell r="R829">
            <v>117.42523970000001</v>
          </cell>
          <cell r="S829">
            <v>117.64762</v>
          </cell>
          <cell r="T829">
            <v>117.8747504</v>
          </cell>
          <cell r="U829">
            <v>118.105459</v>
          </cell>
          <cell r="V829">
            <v>118.30909920000001</v>
          </cell>
          <cell r="W829">
            <v>118.52689049999999</v>
          </cell>
          <cell r="X829">
            <v>118.7512945</v>
          </cell>
          <cell r="Y829">
            <v>118.9785432</v>
          </cell>
          <cell r="Z829">
            <v>119.2066938</v>
          </cell>
          <cell r="AA829">
            <v>119.35462320000001</v>
          </cell>
          <cell r="AB829">
            <v>119.5012761</v>
          </cell>
          <cell r="AC829">
            <v>119.6432887</v>
          </cell>
          <cell r="AD829">
            <v>119.7797637</v>
          </cell>
          <cell r="AE829">
            <v>119.9110369</v>
          </cell>
          <cell r="AF829">
            <v>120.03744349999999</v>
          </cell>
          <cell r="AG829">
            <v>120.1611193</v>
          </cell>
          <cell r="AH829">
            <v>120.2822441</v>
          </cell>
          <cell r="AI829">
            <v>120.4013973</v>
          </cell>
          <cell r="AJ829">
            <v>120.51925300000001</v>
          </cell>
          <cell r="AK829">
            <v>120.6364593</v>
          </cell>
          <cell r="AL829">
            <v>120.74854809999999</v>
          </cell>
          <cell r="AM829">
            <v>120.85640170000001</v>
          </cell>
          <cell r="AN829">
            <v>120.9610404</v>
          </cell>
          <cell r="AO829">
            <v>121.06350380000001</v>
          </cell>
          <cell r="AP829">
            <v>121.16479579999999</v>
          </cell>
          <cell r="AQ829">
            <v>121.2677162</v>
          </cell>
          <cell r="AR829">
            <v>121.3720149</v>
          </cell>
          <cell r="AS829">
            <v>121.47788300000001</v>
          </cell>
          <cell r="AT829">
            <v>121.58562329999999</v>
          </cell>
          <cell r="AU829">
            <v>121.69551079999999</v>
          </cell>
          <cell r="AV829">
            <v>121.8153284</v>
          </cell>
          <cell r="AW829">
            <v>121.94116270000001</v>
          </cell>
          <cell r="AX829">
            <v>122.07123989999999</v>
          </cell>
          <cell r="AY829">
            <v>122.2047152</v>
          </cell>
          <cell r="AZ829">
            <v>122.3411275</v>
          </cell>
          <cell r="BA829">
            <v>122.48393660000001</v>
          </cell>
          <cell r="BB829">
            <v>122.63076289999999</v>
          </cell>
          <cell r="BC829">
            <v>122.7804113</v>
          </cell>
          <cell r="BD829">
            <v>122.9322074</v>
          </cell>
          <cell r="BE829">
            <v>123.0856964</v>
          </cell>
        </row>
        <row r="830">
          <cell r="A830" t="str">
            <v>ems_ci_co2_sagr_2</v>
          </cell>
          <cell r="B830">
            <v>14.23951287</v>
          </cell>
          <cell r="C830">
            <v>14.05314006</v>
          </cell>
          <cell r="D830">
            <v>14.05149462</v>
          </cell>
          <cell r="E830">
            <v>14.10987581</v>
          </cell>
          <cell r="F830">
            <v>14.20896806</v>
          </cell>
          <cell r="G830">
            <v>14.343868820000001</v>
          </cell>
          <cell r="H830">
            <v>14.502077030000001</v>
          </cell>
          <cell r="I830">
            <v>14.68244266</v>
          </cell>
          <cell r="J830">
            <v>14.881706749999999</v>
          </cell>
          <cell r="K830">
            <v>15.09652934</v>
          </cell>
          <cell r="L830">
            <v>15.337721269999999</v>
          </cell>
          <cell r="M830">
            <v>15.58205038</v>
          </cell>
          <cell r="N830">
            <v>15.831798109999999</v>
          </cell>
          <cell r="O830">
            <v>16.086276510000001</v>
          </cell>
          <cell r="P830">
            <v>16.344488599999998</v>
          </cell>
          <cell r="Q830">
            <v>16.605652360000001</v>
          </cell>
          <cell r="R830">
            <v>16.868085870000002</v>
          </cell>
          <cell r="S830">
            <v>17.13225907</v>
          </cell>
          <cell r="T830">
            <v>17.39814187</v>
          </cell>
          <cell r="U830">
            <v>17.66571961</v>
          </cell>
          <cell r="V830">
            <v>17.92484704</v>
          </cell>
          <cell r="W830">
            <v>18.190098809999999</v>
          </cell>
          <cell r="X830">
            <v>18.45905488</v>
          </cell>
          <cell r="Y830">
            <v>18.731298249999998</v>
          </cell>
          <cell r="Z830">
            <v>19.006830619999999</v>
          </cell>
          <cell r="AA830">
            <v>19.25637742</v>
          </cell>
          <cell r="AB830">
            <v>19.508041410000001</v>
          </cell>
          <cell r="AC830">
            <v>19.7598941</v>
          </cell>
          <cell r="AD830">
            <v>20.01252423</v>
          </cell>
          <cell r="AE830">
            <v>20.266933640000001</v>
          </cell>
          <cell r="AF830">
            <v>20.524028600000001</v>
          </cell>
          <cell r="AG830">
            <v>20.78476882</v>
          </cell>
          <cell r="AH830">
            <v>21.049500829999999</v>
          </cell>
          <cell r="AI830">
            <v>21.31855886</v>
          </cell>
          <cell r="AJ830">
            <v>21.592176479999999</v>
          </cell>
          <cell r="AK830">
            <v>21.870501090000001</v>
          </cell>
          <cell r="AL830">
            <v>22.148765740000002</v>
          </cell>
          <cell r="AM830">
            <v>22.428295330000001</v>
          </cell>
          <cell r="AN830">
            <v>22.70998964</v>
          </cell>
          <cell r="AO830">
            <v>22.99450968</v>
          </cell>
          <cell r="AP830">
            <v>23.282383450000001</v>
          </cell>
          <cell r="AQ830">
            <v>23.574379</v>
          </cell>
          <cell r="AR830">
            <v>23.870581600000001</v>
          </cell>
          <cell r="AS830">
            <v>24.17118833</v>
          </cell>
          <cell r="AT830">
            <v>24.476345370000001</v>
          </cell>
          <cell r="AU830">
            <v>24.78613842</v>
          </cell>
          <cell r="AV830">
            <v>25.102398300000001</v>
          </cell>
          <cell r="AW830">
            <v>25.42407292</v>
          </cell>
          <cell r="AX830">
            <v>25.750925299999999</v>
          </cell>
          <cell r="AY830">
            <v>26.082834519999999</v>
          </cell>
          <cell r="AZ830">
            <v>26.419694</v>
          </cell>
          <cell r="BA830">
            <v>26.762129989999998</v>
          </cell>
          <cell r="BB830">
            <v>27.10956534</v>
          </cell>
          <cell r="BC830">
            <v>27.46187527</v>
          </cell>
          <cell r="BD830">
            <v>27.819014859999999</v>
          </cell>
          <cell r="BE830">
            <v>28.18096345</v>
          </cell>
        </row>
        <row r="832">
          <cell r="A832" t="str">
            <v>ems_ci_co2_sfor_2</v>
          </cell>
          <cell r="B832">
            <v>0.5433605682</v>
          </cell>
          <cell r="C832">
            <v>0.54041483349999997</v>
          </cell>
          <cell r="D832">
            <v>0.53766742919999999</v>
          </cell>
          <cell r="E832">
            <v>0.53474197410000002</v>
          </cell>
          <cell r="F832">
            <v>0.53219794899999995</v>
          </cell>
          <cell r="G832">
            <v>0.53030144599999995</v>
          </cell>
          <cell r="H832">
            <v>0.52882114170000005</v>
          </cell>
          <cell r="I832">
            <v>0.52782841879999998</v>
          </cell>
          <cell r="J832">
            <v>0.5273251082</v>
          </cell>
          <cell r="K832">
            <v>0.52725526460000005</v>
          </cell>
          <cell r="L832">
            <v>0.52789365720000003</v>
          </cell>
          <cell r="M832">
            <v>0.52858792970000001</v>
          </cell>
          <cell r="N832">
            <v>0.52939785839999998</v>
          </cell>
          <cell r="O832">
            <v>0.53032826879999995</v>
          </cell>
          <cell r="P832">
            <v>0.53136031890000002</v>
          </cell>
          <cell r="Q832">
            <v>0.53247234720000003</v>
          </cell>
          <cell r="R832">
            <v>0.53360832420000004</v>
          </cell>
          <cell r="S832">
            <v>0.53477973990000005</v>
          </cell>
          <cell r="T832">
            <v>0.53598647759999996</v>
          </cell>
          <cell r="U832">
            <v>0.53722598830000001</v>
          </cell>
          <cell r="V832">
            <v>0.53825169650000004</v>
          </cell>
          <cell r="W832">
            <v>0.53943886919999995</v>
          </cell>
          <cell r="X832">
            <v>0.54071747960000005</v>
          </cell>
          <cell r="Y832">
            <v>0.5420566389</v>
          </cell>
          <cell r="Z832">
            <v>0.54344592339999997</v>
          </cell>
          <cell r="AA832">
            <v>0.54420093839999995</v>
          </cell>
          <cell r="AB832">
            <v>0.54506424180000002</v>
          </cell>
          <cell r="AC832">
            <v>0.54599582520000001</v>
          </cell>
          <cell r="AD832">
            <v>0.54697878580000003</v>
          </cell>
          <cell r="AE832">
            <v>0.54801035769999995</v>
          </cell>
          <cell r="AF832">
            <v>0.54909358929999996</v>
          </cell>
          <cell r="AG832">
            <v>0.55024137139999996</v>
          </cell>
          <cell r="AH832">
            <v>0.55145302730000001</v>
          </cell>
          <cell r="AI832">
            <v>0.55273100959999999</v>
          </cell>
          <cell r="AJ832">
            <v>0.5540783212</v>
          </cell>
          <cell r="AK832">
            <v>0.55549754429999998</v>
          </cell>
          <cell r="AL832">
            <v>0.55690424790000004</v>
          </cell>
          <cell r="AM832">
            <v>0.55833021380000003</v>
          </cell>
          <cell r="AN832">
            <v>0.55979344939999998</v>
          </cell>
          <cell r="AO832">
            <v>0.56130365429999995</v>
          </cell>
          <cell r="AP832">
            <v>0.56286641859999997</v>
          </cell>
          <cell r="AQ832">
            <v>0.56449553409999997</v>
          </cell>
          <cell r="AR832">
            <v>0.56618531780000003</v>
          </cell>
          <cell r="AS832">
            <v>0.5679345241</v>
          </cell>
          <cell r="AT832">
            <v>0.56974331069999995</v>
          </cell>
          <cell r="AU832">
            <v>0.57161213290000001</v>
          </cell>
          <cell r="AV832">
            <v>0.57358776369999998</v>
          </cell>
          <cell r="AW832">
            <v>0.57563707369999995</v>
          </cell>
          <cell r="AX832">
            <v>0.57774832539999998</v>
          </cell>
          <cell r="AY832">
            <v>0.57991770860000003</v>
          </cell>
          <cell r="AZ832">
            <v>0.58214424200000003</v>
          </cell>
          <cell r="BA832">
            <v>0.58444757530000002</v>
          </cell>
          <cell r="BB832">
            <v>0.58681188579999999</v>
          </cell>
          <cell r="BC832">
            <v>0.58923235640000005</v>
          </cell>
          <cell r="BD832">
            <v>0.59170807059999997</v>
          </cell>
          <cell r="BE832">
            <v>0.59423949229999995</v>
          </cell>
        </row>
        <row r="834">
          <cell r="A834" t="str">
            <v>ems_ci_co2_sfoo_2</v>
          </cell>
          <cell r="B834">
            <v>8.7511915980000001</v>
          </cell>
          <cell r="C834">
            <v>8.673337815</v>
          </cell>
          <cell r="D834">
            <v>8.6758813949999993</v>
          </cell>
          <cell r="E834">
            <v>8.7050945120000005</v>
          </cell>
          <cell r="F834">
            <v>8.7579173449999992</v>
          </cell>
          <cell r="G834">
            <v>8.8343927200000003</v>
          </cell>
          <cell r="H834">
            <v>8.9278541009999994</v>
          </cell>
          <cell r="I834">
            <v>9.0373617740000007</v>
          </cell>
          <cell r="J834">
            <v>9.1605444669999994</v>
          </cell>
          <cell r="K834">
            <v>9.2949626359999993</v>
          </cell>
          <cell r="L834">
            <v>9.4468111130000008</v>
          </cell>
          <cell r="M834">
            <v>9.6021700719999998</v>
          </cell>
          <cell r="N834">
            <v>9.7616795500000002</v>
          </cell>
          <cell r="O834">
            <v>9.9245216890000005</v>
          </cell>
          <cell r="P834">
            <v>10.08983583</v>
          </cell>
          <cell r="Q834">
            <v>10.25695591</v>
          </cell>
          <cell r="R834">
            <v>10.424766869999999</v>
          </cell>
          <cell r="S834">
            <v>10.59329125</v>
          </cell>
          <cell r="T834">
            <v>10.762380670000001</v>
          </cell>
          <cell r="U834">
            <v>10.931950929999999</v>
          </cell>
          <cell r="V834">
            <v>11.09576549</v>
          </cell>
          <cell r="W834">
            <v>11.2623607</v>
          </cell>
          <cell r="X834">
            <v>11.430500889999999</v>
          </cell>
          <cell r="Y834">
            <v>11.60003058</v>
          </cell>
          <cell r="Z834">
            <v>11.770995170000001</v>
          </cell>
          <cell r="AA834">
            <v>11.925550599999999</v>
          </cell>
          <cell r="AB834">
            <v>12.07993495</v>
          </cell>
          <cell r="AC834">
            <v>12.233330049999999</v>
          </cell>
          <cell r="AD834">
            <v>12.38630678</v>
          </cell>
          <cell r="AE834">
            <v>12.53962638</v>
          </cell>
          <cell r="AF834">
            <v>12.693963999999999</v>
          </cell>
          <cell r="AG834">
            <v>12.85000026</v>
          </cell>
          <cell r="AH834">
            <v>13.00806983</v>
          </cell>
          <cell r="AI834">
            <v>13.168464</v>
          </cell>
          <cell r="AJ834">
            <v>13.33139444</v>
          </cell>
          <cell r="AK834">
            <v>13.497007160000001</v>
          </cell>
          <cell r="AL834">
            <v>13.66236018</v>
          </cell>
          <cell r="AM834">
            <v>13.82833566</v>
          </cell>
          <cell r="AN834">
            <v>13.99549317</v>
          </cell>
          <cell r="AO834">
            <v>14.16424411</v>
          </cell>
          <cell r="AP834">
            <v>14.334923789999999</v>
          </cell>
          <cell r="AQ834">
            <v>14.508002080000001</v>
          </cell>
          <cell r="AR834">
            <v>14.68358546</v>
          </cell>
          <cell r="AS834">
            <v>14.861812329999999</v>
          </cell>
          <cell r="AT834">
            <v>15.042778589999999</v>
          </cell>
          <cell r="AU834">
            <v>15.22653884</v>
          </cell>
          <cell r="AV834">
            <v>15.41416525</v>
          </cell>
          <cell r="AW834">
            <v>15.605169630000001</v>
          </cell>
          <cell r="AX834">
            <v>15.79942692</v>
          </cell>
          <cell r="AY834">
            <v>15.996844279999999</v>
          </cell>
          <cell r="AZ834">
            <v>16.197328410000001</v>
          </cell>
          <cell r="BA834">
            <v>16.401208199999999</v>
          </cell>
          <cell r="BB834">
            <v>16.608189379999999</v>
          </cell>
          <cell r="BC834">
            <v>16.818182929999999</v>
          </cell>
          <cell r="BD834">
            <v>17.03113248</v>
          </cell>
          <cell r="BE834">
            <v>17.24699592</v>
          </cell>
        </row>
        <row r="836">
          <cell r="A836" t="str">
            <v>ems_ci_co2_sveh_2</v>
          </cell>
          <cell r="B836">
            <v>1.1276182560000001</v>
          </cell>
          <cell r="C836">
            <v>1.080770418</v>
          </cell>
          <cell r="D836">
            <v>1.070714674</v>
          </cell>
          <cell r="E836">
            <v>1.066181187</v>
          </cell>
          <cell r="F836">
            <v>1.067013341</v>
          </cell>
          <cell r="G836">
            <v>1.074679304</v>
          </cell>
          <cell r="H836">
            <v>1.088195748</v>
          </cell>
          <cell r="I836">
            <v>1.107291601</v>
          </cell>
          <cell r="J836">
            <v>1.130792477</v>
          </cell>
          <cell r="K836">
            <v>1.1574707849999999</v>
          </cell>
          <cell r="L836">
            <v>1.1880239619999999</v>
          </cell>
          <cell r="M836">
            <v>1.2184288720000001</v>
          </cell>
          <cell r="N836">
            <v>1.2489663769999999</v>
          </cell>
          <cell r="O836">
            <v>1.2791131520000001</v>
          </cell>
          <cell r="P836">
            <v>1.3083664079999999</v>
          </cell>
          <cell r="Q836">
            <v>1.3363331000000001</v>
          </cell>
          <cell r="R836">
            <v>1.362464707</v>
          </cell>
          <cell r="S836">
            <v>1.3867425760000001</v>
          </cell>
          <cell r="T836">
            <v>1.409100547</v>
          </cell>
          <cell r="U836">
            <v>1.429553246</v>
          </cell>
          <cell r="V836">
            <v>1.446807309</v>
          </cell>
          <cell r="W836">
            <v>1.463290845</v>
          </cell>
          <cell r="X836">
            <v>1.4784818639999999</v>
          </cell>
          <cell r="Y836">
            <v>1.492528115</v>
          </cell>
          <cell r="Z836">
            <v>1.50565919</v>
          </cell>
          <cell r="AA836">
            <v>1.514202759</v>
          </cell>
          <cell r="AB836">
            <v>1.523066974</v>
          </cell>
          <cell r="AC836">
            <v>1.5315152240000001</v>
          </cell>
          <cell r="AD836">
            <v>1.5397365270000001</v>
          </cell>
          <cell r="AE836">
            <v>1.5480021340000001</v>
          </cell>
          <cell r="AF836">
            <v>1.556552594</v>
          </cell>
          <cell r="AG836">
            <v>1.565644153</v>
          </cell>
          <cell r="AH836">
            <v>1.5754022990000001</v>
          </cell>
          <cell r="AI836">
            <v>1.5859494430000001</v>
          </cell>
          <cell r="AJ836">
            <v>1.597375086</v>
          </cell>
          <cell r="AK836">
            <v>1.6097354180000001</v>
          </cell>
          <cell r="AL836">
            <v>1.622661997</v>
          </cell>
          <cell r="AM836">
            <v>1.636398075</v>
          </cell>
          <cell r="AN836">
            <v>1.650994128</v>
          </cell>
          <cell r="AO836">
            <v>1.6664491960000001</v>
          </cell>
          <cell r="AP836">
            <v>1.6827386179999999</v>
          </cell>
          <cell r="AQ836">
            <v>1.699900907</v>
          </cell>
          <cell r="AR836">
            <v>1.7178444900000001</v>
          </cell>
          <cell r="AS836">
            <v>1.7365202150000001</v>
          </cell>
          <cell r="AT836">
            <v>1.7558805310000001</v>
          </cell>
          <cell r="AU836">
            <v>1.775876674</v>
          </cell>
          <cell r="AV836">
            <v>1.7967923139999999</v>
          </cell>
          <cell r="AW836">
            <v>1.818369479</v>
          </cell>
          <cell r="AX836">
            <v>1.84054023</v>
          </cell>
          <cell r="AY836">
            <v>1.863247248</v>
          </cell>
          <cell r="AZ836">
            <v>1.886429178</v>
          </cell>
          <cell r="BA836">
            <v>1.9101849790000001</v>
          </cell>
          <cell r="BB836">
            <v>1.9343592629999999</v>
          </cell>
          <cell r="BC836">
            <v>1.958897772</v>
          </cell>
          <cell r="BD836">
            <v>1.9837573390000001</v>
          </cell>
          <cell r="BE836">
            <v>2.008898436</v>
          </cell>
        </row>
        <row r="838">
          <cell r="A838" t="str">
            <v>ems_ci_co2_sgla_2</v>
          </cell>
          <cell r="B838">
            <v>7.8245000259999999</v>
          </cell>
          <cell r="C838">
            <v>7.7665922710000004</v>
          </cell>
          <cell r="D838">
            <v>7.8022619649999996</v>
          </cell>
          <cell r="E838">
            <v>7.866688634</v>
          </cell>
          <cell r="F838">
            <v>7.9476081189999999</v>
          </cell>
          <cell r="G838">
            <v>8.0413413120000001</v>
          </cell>
          <cell r="H838">
            <v>8.1416687339999996</v>
          </cell>
          <cell r="I838">
            <v>8.2485954889999995</v>
          </cell>
          <cell r="J838">
            <v>8.3613723889999996</v>
          </cell>
          <cell r="K838">
            <v>8.4792232520000006</v>
          </cell>
          <cell r="L838">
            <v>8.6082157180000003</v>
          </cell>
          <cell r="M838">
            <v>8.7375404450000005</v>
          </cell>
          <cell r="N838">
            <v>8.8688925790000006</v>
          </cell>
          <cell r="O838">
            <v>9.0024525549999996</v>
          </cell>
          <cell r="P838">
            <v>9.1381371619999996</v>
          </cell>
          <cell r="Q838">
            <v>9.2758640400000001</v>
          </cell>
          <cell r="R838">
            <v>9.4149700210000002</v>
          </cell>
          <cell r="S838">
            <v>9.5558914700000006</v>
          </cell>
          <cell r="T838">
            <v>9.6987969199999995</v>
          </cell>
          <cell r="U838">
            <v>9.8438244560000001</v>
          </cell>
          <cell r="V838">
            <v>9.9861457060000003</v>
          </cell>
          <cell r="W838">
            <v>10.132954</v>
          </cell>
          <cell r="X838">
            <v>10.283092590000001</v>
          </cell>
          <cell r="Y838">
            <v>10.436350669999999</v>
          </cell>
          <cell r="Z838">
            <v>10.59272365</v>
          </cell>
          <cell r="AA838">
            <v>10.737981100000001</v>
          </cell>
          <cell r="AB838">
            <v>10.885821160000001</v>
          </cell>
          <cell r="AC838">
            <v>11.035163649999999</v>
          </cell>
          <cell r="AD838">
            <v>11.186060940000001</v>
          </cell>
          <cell r="AE838">
            <v>11.33875849</v>
          </cell>
          <cell r="AF838">
            <v>11.49349262</v>
          </cell>
          <cell r="AG838">
            <v>11.65058773</v>
          </cell>
          <cell r="AH838">
            <v>11.810077290000001</v>
          </cell>
          <cell r="AI838">
            <v>11.97200773</v>
          </cell>
          <cell r="AJ838">
            <v>12.136392239999999</v>
          </cell>
          <cell r="AK838">
            <v>12.30321213</v>
          </cell>
          <cell r="AL838">
            <v>12.470246660000001</v>
          </cell>
          <cell r="AM838">
            <v>12.63799901</v>
          </cell>
          <cell r="AN838">
            <v>12.806734179999999</v>
          </cell>
          <cell r="AO838">
            <v>12.97661076</v>
          </cell>
          <cell r="AP838">
            <v>13.14774006</v>
          </cell>
          <cell r="AQ838">
            <v>13.32040522</v>
          </cell>
          <cell r="AR838">
            <v>13.494545349999999</v>
          </cell>
          <cell r="AS838">
            <v>13.670175410000001</v>
          </cell>
          <cell r="AT838">
            <v>13.84731129</v>
          </cell>
          <cell r="AU838">
            <v>14.02595999</v>
          </cell>
          <cell r="AV838">
            <v>14.20710411</v>
          </cell>
          <cell r="AW838">
            <v>14.390201490000001</v>
          </cell>
          <cell r="AX838">
            <v>14.57510342</v>
          </cell>
          <cell r="AY838">
            <v>14.76174235</v>
          </cell>
          <cell r="AZ838">
            <v>14.950077930000001</v>
          </cell>
          <cell r="BA838">
            <v>15.14051059</v>
          </cell>
          <cell r="BB838">
            <v>15.33277477</v>
          </cell>
          <cell r="BC838">
            <v>15.52681993</v>
          </cell>
          <cell r="BD838">
            <v>15.722646190000001</v>
          </cell>
          <cell r="BE838">
            <v>15.920275419999999</v>
          </cell>
        </row>
        <row r="840">
          <cell r="A840" t="str">
            <v>ems_ci_co2_spap_2</v>
          </cell>
          <cell r="B840">
            <v>2.5559279020000001</v>
          </cell>
          <cell r="C840">
            <v>2.509915501</v>
          </cell>
          <cell r="D840">
            <v>2.5188228810000002</v>
          </cell>
          <cell r="E840">
            <v>2.5402888959999999</v>
          </cell>
          <cell r="F840">
            <v>2.567295648</v>
          </cell>
          <cell r="G840">
            <v>2.5983128209999999</v>
          </cell>
          <cell r="H840">
            <v>2.6309319609999999</v>
          </cell>
          <cell r="I840">
            <v>2.6656813829999999</v>
          </cell>
          <cell r="J840">
            <v>2.702357063</v>
          </cell>
          <cell r="K840">
            <v>2.7406407970000002</v>
          </cell>
          <cell r="L840">
            <v>2.783098501</v>
          </cell>
          <cell r="M840">
            <v>2.8245271550000002</v>
          </cell>
          <cell r="N840">
            <v>2.8662383849999999</v>
          </cell>
          <cell r="O840">
            <v>2.9083669809999999</v>
          </cell>
          <cell r="P840">
            <v>2.9508595390000001</v>
          </cell>
          <cell r="Q840">
            <v>2.9936610639999999</v>
          </cell>
          <cell r="R840">
            <v>3.036431694</v>
          </cell>
          <cell r="S840">
            <v>3.0794147509999998</v>
          </cell>
          <cell r="T840">
            <v>3.12267261</v>
          </cell>
          <cell r="U840">
            <v>3.1662472639999999</v>
          </cell>
          <cell r="V840">
            <v>3.2080780459999998</v>
          </cell>
          <cell r="W840">
            <v>3.2516007349999998</v>
          </cell>
          <cell r="X840">
            <v>3.2959210570000002</v>
          </cell>
          <cell r="Y840">
            <v>3.340894918</v>
          </cell>
          <cell r="Z840">
            <v>3.3865224070000002</v>
          </cell>
          <cell r="AA840">
            <v>3.4268019590000001</v>
          </cell>
          <cell r="AB840">
            <v>3.4687063610000002</v>
          </cell>
          <cell r="AC840">
            <v>3.511172856</v>
          </cell>
          <cell r="AD840">
            <v>3.5541098469999999</v>
          </cell>
          <cell r="AE840">
            <v>3.5975995649999999</v>
          </cell>
          <cell r="AF840">
            <v>3.641737998</v>
          </cell>
          <cell r="AG840">
            <v>3.6866723910000001</v>
          </cell>
          <cell r="AH840">
            <v>3.732403846</v>
          </cell>
          <cell r="AI840">
            <v>3.7789575420000001</v>
          </cell>
          <cell r="AJ840">
            <v>3.8263500769999998</v>
          </cell>
          <cell r="AK840">
            <v>3.8745878349999998</v>
          </cell>
          <cell r="AL840">
            <v>3.922845653</v>
          </cell>
          <cell r="AM840">
            <v>3.9714910859999999</v>
          </cell>
          <cell r="AN840">
            <v>4.0206575920000001</v>
          </cell>
          <cell r="AO840">
            <v>4.070414338</v>
          </cell>
          <cell r="AP840">
            <v>4.1208106009999996</v>
          </cell>
          <cell r="AQ840">
            <v>4.171983032</v>
          </cell>
          <cell r="AR840">
            <v>4.2238861920000002</v>
          </cell>
          <cell r="AS840">
            <v>4.2765273690000001</v>
          </cell>
          <cell r="AT840">
            <v>4.3299161640000001</v>
          </cell>
          <cell r="AU840">
            <v>4.3840577280000002</v>
          </cell>
          <cell r="AV840">
            <v>4.4394142289999996</v>
          </cell>
          <cell r="AW840">
            <v>4.495655395</v>
          </cell>
          <cell r="AX840">
            <v>4.5527126979999997</v>
          </cell>
          <cell r="AY840">
            <v>4.6105628850000002</v>
          </cell>
          <cell r="AZ840">
            <v>4.6691921599999997</v>
          </cell>
          <cell r="BA840">
            <v>4.7287987520000003</v>
          </cell>
          <cell r="BB840">
            <v>4.7892187289999999</v>
          </cell>
          <cell r="BC840">
            <v>4.8504212940000002</v>
          </cell>
          <cell r="BD840">
            <v>4.9124002999999998</v>
          </cell>
          <cell r="BE840">
            <v>4.9751564369999999</v>
          </cell>
        </row>
        <row r="842">
          <cell r="A842" t="str">
            <v>ems_ci_co2_sche_2</v>
          </cell>
          <cell r="B842">
            <v>13.60740509</v>
          </cell>
          <cell r="C842">
            <v>13.249923689999999</v>
          </cell>
          <cell r="D842">
            <v>13.313742680000001</v>
          </cell>
          <cell r="E842">
            <v>13.453538050000001</v>
          </cell>
          <cell r="F842">
            <v>13.619249569999999</v>
          </cell>
          <cell r="G842">
            <v>13.801524219999999</v>
          </cell>
          <cell r="H842">
            <v>13.986188780000001</v>
          </cell>
          <cell r="I842">
            <v>14.178563459999999</v>
          </cell>
          <cell r="J842">
            <v>14.37783992</v>
          </cell>
          <cell r="K842">
            <v>14.58248382</v>
          </cell>
          <cell r="L842">
            <v>14.808607090000001</v>
          </cell>
          <cell r="M842">
            <v>15.02220541</v>
          </cell>
          <cell r="N842">
            <v>15.234940959999999</v>
          </cell>
          <cell r="O842">
            <v>15.448114970000001</v>
          </cell>
          <cell r="P842">
            <v>15.661682259999999</v>
          </cell>
          <cell r="Q842">
            <v>15.8755758</v>
          </cell>
          <cell r="R842">
            <v>16.087658189999999</v>
          </cell>
          <cell r="S842">
            <v>16.300034119999999</v>
          </cell>
          <cell r="T842">
            <v>16.513291030000001</v>
          </cell>
          <cell r="U842">
            <v>16.727837699999998</v>
          </cell>
          <cell r="V842">
            <v>16.93129845</v>
          </cell>
          <cell r="W842">
            <v>17.1464435</v>
          </cell>
          <cell r="X842">
            <v>17.365832380000001</v>
          </cell>
          <cell r="Y842">
            <v>17.58862603</v>
          </cell>
          <cell r="Z842">
            <v>17.814946450000001</v>
          </cell>
          <cell r="AA842">
            <v>18.008567769999999</v>
          </cell>
          <cell r="AB842">
            <v>18.217035880000001</v>
          </cell>
          <cell r="AC842">
            <v>18.4301882</v>
          </cell>
          <cell r="AD842">
            <v>18.646978539999999</v>
          </cell>
          <cell r="AE842">
            <v>18.867651380000002</v>
          </cell>
          <cell r="AF842">
            <v>19.09256147</v>
          </cell>
          <cell r="AG842">
            <v>19.322479999999999</v>
          </cell>
          <cell r="AH842">
            <v>19.557168109999999</v>
          </cell>
          <cell r="AI842">
            <v>19.796652559999998</v>
          </cell>
          <cell r="AJ842">
            <v>20.040941360000001</v>
          </cell>
          <cell r="AK842">
            <v>20.289999810000001</v>
          </cell>
          <cell r="AL842">
            <v>20.539440129999999</v>
          </cell>
          <cell r="AM842">
            <v>20.79184411</v>
          </cell>
          <cell r="AN842">
            <v>21.04773917</v>
          </cell>
          <cell r="AO842">
            <v>21.307305939999999</v>
          </cell>
          <cell r="AP842">
            <v>21.570653440000001</v>
          </cell>
          <cell r="AQ842">
            <v>21.838557510000001</v>
          </cell>
          <cell r="AR842">
            <v>22.110493089999999</v>
          </cell>
          <cell r="AS842">
            <v>22.386404160000001</v>
          </cell>
          <cell r="AT842">
            <v>22.666283979999999</v>
          </cell>
          <cell r="AU842">
            <v>22.950119770000001</v>
          </cell>
          <cell r="AV842">
            <v>23.241028279999998</v>
          </cell>
          <cell r="AW842">
            <v>23.536455759999999</v>
          </cell>
          <cell r="AX842">
            <v>23.83597705</v>
          </cell>
          <cell r="AY842">
            <v>24.13948259</v>
          </cell>
          <cell r="AZ842">
            <v>24.446919179999998</v>
          </cell>
          <cell r="BA842">
            <v>24.759733539999999</v>
          </cell>
          <cell r="BB842">
            <v>25.076686850000002</v>
          </cell>
          <cell r="BC842">
            <v>25.397598160000001</v>
          </cell>
          <cell r="BD842">
            <v>25.722452610000001</v>
          </cell>
          <cell r="BE842">
            <v>26.051272480000002</v>
          </cell>
        </row>
        <row r="844">
          <cell r="A844" t="str">
            <v>ems_ci_co2_spla_2</v>
          </cell>
          <cell r="B844">
            <v>1.504329743</v>
          </cell>
          <cell r="C844">
            <v>1.469026532</v>
          </cell>
          <cell r="D844">
            <v>1.4729791430000001</v>
          </cell>
          <cell r="E844">
            <v>1.485267393</v>
          </cell>
          <cell r="F844">
            <v>1.500900135</v>
          </cell>
          <cell r="G844">
            <v>1.518992154</v>
          </cell>
          <cell r="H844">
            <v>1.5381345150000001</v>
          </cell>
          <cell r="I844">
            <v>1.5586975409999999</v>
          </cell>
          <cell r="J844">
            <v>1.5805098980000001</v>
          </cell>
          <cell r="K844">
            <v>1.6033147169999999</v>
          </cell>
          <cell r="L844">
            <v>1.628620229</v>
          </cell>
          <cell r="M844">
            <v>1.6530995530000001</v>
          </cell>
          <cell r="N844">
            <v>1.6776328119999999</v>
          </cell>
          <cell r="O844">
            <v>1.7022884009999999</v>
          </cell>
          <cell r="P844">
            <v>1.7270150049999999</v>
          </cell>
          <cell r="Q844">
            <v>1.7517666540000001</v>
          </cell>
          <cell r="R844">
            <v>1.776297735</v>
          </cell>
          <cell r="S844">
            <v>1.800785166</v>
          </cell>
          <cell r="T844">
            <v>1.8252793860000001</v>
          </cell>
          <cell r="U844">
            <v>1.849819654</v>
          </cell>
          <cell r="V844">
            <v>1.8731668180000001</v>
          </cell>
          <cell r="W844">
            <v>1.897494958</v>
          </cell>
          <cell r="X844">
            <v>1.9222097300000001</v>
          </cell>
          <cell r="Y844">
            <v>1.94723869</v>
          </cell>
          <cell r="Z844">
            <v>1.9726043440000001</v>
          </cell>
          <cell r="AA844">
            <v>1.9946811259999999</v>
          </cell>
          <cell r="AB844">
            <v>2.0179109849999999</v>
          </cell>
          <cell r="AC844">
            <v>2.0415310330000001</v>
          </cell>
          <cell r="AD844">
            <v>2.065467323</v>
          </cell>
          <cell r="AE844">
            <v>2.0897655400000001</v>
          </cell>
          <cell r="AF844">
            <v>2.1144827730000002</v>
          </cell>
          <cell r="AG844">
            <v>2.1397163639999999</v>
          </cell>
          <cell r="AH844">
            <v>2.1654623740000001</v>
          </cell>
          <cell r="AI844">
            <v>2.1917364529999999</v>
          </cell>
          <cell r="AJ844">
            <v>2.2185488840000001</v>
          </cell>
          <cell r="AK844">
            <v>2.2459022129999999</v>
          </cell>
          <cell r="AL844">
            <v>2.2733602940000002</v>
          </cell>
          <cell r="AM844">
            <v>2.301125377</v>
          </cell>
          <cell r="AN844">
            <v>2.3292554879999998</v>
          </cell>
          <cell r="AO844">
            <v>2.3577730400000001</v>
          </cell>
          <cell r="AP844">
            <v>2.386689971</v>
          </cell>
          <cell r="AQ844">
            <v>2.4160832820000002</v>
          </cell>
          <cell r="AR844">
            <v>2.4459033190000001</v>
          </cell>
          <cell r="AS844">
            <v>2.4761419880000002</v>
          </cell>
          <cell r="AT844">
            <v>2.5067960660000002</v>
          </cell>
          <cell r="AU844">
            <v>2.5378615309999999</v>
          </cell>
          <cell r="AV844">
            <v>2.569647062</v>
          </cell>
          <cell r="AW844">
            <v>2.6019163920000001</v>
          </cell>
          <cell r="AX844">
            <v>2.6346205490000001</v>
          </cell>
          <cell r="AY844">
            <v>2.6677427640000002</v>
          </cell>
          <cell r="AZ844">
            <v>2.7012723890000001</v>
          </cell>
          <cell r="BA844">
            <v>2.7353489070000001</v>
          </cell>
          <cell r="BB844">
            <v>2.7698533780000001</v>
          </cell>
          <cell r="BC844">
            <v>2.8047628790000001</v>
          </cell>
          <cell r="BD844">
            <v>2.8400723060000002</v>
          </cell>
          <cell r="BE844">
            <v>2.8757812089999999</v>
          </cell>
        </row>
        <row r="846">
          <cell r="A846" t="str">
            <v>ems_ci_co2_smet_2</v>
          </cell>
          <cell r="B846">
            <v>19.707514920000001</v>
          </cell>
          <cell r="C846">
            <v>19.269353949999999</v>
          </cell>
          <cell r="D846">
            <v>19.348048909999999</v>
          </cell>
          <cell r="E846">
            <v>19.543540069999999</v>
          </cell>
          <cell r="F846">
            <v>19.776557910000001</v>
          </cell>
          <cell r="G846">
            <v>20.029240189999999</v>
          </cell>
          <cell r="H846">
            <v>20.282763020000001</v>
          </cell>
          <cell r="I846">
            <v>20.543746779999999</v>
          </cell>
          <cell r="J846">
            <v>20.812823130000002</v>
          </cell>
          <cell r="K846">
            <v>21.089378050000001</v>
          </cell>
          <cell r="L846">
            <v>21.394665069999999</v>
          </cell>
          <cell r="M846">
            <v>21.688013550000001</v>
          </cell>
          <cell r="N846">
            <v>21.982117909999999</v>
          </cell>
          <cell r="O846">
            <v>22.27924453</v>
          </cell>
          <cell r="P846">
            <v>22.57965085</v>
          </cell>
          <cell r="Q846">
            <v>22.883335280000001</v>
          </cell>
          <cell r="R846">
            <v>23.187530580000001</v>
          </cell>
          <cell r="S846">
            <v>23.494744799999999</v>
          </cell>
          <cell r="T846">
            <v>23.805742630000001</v>
          </cell>
          <cell r="U846">
            <v>24.120985229999999</v>
          </cell>
          <cell r="V846">
            <v>24.424791389999999</v>
          </cell>
          <cell r="W846">
            <v>24.744462410000001</v>
          </cell>
          <cell r="X846">
            <v>25.072196779999999</v>
          </cell>
          <cell r="Y846">
            <v>25.40658427</v>
          </cell>
          <cell r="Z846">
            <v>25.747530709999999</v>
          </cell>
          <cell r="AA846">
            <v>26.049210550000002</v>
          </cell>
          <cell r="AB846">
            <v>26.367784619999998</v>
          </cell>
          <cell r="AC846">
            <v>26.69344619</v>
          </cell>
          <cell r="AD846">
            <v>27.024573849999999</v>
          </cell>
          <cell r="AE846">
            <v>27.36118175</v>
          </cell>
          <cell r="AF846">
            <v>27.703545980000001</v>
          </cell>
          <cell r="AG846">
            <v>28.052551650000002</v>
          </cell>
          <cell r="AH846">
            <v>28.40785657</v>
          </cell>
          <cell r="AI846">
            <v>28.769434019999998</v>
          </cell>
          <cell r="AJ846">
            <v>29.137259090000001</v>
          </cell>
          <cell r="AK846">
            <v>29.511264369999999</v>
          </cell>
          <cell r="AL846">
            <v>29.885973079999999</v>
          </cell>
          <cell r="AM846">
            <v>30.263889599999999</v>
          </cell>
          <cell r="AN846">
            <v>30.645722330000002</v>
          </cell>
          <cell r="AO846">
            <v>31.031730060000001</v>
          </cell>
          <cell r="AP846">
            <v>31.422053770000002</v>
          </cell>
          <cell r="AQ846">
            <v>31.817685619999999</v>
          </cell>
          <cell r="AR846">
            <v>32.217994419999997</v>
          </cell>
          <cell r="AS846">
            <v>32.622892329999999</v>
          </cell>
          <cell r="AT846">
            <v>33.032380959999998</v>
          </cell>
          <cell r="AU846">
            <v>33.446466749999999</v>
          </cell>
          <cell r="AV846">
            <v>33.869152059999998</v>
          </cell>
          <cell r="AW846">
            <v>34.297412010000002</v>
          </cell>
          <cell r="AX846">
            <v>34.730614520000003</v>
          </cell>
          <cell r="AY846">
            <v>35.168612160000002</v>
          </cell>
          <cell r="AZ846">
            <v>35.611368229999997</v>
          </cell>
          <cell r="BA846">
            <v>36.060773500000003</v>
          </cell>
          <cell r="BB846">
            <v>36.515363899999997</v>
          </cell>
          <cell r="BC846">
            <v>36.974890129999999</v>
          </cell>
          <cell r="BD846">
            <v>37.439356160000003</v>
          </cell>
          <cell r="BE846">
            <v>37.908831159999998</v>
          </cell>
        </row>
        <row r="848">
          <cell r="A848" t="str">
            <v>ems_ci_co2_sigo_2</v>
          </cell>
          <cell r="B848">
            <v>1.225657679</v>
          </cell>
          <cell r="C848">
            <v>1.1825587470000001</v>
          </cell>
          <cell r="D848">
            <v>1.1862023290000001</v>
          </cell>
          <cell r="E848">
            <v>1.196331729</v>
          </cell>
          <cell r="F848">
            <v>1.2087243590000001</v>
          </cell>
          <cell r="G848">
            <v>1.2231176610000001</v>
          </cell>
          <cell r="H848">
            <v>1.2383848820000001</v>
          </cell>
          <cell r="I848">
            <v>1.2550986019999999</v>
          </cell>
          <cell r="J848">
            <v>1.2730606090000001</v>
          </cell>
          <cell r="K848">
            <v>1.29198368</v>
          </cell>
          <cell r="L848">
            <v>1.31331047</v>
          </cell>
          <cell r="M848">
            <v>1.3335399640000001</v>
          </cell>
          <cell r="N848">
            <v>1.3538349059999999</v>
          </cell>
          <cell r="O848">
            <v>1.3742189359999999</v>
          </cell>
          <cell r="P848">
            <v>1.394602358</v>
          </cell>
          <cell r="Q848">
            <v>1.414909859</v>
          </cell>
          <cell r="R848">
            <v>1.4348423830000001</v>
          </cell>
          <cell r="S848">
            <v>1.45458892</v>
          </cell>
          <cell r="T848">
            <v>1.4741747409999999</v>
          </cell>
          <cell r="U848">
            <v>1.4936210860000001</v>
          </cell>
          <cell r="V848">
            <v>1.5117076309999999</v>
          </cell>
          <cell r="W848">
            <v>1.530714734</v>
          </cell>
          <cell r="X848">
            <v>1.549849206</v>
          </cell>
          <cell r="Y848">
            <v>1.569060331</v>
          </cell>
          <cell r="Z848">
            <v>1.588391278</v>
          </cell>
          <cell r="AA848">
            <v>1.6043226399999999</v>
          </cell>
          <cell r="AB848">
            <v>1.621679471</v>
          </cell>
          <cell r="AC848">
            <v>1.639320463</v>
          </cell>
          <cell r="AD848">
            <v>1.6571646040000001</v>
          </cell>
          <cell r="AE848">
            <v>1.675261646</v>
          </cell>
          <cell r="AF848">
            <v>1.6936707010000001</v>
          </cell>
          <cell r="AG848">
            <v>1.712499019</v>
          </cell>
          <cell r="AH848">
            <v>1.7317414959999999</v>
          </cell>
          <cell r="AI848">
            <v>1.751424428</v>
          </cell>
          <cell r="AJ848">
            <v>1.7715693960000001</v>
          </cell>
          <cell r="AK848">
            <v>1.7921896690000001</v>
          </cell>
          <cell r="AL848">
            <v>1.8129352809999999</v>
          </cell>
          <cell r="AM848">
            <v>1.8340375149999999</v>
          </cell>
          <cell r="AN848">
            <v>1.855532462</v>
          </cell>
          <cell r="AO848">
            <v>1.877426461</v>
          </cell>
          <cell r="AP848">
            <v>1.8997190310000001</v>
          </cell>
          <cell r="AQ848">
            <v>1.9224844089999999</v>
          </cell>
          <cell r="AR848">
            <v>1.9456527050000001</v>
          </cell>
          <cell r="AS848">
            <v>1.969210387</v>
          </cell>
          <cell r="AT848">
            <v>1.99314977</v>
          </cell>
          <cell r="AU848">
            <v>2.0174630069999999</v>
          </cell>
          <cell r="AV848">
            <v>2.0424789720000001</v>
          </cell>
          <cell r="AW848">
            <v>2.0679124</v>
          </cell>
          <cell r="AX848">
            <v>2.0937210570000002</v>
          </cell>
          <cell r="AY848">
            <v>2.1198914499999999</v>
          </cell>
          <cell r="AZ848">
            <v>2.146412819</v>
          </cell>
          <cell r="BA848">
            <v>2.1734387690000001</v>
          </cell>
          <cell r="BB848">
            <v>2.2008237689999999</v>
          </cell>
          <cell r="BC848">
            <v>2.2285452530000001</v>
          </cell>
          <cell r="BD848">
            <v>2.2565966959999999</v>
          </cell>
          <cell r="BE848">
            <v>2.2849745420000001</v>
          </cell>
        </row>
        <row r="850">
          <cell r="A850" t="str">
            <v>ems_ci_co2_scgo_2</v>
          </cell>
          <cell r="B850">
            <v>2.2918614370000001</v>
          </cell>
          <cell r="C850">
            <v>2.2556193699999998</v>
          </cell>
          <cell r="D850">
            <v>2.2557167759999999</v>
          </cell>
          <cell r="E850">
            <v>2.266655036</v>
          </cell>
          <cell r="F850">
            <v>2.2842494260000001</v>
          </cell>
          <cell r="G850">
            <v>2.3075793839999998</v>
          </cell>
          <cell r="H850">
            <v>2.334530666</v>
          </cell>
          <cell r="I850">
            <v>2.3650416459999999</v>
          </cell>
          <cell r="J850">
            <v>2.3985465389999998</v>
          </cell>
          <cell r="K850">
            <v>2.4344335130000001</v>
          </cell>
          <cell r="L850">
            <v>2.4745407570000002</v>
          </cell>
          <cell r="M850">
            <v>2.5145909249999998</v>
          </cell>
          <cell r="N850">
            <v>2.5551763240000001</v>
          </cell>
          <cell r="O850">
            <v>2.5962196880000001</v>
          </cell>
          <cell r="P850">
            <v>2.6375505690000001</v>
          </cell>
          <cell r="Q850">
            <v>2.6790260950000002</v>
          </cell>
          <cell r="R850">
            <v>2.7203026889999999</v>
          </cell>
          <cell r="S850">
            <v>2.761486675</v>
          </cell>
          <cell r="T850">
            <v>2.8025971539999999</v>
          </cell>
          <cell r="U850">
            <v>2.843661311</v>
          </cell>
          <cell r="V850">
            <v>2.8829621269999999</v>
          </cell>
          <cell r="W850">
            <v>2.9232123670000001</v>
          </cell>
          <cell r="X850">
            <v>2.9638850940000001</v>
          </cell>
          <cell r="Y850">
            <v>3.0049188579999999</v>
          </cell>
          <cell r="Z850">
            <v>3.0463548669999998</v>
          </cell>
          <cell r="AA850">
            <v>3.0832041029999999</v>
          </cell>
          <cell r="AB850">
            <v>3.1208087020000002</v>
          </cell>
          <cell r="AC850">
            <v>3.1586252400000001</v>
          </cell>
          <cell r="AD850">
            <v>3.196677894</v>
          </cell>
          <cell r="AE850">
            <v>3.235100439</v>
          </cell>
          <cell r="AF850">
            <v>3.2740281840000001</v>
          </cell>
          <cell r="AG850">
            <v>3.3136290420000001</v>
          </cell>
          <cell r="AH850">
            <v>3.3539555590000001</v>
          </cell>
          <cell r="AI850">
            <v>3.395063548</v>
          </cell>
          <cell r="AJ850">
            <v>3.4369922220000002</v>
          </cell>
          <cell r="AK850">
            <v>3.4797638370000001</v>
          </cell>
          <cell r="AL850">
            <v>3.5226665800000001</v>
          </cell>
          <cell r="AM850">
            <v>3.565971684</v>
          </cell>
          <cell r="AN850">
            <v>3.6097929600000001</v>
          </cell>
          <cell r="AO850">
            <v>3.654188472</v>
          </cell>
          <cell r="AP850">
            <v>3.6991944989999999</v>
          </cell>
          <cell r="AQ850">
            <v>3.744912029</v>
          </cell>
          <cell r="AR850">
            <v>3.7913086850000002</v>
          </cell>
          <cell r="AS850">
            <v>3.8383829399999998</v>
          </cell>
          <cell r="AT850">
            <v>3.8861334429999999</v>
          </cell>
          <cell r="AU850">
            <v>3.9345548890000002</v>
          </cell>
          <cell r="AV850">
            <v>3.9840054079999998</v>
          </cell>
          <cell r="AW850">
            <v>4.0342604910000004</v>
          </cell>
          <cell r="AX850">
            <v>4.0852579929999999</v>
          </cell>
          <cell r="AY850">
            <v>4.1369649370000001</v>
          </cell>
          <cell r="AZ850">
            <v>4.189354518</v>
          </cell>
          <cell r="BA850">
            <v>4.2425659949999996</v>
          </cell>
          <cell r="BB850">
            <v>4.2964803089999997</v>
          </cell>
          <cell r="BC850">
            <v>4.3510637379999997</v>
          </cell>
          <cell r="BD850">
            <v>4.4063006810000003</v>
          </cell>
          <cell r="BE850">
            <v>4.4621821019999999</v>
          </cell>
        </row>
        <row r="852">
          <cell r="A852" t="str">
            <v>ems_ci_co2_scon_2</v>
          </cell>
          <cell r="B852">
            <v>7.738716868</v>
          </cell>
          <cell r="C852">
            <v>7.7084406239999996</v>
          </cell>
          <cell r="D852">
            <v>7.6398177719999998</v>
          </cell>
          <cell r="E852">
            <v>7.5740157210000003</v>
          </cell>
          <cell r="F852">
            <v>7.5372355630000003</v>
          </cell>
          <cell r="G852">
            <v>7.5406805290000003</v>
          </cell>
          <cell r="H852">
            <v>7.582146388</v>
          </cell>
          <cell r="I852">
            <v>7.6571944780000001</v>
          </cell>
          <cell r="J852">
            <v>7.76033594</v>
          </cell>
          <cell r="K852">
            <v>7.8864151700000003</v>
          </cell>
          <cell r="L852">
            <v>8.0364911219999993</v>
          </cell>
          <cell r="M852">
            <v>8.2019897260000008</v>
          </cell>
          <cell r="N852">
            <v>8.3789981979999997</v>
          </cell>
          <cell r="O852">
            <v>8.5647526569999997</v>
          </cell>
          <cell r="P852">
            <v>8.7570713340000008</v>
          </cell>
          <cell r="Q852">
            <v>8.9541736140000001</v>
          </cell>
          <cell r="R852">
            <v>9.1542495590000001</v>
          </cell>
          <cell r="S852">
            <v>9.3559879230000007</v>
          </cell>
          <cell r="T852">
            <v>9.5584627690000001</v>
          </cell>
          <cell r="U852">
            <v>9.7610854069999995</v>
          </cell>
          <cell r="V852">
            <v>9.9592995080000009</v>
          </cell>
          <cell r="W852">
            <v>10.15668149</v>
          </cell>
          <cell r="X852">
            <v>10.353993600000001</v>
          </cell>
          <cell r="Y852">
            <v>10.55167249</v>
          </cell>
          <cell r="Z852">
            <v>10.75011439</v>
          </cell>
          <cell r="AA852">
            <v>10.93724362</v>
          </cell>
          <cell r="AB852">
            <v>11.11841098</v>
          </cell>
          <cell r="AC852">
            <v>11.29515789</v>
          </cell>
          <cell r="AD852">
            <v>11.4685866</v>
          </cell>
          <cell r="AE852">
            <v>11.63967641</v>
          </cell>
          <cell r="AF852">
            <v>11.80930597</v>
          </cell>
          <cell r="AG852">
            <v>11.97833629</v>
          </cell>
          <cell r="AH852">
            <v>12.14750587</v>
          </cell>
          <cell r="AI852">
            <v>12.317434540000001</v>
          </cell>
          <cell r="AJ852">
            <v>12.488613490000001</v>
          </cell>
          <cell r="AK852">
            <v>12.661402949999999</v>
          </cell>
          <cell r="AL852">
            <v>12.833577650000001</v>
          </cell>
          <cell r="AM852">
            <v>13.005096959999999</v>
          </cell>
          <cell r="AN852">
            <v>13.17612849</v>
          </cell>
          <cell r="AO852">
            <v>13.34677245</v>
          </cell>
          <cell r="AP852">
            <v>13.517045830000001</v>
          </cell>
          <cell r="AQ852">
            <v>13.686998709999999</v>
          </cell>
          <cell r="AR852">
            <v>13.85661842</v>
          </cell>
          <cell r="AS852">
            <v>14.02585942</v>
          </cell>
          <cell r="AT852">
            <v>14.194654809999999</v>
          </cell>
          <cell r="AU852">
            <v>14.36292854</v>
          </cell>
          <cell r="AV852">
            <v>14.53115631</v>
          </cell>
          <cell r="AW852">
            <v>14.69947734</v>
          </cell>
          <cell r="AX852">
            <v>14.867905589999999</v>
          </cell>
          <cell r="AY852">
            <v>15.036365569999999</v>
          </cell>
          <cell r="AZ852">
            <v>15.20473812</v>
          </cell>
          <cell r="BA852">
            <v>15.373065759999999</v>
          </cell>
          <cell r="BB852">
            <v>15.541360450000001</v>
          </cell>
          <cell r="BC852">
            <v>15.709621589999999</v>
          </cell>
          <cell r="BD852">
            <v>15.87783905</v>
          </cell>
          <cell r="BE852">
            <v>16.046012959999999</v>
          </cell>
        </row>
        <row r="854">
          <cell r="A854" t="str">
            <v>ems_ci_co2_srai_2</v>
          </cell>
          <cell r="B854">
            <v>1.735996737</v>
          </cell>
          <cell r="C854">
            <v>1.723881937</v>
          </cell>
          <cell r="D854">
            <v>1.7315346650000001</v>
          </cell>
          <cell r="E854">
            <v>1.7449974260000001</v>
          </cell>
          <cell r="F854">
            <v>1.76160289</v>
          </cell>
          <cell r="G854">
            <v>1.7806659650000001</v>
          </cell>
          <cell r="H854">
            <v>1.8008509589999999</v>
          </cell>
          <cell r="I854">
            <v>1.8223539</v>
          </cell>
          <cell r="J854">
            <v>1.8450368779999999</v>
          </cell>
          <cell r="K854">
            <v>1.8686994649999999</v>
          </cell>
          <cell r="L854">
            <v>1.8947638060000001</v>
          </cell>
          <cell r="M854">
            <v>1.9204341680000001</v>
          </cell>
          <cell r="N854">
            <v>1.9462570320000001</v>
          </cell>
          <cell r="O854">
            <v>1.9722915160000001</v>
          </cell>
          <cell r="P854">
            <v>1.9985063649999999</v>
          </cell>
          <cell r="Q854">
            <v>2.0248709040000001</v>
          </cell>
          <cell r="R854">
            <v>2.0512407439999998</v>
          </cell>
          <cell r="S854">
            <v>2.0777068170000002</v>
          </cell>
          <cell r="T854">
            <v>2.1043009009999998</v>
          </cell>
          <cell r="U854">
            <v>2.1310476729999999</v>
          </cell>
          <cell r="V854">
            <v>2.1567882190000001</v>
          </cell>
          <cell r="W854">
            <v>2.183384142</v>
          </cell>
          <cell r="X854">
            <v>2.2104244249999998</v>
          </cell>
          <cell r="Y854">
            <v>2.2378289040000001</v>
          </cell>
          <cell r="Z854">
            <v>2.2655933959999999</v>
          </cell>
          <cell r="AA854">
            <v>2.2903365959999999</v>
          </cell>
          <cell r="AB854">
            <v>2.3157623119999999</v>
          </cell>
          <cell r="AC854">
            <v>2.3414523100000002</v>
          </cell>
          <cell r="AD854">
            <v>2.3673817069999998</v>
          </cell>
          <cell r="AE854">
            <v>2.39360806</v>
          </cell>
          <cell r="AF854">
            <v>2.4201929070000001</v>
          </cell>
          <cell r="AG854">
            <v>2.447213439</v>
          </cell>
          <cell r="AH854">
            <v>2.4746831340000002</v>
          </cell>
          <cell r="AI854">
            <v>2.5026181250000001</v>
          </cell>
          <cell r="AJ854">
            <v>2.5310279499999999</v>
          </cell>
          <cell r="AK854">
            <v>2.559916093</v>
          </cell>
          <cell r="AL854">
            <v>2.5887274640000002</v>
          </cell>
          <cell r="AM854">
            <v>2.6177151379999999</v>
          </cell>
          <cell r="AN854">
            <v>2.6469737100000001</v>
          </cell>
          <cell r="AO854">
            <v>2.6765524749999998</v>
          </cell>
          <cell r="AP854">
            <v>2.7064862710000002</v>
          </cell>
          <cell r="AQ854">
            <v>2.736842529</v>
          </cell>
          <cell r="AR854">
            <v>2.7676135770000001</v>
          </cell>
          <cell r="AS854">
            <v>2.7988068369999999</v>
          </cell>
          <cell r="AT854">
            <v>2.8304285810000001</v>
          </cell>
          <cell r="AU854">
            <v>2.862481855</v>
          </cell>
          <cell r="AV854">
            <v>2.8951767589999999</v>
          </cell>
          <cell r="AW854">
            <v>2.9283793020000002</v>
          </cell>
          <cell r="AX854">
            <v>2.9620532270000002</v>
          </cell>
          <cell r="AY854">
            <v>2.9961830790000001</v>
          </cell>
          <cell r="AZ854">
            <v>3.0307590759999998</v>
          </cell>
          <cell r="BA854">
            <v>3.065860384</v>
          </cell>
          <cell r="BB854">
            <v>3.101424105</v>
          </cell>
          <cell r="BC854">
            <v>3.1374348150000002</v>
          </cell>
          <cell r="BD854">
            <v>3.1738882460000002</v>
          </cell>
          <cell r="BE854">
            <v>3.2107841110000002</v>
          </cell>
        </row>
        <row r="856">
          <cell r="A856" t="str">
            <v>ems_ci_co2_sroa_2</v>
          </cell>
          <cell r="B856">
            <v>17.331792620000002</v>
          </cell>
          <cell r="C856">
            <v>17.21258589</v>
          </cell>
          <cell r="D856">
            <v>17.291765819999998</v>
          </cell>
          <cell r="E856">
            <v>17.429186349999998</v>
          </cell>
          <cell r="F856">
            <v>17.597569320000002</v>
          </cell>
          <cell r="G856">
            <v>17.789753650000002</v>
          </cell>
          <cell r="H856">
            <v>17.99235367</v>
          </cell>
          <cell r="I856">
            <v>18.20742959</v>
          </cell>
          <cell r="J856">
            <v>18.43375296</v>
          </cell>
          <cell r="K856">
            <v>18.669466960000001</v>
          </cell>
          <cell r="L856">
            <v>18.928875659999999</v>
          </cell>
          <cell r="M856">
            <v>19.184156430000002</v>
          </cell>
          <cell r="N856">
            <v>19.440864879999999</v>
          </cell>
          <cell r="O856">
            <v>19.699665419999999</v>
          </cell>
          <cell r="P856">
            <v>19.96030038</v>
          </cell>
          <cell r="Q856">
            <v>20.222503589999999</v>
          </cell>
          <cell r="R856">
            <v>20.484865849999998</v>
          </cell>
          <cell r="S856">
            <v>20.748319110000001</v>
          </cell>
          <cell r="T856">
            <v>21.013194410000001</v>
          </cell>
          <cell r="U856">
            <v>21.279743119999999</v>
          </cell>
          <cell r="V856">
            <v>21.536409949999999</v>
          </cell>
          <cell r="W856">
            <v>21.801772960000001</v>
          </cell>
          <cell r="X856">
            <v>22.07170765</v>
          </cell>
          <cell r="Y856">
            <v>22.345393529999999</v>
          </cell>
          <cell r="Z856">
            <v>22.622770930000001</v>
          </cell>
          <cell r="AA856">
            <v>22.870112979999998</v>
          </cell>
          <cell r="AB856">
            <v>23.124401290000002</v>
          </cell>
          <cell r="AC856">
            <v>23.381437309999999</v>
          </cell>
          <cell r="AD856">
            <v>23.640946039999999</v>
          </cell>
          <cell r="AE856">
            <v>23.903477670000001</v>
          </cell>
          <cell r="AF856">
            <v>24.169625289999999</v>
          </cell>
          <cell r="AG856">
            <v>24.440140530000001</v>
          </cell>
          <cell r="AH856">
            <v>24.715141030000002</v>
          </cell>
          <cell r="AI856">
            <v>24.994773769999998</v>
          </cell>
          <cell r="AJ856">
            <v>25.279122919999999</v>
          </cell>
          <cell r="AK856">
            <v>25.56821519</v>
          </cell>
          <cell r="AL856">
            <v>25.856509500000001</v>
          </cell>
          <cell r="AM856">
            <v>26.14653466</v>
          </cell>
          <cell r="AN856">
            <v>26.439235700000001</v>
          </cell>
          <cell r="AO856">
            <v>26.735105669999999</v>
          </cell>
          <cell r="AP856">
            <v>27.034494169999999</v>
          </cell>
          <cell r="AQ856">
            <v>27.338076520000001</v>
          </cell>
          <cell r="AR856">
            <v>27.645777769999999</v>
          </cell>
          <cell r="AS856">
            <v>27.957674149999999</v>
          </cell>
          <cell r="AT856">
            <v>28.273830870000001</v>
          </cell>
          <cell r="AU856">
            <v>28.594281169999999</v>
          </cell>
          <cell r="AV856">
            <v>28.92112388</v>
          </cell>
          <cell r="AW856">
            <v>29.253019179999999</v>
          </cell>
          <cell r="AX856">
            <v>29.589605519999999</v>
          </cell>
          <cell r="AY856">
            <v>29.93073141</v>
          </cell>
          <cell r="AZ856">
            <v>30.276303460000001</v>
          </cell>
          <cell r="BA856">
            <v>30.62711637</v>
          </cell>
          <cell r="BB856">
            <v>30.98254421</v>
          </cell>
          <cell r="BC856">
            <v>31.342435600000002</v>
          </cell>
          <cell r="BD856">
            <v>31.706751100000002</v>
          </cell>
          <cell r="BE856">
            <v>32.07549118</v>
          </cell>
        </row>
        <row r="858">
          <cell r="A858" t="str">
            <v>ems_ci_co2_swat_2</v>
          </cell>
          <cell r="B858">
            <v>3.8254166060000001</v>
          </cell>
          <cell r="C858">
            <v>3.6680093239999998</v>
          </cell>
          <cell r="D858">
            <v>3.6971157730000002</v>
          </cell>
          <cell r="E858">
            <v>3.7494659989999999</v>
          </cell>
          <cell r="F858">
            <v>3.8064360310000001</v>
          </cell>
          <cell r="G858">
            <v>3.8653751189999999</v>
          </cell>
          <cell r="H858">
            <v>3.9218121880000001</v>
          </cell>
          <cell r="I858">
            <v>3.9783734659999999</v>
          </cell>
          <cell r="J858">
            <v>4.0350306170000003</v>
          </cell>
          <cell r="K858">
            <v>4.0915608829999996</v>
          </cell>
          <cell r="L858">
            <v>4.1536847149999998</v>
          </cell>
          <cell r="M858">
            <v>4.2092590999999997</v>
          </cell>
          <cell r="N858">
            <v>4.2637352999999996</v>
          </cell>
          <cell r="O858">
            <v>4.3177668819999999</v>
          </cell>
          <cell r="P858">
            <v>4.3714735940000002</v>
          </cell>
          <cell r="Q858">
            <v>4.4249368889999996</v>
          </cell>
          <cell r="R858">
            <v>4.4773337570000002</v>
          </cell>
          <cell r="S858">
            <v>4.5296296229999999</v>
          </cell>
          <cell r="T858">
            <v>4.5820508679999996</v>
          </cell>
          <cell r="U858">
            <v>4.6347435460000002</v>
          </cell>
          <cell r="V858">
            <v>4.6836048359999998</v>
          </cell>
          <cell r="W858">
            <v>4.7368566830000001</v>
          </cell>
          <cell r="X858">
            <v>4.7912379410000003</v>
          </cell>
          <cell r="Y858">
            <v>4.8464722980000001</v>
          </cell>
          <cell r="Z858">
            <v>4.9026220809999996</v>
          </cell>
          <cell r="AA858">
            <v>4.9477256460000003</v>
          </cell>
          <cell r="AB858">
            <v>4.9994796859999999</v>
          </cell>
          <cell r="AC858">
            <v>5.053067424</v>
          </cell>
          <cell r="AD858">
            <v>5.1079876119999996</v>
          </cell>
          <cell r="AE858">
            <v>5.164228488</v>
          </cell>
          <cell r="AF858">
            <v>5.2218213450000004</v>
          </cell>
          <cell r="AG858">
            <v>5.2809938570000003</v>
          </cell>
          <cell r="AH858">
            <v>5.3415689569999998</v>
          </cell>
          <cell r="AI858">
            <v>5.4035230399999996</v>
          </cell>
          <cell r="AJ858">
            <v>5.4668414179999996</v>
          </cell>
          <cell r="AK858">
            <v>5.5315035100000003</v>
          </cell>
          <cell r="AL858">
            <v>5.5964330029999996</v>
          </cell>
          <cell r="AM858">
            <v>5.6624840870000002</v>
          </cell>
          <cell r="AN858">
            <v>5.7297375160000001</v>
          </cell>
          <cell r="AO858">
            <v>5.7981827389999996</v>
          </cell>
          <cell r="AP858">
            <v>5.8677986820000001</v>
          </cell>
          <cell r="AQ858">
            <v>5.9388519129999997</v>
          </cell>
          <cell r="AR858">
            <v>6.0110614279999997</v>
          </cell>
          <cell r="AS858">
            <v>6.0843784479999998</v>
          </cell>
          <cell r="AT858">
            <v>6.1587825360000004</v>
          </cell>
          <cell r="AU858">
            <v>6.2342579840000001</v>
          </cell>
          <cell r="AV858">
            <v>6.3120231919999998</v>
          </cell>
          <cell r="AW858">
            <v>6.3909600759999998</v>
          </cell>
          <cell r="AX858">
            <v>6.4709315949999997</v>
          </cell>
          <cell r="AY858">
            <v>6.551917295</v>
          </cell>
          <cell r="AZ858">
            <v>6.6339128939999998</v>
          </cell>
          <cell r="BA858">
            <v>6.7175305659999998</v>
          </cell>
          <cell r="BB858">
            <v>6.8022245300000002</v>
          </cell>
          <cell r="BC858">
            <v>6.8879393589999998</v>
          </cell>
          <cell r="BD858">
            <v>6.9746791359999998</v>
          </cell>
          <cell r="BE858">
            <v>7.0624569910000004</v>
          </cell>
        </row>
        <row r="860">
          <cell r="A860" t="str">
            <v>ems_ci_co2_sair_2</v>
          </cell>
          <cell r="B860">
            <v>19.258166930000002</v>
          </cell>
          <cell r="C860">
            <v>18.90529789</v>
          </cell>
          <cell r="D860">
            <v>19.047095030000001</v>
          </cell>
          <cell r="E860">
            <v>19.277872819999999</v>
          </cell>
          <cell r="F860">
            <v>19.545201819999999</v>
          </cell>
          <cell r="G860">
            <v>19.841027149999999</v>
          </cell>
          <cell r="H860">
            <v>20.147068260000001</v>
          </cell>
          <cell r="I860">
            <v>20.46965161</v>
          </cell>
          <cell r="J860">
            <v>20.8077565</v>
          </cell>
          <cell r="K860">
            <v>21.15908679</v>
          </cell>
          <cell r="L860">
            <v>21.54688964</v>
          </cell>
          <cell r="M860">
            <v>21.925319649999999</v>
          </cell>
          <cell r="N860">
            <v>22.306236179999999</v>
          </cell>
          <cell r="O860">
            <v>22.69046809</v>
          </cell>
          <cell r="P860">
            <v>23.07757213</v>
          </cell>
          <cell r="Q860">
            <v>23.467233190000002</v>
          </cell>
          <cell r="R860">
            <v>23.856655279999998</v>
          </cell>
          <cell r="S860">
            <v>24.2481829</v>
          </cell>
          <cell r="T860">
            <v>24.642456760000002</v>
          </cell>
          <cell r="U860">
            <v>25.039962710000001</v>
          </cell>
          <cell r="V860">
            <v>25.4219537</v>
          </cell>
          <cell r="W860">
            <v>25.819437229999998</v>
          </cell>
          <cell r="X860">
            <v>26.224551129999998</v>
          </cell>
          <cell r="Y860">
            <v>26.636406239999999</v>
          </cell>
          <cell r="Z860">
            <v>27.055129869999998</v>
          </cell>
          <cell r="AA860">
            <v>27.425304740000001</v>
          </cell>
          <cell r="AB860">
            <v>27.80959227</v>
          </cell>
          <cell r="AC860">
            <v>28.198469490000001</v>
          </cell>
          <cell r="AD860">
            <v>28.59193664</v>
          </cell>
          <cell r="AE860">
            <v>28.991210670000001</v>
          </cell>
          <cell r="AF860">
            <v>29.39744584</v>
          </cell>
          <cell r="AG860">
            <v>29.812150760000002</v>
          </cell>
          <cell r="AH860">
            <v>30.235470159999998</v>
          </cell>
          <cell r="AI860">
            <v>30.66773276</v>
          </cell>
          <cell r="AJ860">
            <v>31.109154920000002</v>
          </cell>
          <cell r="AK860">
            <v>31.559848649999999</v>
          </cell>
          <cell r="AL860">
            <v>32.011809309999997</v>
          </cell>
          <cell r="AM860">
            <v>32.468287230000001</v>
          </cell>
          <cell r="AN860">
            <v>32.93061024</v>
          </cell>
          <cell r="AO860">
            <v>33.399635969999999</v>
          </cell>
          <cell r="AP860">
            <v>33.876050739999997</v>
          </cell>
          <cell r="AQ860">
            <v>34.361295810000001</v>
          </cell>
          <cell r="AR860">
            <v>34.85514749</v>
          </cell>
          <cell r="AS860">
            <v>35.357824839999999</v>
          </cell>
          <cell r="AT860">
            <v>35.869515509999999</v>
          </cell>
          <cell r="AU860">
            <v>36.390337989999999</v>
          </cell>
          <cell r="AV860">
            <v>36.924588739999997</v>
          </cell>
          <cell r="AW860">
            <v>37.46939897</v>
          </cell>
          <cell r="AX860">
            <v>38.024261060000001</v>
          </cell>
          <cell r="AY860">
            <v>38.588986179999999</v>
          </cell>
          <cell r="AZ860">
            <v>39.163451989999999</v>
          </cell>
          <cell r="BA860">
            <v>39.749461230000001</v>
          </cell>
          <cell r="BB860">
            <v>40.345583179999998</v>
          </cell>
          <cell r="BC860">
            <v>40.951609019999999</v>
          </cell>
          <cell r="BD860">
            <v>41.567518659999998</v>
          </cell>
          <cell r="BE860">
            <v>42.193350979999998</v>
          </cell>
        </row>
        <row r="862">
          <cell r="A862" t="str">
            <v>ems_ci_co2_spri_2</v>
          </cell>
          <cell r="B862">
            <v>31.301746210000001</v>
          </cell>
          <cell r="C862">
            <v>31.20499337</v>
          </cell>
          <cell r="D862">
            <v>31.305494400000001</v>
          </cell>
          <cell r="E862">
            <v>31.495796510000002</v>
          </cell>
          <cell r="F862">
            <v>31.762755309999999</v>
          </cell>
          <cell r="G862">
            <v>32.106653770000001</v>
          </cell>
          <cell r="H862">
            <v>32.506169079999999</v>
          </cell>
          <cell r="I862">
            <v>32.960252189999999</v>
          </cell>
          <cell r="J862">
            <v>33.462439400000001</v>
          </cell>
          <cell r="K862">
            <v>34.005231190000003</v>
          </cell>
          <cell r="L862">
            <v>34.612973410000002</v>
          </cell>
          <cell r="M862">
            <v>35.23719242</v>
          </cell>
          <cell r="N862">
            <v>35.878176410000002</v>
          </cell>
          <cell r="O862">
            <v>36.533557299999998</v>
          </cell>
          <cell r="P862">
            <v>37.20054356</v>
          </cell>
          <cell r="Q862">
            <v>37.876806799999997</v>
          </cell>
          <cell r="R862">
            <v>38.562288629999998</v>
          </cell>
          <cell r="S862">
            <v>39.253484370000002</v>
          </cell>
          <cell r="T862">
            <v>39.9494939</v>
          </cell>
          <cell r="U862">
            <v>40.649975470000001</v>
          </cell>
          <cell r="V862">
            <v>41.331115240000003</v>
          </cell>
          <cell r="W862">
            <v>42.026013640000002</v>
          </cell>
          <cell r="X862">
            <v>42.729689270000001</v>
          </cell>
          <cell r="Y862">
            <v>43.441192620000002</v>
          </cell>
          <cell r="Z862">
            <v>44.160655689999999</v>
          </cell>
          <cell r="AA862">
            <v>44.819325630000002</v>
          </cell>
          <cell r="AB862">
            <v>45.479396809999997</v>
          </cell>
          <cell r="AC862">
            <v>46.139413689999998</v>
          </cell>
          <cell r="AD862">
            <v>46.800841419999998</v>
          </cell>
          <cell r="AE862">
            <v>47.466017460000003</v>
          </cell>
          <cell r="AF862">
            <v>48.137174330000001</v>
          </cell>
          <cell r="AG862">
            <v>48.815528710000002</v>
          </cell>
          <cell r="AH862">
            <v>49.503334729999999</v>
          </cell>
          <cell r="AI862">
            <v>50.20180439</v>
          </cell>
          <cell r="AJ862">
            <v>50.911793520000003</v>
          </cell>
          <cell r="AK862">
            <v>51.633918610000002</v>
          </cell>
          <cell r="AL862">
            <v>52.345320780000002</v>
          </cell>
          <cell r="AM862">
            <v>53.059853689999997</v>
          </cell>
          <cell r="AN862">
            <v>53.7808189</v>
          </cell>
          <cell r="AO862">
            <v>54.509752149999997</v>
          </cell>
          <cell r="AP862">
            <v>55.247743800000002</v>
          </cell>
          <cell r="AQ862">
            <v>55.994519959999998</v>
          </cell>
          <cell r="AR862">
            <v>56.751998800000003</v>
          </cell>
          <cell r="AS862">
            <v>57.52078101</v>
          </cell>
          <cell r="AT862">
            <v>58.301200180000002</v>
          </cell>
          <cell r="AU862">
            <v>59.093455990000002</v>
          </cell>
          <cell r="AV862">
            <v>59.8950362</v>
          </cell>
          <cell r="AW862">
            <v>60.709897089999998</v>
          </cell>
          <cell r="AX862">
            <v>61.538175260000003</v>
          </cell>
          <cell r="AY862">
            <v>62.379637639999999</v>
          </cell>
          <cell r="AZ862">
            <v>63.234017860000002</v>
          </cell>
          <cell r="BA862">
            <v>64.098313640000001</v>
          </cell>
          <cell r="BB862">
            <v>64.975283790000006</v>
          </cell>
          <cell r="BC862">
            <v>65.865052090000006</v>
          </cell>
          <cell r="BD862">
            <v>66.767518229999993</v>
          </cell>
          <cell r="BE862">
            <v>67.682605649999999</v>
          </cell>
        </row>
        <row r="864">
          <cell r="A864" t="str">
            <v>ems_ci_co2_spub_2</v>
          </cell>
          <cell r="B864">
            <v>14.34150472</v>
          </cell>
          <cell r="C864">
            <v>14.481514280000001</v>
          </cell>
          <cell r="D864">
            <v>14.64016093</v>
          </cell>
          <cell r="E864">
            <v>14.805366920000001</v>
          </cell>
          <cell r="F864">
            <v>14.982003669999999</v>
          </cell>
          <cell r="G864">
            <v>15.17439063</v>
          </cell>
          <cell r="H864">
            <v>15.37157242</v>
          </cell>
          <cell r="I864">
            <v>15.58260383</v>
          </cell>
          <cell r="J864">
            <v>15.80730411</v>
          </cell>
          <cell r="K864">
            <v>16.044242529999998</v>
          </cell>
          <cell r="L864">
            <v>16.313535999999999</v>
          </cell>
          <cell r="M864">
            <v>16.57532621</v>
          </cell>
          <cell r="N864">
            <v>16.843128620000002</v>
          </cell>
          <cell r="O864">
            <v>17.117726919999999</v>
          </cell>
          <cell r="P864">
            <v>17.39845133</v>
          </cell>
          <cell r="Q864">
            <v>17.684587690000001</v>
          </cell>
          <cell r="R864">
            <v>17.975321520000001</v>
          </cell>
          <cell r="S864">
            <v>18.27020057</v>
          </cell>
          <cell r="T864">
            <v>18.568838719999999</v>
          </cell>
          <cell r="U864">
            <v>18.870952670000001</v>
          </cell>
          <cell r="V864">
            <v>19.160144089999999</v>
          </cell>
          <cell r="W864">
            <v>19.465105600000001</v>
          </cell>
          <cell r="X864">
            <v>19.77483836</v>
          </cell>
          <cell r="Y864">
            <v>20.08804825</v>
          </cell>
          <cell r="Z864">
            <v>20.404674750000002</v>
          </cell>
          <cell r="AA864">
            <v>20.677758520000001</v>
          </cell>
          <cell r="AB864">
            <v>20.968769720000001</v>
          </cell>
          <cell r="AC864">
            <v>21.263048730000001</v>
          </cell>
          <cell r="AD864">
            <v>21.55913297</v>
          </cell>
          <cell r="AE864">
            <v>21.8572433</v>
          </cell>
          <cell r="AF864">
            <v>22.157792239999999</v>
          </cell>
          <cell r="AG864">
            <v>22.461225420000002</v>
          </cell>
          <cell r="AH864">
            <v>22.76790213</v>
          </cell>
          <cell r="AI864">
            <v>23.078153390000001</v>
          </cell>
          <cell r="AJ864">
            <v>23.392270270000001</v>
          </cell>
          <cell r="AK864">
            <v>23.7105034</v>
          </cell>
          <cell r="AL864">
            <v>24.02200341</v>
          </cell>
          <cell r="AM864">
            <v>24.335616730000002</v>
          </cell>
          <cell r="AN864">
            <v>24.652614660000001</v>
          </cell>
          <cell r="AO864">
            <v>24.973318840000001</v>
          </cell>
          <cell r="AP864">
            <v>25.297922159999999</v>
          </cell>
          <cell r="AQ864">
            <v>25.626642390000001</v>
          </cell>
          <cell r="AR864">
            <v>25.959611519999999</v>
          </cell>
          <cell r="AS864">
            <v>26.296959170000001</v>
          </cell>
          <cell r="AT864">
            <v>26.638796320000001</v>
          </cell>
          <cell r="AU864">
            <v>26.985215369999999</v>
          </cell>
          <cell r="AV864">
            <v>27.337503219999999</v>
          </cell>
          <cell r="AW864">
            <v>27.694892100000001</v>
          </cell>
          <cell r="AX864">
            <v>28.057349689999999</v>
          </cell>
          <cell r="AY864">
            <v>28.42491145</v>
          </cell>
          <cell r="AZ864">
            <v>28.79760258</v>
          </cell>
          <cell r="BA864">
            <v>29.175546099999998</v>
          </cell>
          <cell r="BB864">
            <v>29.558731359999999</v>
          </cell>
          <cell r="BC864">
            <v>29.94718752</v>
          </cell>
          <cell r="BD864">
            <v>30.340946819999999</v>
          </cell>
          <cell r="BE864">
            <v>30.74004158</v>
          </cell>
        </row>
        <row r="866">
          <cell r="A866" t="str">
            <v>ems_ci_co2_smin_2</v>
          </cell>
          <cell r="B866">
            <v>1.0505646259999999</v>
          </cell>
          <cell r="C866">
            <v>1.0362059560000001</v>
          </cell>
          <cell r="D866">
            <v>1.039066995</v>
          </cell>
          <cell r="E866">
            <v>1.047765302</v>
          </cell>
          <cell r="F866">
            <v>1.0592691190000001</v>
          </cell>
          <cell r="G866">
            <v>1.0726347810000001</v>
          </cell>
          <cell r="H866">
            <v>1.0867745470000001</v>
          </cell>
          <cell r="I866">
            <v>1.1016946400000001</v>
          </cell>
          <cell r="J866">
            <v>1.11726996</v>
          </cell>
          <cell r="K866">
            <v>1.133357674</v>
          </cell>
          <cell r="L866">
            <v>1.1508676200000001</v>
          </cell>
          <cell r="M866">
            <v>1.168007625</v>
          </cell>
          <cell r="N866">
            <v>1.185109414</v>
          </cell>
          <cell r="O866">
            <v>1.2022448670000001</v>
          </cell>
          <cell r="P866">
            <v>1.2194171359999999</v>
          </cell>
          <cell r="Q866">
            <v>1.236624363</v>
          </cell>
          <cell r="R866">
            <v>1.253765915</v>
          </cell>
          <cell r="S866">
            <v>1.2709357670000001</v>
          </cell>
          <cell r="T866">
            <v>1.2881791659999999</v>
          </cell>
          <cell r="U866">
            <v>1.305531035</v>
          </cell>
          <cell r="V866">
            <v>1.3222656310000001</v>
          </cell>
          <cell r="W866">
            <v>1.3395741489999999</v>
          </cell>
          <cell r="X866">
            <v>1.3572411680000001</v>
          </cell>
          <cell r="Y866">
            <v>1.3752154110000001</v>
          </cell>
          <cell r="Z866">
            <v>1.393497534</v>
          </cell>
          <cell r="AA866">
            <v>1.4099298199999999</v>
          </cell>
          <cell r="AB866">
            <v>1.4268449540000001</v>
          </cell>
          <cell r="AC866">
            <v>1.4440497080000001</v>
          </cell>
          <cell r="AD866">
            <v>1.461520218</v>
          </cell>
          <cell r="AE866">
            <v>1.479285792</v>
          </cell>
          <cell r="AF866">
            <v>1.497380599</v>
          </cell>
          <cell r="AG866">
            <v>1.5158549960000001</v>
          </cell>
          <cell r="AH866">
            <v>1.5347086590000001</v>
          </cell>
          <cell r="AI866">
            <v>1.5539446729999999</v>
          </cell>
          <cell r="AJ866">
            <v>1.5735624159999999</v>
          </cell>
          <cell r="AK866">
            <v>1.5935572549999999</v>
          </cell>
          <cell r="AL866">
            <v>1.613616326</v>
          </cell>
          <cell r="AM866">
            <v>1.6338449859999999</v>
          </cell>
          <cell r="AN866">
            <v>1.654294709</v>
          </cell>
          <cell r="AO866">
            <v>1.674992037</v>
          </cell>
          <cell r="AP866">
            <v>1.6959540099999999</v>
          </cell>
          <cell r="AQ866">
            <v>1.717226702</v>
          </cell>
          <cell r="AR866">
            <v>1.738795154</v>
          </cell>
          <cell r="AS866">
            <v>1.7606578399999999</v>
          </cell>
          <cell r="AT866">
            <v>1.7828146330000001</v>
          </cell>
          <cell r="AU866">
            <v>1.8052642800000001</v>
          </cell>
          <cell r="AV866">
            <v>1.8281662700000001</v>
          </cell>
          <cell r="AW866">
            <v>1.851415762</v>
          </cell>
          <cell r="AX866">
            <v>1.8749790639999999</v>
          </cell>
          <cell r="AY866">
            <v>1.8988421900000001</v>
          </cell>
          <cell r="AZ866">
            <v>1.922997211</v>
          </cell>
          <cell r="BA866">
            <v>1.9475115489999999</v>
          </cell>
          <cell r="BB866">
            <v>1.97233372</v>
          </cell>
          <cell r="BC866">
            <v>1.9974497330000001</v>
          </cell>
          <cell r="BD866">
            <v>2.0228564470000001</v>
          </cell>
          <cell r="BE866">
            <v>2.0485545850000002</v>
          </cell>
        </row>
        <row r="868">
          <cell r="A868" t="str">
            <v>ems_ci_co2_soil_2</v>
          </cell>
          <cell r="B868">
            <v>16.624690189999999</v>
          </cell>
          <cell r="C868">
            <v>16.348668100000001</v>
          </cell>
          <cell r="D868">
            <v>16.337373360000001</v>
          </cell>
          <cell r="E868">
            <v>16.394483579999999</v>
          </cell>
          <cell r="F868">
            <v>16.485784519999999</v>
          </cell>
          <cell r="G868">
            <v>16.603842</v>
          </cell>
          <cell r="H868">
            <v>16.735372229999999</v>
          </cell>
          <cell r="I868">
            <v>16.881896950000002</v>
          </cell>
          <cell r="J868">
            <v>17.041439960000002</v>
          </cell>
          <cell r="K868">
            <v>17.211571129999999</v>
          </cell>
          <cell r="L868">
            <v>17.404487629999998</v>
          </cell>
          <cell r="M868">
            <v>17.593576850000002</v>
          </cell>
          <cell r="N868">
            <v>17.785210240000001</v>
          </cell>
          <cell r="O868">
            <v>17.980136860000002</v>
          </cell>
          <cell r="P868">
            <v>18.177977819999999</v>
          </cell>
          <cell r="Q868">
            <v>18.378266750000002</v>
          </cell>
          <cell r="R868">
            <v>18.57894851</v>
          </cell>
          <cell r="S868">
            <v>18.781132840000001</v>
          </cell>
          <cell r="T868">
            <v>18.985012569999999</v>
          </cell>
          <cell r="U868">
            <v>19.19063989</v>
          </cell>
          <cell r="V868">
            <v>19.38769418</v>
          </cell>
          <cell r="W868">
            <v>19.593082339999999</v>
          </cell>
          <cell r="X868">
            <v>19.802235889999999</v>
          </cell>
          <cell r="Y868">
            <v>20.014184319999998</v>
          </cell>
          <cell r="Z868">
            <v>20.228807209999999</v>
          </cell>
          <cell r="AA868">
            <v>20.416562840000001</v>
          </cell>
          <cell r="AB868">
            <v>20.612081679999999</v>
          </cell>
          <cell r="AC868">
            <v>20.810090110000001</v>
          </cell>
          <cell r="AD868">
            <v>21.00976481</v>
          </cell>
          <cell r="AE868">
            <v>21.211321829999999</v>
          </cell>
          <cell r="AF868">
            <v>21.41512504</v>
          </cell>
          <cell r="AG868">
            <v>21.621885240000001</v>
          </cell>
          <cell r="AH868">
            <v>21.831579380000001</v>
          </cell>
          <cell r="AI868">
            <v>22.044337649999999</v>
          </cell>
          <cell r="AJ868">
            <v>22.26027693</v>
          </cell>
          <cell r="AK868">
            <v>22.479476470000002</v>
          </cell>
          <cell r="AL868">
            <v>22.69831928</v>
          </cell>
          <cell r="AM868">
            <v>22.918561440000001</v>
          </cell>
          <cell r="AN868">
            <v>23.1408214</v>
          </cell>
          <cell r="AO868">
            <v>23.365397959999999</v>
          </cell>
          <cell r="AP868">
            <v>23.592500380000001</v>
          </cell>
          <cell r="AQ868">
            <v>23.822825949999999</v>
          </cell>
          <cell r="AR868">
            <v>24.05611656</v>
          </cell>
          <cell r="AS868">
            <v>24.292389369999999</v>
          </cell>
          <cell r="AT868">
            <v>24.531695070000001</v>
          </cell>
          <cell r="AU868">
            <v>24.774071280000001</v>
          </cell>
          <cell r="AV868">
            <v>25.021941389999999</v>
          </cell>
          <cell r="AW868">
            <v>25.273617120000001</v>
          </cell>
          <cell r="AX868">
            <v>25.528711390000002</v>
          </cell>
          <cell r="AY868">
            <v>25.78711114</v>
          </cell>
          <cell r="AZ868">
            <v>26.048759780000001</v>
          </cell>
          <cell r="BA868">
            <v>26.314724959999999</v>
          </cell>
          <cell r="BB868">
            <v>26.584159629999998</v>
          </cell>
          <cell r="BC868">
            <v>26.856871389999998</v>
          </cell>
          <cell r="BD868">
            <v>27.132811400000001</v>
          </cell>
          <cell r="BE868">
            <v>27.411966929999998</v>
          </cell>
        </row>
        <row r="870">
          <cell r="A870" t="str">
            <v>ems_ci_co2_sbfu_2</v>
          </cell>
          <cell r="B870">
            <v>3.8727373809999999</v>
          </cell>
          <cell r="C870">
            <v>3.810510641</v>
          </cell>
          <cell r="D870">
            <v>3.8026193579999998</v>
          </cell>
          <cell r="E870">
            <v>3.8087779020000001</v>
          </cell>
          <cell r="F870">
            <v>3.823695039</v>
          </cell>
          <cell r="G870">
            <v>3.8460622440000001</v>
          </cell>
          <cell r="H870">
            <v>3.872924705</v>
          </cell>
          <cell r="I870">
            <v>3.9041744899999999</v>
          </cell>
          <cell r="J870">
            <v>3.9390244060000001</v>
          </cell>
          <cell r="K870">
            <v>3.976734333</v>
          </cell>
          <cell r="L870">
            <v>4.0196122570000004</v>
          </cell>
          <cell r="M870">
            <v>4.0622082410000004</v>
          </cell>
          <cell r="N870">
            <v>4.1057933760000003</v>
          </cell>
          <cell r="O870">
            <v>4.1503842879999997</v>
          </cell>
          <cell r="P870">
            <v>4.1958204119999998</v>
          </cell>
          <cell r="Q870">
            <v>4.2419538750000001</v>
          </cell>
          <cell r="R870">
            <v>4.288336814</v>
          </cell>
          <cell r="S870">
            <v>4.335153805</v>
          </cell>
          <cell r="T870">
            <v>4.3823962390000002</v>
          </cell>
          <cell r="U870">
            <v>4.4300387109999999</v>
          </cell>
          <cell r="V870">
            <v>4.4759595140000004</v>
          </cell>
          <cell r="W870">
            <v>4.5235444459999998</v>
          </cell>
          <cell r="X870">
            <v>4.571806993</v>
          </cell>
          <cell r="Y870">
            <v>4.6205768620000001</v>
          </cell>
          <cell r="Z870">
            <v>4.6698351919999999</v>
          </cell>
          <cell r="AA870">
            <v>4.713577774</v>
          </cell>
          <cell r="AB870">
            <v>4.7587764659999996</v>
          </cell>
          <cell r="AC870">
            <v>4.8042216519999998</v>
          </cell>
          <cell r="AD870">
            <v>4.8497947049999999</v>
          </cell>
          <cell r="AE870">
            <v>4.8955755769999998</v>
          </cell>
          <cell r="AF870">
            <v>4.9416664780000001</v>
          </cell>
          <cell r="AG870">
            <v>4.9882306759999997</v>
          </cell>
          <cell r="AH870">
            <v>5.0352823349999998</v>
          </cell>
          <cell r="AI870">
            <v>5.082865934</v>
          </cell>
          <cell r="AJ870">
            <v>5.1310191520000004</v>
          </cell>
          <cell r="AK870">
            <v>5.1797695670000001</v>
          </cell>
          <cell r="AL870">
            <v>5.228357334</v>
          </cell>
          <cell r="AM870">
            <v>5.277148532</v>
          </cell>
          <cell r="AN870">
            <v>5.3262677920000003</v>
          </cell>
          <cell r="AO870">
            <v>5.3757839330000001</v>
          </cell>
          <cell r="AP870">
            <v>5.42575129</v>
          </cell>
          <cell r="AQ870">
            <v>5.4763185229999998</v>
          </cell>
          <cell r="AR870">
            <v>5.5274457159999999</v>
          </cell>
          <cell r="AS870">
            <v>5.5791501349999999</v>
          </cell>
          <cell r="AT870">
            <v>5.6314512839999997</v>
          </cell>
          <cell r="AU870">
            <v>5.6843630029999996</v>
          </cell>
          <cell r="AV870">
            <v>5.7383638259999996</v>
          </cell>
          <cell r="AW870">
            <v>5.7931179879999997</v>
          </cell>
          <cell r="AX870">
            <v>5.8485651069999998</v>
          </cell>
          <cell r="AY870">
            <v>5.9046880919999998</v>
          </cell>
          <cell r="AZ870">
            <v>5.9614756059999996</v>
          </cell>
          <cell r="BA870">
            <v>6.0191308389999998</v>
          </cell>
          <cell r="BB870">
            <v>6.077481079</v>
          </cell>
          <cell r="BC870">
            <v>6.1364919589999998</v>
          </cell>
          <cell r="BD870">
            <v>6.1961523229999997</v>
          </cell>
          <cell r="BE870">
            <v>6.2564557240000003</v>
          </cell>
        </row>
        <row r="872">
          <cell r="A872" t="str">
            <v>ems_ci_co2_seoi_2</v>
          </cell>
          <cell r="B872">
            <v>3.0489059319999998</v>
          </cell>
          <cell r="C872">
            <v>3.0302503490000001</v>
          </cell>
          <cell r="D872">
            <v>3.029153553</v>
          </cell>
          <cell r="E872">
            <v>3.03518402</v>
          </cell>
          <cell r="F872">
            <v>3.0463501900000001</v>
          </cell>
          <cell r="G872">
            <v>3.0622400679999999</v>
          </cell>
          <cell r="H872">
            <v>3.0807650230000001</v>
          </cell>
          <cell r="I872">
            <v>3.101915784</v>
          </cell>
          <cell r="J872">
            <v>3.1253143300000001</v>
          </cell>
          <cell r="K872">
            <v>3.1504058650000002</v>
          </cell>
          <cell r="L872">
            <v>3.1790300309999999</v>
          </cell>
          <cell r="M872">
            <v>3.2070454979999998</v>
          </cell>
          <cell r="N872">
            <v>3.2348805079999998</v>
          </cell>
          <cell r="O872">
            <v>3.2626604119999998</v>
          </cell>
          <cell r="P872">
            <v>3.290368006</v>
          </cell>
          <cell r="Q872">
            <v>3.3179704779999999</v>
          </cell>
          <cell r="R872">
            <v>3.3452464110000002</v>
          </cell>
          <cell r="S872">
            <v>3.3723196409999998</v>
          </cell>
          <cell r="T872">
            <v>3.39928323</v>
          </cell>
          <cell r="U872">
            <v>3.426220072</v>
          </cell>
          <cell r="V872">
            <v>3.4515115170000001</v>
          </cell>
          <cell r="W872">
            <v>3.4777969469999999</v>
          </cell>
          <cell r="X872">
            <v>3.5047045589999999</v>
          </cell>
          <cell r="Y872">
            <v>3.5321066280000002</v>
          </cell>
          <cell r="Z872">
            <v>3.5600051860000002</v>
          </cell>
          <cell r="AA872">
            <v>3.583612225</v>
          </cell>
          <cell r="AB872">
            <v>3.6080080959999998</v>
          </cell>
          <cell r="AC872">
            <v>3.6330234940000001</v>
          </cell>
          <cell r="AD872">
            <v>3.6586069640000001</v>
          </cell>
          <cell r="AE872">
            <v>3.684815666</v>
          </cell>
          <cell r="AF872">
            <v>3.7117269739999998</v>
          </cell>
          <cell r="AG872">
            <v>3.7394494850000002</v>
          </cell>
          <cell r="AH872">
            <v>3.7680114969999998</v>
          </cell>
          <cell r="AI872">
            <v>3.7974318870000001</v>
          </cell>
          <cell r="AJ872">
            <v>3.8277190110000001</v>
          </cell>
          <cell r="AK872">
            <v>3.8588714639999999</v>
          </cell>
          <cell r="AL872">
            <v>3.890107472</v>
          </cell>
          <cell r="AM872">
            <v>3.9218006230000002</v>
          </cell>
          <cell r="AN872">
            <v>3.9540970739999999</v>
          </cell>
          <cell r="AO872">
            <v>3.9870490630000002</v>
          </cell>
          <cell r="AP872">
            <v>4.0206806840000002</v>
          </cell>
          <cell r="AQ872">
            <v>4.0550607589999998</v>
          </cell>
          <cell r="AR872">
            <v>4.0901740870000003</v>
          </cell>
          <cell r="AS872">
            <v>4.1260104149999997</v>
          </cell>
          <cell r="AT872">
            <v>4.1625614019999997</v>
          </cell>
          <cell r="AU872">
            <v>4.1998186090000003</v>
          </cell>
          <cell r="AV872">
            <v>4.2380518550000001</v>
          </cell>
          <cell r="AW872">
            <v>4.2771318049999998</v>
          </cell>
          <cell r="AX872">
            <v>4.3169849009999997</v>
          </cell>
          <cell r="AY872">
            <v>4.3575689320000004</v>
          </cell>
          <cell r="AZ872">
            <v>4.3988572670000003</v>
          </cell>
          <cell r="BA872">
            <v>4.4409397320000004</v>
          </cell>
          <cell r="BB872">
            <v>4.4837651090000001</v>
          </cell>
          <cell r="BC872">
            <v>4.5273041469999997</v>
          </cell>
          <cell r="BD872">
            <v>4.571543052</v>
          </cell>
          <cell r="BE872">
            <v>4.616477894</v>
          </cell>
        </row>
        <row r="874">
          <cell r="A874" t="str">
            <v>ems_ci_co2_sega_2</v>
          </cell>
          <cell r="B874">
            <v>3.6073908229999998</v>
          </cell>
          <cell r="C874">
            <v>3.5853184759999999</v>
          </cell>
          <cell r="D874">
            <v>3.584021452</v>
          </cell>
          <cell r="E874">
            <v>3.5911572180000002</v>
          </cell>
          <cell r="F874">
            <v>3.6043692699999998</v>
          </cell>
          <cell r="G874">
            <v>3.6231700610000002</v>
          </cell>
          <cell r="H874">
            <v>3.6450883479999998</v>
          </cell>
          <cell r="I874">
            <v>3.6701131779999998</v>
          </cell>
          <cell r="J874">
            <v>3.697797322</v>
          </cell>
          <cell r="K874">
            <v>3.727484408</v>
          </cell>
          <cell r="L874">
            <v>3.7613510859999999</v>
          </cell>
          <cell r="M874">
            <v>3.794497496</v>
          </cell>
          <cell r="N874">
            <v>3.8274303729999999</v>
          </cell>
          <cell r="O874">
            <v>3.8602980659999999</v>
          </cell>
          <cell r="P874">
            <v>3.8930802469999999</v>
          </cell>
          <cell r="Q874">
            <v>3.925738113</v>
          </cell>
          <cell r="R874">
            <v>3.9580097009999999</v>
          </cell>
          <cell r="S874">
            <v>3.9900415389999999</v>
          </cell>
          <cell r="T874">
            <v>4.021943738</v>
          </cell>
          <cell r="U874">
            <v>4.0538143729999998</v>
          </cell>
          <cell r="V874">
            <v>4.083738307</v>
          </cell>
          <cell r="W874">
            <v>4.1148383720000004</v>
          </cell>
          <cell r="X874">
            <v>4.1466746470000002</v>
          </cell>
          <cell r="Y874">
            <v>4.1790959970000001</v>
          </cell>
          <cell r="Z874">
            <v>4.2121048190000003</v>
          </cell>
          <cell r="AA874">
            <v>4.2400360920000004</v>
          </cell>
          <cell r="AB874">
            <v>4.2689007380000001</v>
          </cell>
          <cell r="AC874">
            <v>4.298498425</v>
          </cell>
          <cell r="AD874">
            <v>4.3287682570000001</v>
          </cell>
          <cell r="AE874">
            <v>4.3597778519999997</v>
          </cell>
          <cell r="AF874">
            <v>4.3916187459999998</v>
          </cell>
          <cell r="AG874">
            <v>4.4244194219999997</v>
          </cell>
          <cell r="AH874">
            <v>4.4582133529999997</v>
          </cell>
          <cell r="AI874">
            <v>4.4930228699999999</v>
          </cell>
          <cell r="AJ874">
            <v>4.5288578560000001</v>
          </cell>
          <cell r="AK874">
            <v>4.5657166489999996</v>
          </cell>
          <cell r="AL874">
            <v>4.6026742780000003</v>
          </cell>
          <cell r="AM874">
            <v>4.640172765</v>
          </cell>
          <cell r="AN874">
            <v>4.6783850429999996</v>
          </cell>
          <cell r="AO874">
            <v>4.7173729189999998</v>
          </cell>
          <cell r="AP874">
            <v>4.7571649000000003</v>
          </cell>
          <cell r="AQ874">
            <v>4.797842417</v>
          </cell>
          <cell r="AR874">
            <v>4.8393874859999997</v>
          </cell>
          <cell r="AS874">
            <v>4.8817879780000002</v>
          </cell>
          <cell r="AT874">
            <v>4.9250340250000004</v>
          </cell>
          <cell r="AU874">
            <v>4.9691156449999996</v>
          </cell>
          <cell r="AV874">
            <v>5.0143520810000002</v>
          </cell>
          <cell r="AW874">
            <v>5.0605903080000001</v>
          </cell>
          <cell r="AX874">
            <v>5.1077432959999998</v>
          </cell>
          <cell r="AY874">
            <v>5.1557611039999998</v>
          </cell>
          <cell r="AZ874">
            <v>5.204612225</v>
          </cell>
          <cell r="BA874">
            <v>5.2544029410000004</v>
          </cell>
          <cell r="BB874">
            <v>5.3050726509999997</v>
          </cell>
          <cell r="BC874">
            <v>5.356586751</v>
          </cell>
          <cell r="BD874">
            <v>5.408928918</v>
          </cell>
          <cell r="BE874">
            <v>5.4620945059999997</v>
          </cell>
        </row>
        <row r="876">
          <cell r="A876" t="str">
            <v>ems_ci_co2_seco_2</v>
          </cell>
          <cell r="B876">
            <v>7.4358234159999999</v>
          </cell>
          <cell r="C876">
            <v>7.390326247</v>
          </cell>
          <cell r="D876">
            <v>7.3876527230000004</v>
          </cell>
          <cell r="E876">
            <v>7.4023614960000002</v>
          </cell>
          <cell r="F876">
            <v>7.4295951660000004</v>
          </cell>
          <cell r="G876">
            <v>7.4683487609999997</v>
          </cell>
          <cell r="H876">
            <v>7.5135283709999996</v>
          </cell>
          <cell r="I876">
            <v>7.56511142</v>
          </cell>
          <cell r="J876">
            <v>7.6221760459999999</v>
          </cell>
          <cell r="K876">
            <v>7.6833692840000003</v>
          </cell>
          <cell r="L876">
            <v>7.7531778100000004</v>
          </cell>
          <cell r="M876">
            <v>7.8215016669999997</v>
          </cell>
          <cell r="N876">
            <v>7.8893853719999996</v>
          </cell>
          <cell r="O876">
            <v>7.9571347159999997</v>
          </cell>
          <cell r="P876">
            <v>8.0247077959999995</v>
          </cell>
          <cell r="Q876">
            <v>8.0920246280000008</v>
          </cell>
          <cell r="R876">
            <v>8.1585452370000002</v>
          </cell>
          <cell r="S876">
            <v>8.2245716550000001</v>
          </cell>
          <cell r="T876">
            <v>8.2903308500000001</v>
          </cell>
          <cell r="U876">
            <v>8.3560249829999993</v>
          </cell>
          <cell r="V876">
            <v>8.4177064309999992</v>
          </cell>
          <cell r="W876">
            <v>8.4818122070000008</v>
          </cell>
          <cell r="X876">
            <v>8.5474355150000001</v>
          </cell>
          <cell r="Y876">
            <v>8.6142648249999993</v>
          </cell>
          <cell r="Z876">
            <v>8.6823050740000003</v>
          </cell>
          <cell r="AA876">
            <v>8.7398790989999995</v>
          </cell>
          <cell r="AB876">
            <v>8.7993770639999997</v>
          </cell>
          <cell r="AC876">
            <v>8.8603860280000006</v>
          </cell>
          <cell r="AD876">
            <v>8.9227804670000008</v>
          </cell>
          <cell r="AE876">
            <v>8.9866997610000006</v>
          </cell>
          <cell r="AF876">
            <v>9.0523325890000006</v>
          </cell>
          <cell r="AG876">
            <v>9.1199437910000007</v>
          </cell>
          <cell r="AH876">
            <v>9.1896023670000009</v>
          </cell>
          <cell r="AI876">
            <v>9.2613543430000007</v>
          </cell>
          <cell r="AJ876">
            <v>9.3352200930000002</v>
          </cell>
          <cell r="AK876">
            <v>9.4111961910000002</v>
          </cell>
          <cell r="AL876">
            <v>9.4873760150000006</v>
          </cell>
          <cell r="AM876">
            <v>9.5646706990000006</v>
          </cell>
          <cell r="AN876">
            <v>9.6434367000000005</v>
          </cell>
          <cell r="AO876">
            <v>9.7238014219999993</v>
          </cell>
          <cell r="AP876">
            <v>9.8058236250000004</v>
          </cell>
          <cell r="AQ876">
            <v>9.8896711620000008</v>
          </cell>
          <cell r="AR876">
            <v>9.9753069619999994</v>
          </cell>
          <cell r="AS876">
            <v>10.06270602</v>
          </cell>
          <cell r="AT876">
            <v>10.151847999999999</v>
          </cell>
          <cell r="AU876">
            <v>10.24271233</v>
          </cell>
          <cell r="AV876">
            <v>10.335957049999999</v>
          </cell>
          <cell r="AW876">
            <v>10.43126674</v>
          </cell>
          <cell r="AX876">
            <v>10.528461999999999</v>
          </cell>
          <cell r="AY876">
            <v>10.62743989</v>
          </cell>
          <cell r="AZ876">
            <v>10.72813547</v>
          </cell>
          <cell r="BA876">
            <v>10.83076782</v>
          </cell>
          <cell r="BB876">
            <v>10.935212010000001</v>
          </cell>
          <cell r="BC876">
            <v>11.04139672</v>
          </cell>
          <cell r="BD876">
            <v>11.1492883</v>
          </cell>
          <cell r="BE876">
            <v>11.258877180000001</v>
          </cell>
        </row>
        <row r="878">
          <cell r="A878" t="str">
            <v>ems_ci_co2_sech_2</v>
          </cell>
          <cell r="B878">
            <v>9.6588980180000004</v>
          </cell>
          <cell r="C878">
            <v>9.6742374019999993</v>
          </cell>
          <cell r="D878">
            <v>9.7184838790000008</v>
          </cell>
          <cell r="E878">
            <v>9.7723353379999995</v>
          </cell>
          <cell r="F878">
            <v>9.8336129260000007</v>
          </cell>
          <cell r="G878">
            <v>9.9035726460000006</v>
          </cell>
          <cell r="H878">
            <v>9.9772171180000004</v>
          </cell>
          <cell r="I878">
            <v>10.05364683</v>
          </cell>
          <cell r="J878">
            <v>10.13184935</v>
          </cell>
          <cell r="K878">
            <v>10.211299350000001</v>
          </cell>
          <cell r="L878">
            <v>10.302994180000001</v>
          </cell>
          <cell r="M878">
            <v>10.389338009999999</v>
          </cell>
          <cell r="N878">
            <v>10.472886109999999</v>
          </cell>
          <cell r="O878">
            <v>10.555364770000001</v>
          </cell>
          <cell r="P878">
            <v>10.63746768</v>
          </cell>
          <cell r="Q878">
            <v>10.71943214</v>
          </cell>
          <cell r="R878">
            <v>10.800637829999999</v>
          </cell>
          <cell r="S878">
            <v>10.88144574</v>
          </cell>
          <cell r="T878">
            <v>10.96210048</v>
          </cell>
          <cell r="U878">
            <v>11.04276969</v>
          </cell>
          <cell r="V878">
            <v>11.11592431</v>
          </cell>
          <cell r="W878">
            <v>11.1931929</v>
          </cell>
          <cell r="X878">
            <v>11.27302692</v>
          </cell>
          <cell r="Y878">
            <v>11.35440073</v>
          </cell>
          <cell r="Z878">
            <v>11.43693281</v>
          </cell>
          <cell r="AA878">
            <v>11.49927798</v>
          </cell>
          <cell r="AB878">
            <v>11.563551370000001</v>
          </cell>
          <cell r="AC878">
            <v>11.62989177</v>
          </cell>
          <cell r="AD878">
            <v>11.69781628</v>
          </cell>
          <cell r="AE878">
            <v>11.76717996</v>
          </cell>
          <cell r="AF878">
            <v>11.83799879</v>
          </cell>
          <cell r="AG878">
            <v>11.910491820000001</v>
          </cell>
          <cell r="AH878">
            <v>11.984655070000001</v>
          </cell>
          <cell r="AI878">
            <v>12.060490890000001</v>
          </cell>
          <cell r="AJ878">
            <v>12.138003360000001</v>
          </cell>
          <cell r="AK878">
            <v>12.217189510000001</v>
          </cell>
          <cell r="AL878">
            <v>12.29467955</v>
          </cell>
          <cell r="AM878">
            <v>12.372178419999999</v>
          </cell>
          <cell r="AN878">
            <v>12.45053283</v>
          </cell>
          <cell r="AO878">
            <v>12.530087290000001</v>
          </cell>
          <cell r="AP878">
            <v>12.610984159999999</v>
          </cell>
          <cell r="AQ878">
            <v>12.693496530000001</v>
          </cell>
          <cell r="AR878">
            <v>12.777561629999999</v>
          </cell>
          <cell r="AS878">
            <v>12.863126080000001</v>
          </cell>
          <cell r="AT878">
            <v>12.950156160000001</v>
          </cell>
          <cell r="AU878">
            <v>13.038627869999999</v>
          </cell>
          <cell r="AV878">
            <v>13.12962053</v>
          </cell>
          <cell r="AW878">
            <v>13.22263774</v>
          </cell>
          <cell r="AX878">
            <v>13.31735638</v>
          </cell>
          <cell r="AY878">
            <v>13.41361026</v>
          </cell>
          <cell r="AZ878">
            <v>13.511314280000001</v>
          </cell>
          <cell r="BA878">
            <v>13.610851520000001</v>
          </cell>
          <cell r="BB878">
            <v>13.7120318</v>
          </cell>
          <cell r="BC878">
            <v>13.81472591</v>
          </cell>
          <cell r="BD878">
            <v>13.91887324</v>
          </cell>
          <cell r="BE878">
            <v>14.024453380000001</v>
          </cell>
        </row>
        <row r="880">
          <cell r="A880" t="str">
            <v>ems_ci_co2_seot_2</v>
          </cell>
          <cell r="B880">
            <v>1.322871525</v>
          </cell>
          <cell r="C880">
            <v>1.3147358039999999</v>
          </cell>
          <cell r="D880">
            <v>1.3140548409999999</v>
          </cell>
          <cell r="E880">
            <v>1.316273689</v>
          </cell>
          <cell r="F880">
            <v>1.320570893</v>
          </cell>
          <cell r="G880">
            <v>1.3268332270000001</v>
          </cell>
          <cell r="H880">
            <v>1.3342167620000001</v>
          </cell>
          <cell r="I880">
            <v>1.3427639769999999</v>
          </cell>
          <cell r="J880">
            <v>1.3523422519999999</v>
          </cell>
          <cell r="K880">
            <v>1.362730056</v>
          </cell>
          <cell r="L880">
            <v>1.3747343540000001</v>
          </cell>
          <cell r="M880">
            <v>1.38656943</v>
          </cell>
          <cell r="N880">
            <v>1.3984193869999999</v>
          </cell>
          <cell r="O880">
            <v>1.410333335</v>
          </cell>
          <cell r="P880">
            <v>1.4222967179999999</v>
          </cell>
          <cell r="Q880">
            <v>1.4342871049999999</v>
          </cell>
          <cell r="R880">
            <v>1.446200624</v>
          </cell>
          <cell r="S880">
            <v>1.4580814499999999</v>
          </cell>
          <cell r="T880">
            <v>1.469960162</v>
          </cell>
          <cell r="U880">
            <v>1.4818632270000001</v>
          </cell>
          <cell r="V880">
            <v>1.4930800829999999</v>
          </cell>
          <cell r="W880">
            <v>1.504743127</v>
          </cell>
          <cell r="X880">
            <v>1.516684817</v>
          </cell>
          <cell r="Y880">
            <v>1.5288445310000001</v>
          </cell>
          <cell r="Z880">
            <v>1.5412186910000001</v>
          </cell>
          <cell r="AA880">
            <v>1.551725789</v>
          </cell>
          <cell r="AB880">
            <v>1.5625560940000001</v>
          </cell>
          <cell r="AC880">
            <v>1.573631118</v>
          </cell>
          <cell r="AD880">
            <v>1.5849258310000001</v>
          </cell>
          <cell r="AE880">
            <v>1.5964637639999999</v>
          </cell>
          <cell r="AF880">
            <v>1.608278291</v>
          </cell>
          <cell r="AG880">
            <v>1.62041693</v>
          </cell>
          <cell r="AH880">
            <v>1.6328933809999999</v>
          </cell>
          <cell r="AI880">
            <v>1.6457179319999999</v>
          </cell>
          <cell r="AJ880">
            <v>1.658896723</v>
          </cell>
          <cell r="AK880">
            <v>1.672431862</v>
          </cell>
          <cell r="AL880">
            <v>1.685983569</v>
          </cell>
          <cell r="AM880">
            <v>1.6997142670000001</v>
          </cell>
          <cell r="AN880">
            <v>1.71368885</v>
          </cell>
          <cell r="AO880">
            <v>1.72793201</v>
          </cell>
          <cell r="AP880">
            <v>1.742456349</v>
          </cell>
          <cell r="AQ880">
            <v>1.7572933079999999</v>
          </cell>
          <cell r="AR880">
            <v>1.7724381309999999</v>
          </cell>
          <cell r="AS880">
            <v>1.7878882140000001</v>
          </cell>
          <cell r="AT880">
            <v>1.803641662</v>
          </cell>
          <cell r="AU880">
            <v>1.81969637</v>
          </cell>
          <cell r="AV880">
            <v>1.836169052</v>
          </cell>
          <cell r="AW880">
            <v>1.8530047039999999</v>
          </cell>
          <cell r="AX880">
            <v>1.8701729410000001</v>
          </cell>
          <cell r="AY880">
            <v>1.8876569160000001</v>
          </cell>
          <cell r="AZ880">
            <v>1.905446277</v>
          </cell>
          <cell r="BA880">
            <v>1.923579699</v>
          </cell>
          <cell r="BB880">
            <v>1.942035352</v>
          </cell>
          <cell r="BC880">
            <v>1.9608011190000001</v>
          </cell>
          <cell r="BD880">
            <v>1.9798715140000001</v>
          </cell>
          <cell r="BE880">
            <v>1.9992451630000001</v>
          </cell>
        </row>
        <row r="882">
          <cell r="A882" t="str">
            <v>ems_y_co2_sagr_2</v>
          </cell>
          <cell r="B882">
            <v>2.75266352E-2</v>
          </cell>
          <cell r="C882">
            <v>2.7129689799999999E-2</v>
          </cell>
          <cell r="D882">
            <v>2.7215260299999999E-2</v>
          </cell>
          <cell r="E882">
            <v>2.73901387E-2</v>
          </cell>
          <cell r="F882">
            <v>2.7634350500000002E-2</v>
          </cell>
          <cell r="G882">
            <v>2.7937060199999999E-2</v>
          </cell>
          <cell r="H882">
            <v>2.8271389300000001E-2</v>
          </cell>
          <cell r="I882">
            <v>2.8638158300000001E-2</v>
          </cell>
          <cell r="J882">
            <v>2.90318278E-2</v>
          </cell>
          <cell r="K882">
            <v>2.9447331699999999E-2</v>
          </cell>
          <cell r="L882">
            <v>2.9909076999999999E-2</v>
          </cell>
          <cell r="M882">
            <v>3.03662528E-2</v>
          </cell>
          <cell r="N882">
            <v>3.0830247299999999E-2</v>
          </cell>
          <cell r="O882">
            <v>3.1299922700000003E-2</v>
          </cell>
          <cell r="P882">
            <v>3.17740933E-2</v>
          </cell>
          <cell r="Q882">
            <v>3.2252004899999999E-2</v>
          </cell>
          <cell r="R882">
            <v>3.2730684599999997E-2</v>
          </cell>
          <cell r="S882">
            <v>3.3212133900000003E-2</v>
          </cell>
          <cell r="T882">
            <v>3.3696673099999998E-2</v>
          </cell>
          <cell r="U882">
            <v>3.4184659499999999E-2</v>
          </cell>
          <cell r="V882">
            <v>3.4655369200000001E-2</v>
          </cell>
          <cell r="W882">
            <v>3.5141893799999997E-2</v>
          </cell>
          <cell r="X882">
            <v>3.5635747799999999E-2</v>
          </cell>
          <cell r="Y882">
            <v>3.6136634399999999E-2</v>
          </cell>
          <cell r="Z882">
            <v>3.6644622100000003E-2</v>
          </cell>
          <cell r="AA882">
            <v>3.7099255499999997E-2</v>
          </cell>
          <cell r="AB882">
            <v>3.7566372700000003E-2</v>
          </cell>
          <cell r="AC882">
            <v>3.8035221399999999E-2</v>
          </cell>
          <cell r="AD882">
            <v>3.8507340199999997E-2</v>
          </cell>
          <cell r="AE882">
            <v>3.8984489800000001E-2</v>
          </cell>
          <cell r="AF882">
            <v>3.9468124100000002E-2</v>
          </cell>
          <cell r="AG882">
            <v>3.9959889999999998E-2</v>
          </cell>
          <cell r="AH882">
            <v>4.0460038500000003E-2</v>
          </cell>
          <cell r="AI882">
            <v>4.0968946399999998E-2</v>
          </cell>
          <cell r="AJ882">
            <v>4.1486801900000002E-2</v>
          </cell>
          <cell r="AK882">
            <v>4.2013663899999998E-2</v>
          </cell>
          <cell r="AL882">
            <v>4.2540266100000002E-2</v>
          </cell>
          <cell r="AM882">
            <v>4.3070226099999998E-2</v>
          </cell>
          <cell r="AN882">
            <v>4.3604895300000002E-2</v>
          </cell>
          <cell r="AO882">
            <v>4.41452944E-2</v>
          </cell>
          <cell r="AP882">
            <v>4.4692274400000002E-2</v>
          </cell>
          <cell r="AQ882">
            <v>4.52473683E-2</v>
          </cell>
          <cell r="AR882">
            <v>4.5810489900000001E-2</v>
          </cell>
          <cell r="AS882">
            <v>4.6381965300000001E-2</v>
          </cell>
          <cell r="AT882">
            <v>4.6962005899999999E-2</v>
          </cell>
          <cell r="AU882">
            <v>4.7550722500000003E-2</v>
          </cell>
          <cell r="AV882">
            <v>4.8152292899999997E-2</v>
          </cell>
          <cell r="AW882">
            <v>4.8763917099999998E-2</v>
          </cell>
          <cell r="AX882">
            <v>4.9385214099999998E-2</v>
          </cell>
          <cell r="AY882">
            <v>5.0015908499999998E-2</v>
          </cell>
          <cell r="AZ882">
            <v>5.0655772699999997E-2</v>
          </cell>
          <cell r="BA882">
            <v>5.1306415600000002E-2</v>
          </cell>
          <cell r="BB882">
            <v>5.1966399199999999E-2</v>
          </cell>
          <cell r="BC882">
            <v>5.2635536599999998E-2</v>
          </cell>
          <cell r="BD882">
            <v>5.3313732000000003E-2</v>
          </cell>
          <cell r="BE882">
            <v>5.4000944000000002E-2</v>
          </cell>
        </row>
        <row r="883">
          <cell r="A883" t="str">
            <v>ems_mat_co2_spub_2</v>
          </cell>
          <cell r="B883">
            <v>4.284884538</v>
          </cell>
          <cell r="C883">
            <v>4.3339508819999999</v>
          </cell>
          <cell r="D883">
            <v>4.394061121</v>
          </cell>
          <cell r="E883">
            <v>4.4586816130000004</v>
          </cell>
          <cell r="F883">
            <v>4.5264665290000003</v>
          </cell>
          <cell r="G883">
            <v>4.5969839840000004</v>
          </cell>
          <cell r="H883">
            <v>4.6662307040000002</v>
          </cell>
          <cell r="I883">
            <v>4.7369161540000002</v>
          </cell>
          <cell r="J883">
            <v>4.8092489550000002</v>
          </cell>
          <cell r="K883">
            <v>4.8831403919999996</v>
          </cell>
          <cell r="L883">
            <v>4.9649516619999998</v>
          </cell>
          <cell r="M883">
            <v>5.042853494</v>
          </cell>
          <cell r="N883">
            <v>5.1212906150000004</v>
          </cell>
          <cell r="O883">
            <v>5.200799065</v>
          </cell>
          <cell r="P883">
            <v>5.2814304300000003</v>
          </cell>
          <cell r="Q883">
            <v>5.3631885490000002</v>
          </cell>
          <cell r="R883">
            <v>5.4460280939999999</v>
          </cell>
          <cell r="S883">
            <v>5.529994565</v>
          </cell>
          <cell r="T883">
            <v>5.6151202419999997</v>
          </cell>
          <cell r="U883">
            <v>5.7014347709999997</v>
          </cell>
          <cell r="V883">
            <v>5.7841480780000003</v>
          </cell>
          <cell r="W883">
            <v>5.8719975270000004</v>
          </cell>
          <cell r="X883">
            <v>5.9616681099999997</v>
          </cell>
          <cell r="Y883">
            <v>6.0527603130000003</v>
          </cell>
          <cell r="Z883">
            <v>6.1452429430000004</v>
          </cell>
          <cell r="AA883">
            <v>6.2251783429999996</v>
          </cell>
          <cell r="AB883">
            <v>6.3111936369999997</v>
          </cell>
          <cell r="AC883">
            <v>6.3988740560000004</v>
          </cell>
          <cell r="AD883">
            <v>6.4877355870000004</v>
          </cell>
          <cell r="AE883">
            <v>6.577786991</v>
          </cell>
          <cell r="AF883">
            <v>6.6690889340000004</v>
          </cell>
          <cell r="AG883">
            <v>6.7617075299999998</v>
          </cell>
          <cell r="AH883">
            <v>6.855677343</v>
          </cell>
          <cell r="AI883">
            <v>6.9510257610000004</v>
          </cell>
          <cell r="AJ883">
            <v>7.0477734920000001</v>
          </cell>
          <cell r="AK883">
            <v>7.1459369280000002</v>
          </cell>
          <cell r="AL883">
            <v>7.2422503559999996</v>
          </cell>
          <cell r="AM883">
            <v>7.339370411</v>
          </cell>
          <cell r="AN883">
            <v>7.4376673950000001</v>
          </cell>
          <cell r="AO883">
            <v>7.5372261549999999</v>
          </cell>
          <cell r="AP883">
            <v>7.638095292</v>
          </cell>
          <cell r="AQ883">
            <v>7.7403338359999996</v>
          </cell>
          <cell r="AR883">
            <v>7.8439697749999997</v>
          </cell>
          <cell r="AS883">
            <v>7.949030907</v>
          </cell>
          <cell r="AT883">
            <v>8.0555412299999993</v>
          </cell>
          <cell r="AU883">
            <v>8.1635209900000003</v>
          </cell>
          <cell r="AV883">
            <v>8.2733543940000001</v>
          </cell>
          <cell r="AW883">
            <v>8.3847837409999997</v>
          </cell>
          <cell r="AX883">
            <v>8.4977795799999996</v>
          </cell>
          <cell r="AY883">
            <v>8.6123443010000003</v>
          </cell>
          <cell r="AZ883">
            <v>8.7284862749999998</v>
          </cell>
          <cell r="BA883">
            <v>8.8462539660000008</v>
          </cell>
          <cell r="BB883">
            <v>8.9656430799999995</v>
          </cell>
          <cell r="BC883">
            <v>9.0866628019999993</v>
          </cell>
          <cell r="BD883">
            <v>9.209327407</v>
          </cell>
          <cell r="BE883">
            <v>9.3336540120000002</v>
          </cell>
        </row>
        <row r="884">
          <cell r="A884" t="str">
            <v>ems_mat_co2_sgla_2</v>
          </cell>
          <cell r="B884">
            <v>10.95195535</v>
          </cell>
          <cell r="C884">
            <v>10.879802809999999</v>
          </cell>
          <cell r="D884">
            <v>10.944966429999999</v>
          </cell>
          <cell r="E884">
            <v>11.05327812</v>
          </cell>
          <cell r="F884">
            <v>11.18435582</v>
          </cell>
          <cell r="G884">
            <v>11.331104010000001</v>
          </cell>
          <cell r="H884">
            <v>11.48402892</v>
          </cell>
          <cell r="I884">
            <v>11.643134140000001</v>
          </cell>
          <cell r="J884">
            <v>11.807685490000001</v>
          </cell>
          <cell r="K884">
            <v>11.97699654</v>
          </cell>
          <cell r="L884">
            <v>12.159932789999999</v>
          </cell>
          <cell r="M884">
            <v>12.341565879999999</v>
          </cell>
          <cell r="N884">
            <v>12.52465836</v>
          </cell>
          <cell r="O884">
            <v>12.709795400000001</v>
          </cell>
          <cell r="P884">
            <v>12.897141299999999</v>
          </cell>
          <cell r="Q884">
            <v>13.086821459999999</v>
          </cell>
          <cell r="R884">
            <v>13.278121710000001</v>
          </cell>
          <cell r="S884">
            <v>13.47185522</v>
          </cell>
          <cell r="T884">
            <v>13.6684185</v>
          </cell>
          <cell r="U884">
            <v>13.86812681</v>
          </cell>
          <cell r="V884">
            <v>14.064340469999999</v>
          </cell>
          <cell r="W884">
            <v>14.267271940000001</v>
          </cell>
          <cell r="X884">
            <v>14.475298499999999</v>
          </cell>
          <cell r="Y884">
            <v>14.688109539999999</v>
          </cell>
          <cell r="Z884">
            <v>14.905680670000001</v>
          </cell>
          <cell r="AA884">
            <v>15.10817838</v>
          </cell>
          <cell r="AB884">
            <v>15.315008069999999</v>
          </cell>
          <cell r="AC884">
            <v>15.524656</v>
          </cell>
          <cell r="AD884">
            <v>15.73715093</v>
          </cell>
          <cell r="AE884">
            <v>15.952776330000001</v>
          </cell>
          <cell r="AF884">
            <v>16.17179604</v>
          </cell>
          <cell r="AG884">
            <v>16.394592329999998</v>
          </cell>
          <cell r="AH884">
            <v>16.62113278</v>
          </cell>
          <cell r="AI884">
            <v>16.851405230000001</v>
          </cell>
          <cell r="AJ884">
            <v>17.085356959999999</v>
          </cell>
          <cell r="AK884">
            <v>17.32289922</v>
          </cell>
          <cell r="AL884">
            <v>17.560899670000001</v>
          </cell>
          <cell r="AM884">
            <v>17.800055100000002</v>
          </cell>
          <cell r="AN884">
            <v>18.04072626</v>
          </cell>
          <cell r="AO884">
            <v>18.283125980000001</v>
          </cell>
          <cell r="AP884">
            <v>18.527403249999999</v>
          </cell>
          <cell r="AQ884">
            <v>18.773950750000001</v>
          </cell>
          <cell r="AR884">
            <v>19.022670909999999</v>
          </cell>
          <cell r="AS884">
            <v>19.2735734</v>
          </cell>
          <cell r="AT884">
            <v>19.526671060000002</v>
          </cell>
          <cell r="AU884">
            <v>19.78196625</v>
          </cell>
          <cell r="AV884">
            <v>20.04083692</v>
          </cell>
          <cell r="AW884">
            <v>20.30249087</v>
          </cell>
          <cell r="AX884">
            <v>20.566698049999999</v>
          </cell>
          <cell r="AY884">
            <v>20.83335593</v>
          </cell>
          <cell r="AZ884">
            <v>21.10241079</v>
          </cell>
          <cell r="BA884">
            <v>21.374440180000001</v>
          </cell>
          <cell r="BB884">
            <v>21.64907019</v>
          </cell>
          <cell r="BC884">
            <v>21.926232559999999</v>
          </cell>
          <cell r="BD884">
            <v>22.205935350000001</v>
          </cell>
          <cell r="BE884">
            <v>22.48822053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8">
          <cell r="A18" t="str">
            <v>auto_ca_cfut_2</v>
          </cell>
          <cell r="B18">
            <v>7095.7005250000002</v>
          </cell>
          <cell r="C18">
            <v>7131.7170230000002</v>
          </cell>
          <cell r="D18">
            <v>7211.5847830000002</v>
          </cell>
          <cell r="E18">
            <v>7321.8800460000002</v>
          </cell>
          <cell r="F18">
            <v>7453.552001</v>
          </cell>
          <cell r="G18">
            <v>7600.893564</v>
          </cell>
          <cell r="H18">
            <v>7759.2252280000002</v>
          </cell>
          <cell r="I18">
            <v>7926.2919080000001</v>
          </cell>
          <cell r="J18">
            <v>8100.558806</v>
          </cell>
          <cell r="K18">
            <v>8280.889443</v>
          </cell>
          <cell r="L18">
            <v>8468.4151340000008</v>
          </cell>
          <cell r="M18">
            <v>8660.1714979999997</v>
          </cell>
          <cell r="N18">
            <v>8855.4255429999994</v>
          </cell>
          <cell r="O18">
            <v>9053.5134359999993</v>
          </cell>
          <cell r="P18">
            <v>9253.865076</v>
          </cell>
          <cell r="Q18">
            <v>9456.0000440000003</v>
          </cell>
          <cell r="R18">
            <v>9659.4518810000009</v>
          </cell>
          <cell r="S18">
            <v>9863.8500559999993</v>
          </cell>
          <cell r="T18">
            <v>10068.886990000001</v>
          </cell>
          <cell r="U18">
            <v>10274.300440000001</v>
          </cell>
          <cell r="V18">
            <v>10478.255150000001</v>
          </cell>
          <cell r="W18">
            <v>10682.27342</v>
          </cell>
          <cell r="X18">
            <v>10886.223260000001</v>
          </cell>
          <cell r="Y18">
            <v>11090.024020000001</v>
          </cell>
          <cell r="Z18">
            <v>11293.61181</v>
          </cell>
          <cell r="AA18">
            <v>11492.216780000001</v>
          </cell>
          <cell r="AB18">
            <v>11688.6219</v>
          </cell>
          <cell r="AC18">
            <v>11883.0095</v>
          </cell>
          <cell r="AD18">
            <v>12075.66461</v>
          </cell>
          <cell r="AE18">
            <v>12266.90537</v>
          </cell>
          <cell r="AF18">
            <v>12457.046130000001</v>
          </cell>
          <cell r="AG18">
            <v>12646.394029999999</v>
          </cell>
          <cell r="AH18">
            <v>12835.21977</v>
          </cell>
          <cell r="AI18">
            <v>13023.763989999999</v>
          </cell>
          <cell r="AJ18">
            <v>13212.24433</v>
          </cell>
          <cell r="AK18">
            <v>13400.86124</v>
          </cell>
          <cell r="AL18">
            <v>13588.776819999999</v>
          </cell>
          <cell r="AM18">
            <v>13776.285669999999</v>
          </cell>
          <cell r="AN18">
            <v>13963.65273</v>
          </cell>
          <cell r="AO18">
            <v>14151.1482</v>
          </cell>
          <cell r="AP18">
            <v>14339.04364</v>
          </cell>
          <cell r="AQ18">
            <v>14527.6199</v>
          </cell>
          <cell r="AR18">
            <v>14717.12328</v>
          </cell>
          <cell r="AS18">
            <v>14907.76691</v>
          </cell>
          <cell r="AT18">
            <v>15099.733050000001</v>
          </cell>
          <cell r="AU18">
            <v>15293.17583</v>
          </cell>
          <cell r="AV18">
            <v>15488.3982</v>
          </cell>
          <cell r="AW18">
            <v>15685.52673</v>
          </cell>
          <cell r="AX18">
            <v>15884.6486</v>
          </cell>
          <cell r="AY18">
            <v>16085.826359999999</v>
          </cell>
          <cell r="AZ18">
            <v>16289.105750000001</v>
          </cell>
          <cell r="BA18">
            <v>16494.56378</v>
          </cell>
          <cell r="BB18">
            <v>16702.240399999999</v>
          </cell>
          <cell r="BC18">
            <v>16912.155360000001</v>
          </cell>
          <cell r="BD18">
            <v>17124.317729999999</v>
          </cell>
          <cell r="BE18">
            <v>17338.72941</v>
          </cell>
        </row>
        <row r="19">
          <cell r="A19" t="str">
            <v>auto_ca_cfut_0</v>
          </cell>
          <cell r="B19">
            <v>7095.7005250000002</v>
          </cell>
          <cell r="C19">
            <v>7133.2604650000003</v>
          </cell>
          <cell r="D19">
            <v>7216.3497139999999</v>
          </cell>
          <cell r="E19">
            <v>7331.4700999999995</v>
          </cell>
          <cell r="F19">
            <v>7469.44031</v>
          </cell>
          <cell r="G19">
            <v>7624.3895650000004</v>
          </cell>
          <cell r="H19">
            <v>7791.4726110000001</v>
          </cell>
          <cell r="I19">
            <v>7968.2573830000001</v>
          </cell>
          <cell r="J19">
            <v>8153.0341060000001</v>
          </cell>
          <cell r="K19">
            <v>8344.5002679999998</v>
          </cell>
          <cell r="L19">
            <v>8543.6464510000005</v>
          </cell>
          <cell r="M19">
            <v>8747.4155449999998</v>
          </cell>
          <cell r="N19">
            <v>8954.9641549999997</v>
          </cell>
          <cell r="O19">
            <v>9165.5127859999993</v>
          </cell>
          <cell r="P19">
            <v>9378.3799650000001</v>
          </cell>
          <cell r="Q19">
            <v>9592.9822480000003</v>
          </cell>
          <cell r="R19">
            <v>9808.8222700000006</v>
          </cell>
          <cell r="S19">
            <v>10025.474620000001</v>
          </cell>
          <cell r="T19">
            <v>10242.57403</v>
          </cell>
          <cell r="U19">
            <v>10459.807280000001</v>
          </cell>
          <cell r="V19">
            <v>10675.277690000001</v>
          </cell>
          <cell r="W19">
            <v>10890.4877</v>
          </cell>
          <cell r="X19">
            <v>11105.291590000001</v>
          </cell>
          <cell r="Y19">
            <v>11319.60513</v>
          </cell>
          <cell r="Z19">
            <v>11533.3691</v>
          </cell>
          <cell r="AA19">
            <v>11741.75935</v>
          </cell>
          <cell r="AB19">
            <v>11947.552390000001</v>
          </cell>
          <cell r="AC19">
            <v>12150.94808</v>
          </cell>
          <cell r="AD19">
            <v>12352.264810000001</v>
          </cell>
          <cell r="AE19">
            <v>12551.859930000001</v>
          </cell>
          <cell r="AF19">
            <v>12750.08858</v>
          </cell>
          <cell r="AG19">
            <v>12947.28392</v>
          </cell>
          <cell r="AH19">
            <v>13143.750550000001</v>
          </cell>
          <cell r="AI19">
            <v>13339.76518</v>
          </cell>
          <cell r="AJ19">
            <v>13535.580540000001</v>
          </cell>
          <cell r="AK19">
            <v>13731.43016</v>
          </cell>
          <cell r="AL19">
            <v>13926.36125</v>
          </cell>
          <cell r="AM19">
            <v>14120.642019999999</v>
          </cell>
          <cell r="AN19">
            <v>14314.55162</v>
          </cell>
          <cell r="AO19">
            <v>14508.39064</v>
          </cell>
          <cell r="AP19">
            <v>14702.46724</v>
          </cell>
          <cell r="AQ19">
            <v>14897.0802</v>
          </cell>
          <cell r="AR19">
            <v>15092.50598</v>
          </cell>
          <cell r="AS19">
            <v>15288.99134</v>
          </cell>
          <cell r="AT19">
            <v>15486.750840000001</v>
          </cell>
          <cell r="AU19">
            <v>15685.96774</v>
          </cell>
          <cell r="AV19">
            <v>15886.90274</v>
          </cell>
          <cell r="AW19">
            <v>16089.67973</v>
          </cell>
          <cell r="AX19">
            <v>16294.399429999999</v>
          </cell>
          <cell r="AY19">
            <v>16501.1417</v>
          </cell>
          <cell r="AZ19">
            <v>16709.969420000001</v>
          </cell>
          <cell r="BA19">
            <v>16920.931960000002</v>
          </cell>
          <cell r="BB19">
            <v>17134.067749999998</v>
          </cell>
          <cell r="BC19">
            <v>17349.40582</v>
          </cell>
          <cell r="BD19">
            <v>17566.966609999999</v>
          </cell>
          <cell r="BE19">
            <v>17786.762200000001</v>
          </cell>
        </row>
        <row r="20">
          <cell r="A20" t="str">
            <v>auto_cb_cfut_2</v>
          </cell>
          <cell r="B20">
            <v>8251.256421</v>
          </cell>
          <cell r="C20">
            <v>8173.2818669999997</v>
          </cell>
          <cell r="D20">
            <v>8145.2311060000002</v>
          </cell>
          <cell r="E20">
            <v>8153.3486929999999</v>
          </cell>
          <cell r="F20">
            <v>8188.1861079999999</v>
          </cell>
          <cell r="G20">
            <v>8243.5791680000002</v>
          </cell>
          <cell r="H20">
            <v>8314.4242859999995</v>
          </cell>
          <cell r="I20">
            <v>8397.9963360000002</v>
          </cell>
          <cell r="J20">
            <v>8492.3134289999998</v>
          </cell>
          <cell r="K20">
            <v>8595.8218259999994</v>
          </cell>
          <cell r="L20">
            <v>8709.1424000000006</v>
          </cell>
          <cell r="M20">
            <v>8829.0780520000008</v>
          </cell>
          <cell r="N20">
            <v>8954.5718460000007</v>
          </cell>
          <cell r="O20">
            <v>9084.6645059999992</v>
          </cell>
          <cell r="P20">
            <v>9218.5137049999994</v>
          </cell>
          <cell r="Q20">
            <v>9355.3871610000006</v>
          </cell>
          <cell r="R20">
            <v>9494.5904869999995</v>
          </cell>
          <cell r="S20">
            <v>9635.5411100000001</v>
          </cell>
          <cell r="T20">
            <v>9777.7352859999992</v>
          </cell>
          <cell r="U20">
            <v>9920.7296050000004</v>
          </cell>
          <cell r="V20">
            <v>10062.66727</v>
          </cell>
          <cell r="W20">
            <v>10204.770130000001</v>
          </cell>
          <cell r="X20">
            <v>10346.759529999999</v>
          </cell>
          <cell r="Y20">
            <v>10488.413909999999</v>
          </cell>
          <cell r="Z20">
            <v>10629.536609999999</v>
          </cell>
          <cell r="AA20">
            <v>10765.73935</v>
          </cell>
          <cell r="AB20">
            <v>10899.42296</v>
          </cell>
          <cell r="AC20">
            <v>11030.65821</v>
          </cell>
          <cell r="AD20">
            <v>11159.60895</v>
          </cell>
          <cell r="AE20">
            <v>11286.469010000001</v>
          </cell>
          <cell r="AF20">
            <v>11411.429120000001</v>
          </cell>
          <cell r="AG20">
            <v>11534.67346</v>
          </cell>
          <cell r="AH20">
            <v>11656.35383</v>
          </cell>
          <cell r="AI20">
            <v>11776.595300000001</v>
          </cell>
          <cell r="AJ20">
            <v>11895.502329999999</v>
          </cell>
          <cell r="AK20">
            <v>12013.16382</v>
          </cell>
          <cell r="AL20">
            <v>12128.782569999999</v>
          </cell>
          <cell r="AM20">
            <v>12242.536400000001</v>
          </cell>
          <cell r="AN20">
            <v>12354.57633</v>
          </cell>
          <cell r="AO20">
            <v>12465.055829999999</v>
          </cell>
          <cell r="AP20">
            <v>12574.127140000001</v>
          </cell>
          <cell r="AQ20">
            <v>12681.947410000001</v>
          </cell>
          <cell r="AR20">
            <v>12788.64201</v>
          </cell>
          <cell r="AS20">
            <v>12894.306049999999</v>
          </cell>
          <cell r="AT20">
            <v>12999.00669</v>
          </cell>
          <cell r="AU20">
            <v>13102.78577</v>
          </cell>
          <cell r="AV20">
            <v>13205.80276</v>
          </cell>
          <cell r="AW20">
            <v>13308.06976</v>
          </cell>
          <cell r="AX20">
            <v>13409.564640000001</v>
          </cell>
          <cell r="AY20">
            <v>13510.243850000001</v>
          </cell>
          <cell r="AZ20">
            <v>13610.049300000001</v>
          </cell>
          <cell r="BA20">
            <v>13708.94608</v>
          </cell>
          <cell r="BB20">
            <v>13806.86839</v>
          </cell>
          <cell r="BC20">
            <v>13903.73322</v>
          </cell>
          <cell r="BD20">
            <v>13999.448179999999</v>
          </cell>
          <cell r="BE20">
            <v>14093.914349999999</v>
          </cell>
        </row>
        <row r="21">
          <cell r="A21" t="str">
            <v>auto_cb_cfut_0</v>
          </cell>
          <cell r="B21">
            <v>8251.256421</v>
          </cell>
          <cell r="C21">
            <v>8174.7508719999996</v>
          </cell>
          <cell r="D21">
            <v>8149.7488949999997</v>
          </cell>
          <cell r="E21">
            <v>8162.4051019999997</v>
          </cell>
          <cell r="F21">
            <v>8203.1296519999996</v>
          </cell>
          <cell r="G21">
            <v>8265.5882290000009</v>
          </cell>
          <cell r="H21">
            <v>8344.5082029999994</v>
          </cell>
          <cell r="I21">
            <v>8436.9868829999996</v>
          </cell>
          <cell r="J21">
            <v>8540.8688880000009</v>
          </cell>
          <cell r="K21">
            <v>8654.4374750000006</v>
          </cell>
          <cell r="L21">
            <v>8778.1747250000008</v>
          </cell>
          <cell r="M21">
            <v>8908.7938840000006</v>
          </cell>
          <cell r="N21">
            <v>9045.1314610000009</v>
          </cell>
          <cell r="O21">
            <v>9186.118058</v>
          </cell>
          <cell r="P21">
            <v>9330.8067769999998</v>
          </cell>
          <cell r="Q21">
            <v>9478.3701280000005</v>
          </cell>
          <cell r="R21">
            <v>9628.0862390000002</v>
          </cell>
          <cell r="S21">
            <v>9779.3233889999992</v>
          </cell>
          <cell r="T21">
            <v>9931.5268539999997</v>
          </cell>
          <cell r="U21">
            <v>10084.20933</v>
          </cell>
          <cell r="V21">
            <v>10235.464040000001</v>
          </cell>
          <cell r="W21">
            <v>10386.49638</v>
          </cell>
          <cell r="X21">
            <v>10537.019700000001</v>
          </cell>
          <cell r="Y21">
            <v>10686.81372</v>
          </cell>
          <cell r="Z21">
            <v>10835.69044</v>
          </cell>
          <cell r="AA21">
            <v>10979.22625</v>
          </cell>
          <cell r="AB21">
            <v>11119.81609</v>
          </cell>
          <cell r="AC21">
            <v>11257.55082</v>
          </cell>
          <cell r="AD21">
            <v>11392.627920000001</v>
          </cell>
          <cell r="AE21">
            <v>11525.27923</v>
          </cell>
          <cell r="AF21">
            <v>11655.734</v>
          </cell>
          <cell r="AG21">
            <v>11784.201279999999</v>
          </cell>
          <cell r="AH21">
            <v>11910.86393</v>
          </cell>
          <cell r="AI21">
            <v>12035.87918</v>
          </cell>
          <cell r="AJ21">
            <v>12159.382079999999</v>
          </cell>
          <cell r="AK21">
            <v>12281.489519999999</v>
          </cell>
          <cell r="AL21">
            <v>12401.308950000001</v>
          </cell>
          <cell r="AM21">
            <v>12518.997300000001</v>
          </cell>
          <cell r="AN21">
            <v>12634.71977</v>
          </cell>
          <cell r="AO21">
            <v>12748.65726</v>
          </cell>
          <cell r="AP21">
            <v>12860.9938</v>
          </cell>
          <cell r="AQ21">
            <v>12971.90201</v>
          </cell>
          <cell r="AR21">
            <v>13081.53234</v>
          </cell>
          <cell r="AS21">
            <v>13190.00721</v>
          </cell>
          <cell r="AT21">
            <v>13297.41936</v>
          </cell>
          <cell r="AU21">
            <v>13403.832920000001</v>
          </cell>
          <cell r="AV21">
            <v>13509.37153</v>
          </cell>
          <cell r="AW21">
            <v>13614.04464</v>
          </cell>
          <cell r="AX21">
            <v>13717.8408</v>
          </cell>
          <cell r="AY21">
            <v>13820.73</v>
          </cell>
          <cell r="AZ21">
            <v>13922.66712</v>
          </cell>
          <cell r="BA21">
            <v>14023.5949</v>
          </cell>
          <cell r="BB21">
            <v>14123.44615</v>
          </cell>
          <cell r="BC21">
            <v>14222.145060000001</v>
          </cell>
          <cell r="BD21">
            <v>14319.60793</v>
          </cell>
          <cell r="BE21">
            <v>14415.743350000001</v>
          </cell>
        </row>
        <row r="22">
          <cell r="A22" t="str">
            <v>auto_cc_cfut_2</v>
          </cell>
          <cell r="B22">
            <v>6777.6024520000001</v>
          </cell>
          <cell r="C22">
            <v>6640.2699149999999</v>
          </cell>
          <cell r="D22">
            <v>6543.3404330000003</v>
          </cell>
          <cell r="E22">
            <v>6476.6635329999999</v>
          </cell>
          <cell r="F22">
            <v>6433.1488310000004</v>
          </cell>
          <cell r="G22">
            <v>6408.0339409999997</v>
          </cell>
          <cell r="H22">
            <v>6397.3445599999995</v>
          </cell>
          <cell r="I22">
            <v>6398.7904570000001</v>
          </cell>
          <cell r="J22">
            <v>6410.6338500000002</v>
          </cell>
          <cell r="K22">
            <v>6431.467009</v>
          </cell>
          <cell r="L22">
            <v>6461.3885270000001</v>
          </cell>
          <cell r="M22">
            <v>6497.9334939999999</v>
          </cell>
          <cell r="N22">
            <v>6540.1193119999998</v>
          </cell>
          <cell r="O22">
            <v>6587.0541780000003</v>
          </cell>
          <cell r="P22">
            <v>6637.947416</v>
          </cell>
          <cell r="Q22">
            <v>6692.1025520000003</v>
          </cell>
          <cell r="R22">
            <v>6748.8675629999998</v>
          </cell>
          <cell r="S22">
            <v>6807.6827450000001</v>
          </cell>
          <cell r="T22">
            <v>6868.056869</v>
          </cell>
          <cell r="U22">
            <v>6929.5532389999998</v>
          </cell>
          <cell r="V22">
            <v>6990.8213219999998</v>
          </cell>
          <cell r="W22">
            <v>7052.5489530000004</v>
          </cell>
          <cell r="X22">
            <v>7114.4440880000002</v>
          </cell>
          <cell r="Y22">
            <v>7176.2607619999999</v>
          </cell>
          <cell r="Z22">
            <v>7237.7774449999997</v>
          </cell>
          <cell r="AA22">
            <v>7296.0805049999999</v>
          </cell>
          <cell r="AB22">
            <v>7352.6609689999996</v>
          </cell>
          <cell r="AC22">
            <v>7407.5050149999997</v>
          </cell>
          <cell r="AD22">
            <v>7460.6611789999997</v>
          </cell>
          <cell r="AE22">
            <v>7512.1990509999996</v>
          </cell>
          <cell r="AF22">
            <v>7562.1878710000001</v>
          </cell>
          <cell r="AG22">
            <v>7610.6940759999998</v>
          </cell>
          <cell r="AH22">
            <v>7657.7648660000004</v>
          </cell>
          <cell r="AI22">
            <v>7703.4318110000004</v>
          </cell>
          <cell r="AJ22">
            <v>7747.7147050000003</v>
          </cell>
          <cell r="AK22">
            <v>7790.6247810000004</v>
          </cell>
          <cell r="AL22">
            <v>7831.6289450000004</v>
          </cell>
          <cell r="AM22">
            <v>7870.8015770000002</v>
          </cell>
          <cell r="AN22">
            <v>7908.2011839999996</v>
          </cell>
          <cell r="AO22">
            <v>7943.8881350000001</v>
          </cell>
          <cell r="AP22">
            <v>7977.9221889999999</v>
          </cell>
          <cell r="AQ22">
            <v>8010.3660380000001</v>
          </cell>
          <cell r="AR22">
            <v>8041.2631410000004</v>
          </cell>
          <cell r="AS22">
            <v>8070.6389479999998</v>
          </cell>
          <cell r="AT22">
            <v>8098.5025800000003</v>
          </cell>
          <cell r="AU22">
            <v>8124.8486659999999</v>
          </cell>
          <cell r="AV22">
            <v>8149.7408850000002</v>
          </cell>
          <cell r="AW22">
            <v>8173.156035</v>
          </cell>
          <cell r="AX22">
            <v>8195.0516050000006</v>
          </cell>
          <cell r="AY22">
            <v>8215.3738620000004</v>
          </cell>
          <cell r="AZ22">
            <v>8234.0621890000002</v>
          </cell>
          <cell r="BA22">
            <v>8251.0706289999998</v>
          </cell>
          <cell r="BB22">
            <v>8266.3369660000008</v>
          </cell>
          <cell r="BC22">
            <v>8279.7908590000006</v>
          </cell>
          <cell r="BD22">
            <v>8291.3585409999996</v>
          </cell>
          <cell r="BE22">
            <v>8300.9645860000001</v>
          </cell>
        </row>
        <row r="23">
          <cell r="A23" t="str">
            <v>auto_cc_cfut_0</v>
          </cell>
          <cell r="B23">
            <v>6777.6024520000001</v>
          </cell>
          <cell r="C23">
            <v>6641.2780140000004</v>
          </cell>
          <cell r="D23">
            <v>6546.4288729999998</v>
          </cell>
          <cell r="E23">
            <v>6482.8298690000001</v>
          </cell>
          <cell r="F23">
            <v>6443.2821940000003</v>
          </cell>
          <cell r="G23">
            <v>6422.8973169999999</v>
          </cell>
          <cell r="H23">
            <v>6417.5777399999997</v>
          </cell>
          <cell r="I23">
            <v>6424.9057730000004</v>
          </cell>
          <cell r="J23">
            <v>6443.0205219999998</v>
          </cell>
          <cell r="K23">
            <v>6470.3997470000004</v>
          </cell>
          <cell r="L23">
            <v>6507.0443139999998</v>
          </cell>
          <cell r="M23">
            <v>6550.4276460000001</v>
          </cell>
          <cell r="N23">
            <v>6599.4938769999999</v>
          </cell>
          <cell r="O23">
            <v>6653.2764729999999</v>
          </cell>
          <cell r="P23">
            <v>6710.9148260000002</v>
          </cell>
          <cell r="Q23">
            <v>6771.6498860000002</v>
          </cell>
          <cell r="R23">
            <v>6834.8129280000003</v>
          </cell>
          <cell r="S23">
            <v>6899.813427</v>
          </cell>
          <cell r="T23">
            <v>6966.1286200000004</v>
          </cell>
          <cell r="U23">
            <v>7033.2955499999998</v>
          </cell>
          <cell r="V23">
            <v>7099.9356449999996</v>
          </cell>
          <cell r="W23">
            <v>7166.7278630000001</v>
          </cell>
          <cell r="X23">
            <v>7233.3787080000002</v>
          </cell>
          <cell r="Y23">
            <v>7299.6468359999999</v>
          </cell>
          <cell r="Z23">
            <v>7365.3200610000004</v>
          </cell>
          <cell r="AA23">
            <v>7427.4712310000004</v>
          </cell>
          <cell r="AB23">
            <v>7487.5882030000002</v>
          </cell>
          <cell r="AC23">
            <v>7545.6736860000001</v>
          </cell>
          <cell r="AD23">
            <v>7601.8009890000003</v>
          </cell>
          <cell r="AE23">
            <v>7656.0667869999997</v>
          </cell>
          <cell r="AF23">
            <v>7708.5671650000004</v>
          </cell>
          <cell r="AG23">
            <v>7759.3862799999997</v>
          </cell>
          <cell r="AH23">
            <v>7808.5925509999997</v>
          </cell>
          <cell r="AI23">
            <v>7856.2389780000003</v>
          </cell>
          <cell r="AJ23">
            <v>7902.3653270000004</v>
          </cell>
          <cell r="AK23">
            <v>7947.0007340000002</v>
          </cell>
          <cell r="AL23">
            <v>7989.5557609999996</v>
          </cell>
          <cell r="AM23">
            <v>8030.0937089999998</v>
          </cell>
          <cell r="AN23">
            <v>8068.6838070000003</v>
          </cell>
          <cell r="AO23">
            <v>8105.4049919999998</v>
          </cell>
          <cell r="AP23">
            <v>8140.3377490000003</v>
          </cell>
          <cell r="AQ23">
            <v>8173.555179</v>
          </cell>
          <cell r="AR23">
            <v>8205.1166379999995</v>
          </cell>
          <cell r="AS23">
            <v>8235.0644620000003</v>
          </cell>
          <cell r="AT23">
            <v>8263.4232510000002</v>
          </cell>
          <cell r="AU23">
            <v>8290.2008420000002</v>
          </cell>
          <cell r="AV23">
            <v>8315.4399680000006</v>
          </cell>
          <cell r="AW23">
            <v>8339.1165760000004</v>
          </cell>
          <cell r="AX23">
            <v>8361.1952689999998</v>
          </cell>
          <cell r="AY23">
            <v>8381.6309939999992</v>
          </cell>
          <cell r="AZ23">
            <v>8400.3712930000002</v>
          </cell>
          <cell r="BA23">
            <v>8417.3582430000006</v>
          </cell>
          <cell r="BB23">
            <v>8432.5298519999997</v>
          </cell>
          <cell r="BC23">
            <v>8445.8209590000006</v>
          </cell>
          <cell r="BD23">
            <v>8457.1637429999992</v>
          </cell>
          <cell r="BE23">
            <v>8466.487975</v>
          </cell>
        </row>
        <row r="24">
          <cell r="A24" t="str">
            <v>auto_cd_cfut_2</v>
          </cell>
          <cell r="B24">
            <v>4159.6639080000004</v>
          </cell>
          <cell r="C24">
            <v>4051.167477</v>
          </cell>
          <cell r="D24">
            <v>3965.9439769999999</v>
          </cell>
          <cell r="E24">
            <v>3897.8716460000001</v>
          </cell>
          <cell r="F24">
            <v>3842.6542159999999</v>
          </cell>
          <cell r="G24">
            <v>3797.3573959999999</v>
          </cell>
          <cell r="H24">
            <v>3759.5565160000001</v>
          </cell>
          <cell r="I24">
            <v>3727.7949159999998</v>
          </cell>
          <cell r="J24">
            <v>3700.9606899999999</v>
          </cell>
          <cell r="K24">
            <v>3678.156105</v>
          </cell>
          <cell r="L24">
            <v>3659.274461</v>
          </cell>
          <cell r="M24">
            <v>3642.9367860000002</v>
          </cell>
          <cell r="N24">
            <v>3628.5466999999999</v>
          </cell>
          <cell r="O24">
            <v>3615.576419</v>
          </cell>
          <cell r="P24">
            <v>3603.5680550000002</v>
          </cell>
          <cell r="Q24">
            <v>3592.1272279999998</v>
          </cell>
          <cell r="R24">
            <v>3580.8980419999998</v>
          </cell>
          <cell r="S24">
            <v>3569.5839550000001</v>
          </cell>
          <cell r="T24">
            <v>3557.9342120000001</v>
          </cell>
          <cell r="U24">
            <v>3545.735326</v>
          </cell>
          <cell r="V24">
            <v>3532.3885580000001</v>
          </cell>
          <cell r="W24">
            <v>3518.2029769999999</v>
          </cell>
          <cell r="X24">
            <v>3503.0581849999999</v>
          </cell>
          <cell r="Y24">
            <v>3486.859027</v>
          </cell>
          <cell r="Z24">
            <v>3469.526057</v>
          </cell>
          <cell r="AA24">
            <v>3449.908754</v>
          </cell>
          <cell r="AB24">
            <v>3428.6666180000002</v>
          </cell>
          <cell r="AC24">
            <v>3405.8417810000001</v>
          </cell>
          <cell r="AD24">
            <v>3381.4982850000001</v>
          </cell>
          <cell r="AE24">
            <v>3355.7052399999998</v>
          </cell>
          <cell r="AF24">
            <v>3328.5289130000001</v>
          </cell>
          <cell r="AG24">
            <v>3300.032103</v>
          </cell>
          <cell r="AH24">
            <v>3270.2685849999998</v>
          </cell>
          <cell r="AI24">
            <v>3239.285089</v>
          </cell>
          <cell r="AJ24">
            <v>3207.1232570000002</v>
          </cell>
          <cell r="AK24">
            <v>3173.821281</v>
          </cell>
          <cell r="AL24">
            <v>3139.2394509999999</v>
          </cell>
          <cell r="AM24">
            <v>3103.4456049999999</v>
          </cell>
          <cell r="AN24">
            <v>3066.5018890000001</v>
          </cell>
          <cell r="AO24">
            <v>3028.4704409999999</v>
          </cell>
          <cell r="AP24">
            <v>2989.412628</v>
          </cell>
          <cell r="AQ24">
            <v>2949.390097</v>
          </cell>
          <cell r="AR24">
            <v>2908.4583910000001</v>
          </cell>
          <cell r="AS24">
            <v>2866.6679039999999</v>
          </cell>
          <cell r="AT24">
            <v>2824.0649079999998</v>
          </cell>
          <cell r="AU24">
            <v>2780.692524</v>
          </cell>
          <cell r="AV24">
            <v>2736.6125539999998</v>
          </cell>
          <cell r="AW24">
            <v>2691.863828</v>
          </cell>
          <cell r="AX24">
            <v>2646.4815279999998</v>
          </cell>
          <cell r="AY24">
            <v>2600.4999389999998</v>
          </cell>
          <cell r="AZ24">
            <v>2553.953888</v>
          </cell>
          <cell r="BA24">
            <v>2506.883675</v>
          </cell>
          <cell r="BB24">
            <v>2459.3276740000001</v>
          </cell>
          <cell r="BC24">
            <v>2411.324423</v>
          </cell>
          <cell r="BD24">
            <v>2362.9137839999999</v>
          </cell>
          <cell r="BE24">
            <v>2314.1372930000002</v>
          </cell>
        </row>
        <row r="25">
          <cell r="A25" t="str">
            <v>auto_cd_cfut_0</v>
          </cell>
          <cell r="B25">
            <v>4159.6639080000004</v>
          </cell>
          <cell r="C25">
            <v>4051.7046329999998</v>
          </cell>
          <cell r="D25">
            <v>3967.5601839999999</v>
          </cell>
          <cell r="E25">
            <v>3901.0376900000001</v>
          </cell>
          <cell r="F25">
            <v>3847.756527</v>
          </cell>
          <cell r="G25">
            <v>3804.6945770000002</v>
          </cell>
          <cell r="H25">
            <v>3769.3471</v>
          </cell>
          <cell r="I25">
            <v>3740.1795529999999</v>
          </cell>
          <cell r="J25">
            <v>3716.0086759999999</v>
          </cell>
          <cell r="K25">
            <v>3695.8736250000002</v>
          </cell>
          <cell r="L25">
            <v>3679.6142639999998</v>
          </cell>
          <cell r="M25">
            <v>3665.8228760000002</v>
          </cell>
          <cell r="N25">
            <v>3653.868273</v>
          </cell>
          <cell r="O25">
            <v>3643.1893319999999</v>
          </cell>
          <cell r="P25">
            <v>3633.2995070000002</v>
          </cell>
          <cell r="Q25">
            <v>3623.7815489999998</v>
          </cell>
          <cell r="R25">
            <v>3614.2795209999999</v>
          </cell>
          <cell r="S25">
            <v>3604.4907720000001</v>
          </cell>
          <cell r="T25">
            <v>3594.1589549999999</v>
          </cell>
          <cell r="U25">
            <v>3583.0682999999999</v>
          </cell>
          <cell r="V25">
            <v>3570.621134</v>
          </cell>
          <cell r="W25">
            <v>3557.1298710000001</v>
          </cell>
          <cell r="X25">
            <v>3542.484101</v>
          </cell>
          <cell r="Y25">
            <v>3526.600962</v>
          </cell>
          <cell r="Z25">
            <v>3509.4147750000002</v>
          </cell>
          <cell r="AA25">
            <v>3489.789483</v>
          </cell>
          <cell r="AB25">
            <v>3468.386336</v>
          </cell>
          <cell r="AC25">
            <v>3445.262397</v>
          </cell>
          <cell r="AD25">
            <v>3420.4988480000002</v>
          </cell>
          <cell r="AE25">
            <v>3394.1816909999998</v>
          </cell>
          <cell r="AF25">
            <v>3366.3928110000002</v>
          </cell>
          <cell r="AG25">
            <v>3337.206271</v>
          </cell>
          <cell r="AH25">
            <v>3306.6875329999998</v>
          </cell>
          <cell r="AI25">
            <v>3274.8942080000002</v>
          </cell>
          <cell r="AJ25">
            <v>3241.8774629999998</v>
          </cell>
          <cell r="AK25">
            <v>3207.6835350000001</v>
          </cell>
          <cell r="AL25">
            <v>3172.1591199999998</v>
          </cell>
          <cell r="AM25">
            <v>3135.371834</v>
          </cell>
          <cell r="AN25">
            <v>3097.390844</v>
          </cell>
          <cell r="AO25">
            <v>3058.28721</v>
          </cell>
          <cell r="AP25">
            <v>3018.1310050000002</v>
          </cell>
          <cell r="AQ25">
            <v>2976.9887490000001</v>
          </cell>
          <cell r="AR25">
            <v>2934.9219459999999</v>
          </cell>
          <cell r="AS25">
            <v>2891.9866889999998</v>
          </cell>
          <cell r="AT25">
            <v>2848.2340359999998</v>
          </cell>
          <cell r="AU25">
            <v>2803.7108229999999</v>
          </cell>
          <cell r="AV25">
            <v>2758.4733769999998</v>
          </cell>
          <cell r="AW25">
            <v>2712.5610839999999</v>
          </cell>
          <cell r="AX25">
            <v>2666.011845</v>
          </cell>
          <cell r="AY25">
            <v>2618.8628530000001</v>
          </cell>
          <cell r="AZ25">
            <v>2571.1513880000002</v>
          </cell>
          <cell r="BA25">
            <v>2522.9154039999999</v>
          </cell>
          <cell r="BB25">
            <v>2474.1939109999998</v>
          </cell>
          <cell r="BC25">
            <v>2425.027165</v>
          </cell>
          <cell r="BD25">
            <v>2375.456741</v>
          </cell>
          <cell r="BE25">
            <v>2325.5255080000002</v>
          </cell>
        </row>
        <row r="26">
          <cell r="A26" t="str">
            <v>auto_ce_cfut_2</v>
          </cell>
          <cell r="B26">
            <v>2503.7292430000002</v>
          </cell>
          <cell r="C26">
            <v>2440.722518</v>
          </cell>
          <cell r="D26">
            <v>2390.8481430000002</v>
          </cell>
          <cell r="E26">
            <v>2350.2141889999998</v>
          </cell>
          <cell r="F26">
            <v>2316.1173119999999</v>
          </cell>
          <cell r="G26">
            <v>2286.7264380000001</v>
          </cell>
          <cell r="H26">
            <v>2260.558826</v>
          </cell>
          <cell r="I26">
            <v>2236.741246</v>
          </cell>
          <cell r="J26">
            <v>2214.628408</v>
          </cell>
          <cell r="K26">
            <v>2193.7185469999999</v>
          </cell>
          <cell r="L26">
            <v>2173.9702430000002</v>
          </cell>
          <cell r="M26">
            <v>2154.630928</v>
          </cell>
          <cell r="N26">
            <v>2135.4048600000001</v>
          </cell>
          <cell r="O26">
            <v>2116.0431939999999</v>
          </cell>
          <cell r="P26">
            <v>2096.3425790000001</v>
          </cell>
          <cell r="Q26">
            <v>2076.1399860000001</v>
          </cell>
          <cell r="R26">
            <v>2055.2984379999998</v>
          </cell>
          <cell r="S26">
            <v>2033.7170920000001</v>
          </cell>
          <cell r="T26">
            <v>2011.3227489999999</v>
          </cell>
          <cell r="U26">
            <v>1988.0642869999999</v>
          </cell>
          <cell r="V26">
            <v>1963.703127</v>
          </cell>
          <cell r="W26">
            <v>1938.455862</v>
          </cell>
          <cell r="X26">
            <v>1912.3224970000001</v>
          </cell>
          <cell r="Y26">
            <v>1885.315016</v>
          </cell>
          <cell r="Z26">
            <v>1857.45264</v>
          </cell>
          <cell r="AA26">
            <v>1828.2642040000001</v>
          </cell>
          <cell r="AB26">
            <v>1798.1243910000001</v>
          </cell>
          <cell r="AC26">
            <v>1767.1155240000001</v>
          </cell>
          <cell r="AD26">
            <v>1735.325738</v>
          </cell>
          <cell r="AE26">
            <v>1702.8413700000001</v>
          </cell>
          <cell r="AF26">
            <v>1669.7438119999999</v>
          </cell>
          <cell r="AG26">
            <v>1636.1095600000001</v>
          </cell>
          <cell r="AH26">
            <v>1602.0082299999999</v>
          </cell>
          <cell r="AI26">
            <v>1567.5038070000001</v>
          </cell>
          <cell r="AJ26">
            <v>1532.655798</v>
          </cell>
          <cell r="AK26">
            <v>1497.5201930000001</v>
          </cell>
          <cell r="AL26">
            <v>1462.083427</v>
          </cell>
          <cell r="AM26">
            <v>1426.412135</v>
          </cell>
          <cell r="AN26">
            <v>1390.568632</v>
          </cell>
          <cell r="AO26">
            <v>1354.613079</v>
          </cell>
          <cell r="AP26">
            <v>1318.6032640000001</v>
          </cell>
          <cell r="AQ26">
            <v>1282.5950009999999</v>
          </cell>
          <cell r="AR26">
            <v>1246.6400189999999</v>
          </cell>
          <cell r="AS26">
            <v>1210.78649</v>
          </cell>
          <cell r="AT26">
            <v>1175.079559</v>
          </cell>
          <cell r="AU26">
            <v>1139.561794</v>
          </cell>
          <cell r="AV26">
            <v>1104.279916</v>
          </cell>
          <cell r="AW26">
            <v>1069.271673</v>
          </cell>
          <cell r="AX26">
            <v>1034.572281</v>
          </cell>
          <cell r="AY26">
            <v>1000.2154</v>
          </cell>
          <cell r="AZ26">
            <v>966.23359779999998</v>
          </cell>
          <cell r="BA26">
            <v>932.65962609999997</v>
          </cell>
          <cell r="BB26">
            <v>899.52426600000001</v>
          </cell>
          <cell r="BC26">
            <v>866.85690060000002</v>
          </cell>
          <cell r="BD26">
            <v>834.68579360000001</v>
          </cell>
          <cell r="BE26">
            <v>803.03811840000003</v>
          </cell>
        </row>
        <row r="27">
          <cell r="A27" t="str">
            <v>auto_ce_cfut_0</v>
          </cell>
          <cell r="B27">
            <v>2503.7292430000002</v>
          </cell>
          <cell r="C27">
            <v>2441.040888</v>
          </cell>
          <cell r="D27">
            <v>2391.7896940000001</v>
          </cell>
          <cell r="E27">
            <v>2352.0248499999998</v>
          </cell>
          <cell r="F27">
            <v>2318.9797189999999</v>
          </cell>
          <cell r="G27">
            <v>2290.7619079999999</v>
          </cell>
          <cell r="H27">
            <v>2265.8359249999999</v>
          </cell>
          <cell r="I27">
            <v>2243.279927</v>
          </cell>
          <cell r="J27">
            <v>2222.4064199999998</v>
          </cell>
          <cell r="K27">
            <v>2202.6784259999999</v>
          </cell>
          <cell r="L27">
            <v>2184.0255929999998</v>
          </cell>
          <cell r="M27">
            <v>2165.6837820000001</v>
          </cell>
          <cell r="N27">
            <v>2147.3420959999999</v>
          </cell>
          <cell r="O27">
            <v>2128.7383730000001</v>
          </cell>
          <cell r="P27">
            <v>2109.659529</v>
          </cell>
          <cell r="Q27">
            <v>2089.936835</v>
          </cell>
          <cell r="R27">
            <v>2069.4400780000001</v>
          </cell>
          <cell r="S27">
            <v>2048.0719519999998</v>
          </cell>
          <cell r="T27">
            <v>2025.7631490000001</v>
          </cell>
          <cell r="U27">
            <v>2002.468235</v>
          </cell>
          <cell r="V27">
            <v>1977.957447</v>
          </cell>
          <cell r="W27">
            <v>1952.454209</v>
          </cell>
          <cell r="X27">
            <v>1925.969838</v>
          </cell>
          <cell r="Y27">
            <v>1898.5282529999999</v>
          </cell>
          <cell r="Z27">
            <v>1870.1607320000001</v>
          </cell>
          <cell r="AA27">
            <v>1840.4120909999999</v>
          </cell>
          <cell r="AB27">
            <v>1809.6596790000001</v>
          </cell>
          <cell r="AC27">
            <v>1777.996476</v>
          </cell>
          <cell r="AD27">
            <v>1745.5215889999999</v>
          </cell>
          <cell r="AE27">
            <v>1712.3315379999999</v>
          </cell>
          <cell r="AF27">
            <v>1678.516674</v>
          </cell>
          <cell r="AG27">
            <v>1644.160044</v>
          </cell>
          <cell r="AH27">
            <v>1609.3375209999999</v>
          </cell>
          <cell r="AI27">
            <v>1574.1185599999999</v>
          </cell>
          <cell r="AJ27">
            <v>1538.5671769999999</v>
          </cell>
          <cell r="AK27">
            <v>1502.742927</v>
          </cell>
          <cell r="AL27">
            <v>1466.6283470000001</v>
          </cell>
          <cell r="AM27">
            <v>1430.290647</v>
          </cell>
          <cell r="AN27">
            <v>1393.7953970000001</v>
          </cell>
          <cell r="AO27">
            <v>1357.2064150000001</v>
          </cell>
          <cell r="AP27">
            <v>1320.584695</v>
          </cell>
          <cell r="AQ27">
            <v>1283.987603</v>
          </cell>
          <cell r="AR27">
            <v>1247.468578</v>
          </cell>
          <cell r="AS27">
            <v>1211.077213</v>
          </cell>
          <cell r="AT27">
            <v>1174.859588</v>
          </cell>
          <cell r="AU27">
            <v>1138.858714</v>
          </cell>
          <cell r="AV27">
            <v>1103.1188420000001</v>
          </cell>
          <cell r="AW27">
            <v>1067.6773250000001</v>
          </cell>
          <cell r="AX27">
            <v>1032.5696479999999</v>
          </cell>
          <cell r="AY27">
            <v>997.82971910000003</v>
          </cell>
          <cell r="AZ27">
            <v>963.49011519999999</v>
          </cell>
          <cell r="BA27">
            <v>929.58222820000003</v>
          </cell>
          <cell r="BB27">
            <v>896.13632670000004</v>
          </cell>
          <cell r="BC27">
            <v>863.18155209999998</v>
          </cell>
          <cell r="BD27">
            <v>830.74587359999998</v>
          </cell>
          <cell r="BE27">
            <v>798.85601870000005</v>
          </cell>
        </row>
        <row r="28">
          <cell r="A28" t="str">
            <v>auto_cf_cfut_2</v>
          </cell>
          <cell r="B28">
            <v>1243.6668460000001</v>
          </cell>
          <cell r="C28">
            <v>1209.6970060000001</v>
          </cell>
          <cell r="D28">
            <v>1180.8633560000001</v>
          </cell>
          <cell r="E28">
            <v>1155.064993</v>
          </cell>
          <cell r="F28">
            <v>1130.9089100000001</v>
          </cell>
          <cell r="G28">
            <v>1107.4999989999999</v>
          </cell>
          <cell r="H28">
            <v>1084.181775</v>
          </cell>
          <cell r="I28">
            <v>1060.6234340000001</v>
          </cell>
          <cell r="J28">
            <v>1036.633791</v>
          </cell>
          <cell r="K28">
            <v>1012.11056</v>
          </cell>
          <cell r="L28">
            <v>987.1371011</v>
          </cell>
          <cell r="M28">
            <v>961.55378280000002</v>
          </cell>
          <cell r="N28">
            <v>935.38105419999999</v>
          </cell>
          <cell r="O28">
            <v>908.66251409999995</v>
          </cell>
          <cell r="P28">
            <v>881.46013530000005</v>
          </cell>
          <cell r="Q28">
            <v>853.84928720000005</v>
          </cell>
          <cell r="R28">
            <v>825.91235419999998</v>
          </cell>
          <cell r="S28">
            <v>797.73957949999999</v>
          </cell>
          <cell r="T28">
            <v>769.42462620000003</v>
          </cell>
          <cell r="U28">
            <v>741.06150679999996</v>
          </cell>
          <cell r="V28">
            <v>712.69712949999996</v>
          </cell>
          <cell r="W28">
            <v>684.47597919999998</v>
          </cell>
          <cell r="X28">
            <v>656.48286929999995</v>
          </cell>
          <cell r="Y28">
            <v>628.79692539999996</v>
          </cell>
          <cell r="Z28">
            <v>601.49077079999995</v>
          </cell>
          <cell r="AA28">
            <v>574.54685770000003</v>
          </cell>
          <cell r="AB28">
            <v>548.09275109999999</v>
          </cell>
          <cell r="AC28">
            <v>522.19317290000004</v>
          </cell>
          <cell r="AD28">
            <v>496.90443429999999</v>
          </cell>
          <cell r="AE28">
            <v>472.27394040000001</v>
          </cell>
          <cell r="AF28">
            <v>448.3405922</v>
          </cell>
          <cell r="AG28">
            <v>425.13559950000001</v>
          </cell>
          <cell r="AH28">
            <v>402.68299580000001</v>
          </cell>
          <cell r="AI28">
            <v>381.00051230000003</v>
          </cell>
          <cell r="AJ28">
            <v>360.10034889999997</v>
          </cell>
          <cell r="AK28">
            <v>339.98983709999999</v>
          </cell>
          <cell r="AL28">
            <v>320.66622360000002</v>
          </cell>
          <cell r="AM28">
            <v>302.1309794</v>
          </cell>
          <cell r="AN28">
            <v>284.38168100000001</v>
          </cell>
          <cell r="AO28">
            <v>267.4125641</v>
          </cell>
          <cell r="AP28">
            <v>251.21486200000001</v>
          </cell>
          <cell r="AQ28">
            <v>235.77716580000001</v>
          </cell>
          <cell r="AR28">
            <v>221.08561710000001</v>
          </cell>
          <cell r="AS28">
            <v>207.124267</v>
          </cell>
          <cell r="AT28">
            <v>193.87539960000001</v>
          </cell>
          <cell r="AU28">
            <v>181.31981920000001</v>
          </cell>
          <cell r="AV28">
            <v>169.43735340000001</v>
          </cell>
          <cell r="AW28">
            <v>158.2064877</v>
          </cell>
          <cell r="AX28">
            <v>147.6048997</v>
          </cell>
          <cell r="AY28">
            <v>137.6096915</v>
          </cell>
          <cell r="AZ28">
            <v>128.1975702</v>
          </cell>
          <cell r="BA28">
            <v>119.3450246</v>
          </cell>
          <cell r="BB28">
            <v>111.0283937</v>
          </cell>
          <cell r="BC28">
            <v>103.22401259999999</v>
          </cell>
          <cell r="BD28">
            <v>95.908336140000003</v>
          </cell>
          <cell r="BE28">
            <v>89.058043260000005</v>
          </cell>
        </row>
        <row r="29">
          <cell r="A29" t="str">
            <v>auto_cf_cfut_0</v>
          </cell>
          <cell r="B29">
            <v>1243.6668460000001</v>
          </cell>
          <cell r="C29">
            <v>1209.8308930000001</v>
          </cell>
          <cell r="D29">
            <v>1181.2328480000001</v>
          </cell>
          <cell r="E29">
            <v>1155.72228</v>
          </cell>
          <cell r="F29">
            <v>1131.862799</v>
          </cell>
          <cell r="G29">
            <v>1108.72516</v>
          </cell>
          <cell r="H29">
            <v>1085.6298549999999</v>
          </cell>
          <cell r="I29">
            <v>1062.229783</v>
          </cell>
          <cell r="J29">
            <v>1038.3240370000001</v>
          </cell>
          <cell r="K29">
            <v>1013.806243</v>
          </cell>
          <cell r="L29">
            <v>988.75868639999999</v>
          </cell>
          <cell r="M29">
            <v>963.03054429999997</v>
          </cell>
          <cell r="N29">
            <v>936.64861359999998</v>
          </cell>
          <cell r="O29">
            <v>909.66363349999995</v>
          </cell>
          <cell r="P29">
            <v>882.14587940000001</v>
          </cell>
          <cell r="Q29">
            <v>854.17999559999998</v>
          </cell>
          <cell r="R29">
            <v>825.86031009999999</v>
          </cell>
          <cell r="S29">
            <v>797.2868522</v>
          </cell>
          <cell r="T29">
            <v>768.56206310000005</v>
          </cell>
          <cell r="U29">
            <v>739.78813660000003</v>
          </cell>
          <cell r="V29">
            <v>711.02090810000004</v>
          </cell>
          <cell r="W29">
            <v>682.40982120000001</v>
          </cell>
          <cell r="X29">
            <v>654.04578249999997</v>
          </cell>
          <cell r="Y29">
            <v>626.01299319999998</v>
          </cell>
          <cell r="Z29">
            <v>598.38808519999998</v>
          </cell>
          <cell r="AA29">
            <v>571.15965719999997</v>
          </cell>
          <cell r="AB29">
            <v>544.45386229999997</v>
          </cell>
          <cell r="AC29">
            <v>518.33632480000006</v>
          </cell>
          <cell r="AD29">
            <v>492.86369810000002</v>
          </cell>
          <cell r="AE29">
            <v>468.08309459999998</v>
          </cell>
          <cell r="AF29">
            <v>444.03253339999998</v>
          </cell>
          <cell r="AG29">
            <v>420.74173430000002</v>
          </cell>
          <cell r="AH29">
            <v>398.2330078</v>
          </cell>
          <cell r="AI29">
            <v>376.52213519999998</v>
          </cell>
          <cell r="AJ29">
            <v>355.61918359999999</v>
          </cell>
          <cell r="AK29">
            <v>335.52923440000001</v>
          </cell>
          <cell r="AL29">
            <v>316.24697359999999</v>
          </cell>
          <cell r="AM29">
            <v>297.77156869999999</v>
          </cell>
          <cell r="AN29">
            <v>280.09861569999998</v>
          </cell>
          <cell r="AO29">
            <v>263.22044469999997</v>
          </cell>
          <cell r="AP29">
            <v>247.12639519999999</v>
          </cell>
          <cell r="AQ29">
            <v>231.8031331</v>
          </cell>
          <cell r="AR29">
            <v>217.23499330000001</v>
          </cell>
          <cell r="AS29">
            <v>203.4043207</v>
          </cell>
          <cell r="AT29">
            <v>190.29179310000001</v>
          </cell>
          <cell r="AU29">
            <v>177.8767172</v>
          </cell>
          <cell r="AV29">
            <v>166.13744270000001</v>
          </cell>
          <cell r="AW29">
            <v>155.0512377</v>
          </cell>
          <cell r="AX29">
            <v>144.59472099999999</v>
          </cell>
          <cell r="AY29">
            <v>134.7440502</v>
          </cell>
          <cell r="AZ29">
            <v>125.4750875</v>
          </cell>
          <cell r="BA29">
            <v>116.76354670000001</v>
          </cell>
          <cell r="BB29">
            <v>108.5851236</v>
          </cell>
          <cell r="BC29">
            <v>100.9156138</v>
          </cell>
          <cell r="BD29">
            <v>93.731018559999995</v>
          </cell>
          <cell r="BE29">
            <v>87.007641590000006</v>
          </cell>
        </row>
        <row r="30">
          <cell r="A30" t="str">
            <v>auto_cg_cfut_2</v>
          </cell>
          <cell r="B30">
            <v>2239.620606</v>
          </cell>
          <cell r="C30">
            <v>2181.7254790000002</v>
          </cell>
          <cell r="D30">
            <v>2130.6880080000001</v>
          </cell>
          <cell r="E30">
            <v>2082.4078199999999</v>
          </cell>
          <cell r="F30">
            <v>2034.351173</v>
          </cell>
          <cell r="G30">
            <v>1985.0527790000001</v>
          </cell>
          <cell r="H30">
            <v>1933.6033829999999</v>
          </cell>
          <cell r="I30">
            <v>1879.7411810000001</v>
          </cell>
          <cell r="J30">
            <v>1823.490683</v>
          </cell>
          <cell r="K30">
            <v>1765.0467189999999</v>
          </cell>
          <cell r="L30">
            <v>1704.882077</v>
          </cell>
          <cell r="M30">
            <v>1643.11196</v>
          </cell>
          <cell r="N30">
            <v>1580.1053429999999</v>
          </cell>
          <cell r="O30">
            <v>1516.243234</v>
          </cell>
          <cell r="P30">
            <v>1451.9055949999999</v>
          </cell>
          <cell r="Q30">
            <v>1387.4605630000001</v>
          </cell>
          <cell r="R30">
            <v>1323.2544029999999</v>
          </cell>
          <cell r="S30">
            <v>1259.611105</v>
          </cell>
          <cell r="T30">
            <v>1196.8264819999999</v>
          </cell>
          <cell r="U30">
            <v>1135.1650070000001</v>
          </cell>
          <cell r="V30">
            <v>1074.8159579999999</v>
          </cell>
          <cell r="W30">
            <v>1016.033831</v>
          </cell>
          <cell r="X30">
            <v>958.98553189999996</v>
          </cell>
          <cell r="Y30">
            <v>903.80687160000002</v>
          </cell>
          <cell r="Z30">
            <v>850.60452840000005</v>
          </cell>
          <cell r="AA30">
            <v>799.39660349999997</v>
          </cell>
          <cell r="AB30">
            <v>750.29551149999998</v>
          </cell>
          <cell r="AC30">
            <v>703.34537230000001</v>
          </cell>
          <cell r="AD30">
            <v>658.56775990000006</v>
          </cell>
          <cell r="AE30">
            <v>615.96410639999999</v>
          </cell>
          <cell r="AF30">
            <v>575.51857010000003</v>
          </cell>
          <cell r="AG30">
            <v>537.20086649999996</v>
          </cell>
          <cell r="AH30">
            <v>500.96864740000001</v>
          </cell>
          <cell r="AI30">
            <v>466.76982240000001</v>
          </cell>
          <cell r="AJ30">
            <v>434.54456329999999</v>
          </cell>
          <cell r="AK30">
            <v>404.2270231</v>
          </cell>
          <cell r="AL30">
            <v>375.7444228</v>
          </cell>
          <cell r="AM30">
            <v>349.02430199999998</v>
          </cell>
          <cell r="AN30">
            <v>323.9916245</v>
          </cell>
          <cell r="AO30">
            <v>300.56981560000003</v>
          </cell>
          <cell r="AP30">
            <v>278.68159559999998</v>
          </cell>
          <cell r="AQ30">
            <v>258.24971149999999</v>
          </cell>
          <cell r="AR30">
            <v>239.19752009999999</v>
          </cell>
          <cell r="AS30">
            <v>221.44953630000001</v>
          </cell>
          <cell r="AT30">
            <v>204.93188290000001</v>
          </cell>
          <cell r="AU30">
            <v>189.57265409999999</v>
          </cell>
          <cell r="AV30">
            <v>175.30225379999999</v>
          </cell>
          <cell r="AW30">
            <v>162.0534859</v>
          </cell>
          <cell r="AX30">
            <v>149.76180479999999</v>
          </cell>
          <cell r="AY30">
            <v>138.36544380000001</v>
          </cell>
          <cell r="AZ30">
            <v>127.8054908</v>
          </cell>
          <cell r="BA30">
            <v>118.0259276</v>
          </cell>
          <cell r="BB30">
            <v>108.9736255</v>
          </cell>
          <cell r="BC30">
            <v>100.5983294</v>
          </cell>
          <cell r="BD30">
            <v>92.852617929999994</v>
          </cell>
          <cell r="BE30">
            <v>85.691843329999998</v>
          </cell>
        </row>
        <row r="31">
          <cell r="A31" t="str">
            <v>auto_cg_cfut_0</v>
          </cell>
          <cell r="B31">
            <v>2239.620606</v>
          </cell>
          <cell r="C31">
            <v>2181.9449340000001</v>
          </cell>
          <cell r="D31">
            <v>2131.2497490000001</v>
          </cell>
          <cell r="E31">
            <v>2083.3175780000001</v>
          </cell>
          <cell r="F31">
            <v>2035.525864</v>
          </cell>
          <cell r="G31">
            <v>1986.3526409999999</v>
          </cell>
          <cell r="H31">
            <v>1934.8633769999999</v>
          </cell>
          <cell r="I31">
            <v>1880.7891970000001</v>
          </cell>
          <cell r="J31">
            <v>1824.1623549999999</v>
          </cell>
          <cell r="K31">
            <v>1765.1959019999999</v>
          </cell>
          <cell r="L31">
            <v>1704.3837060000001</v>
          </cell>
          <cell r="M31">
            <v>1641.8778990000001</v>
          </cell>
          <cell r="N31">
            <v>1578.076022</v>
          </cell>
          <cell r="O31">
            <v>1513.3857190000001</v>
          </cell>
          <cell r="P31">
            <v>1448.212004</v>
          </cell>
          <cell r="Q31">
            <v>1382.946042</v>
          </cell>
          <cell r="R31">
            <v>1317.9566480000001</v>
          </cell>
          <cell r="S31">
            <v>1253.584263</v>
          </cell>
          <cell r="T31">
            <v>1190.136996</v>
          </cell>
          <cell r="U31">
            <v>1127.888361</v>
          </cell>
          <cell r="V31">
            <v>1067.03594</v>
          </cell>
          <cell r="W31">
            <v>1007.834729</v>
          </cell>
          <cell r="X31">
            <v>950.45279140000002</v>
          </cell>
          <cell r="Y31">
            <v>895.02489600000001</v>
          </cell>
          <cell r="Z31">
            <v>841.65478859999996</v>
          </cell>
          <cell r="AA31">
            <v>790.36004330000003</v>
          </cell>
          <cell r="AB31">
            <v>741.24337720000005</v>
          </cell>
          <cell r="AC31">
            <v>694.34212449999995</v>
          </cell>
          <cell r="AD31">
            <v>649.67084220000004</v>
          </cell>
          <cell r="AE31">
            <v>607.22381949999999</v>
          </cell>
          <cell r="AF31">
            <v>566.97810030000005</v>
          </cell>
          <cell r="AG31">
            <v>528.89641549999999</v>
          </cell>
          <cell r="AH31">
            <v>492.92984730000001</v>
          </cell>
          <cell r="AI31">
            <v>459.02018199999998</v>
          </cell>
          <cell r="AJ31">
            <v>427.10195179999999</v>
          </cell>
          <cell r="AK31">
            <v>397.10418770000001</v>
          </cell>
          <cell r="AL31">
            <v>368.94952489999997</v>
          </cell>
          <cell r="AM31">
            <v>342.56145579999998</v>
          </cell>
          <cell r="AN31">
            <v>317.8615279</v>
          </cell>
          <cell r="AO31">
            <v>294.77022440000002</v>
          </cell>
          <cell r="AP31">
            <v>273.207739</v>
          </cell>
          <cell r="AQ31">
            <v>253.09466750000001</v>
          </cell>
          <cell r="AR31">
            <v>234.35260779999999</v>
          </cell>
          <cell r="AS31">
            <v>216.90466549999999</v>
          </cell>
          <cell r="AT31">
            <v>200.6758681</v>
          </cell>
          <cell r="AU31">
            <v>185.59349539999999</v>
          </cell>
          <cell r="AV31">
            <v>171.58736709999999</v>
          </cell>
          <cell r="AW31">
            <v>158.5899565</v>
          </cell>
          <cell r="AX31">
            <v>146.5365808</v>
          </cell>
          <cell r="AY31">
            <v>135.36549020000001</v>
          </cell>
          <cell r="AZ31">
            <v>125.0179163</v>
          </cell>
          <cell r="BA31">
            <v>115.4380865</v>
          </cell>
          <cell r="BB31">
            <v>106.5732088</v>
          </cell>
          <cell r="BC31">
            <v>98.373434110000005</v>
          </cell>
          <cell r="BD31">
            <v>90.791797799999998</v>
          </cell>
          <cell r="BE31">
            <v>83.784145499999994</v>
          </cell>
        </row>
        <row r="32">
          <cell r="A32" t="str">
            <v>auto_ca_cele_2</v>
          </cell>
          <cell r="B32">
            <v>9.8427898650000003</v>
          </cell>
          <cell r="C32">
            <v>14.88360548</v>
          </cell>
          <cell r="D32">
            <v>20.152690840000002</v>
          </cell>
          <cell r="E32">
            <v>25.553561460000001</v>
          </cell>
          <cell r="F32">
            <v>31.027048140000002</v>
          </cell>
          <cell r="G32">
            <v>36.54125732</v>
          </cell>
          <cell r="H32">
            <v>42.070151099999997</v>
          </cell>
          <cell r="I32">
            <v>47.606613950000003</v>
          </cell>
          <cell r="J32">
            <v>53.147672810000003</v>
          </cell>
          <cell r="K32">
            <v>58.692026839999997</v>
          </cell>
          <cell r="L32">
            <v>64.258306149999996</v>
          </cell>
          <cell r="M32">
            <v>69.825596279999999</v>
          </cell>
          <cell r="N32">
            <v>75.392135339999996</v>
          </cell>
          <cell r="O32">
            <v>80.955959329999999</v>
          </cell>
          <cell r="P32">
            <v>86.515364039999994</v>
          </cell>
          <cell r="Q32">
            <v>92.069057330000007</v>
          </cell>
          <cell r="R32">
            <v>97.615554329999995</v>
          </cell>
          <cell r="S32">
            <v>103.1540846</v>
          </cell>
          <cell r="T32">
            <v>108.6844396</v>
          </cell>
          <cell r="U32">
            <v>114.2069217</v>
          </cell>
          <cell r="V32">
            <v>119.7061966</v>
          </cell>
          <cell r="W32">
            <v>125.20022229999999</v>
          </cell>
          <cell r="X32">
            <v>130.69146900000001</v>
          </cell>
          <cell r="Y32">
            <v>136.18328270000001</v>
          </cell>
          <cell r="Z32">
            <v>141.67956649999999</v>
          </cell>
          <cell r="AA32">
            <v>147.13603660000001</v>
          </cell>
          <cell r="AB32">
            <v>152.58475989999999</v>
          </cell>
          <cell r="AC32">
            <v>158.0330515</v>
          </cell>
          <cell r="AD32">
            <v>163.49012440000001</v>
          </cell>
          <cell r="AE32">
            <v>168.96639350000001</v>
          </cell>
          <cell r="AF32">
            <v>174.47310060000001</v>
          </cell>
          <cell r="AG32">
            <v>180.0222947</v>
          </cell>
          <cell r="AH32">
            <v>185.62653090000001</v>
          </cell>
          <cell r="AI32">
            <v>191.2989293</v>
          </cell>
          <cell r="AJ32">
            <v>197.05325690000001</v>
          </cell>
          <cell r="AK32">
            <v>202.90401969999999</v>
          </cell>
          <cell r="AL32">
            <v>208.85491619999999</v>
          </cell>
          <cell r="AM32">
            <v>214.9230737</v>
          </cell>
          <cell r="AN32">
            <v>221.12661299999999</v>
          </cell>
          <cell r="AO32">
            <v>227.48510060000001</v>
          </cell>
          <cell r="AP32">
            <v>234.01960460000001</v>
          </cell>
          <cell r="AQ32">
            <v>240.7529332</v>
          </cell>
          <cell r="AR32">
            <v>247.7092548</v>
          </cell>
          <cell r="AS32">
            <v>254.914219</v>
          </cell>
          <cell r="AT32">
            <v>262.39510960000001</v>
          </cell>
          <cell r="AU32">
            <v>270.18102529999999</v>
          </cell>
          <cell r="AV32">
            <v>278.30551109999999</v>
          </cell>
          <cell r="AW32">
            <v>286.80254760000003</v>
          </cell>
          <cell r="AX32">
            <v>295.70839339999998</v>
          </cell>
          <cell r="AY32">
            <v>305.06196490000002</v>
          </cell>
          <cell r="AZ32">
            <v>314.90517970000002</v>
          </cell>
          <cell r="BA32">
            <v>325.28401209999998</v>
          </cell>
          <cell r="BB32">
            <v>336.24784</v>
          </cell>
          <cell r="BC32">
            <v>347.84996760000001</v>
          </cell>
          <cell r="BD32">
            <v>360.1481129</v>
          </cell>
          <cell r="BE32">
            <v>373.20485650000001</v>
          </cell>
        </row>
        <row r="33">
          <cell r="A33" t="str">
            <v>auto_ca_cele_0</v>
          </cell>
          <cell r="B33">
            <v>9.8427898650000003</v>
          </cell>
          <cell r="C33">
            <v>14.89886196</v>
          </cell>
          <cell r="D33">
            <v>20.20038954</v>
          </cell>
          <cell r="E33">
            <v>25.650971309999999</v>
          </cell>
          <cell r="F33">
            <v>31.190821669999998</v>
          </cell>
          <cell r="G33">
            <v>36.786967679999997</v>
          </cell>
          <cell r="H33">
            <v>42.412115980000003</v>
          </cell>
          <cell r="I33">
            <v>48.057659819999998</v>
          </cell>
          <cell r="J33">
            <v>53.719021290000001</v>
          </cell>
          <cell r="K33">
            <v>59.393277619999999</v>
          </cell>
          <cell r="L33">
            <v>65.097637399999996</v>
          </cell>
          <cell r="M33">
            <v>70.810180099999997</v>
          </cell>
          <cell r="N33">
            <v>76.528036670000006</v>
          </cell>
          <cell r="O33">
            <v>82.248112730000003</v>
          </cell>
          <cell r="P33">
            <v>87.96764211</v>
          </cell>
          <cell r="Q33">
            <v>93.684386950000004</v>
          </cell>
          <cell r="R33">
            <v>99.396698270000002</v>
          </cell>
          <cell r="S33">
            <v>105.1035349</v>
          </cell>
          <cell r="T33">
            <v>110.8044853</v>
          </cell>
          <cell r="U33">
            <v>116.4998078</v>
          </cell>
          <cell r="V33">
            <v>122.1741062</v>
          </cell>
          <cell r="W33">
            <v>127.84581059999999</v>
          </cell>
          <cell r="X33">
            <v>133.5180498</v>
          </cell>
          <cell r="Y33">
            <v>139.19507630000001</v>
          </cell>
          <cell r="Z33">
            <v>144.8819388</v>
          </cell>
          <cell r="AA33">
            <v>150.53490819999999</v>
          </cell>
          <cell r="AB33">
            <v>156.18734670000001</v>
          </cell>
          <cell r="AC33">
            <v>161.8481788</v>
          </cell>
          <cell r="AD33">
            <v>167.5285615</v>
          </cell>
          <cell r="AE33">
            <v>173.2411141</v>
          </cell>
          <cell r="AF33">
            <v>178.99951849999999</v>
          </cell>
          <cell r="AG33">
            <v>184.81832779999999</v>
          </cell>
          <cell r="AH33">
            <v>190.7129066</v>
          </cell>
          <cell r="AI33">
            <v>196.699454</v>
          </cell>
          <cell r="AJ33">
            <v>202.79507409999999</v>
          </cell>
          <cell r="AK33">
            <v>209.01787300000001</v>
          </cell>
          <cell r="AL33">
            <v>215.37342609999999</v>
          </cell>
          <cell r="AM33">
            <v>221.8820011</v>
          </cell>
          <cell r="AN33">
            <v>228.5655758</v>
          </cell>
          <cell r="AO33">
            <v>235.4481274</v>
          </cell>
          <cell r="AP33">
            <v>242.55564409999999</v>
          </cell>
          <cell r="AQ33">
            <v>249.91609410000001</v>
          </cell>
          <cell r="AR33">
            <v>257.55943710000003</v>
          </cell>
          <cell r="AS33">
            <v>265.51770320000003</v>
          </cell>
          <cell r="AT33">
            <v>273.82513729999999</v>
          </cell>
          <cell r="AU33">
            <v>282.51840140000002</v>
          </cell>
          <cell r="AV33">
            <v>291.63834370000001</v>
          </cell>
          <cell r="AW33">
            <v>301.22728940000002</v>
          </cell>
          <cell r="AX33">
            <v>311.33078540000002</v>
          </cell>
          <cell r="AY33">
            <v>321.99791850000003</v>
          </cell>
          <cell r="AZ33">
            <v>333.28169209999999</v>
          </cell>
          <cell r="BA33">
            <v>345.23943530000003</v>
          </cell>
          <cell r="BB33">
            <v>357.93323800000002</v>
          </cell>
          <cell r="BC33">
            <v>371.43040999999999</v>
          </cell>
          <cell r="BD33">
            <v>385.80396610000003</v>
          </cell>
          <cell r="BE33">
            <v>401.13314220000001</v>
          </cell>
        </row>
        <row r="34">
          <cell r="A34" t="str">
            <v>auto_cb_cele_2</v>
          </cell>
          <cell r="B34">
            <v>11.44571741</v>
          </cell>
          <cell r="C34">
            <v>16.200148469999998</v>
          </cell>
          <cell r="D34">
            <v>21.168687460000001</v>
          </cell>
          <cell r="E34">
            <v>26.2571671</v>
          </cell>
          <cell r="F34">
            <v>31.407909409999998</v>
          </cell>
          <cell r="G34">
            <v>36.589598590000001</v>
          </cell>
          <cell r="H34">
            <v>41.776630249999997</v>
          </cell>
          <cell r="I34">
            <v>46.961470339999998</v>
          </cell>
          <cell r="J34">
            <v>52.140516499999997</v>
          </cell>
          <cell r="K34">
            <v>57.311731709999997</v>
          </cell>
          <cell r="L34">
            <v>62.491848910000002</v>
          </cell>
          <cell r="M34">
            <v>67.660190880000002</v>
          </cell>
          <cell r="N34">
            <v>72.814203480000003</v>
          </cell>
          <cell r="O34">
            <v>77.951160340000001</v>
          </cell>
          <cell r="P34">
            <v>83.068605910000002</v>
          </cell>
          <cell r="Q34">
            <v>88.164504960000002</v>
          </cell>
          <cell r="R34">
            <v>93.236688419999993</v>
          </cell>
          <cell r="S34">
            <v>98.283708160000003</v>
          </cell>
          <cell r="T34">
            <v>103.30469720000001</v>
          </cell>
          <cell r="U34">
            <v>108.2993223</v>
          </cell>
          <cell r="V34">
            <v>113.25291110000001</v>
          </cell>
          <cell r="W34">
            <v>118.18160210000001</v>
          </cell>
          <cell r="X34">
            <v>123.0872435</v>
          </cell>
          <cell r="Y34">
            <v>127.9725157</v>
          </cell>
          <cell r="Z34">
            <v>132.8406324</v>
          </cell>
          <cell r="AA34">
            <v>137.65105070000001</v>
          </cell>
          <cell r="AB34">
            <v>142.43297190000001</v>
          </cell>
          <cell r="AC34">
            <v>147.1930136</v>
          </cell>
          <cell r="AD34">
            <v>151.9394897</v>
          </cell>
          <cell r="AE34">
            <v>156.681758</v>
          </cell>
          <cell r="AF34">
            <v>161.42986819999999</v>
          </cell>
          <cell r="AG34">
            <v>166.19453039999999</v>
          </cell>
          <cell r="AH34">
            <v>170.9868323</v>
          </cell>
          <cell r="AI34">
            <v>175.81827860000001</v>
          </cell>
          <cell r="AJ34">
            <v>180.700852</v>
          </cell>
          <cell r="AK34">
            <v>185.6470822</v>
          </cell>
          <cell r="AL34">
            <v>190.65983940000001</v>
          </cell>
          <cell r="AM34">
            <v>195.75381150000001</v>
          </cell>
          <cell r="AN34">
            <v>200.94442090000001</v>
          </cell>
          <cell r="AO34">
            <v>206.2481971</v>
          </cell>
          <cell r="AP34">
            <v>211.68279949999999</v>
          </cell>
          <cell r="AQ34">
            <v>217.26719800000001</v>
          </cell>
          <cell r="AR34">
            <v>223.02131180000001</v>
          </cell>
          <cell r="AS34">
            <v>228.96608509999999</v>
          </cell>
          <cell r="AT34">
            <v>235.12358689999999</v>
          </cell>
          <cell r="AU34">
            <v>241.51712929999999</v>
          </cell>
          <cell r="AV34">
            <v>248.1734836</v>
          </cell>
          <cell r="AW34">
            <v>255.1193586</v>
          </cell>
          <cell r="AX34">
            <v>262.38294239999999</v>
          </cell>
          <cell r="AY34">
            <v>269.99416980000001</v>
          </cell>
          <cell r="AZ34">
            <v>277.9849476</v>
          </cell>
          <cell r="BA34">
            <v>286.38996789999999</v>
          </cell>
          <cell r="BB34">
            <v>295.24605400000002</v>
          </cell>
          <cell r="BC34">
            <v>304.59249929999999</v>
          </cell>
          <cell r="BD34">
            <v>314.471363</v>
          </cell>
          <cell r="BE34">
            <v>324.92771620000002</v>
          </cell>
        </row>
        <row r="35">
          <cell r="A35" t="str">
            <v>auto_cb_cele_0</v>
          </cell>
          <cell r="B35">
            <v>11.44571741</v>
          </cell>
          <cell r="C35">
            <v>16.214745109999999</v>
          </cell>
          <cell r="D35">
            <v>21.214150369999999</v>
          </cell>
          <cell r="E35">
            <v>26.349649830000001</v>
          </cell>
          <cell r="F35">
            <v>31.56277201</v>
          </cell>
          <cell r="G35">
            <v>36.820968100000002</v>
          </cell>
          <cell r="H35">
            <v>42.097240929999998</v>
          </cell>
          <cell r="I35">
            <v>47.382442709999999</v>
          </cell>
          <cell r="J35">
            <v>52.67125575</v>
          </cell>
          <cell r="K35">
            <v>57.959921049999998</v>
          </cell>
          <cell r="L35">
            <v>63.263633570000003</v>
          </cell>
          <cell r="M35">
            <v>68.560614220000005</v>
          </cell>
          <cell r="N35">
            <v>73.847109520000004</v>
          </cell>
          <cell r="O35">
            <v>79.119186010000007</v>
          </cell>
          <cell r="P35">
            <v>84.373260799999997</v>
          </cell>
          <cell r="Q35">
            <v>89.606296080000007</v>
          </cell>
          <cell r="R35">
            <v>94.815861519999999</v>
          </cell>
          <cell r="S35">
            <v>100.0001558</v>
          </cell>
          <cell r="T35">
            <v>105.15802840000001</v>
          </cell>
          <cell r="U35">
            <v>110.2890147</v>
          </cell>
          <cell r="V35">
            <v>115.378348</v>
          </cell>
          <cell r="W35">
            <v>120.4424703</v>
          </cell>
          <cell r="X35">
            <v>125.48374560000001</v>
          </cell>
          <cell r="Y35">
            <v>130.50558649999999</v>
          </cell>
          <cell r="Z35">
            <v>135.51214390000001</v>
          </cell>
          <cell r="AA35">
            <v>140.46346220000001</v>
          </cell>
          <cell r="AB35">
            <v>145.3896852</v>
          </cell>
          <cell r="AC35">
            <v>150.29873180000001</v>
          </cell>
          <cell r="AD35">
            <v>155.2004828</v>
          </cell>
          <cell r="AE35">
            <v>160.10605799999999</v>
          </cell>
          <cell r="AF35">
            <v>165.02743609999999</v>
          </cell>
          <cell r="AG35">
            <v>169.97726489999999</v>
          </cell>
          <cell r="AH35">
            <v>174.9687893</v>
          </cell>
          <cell r="AI35">
            <v>180.01585259999999</v>
          </cell>
          <cell r="AJ35">
            <v>185.13293899999999</v>
          </cell>
          <cell r="AK35">
            <v>190.33523930000001</v>
          </cell>
          <cell r="AL35">
            <v>195.62678840000001</v>
          </cell>
          <cell r="AM35">
            <v>201.0243959</v>
          </cell>
          <cell r="AN35">
            <v>206.5461541</v>
          </cell>
          <cell r="AO35">
            <v>212.21164880000001</v>
          </cell>
          <cell r="AP35">
            <v>218.04192750000001</v>
          </cell>
          <cell r="AQ35">
            <v>224.05943250000001</v>
          </cell>
          <cell r="AR35">
            <v>230.28796929999999</v>
          </cell>
          <cell r="AS35">
            <v>236.75273000000001</v>
          </cell>
          <cell r="AT35">
            <v>243.48036809999999</v>
          </cell>
          <cell r="AU35">
            <v>250.4991163</v>
          </cell>
          <cell r="AV35">
            <v>257.84022679999998</v>
          </cell>
          <cell r="AW35">
            <v>265.53558850000002</v>
          </cell>
          <cell r="AX35">
            <v>273.61914189999999</v>
          </cell>
          <cell r="AY35">
            <v>282.12706159999999</v>
          </cell>
          <cell r="AZ35">
            <v>291.09797659999998</v>
          </cell>
          <cell r="BA35">
            <v>300.57320349999998</v>
          </cell>
          <cell r="BB35">
            <v>310.59698559999998</v>
          </cell>
          <cell r="BC35">
            <v>321.21673579999998</v>
          </cell>
          <cell r="BD35">
            <v>332.48328179999999</v>
          </cell>
          <cell r="BE35">
            <v>344.45111650000001</v>
          </cell>
        </row>
        <row r="36">
          <cell r="A36" t="str">
            <v>auto_cc_cele_2</v>
          </cell>
          <cell r="B36">
            <v>9.4015406210000005</v>
          </cell>
          <cell r="C36">
            <v>12.62980986</v>
          </cell>
          <cell r="D36">
            <v>16.003013079999999</v>
          </cell>
          <cell r="E36">
            <v>19.454926879999999</v>
          </cell>
          <cell r="F36">
            <v>22.945042170000001</v>
          </cell>
          <cell r="G36">
            <v>26.451220859999999</v>
          </cell>
          <cell r="H36">
            <v>29.955343429999999</v>
          </cell>
          <cell r="I36">
            <v>33.451737280000003</v>
          </cell>
          <cell r="J36">
            <v>36.937425359999999</v>
          </cell>
          <cell r="K36">
            <v>40.410492099999999</v>
          </cell>
          <cell r="L36">
            <v>43.881773180000003</v>
          </cell>
          <cell r="M36">
            <v>47.33659171</v>
          </cell>
          <cell r="N36">
            <v>50.772642519999998</v>
          </cell>
          <cell r="O36">
            <v>54.187522090000002</v>
          </cell>
          <cell r="P36">
            <v>57.579034589999999</v>
          </cell>
          <cell r="Q36">
            <v>60.94529738</v>
          </cell>
          <cell r="R36">
            <v>64.284374589999999</v>
          </cell>
          <cell r="S36">
            <v>67.594857349999998</v>
          </cell>
          <cell r="T36">
            <v>70.875770720000006</v>
          </cell>
          <cell r="U36">
            <v>74.126540610000006</v>
          </cell>
          <cell r="V36">
            <v>77.337115560000001</v>
          </cell>
          <cell r="W36">
            <v>80.51800661</v>
          </cell>
          <cell r="X36">
            <v>83.670219169999996</v>
          </cell>
          <cell r="Y36">
            <v>86.795328330000004</v>
          </cell>
          <cell r="Z36">
            <v>89.895277410000006</v>
          </cell>
          <cell r="AA36">
            <v>92.943359040000004</v>
          </cell>
          <cell r="AB36">
            <v>95.958799639999995</v>
          </cell>
          <cell r="AC36">
            <v>98.945962730000005</v>
          </cell>
          <cell r="AD36">
            <v>101.91029930000001</v>
          </cell>
          <cell r="AE36">
            <v>104.8579063</v>
          </cell>
          <cell r="AF36">
            <v>107.79528910000001</v>
          </cell>
          <cell r="AG36">
            <v>110.7293305</v>
          </cell>
          <cell r="AH36">
            <v>113.66709950000001</v>
          </cell>
          <cell r="AI36">
            <v>116.6158685</v>
          </cell>
          <cell r="AJ36">
            <v>119.5831434</v>
          </cell>
          <cell r="AK36">
            <v>122.5766995</v>
          </cell>
          <cell r="AL36">
            <v>125.5980806</v>
          </cell>
          <cell r="AM36">
            <v>128.65631160000001</v>
          </cell>
          <cell r="AN36">
            <v>131.76078000000001</v>
          </cell>
          <cell r="AO36">
            <v>134.9214557</v>
          </cell>
          <cell r="AP36">
            <v>138.14888809999999</v>
          </cell>
          <cell r="AQ36">
            <v>141.45430239999999</v>
          </cell>
          <cell r="AR36">
            <v>144.8493536</v>
          </cell>
          <cell r="AS36">
            <v>148.34615550000001</v>
          </cell>
          <cell r="AT36">
            <v>151.9573231</v>
          </cell>
          <cell r="AU36">
            <v>155.69602359999999</v>
          </cell>
          <cell r="AV36">
            <v>159.57731799999999</v>
          </cell>
          <cell r="AW36">
            <v>163.61594070000001</v>
          </cell>
          <cell r="AX36">
            <v>167.8272292</v>
          </cell>
          <cell r="AY36">
            <v>172.22725689999999</v>
          </cell>
          <cell r="AZ36">
            <v>176.83293459999999</v>
          </cell>
          <cell r="BA36">
            <v>181.66245989999999</v>
          </cell>
          <cell r="BB36">
            <v>186.7348652</v>
          </cell>
          <cell r="BC36">
            <v>192.0701693</v>
          </cell>
          <cell r="BD36">
            <v>197.6894973</v>
          </cell>
          <cell r="BE36">
            <v>203.6151625</v>
          </cell>
        </row>
        <row r="37">
          <cell r="A37" t="str">
            <v>auto_cc_cele_0</v>
          </cell>
          <cell r="B37">
            <v>9.4015406210000005</v>
          </cell>
          <cell r="C37">
            <v>12.63987509</v>
          </cell>
          <cell r="D37">
            <v>16.03424343</v>
          </cell>
          <cell r="E37">
            <v>19.518207180000001</v>
          </cell>
          <cell r="F37">
            <v>23.050570629999999</v>
          </cell>
          <cell r="G37">
            <v>26.608209479999999</v>
          </cell>
          <cell r="H37">
            <v>30.17191515</v>
          </cell>
          <cell r="I37">
            <v>33.734778220000003</v>
          </cell>
          <cell r="J37">
            <v>37.292521190000002</v>
          </cell>
          <cell r="K37">
            <v>40.841931649999999</v>
          </cell>
          <cell r="L37">
            <v>44.392671749999998</v>
          </cell>
          <cell r="M37">
            <v>47.929219840000002</v>
          </cell>
          <cell r="N37">
            <v>51.448359629999999</v>
          </cell>
          <cell r="O37">
            <v>54.946782300000002</v>
          </cell>
          <cell r="P37">
            <v>58.421452789999996</v>
          </cell>
          <cell r="Q37">
            <v>61.869745600000002</v>
          </cell>
          <cell r="R37">
            <v>65.289490189999995</v>
          </cell>
          <cell r="S37">
            <v>68.678987460000002</v>
          </cell>
          <cell r="T37">
            <v>72.037024340000002</v>
          </cell>
          <cell r="U37">
            <v>75.36289515</v>
          </cell>
          <cell r="V37">
            <v>78.646477840000003</v>
          </cell>
          <cell r="W37">
            <v>81.898415240000006</v>
          </cell>
          <cell r="X37">
            <v>85.120013270000001</v>
          </cell>
          <cell r="Y37">
            <v>88.313285480000005</v>
          </cell>
          <cell r="Z37">
            <v>91.480740690000005</v>
          </cell>
          <cell r="AA37">
            <v>94.596134180000007</v>
          </cell>
          <cell r="AB37">
            <v>97.679175849999993</v>
          </cell>
          <cell r="AC37">
            <v>100.7349995</v>
          </cell>
          <cell r="AD37">
            <v>103.7699779</v>
          </cell>
          <cell r="AE37">
            <v>106.79123319999999</v>
          </cell>
          <cell r="AF37">
            <v>109.80637830000001</v>
          </cell>
          <cell r="AG37">
            <v>112.8233819</v>
          </cell>
          <cell r="AH37">
            <v>115.8505109</v>
          </cell>
          <cell r="AI37">
            <v>118.89631850000001</v>
          </cell>
          <cell r="AJ37">
            <v>121.9696605</v>
          </cell>
          <cell r="AK37">
            <v>125.0797242</v>
          </cell>
          <cell r="AL37">
            <v>128.22853839999999</v>
          </cell>
          <cell r="AM37">
            <v>131.42612990000001</v>
          </cell>
          <cell r="AN37">
            <v>134.6831942</v>
          </cell>
          <cell r="AO37">
            <v>138.01120299999999</v>
          </cell>
          <cell r="AP37">
            <v>141.42235919999999</v>
          </cell>
          <cell r="AQ37">
            <v>144.92953230000001</v>
          </cell>
          <cell r="AR37">
            <v>148.54621499999999</v>
          </cell>
          <cell r="AS37">
            <v>152.28651249999999</v>
          </cell>
          <cell r="AT37">
            <v>156.16516200000001</v>
          </cell>
          <cell r="AU37">
            <v>160.19757569999999</v>
          </cell>
          <cell r="AV37">
            <v>164.4006861</v>
          </cell>
          <cell r="AW37">
            <v>168.79144740000001</v>
          </cell>
          <cell r="AX37">
            <v>173.38766559999999</v>
          </cell>
          <cell r="AY37">
            <v>178.208066</v>
          </cell>
          <cell r="AZ37">
            <v>183.2723775</v>
          </cell>
          <cell r="BA37">
            <v>188.60141849999999</v>
          </cell>
          <cell r="BB37">
            <v>194.21717960000001</v>
          </cell>
          <cell r="BC37">
            <v>200.1429014</v>
          </cell>
          <cell r="BD37">
            <v>206.40314599999999</v>
          </cell>
          <cell r="BE37">
            <v>213.0238635</v>
          </cell>
        </row>
        <row r="38">
          <cell r="A38" t="str">
            <v>auto_cd_cele_2</v>
          </cell>
          <cell r="B38">
            <v>5.770071272</v>
          </cell>
          <cell r="C38">
            <v>7.5275392410000004</v>
          </cell>
          <cell r="D38">
            <v>9.3509937010000002</v>
          </cell>
          <cell r="E38">
            <v>11.198649959999999</v>
          </cell>
          <cell r="F38">
            <v>13.043343500000001</v>
          </cell>
          <cell r="G38">
            <v>14.868541629999999</v>
          </cell>
          <cell r="H38">
            <v>16.660772699999999</v>
          </cell>
          <cell r="I38">
            <v>18.414035399999999</v>
          </cell>
          <cell r="J38">
            <v>20.12444751</v>
          </cell>
          <cell r="K38">
            <v>21.789241449999999</v>
          </cell>
          <cell r="L38">
            <v>23.412314469999998</v>
          </cell>
          <cell r="M38">
            <v>24.985312159999999</v>
          </cell>
          <cell r="N38">
            <v>26.506380620000002</v>
          </cell>
          <cell r="O38">
            <v>27.973867609999999</v>
          </cell>
          <cell r="P38">
            <v>29.3864068</v>
          </cell>
          <cell r="Q38">
            <v>30.74291925</v>
          </cell>
          <cell r="R38">
            <v>32.042424850000003</v>
          </cell>
          <cell r="S38">
            <v>33.284274809999999</v>
          </cell>
          <cell r="T38">
            <v>34.468070050000001</v>
          </cell>
          <cell r="U38">
            <v>35.593614760000001</v>
          </cell>
          <cell r="V38">
            <v>36.656936829999999</v>
          </cell>
          <cell r="W38">
            <v>37.662416180000001</v>
          </cell>
          <cell r="X38">
            <v>38.610460779999997</v>
          </cell>
          <cell r="Y38">
            <v>39.501644640000002</v>
          </cell>
          <cell r="Z38">
            <v>40.336625189999999</v>
          </cell>
          <cell r="AA38">
            <v>41.105798909999997</v>
          </cell>
          <cell r="AB38">
            <v>41.816354080000004</v>
          </cell>
          <cell r="AC38">
            <v>42.469862829999997</v>
          </cell>
          <cell r="AD38">
            <v>43.068113680000003</v>
          </cell>
          <cell r="AE38">
            <v>43.612948780000004</v>
          </cell>
          <cell r="AF38">
            <v>44.106182920000002</v>
          </cell>
          <cell r="AG38">
            <v>44.549591679999999</v>
          </cell>
          <cell r="AH38">
            <v>44.944852529999999</v>
          </cell>
          <cell r="AI38">
            <v>45.293555009999999</v>
          </cell>
          <cell r="AJ38">
            <v>45.597213320000002</v>
          </cell>
          <cell r="AK38">
            <v>45.857277809999999</v>
          </cell>
          <cell r="AL38">
            <v>46.073455750000001</v>
          </cell>
          <cell r="AM38">
            <v>46.247370220000001</v>
          </cell>
          <cell r="AN38">
            <v>46.380581720000002</v>
          </cell>
          <cell r="AO38">
            <v>46.4746369</v>
          </cell>
          <cell r="AP38">
            <v>46.531059380000002</v>
          </cell>
          <cell r="AQ38">
            <v>46.551360520000003</v>
          </cell>
          <cell r="AR38">
            <v>46.53697828</v>
          </cell>
          <cell r="AS38">
            <v>46.489282920000001</v>
          </cell>
          <cell r="AT38">
            <v>46.409584860000002</v>
          </cell>
          <cell r="AU38">
            <v>46.299142879999998</v>
          </cell>
          <cell r="AV38">
            <v>46.159383910000003</v>
          </cell>
          <cell r="AW38">
            <v>45.991500240000001</v>
          </cell>
          <cell r="AX38">
            <v>45.796627059999999</v>
          </cell>
          <cell r="AY38">
            <v>45.575866840000003</v>
          </cell>
          <cell r="AZ38">
            <v>45.330303270000002</v>
          </cell>
          <cell r="BA38">
            <v>45.061054370000001</v>
          </cell>
          <cell r="BB38">
            <v>44.769201840000001</v>
          </cell>
          <cell r="BC38">
            <v>44.45580966</v>
          </cell>
          <cell r="BD38">
            <v>44.121935260000001</v>
          </cell>
          <cell r="BE38">
            <v>43.768633819999998</v>
          </cell>
        </row>
        <row r="39">
          <cell r="A39" t="str">
            <v>auto_cd_cele_0</v>
          </cell>
          <cell r="B39">
            <v>5.770071272</v>
          </cell>
          <cell r="C39">
            <v>7.5327415679999996</v>
          </cell>
          <cell r="D39">
            <v>9.3668837119999999</v>
          </cell>
          <cell r="E39">
            <v>11.23031806</v>
          </cell>
          <cell r="F39">
            <v>13.09531011</v>
          </cell>
          <cell r="G39">
            <v>14.944676830000001</v>
          </cell>
          <cell r="H39">
            <v>16.764320139999999</v>
          </cell>
          <cell r="I39">
            <v>18.547595770000001</v>
          </cell>
          <cell r="J39">
            <v>20.290004150000001</v>
          </cell>
          <cell r="K39">
            <v>21.98821066</v>
          </cell>
          <cell r="L39">
            <v>23.645631219999999</v>
          </cell>
          <cell r="M39">
            <v>25.253634030000001</v>
          </cell>
          <cell r="N39">
            <v>26.810050319999998</v>
          </cell>
          <cell r="O39">
            <v>28.312929700000002</v>
          </cell>
          <cell r="P39">
            <v>29.760654509999998</v>
          </cell>
          <cell r="Q39">
            <v>31.15195344</v>
          </cell>
          <cell r="R39">
            <v>32.485880479999999</v>
          </cell>
          <cell r="S39">
            <v>33.761785439999997</v>
          </cell>
          <cell r="T39">
            <v>34.97928666</v>
          </cell>
          <cell r="U39">
            <v>36.138249039999998</v>
          </cell>
          <cell r="V39">
            <v>37.234775120000002</v>
          </cell>
          <cell r="W39">
            <v>38.273410810000001</v>
          </cell>
          <cell r="X39">
            <v>39.254779859999999</v>
          </cell>
          <cell r="Y39">
            <v>40.17971</v>
          </cell>
          <cell r="Z39">
            <v>41.049141659999997</v>
          </cell>
          <cell r="AA39">
            <v>41.853626990000002</v>
          </cell>
          <cell r="AB39">
            <v>42.600605850000001</v>
          </cell>
          <cell r="AC39">
            <v>43.291960330000002</v>
          </cell>
          <cell r="AD39">
            <v>43.929824179999997</v>
          </cell>
          <cell r="AE39">
            <v>44.516396729999997</v>
          </cell>
          <cell r="AF39">
            <v>45.053850679999996</v>
          </cell>
          <cell r="AG39">
            <v>45.54428772</v>
          </cell>
          <cell r="AH39">
            <v>45.989721680000002</v>
          </cell>
          <cell r="AI39">
            <v>46.392076969999998</v>
          </cell>
          <cell r="AJ39">
            <v>46.753194919999999</v>
          </cell>
          <cell r="AK39">
            <v>47.074843010000002</v>
          </cell>
          <cell r="AL39">
            <v>47.35674135</v>
          </cell>
          <cell r="AM39">
            <v>47.600716300000002</v>
          </cell>
          <cell r="AN39">
            <v>47.808599469999997</v>
          </cell>
          <cell r="AO39">
            <v>47.982233430000001</v>
          </cell>
          <cell r="AP39">
            <v>48.123443510000001</v>
          </cell>
          <cell r="AQ39">
            <v>48.234010670000004</v>
          </cell>
          <cell r="AR39">
            <v>48.315653759999996</v>
          </cell>
          <cell r="AS39">
            <v>48.370021749999999</v>
          </cell>
          <cell r="AT39">
            <v>48.398693469999998</v>
          </cell>
          <cell r="AU39">
            <v>48.40318207</v>
          </cell>
          <cell r="AV39">
            <v>48.385082879999999</v>
          </cell>
          <cell r="AW39">
            <v>48.345785220000003</v>
          </cell>
          <cell r="AX39">
            <v>48.286630449999997</v>
          </cell>
          <cell r="AY39">
            <v>48.208918160000003</v>
          </cell>
          <cell r="AZ39">
            <v>48.11391339</v>
          </cell>
          <cell r="BA39">
            <v>48.002852269999998</v>
          </cell>
          <cell r="BB39">
            <v>47.876945640000002</v>
          </cell>
          <cell r="BC39">
            <v>47.737380850000001</v>
          </cell>
          <cell r="BD39">
            <v>47.585322079999997</v>
          </cell>
          <cell r="BE39">
            <v>47.421909460000002</v>
          </cell>
        </row>
        <row r="40">
          <cell r="A40" t="str">
            <v>auto_ce_cele_2</v>
          </cell>
          <cell r="B40">
            <v>3.4730440960000002</v>
          </cell>
          <cell r="C40">
            <v>4.552073204</v>
          </cell>
          <cell r="D40">
            <v>5.6634816600000004</v>
          </cell>
          <cell r="E40">
            <v>6.7799916209999997</v>
          </cell>
          <cell r="F40">
            <v>7.883939764</v>
          </cell>
          <cell r="G40">
            <v>8.9644986339999999</v>
          </cell>
          <cell r="H40">
            <v>10.01300674</v>
          </cell>
          <cell r="I40">
            <v>11.02550023</v>
          </cell>
          <cell r="J40">
            <v>11.99945087</v>
          </cell>
          <cell r="K40">
            <v>12.933126639999999</v>
          </cell>
          <cell r="L40">
            <v>13.82867512</v>
          </cell>
          <cell r="M40">
            <v>14.681365749999999</v>
          </cell>
          <cell r="N40">
            <v>15.49028983</v>
          </cell>
          <cell r="O40">
            <v>16.25474569</v>
          </cell>
          <cell r="P40">
            <v>16.974274319999999</v>
          </cell>
          <cell r="Q40">
            <v>17.648650700000001</v>
          </cell>
          <cell r="R40">
            <v>18.277778260000002</v>
          </cell>
          <cell r="S40">
            <v>18.861807049999999</v>
          </cell>
          <cell r="T40">
            <v>19.401080669999999</v>
          </cell>
          <cell r="U40">
            <v>19.896102549999998</v>
          </cell>
          <cell r="V40">
            <v>20.345545900000001</v>
          </cell>
          <cell r="W40">
            <v>20.75233398</v>
          </cell>
          <cell r="X40">
            <v>21.117395290000001</v>
          </cell>
          <cell r="Y40">
            <v>21.441757580000001</v>
          </cell>
          <cell r="Z40">
            <v>21.726504089999999</v>
          </cell>
          <cell r="AA40">
            <v>21.96797969</v>
          </cell>
          <cell r="AB40">
            <v>22.170483140000002</v>
          </cell>
          <cell r="AC40">
            <v>22.335640829999999</v>
          </cell>
          <cell r="AD40">
            <v>22.465152289999999</v>
          </cell>
          <cell r="AE40">
            <v>22.560711730000001</v>
          </cell>
          <cell r="AF40">
            <v>22.62397163</v>
          </cell>
          <cell r="AG40">
            <v>22.656537849999999</v>
          </cell>
          <cell r="AH40">
            <v>22.659945329999999</v>
          </cell>
          <cell r="AI40">
            <v>22.635664290000001</v>
          </cell>
          <cell r="AJ40">
            <v>22.585107229999998</v>
          </cell>
          <cell r="AK40">
            <v>22.509635379999999</v>
          </cell>
          <cell r="AL40">
            <v>22.409908120000001</v>
          </cell>
          <cell r="AM40">
            <v>22.287335379999998</v>
          </cell>
          <cell r="AN40">
            <v>22.143276319999998</v>
          </cell>
          <cell r="AO40">
            <v>21.979057350000001</v>
          </cell>
          <cell r="AP40">
            <v>21.795968420000001</v>
          </cell>
          <cell r="AQ40">
            <v>21.59526683</v>
          </cell>
          <cell r="AR40">
            <v>21.378155769999999</v>
          </cell>
          <cell r="AS40">
            <v>21.145787899999998</v>
          </cell>
          <cell r="AT40">
            <v>20.89926943</v>
          </cell>
          <cell r="AU40">
            <v>20.639664010000001</v>
          </cell>
          <cell r="AV40">
            <v>20.368063530000001</v>
          </cell>
          <cell r="AW40">
            <v>20.08545561</v>
          </cell>
          <cell r="AX40">
            <v>19.792784869999998</v>
          </cell>
          <cell r="AY40">
            <v>19.490961970000001</v>
          </cell>
          <cell r="AZ40">
            <v>19.180868539999999</v>
          </cell>
          <cell r="BA40">
            <v>18.86337223</v>
          </cell>
          <cell r="BB40">
            <v>18.539305200000001</v>
          </cell>
          <cell r="BC40">
            <v>18.209469519999999</v>
          </cell>
          <cell r="BD40">
            <v>17.874640299999999</v>
          </cell>
          <cell r="BE40">
            <v>17.535566559999999</v>
          </cell>
        </row>
        <row r="41">
          <cell r="A41" t="str">
            <v>auto_ce_cele_0</v>
          </cell>
          <cell r="B41">
            <v>3.4730440960000002</v>
          </cell>
          <cell r="C41">
            <v>4.5551872319999998</v>
          </cell>
          <cell r="D41">
            <v>5.672843114</v>
          </cell>
          <cell r="E41">
            <v>6.7983425439999996</v>
          </cell>
          <cell r="F41">
            <v>7.9135469269999996</v>
          </cell>
          <cell r="G41">
            <v>9.0071339360000007</v>
          </cell>
          <cell r="H41">
            <v>10.06999121</v>
          </cell>
          <cell r="I41">
            <v>11.09771656</v>
          </cell>
          <cell r="J41">
            <v>12.08738001</v>
          </cell>
          <cell r="K41">
            <v>13.03689687</v>
          </cell>
          <cell r="L41">
            <v>13.948119439999999</v>
          </cell>
          <cell r="M41">
            <v>14.816169970000001</v>
          </cell>
          <cell r="N41">
            <v>15.63997359</v>
          </cell>
          <cell r="O41">
            <v>16.41868346</v>
          </cell>
          <cell r="P41">
            <v>17.151732689999999</v>
          </cell>
          <cell r="Q41">
            <v>17.838830600000001</v>
          </cell>
          <cell r="R41">
            <v>18.479941159999999</v>
          </cell>
          <cell r="S41">
            <v>19.07525742</v>
          </cell>
          <cell r="T41">
            <v>19.62517712</v>
          </cell>
          <cell r="U41">
            <v>20.130280769999999</v>
          </cell>
          <cell r="V41">
            <v>20.589338779999999</v>
          </cell>
          <cell r="W41">
            <v>21.005387590000002</v>
          </cell>
          <cell r="X41">
            <v>21.379502120000001</v>
          </cell>
          <cell r="Y41">
            <v>21.712868069999999</v>
          </cell>
          <cell r="Z41">
            <v>22.00673218</v>
          </cell>
          <cell r="AA41">
            <v>22.257573319999999</v>
          </cell>
          <cell r="AB41">
            <v>22.46979876</v>
          </cell>
          <cell r="AC41">
            <v>22.645181990000001</v>
          </cell>
          <cell r="AD41">
            <v>22.78557434</v>
          </cell>
          <cell r="AE41">
            <v>22.892815379999998</v>
          </cell>
          <cell r="AF41">
            <v>22.9686913</v>
          </cell>
          <cell r="AG41">
            <v>23.014916450000001</v>
          </cell>
          <cell r="AH41">
            <v>23.033127579999999</v>
          </cell>
          <cell r="AI41">
            <v>23.02488507</v>
          </cell>
          <cell r="AJ41">
            <v>22.991677500000002</v>
          </cell>
          <cell r="AK41">
            <v>22.93492754</v>
          </cell>
          <cell r="AL41">
            <v>22.855236399999999</v>
          </cell>
          <cell r="AM41">
            <v>22.754019230000001</v>
          </cell>
          <cell r="AN41">
            <v>22.63265986</v>
          </cell>
          <cell r="AO41">
            <v>22.49250997</v>
          </cell>
          <cell r="AP41">
            <v>22.334877250000002</v>
          </cell>
          <cell r="AQ41">
            <v>22.161015949999999</v>
          </cell>
          <cell r="AR41">
            <v>21.972121770000001</v>
          </cell>
          <cell r="AS41">
            <v>21.769330920000002</v>
          </cell>
          <cell r="AT41">
            <v>21.55372169</v>
          </cell>
          <cell r="AU41">
            <v>21.326317719999999</v>
          </cell>
          <cell r="AV41">
            <v>21.088136519999999</v>
          </cell>
          <cell r="AW41">
            <v>20.84009665</v>
          </cell>
          <cell r="AX41">
            <v>20.583071839999999</v>
          </cell>
          <cell r="AY41">
            <v>20.317894209999999</v>
          </cell>
          <cell r="AZ41">
            <v>20.045357330000002</v>
          </cell>
          <cell r="BA41">
            <v>19.76621866</v>
          </cell>
          <cell r="BB41">
            <v>19.481201120000001</v>
          </cell>
          <cell r="BC41">
            <v>19.190993989999999</v>
          </cell>
          <cell r="BD41">
            <v>18.896253460000001</v>
          </cell>
          <cell r="BE41">
            <v>18.597602810000001</v>
          </cell>
        </row>
        <row r="42">
          <cell r="A42" t="str">
            <v>auto_cf_cele_2</v>
          </cell>
          <cell r="B42">
            <v>1.7251505170000001</v>
          </cell>
          <cell r="C42">
            <v>2.2364000829999999</v>
          </cell>
          <cell r="D42">
            <v>2.7499149979999999</v>
          </cell>
          <cell r="E42">
            <v>3.2499778789999998</v>
          </cell>
          <cell r="F42">
            <v>3.7266340690000002</v>
          </cell>
          <cell r="G42">
            <v>4.1739225339999999</v>
          </cell>
          <cell r="H42">
            <v>4.5876249299999996</v>
          </cell>
          <cell r="I42">
            <v>4.9661596870000002</v>
          </cell>
          <cell r="J42">
            <v>5.3090028739999999</v>
          </cell>
          <cell r="K42">
            <v>5.6162933559999999</v>
          </cell>
          <cell r="L42">
            <v>5.8897837700000002</v>
          </cell>
          <cell r="M42">
            <v>6.1289480550000004</v>
          </cell>
          <cell r="N42">
            <v>6.3348239079999997</v>
          </cell>
          <cell r="O42">
            <v>6.508636804</v>
          </cell>
          <cell r="P42">
            <v>6.651770505</v>
          </cell>
          <cell r="Q42">
            <v>6.7657309950000002</v>
          </cell>
          <cell r="R42">
            <v>6.8520931389999999</v>
          </cell>
          <cell r="S42">
            <v>6.9125114779999999</v>
          </cell>
          <cell r="T42">
            <v>6.9486822249999998</v>
          </cell>
          <cell r="U42">
            <v>6.9623153259999997</v>
          </cell>
          <cell r="V42">
            <v>6.9546940289999997</v>
          </cell>
          <cell r="W42">
            <v>6.9279962389999996</v>
          </cell>
          <cell r="X42">
            <v>6.883872813</v>
          </cell>
          <cell r="Y42">
            <v>6.8239232049999998</v>
          </cell>
          <cell r="Z42">
            <v>6.7496844960000004</v>
          </cell>
          <cell r="AA42">
            <v>6.6618597499999996</v>
          </cell>
          <cell r="AB42">
            <v>6.5624484199999999</v>
          </cell>
          <cell r="AC42">
            <v>6.4528867239999999</v>
          </cell>
          <cell r="AD42">
            <v>6.3345237120000002</v>
          </cell>
          <cell r="AE42">
            <v>6.2086131399999998</v>
          </cell>
          <cell r="AF42">
            <v>6.0763139700000002</v>
          </cell>
          <cell r="AG42">
            <v>5.9386951760000004</v>
          </cell>
          <cell r="AH42">
            <v>5.7967383330000004</v>
          </cell>
          <cell r="AI42">
            <v>5.6513437870000001</v>
          </cell>
          <cell r="AJ42">
            <v>5.503336343</v>
          </cell>
          <cell r="AK42">
            <v>5.3534703830000003</v>
          </cell>
          <cell r="AL42">
            <v>5.2023834610000002</v>
          </cell>
          <cell r="AM42">
            <v>5.0507212209999999</v>
          </cell>
          <cell r="AN42">
            <v>4.8990674289999996</v>
          </cell>
          <cell r="AO42">
            <v>4.7479485969999997</v>
          </cell>
          <cell r="AP42">
            <v>4.5978369880000001</v>
          </cell>
          <cell r="AQ42">
            <v>4.4491539710000003</v>
          </cell>
          <cell r="AR42">
            <v>4.3022720620000001</v>
          </cell>
          <cell r="AS42">
            <v>4.1575184319999998</v>
          </cell>
          <cell r="AT42">
            <v>4.0151782100000002</v>
          </cell>
          <cell r="AU42">
            <v>3.8754975649999999</v>
          </cell>
          <cell r="AV42">
            <v>3.7386886480000001</v>
          </cell>
          <cell r="AW42">
            <v>3.604927473</v>
          </cell>
          <cell r="AX42">
            <v>3.4743590480000002</v>
          </cell>
          <cell r="AY42">
            <v>3.3471001500000002</v>
          </cell>
          <cell r="AZ42">
            <v>3.2232417259999999</v>
          </cell>
          <cell r="BA42">
            <v>3.102851281</v>
          </cell>
          <cell r="BB42">
            <v>2.9859744479999999</v>
          </cell>
          <cell r="BC42">
            <v>2.872637117</v>
          </cell>
          <cell r="BD42">
            <v>2.76284741</v>
          </cell>
          <cell r="BE42">
            <v>2.6565975060000002</v>
          </cell>
        </row>
        <row r="43">
          <cell r="A43" t="str">
            <v>auto_cf_cele_0</v>
          </cell>
          <cell r="B43">
            <v>1.7251505170000001</v>
          </cell>
          <cell r="C43">
            <v>2.2377072459999998</v>
          </cell>
          <cell r="D43">
            <v>2.7536021119999998</v>
          </cell>
          <cell r="E43">
            <v>3.256718776</v>
          </cell>
          <cell r="F43">
            <v>3.736734588</v>
          </cell>
          <cell r="G43">
            <v>4.1873843380000002</v>
          </cell>
          <cell r="H43">
            <v>4.6042304359999999</v>
          </cell>
          <cell r="I43">
            <v>4.9855234089999998</v>
          </cell>
          <cell r="J43">
            <v>5.3306243889999996</v>
          </cell>
          <cell r="K43">
            <v>5.639605338</v>
          </cell>
          <cell r="L43">
            <v>5.9141824559999998</v>
          </cell>
          <cell r="M43">
            <v>6.1538792329999996</v>
          </cell>
          <cell r="N43">
            <v>6.3597681320000001</v>
          </cell>
          <cell r="O43">
            <v>6.5331194640000003</v>
          </cell>
          <cell r="P43">
            <v>6.6753750600000004</v>
          </cell>
          <cell r="Q43">
            <v>6.7881104719999996</v>
          </cell>
          <cell r="R43">
            <v>6.8729980099999999</v>
          </cell>
          <cell r="S43">
            <v>6.9317735010000003</v>
          </cell>
          <cell r="T43">
            <v>6.9662072779999997</v>
          </cell>
          <cell r="U43">
            <v>6.978079331</v>
          </cell>
          <cell r="V43">
            <v>6.9687455189999996</v>
          </cell>
          <cell r="W43">
            <v>6.9404321600000003</v>
          </cell>
          <cell r="X43">
            <v>6.8948435239999997</v>
          </cell>
          <cell r="Y43">
            <v>6.8336235600000004</v>
          </cell>
          <cell r="Z43">
            <v>6.758344106</v>
          </cell>
          <cell r="AA43">
            <v>6.6697440820000002</v>
          </cell>
          <cell r="AB43">
            <v>6.5698192290000001</v>
          </cell>
          <cell r="AC43">
            <v>6.4600117770000001</v>
          </cell>
          <cell r="AD43">
            <v>6.3416713710000003</v>
          </cell>
          <cell r="AE43">
            <v>6.2160460779999998</v>
          </cell>
          <cell r="AF43">
            <v>6.0842831850000003</v>
          </cell>
          <cell r="AG43">
            <v>5.9474337149999998</v>
          </cell>
          <cell r="AH43">
            <v>5.8064583860000001</v>
          </cell>
          <cell r="AI43">
            <v>5.662233992</v>
          </cell>
          <cell r="AJ43">
            <v>5.5155596490000001</v>
          </cell>
          <cell r="AK43">
            <v>5.3671626610000001</v>
          </cell>
          <cell r="AL43">
            <v>5.2176460699999998</v>
          </cell>
          <cell r="AM43">
            <v>5.0676279209999997</v>
          </cell>
          <cell r="AN43">
            <v>4.9176676480000001</v>
          </cell>
          <cell r="AO43">
            <v>4.7682687970000002</v>
          </cell>
          <cell r="AP43">
            <v>4.6198815050000004</v>
          </cell>
          <cell r="AQ43">
            <v>4.4729054799999997</v>
          </cell>
          <cell r="AR43">
            <v>4.3276933199999998</v>
          </cell>
          <cell r="AS43">
            <v>4.1845539299999999</v>
          </cell>
          <cell r="AT43">
            <v>4.0437558740000004</v>
          </cell>
          <cell r="AU43">
            <v>3.9055305809999998</v>
          </cell>
          <cell r="AV43">
            <v>3.7700768010000001</v>
          </cell>
          <cell r="AW43">
            <v>3.6375598990000002</v>
          </cell>
          <cell r="AX43">
            <v>3.5081165360000002</v>
          </cell>
          <cell r="AY43">
            <v>3.3818571099999999</v>
          </cell>
          <cell r="AZ43">
            <v>3.2588680179999998</v>
          </cell>
          <cell r="BA43">
            <v>3.1392137629999999</v>
          </cell>
          <cell r="BB43">
            <v>3.0229389179999999</v>
          </cell>
          <cell r="BC43">
            <v>2.910069982</v>
          </cell>
          <cell r="BD43">
            <v>2.8006171320000002</v>
          </cell>
          <cell r="BE43">
            <v>2.6945758909999999</v>
          </cell>
        </row>
        <row r="44">
          <cell r="A44" t="str">
            <v>auto_cg_cele_2</v>
          </cell>
          <cell r="B44">
            <v>3.1066862139999998</v>
          </cell>
          <cell r="C44">
            <v>4.0575941750000002</v>
          </cell>
          <cell r="D44">
            <v>4.9915584580000001</v>
          </cell>
          <cell r="E44">
            <v>5.8765492339999996</v>
          </cell>
          <cell r="F44">
            <v>6.6935460259999999</v>
          </cell>
          <cell r="G44">
            <v>7.4322967369999997</v>
          </cell>
          <cell r="H44">
            <v>8.0868918080000007</v>
          </cell>
          <cell r="I44">
            <v>8.6568247829999994</v>
          </cell>
          <cell r="J44">
            <v>9.1439428290000002</v>
          </cell>
          <cell r="K44">
            <v>9.5515300790000008</v>
          </cell>
          <cell r="L44">
            <v>9.8854142829999994</v>
          </cell>
          <cell r="M44">
            <v>10.14819256</v>
          </cell>
          <cell r="N44">
            <v>10.34479123</v>
          </cell>
          <cell r="O44">
            <v>10.48033264</v>
          </cell>
          <cell r="P44">
            <v>10.560023320000001</v>
          </cell>
          <cell r="Q44">
            <v>10.589053010000001</v>
          </cell>
          <cell r="R44">
            <v>10.572492949999999</v>
          </cell>
          <cell r="S44">
            <v>10.51527948</v>
          </cell>
          <cell r="T44">
            <v>10.422146939999999</v>
          </cell>
          <cell r="U44">
            <v>10.29758283</v>
          </cell>
          <cell r="V44">
            <v>10.145403979999999</v>
          </cell>
          <cell r="W44">
            <v>9.9700306170000008</v>
          </cell>
          <cell r="X44">
            <v>9.7750866040000002</v>
          </cell>
          <cell r="Y44">
            <v>9.5638891439999991</v>
          </cell>
          <cell r="Z44">
            <v>9.3394541780000004</v>
          </cell>
          <cell r="AA44">
            <v>9.1039371629999994</v>
          </cell>
          <cell r="AB44">
            <v>8.8602911849999995</v>
          </cell>
          <cell r="AC44">
            <v>8.6108008530000006</v>
          </cell>
          <cell r="AD44">
            <v>8.3574805570000006</v>
          </cell>
          <cell r="AE44">
            <v>8.1020904500000004</v>
          </cell>
          <cell r="AF44">
            <v>7.8461582840000004</v>
          </cell>
          <cell r="AG44">
            <v>7.5910023899999999</v>
          </cell>
          <cell r="AH44">
            <v>7.337751753</v>
          </cell>
          <cell r="AI44">
            <v>7.0873664940000003</v>
          </cell>
          <cell r="AJ44">
            <v>6.8406563599999997</v>
          </cell>
          <cell r="AK44">
            <v>6.5982973310000004</v>
          </cell>
          <cell r="AL44">
            <v>6.3608254039999998</v>
          </cell>
          <cell r="AM44">
            <v>6.1287027060000003</v>
          </cell>
          <cell r="AN44">
            <v>5.9022950700000001</v>
          </cell>
          <cell r="AO44">
            <v>5.681883784</v>
          </cell>
          <cell r="AP44">
            <v>5.4676757890000003</v>
          </cell>
          <cell r="AQ44">
            <v>5.2598131300000004</v>
          </cell>
          <cell r="AR44">
            <v>5.0583811839999999</v>
          </cell>
          <cell r="AS44">
            <v>4.8634165989999998</v>
          </cell>
          <cell r="AT44">
            <v>4.6749143880000004</v>
          </cell>
          <cell r="AU44">
            <v>4.4928342560000001</v>
          </cell>
          <cell r="AV44">
            <v>4.3171066429999998</v>
          </cell>
          <cell r="AW44">
            <v>4.1476366269999998</v>
          </cell>
          <cell r="AX44">
            <v>3.984309004</v>
          </cell>
          <cell r="AY44">
            <v>3.8269922670000001</v>
          </cell>
          <cell r="AZ44">
            <v>3.6755420349999999</v>
          </cell>
          <cell r="BA44">
            <v>3.5298040550000001</v>
          </cell>
          <cell r="BB44">
            <v>3.3896167049999999</v>
          </cell>
          <cell r="BC44">
            <v>3.254813269</v>
          </cell>
          <cell r="BD44">
            <v>3.1252238760000002</v>
          </cell>
          <cell r="BE44">
            <v>3.0006771360000002</v>
          </cell>
        </row>
        <row r="45">
          <cell r="A45" t="str">
            <v>auto_cg_cele_0</v>
          </cell>
          <cell r="B45">
            <v>3.1066862139999998</v>
          </cell>
          <cell r="C45">
            <v>4.0597734030000003</v>
          </cell>
          <cell r="D45">
            <v>4.9973076159999996</v>
          </cell>
          <cell r="E45">
            <v>5.8862580309999997</v>
          </cell>
          <cell r="F45">
            <v>6.7068007170000001</v>
          </cell>
          <cell r="G45">
            <v>7.4481289500000001</v>
          </cell>
          <cell r="H45">
            <v>8.1040354360000002</v>
          </cell>
          <cell r="I45">
            <v>8.673870119</v>
          </cell>
          <cell r="J45">
            <v>9.1594683710000009</v>
          </cell>
          <cell r="K45">
            <v>9.5642031319999994</v>
          </cell>
          <cell r="L45">
            <v>9.8940323630000009</v>
          </cell>
          <cell r="M45">
            <v>10.15183167</v>
          </cell>
          <cell r="N45">
            <v>10.342750970000001</v>
          </cell>
          <cell r="O45">
            <v>10.47213036</v>
          </cell>
          <cell r="P45">
            <v>10.54538949</v>
          </cell>
          <cell r="Q45">
            <v>10.567921269999999</v>
          </cell>
          <cell r="R45">
            <v>10.545004090000001</v>
          </cell>
          <cell r="S45">
            <v>10.48173261</v>
          </cell>
          <cell r="T45">
            <v>10.382965240000001</v>
          </cell>
          <cell r="U45">
            <v>10.25328614</v>
          </cell>
          <cell r="V45">
            <v>10.0965981</v>
          </cell>
          <cell r="W45">
            <v>9.917348187</v>
          </cell>
          <cell r="X45">
            <v>9.7191865289999999</v>
          </cell>
          <cell r="Y45">
            <v>9.5054359119999994</v>
          </cell>
          <cell r="Z45">
            <v>9.2790996430000003</v>
          </cell>
          <cell r="AA45">
            <v>9.0423270819999999</v>
          </cell>
          <cell r="AB45">
            <v>8.7980053760000008</v>
          </cell>
          <cell r="AC45">
            <v>8.5483687400000008</v>
          </cell>
          <cell r="AD45">
            <v>8.2953776680000004</v>
          </cell>
          <cell r="AE45">
            <v>8.0407358670000004</v>
          </cell>
          <cell r="AF45">
            <v>7.7859135769999996</v>
          </cell>
          <cell r="AG45">
            <v>7.5321715669999998</v>
          </cell>
          <cell r="AH45">
            <v>7.2805839499999996</v>
          </cell>
          <cell r="AI45">
            <v>7.032059201</v>
          </cell>
          <cell r="AJ45">
            <v>6.7873592020000002</v>
          </cell>
          <cell r="AK45">
            <v>6.547116334</v>
          </cell>
          <cell r="AL45">
            <v>6.311825593</v>
          </cell>
          <cell r="AM45">
            <v>6.0819151930000004</v>
          </cell>
          <cell r="AN45">
            <v>5.8577227699999996</v>
          </cell>
          <cell r="AO45">
            <v>5.6395058269999998</v>
          </cell>
          <cell r="AP45">
            <v>5.4274513640000004</v>
          </cell>
          <cell r="AQ45">
            <v>5.2216849139999999</v>
          </cell>
          <cell r="AR45">
            <v>5.0222788649999996</v>
          </cell>
          <cell r="AS45">
            <v>4.8292599980000004</v>
          </cell>
          <cell r="AT45">
            <v>4.6426162409999998</v>
          </cell>
          <cell r="AU45">
            <v>4.4623026640000001</v>
          </cell>
          <cell r="AV45">
            <v>4.2882470980000003</v>
          </cell>
          <cell r="AW45">
            <v>4.1203540399999996</v>
          </cell>
          <cell r="AX45">
            <v>3.9585092780000002</v>
          </cell>
          <cell r="AY45">
            <v>3.8025835109999999</v>
          </cell>
          <cell r="AZ45">
            <v>3.6524355009999998</v>
          </cell>
          <cell r="BA45">
            <v>3.5079148170000001</v>
          </cell>
          <cell r="BB45">
            <v>3.3688642230000001</v>
          </cell>
          <cell r="BC45">
            <v>3.2351217299999999</v>
          </cell>
          <cell r="BD45">
            <v>3.10652237</v>
          </cell>
          <cell r="BE45">
            <v>2.9828997070000001</v>
          </cell>
        </row>
        <row r="46">
          <cell r="A46" t="str">
            <v>auto_ca_cgas_2</v>
          </cell>
          <cell r="B46">
            <v>0.42568169729999999</v>
          </cell>
          <cell r="C46">
            <v>0.44849279050000002</v>
          </cell>
          <cell r="D46">
            <v>0.4737976478</v>
          </cell>
          <cell r="E46">
            <v>0.50059935749999995</v>
          </cell>
          <cell r="F46">
            <v>0.52824292809999995</v>
          </cell>
          <cell r="G46">
            <v>0.55633604260000002</v>
          </cell>
          <cell r="H46">
            <v>0.58455991949999997</v>
          </cell>
          <cell r="I46">
            <v>0.61278878550000004</v>
          </cell>
          <cell r="J46">
            <v>0.64095049680000005</v>
          </cell>
          <cell r="K46">
            <v>0.6690008476</v>
          </cell>
          <cell r="L46">
            <v>0.69708148449999996</v>
          </cell>
          <cell r="M46">
            <v>0.72498851399999997</v>
          </cell>
          <cell r="N46">
            <v>0.75269886659999996</v>
          </cell>
          <cell r="O46">
            <v>0.78019193239999995</v>
          </cell>
          <cell r="P46">
            <v>0.80745192430000001</v>
          </cell>
          <cell r="Q46">
            <v>0.83446784900000004</v>
          </cell>
          <cell r="R46">
            <v>0.86122743209999997</v>
          </cell>
          <cell r="S46">
            <v>0.88772417560000005</v>
          </cell>
          <cell r="T46">
            <v>0.91395485440000002</v>
          </cell>
          <cell r="U46">
            <v>0.93991824150000003</v>
          </cell>
          <cell r="V46">
            <v>0.96547932280000004</v>
          </cell>
          <cell r="W46">
            <v>0.99078159629999996</v>
          </cell>
          <cell r="X46">
            <v>1.015830563</v>
          </cell>
          <cell r="Y46">
            <v>1.0406348320000001</v>
          </cell>
          <cell r="Z46">
            <v>1.065203356</v>
          </cell>
          <cell r="AA46">
            <v>1.0891487559999999</v>
          </cell>
          <cell r="AB46">
            <v>1.112711201</v>
          </cell>
          <cell r="AC46">
            <v>1.1359155599999999</v>
          </cell>
          <cell r="AD46">
            <v>1.15879497</v>
          </cell>
          <cell r="AE46">
            <v>1.1813851399999999</v>
          </cell>
          <cell r="AF46">
            <v>1.2037213099999999</v>
          </cell>
          <cell r="AG46">
            <v>1.225837968</v>
          </cell>
          <cell r="AH46">
            <v>1.2477663889999999</v>
          </cell>
          <cell r="AI46">
            <v>1.2695351420000001</v>
          </cell>
          <cell r="AJ46">
            <v>1.2911706489999999</v>
          </cell>
          <cell r="AK46">
            <v>1.3126976619999999</v>
          </cell>
          <cell r="AL46">
            <v>1.33405346</v>
          </cell>
          <cell r="AM46">
            <v>1.3552689099999999</v>
          </cell>
          <cell r="AN46">
            <v>1.3763723809999999</v>
          </cell>
          <cell r="AO46">
            <v>1.397392645</v>
          </cell>
          <cell r="AP46">
            <v>1.418358556</v>
          </cell>
          <cell r="AQ46">
            <v>1.4392997219999999</v>
          </cell>
          <cell r="AR46">
            <v>1.4602428300000001</v>
          </cell>
          <cell r="AS46">
            <v>1.481211726</v>
          </cell>
          <cell r="AT46">
            <v>1.502227566</v>
          </cell>
          <cell r="AU46">
            <v>1.523309011</v>
          </cell>
          <cell r="AV46">
            <v>1.5444870639999999</v>
          </cell>
          <cell r="AW46">
            <v>1.565777956</v>
          </cell>
          <cell r="AX46">
            <v>1.5871944200000001</v>
          </cell>
          <cell r="AY46">
            <v>1.6087468970000001</v>
          </cell>
          <cell r="AZ46">
            <v>1.6304441670000001</v>
          </cell>
          <cell r="BA46">
            <v>1.6522973910000001</v>
          </cell>
          <cell r="BB46">
            <v>1.6743144240000001</v>
          </cell>
          <cell r="BC46">
            <v>1.6965011889999999</v>
          </cell>
          <cell r="BD46">
            <v>1.7188624749999999</v>
          </cell>
          <cell r="BE46">
            <v>1.741402227</v>
          </cell>
        </row>
        <row r="47">
          <cell r="A47" t="str">
            <v>auto_ca_cgas_0</v>
          </cell>
          <cell r="B47">
            <v>0.42568169729999999</v>
          </cell>
          <cell r="C47">
            <v>0.44862245649999999</v>
          </cell>
          <cell r="D47">
            <v>0.47419994100000001</v>
          </cell>
          <cell r="E47">
            <v>0.50141302310000002</v>
          </cell>
          <cell r="F47">
            <v>0.52959756030000005</v>
          </cell>
          <cell r="G47">
            <v>0.558349015</v>
          </cell>
          <cell r="H47">
            <v>0.58733590599999996</v>
          </cell>
          <cell r="I47">
            <v>0.6164185271</v>
          </cell>
          <cell r="J47">
            <v>0.64551068310000004</v>
          </cell>
          <cell r="K47">
            <v>0.67455460300000003</v>
          </cell>
          <cell r="L47">
            <v>0.70368025540000001</v>
          </cell>
          <cell r="M47">
            <v>0.73267591200000004</v>
          </cell>
          <cell r="N47">
            <v>0.76150906669999996</v>
          </cell>
          <cell r="O47">
            <v>0.79014909960000002</v>
          </cell>
          <cell r="P47">
            <v>0.81857044320000005</v>
          </cell>
          <cell r="Q47">
            <v>0.84675290800000003</v>
          </cell>
          <cell r="R47">
            <v>0.87468098360000002</v>
          </cell>
          <cell r="S47">
            <v>0.90234292270000005</v>
          </cell>
          <cell r="T47">
            <v>0.92972998230000004</v>
          </cell>
          <cell r="U47">
            <v>0.9568359515</v>
          </cell>
          <cell r="V47">
            <v>0.98351993260000004</v>
          </cell>
          <cell r="W47">
            <v>1.0099229949999999</v>
          </cell>
          <cell r="X47">
            <v>1.0360487519999999</v>
          </cell>
          <cell r="Y47">
            <v>1.0619048019999999</v>
          </cell>
          <cell r="Z47">
            <v>1.0874998250000001</v>
          </cell>
          <cell r="AA47">
            <v>1.1124412560000001</v>
          </cell>
          <cell r="AB47">
            <v>1.1369680719999999</v>
          </cell>
          <cell r="AC47">
            <v>1.1611059969999999</v>
          </cell>
          <cell r="AD47">
            <v>1.1848904099999999</v>
          </cell>
          <cell r="AE47">
            <v>1.2083598369999999</v>
          </cell>
          <cell r="AF47">
            <v>1.2315525409999999</v>
          </cell>
          <cell r="AG47">
            <v>1.254504877</v>
          </cell>
          <cell r="AH47">
            <v>1.2772507</v>
          </cell>
          <cell r="AI47">
            <v>1.299821398</v>
          </cell>
          <cell r="AJ47">
            <v>1.3222461969999999</v>
          </cell>
          <cell r="AK47">
            <v>1.344552529</v>
          </cell>
          <cell r="AL47">
            <v>1.366667978</v>
          </cell>
          <cell r="AM47">
            <v>1.3886210029999999</v>
          </cell>
          <cell r="AN47">
            <v>1.4104409529999999</v>
          </cell>
          <cell r="AO47">
            <v>1.4321589729999999</v>
          </cell>
          <cell r="AP47">
            <v>1.453806862</v>
          </cell>
          <cell r="AQ47">
            <v>1.475415656</v>
          </cell>
          <cell r="AR47">
            <v>1.49701453</v>
          </cell>
          <cell r="AS47">
            <v>1.518630149</v>
          </cell>
          <cell r="AT47">
            <v>1.540286421</v>
          </cell>
          <cell r="AU47">
            <v>1.562004529</v>
          </cell>
          <cell r="AV47">
            <v>1.583812038</v>
          </cell>
          <cell r="AW47">
            <v>1.605725004</v>
          </cell>
          <cell r="AX47">
            <v>1.627757337</v>
          </cell>
          <cell r="AY47">
            <v>1.6499209889999999</v>
          </cell>
          <cell r="AZ47">
            <v>1.6722262560000001</v>
          </cell>
          <cell r="BA47">
            <v>1.6946820709999999</v>
          </cell>
          <cell r="BB47">
            <v>1.7172962089999999</v>
          </cell>
          <cell r="BC47">
            <v>1.740075424</v>
          </cell>
          <cell r="BD47">
            <v>1.763025512</v>
          </cell>
          <cell r="BE47">
            <v>1.7861513410000001</v>
          </cell>
        </row>
        <row r="48">
          <cell r="A48" t="str">
            <v>auto_cb_cgas_2</v>
          </cell>
          <cell r="B48">
            <v>0.49500522540000003</v>
          </cell>
          <cell r="C48">
            <v>0.51146191360000004</v>
          </cell>
          <cell r="D48">
            <v>0.53057442249999998</v>
          </cell>
          <cell r="E48">
            <v>0.55134754770000005</v>
          </cell>
          <cell r="F48">
            <v>0.57312018330000003</v>
          </cell>
          <cell r="G48">
            <v>0.59548669009999999</v>
          </cell>
          <cell r="H48">
            <v>0.61811558290000002</v>
          </cell>
          <cell r="I48">
            <v>0.64086254490000005</v>
          </cell>
          <cell r="J48">
            <v>0.66363690239999995</v>
          </cell>
          <cell r="K48">
            <v>0.68637666159999999</v>
          </cell>
          <cell r="L48">
            <v>0.70919623580000002</v>
          </cell>
          <cell r="M48">
            <v>0.7318861955</v>
          </cell>
          <cell r="N48">
            <v>0.75440909550000002</v>
          </cell>
          <cell r="O48">
            <v>0.77673112560000002</v>
          </cell>
          <cell r="P48">
            <v>0.79882414180000005</v>
          </cell>
          <cell r="Q48">
            <v>0.82066549749999995</v>
          </cell>
          <cell r="R48">
            <v>0.8422323571</v>
          </cell>
          <cell r="S48">
            <v>0.86350816659999996</v>
          </cell>
          <cell r="T48">
            <v>0.88448022000000004</v>
          </cell>
          <cell r="U48">
            <v>0.90513838089999998</v>
          </cell>
          <cell r="V48">
            <v>0.92535150720000003</v>
          </cell>
          <cell r="W48">
            <v>0.94524315439999995</v>
          </cell>
          <cell r="X48">
            <v>0.96481108550000005</v>
          </cell>
          <cell r="Y48">
            <v>0.98405617609999996</v>
          </cell>
          <cell r="Z48">
            <v>1.0029798919999999</v>
          </cell>
          <cell r="AA48">
            <v>1.021230181</v>
          </cell>
          <cell r="AB48">
            <v>1.0390186610000001</v>
          </cell>
          <cell r="AC48">
            <v>1.0563636709999999</v>
          </cell>
          <cell r="AD48">
            <v>1.073290686</v>
          </cell>
          <cell r="AE48">
            <v>1.0898271799999999</v>
          </cell>
          <cell r="AF48">
            <v>1.1059999149999999</v>
          </cell>
          <cell r="AG48">
            <v>1.1218346770000001</v>
          </cell>
          <cell r="AH48">
            <v>1.137354124</v>
          </cell>
          <cell r="AI48">
            <v>1.152578248</v>
          </cell>
          <cell r="AJ48">
            <v>1.1675248730000001</v>
          </cell>
          <cell r="AK48">
            <v>1.1822100879999999</v>
          </cell>
          <cell r="AL48">
            <v>1.1965751140000001</v>
          </cell>
          <cell r="AM48">
            <v>1.210641547</v>
          </cell>
          <cell r="AN48">
            <v>1.2244285429999999</v>
          </cell>
          <cell r="AO48">
            <v>1.2379552570000001</v>
          </cell>
          <cell r="AP48">
            <v>1.2512405419999999</v>
          </cell>
          <cell r="AQ48">
            <v>1.264303484</v>
          </cell>
          <cell r="AR48">
            <v>1.2771603330000001</v>
          </cell>
          <cell r="AS48">
            <v>1.2898246010000001</v>
          </cell>
          <cell r="AT48">
            <v>1.302307229</v>
          </cell>
          <cell r="AU48">
            <v>1.3146167849999999</v>
          </cell>
          <cell r="AV48">
            <v>1.3267714589999999</v>
          </cell>
          <cell r="AW48">
            <v>1.338776966</v>
          </cell>
          <cell r="AX48">
            <v>1.350635864</v>
          </cell>
          <cell r="AY48">
            <v>1.3623486119999999</v>
          </cell>
          <cell r="AZ48">
            <v>1.37391413</v>
          </cell>
          <cell r="BA48">
            <v>1.3853329750000001</v>
          </cell>
          <cell r="BB48">
            <v>1.3966028450000001</v>
          </cell>
          <cell r="BC48">
            <v>1.4077197079999999</v>
          </cell>
          <cell r="BD48">
            <v>1.418678449</v>
          </cell>
          <cell r="BE48">
            <v>1.429473124</v>
          </cell>
        </row>
        <row r="49">
          <cell r="A49" t="str">
            <v>auto_cb_cgas_0</v>
          </cell>
          <cell r="B49">
            <v>0.49500522540000003</v>
          </cell>
          <cell r="C49">
            <v>0.51158532609999996</v>
          </cell>
          <cell r="D49">
            <v>0.53095585720000005</v>
          </cell>
          <cell r="E49">
            <v>0.55211597329999995</v>
          </cell>
          <cell r="F49">
            <v>0.57439437550000005</v>
          </cell>
          <cell r="G49">
            <v>0.59737252470000002</v>
          </cell>
          <cell r="H49">
            <v>0.62070582080000003</v>
          </cell>
          <cell r="I49">
            <v>0.64423583090000003</v>
          </cell>
          <cell r="J49">
            <v>0.66785782910000002</v>
          </cell>
          <cell r="K49">
            <v>0.69149639380000005</v>
          </cell>
          <cell r="L49">
            <v>0.7152543187</v>
          </cell>
          <cell r="M49">
            <v>0.73891450120000002</v>
          </cell>
          <cell r="N49">
            <v>0.76243029699999998</v>
          </cell>
          <cell r="O49">
            <v>0.78575827490000005</v>
          </cell>
          <cell r="P49">
            <v>0.80886101840000002</v>
          </cell>
          <cell r="Q49">
            <v>0.83170728989999998</v>
          </cell>
          <cell r="R49">
            <v>0.85427126760000005</v>
          </cell>
          <cell r="S49">
            <v>0.87653159790000001</v>
          </cell>
          <cell r="T49">
            <v>0.8984705999</v>
          </cell>
          <cell r="U49">
            <v>0.92007373520000002</v>
          </cell>
          <cell r="V49">
            <v>0.94120493790000004</v>
          </cell>
          <cell r="W49">
            <v>0.96198563400000003</v>
          </cell>
          <cell r="X49">
            <v>0.98241219680000003</v>
          </cell>
          <cell r="Y49">
            <v>1.002484924</v>
          </cell>
          <cell r="Z49">
            <v>1.0222053689999999</v>
          </cell>
          <cell r="AA49">
            <v>1.0412179210000001</v>
          </cell>
          <cell r="AB49">
            <v>1.0597331050000001</v>
          </cell>
          <cell r="AC49">
            <v>1.0777703810000001</v>
          </cell>
          <cell r="AD49">
            <v>1.095357541</v>
          </cell>
          <cell r="AE49">
            <v>1.1125248210000001</v>
          </cell>
          <cell r="AF49">
            <v>1.1293018640000001</v>
          </cell>
          <cell r="AG49">
            <v>1.1457162599999999</v>
          </cell>
          <cell r="AH49">
            <v>1.1617930430000001</v>
          </cell>
          <cell r="AI49">
            <v>1.1775547260000001</v>
          </cell>
          <cell r="AJ49">
            <v>1.193021576</v>
          </cell>
          <cell r="AK49">
            <v>1.2082119549999999</v>
          </cell>
          <cell r="AL49">
            <v>1.2230590320000001</v>
          </cell>
          <cell r="AM49">
            <v>1.237582492</v>
          </cell>
          <cell r="AN49">
            <v>1.2518025049999999</v>
          </cell>
          <cell r="AO49">
            <v>1.2657403819999999</v>
          </cell>
          <cell r="AP49">
            <v>1.2794175480000001</v>
          </cell>
          <cell r="AQ49">
            <v>1.292854331</v>
          </cell>
          <cell r="AR49">
            <v>1.306069057</v>
          </cell>
          <cell r="AS49">
            <v>1.3190775349999999</v>
          </cell>
          <cell r="AT49">
            <v>1.3318928919999999</v>
          </cell>
          <cell r="AU49">
            <v>1.3445256379999999</v>
          </cell>
          <cell r="AV49">
            <v>1.356991045</v>
          </cell>
          <cell r="AW49">
            <v>1.3692946450000001</v>
          </cell>
          <cell r="AX49">
            <v>1.38143993</v>
          </cell>
          <cell r="AY49">
            <v>1.3934285420000001</v>
          </cell>
          <cell r="AZ49">
            <v>1.4052605499999999</v>
          </cell>
          <cell r="BA49">
            <v>1.41693471</v>
          </cell>
          <cell r="BB49">
            <v>1.4284486409999999</v>
          </cell>
          <cell r="BC49">
            <v>1.4397989529999999</v>
          </cell>
          <cell r="BD49">
            <v>1.450981305</v>
          </cell>
          <cell r="BE49">
            <v>1.4619904340000001</v>
          </cell>
        </row>
        <row r="50">
          <cell r="A50" t="str">
            <v>auto_cc_cgas_2</v>
          </cell>
          <cell r="B50">
            <v>0.40659851759999999</v>
          </cell>
          <cell r="C50">
            <v>0.4139594164</v>
          </cell>
          <cell r="D50">
            <v>0.42335670440000001</v>
          </cell>
          <cell r="E50">
            <v>0.43407450380000001</v>
          </cell>
          <cell r="F50">
            <v>0.44563239840000002</v>
          </cell>
          <cell r="G50">
            <v>0.45772921989999998</v>
          </cell>
          <cell r="H50">
            <v>0.47011769460000002</v>
          </cell>
          <cell r="I50">
            <v>0.48268150129999998</v>
          </cell>
          <cell r="J50">
            <v>0.49534302699999999</v>
          </cell>
          <cell r="K50">
            <v>0.5080458766</v>
          </cell>
          <cell r="L50">
            <v>0.52085452369999996</v>
          </cell>
          <cell r="M50">
            <v>0.53361469419999996</v>
          </cell>
          <cell r="N50">
            <v>0.54629017209999997</v>
          </cell>
          <cell r="O50">
            <v>0.55884820820000003</v>
          </cell>
          <cell r="P50">
            <v>0.57126076560000005</v>
          </cell>
          <cell r="Q50">
            <v>0.5835043043</v>
          </cell>
          <cell r="R50">
            <v>0.59555593659999995</v>
          </cell>
          <cell r="S50">
            <v>0.6073976982</v>
          </cell>
          <cell r="T50">
            <v>0.61901484100000004</v>
          </cell>
          <cell r="U50">
            <v>0.63039490870000003</v>
          </cell>
          <cell r="V50">
            <v>0.64144659579999996</v>
          </cell>
          <cell r="W50">
            <v>0.65224671919999999</v>
          </cell>
          <cell r="X50">
            <v>0.66278947129999999</v>
          </cell>
          <cell r="Y50">
            <v>0.67307136899999997</v>
          </cell>
          <cell r="Z50">
            <v>0.68308959209999998</v>
          </cell>
          <cell r="AA50">
            <v>0.69261388140000002</v>
          </cell>
          <cell r="AB50">
            <v>0.70177936070000002</v>
          </cell>
          <cell r="AC50">
            <v>0.71059603220000001</v>
          </cell>
          <cell r="AD50">
            <v>0.71907842160000002</v>
          </cell>
          <cell r="AE50">
            <v>0.7272422328</v>
          </cell>
          <cell r="AF50">
            <v>0.73510261379999997</v>
          </cell>
          <cell r="AG50">
            <v>0.74267398299999998</v>
          </cell>
          <cell r="AH50">
            <v>0.74996867580000004</v>
          </cell>
          <cell r="AI50">
            <v>0.75699725230000003</v>
          </cell>
          <cell r="AJ50">
            <v>0.76376882960000003</v>
          </cell>
          <cell r="AK50">
            <v>0.77029136499999995</v>
          </cell>
          <cell r="AL50">
            <v>0.77652666290000005</v>
          </cell>
          <cell r="AM50">
            <v>0.78248646369999997</v>
          </cell>
          <cell r="AN50">
            <v>0.78818092689999997</v>
          </cell>
          <cell r="AO50">
            <v>0.79362011619999995</v>
          </cell>
          <cell r="AP50">
            <v>0.79881380950000003</v>
          </cell>
          <cell r="AQ50">
            <v>0.80377181090000005</v>
          </cell>
          <cell r="AR50">
            <v>0.80850210550000001</v>
          </cell>
          <cell r="AS50">
            <v>0.81301095079999997</v>
          </cell>
          <cell r="AT50">
            <v>0.81730300779999998</v>
          </cell>
          <cell r="AU50">
            <v>0.8213814881</v>
          </cell>
          <cell r="AV50">
            <v>0.82525516850000002</v>
          </cell>
          <cell r="AW50">
            <v>0.82892539470000004</v>
          </cell>
          <cell r="AX50">
            <v>0.83239165449999997</v>
          </cell>
          <cell r="AY50">
            <v>0.83565224670000005</v>
          </cell>
          <cell r="AZ50">
            <v>0.83870464700000003</v>
          </cell>
          <cell r="BA50">
            <v>0.84154732430000001</v>
          </cell>
          <cell r="BB50">
            <v>0.84417717660000002</v>
          </cell>
          <cell r="BC50">
            <v>0.84659020650000005</v>
          </cell>
          <cell r="BD50">
            <v>0.84878191859999996</v>
          </cell>
          <cell r="BE50">
            <v>0.85074747709999998</v>
          </cell>
        </row>
        <row r="51">
          <cell r="A51" t="str">
            <v>auto_cc_cgas_0</v>
          </cell>
          <cell r="B51">
            <v>0.40659851759999999</v>
          </cell>
          <cell r="C51">
            <v>0.41404410780000001</v>
          </cell>
          <cell r="D51">
            <v>0.42361746480000001</v>
          </cell>
          <cell r="E51">
            <v>0.43459773550000003</v>
          </cell>
          <cell r="F51">
            <v>0.44649651639999999</v>
          </cell>
          <cell r="G51">
            <v>0.45900295369999999</v>
          </cell>
          <cell r="H51">
            <v>0.47186011690000002</v>
          </cell>
          <cell r="I51">
            <v>0.48494146710000002</v>
          </cell>
          <cell r="J51">
            <v>0.49815934509999998</v>
          </cell>
          <cell r="K51">
            <v>0.51144785459999997</v>
          </cell>
          <cell r="L51">
            <v>0.52486322320000001</v>
          </cell>
          <cell r="M51">
            <v>0.53824583729999997</v>
          </cell>
          <cell r="N51">
            <v>0.55155309649999995</v>
          </cell>
          <cell r="O51">
            <v>0.56474566459999997</v>
          </cell>
          <cell r="P51">
            <v>0.5777892443</v>
          </cell>
          <cell r="Q51">
            <v>0.59065458689999994</v>
          </cell>
          <cell r="R51">
            <v>0.60331689759999996</v>
          </cell>
          <cell r="S51">
            <v>0.61575512919999997</v>
          </cell>
          <cell r="T51">
            <v>0.62795138159999997</v>
          </cell>
          <cell r="U51">
            <v>0.63989048039999996</v>
          </cell>
          <cell r="V51">
            <v>0.6514782509</v>
          </cell>
          <cell r="W51">
            <v>0.66279024679999998</v>
          </cell>
          <cell r="X51">
            <v>0.67382004149999997</v>
          </cell>
          <cell r="Y51">
            <v>0.684564073</v>
          </cell>
          <cell r="Z51">
            <v>0.69501987320000003</v>
          </cell>
          <cell r="AA51">
            <v>0.70495565439999996</v>
          </cell>
          <cell r="AB51">
            <v>0.71450588729999998</v>
          </cell>
          <cell r="AC51">
            <v>0.72368159730000003</v>
          </cell>
          <cell r="AD51">
            <v>0.73249906929999997</v>
          </cell>
          <cell r="AE51">
            <v>0.74097601260000001</v>
          </cell>
          <cell r="AF51">
            <v>0.74912961229999997</v>
          </cell>
          <cell r="AG51">
            <v>0.75697560549999998</v>
          </cell>
          <cell r="AH51">
            <v>0.76452797380000004</v>
          </cell>
          <cell r="AI51">
            <v>0.77179897679999998</v>
          </cell>
          <cell r="AJ51">
            <v>0.77879934260000006</v>
          </cell>
          <cell r="AK51">
            <v>0.78553849580000001</v>
          </cell>
          <cell r="AL51">
            <v>0.79197349549999996</v>
          </cell>
          <cell r="AM51">
            <v>0.79811506789999997</v>
          </cell>
          <cell r="AN51">
            <v>0.80397418109999996</v>
          </cell>
          <cell r="AO51">
            <v>0.80956238570000005</v>
          </cell>
          <cell r="AP51">
            <v>0.81489115629999997</v>
          </cell>
          <cell r="AQ51">
            <v>0.81997115659999997</v>
          </cell>
          <cell r="AR51">
            <v>0.82481170670000004</v>
          </cell>
          <cell r="AS51">
            <v>0.82942050249999999</v>
          </cell>
          <cell r="AT51">
            <v>0.83380354560000003</v>
          </cell>
          <cell r="AU51">
            <v>0.8379652152</v>
          </cell>
          <cell r="AV51">
            <v>0.84191259949999997</v>
          </cell>
          <cell r="AW51">
            <v>0.84564701249999996</v>
          </cell>
          <cell r="AX51">
            <v>0.84916857580000005</v>
          </cell>
          <cell r="AY51">
            <v>0.85247636039999997</v>
          </cell>
          <cell r="AZ51">
            <v>0.85556857919999996</v>
          </cell>
          <cell r="BA51">
            <v>0.85844275439999995</v>
          </cell>
          <cell r="BB51">
            <v>0.86109584269999995</v>
          </cell>
          <cell r="BC51">
            <v>0.86352431939999996</v>
          </cell>
          <cell r="BD51">
            <v>0.86572423060000003</v>
          </cell>
          <cell r="BE51">
            <v>0.86769122389999997</v>
          </cell>
        </row>
        <row r="52">
          <cell r="A52" t="str">
            <v>auto_cd_cgas_2</v>
          </cell>
          <cell r="B52">
            <v>0.2495444651</v>
          </cell>
          <cell r="C52">
            <v>0.2520281795</v>
          </cell>
          <cell r="D52">
            <v>0.25560251360000003</v>
          </cell>
          <cell r="E52">
            <v>0.25983716270000001</v>
          </cell>
          <cell r="F52">
            <v>0.26444205450000002</v>
          </cell>
          <cell r="G52">
            <v>0.26923157920000002</v>
          </cell>
          <cell r="H52">
            <v>0.27405535749999999</v>
          </cell>
          <cell r="I52">
            <v>0.2788378802</v>
          </cell>
          <cell r="J52">
            <v>0.28352779719999999</v>
          </cell>
          <cell r="K52">
            <v>0.2880876912</v>
          </cell>
          <cell r="L52">
            <v>0.29254306969999999</v>
          </cell>
          <cell r="M52">
            <v>0.29681026360000001</v>
          </cell>
          <cell r="N52">
            <v>0.30086756399999998</v>
          </cell>
          <cell r="O52">
            <v>0.30469648259999998</v>
          </cell>
          <cell r="P52">
            <v>0.308282108</v>
          </cell>
          <cell r="Q52">
            <v>0.31161280260000002</v>
          </cell>
          <cell r="R52">
            <v>0.31467831080000003</v>
          </cell>
          <cell r="S52">
            <v>0.31747167790000003</v>
          </cell>
          <cell r="T52">
            <v>0.3199882912</v>
          </cell>
          <cell r="U52">
            <v>0.3222253182</v>
          </cell>
          <cell r="V52">
            <v>0.32414634209999998</v>
          </cell>
          <cell r="W52">
            <v>0.32578957380000001</v>
          </cell>
          <cell r="X52">
            <v>0.32715677650000002</v>
          </cell>
          <cell r="Y52">
            <v>0.3282509367</v>
          </cell>
          <cell r="Z52">
            <v>0.32907555199999999</v>
          </cell>
          <cell r="AA52">
            <v>0.32954339989999998</v>
          </cell>
          <cell r="AB52">
            <v>0.3297172491</v>
          </cell>
          <cell r="AC52">
            <v>0.32960839120000002</v>
          </cell>
          <cell r="AD52">
            <v>0.3292295281</v>
          </cell>
          <cell r="AE52">
            <v>0.32859341250000001</v>
          </cell>
          <cell r="AF52">
            <v>0.32771221290000002</v>
          </cell>
          <cell r="AG52">
            <v>0.32659747929999999</v>
          </cell>
          <cell r="AH52">
            <v>0.3252596921</v>
          </cell>
          <cell r="AI52">
            <v>0.32370843640000002</v>
          </cell>
          <cell r="AJ52">
            <v>0.32195257659999998</v>
          </cell>
          <cell r="AK52">
            <v>0.32000040499999999</v>
          </cell>
          <cell r="AL52">
            <v>0.3178450001</v>
          </cell>
          <cell r="AM52">
            <v>0.31549639540000002</v>
          </cell>
          <cell r="AN52">
            <v>0.31296396310000002</v>
          </cell>
          <cell r="AO52">
            <v>0.31025689490000002</v>
          </cell>
          <cell r="AP52">
            <v>0.30738414990000001</v>
          </cell>
          <cell r="AQ52">
            <v>0.30435455140000001</v>
          </cell>
          <cell r="AR52">
            <v>0.30117626209999998</v>
          </cell>
          <cell r="AS52">
            <v>0.29785686459999999</v>
          </cell>
          <cell r="AT52">
            <v>0.29440345099999998</v>
          </cell>
          <cell r="AU52">
            <v>0.29082270809999999</v>
          </cell>
          <cell r="AV52">
            <v>0.2871227556</v>
          </cell>
          <cell r="AW52">
            <v>0.28330968039999999</v>
          </cell>
          <cell r="AX52">
            <v>0.27938913609999999</v>
          </cell>
          <cell r="AY52">
            <v>0.2753665776</v>
          </cell>
          <cell r="AZ52">
            <v>0.27124738869999998</v>
          </cell>
          <cell r="BA52">
            <v>0.26703730390000002</v>
          </cell>
          <cell r="BB52">
            <v>0.26274180120000001</v>
          </cell>
          <cell r="BC52">
            <v>0.25836628099999998</v>
          </cell>
          <cell r="BD52">
            <v>0.25391616900000002</v>
          </cell>
          <cell r="BE52">
            <v>0.24939695340000001</v>
          </cell>
        </row>
        <row r="53">
          <cell r="A53" t="str">
            <v>auto_cd_cgas_0</v>
          </cell>
          <cell r="B53">
            <v>0.2495444651</v>
          </cell>
          <cell r="C53">
            <v>0.25207330649999998</v>
          </cell>
          <cell r="D53">
            <v>0.25573898410000001</v>
          </cell>
          <cell r="E53">
            <v>0.26010587359999998</v>
          </cell>
          <cell r="F53">
            <v>0.26487733769999999</v>
          </cell>
          <cell r="G53">
            <v>0.26986076889999999</v>
          </cell>
          <cell r="H53">
            <v>0.27489930480000002</v>
          </cell>
          <cell r="I53">
            <v>0.27991101889999997</v>
          </cell>
          <cell r="J53">
            <v>0.2848385839</v>
          </cell>
          <cell r="K53">
            <v>0.2896392049</v>
          </cell>
          <cell r="L53">
            <v>0.29433374849999999</v>
          </cell>
          <cell r="M53">
            <v>0.29883591900000001</v>
          </cell>
          <cell r="N53">
            <v>0.30312084849999998</v>
          </cell>
          <cell r="O53">
            <v>0.30716698240000001</v>
          </cell>
          <cell r="P53">
            <v>0.31095671029999999</v>
          </cell>
          <cell r="Q53">
            <v>0.31447616340000001</v>
          </cell>
          <cell r="R53">
            <v>0.31771476209999999</v>
          </cell>
          <cell r="S53">
            <v>0.32066473829999997</v>
          </cell>
          <cell r="T53">
            <v>0.32332072010000001</v>
          </cell>
          <cell r="U53">
            <v>0.32567940470000001</v>
          </cell>
          <cell r="V53">
            <v>0.32770420099999997</v>
          </cell>
          <cell r="W53">
            <v>0.32943335460000001</v>
          </cell>
          <cell r="X53">
            <v>0.33086924130000001</v>
          </cell>
          <cell r="Y53">
            <v>0.33201568110000002</v>
          </cell>
          <cell r="Z53">
            <v>0.33287715690000003</v>
          </cell>
          <cell r="AA53">
            <v>0.33336751860000002</v>
          </cell>
          <cell r="AB53">
            <v>0.33354956679999997</v>
          </cell>
          <cell r="AC53">
            <v>0.3334357416</v>
          </cell>
          <cell r="AD53">
            <v>0.33304010490000002</v>
          </cell>
          <cell r="AE53">
            <v>0.33237677570000002</v>
          </cell>
          <cell r="AF53">
            <v>0.33145920690000003</v>
          </cell>
          <cell r="AG53">
            <v>0.33029988869999999</v>
          </cell>
          <cell r="AH53">
            <v>0.3289102921</v>
          </cell>
          <cell r="AI53">
            <v>0.32730093999999998</v>
          </cell>
          <cell r="AJ53">
            <v>0.32548153260000001</v>
          </cell>
          <cell r="AK53">
            <v>0.32346108420000003</v>
          </cell>
          <cell r="AL53">
            <v>0.32123158470000002</v>
          </cell>
          <cell r="AM53">
            <v>0.31880308149999997</v>
          </cell>
          <cell r="AN53">
            <v>0.31618556689999999</v>
          </cell>
          <cell r="AO53">
            <v>0.31338901949999998</v>
          </cell>
          <cell r="AP53">
            <v>0.31042317629999999</v>
          </cell>
          <cell r="AQ53">
            <v>0.30729732510000002</v>
          </cell>
          <cell r="AR53">
            <v>0.30402018679999998</v>
          </cell>
          <cell r="AS53">
            <v>0.30059988479999999</v>
          </cell>
          <cell r="AT53">
            <v>0.29704397830000001</v>
          </cell>
          <cell r="AU53">
            <v>0.29335953349999999</v>
          </cell>
          <cell r="AV53">
            <v>0.28955427830000002</v>
          </cell>
          <cell r="AW53">
            <v>0.28563440270000001</v>
          </cell>
          <cell r="AX53">
            <v>0.28160584239999997</v>
          </cell>
          <cell r="AY53">
            <v>0.27747435079999999</v>
          </cell>
          <cell r="AZ53">
            <v>0.27324557179999998</v>
          </cell>
          <cell r="BA53">
            <v>0.26892509720000002</v>
          </cell>
          <cell r="BB53">
            <v>0.26451850589999998</v>
          </cell>
          <cell r="BC53">
            <v>0.26003138809999998</v>
          </cell>
          <cell r="BD53">
            <v>0.2554693583</v>
          </cell>
          <cell r="BE53">
            <v>0.250838061</v>
          </cell>
        </row>
        <row r="54">
          <cell r="A54" t="str">
            <v>auto_ce_cgas_2</v>
          </cell>
          <cell r="B54">
            <v>0.15020246549999999</v>
          </cell>
          <cell r="C54">
            <v>0.1518904865</v>
          </cell>
          <cell r="D54">
            <v>0.15416434130000001</v>
          </cell>
          <cell r="E54">
            <v>0.15674630740000001</v>
          </cell>
          <cell r="F54">
            <v>0.15945042940000001</v>
          </cell>
          <cell r="G54">
            <v>0.1621579806</v>
          </cell>
          <cell r="H54">
            <v>0.164774947</v>
          </cell>
          <cell r="I54">
            <v>0.16725470240000001</v>
          </cell>
          <cell r="J54">
            <v>0.16956697500000001</v>
          </cell>
          <cell r="K54">
            <v>0.17169122419999999</v>
          </cell>
          <cell r="L54">
            <v>0.17364358639999999</v>
          </cell>
          <cell r="M54">
            <v>0.1753791747</v>
          </cell>
          <cell r="N54">
            <v>0.1768893657</v>
          </cell>
          <cell r="O54">
            <v>0.17816808149999999</v>
          </cell>
          <cell r="P54">
            <v>0.1792118191</v>
          </cell>
          <cell r="Q54">
            <v>0.18001935220000001</v>
          </cell>
          <cell r="R54">
            <v>0.18059065429999999</v>
          </cell>
          <cell r="S54">
            <v>0.1809278406</v>
          </cell>
          <cell r="T54">
            <v>0.1810345572</v>
          </cell>
          <cell r="U54">
            <v>0.1809155982</v>
          </cell>
          <cell r="V54">
            <v>0.1805593757</v>
          </cell>
          <cell r="W54">
            <v>0.1799917057</v>
          </cell>
          <cell r="X54">
            <v>0.1792200108</v>
          </cell>
          <cell r="Y54">
            <v>0.17825225629999999</v>
          </cell>
          <cell r="Z54">
            <v>0.17709659580000001</v>
          </cell>
          <cell r="AA54">
            <v>0.17571960119999999</v>
          </cell>
          <cell r="AB54">
            <v>0.17415791389999999</v>
          </cell>
          <cell r="AC54">
            <v>0.1724237733</v>
          </cell>
          <cell r="AD54">
            <v>0.17052968020000001</v>
          </cell>
          <cell r="AE54">
            <v>0.1684877796</v>
          </cell>
          <cell r="AF54">
            <v>0.166309606</v>
          </cell>
          <cell r="AG54">
            <v>0.16400609420000001</v>
          </cell>
          <cell r="AH54">
            <v>0.1615874175</v>
          </cell>
          <cell r="AI54">
            <v>0.1590630955</v>
          </cell>
          <cell r="AJ54">
            <v>0.15644209479999999</v>
          </cell>
          <cell r="AK54">
            <v>0.15373291550000001</v>
          </cell>
          <cell r="AL54">
            <v>0.15093804869999999</v>
          </cell>
          <cell r="AM54">
            <v>0.14806647910000001</v>
          </cell>
          <cell r="AN54">
            <v>0.14512670250000001</v>
          </cell>
          <cell r="AO54">
            <v>0.14212691020000001</v>
          </cell>
          <cell r="AP54">
            <v>0.13907497520000001</v>
          </cell>
          <cell r="AQ54">
            <v>0.1359784909</v>
          </cell>
          <cell r="AR54">
            <v>0.13284459739999999</v>
          </cell>
          <cell r="AS54">
            <v>0.1296800283</v>
          </cell>
          <cell r="AT54">
            <v>0.12649115659999999</v>
          </cell>
          <cell r="AU54">
            <v>0.123284036</v>
          </cell>
          <cell r="AV54">
            <v>0.1200649686</v>
          </cell>
          <cell r="AW54">
            <v>0.1168394148</v>
          </cell>
          <cell r="AX54">
            <v>0.1136125273</v>
          </cell>
          <cell r="AY54">
            <v>0.1103892367</v>
          </cell>
          <cell r="AZ54">
            <v>0.10717429320000001</v>
          </cell>
          <cell r="BA54">
            <v>0.1039723791</v>
          </cell>
          <cell r="BB54">
            <v>0.1007879322</v>
          </cell>
          <cell r="BC54">
            <v>9.7625196799999994E-2</v>
          </cell>
          <cell r="BD54">
            <v>9.4488250300000007E-2</v>
          </cell>
          <cell r="BE54">
            <v>9.1381007900000005E-2</v>
          </cell>
        </row>
        <row r="55">
          <cell r="A55" t="str">
            <v>auto_ce_cgas_0</v>
          </cell>
          <cell r="B55">
            <v>0.15020246549999999</v>
          </cell>
          <cell r="C55">
            <v>0.15191723309999999</v>
          </cell>
          <cell r="D55">
            <v>0.15424385169999999</v>
          </cell>
          <cell r="E55">
            <v>0.15690001889999999</v>
          </cell>
          <cell r="F55">
            <v>0.15969473000000001</v>
          </cell>
          <cell r="G55">
            <v>0.16250427649999999</v>
          </cell>
          <cell r="H55">
            <v>0.16523029310000001</v>
          </cell>
          <cell r="I55">
            <v>0.16782207669999999</v>
          </cell>
          <cell r="J55">
            <v>0.1702457547</v>
          </cell>
          <cell r="K55">
            <v>0.17247772119999999</v>
          </cell>
          <cell r="L55">
            <v>0.17453153699999999</v>
          </cell>
          <cell r="M55">
            <v>0.17636116979999999</v>
          </cell>
          <cell r="N55">
            <v>0.17795654550000001</v>
          </cell>
          <cell r="O55">
            <v>0.17931028160000001</v>
          </cell>
          <cell r="P55">
            <v>0.18041786600000001</v>
          </cell>
          <cell r="Q55">
            <v>0.1812774019</v>
          </cell>
          <cell r="R55">
            <v>0.18188924349999999</v>
          </cell>
          <cell r="S55">
            <v>0.1822556363</v>
          </cell>
          <cell r="T55">
            <v>0.1823804014</v>
          </cell>
          <cell r="U55">
            <v>0.18226867350000001</v>
          </cell>
          <cell r="V55">
            <v>0.18190948379999999</v>
          </cell>
          <cell r="W55">
            <v>0.18132911979999999</v>
          </cell>
          <cell r="X55">
            <v>0.1805358668</v>
          </cell>
          <cell r="Y55">
            <v>0.1795386256</v>
          </cell>
          <cell r="Z55">
            <v>0.17834651509999999</v>
          </cell>
          <cell r="AA55">
            <v>0.17692742040000001</v>
          </cell>
          <cell r="AB55">
            <v>0.17531820000000001</v>
          </cell>
          <cell r="AC55">
            <v>0.1735319857</v>
          </cell>
          <cell r="AD55">
            <v>0.17158221109999999</v>
          </cell>
          <cell r="AE55">
            <v>0.1694819008</v>
          </cell>
          <cell r="AF55">
            <v>0.16724337810000001</v>
          </cell>
          <cell r="AG55">
            <v>0.16487817320000001</v>
          </cell>
          <cell r="AH55">
            <v>0.1623970361</v>
          </cell>
          <cell r="AI55">
            <v>0.15981000140000001</v>
          </cell>
          <cell r="AJ55">
            <v>0.1571264741</v>
          </cell>
          <cell r="AK55">
            <v>0.1543553148</v>
          </cell>
          <cell r="AL55">
            <v>0.1514987495</v>
          </cell>
          <cell r="AM55">
            <v>0.14856586450000001</v>
          </cell>
          <cell r="AN55">
            <v>0.14556547929999999</v>
          </cell>
          <cell r="AO55">
            <v>0.14250614449999999</v>
          </cell>
          <cell r="AP55">
            <v>0.1393960554</v>
          </cell>
          <cell r="AQ55">
            <v>0.13624298970000001</v>
          </cell>
          <cell r="AR55">
            <v>0.13305428380000001</v>
          </cell>
          <cell r="AS55">
            <v>0.12983684209999999</v>
          </cell>
          <cell r="AT55">
            <v>0.12659716639999999</v>
          </cell>
          <cell r="AU55">
            <v>0.12334139550000001</v>
          </cell>
          <cell r="AV55">
            <v>0.1200756701</v>
          </cell>
          <cell r="AW55">
            <v>0.1168054567</v>
          </cell>
          <cell r="AX55">
            <v>0.1135359676</v>
          </cell>
          <cell r="AY55">
            <v>0.1102721888</v>
          </cell>
          <cell r="AZ55">
            <v>0.1070189044</v>
          </cell>
          <cell r="BA55">
            <v>0.1037807132</v>
          </cell>
          <cell r="BB55">
            <v>0.10056203700000001</v>
          </cell>
          <cell r="BC55">
            <v>9.7367124799999996E-2</v>
          </cell>
          <cell r="BD55">
            <v>9.4200052100000001E-2</v>
          </cell>
          <cell r="BE55">
            <v>9.1064717899999995E-2</v>
          </cell>
        </row>
        <row r="56">
          <cell r="A56" t="str">
            <v>auto_cf_cgas_2</v>
          </cell>
          <cell r="B56">
            <v>7.4609436000000001E-2</v>
          </cell>
          <cell r="C56">
            <v>7.52233769E-2</v>
          </cell>
          <cell r="D56">
            <v>7.6008354200000003E-2</v>
          </cell>
          <cell r="E56">
            <v>7.6810758800000004E-2</v>
          </cell>
          <cell r="F56">
            <v>7.7532317599999998E-2</v>
          </cell>
          <cell r="G56">
            <v>7.81136214E-2</v>
          </cell>
          <cell r="H56">
            <v>7.8513169199999996E-2</v>
          </cell>
          <cell r="I56">
            <v>7.8715122499999998E-2</v>
          </cell>
          <cell r="J56">
            <v>7.8714199299999996E-2</v>
          </cell>
          <cell r="K56">
            <v>7.8511666699999996E-2</v>
          </cell>
          <cell r="L56">
            <v>7.8123639600000003E-2</v>
          </cell>
          <cell r="M56">
            <v>7.7545357400000001E-2</v>
          </cell>
          <cell r="N56">
            <v>7.6786441799999994E-2</v>
          </cell>
          <cell r="O56">
            <v>7.5857991599999994E-2</v>
          </cell>
          <cell r="P56">
            <v>7.4772240700000006E-2</v>
          </cell>
          <cell r="Q56">
            <v>7.3542189100000002E-2</v>
          </cell>
          <cell r="R56">
            <v>7.2181106300000006E-2</v>
          </cell>
          <cell r="S56">
            <v>7.0702631099999996E-2</v>
          </cell>
          <cell r="T56">
            <v>6.9120427600000006E-2</v>
          </cell>
          <cell r="U56">
            <v>6.7447947199999997E-2</v>
          </cell>
          <cell r="V56">
            <v>6.5694458100000006E-2</v>
          </cell>
          <cell r="W56">
            <v>6.38771536E-2</v>
          </cell>
          <cell r="X56">
            <v>6.20080836E-2</v>
          </cell>
          <cell r="Y56">
            <v>6.0098621900000003E-2</v>
          </cell>
          <cell r="Z56">
            <v>5.8159402399999997E-2</v>
          </cell>
          <cell r="AA56">
            <v>5.6193293499999998E-2</v>
          </cell>
          <cell r="AB56">
            <v>5.4215061199999998E-2</v>
          </cell>
          <cell r="AC56">
            <v>5.2234102599999999E-2</v>
          </cell>
          <cell r="AD56">
            <v>5.0258944399999998E-2</v>
          </cell>
          <cell r="AE56">
            <v>4.8297200200000001E-2</v>
          </cell>
          <cell r="AF56">
            <v>4.6355603099999997E-2</v>
          </cell>
          <cell r="AG56">
            <v>4.4440073699999999E-2</v>
          </cell>
          <cell r="AH56">
            <v>4.25557638E-2</v>
          </cell>
          <cell r="AI56">
            <v>4.0707130799999998E-2</v>
          </cell>
          <cell r="AJ56">
            <v>3.8898004600000001E-2</v>
          </cell>
          <cell r="AK56">
            <v>3.71316467E-2</v>
          </cell>
          <cell r="AL56">
            <v>3.5410315300000002E-2</v>
          </cell>
          <cell r="AM56">
            <v>3.3736464600000002E-2</v>
          </cell>
          <cell r="AN56">
            <v>3.2112077500000002E-2</v>
          </cell>
          <cell r="AO56">
            <v>3.0538716600000002E-2</v>
          </cell>
          <cell r="AP56">
            <v>2.9017557199999999E-2</v>
          </cell>
          <cell r="AQ56">
            <v>2.7549421300000002E-2</v>
          </cell>
          <cell r="AR56">
            <v>2.6134799699999999E-2</v>
          </cell>
          <cell r="AS56">
            <v>2.4773885900000001E-2</v>
          </cell>
          <cell r="AT56">
            <v>2.34666088E-2</v>
          </cell>
          <cell r="AU56">
            <v>2.2212661500000001E-2</v>
          </cell>
          <cell r="AV56">
            <v>2.10115489E-2</v>
          </cell>
          <cell r="AW56">
            <v>1.9862561899999999E-2</v>
          </cell>
          <cell r="AX56">
            <v>1.8764827500000001E-2</v>
          </cell>
          <cell r="AY56">
            <v>1.7717332700000001E-2</v>
          </cell>
          <cell r="AZ56">
            <v>1.6718945200000002E-2</v>
          </cell>
          <cell r="BA56">
            <v>1.5768432700000001E-2</v>
          </cell>
          <cell r="BB56">
            <v>1.4864473600000001E-2</v>
          </cell>
          <cell r="BC56">
            <v>1.40056739E-2</v>
          </cell>
          <cell r="BD56">
            <v>1.3190582100000001E-2</v>
          </cell>
          <cell r="BE56">
            <v>1.24177023E-2</v>
          </cell>
        </row>
        <row r="57">
          <cell r="A57" t="str">
            <v>auto_cf_cgas_0</v>
          </cell>
          <cell r="B57">
            <v>7.4609436000000001E-2</v>
          </cell>
          <cell r="C57">
            <v>7.5234624900000005E-2</v>
          </cell>
          <cell r="D57">
            <v>7.6039568000000002E-2</v>
          </cell>
          <cell r="E57">
            <v>7.6866615299999996E-2</v>
          </cell>
          <cell r="F57">
            <v>7.7613898099999995E-2</v>
          </cell>
          <cell r="G57">
            <v>7.8219129299999995E-2</v>
          </cell>
          <cell r="H57">
            <v>7.8638820400000004E-2</v>
          </cell>
          <cell r="I57">
            <v>7.8855684100000004E-2</v>
          </cell>
          <cell r="J57">
            <v>7.8863526099999998E-2</v>
          </cell>
          <cell r="K57">
            <v>7.8663167800000003E-2</v>
          </cell>
          <cell r="L57">
            <v>7.8270533000000003E-2</v>
          </cell>
          <cell r="M57">
            <v>7.7681504799999995E-2</v>
          </cell>
          <cell r="N57">
            <v>7.6906159500000001E-2</v>
          </cell>
          <cell r="O57">
            <v>7.5956130100000005E-2</v>
          </cell>
          <cell r="P57">
            <v>7.4844295800000002E-2</v>
          </cell>
          <cell r="Q57">
            <v>7.3584397100000004E-2</v>
          </cell>
          <cell r="R57">
            <v>7.2190682899999997E-2</v>
          </cell>
          <cell r="S57">
            <v>7.0677607200000006E-2</v>
          </cell>
          <cell r="T57">
            <v>6.9059577100000005E-2</v>
          </cell>
          <cell r="U57">
            <v>6.7350748200000005E-2</v>
          </cell>
          <cell r="V57">
            <v>6.5561165099999999E-2</v>
          </cell>
          <cell r="W57">
            <v>6.3708473599999996E-2</v>
          </cell>
          <cell r="X57">
            <v>6.1805275899999998E-2</v>
          </cell>
          <cell r="Y57">
            <v>5.9863417600000003E-2</v>
          </cell>
          <cell r="Z57">
            <v>5.7893918699999998E-2</v>
          </cell>
          <cell r="AA57">
            <v>5.5900215400000001E-2</v>
          </cell>
          <cell r="AB57">
            <v>5.38970109E-2</v>
          </cell>
          <cell r="AC57">
            <v>5.1893829099999997E-2</v>
          </cell>
          <cell r="AD57">
            <v>4.9899274E-2</v>
          </cell>
          <cell r="AE57">
            <v>4.7920980699999997E-2</v>
          </cell>
          <cell r="AF57">
            <v>4.5965651099999998E-2</v>
          </cell>
          <cell r="AG57">
            <v>4.4039119799999998E-2</v>
          </cell>
          <cell r="AH57">
            <v>4.2146428299999997E-2</v>
          </cell>
          <cell r="AI57">
            <v>4.0291900499999998E-2</v>
          </cell>
          <cell r="AJ57">
            <v>3.84792131E-2</v>
          </cell>
          <cell r="AK57">
            <v>3.6711460100000003E-2</v>
          </cell>
          <cell r="AL57">
            <v>3.4990701899999997E-2</v>
          </cell>
          <cell r="AM57">
            <v>3.3319211899999999E-2</v>
          </cell>
          <cell r="AN57">
            <v>3.1698815800000002E-2</v>
          </cell>
          <cell r="AO57">
            <v>3.0130922399999999E-2</v>
          </cell>
          <cell r="AP57">
            <v>2.86165507E-2</v>
          </cell>
          <cell r="AQ57">
            <v>2.7156361800000001E-2</v>
          </cell>
          <cell r="AR57">
            <v>2.57506926E-2</v>
          </cell>
          <cell r="AS57">
            <v>2.4399589199999999E-2</v>
          </cell>
          <cell r="AT57">
            <v>2.3102839300000001E-2</v>
          </cell>
          <cell r="AU57">
            <v>2.1860002600000001E-2</v>
          </cell>
          <cell r="AV57">
            <v>2.0670450399999998E-2</v>
          </cell>
          <cell r="AW57">
            <v>1.9533360900000001E-2</v>
          </cell>
          <cell r="AX57">
            <v>1.8447760699999999E-2</v>
          </cell>
          <cell r="AY57">
            <v>1.7412545299999999E-2</v>
          </cell>
          <cell r="AZ57">
            <v>1.6426498899999999E-2</v>
          </cell>
          <cell r="BA57">
            <v>1.5488311100000001E-2</v>
          </cell>
          <cell r="BB57">
            <v>1.45965933E-2</v>
          </cell>
          <cell r="BC57">
            <v>1.37498932E-2</v>
          </cell>
          <cell r="BD57">
            <v>1.2946707999999999E-2</v>
          </cell>
          <cell r="BE57">
            <v>1.21854978E-2</v>
          </cell>
        </row>
        <row r="58">
          <cell r="A58" t="str">
            <v>auto_cg_cgas_2</v>
          </cell>
          <cell r="B58">
            <v>0.13435819299999999</v>
          </cell>
          <cell r="C58">
            <v>0.13573921659999999</v>
          </cell>
          <cell r="D58">
            <v>0.13723153660000001</v>
          </cell>
          <cell r="E58">
            <v>0.138528555</v>
          </cell>
          <cell r="F58">
            <v>0.13944764239999999</v>
          </cell>
          <cell r="G58">
            <v>0.13989078069999999</v>
          </cell>
          <cell r="H58">
            <v>0.13980321100000001</v>
          </cell>
          <cell r="I58">
            <v>0.13918204519999999</v>
          </cell>
          <cell r="J58">
            <v>0.1380469178</v>
          </cell>
          <cell r="K58">
            <v>0.1364307048</v>
          </cell>
          <cell r="L58">
            <v>0.13438885319999999</v>
          </cell>
          <cell r="M58">
            <v>0.1319463941</v>
          </cell>
          <cell r="N58">
            <v>0.12914886719999999</v>
          </cell>
          <cell r="O58">
            <v>0.126042389</v>
          </cell>
          <cell r="P58">
            <v>0.1226725969</v>
          </cell>
          <cell r="Q58">
            <v>0.1190837667</v>
          </cell>
          <cell r="R58">
            <v>0.11531797620000001</v>
          </cell>
          <cell r="S58">
            <v>0.1114150658</v>
          </cell>
          <cell r="T58">
            <v>0.1074121371</v>
          </cell>
          <cell r="U58">
            <v>0.1033432734</v>
          </cell>
          <cell r="V58">
            <v>9.9235840399999997E-2</v>
          </cell>
          <cell r="W58">
            <v>9.5122209400000005E-2</v>
          </cell>
          <cell r="X58">
            <v>9.1027033800000004E-2</v>
          </cell>
          <cell r="Y58">
            <v>8.6971905500000002E-2</v>
          </cell>
          <cell r="Z58">
            <v>8.2975506800000001E-2</v>
          </cell>
          <cell r="AA58">
            <v>7.9048608699999995E-2</v>
          </cell>
          <cell r="AB58">
            <v>7.5209350699999997E-2</v>
          </cell>
          <cell r="AC58">
            <v>7.1469735800000003E-2</v>
          </cell>
          <cell r="AD58">
            <v>6.7839411500000002E-2</v>
          </cell>
          <cell r="AE58">
            <v>6.4325870800000004E-2</v>
          </cell>
          <cell r="AF58">
            <v>6.0934697000000003E-2</v>
          </cell>
          <cell r="AG58">
            <v>5.7669807199999999E-2</v>
          </cell>
          <cell r="AH58">
            <v>5.4533662400000002E-2</v>
          </cell>
          <cell r="AI58">
            <v>5.1527474300000001E-2</v>
          </cell>
          <cell r="AJ58">
            <v>4.8651388400000002E-2</v>
          </cell>
          <cell r="AK58">
            <v>4.59046444E-2</v>
          </cell>
          <cell r="AL58">
            <v>4.32855163E-2</v>
          </cell>
          <cell r="AM58">
            <v>4.0791937200000003E-2</v>
          </cell>
          <cell r="AN58">
            <v>3.84212793E-2</v>
          </cell>
          <cell r="AO58">
            <v>3.6170459000000002E-2</v>
          </cell>
          <cell r="AP58">
            <v>3.40360257E-2</v>
          </cell>
          <cell r="AQ58">
            <v>3.2014241399999997E-2</v>
          </cell>
          <cell r="AR58">
            <v>3.0101148099999999E-2</v>
          </cell>
          <cell r="AS58">
            <v>2.8292630999999999E-2</v>
          </cell>
          <cell r="AT58">
            <v>2.6584474399999999E-2</v>
          </cell>
          <cell r="AU58">
            <v>2.4972408599999999E-2</v>
          </cell>
          <cell r="AV58">
            <v>2.3452154499999999E-2</v>
          </cell>
          <cell r="AW58">
            <v>2.2019447399999999E-2</v>
          </cell>
          <cell r="AX58">
            <v>2.06700722E-2</v>
          </cell>
          <cell r="AY58">
            <v>1.9399888899999999E-2</v>
          </cell>
          <cell r="AZ58">
            <v>1.8204852099999998E-2</v>
          </cell>
          <cell r="BA58">
            <v>1.70810274E-2</v>
          </cell>
          <cell r="BB58">
            <v>1.60246026E-2</v>
          </cell>
          <cell r="BC58">
            <v>1.5031898E-2</v>
          </cell>
          <cell r="BD58">
            <v>1.4099373300000001E-2</v>
          </cell>
          <cell r="BE58">
            <v>1.3223632399999999E-2</v>
          </cell>
        </row>
        <row r="59">
          <cell r="A59" t="str">
            <v>auto_cg_cgas_0</v>
          </cell>
          <cell r="B59">
            <v>0.13435819299999999</v>
          </cell>
          <cell r="C59">
            <v>0.13575765319999999</v>
          </cell>
          <cell r="D59">
            <v>0.1372790116</v>
          </cell>
          <cell r="E59">
            <v>0.13860597259999999</v>
          </cell>
          <cell r="F59">
            <v>0.13954842649999999</v>
          </cell>
          <cell r="G59">
            <v>0.1400034614</v>
          </cell>
          <cell r="H59">
            <v>0.13991399809999999</v>
          </cell>
          <cell r="I59">
            <v>0.13927633719999999</v>
          </cell>
          <cell r="J59">
            <v>0.13811055119999999</v>
          </cell>
          <cell r="K59">
            <v>0.13645085770000001</v>
          </cell>
          <cell r="L59">
            <v>0.13435432019999999</v>
          </cell>
          <cell r="M59">
            <v>0.1318489551</v>
          </cell>
          <cell r="N59">
            <v>0.12898263939999999</v>
          </cell>
          <cell r="O59">
            <v>0.12580370569999999</v>
          </cell>
          <cell r="P59">
            <v>0.12235990989999999</v>
          </cell>
          <cell r="Q59">
            <v>0.1186975074</v>
          </cell>
          <cell r="R59">
            <v>0.1148605427</v>
          </cell>
          <cell r="S59">
            <v>0.1108903348</v>
          </cell>
          <cell r="T59">
            <v>0.1068251299</v>
          </cell>
          <cell r="U59">
            <v>0.1026998917</v>
          </cell>
          <cell r="V59">
            <v>9.8542807900000001E-2</v>
          </cell>
          <cell r="W59">
            <v>9.4386419299999996E-2</v>
          </cell>
          <cell r="X59">
            <v>9.0255597100000001E-2</v>
          </cell>
          <cell r="Y59">
            <v>8.6171959500000006E-2</v>
          </cell>
          <cell r="Z59">
            <v>8.2154048499999993E-2</v>
          </cell>
          <cell r="AA59">
            <v>7.8212685899999995E-2</v>
          </cell>
          <cell r="AB59">
            <v>7.4365285200000006E-2</v>
          </cell>
          <cell r="AC59">
            <v>7.0623350200000004E-2</v>
          </cell>
          <cell r="AD59">
            <v>6.6995996200000005E-2</v>
          </cell>
          <cell r="AE59">
            <v>6.34901613E-2</v>
          </cell>
          <cell r="AF59">
            <v>6.0110863700000003E-2</v>
          </cell>
          <cell r="AG59">
            <v>5.6861455599999999E-2</v>
          </cell>
          <cell r="AH59">
            <v>5.3743857300000003E-2</v>
          </cell>
          <cell r="AI59">
            <v>5.0758768500000002E-2</v>
          </cell>
          <cell r="AJ59">
            <v>4.7905854800000001E-2</v>
          </cell>
          <cell r="AK59">
            <v>4.5183912800000003E-2</v>
          </cell>
          <cell r="AL59">
            <v>4.2590812899999997E-2</v>
          </cell>
          <cell r="AM59">
            <v>4.0124124999999997E-2</v>
          </cell>
          <cell r="AN59">
            <v>3.7780907000000002E-2</v>
          </cell>
          <cell r="AO59">
            <v>3.5557798600000003E-2</v>
          </cell>
          <cell r="AP59">
            <v>3.3451105199999998E-2</v>
          </cell>
          <cell r="AQ59">
            <v>3.1456875199999998E-2</v>
          </cell>
          <cell r="AR59">
            <v>2.9570968900000001E-2</v>
          </cell>
          <cell r="AS59">
            <v>2.77891197E-2</v>
          </cell>
          <cell r="AT59">
            <v>2.61069861E-2</v>
          </cell>
          <cell r="AU59">
            <v>2.4520197099999998E-2</v>
          </cell>
          <cell r="AV59">
            <v>2.3024393000000001E-2</v>
          </cell>
          <cell r="AW59">
            <v>2.1615250499999999E-2</v>
          </cell>
          <cell r="AX59">
            <v>2.0288513899999999E-2</v>
          </cell>
          <cell r="AY59">
            <v>1.90400173E-2</v>
          </cell>
          <cell r="AZ59">
            <v>1.7865701500000001E-2</v>
          </cell>
          <cell r="BA59">
            <v>1.6761628800000001E-2</v>
          </cell>
          <cell r="BB59">
            <v>1.5723993299999999E-2</v>
          </cell>
          <cell r="BC59">
            <v>1.4749129E-2</v>
          </cell>
          <cell r="BD59">
            <v>1.3833515500000001E-2</v>
          </cell>
          <cell r="BE59">
            <v>1.29737815E-2</v>
          </cell>
        </row>
      </sheetData>
      <sheetData sheetId="18"/>
      <sheetData sheetId="19"/>
      <sheetData sheetId="20">
        <row r="100">
          <cell r="A100" t="str">
            <v>y_toe_2</v>
          </cell>
          <cell r="B100">
            <v>139.40688470000001</v>
          </cell>
          <cell r="C100">
            <v>137.51003789999999</v>
          </cell>
          <cell r="D100">
            <v>137.7842249</v>
          </cell>
          <cell r="E100">
            <v>138.31924190000001</v>
          </cell>
          <cell r="F100">
            <v>139.0596213</v>
          </cell>
          <cell r="G100">
            <v>139.9890991</v>
          </cell>
          <cell r="H100">
            <v>141.00097389999999</v>
          </cell>
          <cell r="I100">
            <v>142.11937090000001</v>
          </cell>
          <cell r="J100">
            <v>143.3277315</v>
          </cell>
          <cell r="K100">
            <v>144.60682550000001</v>
          </cell>
          <cell r="L100">
            <v>146.0711953</v>
          </cell>
          <cell r="M100">
            <v>147.4719509</v>
          </cell>
          <cell r="N100">
            <v>148.8824645</v>
          </cell>
          <cell r="O100">
            <v>150.30560360000001</v>
          </cell>
          <cell r="P100">
            <v>151.7392629</v>
          </cell>
          <cell r="Q100">
            <v>153.1811787</v>
          </cell>
          <cell r="R100">
            <v>154.61589029999999</v>
          </cell>
          <cell r="S100">
            <v>156.0543725</v>
          </cell>
          <cell r="T100">
            <v>157.49882059999999</v>
          </cell>
          <cell r="U100">
            <v>158.95109149999999</v>
          </cell>
          <cell r="V100">
            <v>160.31893059999999</v>
          </cell>
          <cell r="W100">
            <v>161.76354850000001</v>
          </cell>
          <cell r="X100">
            <v>163.2345339</v>
          </cell>
          <cell r="Y100">
            <v>164.72755960000001</v>
          </cell>
          <cell r="Z100">
            <v>166.242592</v>
          </cell>
          <cell r="AA100">
            <v>167.51365129999999</v>
          </cell>
          <cell r="AB100">
            <v>168.87179370000001</v>
          </cell>
          <cell r="AC100">
            <v>170.25021280000001</v>
          </cell>
          <cell r="AD100">
            <v>171.6473647</v>
          </cell>
          <cell r="AE100">
            <v>173.0658172</v>
          </cell>
          <cell r="AF100">
            <v>174.50846000000001</v>
          </cell>
          <cell r="AG100">
            <v>175.98084030000001</v>
          </cell>
          <cell r="AH100">
            <v>177.48242300000001</v>
          </cell>
          <cell r="AI100">
            <v>179.01409409999999</v>
          </cell>
          <cell r="AJ100">
            <v>180.576412</v>
          </cell>
          <cell r="AK100">
            <v>182.1695971</v>
          </cell>
          <cell r="AL100">
            <v>183.758047</v>
          </cell>
          <cell r="AM100">
            <v>185.36303369999999</v>
          </cell>
          <cell r="AN100">
            <v>186.98901309999999</v>
          </cell>
          <cell r="AO100">
            <v>188.6379737</v>
          </cell>
          <cell r="AP100">
            <v>190.31116549999999</v>
          </cell>
          <cell r="AQ100">
            <v>192.01372259999999</v>
          </cell>
          <cell r="AR100">
            <v>193.74308590000001</v>
          </cell>
          <cell r="AS100">
            <v>195.4992216</v>
          </cell>
          <cell r="AT100">
            <v>197.2821539</v>
          </cell>
          <cell r="AU100">
            <v>199.09184210000001</v>
          </cell>
          <cell r="AV100">
            <v>200.94780729999999</v>
          </cell>
          <cell r="AW100">
            <v>202.8355061</v>
          </cell>
          <cell r="AX100">
            <v>204.75256809999999</v>
          </cell>
          <cell r="AY100">
            <v>206.69781029999999</v>
          </cell>
          <cell r="AZ100">
            <v>208.67049510000001</v>
          </cell>
          <cell r="BA100">
            <v>210.6788459</v>
          </cell>
          <cell r="BB100">
            <v>212.71602139999999</v>
          </cell>
          <cell r="BC100">
            <v>214.78097170000001</v>
          </cell>
          <cell r="BD100">
            <v>216.8732809</v>
          </cell>
          <cell r="BE100">
            <v>218.99283249999999</v>
          </cell>
        </row>
        <row r="101">
          <cell r="A101" t="str">
            <v>m_toe_2</v>
          </cell>
          <cell r="B101">
            <v>151.17173529999999</v>
          </cell>
          <cell r="C101">
            <v>149.0082286</v>
          </cell>
          <cell r="D101">
            <v>149.15143470000001</v>
          </cell>
          <cell r="E101">
            <v>149.7501168</v>
          </cell>
          <cell r="F101">
            <v>150.61296440000001</v>
          </cell>
          <cell r="G101">
            <v>151.70298790000001</v>
          </cell>
          <cell r="H101">
            <v>152.90464729999999</v>
          </cell>
          <cell r="I101">
            <v>154.24292650000001</v>
          </cell>
          <cell r="J101">
            <v>155.70201689999999</v>
          </cell>
          <cell r="K101">
            <v>157.26093560000001</v>
          </cell>
          <cell r="L101">
            <v>159.04157499999999</v>
          </cell>
          <cell r="M101">
            <v>160.78306230000001</v>
          </cell>
          <cell r="N101">
            <v>162.55142029999999</v>
          </cell>
          <cell r="O101">
            <v>164.35081980000001</v>
          </cell>
          <cell r="P101">
            <v>166.17713309999999</v>
          </cell>
          <cell r="Q101">
            <v>168.02573340000001</v>
          </cell>
          <cell r="R101">
            <v>169.87836519999999</v>
          </cell>
          <cell r="S101">
            <v>171.74442719999999</v>
          </cell>
          <cell r="T101">
            <v>173.6250805</v>
          </cell>
          <cell r="U101">
            <v>175.5207939</v>
          </cell>
          <cell r="V101">
            <v>177.33016319999999</v>
          </cell>
          <cell r="W101">
            <v>179.22077630000001</v>
          </cell>
          <cell r="X101">
            <v>181.1447512</v>
          </cell>
          <cell r="Y101">
            <v>183.094705</v>
          </cell>
          <cell r="Z101">
            <v>185.0698065</v>
          </cell>
          <cell r="AA101">
            <v>186.77984259999999</v>
          </cell>
          <cell r="AB101">
            <v>188.5678121</v>
          </cell>
          <cell r="AC101">
            <v>190.3754754</v>
          </cell>
          <cell r="AD101">
            <v>192.1983232</v>
          </cell>
          <cell r="AE101">
            <v>194.0392362</v>
          </cell>
          <cell r="AF101">
            <v>195.90184239999999</v>
          </cell>
          <cell r="AG101">
            <v>197.7926923</v>
          </cell>
          <cell r="AH101">
            <v>199.71197219999999</v>
          </cell>
          <cell r="AI101">
            <v>201.66119739999999</v>
          </cell>
          <cell r="AJ101">
            <v>203.64161390000001</v>
          </cell>
          <cell r="AK101">
            <v>205.65407400000001</v>
          </cell>
          <cell r="AL101">
            <v>207.65913280000001</v>
          </cell>
          <cell r="AM101">
            <v>209.67792919999999</v>
          </cell>
          <cell r="AN101">
            <v>211.71651370000001</v>
          </cell>
          <cell r="AO101">
            <v>213.77787190000001</v>
          </cell>
          <cell r="AP101">
            <v>215.8640805</v>
          </cell>
          <cell r="AQ101">
            <v>217.9812834</v>
          </cell>
          <cell r="AR101">
            <v>220.1274076</v>
          </cell>
          <cell r="AS101">
            <v>222.30277359999999</v>
          </cell>
          <cell r="AT101">
            <v>224.5078326</v>
          </cell>
          <cell r="AU101">
            <v>226.74289329999999</v>
          </cell>
          <cell r="AV101">
            <v>229.02933469999999</v>
          </cell>
          <cell r="AW101">
            <v>231.35229409999999</v>
          </cell>
          <cell r="AX101">
            <v>233.70881199999999</v>
          </cell>
          <cell r="AY101">
            <v>236.0978044</v>
          </cell>
          <cell r="AZ101">
            <v>238.51864570000001</v>
          </cell>
          <cell r="BA101">
            <v>240.9802674</v>
          </cell>
          <cell r="BB101">
            <v>243.47547890000001</v>
          </cell>
          <cell r="BC101">
            <v>246.0028547</v>
          </cell>
          <cell r="BD101">
            <v>248.5619605</v>
          </cell>
          <cell r="BE101">
            <v>251.1526762</v>
          </cell>
        </row>
        <row r="102">
          <cell r="A102" t="str">
            <v>ci_toe_2</v>
          </cell>
          <cell r="B102">
            <v>192.9306631</v>
          </cell>
          <cell r="C102">
            <v>190.4624513</v>
          </cell>
          <cell r="D102">
            <v>190.80971020000001</v>
          </cell>
          <cell r="E102">
            <v>191.89086459999999</v>
          </cell>
          <cell r="F102">
            <v>193.37290060000001</v>
          </cell>
          <cell r="G102">
            <v>195.187107</v>
          </cell>
          <cell r="H102">
            <v>197.17515159999999</v>
          </cell>
          <cell r="I102">
            <v>199.35310999999999</v>
          </cell>
          <cell r="J102">
            <v>201.6938553</v>
          </cell>
          <cell r="K102">
            <v>204.16509020000001</v>
          </cell>
          <cell r="L102">
            <v>206.92637719999999</v>
          </cell>
          <cell r="M102">
            <v>209.64003890000001</v>
          </cell>
          <cell r="N102">
            <v>212.3765483</v>
          </cell>
          <cell r="O102">
            <v>215.14203069999999</v>
          </cell>
          <cell r="P102">
            <v>217.93121210000001</v>
          </cell>
          <cell r="Q102">
            <v>220.73872270000001</v>
          </cell>
          <cell r="R102">
            <v>223.54444050000001</v>
          </cell>
          <cell r="S102">
            <v>226.3586301</v>
          </cell>
          <cell r="T102">
            <v>229.18431459999999</v>
          </cell>
          <cell r="U102">
            <v>232.0238568</v>
          </cell>
          <cell r="V102">
            <v>234.7424992</v>
          </cell>
          <cell r="W102">
            <v>237.56101720000001</v>
          </cell>
          <cell r="X102">
            <v>240.42623180000001</v>
          </cell>
          <cell r="Y102">
            <v>243.3288427</v>
          </cell>
          <cell r="Z102">
            <v>246.26906690000001</v>
          </cell>
          <cell r="AA102">
            <v>248.8559396</v>
          </cell>
          <cell r="AB102">
            <v>251.53261499999999</v>
          </cell>
          <cell r="AC102">
            <v>254.24090169999999</v>
          </cell>
          <cell r="AD102">
            <v>256.97575380000001</v>
          </cell>
          <cell r="AE102">
            <v>259.74280229999999</v>
          </cell>
          <cell r="AF102">
            <v>262.54861929999998</v>
          </cell>
          <cell r="AG102">
            <v>265.40225120000002</v>
          </cell>
          <cell r="AH102">
            <v>268.30545189999998</v>
          </cell>
          <cell r="AI102">
            <v>271.2604844</v>
          </cell>
          <cell r="AJ102">
            <v>274.2689196</v>
          </cell>
          <cell r="AK102">
            <v>277.3315796</v>
          </cell>
          <cell r="AL102">
            <v>280.38607539999998</v>
          </cell>
          <cell r="AM102">
            <v>283.46447430000001</v>
          </cell>
          <cell r="AN102">
            <v>286.5765308</v>
          </cell>
          <cell r="AO102">
            <v>289.72664959999997</v>
          </cell>
          <cell r="AP102">
            <v>292.91767850000002</v>
          </cell>
          <cell r="AQ102">
            <v>296.15653479999997</v>
          </cell>
          <cell r="AR102">
            <v>299.44162440000002</v>
          </cell>
          <cell r="AS102">
            <v>302.77322570000001</v>
          </cell>
          <cell r="AT102">
            <v>306.1516876</v>
          </cell>
          <cell r="AU102">
            <v>309.5771244</v>
          </cell>
          <cell r="AV102">
            <v>313.07378779999999</v>
          </cell>
          <cell r="AW102">
            <v>316.62635490000002</v>
          </cell>
          <cell r="AX102">
            <v>320.2306021</v>
          </cell>
          <cell r="AY102">
            <v>323.88471470000002</v>
          </cell>
          <cell r="AZ102">
            <v>327.58749119999999</v>
          </cell>
          <cell r="BA102">
            <v>331.3479178</v>
          </cell>
          <cell r="BB102">
            <v>335.15903909999997</v>
          </cell>
          <cell r="BC102">
            <v>339.01895739999998</v>
          </cell>
          <cell r="BD102">
            <v>342.92704629999997</v>
          </cell>
          <cell r="BE102">
            <v>346.8831338</v>
          </cell>
        </row>
        <row r="103">
          <cell r="A103" t="str">
            <v>ch_toe_2</v>
          </cell>
          <cell r="B103">
            <v>64.301440170000006</v>
          </cell>
          <cell r="C103">
            <v>64.265913170000005</v>
          </cell>
          <cell r="D103">
            <v>63.93796511</v>
          </cell>
          <cell r="E103">
            <v>63.578523250000003</v>
          </cell>
          <cell r="F103">
            <v>63.275338130000002</v>
          </cell>
          <cell r="G103">
            <v>63.045923700000003</v>
          </cell>
          <cell r="H103">
            <v>62.86278128</v>
          </cell>
          <cell r="I103">
            <v>62.726596890000003</v>
          </cell>
          <cell r="J103">
            <v>62.63310637</v>
          </cell>
          <cell r="K103">
            <v>62.574986410000001</v>
          </cell>
          <cell r="L103">
            <v>62.573893220000002</v>
          </cell>
          <cell r="M103">
            <v>62.57721978</v>
          </cell>
          <cell r="N103">
            <v>62.589960380000001</v>
          </cell>
          <cell r="O103">
            <v>62.61284216</v>
          </cell>
          <cell r="P103">
            <v>62.64464779</v>
          </cell>
          <cell r="Q103">
            <v>62.683549839999998</v>
          </cell>
          <cell r="R103">
            <v>62.724347690000002</v>
          </cell>
          <cell r="S103">
            <v>62.767952800000003</v>
          </cell>
          <cell r="T103">
            <v>62.814326029999997</v>
          </cell>
          <cell r="U103">
            <v>62.863060359999999</v>
          </cell>
          <cell r="V103">
            <v>62.894838649999997</v>
          </cell>
          <cell r="W103">
            <v>62.937369750000002</v>
          </cell>
          <cell r="X103">
            <v>62.985190320000001</v>
          </cell>
          <cell r="Y103">
            <v>63.03562668</v>
          </cell>
          <cell r="Z103">
            <v>63.087358180000003</v>
          </cell>
          <cell r="AA103">
            <v>63.088691150000002</v>
          </cell>
          <cell r="AB103">
            <v>63.093231770000003</v>
          </cell>
          <cell r="AC103">
            <v>63.098130619999999</v>
          </cell>
          <cell r="AD103">
            <v>63.102216509999998</v>
          </cell>
          <cell r="AE103">
            <v>63.105188259999998</v>
          </cell>
          <cell r="AF103">
            <v>63.106907130000003</v>
          </cell>
          <cell r="AG103">
            <v>63.108415909999998</v>
          </cell>
          <cell r="AH103">
            <v>63.10953679</v>
          </cell>
          <cell r="AI103">
            <v>63.110398920000002</v>
          </cell>
          <cell r="AJ103">
            <v>63.111241020000001</v>
          </cell>
          <cell r="AK103">
            <v>63.112326299999999</v>
          </cell>
          <cell r="AL103">
            <v>63.110736930000002</v>
          </cell>
          <cell r="AM103">
            <v>63.107536140000001</v>
          </cell>
          <cell r="AN103">
            <v>63.103451370000002</v>
          </cell>
          <cell r="AO103">
            <v>63.09904075</v>
          </cell>
          <cell r="AP103">
            <v>63.09477339</v>
          </cell>
          <cell r="AQ103">
            <v>63.09225155</v>
          </cell>
          <cell r="AR103">
            <v>63.091139239999997</v>
          </cell>
          <cell r="AS103">
            <v>63.091419979999998</v>
          </cell>
          <cell r="AT103">
            <v>63.093189850000002</v>
          </cell>
          <cell r="AU103">
            <v>63.096565320000003</v>
          </cell>
          <cell r="AV103">
            <v>63.106465020000002</v>
          </cell>
          <cell r="AW103">
            <v>63.12028901</v>
          </cell>
          <cell r="AX103">
            <v>63.136884000000002</v>
          </cell>
          <cell r="AY103">
            <v>63.155744830000003</v>
          </cell>
          <cell r="AZ103">
            <v>63.176646050000002</v>
          </cell>
          <cell r="BA103">
            <v>63.201877080000003</v>
          </cell>
          <cell r="BB103">
            <v>63.229993049999997</v>
          </cell>
          <cell r="BC103">
            <v>63.26032395</v>
          </cell>
          <cell r="BD103">
            <v>63.292547689999999</v>
          </cell>
          <cell r="BE103">
            <v>63.326493800000001</v>
          </cell>
        </row>
        <row r="104">
          <cell r="A104" t="str">
            <v>x_toe_2</v>
          </cell>
          <cell r="B104">
            <v>33.346516739999998</v>
          </cell>
          <cell r="C104">
            <v>31.78990202</v>
          </cell>
          <cell r="D104">
            <v>32.187984270000001</v>
          </cell>
          <cell r="E104">
            <v>32.599970810000002</v>
          </cell>
          <cell r="F104">
            <v>33.024346999999999</v>
          </cell>
          <cell r="G104">
            <v>33.4590563</v>
          </cell>
          <cell r="H104">
            <v>33.867688389999998</v>
          </cell>
          <cell r="I104">
            <v>34.282590630000001</v>
          </cell>
          <cell r="J104">
            <v>34.702786750000001</v>
          </cell>
          <cell r="K104">
            <v>35.127684500000001</v>
          </cell>
          <cell r="L104">
            <v>35.612499939999999</v>
          </cell>
          <cell r="M104">
            <v>36.0377546</v>
          </cell>
          <cell r="N104">
            <v>36.467376180000002</v>
          </cell>
          <cell r="O104">
            <v>36.901550499999999</v>
          </cell>
          <cell r="P104">
            <v>37.340536069999999</v>
          </cell>
          <cell r="Q104">
            <v>37.784639669999997</v>
          </cell>
          <cell r="R104">
            <v>38.225467340000002</v>
          </cell>
          <cell r="S104">
            <v>38.672216839999997</v>
          </cell>
          <cell r="T104">
            <v>39.125260400000002</v>
          </cell>
          <cell r="U104">
            <v>39.584968230000001</v>
          </cell>
          <cell r="V104">
            <v>40.011755989999997</v>
          </cell>
          <cell r="W104">
            <v>40.485937810000003</v>
          </cell>
          <cell r="X104">
            <v>40.967863029999997</v>
          </cell>
          <cell r="Y104">
            <v>41.45779529</v>
          </cell>
          <cell r="Z104">
            <v>41.955973329999999</v>
          </cell>
          <cell r="AA104">
            <v>42.348863219999998</v>
          </cell>
          <cell r="AB104">
            <v>42.813758980000003</v>
          </cell>
          <cell r="AC104">
            <v>43.286655830000001</v>
          </cell>
          <cell r="AD104">
            <v>43.767717619999999</v>
          </cell>
          <cell r="AE104">
            <v>44.257062900000001</v>
          </cell>
          <cell r="AF104">
            <v>44.754775950000003</v>
          </cell>
          <cell r="AG104">
            <v>45.26286554</v>
          </cell>
          <cell r="AH104">
            <v>45.779406530000003</v>
          </cell>
          <cell r="AI104">
            <v>46.304408180000003</v>
          </cell>
          <cell r="AJ104">
            <v>46.837865270000002</v>
          </cell>
          <cell r="AK104">
            <v>47.379765140000003</v>
          </cell>
          <cell r="AL104">
            <v>47.92036744</v>
          </cell>
          <cell r="AM104">
            <v>48.4689525</v>
          </cell>
          <cell r="AN104">
            <v>49.025544719999999</v>
          </cell>
          <cell r="AO104">
            <v>49.590155340000003</v>
          </cell>
          <cell r="AP104">
            <v>50.16279411</v>
          </cell>
          <cell r="AQ104">
            <v>50.746219619999998</v>
          </cell>
          <cell r="AR104">
            <v>51.337729799999998</v>
          </cell>
          <cell r="AS104">
            <v>51.937349509999997</v>
          </cell>
          <cell r="AT104">
            <v>52.545109029999999</v>
          </cell>
          <cell r="AU104">
            <v>53.161045629999997</v>
          </cell>
          <cell r="AV104">
            <v>53.796889219999997</v>
          </cell>
          <cell r="AW104">
            <v>54.441156239999998</v>
          </cell>
          <cell r="AX104">
            <v>55.093893999999999</v>
          </cell>
          <cell r="AY104">
            <v>55.755155129999999</v>
          </cell>
          <cell r="AZ104">
            <v>56.425003490000002</v>
          </cell>
          <cell r="BA104">
            <v>57.10931849</v>
          </cell>
          <cell r="BB104">
            <v>57.802468159999997</v>
          </cell>
          <cell r="BC104">
            <v>58.504545129999997</v>
          </cell>
          <cell r="BD104">
            <v>59.215647439999998</v>
          </cell>
          <cell r="BE104">
            <v>59.935881070000001</v>
          </cell>
        </row>
        <row r="105">
          <cell r="A105" t="str">
            <v>y_toe_0</v>
          </cell>
          <cell r="B105">
            <v>139.60539299999999</v>
          </cell>
          <cell r="C105">
            <v>138.01267060000001</v>
          </cell>
          <cell r="D105">
            <v>138.59873010000001</v>
          </cell>
          <cell r="E105">
            <v>139.4493827</v>
          </cell>
          <cell r="F105">
            <v>140.50713229999999</v>
          </cell>
          <cell r="G105">
            <v>141.75458570000001</v>
          </cell>
          <cell r="H105">
            <v>143.08719619999999</v>
          </cell>
          <cell r="I105">
            <v>144.52545520000001</v>
          </cell>
          <cell r="J105">
            <v>146.04886049999999</v>
          </cell>
          <cell r="K105">
            <v>147.6341893</v>
          </cell>
          <cell r="L105">
            <v>149.3973081</v>
          </cell>
          <cell r="M105">
            <v>151.09757669999999</v>
          </cell>
          <cell r="N105">
            <v>152.799328</v>
          </cell>
          <cell r="O105">
            <v>154.50553389999999</v>
          </cell>
          <cell r="P105">
            <v>156.21624650000001</v>
          </cell>
          <cell r="Q105">
            <v>157.9316695</v>
          </cell>
          <cell r="R105">
            <v>159.65241810000001</v>
          </cell>
          <cell r="S105">
            <v>161.37948399999999</v>
          </cell>
          <cell r="T105">
            <v>163.1142007</v>
          </cell>
          <cell r="U105">
            <v>164.85824070000001</v>
          </cell>
          <cell r="V105">
            <v>166.51469950000001</v>
          </cell>
          <cell r="W105">
            <v>168.2525943</v>
          </cell>
          <cell r="X105">
            <v>170.01901720000001</v>
          </cell>
          <cell r="Y105">
            <v>171.80993470000001</v>
          </cell>
          <cell r="Z105">
            <v>173.6258895</v>
          </cell>
          <cell r="AA105">
            <v>175.18553689999999</v>
          </cell>
          <cell r="AB105">
            <v>176.8342054</v>
          </cell>
          <cell r="AC105">
            <v>178.50531269999999</v>
          </cell>
          <cell r="AD105">
            <v>180.19814489999999</v>
          </cell>
          <cell r="AE105">
            <v>181.91591080000001</v>
          </cell>
          <cell r="AF105">
            <v>183.66212680000001</v>
          </cell>
          <cell r="AG105">
            <v>185.4397366</v>
          </cell>
          <cell r="AH105">
            <v>187.2508665</v>
          </cell>
          <cell r="AI105">
            <v>189.09701100000001</v>
          </cell>
          <cell r="AJ105">
            <v>190.97909200000001</v>
          </cell>
          <cell r="AK105">
            <v>192.8975399</v>
          </cell>
          <cell r="AL105">
            <v>194.78509120000001</v>
          </cell>
          <cell r="AM105">
            <v>196.68726810000001</v>
          </cell>
          <cell r="AN105">
            <v>198.61163769999999</v>
          </cell>
          <cell r="AO105">
            <v>200.56133879999999</v>
          </cell>
          <cell r="AP105">
            <v>202.53810559999999</v>
          </cell>
          <cell r="AQ105">
            <v>204.5430398</v>
          </cell>
          <cell r="AR105">
            <v>206.5768305</v>
          </cell>
          <cell r="AS105">
            <v>208.63985210000001</v>
          </cell>
          <cell r="AT105">
            <v>210.73224189999999</v>
          </cell>
          <cell r="AU105">
            <v>212.85414230000001</v>
          </cell>
          <cell r="AV105">
            <v>215.01201850000001</v>
          </cell>
          <cell r="AW105">
            <v>217.20229449999999</v>
          </cell>
          <cell r="AX105">
            <v>219.42472090000001</v>
          </cell>
          <cell r="AY105">
            <v>221.67928119999999</v>
          </cell>
          <cell r="AZ105">
            <v>223.96595859999999</v>
          </cell>
          <cell r="BA105">
            <v>226.28473399999999</v>
          </cell>
          <cell r="BB105">
            <v>228.6356274</v>
          </cell>
          <cell r="BC105">
            <v>231.018733</v>
          </cell>
          <cell r="BD105">
            <v>233.4342383</v>
          </cell>
          <cell r="BE105">
            <v>235.8824281</v>
          </cell>
        </row>
        <row r="106">
          <cell r="A106" t="str">
            <v>m_toe_0</v>
          </cell>
          <cell r="B106">
            <v>151.40128480000001</v>
          </cell>
          <cell r="C106">
            <v>149.55953830000001</v>
          </cell>
          <cell r="D106">
            <v>150.04201610000001</v>
          </cell>
          <cell r="E106">
            <v>150.991997</v>
          </cell>
          <cell r="F106">
            <v>152.21473570000001</v>
          </cell>
          <cell r="G106">
            <v>153.67110880000001</v>
          </cell>
          <cell r="H106">
            <v>155.2474857</v>
          </cell>
          <cell r="I106">
            <v>156.96221209999999</v>
          </cell>
          <cell r="J106">
            <v>158.79511310000001</v>
          </cell>
          <cell r="K106">
            <v>160.72134410000001</v>
          </cell>
          <cell r="L106">
            <v>162.86546949999999</v>
          </cell>
          <cell r="M106">
            <v>164.97339199999999</v>
          </cell>
          <cell r="N106">
            <v>167.10065280000001</v>
          </cell>
          <cell r="O106">
            <v>169.25062070000001</v>
          </cell>
          <cell r="P106">
            <v>171.42114900000001</v>
          </cell>
          <cell r="Q106">
            <v>173.6101366</v>
          </cell>
          <cell r="R106">
            <v>175.81610889999999</v>
          </cell>
          <cell r="S106">
            <v>178.03815230000001</v>
          </cell>
          <cell r="T106">
            <v>180.27587560000001</v>
          </cell>
          <cell r="U106">
            <v>182.52940670000001</v>
          </cell>
          <cell r="V106">
            <v>184.69195450000001</v>
          </cell>
          <cell r="W106">
            <v>186.93956679999999</v>
          </cell>
          <cell r="X106">
            <v>189.22191549999999</v>
          </cell>
          <cell r="Y106">
            <v>191.5317082</v>
          </cell>
          <cell r="Z106">
            <v>193.86868430000001</v>
          </cell>
          <cell r="AA106">
            <v>195.92516649999999</v>
          </cell>
          <cell r="AB106">
            <v>198.05971969999999</v>
          </cell>
          <cell r="AC106">
            <v>200.2151112</v>
          </cell>
          <cell r="AD106">
            <v>202.38770099999999</v>
          </cell>
          <cell r="AE106">
            <v>204.581086</v>
          </cell>
          <cell r="AF106">
            <v>206.7997579</v>
          </cell>
          <cell r="AG106">
            <v>209.04767279999999</v>
          </cell>
          <cell r="AH106">
            <v>211.32778350000001</v>
          </cell>
          <cell r="AI106">
            <v>213.64242640000001</v>
          </cell>
          <cell r="AJ106">
            <v>215.99333709999999</v>
          </cell>
          <cell r="AK106">
            <v>218.38170339999999</v>
          </cell>
          <cell r="AL106">
            <v>220.7341788</v>
          </cell>
          <cell r="AM106">
            <v>223.09709040000001</v>
          </cell>
          <cell r="AN106">
            <v>225.48091590000001</v>
          </cell>
          <cell r="AO106">
            <v>227.8898317</v>
          </cell>
          <cell r="AP106">
            <v>230.3263518</v>
          </cell>
          <cell r="AQ106">
            <v>232.79231150000001</v>
          </cell>
          <cell r="AR106">
            <v>235.28908039999999</v>
          </cell>
          <cell r="AS106">
            <v>237.81763480000001</v>
          </cell>
          <cell r="AT106">
            <v>240.37862770000001</v>
          </cell>
          <cell r="AU106">
            <v>242.97264530000001</v>
          </cell>
          <cell r="AV106">
            <v>245.60717539999999</v>
          </cell>
          <cell r="AW106">
            <v>248.27892109999999</v>
          </cell>
          <cell r="AX106">
            <v>250.98766269999999</v>
          </cell>
          <cell r="AY106">
            <v>253.73353180000001</v>
          </cell>
          <cell r="AZ106">
            <v>256.51663689999998</v>
          </cell>
          <cell r="BA106">
            <v>259.33704840000001</v>
          </cell>
          <cell r="BB106">
            <v>262.19484779999999</v>
          </cell>
          <cell r="BC106">
            <v>265.09017160000002</v>
          </cell>
          <cell r="BD106">
            <v>268.02323669999998</v>
          </cell>
          <cell r="BE106">
            <v>270.9943505</v>
          </cell>
        </row>
        <row r="107">
          <cell r="A107" t="str">
            <v>ci_toe_0</v>
          </cell>
          <cell r="B107">
            <v>193.2084213</v>
          </cell>
          <cell r="C107">
            <v>191.11555749999999</v>
          </cell>
          <cell r="D107">
            <v>191.87007299999999</v>
          </cell>
          <cell r="E107">
            <v>193.3786594</v>
          </cell>
          <cell r="F107">
            <v>195.30028350000001</v>
          </cell>
          <cell r="G107">
            <v>197.56061879999999</v>
          </cell>
          <cell r="H107">
            <v>199.99967269999999</v>
          </cell>
          <cell r="I107">
            <v>202.62951269999999</v>
          </cell>
          <cell r="J107">
            <v>205.42017430000001</v>
          </cell>
          <cell r="K107">
            <v>208.33700519999999</v>
          </cell>
          <cell r="L107">
            <v>211.54008379999999</v>
          </cell>
          <cell r="M107">
            <v>214.70002299999999</v>
          </cell>
          <cell r="N107">
            <v>217.8776594</v>
          </cell>
          <cell r="O107">
            <v>221.07752350000001</v>
          </cell>
          <cell r="P107">
            <v>224.29489359999999</v>
          </cell>
          <cell r="Q107">
            <v>227.52551399999999</v>
          </cell>
          <cell r="R107">
            <v>230.76708239999999</v>
          </cell>
          <cell r="S107">
            <v>234.0191514</v>
          </cell>
          <cell r="T107">
            <v>237.28279520000001</v>
          </cell>
          <cell r="U107">
            <v>240.56027889999999</v>
          </cell>
          <cell r="V107">
            <v>243.71115829999999</v>
          </cell>
          <cell r="W107">
            <v>246.9660792</v>
          </cell>
          <cell r="X107">
            <v>250.26986500000001</v>
          </cell>
          <cell r="Y107">
            <v>253.61364689999999</v>
          </cell>
          <cell r="Z107">
            <v>256.99858440000003</v>
          </cell>
          <cell r="AA107">
            <v>260.01415830000002</v>
          </cell>
          <cell r="AB107">
            <v>263.1206909</v>
          </cell>
          <cell r="AC107">
            <v>266.26135950000003</v>
          </cell>
          <cell r="AD107">
            <v>269.4323119</v>
          </cell>
          <cell r="AE107">
            <v>272.640244</v>
          </cell>
          <cell r="AF107">
            <v>275.8927104</v>
          </cell>
          <cell r="AG107">
            <v>279.19602259999999</v>
          </cell>
          <cell r="AH107">
            <v>282.55485879999998</v>
          </cell>
          <cell r="AI107">
            <v>285.9724453</v>
          </cell>
          <cell r="AJ107">
            <v>289.4507863</v>
          </cell>
          <cell r="AK107">
            <v>292.99089939999999</v>
          </cell>
          <cell r="AL107">
            <v>296.49356360000002</v>
          </cell>
          <cell r="AM107">
            <v>300.01517510000002</v>
          </cell>
          <cell r="AN107">
            <v>303.57105100000001</v>
          </cell>
          <cell r="AO107">
            <v>307.16729839999999</v>
          </cell>
          <cell r="AP107">
            <v>310.8076777</v>
          </cell>
          <cell r="AQ107">
            <v>314.4949757</v>
          </cell>
          <cell r="AR107">
            <v>318.23126359999998</v>
          </cell>
          <cell r="AS107">
            <v>322.0179746</v>
          </cell>
          <cell r="AT107">
            <v>325.85598779999998</v>
          </cell>
          <cell r="AU107">
            <v>329.74580350000002</v>
          </cell>
          <cell r="AV107">
            <v>333.69674889999999</v>
          </cell>
          <cell r="AW107">
            <v>337.70388270000001</v>
          </cell>
          <cell r="AX107">
            <v>341.76584980000001</v>
          </cell>
          <cell r="AY107">
            <v>345.88203279999999</v>
          </cell>
          <cell r="AZ107">
            <v>350.0520075</v>
          </cell>
          <cell r="BA107">
            <v>354.27549449999998</v>
          </cell>
          <cell r="BB107">
            <v>358.55239210000002</v>
          </cell>
          <cell r="BC107">
            <v>362.88280429999998</v>
          </cell>
          <cell r="BD107">
            <v>367.2670483</v>
          </cell>
          <cell r="BE107">
            <v>371.70564580000001</v>
          </cell>
        </row>
        <row r="108">
          <cell r="A108" t="str">
            <v>ch_toe_0</v>
          </cell>
          <cell r="B108">
            <v>64.301440170000006</v>
          </cell>
          <cell r="C108">
            <v>64.379189030000006</v>
          </cell>
          <cell r="D108">
            <v>64.157349830000001</v>
          </cell>
          <cell r="E108">
            <v>63.899233590000001</v>
          </cell>
          <cell r="F108">
            <v>63.695062870000001</v>
          </cell>
          <cell r="G108">
            <v>63.56460414</v>
          </cell>
          <cell r="H108">
            <v>63.484673549999997</v>
          </cell>
          <cell r="I108">
            <v>63.451191870000002</v>
          </cell>
          <cell r="J108">
            <v>63.454294179999998</v>
          </cell>
          <cell r="K108">
            <v>63.481009759999999</v>
          </cell>
          <cell r="L108">
            <v>63.55388834</v>
          </cell>
          <cell r="M108">
            <v>63.622740610000001</v>
          </cell>
          <cell r="N108">
            <v>63.689226560000002</v>
          </cell>
          <cell r="O108">
            <v>63.754814590000002</v>
          </cell>
          <cell r="P108">
            <v>63.821719260000002</v>
          </cell>
          <cell r="Q108">
            <v>63.891840250000001</v>
          </cell>
          <cell r="R108">
            <v>63.96613</v>
          </cell>
          <cell r="S108">
            <v>64.044604680000006</v>
          </cell>
          <cell r="T108">
            <v>64.126615810000004</v>
          </cell>
          <cell r="U108">
            <v>64.211186850000004</v>
          </cell>
          <cell r="V108">
            <v>64.277716229999996</v>
          </cell>
          <cell r="W108">
            <v>64.354334140000006</v>
          </cell>
          <cell r="X108">
            <v>64.435128500000005</v>
          </cell>
          <cell r="Y108">
            <v>64.517253060000002</v>
          </cell>
          <cell r="Z108">
            <v>64.59947477</v>
          </cell>
          <cell r="AA108">
            <v>64.627800399999998</v>
          </cell>
          <cell r="AB108">
            <v>64.656553130000006</v>
          </cell>
          <cell r="AC108">
            <v>64.683873869999999</v>
          </cell>
          <cell r="AD108">
            <v>64.709007790000001</v>
          </cell>
          <cell r="AE108">
            <v>64.731862430000007</v>
          </cell>
          <cell r="AF108">
            <v>64.752730220000004</v>
          </cell>
          <cell r="AG108">
            <v>64.77207654</v>
          </cell>
          <cell r="AH108">
            <v>64.790212710000006</v>
          </cell>
          <cell r="AI108">
            <v>64.807680669999996</v>
          </cell>
          <cell r="AJ108">
            <v>64.825091060000005</v>
          </cell>
          <cell r="AK108">
            <v>64.843013229999997</v>
          </cell>
          <cell r="AL108">
            <v>64.850382699999997</v>
          </cell>
          <cell r="AM108">
            <v>64.852994629999998</v>
          </cell>
          <cell r="AN108">
            <v>64.853498009999996</v>
          </cell>
          <cell r="AO108">
            <v>64.853027420000004</v>
          </cell>
          <cell r="AP108">
            <v>64.852000029999999</v>
          </cell>
          <cell r="AQ108">
            <v>64.850496010000001</v>
          </cell>
          <cell r="AR108">
            <v>64.848431599999998</v>
          </cell>
          <cell r="AS108">
            <v>64.845651459999999</v>
          </cell>
          <cell r="AT108">
            <v>64.841991699999994</v>
          </cell>
          <cell r="AU108">
            <v>64.83760255</v>
          </cell>
          <cell r="AV108">
            <v>64.834268690000002</v>
          </cell>
          <cell r="AW108">
            <v>64.832666489999994</v>
          </cell>
          <cell r="AX108">
            <v>64.83359274</v>
          </cell>
          <cell r="AY108">
            <v>64.837680449999993</v>
          </cell>
          <cell r="AZ108">
            <v>64.845334649999998</v>
          </cell>
          <cell r="BA108">
            <v>64.856764060000003</v>
          </cell>
          <cell r="BB108">
            <v>64.872038489999994</v>
          </cell>
          <cell r="BC108">
            <v>64.89114112</v>
          </cell>
          <cell r="BD108">
            <v>64.914006610000001</v>
          </cell>
          <cell r="BE108">
            <v>64.940545330000006</v>
          </cell>
        </row>
        <row r="109">
          <cell r="A109" t="str">
            <v>x_toe_0</v>
          </cell>
          <cell r="B109">
            <v>33.496816289999998</v>
          </cell>
          <cell r="C109">
            <v>32.077462320000002</v>
          </cell>
          <cell r="D109">
            <v>32.613323430000001</v>
          </cell>
          <cell r="E109">
            <v>33.163486659999997</v>
          </cell>
          <cell r="F109">
            <v>33.726521660000003</v>
          </cell>
          <cell r="G109">
            <v>34.300471610000002</v>
          </cell>
          <cell r="H109">
            <v>34.850335690000001</v>
          </cell>
          <cell r="I109">
            <v>35.406962810000003</v>
          </cell>
          <cell r="J109">
            <v>35.969505120000001</v>
          </cell>
          <cell r="K109">
            <v>36.537518460000001</v>
          </cell>
          <cell r="L109">
            <v>37.168805429999999</v>
          </cell>
          <cell r="M109">
            <v>37.748205089999999</v>
          </cell>
          <cell r="N109">
            <v>38.333094809999999</v>
          </cell>
          <cell r="O109">
            <v>38.923816500000001</v>
          </cell>
          <cell r="P109">
            <v>39.520782590000003</v>
          </cell>
          <cell r="Q109">
            <v>40.124451880000002</v>
          </cell>
          <cell r="R109">
            <v>40.735314629999998</v>
          </cell>
          <cell r="S109">
            <v>41.353880259999997</v>
          </cell>
          <cell r="T109">
            <v>41.980665299999998</v>
          </cell>
          <cell r="U109">
            <v>42.616181689999998</v>
          </cell>
          <cell r="V109">
            <v>43.217779530000001</v>
          </cell>
          <cell r="W109">
            <v>43.871747859999999</v>
          </cell>
          <cell r="X109">
            <v>44.535939249999998</v>
          </cell>
          <cell r="Y109">
            <v>45.210742949999997</v>
          </cell>
          <cell r="Z109">
            <v>45.896514619999998</v>
          </cell>
          <cell r="AA109">
            <v>46.468744700000002</v>
          </cell>
          <cell r="AB109">
            <v>47.116681030000002</v>
          </cell>
          <cell r="AC109">
            <v>47.775190610000003</v>
          </cell>
          <cell r="AD109">
            <v>48.444526170000003</v>
          </cell>
          <cell r="AE109">
            <v>49.12489042</v>
          </cell>
          <cell r="AF109">
            <v>49.816444099999998</v>
          </cell>
          <cell r="AG109">
            <v>50.519310249999997</v>
          </cell>
          <cell r="AH109">
            <v>51.233578520000002</v>
          </cell>
          <cell r="AI109">
            <v>51.959311399999997</v>
          </cell>
          <cell r="AJ109">
            <v>52.696551739999997</v>
          </cell>
          <cell r="AK109">
            <v>53.445330689999999</v>
          </cell>
          <cell r="AL109">
            <v>54.175323669999997</v>
          </cell>
          <cell r="AM109">
            <v>54.91618871</v>
          </cell>
          <cell r="AN109">
            <v>55.668004609999997</v>
          </cell>
          <cell r="AO109">
            <v>56.430844729999997</v>
          </cell>
          <cell r="AP109">
            <v>57.204779629999997</v>
          </cell>
          <cell r="AQ109">
            <v>57.989879549999998</v>
          </cell>
          <cell r="AR109">
            <v>58.786215689999999</v>
          </cell>
          <cell r="AS109">
            <v>59.593860849999999</v>
          </cell>
          <cell r="AT109">
            <v>60.412890079999997</v>
          </cell>
          <cell r="AU109">
            <v>61.243381560000003</v>
          </cell>
          <cell r="AV109">
            <v>62.088176300000001</v>
          </cell>
          <cell r="AW109">
            <v>62.944666310000002</v>
          </cell>
          <cell r="AX109">
            <v>63.812941000000002</v>
          </cell>
          <cell r="AY109">
            <v>64.693099810000007</v>
          </cell>
          <cell r="AZ109">
            <v>65.585253379999997</v>
          </cell>
          <cell r="BA109">
            <v>66.489523869999999</v>
          </cell>
          <cell r="BB109">
            <v>67.406044620000003</v>
          </cell>
          <cell r="BC109">
            <v>68.334959190000006</v>
          </cell>
          <cell r="BD109">
            <v>69.276420119999997</v>
          </cell>
          <cell r="BE109">
            <v>70.230587540000002</v>
          </cell>
        </row>
      </sheetData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BF529"/>
  <sheetViews>
    <sheetView zoomScale="77" workbookViewId="0">
      <pane xSplit="2" ySplit="4" topLeftCell="AL46" activePane="bottomRight" state="frozen"/>
      <selection pane="topRight" activeCell="C1" sqref="C1"/>
      <selection pane="bottomLeft" activeCell="A4" sqref="A4"/>
      <selection pane="bottomRight" activeCell="BF5" sqref="BF5"/>
    </sheetView>
  </sheetViews>
  <sheetFormatPr baseColWidth="10" defaultRowHeight="14.5" x14ac:dyDescent="0.35"/>
  <cols>
    <col min="1" max="1" width="26.90625" customWidth="1"/>
    <col min="2" max="2" width="43.08984375" customWidth="1"/>
    <col min="3" max="3" width="12.7265625" bestFit="1" customWidth="1"/>
    <col min="4" max="26" width="11.1796875" bestFit="1" customWidth="1"/>
    <col min="27" max="36" width="11.81640625" bestFit="1" customWidth="1"/>
    <col min="37" max="58" width="12.81640625" bestFit="1" customWidth="1"/>
  </cols>
  <sheetData>
    <row r="1" spans="1:58" x14ac:dyDescent="0.35">
      <c r="A1" t="s">
        <v>5</v>
      </c>
      <c r="B1" t="s">
        <v>6</v>
      </c>
    </row>
    <row r="4" spans="1:58" x14ac:dyDescent="0.35">
      <c r="A4" s="12" t="s">
        <v>0</v>
      </c>
      <c r="C4" s="2">
        <v>42005</v>
      </c>
      <c r="D4" s="2">
        <v>42370</v>
      </c>
      <c r="E4" s="2">
        <v>42736</v>
      </c>
      <c r="F4" s="2">
        <v>43101</v>
      </c>
      <c r="G4" s="2">
        <v>43466</v>
      </c>
      <c r="H4" s="2">
        <v>43831</v>
      </c>
      <c r="I4" s="2">
        <v>44197</v>
      </c>
      <c r="J4" s="2">
        <v>44562</v>
      </c>
      <c r="K4" s="2">
        <v>44927</v>
      </c>
      <c r="L4" s="2">
        <v>45292</v>
      </c>
      <c r="M4" s="2">
        <v>45658</v>
      </c>
      <c r="N4" s="2">
        <v>46023</v>
      </c>
      <c r="O4" s="2">
        <v>46388</v>
      </c>
      <c r="P4" s="2">
        <v>46753</v>
      </c>
      <c r="Q4" s="2">
        <v>47119</v>
      </c>
      <c r="R4" s="2">
        <v>47484</v>
      </c>
      <c r="S4" s="2">
        <v>47849</v>
      </c>
      <c r="T4" s="2">
        <v>48214</v>
      </c>
      <c r="U4" s="2">
        <v>48580</v>
      </c>
      <c r="V4" s="2">
        <v>48945</v>
      </c>
      <c r="W4" s="2">
        <v>49310</v>
      </c>
      <c r="X4" s="2">
        <v>49675</v>
      </c>
      <c r="Y4" s="2">
        <v>50041</v>
      </c>
      <c r="Z4" s="2">
        <v>50406</v>
      </c>
      <c r="AA4" s="2">
        <v>50771</v>
      </c>
      <c r="AB4" s="2">
        <v>51136</v>
      </c>
      <c r="AC4" s="2">
        <v>51502</v>
      </c>
      <c r="AD4" s="2">
        <v>51867</v>
      </c>
      <c r="AE4" s="2">
        <v>52232</v>
      </c>
      <c r="AF4" s="2">
        <v>52597</v>
      </c>
      <c r="AG4" s="2">
        <v>52963</v>
      </c>
      <c r="AH4" s="2">
        <v>53328</v>
      </c>
      <c r="AI4" s="2">
        <v>53693</v>
      </c>
      <c r="AJ4" s="2">
        <v>54058</v>
      </c>
      <c r="AK4" s="2">
        <v>54424</v>
      </c>
      <c r="AL4" s="2">
        <v>54789</v>
      </c>
      <c r="AM4" s="2">
        <v>55154</v>
      </c>
      <c r="AN4" s="2">
        <v>55519</v>
      </c>
      <c r="AO4" s="2">
        <v>55885</v>
      </c>
      <c r="AP4" s="2">
        <v>56250</v>
      </c>
      <c r="AQ4" s="2">
        <v>56615</v>
      </c>
      <c r="AR4" s="2">
        <v>56980</v>
      </c>
      <c r="AS4" s="2">
        <v>57346</v>
      </c>
      <c r="AT4" s="2">
        <v>57711</v>
      </c>
      <c r="AU4" s="2">
        <v>58076</v>
      </c>
      <c r="AV4" s="2">
        <v>58441</v>
      </c>
      <c r="AW4" s="2">
        <v>58807</v>
      </c>
      <c r="AX4" s="2">
        <v>59172</v>
      </c>
      <c r="AY4" s="2">
        <v>59537</v>
      </c>
      <c r="AZ4" s="2">
        <v>59902</v>
      </c>
      <c r="BA4" s="2">
        <v>60268</v>
      </c>
      <c r="BB4" s="2">
        <v>60633</v>
      </c>
      <c r="BC4" s="2">
        <v>60998</v>
      </c>
      <c r="BD4" s="2">
        <v>61363</v>
      </c>
      <c r="BE4" s="2">
        <v>61729</v>
      </c>
      <c r="BF4" s="2">
        <v>62094</v>
      </c>
    </row>
    <row r="5" spans="1:58" x14ac:dyDescent="0.35">
      <c r="A5" s="3" t="str">
        <f>[1]Results!E1365</f>
        <v>100*(GDP_2/GDP_0-1)</v>
      </c>
      <c r="B5" t="s">
        <v>18</v>
      </c>
      <c r="C5" s="1">
        <f>[1]Results!F1365</f>
        <v>-0.12387812955572119</v>
      </c>
      <c r="D5" s="1">
        <f>[1]Results!G1365</f>
        <v>-0.26002258249444576</v>
      </c>
      <c r="E5" s="1">
        <f>[1]Results!H1365</f>
        <v>-0.40684591032005279</v>
      </c>
      <c r="F5" s="1">
        <f>[1]Results!I1365</f>
        <v>-0.56040879623990847</v>
      </c>
      <c r="G5" s="1">
        <f>[1]Results!J1365</f>
        <v>-0.71660320838492497</v>
      </c>
      <c r="H5" s="1">
        <f>[1]Results!K1365</f>
        <v>-0.8725705903099068</v>
      </c>
      <c r="I5" s="1">
        <f>[1]Results!L1365</f>
        <v>-1.0281671843244578</v>
      </c>
      <c r="J5" s="1">
        <f>[1]Results!M1365</f>
        <v>-1.1806139343125577</v>
      </c>
      <c r="K5" s="1">
        <f>[1]Results!N1365</f>
        <v>-1.3289669784647185</v>
      </c>
      <c r="L5" s="1">
        <f>[1]Results!O1365</f>
        <v>-1.4726244897594332</v>
      </c>
      <c r="M5" s="1">
        <f>[1]Results!P1365</f>
        <v>-1.6110605066345207</v>
      </c>
      <c r="N5" s="1">
        <f>[1]Results!Q1365</f>
        <v>-1.7507069691454991</v>
      </c>
      <c r="O5" s="1">
        <f>[1]Results!R1365</f>
        <v>-1.88598760947708</v>
      </c>
      <c r="P5" s="1">
        <f>[1]Results!S1365</f>
        <v>-2.0167298471643447</v>
      </c>
      <c r="Q5" s="1">
        <f>[1]Results!T1365</f>
        <v>-2.1427786003025973</v>
      </c>
      <c r="R5" s="1">
        <f>[1]Results!U1365</f>
        <v>-2.2640973132313391</v>
      </c>
      <c r="S5" s="1">
        <f>[1]Results!V1365</f>
        <v>-2.3866291310953081</v>
      </c>
      <c r="T5" s="1">
        <f>[1]Results!W1365</f>
        <v>-2.5054136927858961</v>
      </c>
      <c r="U5" s="1">
        <f>[1]Results!X1365</f>
        <v>-2.6205597380858148</v>
      </c>
      <c r="V5" s="1">
        <f>[1]Results!Y1365</f>
        <v>-2.7321499110581793</v>
      </c>
      <c r="W5" s="1">
        <f>[1]Results!Z1365</f>
        <v>-2.8405307498020282</v>
      </c>
      <c r="X5" s="1">
        <f>[1]Results!AA1365</f>
        <v>-2.9453591024204862</v>
      </c>
      <c r="Y5" s="1">
        <f>[1]Results!AB1365</f>
        <v>-3.047159888664619</v>
      </c>
      <c r="Z5" s="1">
        <f>[1]Results!AC1365</f>
        <v>-3.1462960177082056</v>
      </c>
      <c r="AA5" s="1">
        <f>[1]Results!AD1365</f>
        <v>-3.2430842203880927</v>
      </c>
      <c r="AB5" s="1">
        <f>[1]Results!AE1365</f>
        <v>-3.3383185211761313</v>
      </c>
      <c r="AC5" s="1">
        <f>[1]Results!AF1365</f>
        <v>-3.4290906047009573</v>
      </c>
      <c r="AD5" s="1">
        <f>[1]Results!AG1365</f>
        <v>-3.5177230435464946</v>
      </c>
      <c r="AE5" s="1">
        <f>[1]Results!AH1365</f>
        <v>-3.6045639632559023</v>
      </c>
      <c r="AF5" s="1">
        <f>[1]Results!AI1365</f>
        <v>-3.689916885964617</v>
      </c>
      <c r="AG5" s="1">
        <f>[1]Results!AJ1365</f>
        <v>-3.7740008450478757</v>
      </c>
      <c r="AH5" s="1">
        <f>[1]Results!AK1365</f>
        <v>-3.8559000942881116</v>
      </c>
      <c r="AI5" s="1">
        <f>[1]Results!AL1365</f>
        <v>-3.9366051472919716</v>
      </c>
      <c r="AJ5" s="1">
        <f>[1]Results!AM1365</f>
        <v>-4.0161833979315382</v>
      </c>
      <c r="AK5" s="1">
        <f>[1]Results!AN1365</f>
        <v>-4.0946817180927848</v>
      </c>
      <c r="AL5" s="1">
        <f>[1]Results!AO1365</f>
        <v>-4.1721145546979592</v>
      </c>
      <c r="AM5" s="1">
        <f>[1]Results!AP1365</f>
        <v>-4.2398494465811343</v>
      </c>
      <c r="AN5" s="1">
        <f>[1]Results!AQ1365</f>
        <v>-4.305204172153509</v>
      </c>
      <c r="AO5" s="1">
        <f>[1]Results!AR1365</f>
        <v>-4.3683422765877999</v>
      </c>
      <c r="AP5" s="1">
        <f>[1]Results!AS1365</f>
        <v>-4.4296092732756147</v>
      </c>
      <c r="AQ5" s="1">
        <f>[1]Results!AT1365</f>
        <v>-4.4893124319510864</v>
      </c>
      <c r="AR5" s="1">
        <f>[1]Results!AU1365</f>
        <v>-4.5463815657271089</v>
      </c>
      <c r="AS5" s="1">
        <f>[1]Results!AV1365</f>
        <v>-4.6021027053292807</v>
      </c>
      <c r="AT5" s="1">
        <f>[1]Results!AW1365</f>
        <v>-4.6566491162013612</v>
      </c>
      <c r="AU5" s="1">
        <f>[1]Results!AX1365</f>
        <v>-4.7101748644916004</v>
      </c>
      <c r="AV5" s="1">
        <f>[1]Results!AY1365</f>
        <v>-4.7627952082361258</v>
      </c>
      <c r="AW5" s="1">
        <f>[1]Results!AZ1365</f>
        <v>-4.8104135337768916</v>
      </c>
      <c r="AX5" s="1">
        <f>[1]Results!BA1365</f>
        <v>-4.8565876269606179</v>
      </c>
      <c r="AY5" s="1">
        <f>[1]Results!BB1365</f>
        <v>-4.9014968178984208</v>
      </c>
      <c r="AZ5" s="1">
        <f>[1]Results!BC1365</f>
        <v>-4.9453672269198385</v>
      </c>
      <c r="BA5" s="1">
        <f>[1]Results!BD1365</f>
        <v>-4.9883901337668739</v>
      </c>
      <c r="BB5" s="1">
        <f>[1]Results!BE1365</f>
        <v>-5.0282666158354861</v>
      </c>
      <c r="BC5" s="1">
        <f>[1]Results!BF1365</f>
        <v>-5.0671696082860818</v>
      </c>
      <c r="BD5" s="1">
        <f>[1]Results!BG1365</f>
        <v>-5.1052814334782042</v>
      </c>
      <c r="BE5" s="1">
        <f>[1]Results!BH1365</f>
        <v>-5.1428024673215162</v>
      </c>
      <c r="BF5" s="1">
        <f>[1]Results!BI1365</f>
        <v>-5.1799008759286336</v>
      </c>
    </row>
    <row r="6" spans="1:58" x14ac:dyDescent="0.35">
      <c r="A6" s="3" t="str">
        <f>[1]Results!E1366</f>
        <v>100*((VA_2-VA_spub_2)/(VA_0-VA_spub_0)-1)</v>
      </c>
      <c r="B6" t="str">
        <f>[1]Results!C1366</f>
        <v>VA du secteur marchand</v>
      </c>
      <c r="C6" s="1">
        <f>[1]Results!F1366</f>
        <v>-0.15527509467913037</v>
      </c>
      <c r="D6" s="1">
        <f>[1]Results!G1366</f>
        <v>-0.3213202792026193</v>
      </c>
      <c r="E6" s="1">
        <f>[1]Results!H1366</f>
        <v>-0.49714236517072186</v>
      </c>
      <c r="F6" s="1">
        <f>[1]Results!I1366</f>
        <v>-0.67936456329736883</v>
      </c>
      <c r="G6" s="1">
        <f>[1]Results!J1366</f>
        <v>-0.86350875818760331</v>
      </c>
      <c r="H6" s="1">
        <f>[1]Results!K1366</f>
        <v>-1.0465169536737484</v>
      </c>
      <c r="I6" s="1">
        <f>[1]Results!L1366</f>
        <v>-1.2285118130466621</v>
      </c>
      <c r="J6" s="1">
        <f>[1]Results!M1366</f>
        <v>-1.4063722808156598</v>
      </c>
      <c r="K6" s="1">
        <f>[1]Results!N1366</f>
        <v>-1.5792020797268713</v>
      </c>
      <c r="L6" s="1">
        <f>[1]Results!O1366</f>
        <v>-1.7464655612317137</v>
      </c>
      <c r="M6" s="1">
        <f>[1]Results!P1366</f>
        <v>-1.9078315649924904</v>
      </c>
      <c r="N6" s="1">
        <f>[1]Results!Q1366</f>
        <v>-2.0710123715143247</v>
      </c>
      <c r="O6" s="1">
        <f>[1]Results!R1366</f>
        <v>-2.2291330078397675</v>
      </c>
      <c r="P6" s="1">
        <f>[1]Results!S1366</f>
        <v>-2.382135269382446</v>
      </c>
      <c r="Q6" s="1">
        <f>[1]Results!T1366</f>
        <v>-2.5299273677689471</v>
      </c>
      <c r="R6" s="1">
        <f>[1]Results!U1366</f>
        <v>-2.6725304863339572</v>
      </c>
      <c r="S6" s="1">
        <f>[1]Results!V1366</f>
        <v>-2.8174712758985532</v>
      </c>
      <c r="T6" s="1">
        <f>[1]Results!W1366</f>
        <v>-2.9582633606147324</v>
      </c>
      <c r="U6" s="1">
        <f>[1]Results!X1366</f>
        <v>-3.095117441576134</v>
      </c>
      <c r="V6" s="1">
        <f>[1]Results!Y1366</f>
        <v>-3.2281586249019778</v>
      </c>
      <c r="W6" s="1">
        <f>[1]Results!Z1366</f>
        <v>-3.3575915344050467</v>
      </c>
      <c r="X6" s="1">
        <f>[1]Results!AA1366</f>
        <v>-3.4835292797540718</v>
      </c>
      <c r="Y6" s="1">
        <f>[1]Results!AB1366</f>
        <v>-3.6062336415627283</v>
      </c>
      <c r="Z6" s="1">
        <f>[1]Results!AC1366</f>
        <v>-3.7261155057061734</v>
      </c>
      <c r="AA6" s="1">
        <f>[1]Results!AD1366</f>
        <v>-3.8435131180938442</v>
      </c>
      <c r="AB6" s="1">
        <f>[1]Results!AE1366</f>
        <v>-3.9586642383695025</v>
      </c>
      <c r="AC6" s="1">
        <f>[1]Results!AF1366</f>
        <v>-4.0692868397940618</v>
      </c>
      <c r="AD6" s="1">
        <f>[1]Results!AG1366</f>
        <v>-4.1777011640221513</v>
      </c>
      <c r="AE6" s="1">
        <f>[1]Results!AH1366</f>
        <v>-4.2842503472950266</v>
      </c>
      <c r="AF6" s="1">
        <f>[1]Results!AI1366</f>
        <v>-4.3892232643341744</v>
      </c>
      <c r="AG6" s="1">
        <f>[1]Results!AJ1366</f>
        <v>-4.4928163035339308</v>
      </c>
      <c r="AH6" s="1">
        <f>[1]Results!AK1366</f>
        <v>-4.5938141557026242</v>
      </c>
      <c r="AI6" s="1">
        <f>[1]Results!AL1366</f>
        <v>-4.6934608704463638</v>
      </c>
      <c r="AJ6" s="1">
        <f>[1]Results!AM1366</f>
        <v>-4.791790013438546</v>
      </c>
      <c r="AK6" s="1">
        <f>[1]Results!AN1366</f>
        <v>-4.8888244744461744</v>
      </c>
      <c r="AL6" s="1">
        <f>[1]Results!AO1366</f>
        <v>-4.984555705969651</v>
      </c>
      <c r="AM6" s="1">
        <f>[1]Results!AP1366</f>
        <v>-5.0679296996952505</v>
      </c>
      <c r="AN6" s="1">
        <f>[1]Results!AQ1366</f>
        <v>-5.1487894116417525</v>
      </c>
      <c r="AO6" s="1">
        <f>[1]Results!AR1366</f>
        <v>-5.2271880358545575</v>
      </c>
      <c r="AP6" s="1">
        <f>[1]Results!AS1366</f>
        <v>-5.3034657197350228</v>
      </c>
      <c r="AQ6" s="1">
        <f>[1]Results!AT1366</f>
        <v>-5.3779318769280104</v>
      </c>
      <c r="AR6" s="1">
        <f>[1]Results!AU1366</f>
        <v>-5.4491779709464838</v>
      </c>
      <c r="AS6" s="1">
        <f>[1]Results!AV1366</f>
        <v>-5.5188276288405387</v>
      </c>
      <c r="AT6" s="1">
        <f>[1]Results!AW1366</f>
        <v>-5.5870438421598223</v>
      </c>
      <c r="AU6" s="1">
        <f>[1]Results!AX1366</f>
        <v>-5.6539824498805569</v>
      </c>
      <c r="AV6" s="1">
        <f>[1]Results!AY1366</f>
        <v>-5.7197603502595618</v>
      </c>
      <c r="AW6" s="1">
        <f>[1]Results!AZ1366</f>
        <v>-5.7792209606024603</v>
      </c>
      <c r="AX6" s="1">
        <f>[1]Results!BA1366</f>
        <v>-5.8369746928079502</v>
      </c>
      <c r="AY6" s="1">
        <f>[1]Results!BB1366</f>
        <v>-5.8931831201812335</v>
      </c>
      <c r="AZ6" s="1">
        <f>[1]Results!BC1366</f>
        <v>-5.9480908722395087</v>
      </c>
      <c r="BA6" s="1">
        <f>[1]Results!BD1366</f>
        <v>-6.0019080554303939</v>
      </c>
      <c r="BB6" s="1">
        <f>[1]Results!BE1366</f>
        <v>-6.051720435508912</v>
      </c>
      <c r="BC6" s="1">
        <f>[1]Results!BF1366</f>
        <v>-6.1003442944666748</v>
      </c>
      <c r="BD6" s="1">
        <f>[1]Results!BG1366</f>
        <v>-6.1479610979539139</v>
      </c>
      <c r="BE6" s="1">
        <f>[1]Results!BH1366</f>
        <v>-6.1947910309679832</v>
      </c>
      <c r="BF6" s="1">
        <f>[1]Results!BI1366</f>
        <v>-6.2410207409614333</v>
      </c>
    </row>
    <row r="7" spans="1:58" x14ac:dyDescent="0.35">
      <c r="A7" s="3" t="str">
        <f>[1]Results!E1367</f>
        <v>100*((CH_2-CH_0)/GDP_0)</v>
      </c>
      <c r="B7" t="s">
        <v>19</v>
      </c>
      <c r="C7" s="1">
        <f>[1]Results!F1367</f>
        <v>-2.2219321315265921E-2</v>
      </c>
      <c r="D7" s="1">
        <f>[1]Results!G1367</f>
        <v>-7.0460409543374736E-2</v>
      </c>
      <c r="E7" s="1">
        <f>[1]Results!H1367</f>
        <v>-0.13641332857266328</v>
      </c>
      <c r="F7" s="1">
        <f>[1]Results!I1367</f>
        <v>-0.21450563499979014</v>
      </c>
      <c r="G7" s="1">
        <f>[1]Results!J1367</f>
        <v>-0.30007091231723121</v>
      </c>
      <c r="H7" s="1">
        <f>[1]Results!K1367</f>
        <v>-0.38962158057239177</v>
      </c>
      <c r="I7" s="1">
        <f>[1]Results!L1367</f>
        <v>-0.48118156225359476</v>
      </c>
      <c r="J7" s="1">
        <f>[1]Results!M1367</f>
        <v>-0.57269091044210019</v>
      </c>
      <c r="K7" s="1">
        <f>[1]Results!N1367</f>
        <v>-0.66267428933280292</v>
      </c>
      <c r="L7" s="1">
        <f>[1]Results!O1367</f>
        <v>-0.75004369162499585</v>
      </c>
      <c r="M7" s="1">
        <f>[1]Results!P1367</f>
        <v>-0.83343939307139059</v>
      </c>
      <c r="N7" s="1">
        <f>[1]Results!Q1367</f>
        <v>-0.91465553000259914</v>
      </c>
      <c r="O7" s="1">
        <f>[1]Results!R1367</f>
        <v>-0.99269726894413901</v>
      </c>
      <c r="P7" s="1">
        <f>[1]Results!S1367</f>
        <v>-1.0669788198868455</v>
      </c>
      <c r="Q7" s="1">
        <f>[1]Results!T1367</f>
        <v>-1.136999515268734</v>
      </c>
      <c r="R7" s="1">
        <f>[1]Results!U1367</f>
        <v>-1.2024054064787457</v>
      </c>
      <c r="S7" s="1">
        <f>[1]Results!V1367</f>
        <v>-1.2640344532047931</v>
      </c>
      <c r="T7" s="1">
        <f>[1]Results!W1367</f>
        <v>-1.3219303320470692</v>
      </c>
      <c r="U7" s="1">
        <f>[1]Results!X1367</f>
        <v>-1.3759742611067245</v>
      </c>
      <c r="V7" s="1">
        <f>[1]Results!Y1367</f>
        <v>-1.4261023314471122</v>
      </c>
      <c r="W7" s="1">
        <f>[1]Results!Z1367</f>
        <v>-1.4729009405044446</v>
      </c>
      <c r="X7" s="1">
        <f>[1]Results!AA1367</f>
        <v>-1.5151380820829512</v>
      </c>
      <c r="Y7" s="1">
        <f>[1]Results!AB1367</f>
        <v>-1.5538127279544276</v>
      </c>
      <c r="Z7" s="1">
        <f>[1]Results!AC1367</f>
        <v>-1.5892766427787099</v>
      </c>
      <c r="AA7" s="1">
        <f>[1]Results!AD1367</f>
        <v>-1.6218821272494621</v>
      </c>
      <c r="AB7" s="1">
        <f>[1]Results!AE1367</f>
        <v>-1.6535453586966187</v>
      </c>
      <c r="AC7" s="1">
        <f>[1]Results!AF1367</f>
        <v>-1.6809485345981232</v>
      </c>
      <c r="AD7" s="1">
        <f>[1]Results!AG1367</f>
        <v>-1.7055980865658447</v>
      </c>
      <c r="AE7" s="1">
        <f>[1]Results!AH1367</f>
        <v>-1.7280296126995709</v>
      </c>
      <c r="AF7" s="1">
        <f>[1]Results!AI1367</f>
        <v>-1.7487427669167073</v>
      </c>
      <c r="AG7" s="1">
        <f>[1]Results!AJ1367</f>
        <v>-1.7681551494941063</v>
      </c>
      <c r="AH7" s="1">
        <f>[1]Results!AK1367</f>
        <v>-1.7864094792652767</v>
      </c>
      <c r="AI7" s="1">
        <f>[1]Results!AL1367</f>
        <v>-1.8037577288788333</v>
      </c>
      <c r="AJ7" s="1">
        <f>[1]Results!AM1367</f>
        <v>-1.8204491383966501</v>
      </c>
      <c r="AK7" s="1">
        <f>[1]Results!AN1367</f>
        <v>-1.8366956923626685</v>
      </c>
      <c r="AL7" s="1">
        <f>[1]Results!AO1367</f>
        <v>-1.8526670666298415</v>
      </c>
      <c r="AM7" s="1">
        <f>[1]Results!AP1367</f>
        <v>-1.8672375303771729</v>
      </c>
      <c r="AN7" s="1">
        <f>[1]Results!AQ1367</f>
        <v>-1.8798191305544432</v>
      </c>
      <c r="AO7" s="1">
        <f>[1]Results!AR1367</f>
        <v>-1.8908044162987205</v>
      </c>
      <c r="AP7" s="1">
        <f>[1]Results!AS1367</f>
        <v>-1.9006818008692625</v>
      </c>
      <c r="AQ7" s="1">
        <f>[1]Results!AT1367</f>
        <v>-1.9099006825284432</v>
      </c>
      <c r="AR7" s="1">
        <f>[1]Results!AU1367</f>
        <v>-1.9185944025158621</v>
      </c>
      <c r="AS7" s="1">
        <f>[1]Results!AV1367</f>
        <v>-1.9270386557708126</v>
      </c>
      <c r="AT7" s="1">
        <f>[1]Results!AW1367</f>
        <v>-1.9355056736138294</v>
      </c>
      <c r="AU7" s="1">
        <f>[1]Results!AX1367</f>
        <v>-1.9442179559600679</v>
      </c>
      <c r="AV7" s="1">
        <f>[1]Results!AY1367</f>
        <v>-1.9533427646029338</v>
      </c>
      <c r="AW7" s="1">
        <f>[1]Results!AZ1367</f>
        <v>-1.96220608672112</v>
      </c>
      <c r="AX7" s="1">
        <f>[1]Results!BA1367</f>
        <v>-1.9708698248734522</v>
      </c>
      <c r="AY7" s="1">
        <f>[1]Results!BB1367</f>
        <v>-1.9795343346046836</v>
      </c>
      <c r="AZ7" s="1">
        <f>[1]Results!BC1367</f>
        <v>-1.9884091805694857</v>
      </c>
      <c r="BA7" s="1">
        <f>[1]Results!BD1367</f>
        <v>-1.99766948204562</v>
      </c>
      <c r="BB7" s="1">
        <f>[1]Results!BE1367</f>
        <v>-2.0070009544159979</v>
      </c>
      <c r="BC7" s="1">
        <f>[1]Results!BF1367</f>
        <v>-2.0164695925540008</v>
      </c>
      <c r="BD7" s="1">
        <f>[1]Results!BG1367</f>
        <v>-2.0262408641795346</v>
      </c>
      <c r="BE7" s="1">
        <f>[1]Results!BH1367</f>
        <v>-2.0364763969777893</v>
      </c>
      <c r="BF7" s="1">
        <f>[1]Results!BI1367</f>
        <v>-2.0473060655915294</v>
      </c>
    </row>
    <row r="8" spans="1:58" x14ac:dyDescent="0.35">
      <c r="A8" s="3" t="str">
        <f>[1]Results!E1368</f>
        <v>100*((CH_cveh_2-CH_cveh_0)/GDP_0)</v>
      </c>
      <c r="B8" t="str">
        <f>[1]Results!C1368</f>
        <v>Consommation des ménages automobile</v>
      </c>
      <c r="C8" s="1">
        <f>[1]Results!F1368</f>
        <v>-1.9345825700419495E-5</v>
      </c>
      <c r="D8" s="1">
        <f>[1]Results!G1368</f>
        <v>-4.0252317373844415E-3</v>
      </c>
      <c r="E8" s="1">
        <f>[1]Results!H1368</f>
        <v>-1.0181535431738355E-2</v>
      </c>
      <c r="F8" s="1">
        <f>[1]Results!I1368</f>
        <v>-1.7083691533886676E-2</v>
      </c>
      <c r="G8" s="1">
        <f>[1]Results!J1368</f>
        <v>-2.3889202238781129E-2</v>
      </c>
      <c r="H8" s="1">
        <f>[1]Results!K1368</f>
        <v>-3.0158272074737109E-2</v>
      </c>
      <c r="I8" s="1">
        <f>[1]Results!L1368</f>
        <v>-3.577395484841308E-2</v>
      </c>
      <c r="J8" s="1">
        <f>[1]Results!M1368</f>
        <v>-4.068476342848007E-2</v>
      </c>
      <c r="K8" s="1">
        <f>[1]Results!N1368</f>
        <v>-4.491636804242765E-2</v>
      </c>
      <c r="L8" s="1">
        <f>[1]Results!O1368</f>
        <v>-4.852430176743816E-2</v>
      </c>
      <c r="M8" s="1">
        <f>[1]Results!P1368</f>
        <v>-5.1534762214542881E-2</v>
      </c>
      <c r="N8" s="1">
        <f>[1]Results!Q1368</f>
        <v>-5.4206823965879947E-2</v>
      </c>
      <c r="O8" s="1">
        <f>[1]Results!R1368</f>
        <v>-5.6523572951230977E-2</v>
      </c>
      <c r="P8" s="1">
        <f>[1]Results!S1368</f>
        <v>-5.84795818330405E-2</v>
      </c>
      <c r="Q8" s="1">
        <f>[1]Results!T1368</f>
        <v>-6.0078431239928641E-2</v>
      </c>
      <c r="R8" s="1">
        <f>[1]Results!U1368</f>
        <v>-6.1335620546894128E-2</v>
      </c>
      <c r="S8" s="1">
        <f>[1]Results!V1368</f>
        <v>-6.2390631397966356E-2</v>
      </c>
      <c r="T8" s="1">
        <f>[1]Results!W1368</f>
        <v>-6.3253322809597501E-2</v>
      </c>
      <c r="U8" s="1">
        <f>[1]Results!X1368</f>
        <v>-6.3917502351823391E-2</v>
      </c>
      <c r="V8" s="1">
        <f>[1]Results!Y1368</f>
        <v>-6.4389072554538393E-2</v>
      </c>
      <c r="W8" s="1">
        <f>[1]Results!Z1368</f>
        <v>-6.4705666052181865E-2</v>
      </c>
      <c r="X8" s="1">
        <f>[1]Results!AA1368</f>
        <v>-6.4833337258192625E-2</v>
      </c>
      <c r="Y8" s="1">
        <f>[1]Results!AB1368</f>
        <v>-6.4841172792021201E-2</v>
      </c>
      <c r="Z8" s="1">
        <f>[1]Results!AC1368</f>
        <v>-6.4760463277383259E-2</v>
      </c>
      <c r="AA8" s="1">
        <f>[1]Results!AD1368</f>
        <v>-6.4616418385344487E-2</v>
      </c>
      <c r="AB8" s="1">
        <f>[1]Results!AE1368</f>
        <v>-6.4476381258962559E-2</v>
      </c>
      <c r="AC8" s="1">
        <f>[1]Results!AF1368</f>
        <v>-6.4191019096559235E-2</v>
      </c>
      <c r="AD8" s="1">
        <f>[1]Results!AG1368</f>
        <v>-6.3853818531627679E-2</v>
      </c>
      <c r="AE8" s="1">
        <f>[1]Results!AH1368</f>
        <v>-6.3508292119302007E-2</v>
      </c>
      <c r="AF8" s="1">
        <f>[1]Results!AI1368</f>
        <v>-6.3180883135418142E-2</v>
      </c>
      <c r="AG8" s="1">
        <f>[1]Results!AJ1368</f>
        <v>-6.2884742252690209E-2</v>
      </c>
      <c r="AH8" s="1">
        <f>[1]Results!AK1368</f>
        <v>-6.260577108128923E-2</v>
      </c>
      <c r="AI8" s="1">
        <f>[1]Results!AL1368</f>
        <v>-6.2349150332558986E-2</v>
      </c>
      <c r="AJ8" s="1">
        <f>[1]Results!AM1368</f>
        <v>-6.2121230761128715E-2</v>
      </c>
      <c r="AK8" s="1">
        <f>[1]Results!AN1368</f>
        <v>-6.1925090356928399E-2</v>
      </c>
      <c r="AL8" s="1">
        <f>[1]Results!AO1368</f>
        <v>-6.1760961437780315E-2</v>
      </c>
      <c r="AM8" s="1">
        <f>[1]Results!AP1368</f>
        <v>-6.1479776463003649E-2</v>
      </c>
      <c r="AN8" s="1">
        <f>[1]Results!AQ1368</f>
        <v>-6.1091989663780148E-2</v>
      </c>
      <c r="AO8" s="1">
        <f>[1]Results!AR1368</f>
        <v>-6.0660229678918584E-2</v>
      </c>
      <c r="AP8" s="1">
        <f>[1]Results!AS1368</f>
        <v>-6.0231664995578929E-2</v>
      </c>
      <c r="AQ8" s="1">
        <f>[1]Results!AT1368</f>
        <v>-5.9833958800456291E-2</v>
      </c>
      <c r="AR8" s="1">
        <f>[1]Results!AU1368</f>
        <v>-5.9458487804835952E-2</v>
      </c>
      <c r="AS8" s="1">
        <f>[1]Results!AV1368</f>
        <v>-5.9115112688585256E-2</v>
      </c>
      <c r="AT8" s="1">
        <f>[1]Results!AW1368</f>
        <v>-5.8812692801867003E-2</v>
      </c>
      <c r="AU8" s="1">
        <f>[1]Results!AX1368</f>
        <v>-5.8554671286447681E-2</v>
      </c>
      <c r="AV8" s="1">
        <f>[1]Results!AY1368</f>
        <v>-5.8340309083533992E-2</v>
      </c>
      <c r="AW8" s="1">
        <f>[1]Results!AZ1368</f>
        <v>-5.8097127276563722E-2</v>
      </c>
      <c r="AX8" s="1">
        <f>[1]Results!BA1368</f>
        <v>-5.78367609267239E-2</v>
      </c>
      <c r="AY8" s="1">
        <f>[1]Results!BB1368</f>
        <v>-5.7581748307322288E-2</v>
      </c>
      <c r="AZ8" s="1">
        <f>[1]Results!BC1368</f>
        <v>-5.7347031628983081E-2</v>
      </c>
      <c r="BA8" s="1">
        <f>[1]Results!BD1368</f>
        <v>-5.7139947011215345E-2</v>
      </c>
      <c r="BB8" s="1">
        <f>[1]Results!BE1368</f>
        <v>-5.6923912008845556E-2</v>
      </c>
      <c r="BC8" s="1">
        <f>[1]Results!BF1368</f>
        <v>-5.6707295693882533E-2</v>
      </c>
      <c r="BD8" s="1">
        <f>[1]Results!BG1368</f>
        <v>-5.650468111265982E-2</v>
      </c>
      <c r="BE8" s="1">
        <f>[1]Results!BH1368</f>
        <v>-5.6325328077502658E-2</v>
      </c>
      <c r="BF8" s="1">
        <f>[1]Results!BI1368</f>
        <v>-5.617314722186665E-2</v>
      </c>
    </row>
    <row r="9" spans="1:58" x14ac:dyDescent="0.35">
      <c r="A9" s="3" t="str">
        <f>[1]Results!E1369</f>
        <v>100*((G_2-G_0)/GDP_0)</v>
      </c>
      <c r="B9" t="str">
        <f>[1]Results!C1369</f>
        <v>Dépenses publiques</v>
      </c>
      <c r="C9" s="1">
        <f>[1]Results!F1369</f>
        <v>0</v>
      </c>
      <c r="D9" s="1">
        <f>[1]Results!G1369</f>
        <v>0</v>
      </c>
      <c r="E9" s="1">
        <f>[1]Results!H1369</f>
        <v>0</v>
      </c>
      <c r="F9" s="1">
        <f>[1]Results!I1369</f>
        <v>0</v>
      </c>
      <c r="G9" s="1">
        <f>[1]Results!J1369</f>
        <v>0</v>
      </c>
      <c r="H9" s="1">
        <f>[1]Results!K1369</f>
        <v>0</v>
      </c>
      <c r="I9" s="1">
        <f>[1]Results!L1369</f>
        <v>0</v>
      </c>
      <c r="J9" s="1">
        <f>[1]Results!M1369</f>
        <v>0</v>
      </c>
      <c r="K9" s="1">
        <f>[1]Results!N1369</f>
        <v>0</v>
      </c>
      <c r="L9" s="1">
        <f>[1]Results!O1369</f>
        <v>0</v>
      </c>
      <c r="M9" s="1">
        <f>[1]Results!P1369</f>
        <v>0</v>
      </c>
      <c r="N9" s="1">
        <f>[1]Results!Q1369</f>
        <v>0</v>
      </c>
      <c r="O9" s="1">
        <f>[1]Results!R1369</f>
        <v>0</v>
      </c>
      <c r="P9" s="1">
        <f>[1]Results!S1369</f>
        <v>0</v>
      </c>
      <c r="Q9" s="1">
        <f>[1]Results!T1369</f>
        <v>0</v>
      </c>
      <c r="R9" s="1">
        <f>[1]Results!U1369</f>
        <v>0</v>
      </c>
      <c r="S9" s="1">
        <f>[1]Results!V1369</f>
        <v>0</v>
      </c>
      <c r="T9" s="1">
        <f>[1]Results!W1369</f>
        <v>0</v>
      </c>
      <c r="U9" s="1">
        <f>[1]Results!X1369</f>
        <v>0</v>
      </c>
      <c r="V9" s="1">
        <f>[1]Results!Y1369</f>
        <v>0</v>
      </c>
      <c r="W9" s="1">
        <f>[1]Results!Z1369</f>
        <v>0</v>
      </c>
      <c r="X9" s="1">
        <f>[1]Results!AA1369</f>
        <v>0</v>
      </c>
      <c r="Y9" s="1">
        <f>[1]Results!AB1369</f>
        <v>0</v>
      </c>
      <c r="Z9" s="1">
        <f>[1]Results!AC1369</f>
        <v>0</v>
      </c>
      <c r="AA9" s="1">
        <f>[1]Results!AD1369</f>
        <v>0</v>
      </c>
      <c r="AB9" s="1">
        <f>[1]Results!AE1369</f>
        <v>0</v>
      </c>
      <c r="AC9" s="1">
        <f>[1]Results!AF1369</f>
        <v>0</v>
      </c>
      <c r="AD9" s="1">
        <f>[1]Results!AG1369</f>
        <v>0</v>
      </c>
      <c r="AE9" s="1">
        <f>[1]Results!AH1369</f>
        <v>0</v>
      </c>
      <c r="AF9" s="1">
        <f>[1]Results!AI1369</f>
        <v>0</v>
      </c>
      <c r="AG9" s="1">
        <f>[1]Results!AJ1369</f>
        <v>0</v>
      </c>
      <c r="AH9" s="1">
        <f>[1]Results!AK1369</f>
        <v>0</v>
      </c>
      <c r="AI9" s="1">
        <f>[1]Results!AL1369</f>
        <v>0</v>
      </c>
      <c r="AJ9" s="1">
        <f>[1]Results!AM1369</f>
        <v>0</v>
      </c>
      <c r="AK9" s="1">
        <f>[1]Results!AN1369</f>
        <v>0</v>
      </c>
      <c r="AL9" s="1">
        <f>[1]Results!AO1369</f>
        <v>0</v>
      </c>
      <c r="AM9" s="1">
        <f>[1]Results!AP1369</f>
        <v>0</v>
      </c>
      <c r="AN9" s="1">
        <f>[1]Results!AQ1369</f>
        <v>0</v>
      </c>
      <c r="AO9" s="1">
        <f>[1]Results!AR1369</f>
        <v>0</v>
      </c>
      <c r="AP9" s="1">
        <f>[1]Results!AS1369</f>
        <v>0</v>
      </c>
      <c r="AQ9" s="1">
        <f>[1]Results!AT1369</f>
        <v>0</v>
      </c>
      <c r="AR9" s="1">
        <f>[1]Results!AU1369</f>
        <v>0</v>
      </c>
      <c r="AS9" s="1">
        <f>[1]Results!AV1369</f>
        <v>0</v>
      </c>
      <c r="AT9" s="1">
        <f>[1]Results!AW1369</f>
        <v>0</v>
      </c>
      <c r="AU9" s="1">
        <f>[1]Results!AX1369</f>
        <v>0</v>
      </c>
      <c r="AV9" s="1">
        <f>[1]Results!AY1369</f>
        <v>0</v>
      </c>
      <c r="AW9" s="1">
        <f>[1]Results!AZ1369</f>
        <v>0</v>
      </c>
      <c r="AX9" s="1">
        <f>[1]Results!BA1369</f>
        <v>0</v>
      </c>
      <c r="AY9" s="1">
        <f>[1]Results!BB1369</f>
        <v>0</v>
      </c>
      <c r="AZ9" s="1">
        <f>[1]Results!BC1369</f>
        <v>0</v>
      </c>
      <c r="BA9" s="1">
        <f>[1]Results!BD1369</f>
        <v>0</v>
      </c>
      <c r="BB9" s="1">
        <f>[1]Results!BE1369</f>
        <v>0</v>
      </c>
      <c r="BC9" s="1">
        <f>[1]Results!BF1369</f>
        <v>0</v>
      </c>
      <c r="BD9" s="1">
        <f>[1]Results!BG1369</f>
        <v>0</v>
      </c>
      <c r="BE9" s="1">
        <f>[1]Results!BH1369</f>
        <v>0</v>
      </c>
      <c r="BF9" s="1">
        <f>[1]Results!BI1369</f>
        <v>0</v>
      </c>
    </row>
    <row r="10" spans="1:58" x14ac:dyDescent="0.35">
      <c r="A10" s="3" t="str">
        <f>[1]Results!E1370</f>
        <v>100*((I_2-I_0)/GDP_0)</v>
      </c>
      <c r="B10" t="s">
        <v>21</v>
      </c>
      <c r="C10" s="1">
        <f>[1]Results!F1370</f>
        <v>-1.8525592318490047E-2</v>
      </c>
      <c r="D10" s="1">
        <f>[1]Results!G1370</f>
        <v>-4.6927357378518365E-2</v>
      </c>
      <c r="E10" s="1">
        <f>[1]Results!H1370</f>
        <v>-8.0007173478490401E-2</v>
      </c>
      <c r="F10" s="1">
        <f>[1]Results!I1370</f>
        <v>-0.11629315034392236</v>
      </c>
      <c r="G10" s="1">
        <f>[1]Results!J1370</f>
        <v>-0.15473456384983703</v>
      </c>
      <c r="H10" s="1">
        <f>[1]Results!K1370</f>
        <v>-0.19470040061895019</v>
      </c>
      <c r="I10" s="1">
        <f>[1]Results!L1370</f>
        <v>-0.23611111746325184</v>
      </c>
      <c r="J10" s="1">
        <f>[1]Results!M1370</f>
        <v>-0.27851671693580754</v>
      </c>
      <c r="K10" s="1">
        <f>[1]Results!N1370</f>
        <v>-0.32165138832272816</v>
      </c>
      <c r="L10" s="1">
        <f>[1]Results!O1370</f>
        <v>-0.36531843176308149</v>
      </c>
      <c r="M10" s="1">
        <f>[1]Results!P1370</f>
        <v>-0.40915887318795902</v>
      </c>
      <c r="N10" s="1">
        <f>[1]Results!Q1370</f>
        <v>-0.45439232912949706</v>
      </c>
      <c r="O10" s="1">
        <f>[1]Results!R1370</f>
        <v>-0.50021401992476655</v>
      </c>
      <c r="P10" s="1">
        <f>[1]Results!S1370</f>
        <v>-0.54628580421484585</v>
      </c>
      <c r="Q10" s="1">
        <f>[1]Results!T1370</f>
        <v>-0.59238280138935906</v>
      </c>
      <c r="R10" s="1">
        <f>[1]Results!U1370</f>
        <v>-0.63833902791058483</v>
      </c>
      <c r="S10" s="1">
        <f>[1]Results!V1370</f>
        <v>-0.68489845893643631</v>
      </c>
      <c r="T10" s="1">
        <f>[1]Results!W1370</f>
        <v>-0.73156006845508004</v>
      </c>
      <c r="U10" s="1">
        <f>[1]Results!X1370</f>
        <v>-0.77802282679785106</v>
      </c>
      <c r="V10" s="1">
        <f>[1]Results!Y1370</f>
        <v>-0.82410868345878885</v>
      </c>
      <c r="W10" s="1">
        <f>[1]Results!Z1370</f>
        <v>-0.86997060709686613</v>
      </c>
      <c r="X10" s="1">
        <f>[1]Results!AA1370</f>
        <v>-0.91487547834815641</v>
      </c>
      <c r="Y10" s="1">
        <f>[1]Results!AB1370</f>
        <v>-0.95913002202356101</v>
      </c>
      <c r="Z10" s="1">
        <f>[1]Results!AC1370</f>
        <v>-1.0026712359586287</v>
      </c>
      <c r="AA10" s="1">
        <f>[1]Results!AD1370</f>
        <v>-1.0454513307302744</v>
      </c>
      <c r="AB10" s="1">
        <f>[1]Results!AE1370</f>
        <v>-1.0883381307581319</v>
      </c>
      <c r="AC10" s="1">
        <f>[1]Results!AF1370</f>
        <v>-1.1292728875887903</v>
      </c>
      <c r="AD10" s="1">
        <f>[1]Results!AG1370</f>
        <v>-1.1690383345120281</v>
      </c>
      <c r="AE10" s="1">
        <f>[1]Results!AH1370</f>
        <v>-1.2076462452880041</v>
      </c>
      <c r="AF10" s="1">
        <f>[1]Results!AI1370</f>
        <v>-1.2450855864434183</v>
      </c>
      <c r="AG10" s="1">
        <f>[1]Results!AJ1370</f>
        <v>-1.2813310104626396</v>
      </c>
      <c r="AH10" s="1">
        <f>[1]Results!AK1370</f>
        <v>-1.3161879695144161</v>
      </c>
      <c r="AI10" s="1">
        <f>[1]Results!AL1370</f>
        <v>-1.3496856603282985</v>
      </c>
      <c r="AJ10" s="1">
        <f>[1]Results!AM1370</f>
        <v>-1.3818213870384877</v>
      </c>
      <c r="AK10" s="1">
        <f>[1]Results!AN1370</f>
        <v>-1.4125744941983425</v>
      </c>
      <c r="AL10" s="1">
        <f>[1]Results!AO1370</f>
        <v>-1.4419179254289234</v>
      </c>
      <c r="AM10" s="1">
        <f>[1]Results!AP1370</f>
        <v>-1.4687555097992664</v>
      </c>
      <c r="AN10" s="1">
        <f>[1]Results!AQ1370</f>
        <v>-1.4932831709889112</v>
      </c>
      <c r="AO10" s="1">
        <f>[1]Results!AR1370</f>
        <v>-1.5158069124984064</v>
      </c>
      <c r="AP10" s="1">
        <f>[1]Results!AS1370</f>
        <v>-1.5364788217259637</v>
      </c>
      <c r="AQ10" s="1">
        <f>[1]Results!AT1370</f>
        <v>-1.5553873857380305</v>
      </c>
      <c r="AR10" s="1">
        <f>[1]Results!AU1370</f>
        <v>-1.5723954893574694</v>
      </c>
      <c r="AS10" s="1">
        <f>[1]Results!AV1370</f>
        <v>-1.5876395432525603</v>
      </c>
      <c r="AT10" s="1">
        <f>[1]Results!AW1370</f>
        <v>-1.6012194919564979</v>
      </c>
      <c r="AU10" s="1">
        <f>[1]Results!AX1370</f>
        <v>-1.613215152222685</v>
      </c>
      <c r="AV10" s="1">
        <f>[1]Results!AY1370</f>
        <v>-1.6236983433557035</v>
      </c>
      <c r="AW10" s="1">
        <f>[1]Results!AZ1370</f>
        <v>-1.6320759923307404</v>
      </c>
      <c r="AX10" s="1">
        <f>[1]Results!BA1370</f>
        <v>-1.6387046552970235</v>
      </c>
      <c r="AY10" s="1">
        <f>[1]Results!BB1370</f>
        <v>-1.6438025473251989</v>
      </c>
      <c r="AZ10" s="1">
        <f>[1]Results!BC1370</f>
        <v>-1.6475241236363347</v>
      </c>
      <c r="BA10" s="1">
        <f>[1]Results!BD1370</f>
        <v>-1.649993833606743</v>
      </c>
      <c r="BB10" s="1">
        <f>[1]Results!BE1370</f>
        <v>-1.6509451620244304</v>
      </c>
      <c r="BC10" s="1">
        <f>[1]Results!BF1370</f>
        <v>-1.6506318983299306</v>
      </c>
      <c r="BD10" s="1">
        <f>[1]Results!BG1370</f>
        <v>-1.6492416219538923</v>
      </c>
      <c r="BE10" s="1">
        <f>[1]Results!BH1370</f>
        <v>-1.6469207198579514</v>
      </c>
      <c r="BF10" s="1">
        <f>[1]Results!BI1370</f>
        <v>-1.6437945365436906</v>
      </c>
    </row>
    <row r="11" spans="1:58" x14ac:dyDescent="0.35">
      <c r="A11" s="3" t="str">
        <f>[1]Results!E1371</f>
        <v>100*((DS_2-DS_0)/GDP_0)</v>
      </c>
      <c r="B11" t="str">
        <f>[1]Results!C1371</f>
        <v>Variations de stocks</v>
      </c>
      <c r="C11" s="1">
        <f>[1]Results!F1371</f>
        <v>0</v>
      </c>
      <c r="D11" s="1">
        <f>[1]Results!G1371</f>
        <v>0</v>
      </c>
      <c r="E11" s="1">
        <f>[1]Results!H1371</f>
        <v>0</v>
      </c>
      <c r="F11" s="1">
        <f>[1]Results!I1371</f>
        <v>0</v>
      </c>
      <c r="G11" s="1">
        <f>[1]Results!J1371</f>
        <v>0</v>
      </c>
      <c r="H11" s="1">
        <f>[1]Results!K1371</f>
        <v>0</v>
      </c>
      <c r="I11" s="1">
        <f>[1]Results!L1371</f>
        <v>0</v>
      </c>
      <c r="J11" s="1">
        <f>[1]Results!M1371</f>
        <v>0</v>
      </c>
      <c r="K11" s="1">
        <f>[1]Results!N1371</f>
        <v>0</v>
      </c>
      <c r="L11" s="1">
        <f>[1]Results!O1371</f>
        <v>0</v>
      </c>
      <c r="M11" s="1">
        <f>[1]Results!P1371</f>
        <v>0</v>
      </c>
      <c r="N11" s="1">
        <f>[1]Results!Q1371</f>
        <v>0</v>
      </c>
      <c r="O11" s="1">
        <f>[1]Results!R1371</f>
        <v>0</v>
      </c>
      <c r="P11" s="1">
        <f>[1]Results!S1371</f>
        <v>0</v>
      </c>
      <c r="Q11" s="1">
        <f>[1]Results!T1371</f>
        <v>0</v>
      </c>
      <c r="R11" s="1">
        <f>[1]Results!U1371</f>
        <v>0</v>
      </c>
      <c r="S11" s="1">
        <f>[1]Results!V1371</f>
        <v>0</v>
      </c>
      <c r="T11" s="1">
        <f>[1]Results!W1371</f>
        <v>0</v>
      </c>
      <c r="U11" s="1">
        <f>[1]Results!X1371</f>
        <v>0</v>
      </c>
      <c r="V11" s="1">
        <f>[1]Results!Y1371</f>
        <v>0</v>
      </c>
      <c r="W11" s="1">
        <f>[1]Results!Z1371</f>
        <v>0</v>
      </c>
      <c r="X11" s="1">
        <f>[1]Results!AA1371</f>
        <v>0</v>
      </c>
      <c r="Y11" s="1">
        <f>[1]Results!AB1371</f>
        <v>0</v>
      </c>
      <c r="Z11" s="1">
        <f>[1]Results!AC1371</f>
        <v>0</v>
      </c>
      <c r="AA11" s="1">
        <f>[1]Results!AD1371</f>
        <v>0</v>
      </c>
      <c r="AB11" s="1">
        <f>[1]Results!AE1371</f>
        <v>0</v>
      </c>
      <c r="AC11" s="1">
        <f>[1]Results!AF1371</f>
        <v>0</v>
      </c>
      <c r="AD11" s="1">
        <f>[1]Results!AG1371</f>
        <v>0</v>
      </c>
      <c r="AE11" s="1">
        <f>[1]Results!AH1371</f>
        <v>0</v>
      </c>
      <c r="AF11" s="1">
        <f>[1]Results!AI1371</f>
        <v>0</v>
      </c>
      <c r="AG11" s="1">
        <f>[1]Results!AJ1371</f>
        <v>0</v>
      </c>
      <c r="AH11" s="1">
        <f>[1]Results!AK1371</f>
        <v>0</v>
      </c>
      <c r="AI11" s="1">
        <f>[1]Results!AL1371</f>
        <v>0</v>
      </c>
      <c r="AJ11" s="1">
        <f>[1]Results!AM1371</f>
        <v>0</v>
      </c>
      <c r="AK11" s="1">
        <f>[1]Results!AN1371</f>
        <v>0</v>
      </c>
      <c r="AL11" s="1">
        <f>[1]Results!AO1371</f>
        <v>0</v>
      </c>
      <c r="AM11" s="1">
        <f>[1]Results!AP1371</f>
        <v>0</v>
      </c>
      <c r="AN11" s="1">
        <f>[1]Results!AQ1371</f>
        <v>0</v>
      </c>
      <c r="AO11" s="1">
        <f>[1]Results!AR1371</f>
        <v>0</v>
      </c>
      <c r="AP11" s="1">
        <f>[1]Results!AS1371</f>
        <v>0</v>
      </c>
      <c r="AQ11" s="1">
        <f>[1]Results!AT1371</f>
        <v>0</v>
      </c>
      <c r="AR11" s="1">
        <f>[1]Results!AU1371</f>
        <v>0</v>
      </c>
      <c r="AS11" s="1">
        <f>[1]Results!AV1371</f>
        <v>0</v>
      </c>
      <c r="AT11" s="1">
        <f>[1]Results!AW1371</f>
        <v>0</v>
      </c>
      <c r="AU11" s="1">
        <f>[1]Results!AX1371</f>
        <v>0</v>
      </c>
      <c r="AV11" s="1">
        <f>[1]Results!AY1371</f>
        <v>0</v>
      </c>
      <c r="AW11" s="1">
        <f>[1]Results!AZ1371</f>
        <v>0</v>
      </c>
      <c r="AX11" s="1">
        <f>[1]Results!BA1371</f>
        <v>0</v>
      </c>
      <c r="AY11" s="1">
        <f>[1]Results!BB1371</f>
        <v>0</v>
      </c>
      <c r="AZ11" s="1">
        <f>[1]Results!BC1371</f>
        <v>0</v>
      </c>
      <c r="BA11" s="1">
        <f>[1]Results!BD1371</f>
        <v>0</v>
      </c>
      <c r="BB11" s="1">
        <f>[1]Results!BE1371</f>
        <v>0</v>
      </c>
      <c r="BC11" s="1">
        <f>[1]Results!BF1371</f>
        <v>0</v>
      </c>
      <c r="BD11" s="1">
        <f>[1]Results!BG1371</f>
        <v>0</v>
      </c>
      <c r="BE11" s="1">
        <f>[1]Results!BH1371</f>
        <v>0</v>
      </c>
      <c r="BF11" s="1">
        <f>[1]Results!BI1371</f>
        <v>0</v>
      </c>
    </row>
    <row r="12" spans="1:58" x14ac:dyDescent="0.35">
      <c r="A12" s="3" t="str">
        <f>[1]Results!E1372</f>
        <v>100*((X_2-X_0)/GDP_0)-100*((M_2-M_0)/GDP_0)</v>
      </c>
      <c r="B12" t="s">
        <v>20</v>
      </c>
      <c r="C12" s="1">
        <f>[1]Results!F1372</f>
        <v>-8.3133220466124355E-2</v>
      </c>
      <c r="D12" s="1">
        <f>[1]Results!G1372</f>
        <v>-0.1426347927770735</v>
      </c>
      <c r="E12" s="1">
        <f>[1]Results!H1372</f>
        <v>-0.19042540826890231</v>
      </c>
      <c r="F12" s="1">
        <f>[1]Results!I1372</f>
        <v>-0.22961004653457745</v>
      </c>
      <c r="G12" s="1">
        <f>[1]Results!J1372</f>
        <v>-0.26179771463502577</v>
      </c>
      <c r="H12" s="1">
        <f>[1]Results!K1372</f>
        <v>-0.28824860045273981</v>
      </c>
      <c r="I12" s="1">
        <f>[1]Results!L1372</f>
        <v>-0.31087447471518703</v>
      </c>
      <c r="J12" s="1">
        <f>[1]Results!M1372</f>
        <v>-0.32940630693465039</v>
      </c>
      <c r="K12" s="1">
        <f>[1]Results!N1372</f>
        <v>-0.3446412759541162</v>
      </c>
      <c r="L12" s="1">
        <f>[1]Results!O1372</f>
        <v>-0.35726237860605392</v>
      </c>
      <c r="M12" s="1">
        <f>[1]Results!P1372</f>
        <v>-0.36846226443440011</v>
      </c>
      <c r="N12" s="1">
        <f>[1]Results!Q1372</f>
        <v>-0.38165906661360482</v>
      </c>
      <c r="O12" s="1">
        <f>[1]Results!R1372</f>
        <v>-0.39307630507971636</v>
      </c>
      <c r="P12" s="1">
        <f>[1]Results!S1372</f>
        <v>-0.40346524598282063</v>
      </c>
      <c r="Q12" s="1">
        <f>[1]Results!T1372</f>
        <v>-0.41339629868150285</v>
      </c>
      <c r="R12" s="1">
        <f>[1]Results!U1372</f>
        <v>-0.42335284184413591</v>
      </c>
      <c r="S12" s="1">
        <f>[1]Results!V1372</f>
        <v>-0.43769621531246372</v>
      </c>
      <c r="T12" s="1">
        <f>[1]Results!W1372</f>
        <v>-0.45192331020718912</v>
      </c>
      <c r="U12" s="1">
        <f>[1]Results!X1372</f>
        <v>-0.46656266076811437</v>
      </c>
      <c r="V12" s="1">
        <f>[1]Results!Y1372</f>
        <v>-0.48193887878045572</v>
      </c>
      <c r="W12" s="1">
        <f>[1]Results!Z1372</f>
        <v>-0.4976591748150061</v>
      </c>
      <c r="X12" s="1">
        <f>[1]Results!AA1372</f>
        <v>-0.51534552513291443</v>
      </c>
      <c r="Y12" s="1">
        <f>[1]Results!AB1372</f>
        <v>-0.53421713204627186</v>
      </c>
      <c r="Z12" s="1">
        <f>[1]Results!AC1372</f>
        <v>-0.55434811608177381</v>
      </c>
      <c r="AA12" s="1">
        <f>[1]Results!AD1372</f>
        <v>-0.57575076562865846</v>
      </c>
      <c r="AB12" s="1">
        <f>[1]Results!AE1372</f>
        <v>-0.59643501583429703</v>
      </c>
      <c r="AC12" s="1">
        <f>[1]Results!AF1372</f>
        <v>-0.61886916684639393</v>
      </c>
      <c r="AD12" s="1">
        <f>[1]Results!AG1372</f>
        <v>-0.64308659774369548</v>
      </c>
      <c r="AE12" s="1">
        <f>[1]Results!AH1372</f>
        <v>-0.66888808392881383</v>
      </c>
      <c r="AF12" s="1">
        <f>[1]Results!AI1372</f>
        <v>-0.69608854463273584</v>
      </c>
      <c r="AG12" s="1">
        <f>[1]Results!AJ1372</f>
        <v>-0.72451468212491532</v>
      </c>
      <c r="AH12" s="1">
        <f>[1]Results!AK1372</f>
        <v>-0.75330266598963469</v>
      </c>
      <c r="AI12" s="1">
        <f>[1]Results!AL1372</f>
        <v>-0.78316178983149221</v>
      </c>
      <c r="AJ12" s="1">
        <f>[1]Results!AM1372</f>
        <v>-0.81391284972271127</v>
      </c>
      <c r="AK12" s="1">
        <f>[1]Results!AN1372</f>
        <v>-0.84541152872393877</v>
      </c>
      <c r="AL12" s="1">
        <f>[1]Results!AO1372</f>
        <v>-0.87752955710031588</v>
      </c>
      <c r="AM12" s="1">
        <f>[1]Results!AP1372</f>
        <v>-0.9038563927418235</v>
      </c>
      <c r="AN12" s="1">
        <f>[1]Results!AQ1372</f>
        <v>-0.93210186521726279</v>
      </c>
      <c r="AO12" s="1">
        <f>[1]Results!AR1372</f>
        <v>-0.96173093182478597</v>
      </c>
      <c r="AP12" s="1">
        <f>[1]Results!AS1372</f>
        <v>-0.9924486375498125</v>
      </c>
      <c r="AQ12" s="1">
        <f>[1]Results!AT1372</f>
        <v>-1.0240243818272183</v>
      </c>
      <c r="AR12" s="1">
        <f>[1]Results!AU1372</f>
        <v>-1.0553916917597053</v>
      </c>
      <c r="AS12" s="1">
        <f>[1]Results!AV1372</f>
        <v>-1.0874244936826525</v>
      </c>
      <c r="AT12" s="1">
        <f>[1]Results!AW1372</f>
        <v>-1.1199239830240093</v>
      </c>
      <c r="AU12" s="1">
        <f>[1]Results!AX1372</f>
        <v>-1.1527417390936217</v>
      </c>
      <c r="AV12" s="1">
        <f>[1]Results!AY1372</f>
        <v>-1.1857541099866884</v>
      </c>
      <c r="AW12" s="1">
        <f>[1]Results!AZ1372</f>
        <v>-1.2161314667031684</v>
      </c>
      <c r="AX12" s="1">
        <f>[1]Results!BA1372</f>
        <v>-1.247013142061443</v>
      </c>
      <c r="AY12" s="1">
        <f>[1]Results!BB1372</f>
        <v>-1.2781599196341591</v>
      </c>
      <c r="AZ12" s="1">
        <f>[1]Results!BC1372</f>
        <v>-1.3094339042898837</v>
      </c>
      <c r="BA12" s="1">
        <f>[1]Results!BD1372</f>
        <v>-1.3407268112956507</v>
      </c>
      <c r="BB12" s="1">
        <f>[1]Results!BE1372</f>
        <v>-1.3703204993950635</v>
      </c>
      <c r="BC12" s="1">
        <f>[1]Results!BF1372</f>
        <v>-1.4000680841917053</v>
      </c>
      <c r="BD12" s="1">
        <f>[1]Results!BG1372</f>
        <v>-1.4297989276783145</v>
      </c>
      <c r="BE12" s="1">
        <f>[1]Results!BH1372</f>
        <v>-1.4594053655825792</v>
      </c>
      <c r="BF12" s="1">
        <f>[1]Results!BI1372</f>
        <v>-1.4888003014650679</v>
      </c>
    </row>
    <row r="13" spans="1:58" x14ac:dyDescent="0.35">
      <c r="A13" s="3" t="str">
        <f>[1]Results!E1373</f>
        <v>100*((CH_2-CH_ccon_2-(CH_0-CH_ccon_0))/GDP_0)</v>
      </c>
      <c r="B13" t="str">
        <f>[1]Results!C1373</f>
        <v>Consommation des ménages</v>
      </c>
      <c r="C13" s="1">
        <f>[1]Results!F1373</f>
        <v>-2.1868336788102544E-2</v>
      </c>
      <c r="D13" s="1">
        <f>[1]Results!G1373</f>
        <v>-6.9559086862898981E-2</v>
      </c>
      <c r="E13" s="1">
        <f>[1]Results!H1373</f>
        <v>-0.13477992470697051</v>
      </c>
      <c r="F13" s="1">
        <f>[1]Results!I1373</f>
        <v>-0.21201393265119148</v>
      </c>
      <c r="G13" s="1">
        <f>[1]Results!J1373</f>
        <v>-0.29663095157476949</v>
      </c>
      <c r="H13" s="1">
        <f>[1]Results!K1373</f>
        <v>-0.38516709210820504</v>
      </c>
      <c r="I13" s="1">
        <f>[1]Results!L1373</f>
        <v>-0.47565981019846781</v>
      </c>
      <c r="J13" s="1">
        <f>[1]Results!M1373</f>
        <v>-0.56606735354965543</v>
      </c>
      <c r="K13" s="1">
        <f>[1]Results!N1373</f>
        <v>-0.65492974847460972</v>
      </c>
      <c r="L13" s="1">
        <f>[1]Results!O1373</f>
        <v>-0.74117262752661595</v>
      </c>
      <c r="M13" s="1">
        <f>[1]Results!P1373</f>
        <v>-0.82346014665337852</v>
      </c>
      <c r="N13" s="1">
        <f>[1]Results!Q1373</f>
        <v>-0.90357070001428863</v>
      </c>
      <c r="O13" s="1">
        <f>[1]Results!R1373</f>
        <v>-0.98052645244544689</v>
      </c>
      <c r="P13" s="1">
        <f>[1]Results!S1373</f>
        <v>-1.0537548002365069</v>
      </c>
      <c r="Q13" s="1">
        <f>[1]Results!T1373</f>
        <v>-1.1227665118917678</v>
      </c>
      <c r="R13" s="1">
        <f>[1]Results!U1373</f>
        <v>-1.1872157328401778</v>
      </c>
      <c r="S13" s="1">
        <f>[1]Results!V1373</f>
        <v>-1.2479331002576275</v>
      </c>
      <c r="T13" s="1">
        <f>[1]Results!W1373</f>
        <v>-1.3049624369594954</v>
      </c>
      <c r="U13" s="1">
        <f>[1]Results!X1373</f>
        <v>-1.3581873027754483</v>
      </c>
      <c r="V13" s="1">
        <f>[1]Results!Y1373</f>
        <v>-1.4075446129763107</v>
      </c>
      <c r="W13" s="1">
        <f>[1]Results!Z1373</f>
        <v>-1.4536118253368762</v>
      </c>
      <c r="X13" s="1">
        <f>[1]Results!AA1373</f>
        <v>-1.4951731477872103</v>
      </c>
      <c r="Y13" s="1">
        <f>[1]Results!AB1373</f>
        <v>-1.5332132305418935</v>
      </c>
      <c r="Z13" s="1">
        <f>[1]Results!AC1373</f>
        <v>-1.5680786155546043</v>
      </c>
      <c r="AA13" s="1">
        <f>[1]Results!AD1373</f>
        <v>-1.6001169706975367</v>
      </c>
      <c r="AB13" s="1">
        <f>[1]Results!AE1373</f>
        <v>-1.6312174511894681</v>
      </c>
      <c r="AC13" s="1">
        <f>[1]Results!AF1373</f>
        <v>-1.6581084311640366</v>
      </c>
      <c r="AD13" s="1">
        <f>[1]Results!AG1373</f>
        <v>-1.6822754380959519</v>
      </c>
      <c r="AE13" s="1">
        <f>[1]Results!AH1373</f>
        <v>-1.7042461213609583</v>
      </c>
      <c r="AF13" s="1">
        <f>[1]Results!AI1373</f>
        <v>-1.7245133647717021</v>
      </c>
      <c r="AG13" s="1">
        <f>[1]Results!AJ1373</f>
        <v>-1.7434898615009302</v>
      </c>
      <c r="AH13" s="1">
        <f>[1]Results!AK1373</f>
        <v>-1.7613171908175518</v>
      </c>
      <c r="AI13" s="1">
        <f>[1]Results!AL1373</f>
        <v>-1.7782450246740851</v>
      </c>
      <c r="AJ13" s="1">
        <f>[1]Results!AM1373</f>
        <v>-1.7945200926001734</v>
      </c>
      <c r="AK13" s="1">
        <f>[1]Results!AN1373</f>
        <v>-1.8103522458183245</v>
      </c>
      <c r="AL13" s="1">
        <f>[1]Results!AO1373</f>
        <v>-1.8259094586501878</v>
      </c>
      <c r="AM13" s="1">
        <f>[1]Results!AP1373</f>
        <v>-1.8400790421194091</v>
      </c>
      <c r="AN13" s="1">
        <f>[1]Results!AQ1373</f>
        <v>-1.8522822666677843</v>
      </c>
      <c r="AO13" s="1">
        <f>[1]Results!AR1373</f>
        <v>-1.8629053337282573</v>
      </c>
      <c r="AP13" s="1">
        <f>[1]Results!AS1373</f>
        <v>-1.8724295512759992</v>
      </c>
      <c r="AQ13" s="1">
        <f>[1]Results!AT1373</f>
        <v>-1.8812987612103043</v>
      </c>
      <c r="AR13" s="1">
        <f>[1]Results!AU1373</f>
        <v>-1.8896454310387483</v>
      </c>
      <c r="AS13" s="1">
        <f>[1]Results!AV1373</f>
        <v>-1.8977429291768149</v>
      </c>
      <c r="AT13" s="1">
        <f>[1]Results!AW1373</f>
        <v>-1.9058608620513535</v>
      </c>
      <c r="AU13" s="1">
        <f>[1]Results!AX1373</f>
        <v>-1.9142196561047247</v>
      </c>
      <c r="AV13" s="1">
        <f>[1]Results!AY1373</f>
        <v>-1.9229852732555217</v>
      </c>
      <c r="AW13" s="1">
        <f>[1]Results!AZ1373</f>
        <v>-1.9314933982375504</v>
      </c>
      <c r="AX13" s="1">
        <f>[1]Results!BA1373</f>
        <v>-1.9398061890357463</v>
      </c>
      <c r="AY13" s="1">
        <f>[1]Results!BB1373</f>
        <v>-1.9481215661329037</v>
      </c>
      <c r="AZ13" s="1">
        <f>[1]Results!BC1373</f>
        <v>-1.9566467151193967</v>
      </c>
      <c r="BA13" s="1">
        <f>[1]Results!BD1373</f>
        <v>-1.965555208860446</v>
      </c>
      <c r="BB13" s="1">
        <f>[1]Results!BE1373</f>
        <v>-1.9745377888246092</v>
      </c>
      <c r="BC13" s="1">
        <f>[1]Results!BF1373</f>
        <v>-1.9836605824077087</v>
      </c>
      <c r="BD13" s="1">
        <f>[1]Results!BG1373</f>
        <v>-1.9930872144339913</v>
      </c>
      <c r="BE13" s="1">
        <f>[1]Results!BH1373</f>
        <v>-2.0029775560235938</v>
      </c>
      <c r="BF13" s="1">
        <f>[1]Results!BI1373</f>
        <v>-2.0134603288619379</v>
      </c>
    </row>
    <row r="14" spans="1:58" x14ac:dyDescent="0.35">
      <c r="A14" s="3" t="str">
        <f>[1]Results!E1374</f>
        <v>100*((I_2+CH_ccon_2-(I_0+CH_ccon_0))/GDP_0)</v>
      </c>
      <c r="B14" t="s">
        <v>21</v>
      </c>
      <c r="C14" s="1">
        <f>[1]Results!F1374</f>
        <v>-1.8876576845658709E-2</v>
      </c>
      <c r="D14" s="1">
        <f>[1]Results!G1374</f>
        <v>-4.7828680058999422E-2</v>
      </c>
      <c r="E14" s="1">
        <f>[1]Results!H1374</f>
        <v>-8.1640577344175305E-2</v>
      </c>
      <c r="F14" s="1">
        <f>[1]Results!I1374</f>
        <v>-0.1187848526925158</v>
      </c>
      <c r="G14" s="1">
        <f>[1]Results!J1374</f>
        <v>-0.15817452459230644</v>
      </c>
      <c r="H14" s="1">
        <f>[1]Results!K1374</f>
        <v>-0.19915488908314197</v>
      </c>
      <c r="I14" s="1">
        <f>[1]Results!L1374</f>
        <v>-0.24163286951837878</v>
      </c>
      <c r="J14" s="1">
        <f>[1]Results!M1374</f>
        <v>-0.28514027382825469</v>
      </c>
      <c r="K14" s="1">
        <f>[1]Results!N1374</f>
        <v>-0.32939592918092375</v>
      </c>
      <c r="L14" s="1">
        <f>[1]Results!O1374</f>
        <v>-0.37418949586145911</v>
      </c>
      <c r="M14" s="1">
        <f>[1]Results!P1374</f>
        <v>-0.41913811960597103</v>
      </c>
      <c r="N14" s="1">
        <f>[1]Results!Q1374</f>
        <v>-0.46547715911781207</v>
      </c>
      <c r="O14" s="1">
        <f>[1]Results!R1374</f>
        <v>-0.51238483642345434</v>
      </c>
      <c r="P14" s="1">
        <f>[1]Results!S1374</f>
        <v>-0.55950982386518444</v>
      </c>
      <c r="Q14" s="1">
        <f>[1]Results!T1374</f>
        <v>-0.60661580476632082</v>
      </c>
      <c r="R14" s="1">
        <f>[1]Results!U1374</f>
        <v>-0.65352870154914866</v>
      </c>
      <c r="S14" s="1">
        <f>[1]Results!V1374</f>
        <v>-0.70099981188359772</v>
      </c>
      <c r="T14" s="1">
        <f>[1]Results!W1374</f>
        <v>-0.74852796354264961</v>
      </c>
      <c r="U14" s="1">
        <f>[1]Results!X1374</f>
        <v>-0.79580978512912726</v>
      </c>
      <c r="V14" s="1">
        <f>[1]Results!Y1374</f>
        <v>-0.84266640192959041</v>
      </c>
      <c r="W14" s="1">
        <f>[1]Results!Z1374</f>
        <v>-0.88925972226443872</v>
      </c>
      <c r="X14" s="1">
        <f>[1]Results!AA1374</f>
        <v>-0.93484041264389339</v>
      </c>
      <c r="Y14" s="1">
        <f>[1]Results!AB1374</f>
        <v>-0.97972951943609898</v>
      </c>
      <c r="Z14" s="1">
        <f>[1]Results!AC1374</f>
        <v>-1.0238692631827342</v>
      </c>
      <c r="AA14" s="1">
        <f>[1]Results!AD1374</f>
        <v>-1.0672164872822001</v>
      </c>
      <c r="AB14" s="1">
        <f>[1]Results!AE1374</f>
        <v>-1.110666038265286</v>
      </c>
      <c r="AC14" s="1">
        <f>[1]Results!AF1374</f>
        <v>-1.1521129910228769</v>
      </c>
      <c r="AD14" s="1">
        <f>[1]Results!AG1374</f>
        <v>-1.1923609829819244</v>
      </c>
      <c r="AE14" s="1">
        <f>[1]Results!AH1374</f>
        <v>-1.2314297366266167</v>
      </c>
      <c r="AF14" s="1">
        <f>[1]Results!AI1374</f>
        <v>-1.2693149885884196</v>
      </c>
      <c r="AG14" s="1">
        <f>[1]Results!AJ1374</f>
        <v>-1.3059962984558198</v>
      </c>
      <c r="AH14" s="1">
        <f>[1]Results!AK1374</f>
        <v>-1.3412802579621375</v>
      </c>
      <c r="AI14" s="1">
        <f>[1]Results!AL1374</f>
        <v>-1.3751983645330501</v>
      </c>
      <c r="AJ14" s="1">
        <f>[1]Results!AM1374</f>
        <v>-1.4077504328349639</v>
      </c>
      <c r="AK14" s="1">
        <f>[1]Results!AN1374</f>
        <v>-1.4389179407426866</v>
      </c>
      <c r="AL14" s="1">
        <f>[1]Results!AO1374</f>
        <v>-1.4686755334085835</v>
      </c>
      <c r="AM14" s="1">
        <f>[1]Results!AP1374</f>
        <v>-1.4959139980570304</v>
      </c>
      <c r="AN14" s="1">
        <f>[1]Results!AQ1374</f>
        <v>-1.5208200348755703</v>
      </c>
      <c r="AO14" s="1">
        <f>[1]Results!AR1374</f>
        <v>-1.5437059950688665</v>
      </c>
      <c r="AP14" s="1">
        <f>[1]Results!AS1374</f>
        <v>-1.5647310713192208</v>
      </c>
      <c r="AQ14" s="1">
        <f>[1]Results!AT1374</f>
        <v>-1.5839893070561661</v>
      </c>
      <c r="AR14" s="1">
        <f>[1]Results!AU1374</f>
        <v>-1.6013444608345837</v>
      </c>
      <c r="AS14" s="1">
        <f>[1]Results!AV1374</f>
        <v>-1.6169352698465553</v>
      </c>
      <c r="AT14" s="1">
        <f>[1]Results!AW1374</f>
        <v>-1.6308643035189738</v>
      </c>
      <c r="AU14" s="1">
        <f>[1]Results!AX1374</f>
        <v>-1.6432134520780282</v>
      </c>
      <c r="AV14" s="1">
        <f>[1]Results!AY1374</f>
        <v>-1.6540558347031129</v>
      </c>
      <c r="AW14" s="1">
        <f>[1]Results!AZ1374</f>
        <v>-1.6627886808143182</v>
      </c>
      <c r="AX14" s="1">
        <f>[1]Results!BA1374</f>
        <v>-1.6697682911347242</v>
      </c>
      <c r="AY14" s="1">
        <f>[1]Results!BB1374</f>
        <v>-1.6752153157969734</v>
      </c>
      <c r="AZ14" s="1">
        <f>[1]Results!BC1374</f>
        <v>-1.6792865890864266</v>
      </c>
      <c r="BA14" s="1">
        <f>[1]Results!BD1374</f>
        <v>-1.6821081067919221</v>
      </c>
      <c r="BB14" s="1">
        <f>[1]Results!BE1374</f>
        <v>-1.6834083276158294</v>
      </c>
      <c r="BC14" s="1">
        <f>[1]Results!BF1374</f>
        <v>-1.683440908476223</v>
      </c>
      <c r="BD14" s="1">
        <f>[1]Results!BG1374</f>
        <v>-1.6823952716994333</v>
      </c>
      <c r="BE14" s="1">
        <f>[1]Results!BH1374</f>
        <v>-1.6804195608121468</v>
      </c>
      <c r="BF14" s="1">
        <f>[1]Results!BI1374</f>
        <v>-1.6776402732732822</v>
      </c>
    </row>
    <row r="15" spans="1:58" x14ac:dyDescent="0.35">
      <c r="A15" s="3" t="str">
        <f>[1]Results!E1375</f>
        <v>100*((I_2-IA_spub_2-(I_0-IA_spub_0))/GDP_0)</v>
      </c>
      <c r="B15" t="str">
        <f>[1]Results!C1375</f>
        <v>Investissement entreprises</v>
      </c>
      <c r="C15" s="1">
        <f>[1]Results!F1375</f>
        <v>-1.8280579274106919E-2</v>
      </c>
      <c r="D15" s="1">
        <f>[1]Results!G1375</f>
        <v>-4.6348390555380488E-2</v>
      </c>
      <c r="E15" s="1">
        <f>[1]Results!H1375</f>
        <v>-7.9080254977011974E-2</v>
      </c>
      <c r="F15" s="1">
        <f>[1]Results!I1375</f>
        <v>-0.1150154629647618</v>
      </c>
      <c r="G15" s="1">
        <f>[1]Results!J1375</f>
        <v>-0.15309569892599059</v>
      </c>
      <c r="H15" s="1">
        <f>[1]Results!K1375</f>
        <v>-0.19267512003935108</v>
      </c>
      <c r="I15" s="1">
        <f>[1]Results!L1375</f>
        <v>-0.23365638761425239</v>
      </c>
      <c r="J15" s="1">
        <f>[1]Results!M1375</f>
        <v>-0.27558339205849991</v>
      </c>
      <c r="K15" s="1">
        <f>[1]Results!N1375</f>
        <v>-0.31818653894876819</v>
      </c>
      <c r="L15" s="1">
        <f>[1]Results!O1375</f>
        <v>-0.3612678921223948</v>
      </c>
      <c r="M15" s="1">
        <f>[1]Results!P1375</f>
        <v>-0.40447298463712389</v>
      </c>
      <c r="N15" s="1">
        <f>[1]Results!Q1375</f>
        <v>-0.44900508694558866</v>
      </c>
      <c r="O15" s="1">
        <f>[1]Results!R1375</f>
        <v>-0.49407467558596174</v>
      </c>
      <c r="P15" s="1">
        <f>[1]Results!S1375</f>
        <v>-0.53935317639522362</v>
      </c>
      <c r="Q15" s="1">
        <f>[1]Results!T1375</f>
        <v>-0.58462327109463985</v>
      </c>
      <c r="R15" s="1">
        <f>[1]Results!U1375</f>
        <v>-0.62972558631772058</v>
      </c>
      <c r="S15" s="1">
        <f>[1]Results!V1375</f>
        <v>-0.67539878917745755</v>
      </c>
      <c r="T15" s="1">
        <f>[1]Results!W1375</f>
        <v>-0.7211535933676344</v>
      </c>
      <c r="U15" s="1">
        <f>[1]Results!X1375</f>
        <v>-0.76669787099119779</v>
      </c>
      <c r="V15" s="1">
        <f>[1]Results!Y1375</f>
        <v>-0.81185989388157298</v>
      </c>
      <c r="W15" s="1">
        <f>[1]Results!Z1375</f>
        <v>-0.85679377189711892</v>
      </c>
      <c r="X15" s="1">
        <f>[1]Results!AA1375</f>
        <v>-0.90078041384674712</v>
      </c>
      <c r="Y15" s="1">
        <f>[1]Results!AB1375</f>
        <v>-0.9441237622309766</v>
      </c>
      <c r="Z15" s="1">
        <f>[1]Results!AC1375</f>
        <v>-0.98676389310421997</v>
      </c>
      <c r="AA15" s="1">
        <f>[1]Results!AD1375</f>
        <v>-1.0286559138261719</v>
      </c>
      <c r="AB15" s="1">
        <f>[1]Results!AE1375</f>
        <v>-1.0706584683638756</v>
      </c>
      <c r="AC15" s="1">
        <f>[1]Results!AF1375</f>
        <v>-1.1107449948021619</v>
      </c>
      <c r="AD15" s="1">
        <f>[1]Results!AG1375</f>
        <v>-1.1496858780028949</v>
      </c>
      <c r="AE15" s="1">
        <f>[1]Results!AH1375</f>
        <v>-1.1874924839589316</v>
      </c>
      <c r="AF15" s="1">
        <f>[1]Results!AI1375</f>
        <v>-1.2241538273347699</v>
      </c>
      <c r="AG15" s="1">
        <f>[1]Results!AJ1375</f>
        <v>-1.2596450261310126</v>
      </c>
      <c r="AH15" s="1">
        <f>[1]Results!AK1375</f>
        <v>-1.2937743886846305</v>
      </c>
      <c r="AI15" s="1">
        <f>[1]Results!AL1375</f>
        <v>-1.3265706919027955</v>
      </c>
      <c r="AJ15" s="1">
        <f>[1]Results!AM1375</f>
        <v>-1.3580310052710531</v>
      </c>
      <c r="AK15" s="1">
        <f>[1]Results!AN1375</f>
        <v>-1.3881345730187415</v>
      </c>
      <c r="AL15" s="1">
        <f>[1]Results!AO1375</f>
        <v>-1.4168541472129399</v>
      </c>
      <c r="AM15" s="1">
        <f>[1]Results!AP1375</f>
        <v>-1.4431085033953084</v>
      </c>
      <c r="AN15" s="1">
        <f>[1]Results!AQ1375</f>
        <v>-1.4670893846275128</v>
      </c>
      <c r="AO15" s="1">
        <f>[1]Results!AR1375</f>
        <v>-1.4890953344483167</v>
      </c>
      <c r="AP15" s="1">
        <f>[1]Results!AS1375</f>
        <v>-1.5092743004919296</v>
      </c>
      <c r="AQ15" s="1">
        <f>[1]Results!AT1375</f>
        <v>-1.527712372562342</v>
      </c>
      <c r="AR15" s="1">
        <f>[1]Results!AU1375</f>
        <v>-1.5442736606145351</v>
      </c>
      <c r="AS15" s="1">
        <f>[1]Results!AV1375</f>
        <v>-1.5590920354660227</v>
      </c>
      <c r="AT15" s="1">
        <f>[1]Results!AW1375</f>
        <v>-1.5722653782244751</v>
      </c>
      <c r="AU15" s="1">
        <f>[1]Results!AX1375</f>
        <v>-1.5838719385471292</v>
      </c>
      <c r="AV15" s="1">
        <f>[1]Results!AY1375</f>
        <v>-1.5939822563898698</v>
      </c>
      <c r="AW15" s="1">
        <f>[1]Results!AZ1375</f>
        <v>-1.6020115276725335</v>
      </c>
      <c r="AX15" s="1">
        <f>[1]Results!BA1375</f>
        <v>-1.6083108005196154</v>
      </c>
      <c r="AY15" s="1">
        <f>[1]Results!BB1375</f>
        <v>-1.6130944117190478</v>
      </c>
      <c r="AZ15" s="1">
        <f>[1]Results!BC1375</f>
        <v>-1.6165143976949898</v>
      </c>
      <c r="BA15" s="1">
        <f>[1]Results!BD1375</f>
        <v>-1.6186936890294836</v>
      </c>
      <c r="BB15" s="1">
        <f>[1]Results!BE1375</f>
        <v>-1.6193701308044663</v>
      </c>
      <c r="BC15" s="1">
        <f>[1]Results!BF1375</f>
        <v>-1.6187943008602685</v>
      </c>
      <c r="BD15" s="1">
        <f>[1]Results!BG1375</f>
        <v>-1.617151217645709</v>
      </c>
      <c r="BE15" s="1">
        <f>[1]Results!BH1375</f>
        <v>-1.6145856103207894</v>
      </c>
      <c r="BF15" s="1">
        <f>[1]Results!BI1375</f>
        <v>-1.6112217418527104</v>
      </c>
    </row>
    <row r="16" spans="1:58" x14ac:dyDescent="0.35">
      <c r="A16" s="3" t="str">
        <f>[1]Results!E1376</f>
        <v>100*((CH_ccon_2-CH_ccon_0)/GDP_0)</v>
      </c>
      <c r="B16" t="str">
        <f>[1]Results!C1376</f>
        <v>Investissement ménages</v>
      </c>
      <c r="C16" s="1">
        <f>[1]Results!F1376</f>
        <v>-3.5098452716916107E-4</v>
      </c>
      <c r="D16" s="1">
        <f>[1]Results!G1376</f>
        <v>-9.0132268048039195E-4</v>
      </c>
      <c r="E16" s="1">
        <f>[1]Results!H1376</f>
        <v>-1.6334038656847312E-3</v>
      </c>
      <c r="F16" s="1">
        <f>[1]Results!I1376</f>
        <v>-2.491702348593625E-3</v>
      </c>
      <c r="G16" s="1">
        <f>[1]Results!J1376</f>
        <v>-3.4399607424681253E-3</v>
      </c>
      <c r="H16" s="1">
        <f>[1]Results!K1376</f>
        <v>-4.4544884641912847E-3</v>
      </c>
      <c r="I16" s="1">
        <f>[1]Results!L1376</f>
        <v>-5.5217520551265062E-3</v>
      </c>
      <c r="J16" s="1">
        <f>[1]Results!M1376</f>
        <v>-6.6235568924463781E-3</v>
      </c>
      <c r="K16" s="1">
        <f>[1]Results!N1376</f>
        <v>-7.7445408581932095E-3</v>
      </c>
      <c r="L16" s="1">
        <f>[1]Results!O1376</f>
        <v>-8.8710640983804406E-3</v>
      </c>
      <c r="M16" s="1">
        <f>[1]Results!P1376</f>
        <v>-9.9792464180119868E-3</v>
      </c>
      <c r="N16" s="1">
        <f>[1]Results!Q1376</f>
        <v>-1.1084829988312577E-2</v>
      </c>
      <c r="O16" s="1">
        <f>[1]Results!R1376</f>
        <v>-1.2170816498688057E-2</v>
      </c>
      <c r="P16" s="1">
        <f>[1]Results!S1376</f>
        <v>-1.3224019650339569E-2</v>
      </c>
      <c r="Q16" s="1">
        <f>[1]Results!T1376</f>
        <v>-1.4233003376963246E-2</v>
      </c>
      <c r="R16" s="1">
        <f>[1]Results!U1376</f>
        <v>-1.5189673638563484E-2</v>
      </c>
      <c r="S16" s="1">
        <f>[1]Results!V1376</f>
        <v>-1.6101352947161557E-2</v>
      </c>
      <c r="T16" s="1">
        <f>[1]Results!W1376</f>
        <v>-1.6967895087571502E-2</v>
      </c>
      <c r="U16" s="1">
        <f>[1]Results!X1376</f>
        <v>-1.77869583312757E-2</v>
      </c>
      <c r="V16" s="1">
        <f>[1]Results!Y1376</f>
        <v>-1.8557718470802967E-2</v>
      </c>
      <c r="W16" s="1">
        <f>[1]Results!Z1376</f>
        <v>-1.9289115167571071E-2</v>
      </c>
      <c r="X16" s="1">
        <f>[1]Results!AA1376</f>
        <v>-1.9964934295739128E-2</v>
      </c>
      <c r="Y16" s="1">
        <f>[1]Results!AB1376</f>
        <v>-2.0599497412535007E-2</v>
      </c>
      <c r="Z16" s="1">
        <f>[1]Results!AC1376</f>
        <v>-2.1198027224105961E-2</v>
      </c>
      <c r="AA16" s="1">
        <f>[1]Results!AD1376</f>
        <v>-2.1765156551925662E-2</v>
      </c>
      <c r="AB16" s="1">
        <f>[1]Results!AE1376</f>
        <v>-2.2327907507152512E-2</v>
      </c>
      <c r="AC16" s="1">
        <f>[1]Results!AF1376</f>
        <v>-2.2840103434087506E-2</v>
      </c>
      <c r="AD16" s="1">
        <f>[1]Results!AG1376</f>
        <v>-2.3322648469894246E-2</v>
      </c>
      <c r="AE16" s="1">
        <f>[1]Results!AH1376</f>
        <v>-2.3783491338612753E-2</v>
      </c>
      <c r="AF16" s="1">
        <f>[1]Results!AI1376</f>
        <v>-2.4229402145002514E-2</v>
      </c>
      <c r="AG16" s="1">
        <f>[1]Results!AJ1376</f>
        <v>-2.4665287993179776E-2</v>
      </c>
      <c r="AH16" s="1">
        <f>[1]Results!AK1376</f>
        <v>-2.5092288447721933E-2</v>
      </c>
      <c r="AI16" s="1">
        <f>[1]Results!AL1376</f>
        <v>-2.5512704204749673E-2</v>
      </c>
      <c r="AJ16" s="1">
        <f>[1]Results!AM1376</f>
        <v>-2.5929045796477132E-2</v>
      </c>
      <c r="AK16" s="1">
        <f>[1]Results!AN1376</f>
        <v>-2.634344654434494E-2</v>
      </c>
      <c r="AL16" s="1">
        <f>[1]Results!AO1376</f>
        <v>-2.6757607979658309E-2</v>
      </c>
      <c r="AM16" s="1">
        <f>[1]Results!AP1376</f>
        <v>-2.7158488257764721E-2</v>
      </c>
      <c r="AN16" s="1">
        <f>[1]Results!AQ1376</f>
        <v>-2.7536863886659397E-2</v>
      </c>
      <c r="AO16" s="1">
        <f>[1]Results!AR1376</f>
        <v>-2.7899082570462606E-2</v>
      </c>
      <c r="AP16" s="1">
        <f>[1]Results!AS1376</f>
        <v>-2.8252249593258807E-2</v>
      </c>
      <c r="AQ16" s="1">
        <f>[1]Results!AT1376</f>
        <v>-2.8601921318136332E-2</v>
      </c>
      <c r="AR16" s="1">
        <f>[1]Results!AU1376</f>
        <v>-2.8948971477114276E-2</v>
      </c>
      <c r="AS16" s="1">
        <f>[1]Results!AV1376</f>
        <v>-2.9295726593996357E-2</v>
      </c>
      <c r="AT16" s="1">
        <f>[1]Results!AW1376</f>
        <v>-2.964481156247525E-2</v>
      </c>
      <c r="AU16" s="1">
        <f>[1]Results!AX1376</f>
        <v>-2.9998299855344589E-2</v>
      </c>
      <c r="AV16" s="1">
        <f>[1]Results!AY1376</f>
        <v>-3.0357491347409869E-2</v>
      </c>
      <c r="AW16" s="1">
        <f>[1]Results!AZ1376</f>
        <v>-3.0712688483576753E-2</v>
      </c>
      <c r="AX16" s="1">
        <f>[1]Results!BA1376</f>
        <v>-3.1063635837701251E-2</v>
      </c>
      <c r="AY16" s="1">
        <f>[1]Results!BB1376</f>
        <v>-3.1412768471774433E-2</v>
      </c>
      <c r="AZ16" s="1">
        <f>[1]Results!BC1376</f>
        <v>-3.1762465450092307E-2</v>
      </c>
      <c r="BA16" s="1">
        <f>[1]Results!BD1376</f>
        <v>-3.2114273185177844E-2</v>
      </c>
      <c r="BB16" s="1">
        <f>[1]Results!BE1376</f>
        <v>-3.2463165591397315E-2</v>
      </c>
      <c r="BC16" s="1">
        <f>[1]Results!BF1376</f>
        <v>-3.2809010146294441E-2</v>
      </c>
      <c r="BD16" s="1">
        <f>[1]Results!BG1376</f>
        <v>-3.3153649745541788E-2</v>
      </c>
      <c r="BE16" s="1">
        <f>[1]Results!BH1376</f>
        <v>-3.3498840954196543E-2</v>
      </c>
      <c r="BF16" s="1">
        <f>[1]Results!BI1376</f>
        <v>-3.3845736729591964E-2</v>
      </c>
    </row>
    <row r="17" spans="1:58" x14ac:dyDescent="0.35">
      <c r="A17" s="3" t="str">
        <f>[1]Results!E1377</f>
        <v>100*((IA_spub_2-IA_spub_0)/GDP_0)</v>
      </c>
      <c r="B17" t="str">
        <f>[1]Results!C1377</f>
        <v>Investissement public</v>
      </c>
      <c r="C17" s="1">
        <f>[1]Results!F1377</f>
        <v>-2.4501304438411832E-4</v>
      </c>
      <c r="D17" s="1">
        <f>[1]Results!G1377</f>
        <v>-5.7896682313721191E-4</v>
      </c>
      <c r="E17" s="1">
        <f>[1]Results!H1377</f>
        <v>-9.269185014781086E-4</v>
      </c>
      <c r="F17" s="1">
        <f>[1]Results!I1377</f>
        <v>-1.2776873791615266E-3</v>
      </c>
      <c r="G17" s="1">
        <f>[1]Results!J1377</f>
        <v>-1.6388649238454646E-3</v>
      </c>
      <c r="H17" s="1">
        <f>[1]Results!K1377</f>
        <v>-2.0252805796013248E-3</v>
      </c>
      <c r="I17" s="1">
        <f>[1]Results!L1377</f>
        <v>-2.4547298489991372E-3</v>
      </c>
      <c r="J17" s="1">
        <f>[1]Results!M1377</f>
        <v>-2.9333248773076642E-3</v>
      </c>
      <c r="K17" s="1">
        <f>[1]Results!N1377</f>
        <v>-3.4648493739593352E-3</v>
      </c>
      <c r="L17" s="1">
        <f>[1]Results!O1377</f>
        <v>-4.0505396406857611E-3</v>
      </c>
      <c r="M17" s="1">
        <f>[1]Results!P1377</f>
        <v>-4.6858885508365431E-3</v>
      </c>
      <c r="N17" s="1">
        <f>[1]Results!Q1377</f>
        <v>-5.3872421839081062E-3</v>
      </c>
      <c r="O17" s="1">
        <f>[1]Results!R1377</f>
        <v>-6.1393443388045059E-3</v>
      </c>
      <c r="P17" s="1">
        <f>[1]Results!S1377</f>
        <v>-6.9326278196200665E-3</v>
      </c>
      <c r="Q17" s="1">
        <f>[1]Results!T1377</f>
        <v>-7.7595302947210927E-3</v>
      </c>
      <c r="R17" s="1">
        <f>[1]Results!U1377</f>
        <v>-8.6134415928645694E-3</v>
      </c>
      <c r="S17" s="1">
        <f>[1]Results!V1377</f>
        <v>-9.4996697589779105E-3</v>
      </c>
      <c r="T17" s="1">
        <f>[1]Results!W1377</f>
        <v>-1.0406475087447098E-2</v>
      </c>
      <c r="U17" s="1">
        <f>[1]Results!X1377</f>
        <v>-1.1324955806654258E-2</v>
      </c>
      <c r="V17" s="1">
        <f>[1]Results!Y1377</f>
        <v>-1.2248789577217232E-2</v>
      </c>
      <c r="W17" s="1">
        <f>[1]Results!Z1377</f>
        <v>-1.3176835199746276E-2</v>
      </c>
      <c r="X17" s="1">
        <f>[1]Results!AA1377</f>
        <v>-1.4095064501410383E-2</v>
      </c>
      <c r="Y17" s="1">
        <f>[1]Results!AB1377</f>
        <v>-1.5006259792584001E-2</v>
      </c>
      <c r="Z17" s="1">
        <f>[1]Results!AC1377</f>
        <v>-1.5907342854408358E-2</v>
      </c>
      <c r="AA17" s="1">
        <f>[1]Results!AD1377</f>
        <v>-1.6795416904104066E-2</v>
      </c>
      <c r="AB17" s="1">
        <f>[1]Results!AE1377</f>
        <v>-1.7679662394257747E-2</v>
      </c>
      <c r="AC17" s="1">
        <f>[1]Results!AF1377</f>
        <v>-1.8527892786629752E-2</v>
      </c>
      <c r="AD17" s="1">
        <f>[1]Results!AG1377</f>
        <v>-1.9352456509134155E-2</v>
      </c>
      <c r="AE17" s="1">
        <f>[1]Results!AH1377</f>
        <v>-2.0153761329071797E-2</v>
      </c>
      <c r="AF17" s="1">
        <f>[1]Results!AI1377</f>
        <v>-2.093175910864848E-2</v>
      </c>
      <c r="AG17" s="1">
        <f>[1]Results!AJ1377</f>
        <v>-2.1685984331629531E-2</v>
      </c>
      <c r="AH17" s="1">
        <f>[1]Results!AK1377</f>
        <v>-2.2413580829784757E-2</v>
      </c>
      <c r="AI17" s="1">
        <f>[1]Results!AL1377</f>
        <v>-2.3114968425504669E-2</v>
      </c>
      <c r="AJ17" s="1">
        <f>[1]Results!AM1377</f>
        <v>-2.3790381767434542E-2</v>
      </c>
      <c r="AK17" s="1">
        <f>[1]Results!AN1377</f>
        <v>-2.4439921179603037E-2</v>
      </c>
      <c r="AL17" s="1">
        <f>[1]Results!AO1377</f>
        <v>-2.5063778215983483E-2</v>
      </c>
      <c r="AM17" s="1">
        <f>[1]Results!AP1377</f>
        <v>-2.564700640395812E-2</v>
      </c>
      <c r="AN17" s="1">
        <f>[1]Results!AQ1377</f>
        <v>-2.6193786361400399E-2</v>
      </c>
      <c r="AO17" s="1">
        <f>[1]Results!AR1377</f>
        <v>-2.6711578050087774E-2</v>
      </c>
      <c r="AP17" s="1">
        <f>[1]Results!AS1377</f>
        <v>-2.7204521234033011E-2</v>
      </c>
      <c r="AQ17" s="1">
        <f>[1]Results!AT1377</f>
        <v>-2.767501317568637E-2</v>
      </c>
      <c r="AR17" s="1">
        <f>[1]Results!AU1377</f>
        <v>-2.8121828742932335E-2</v>
      </c>
      <c r="AS17" s="1">
        <f>[1]Results!AV1377</f>
        <v>-2.8547507786537165E-2</v>
      </c>
      <c r="AT17" s="1">
        <f>[1]Results!AW1377</f>
        <v>-2.8954113732024386E-2</v>
      </c>
      <c r="AU17" s="1">
        <f>[1]Results!AX1377</f>
        <v>-2.9343213675556114E-2</v>
      </c>
      <c r="AV17" s="1">
        <f>[1]Results!AY1377</f>
        <v>-2.9716086965832923E-2</v>
      </c>
      <c r="AW17" s="1">
        <f>[1]Results!AZ1377</f>
        <v>-3.0064464658206433E-2</v>
      </c>
      <c r="AX17" s="1">
        <f>[1]Results!BA1377</f>
        <v>-3.0393854777408739E-2</v>
      </c>
      <c r="AY17" s="1">
        <f>[1]Results!BB1377</f>
        <v>-3.0708135606151404E-2</v>
      </c>
      <c r="AZ17" s="1">
        <f>[1]Results!BC1377</f>
        <v>-3.1009725941345406E-2</v>
      </c>
      <c r="BA17" s="1">
        <f>[1]Results!BD1377</f>
        <v>-3.1300144577259999E-2</v>
      </c>
      <c r="BB17" s="1">
        <f>[1]Results!BE1377</f>
        <v>-3.1575031219964224E-2</v>
      </c>
      <c r="BC17" s="1">
        <f>[1]Results!BF1377</f>
        <v>-3.1837597469660896E-2</v>
      </c>
      <c r="BD17" s="1">
        <f>[1]Results!BG1377</f>
        <v>-3.20904043081836E-2</v>
      </c>
      <c r="BE17" s="1">
        <f>[1]Results!BH1377</f>
        <v>-3.2335109537160213E-2</v>
      </c>
      <c r="BF17" s="1">
        <f>[1]Results!BI1377</f>
        <v>-3.2572794690980754E-2</v>
      </c>
    </row>
    <row r="18" spans="1:58" x14ac:dyDescent="0.35">
      <c r="A18" s="3" t="str">
        <f>[1]Results!E1378</f>
        <v>100*(CH_2/CH_0-1)</v>
      </c>
      <c r="B18" t="str">
        <f>[1]Results!C1378</f>
        <v>Consommation des ménages</v>
      </c>
      <c r="C18" s="1">
        <f>[1]Results!F1378</f>
        <v>-4.0645978967157603E-2</v>
      </c>
      <c r="D18" s="1">
        <f>[1]Results!G1378</f>
        <v>-0.12752309544170615</v>
      </c>
      <c r="E18" s="1">
        <f>[1]Results!H1378</f>
        <v>-0.24774842196274571</v>
      </c>
      <c r="F18" s="1">
        <f>[1]Results!I1378</f>
        <v>-0.39082384571854645</v>
      </c>
      <c r="G18" s="1">
        <f>[1]Results!J1378</f>
        <v>-0.54826650735958493</v>
      </c>
      <c r="H18" s="1">
        <f>[1]Results!K1378</f>
        <v>-0.71353222221083312</v>
      </c>
      <c r="I18" s="1">
        <f>[1]Results!L1378</f>
        <v>-0.88256111942157656</v>
      </c>
      <c r="J18" s="1">
        <f>[1]Results!M1378</f>
        <v>-1.0515775218900458</v>
      </c>
      <c r="K18" s="1">
        <f>[1]Results!N1378</f>
        <v>-1.217661004943571</v>
      </c>
      <c r="L18" s="1">
        <f>[1]Results!O1378</f>
        <v>-1.3786607543482932</v>
      </c>
      <c r="M18" s="1">
        <f>[1]Results!P1378</f>
        <v>-1.5324850616041163</v>
      </c>
      <c r="N18" s="1">
        <f>[1]Results!Q1378</f>
        <v>-1.6809895034619937</v>
      </c>
      <c r="O18" s="1">
        <f>[1]Results!R1378</f>
        <v>-1.8233438879173725</v>
      </c>
      <c r="P18" s="1">
        <f>[1]Results!S1378</f>
        <v>-1.9585160957651504</v>
      </c>
      <c r="Q18" s="1">
        <f>[1]Results!T1378</f>
        <v>-2.0856611086079613</v>
      </c>
      <c r="R18" s="1">
        <f>[1]Results!U1378</f>
        <v>-2.2042110437520246</v>
      </c>
      <c r="S18" s="1">
        <f>[1]Results!V1378</f>
        <v>-2.3157832950357893</v>
      </c>
      <c r="T18" s="1">
        <f>[1]Results!W1378</f>
        <v>-2.4205359075512578</v>
      </c>
      <c r="U18" s="1">
        <f>[1]Results!X1378</f>
        <v>-2.5183274640959152</v>
      </c>
      <c r="V18" s="1">
        <f>[1]Results!Y1378</f>
        <v>-2.6091139185895118</v>
      </c>
      <c r="W18" s="1">
        <f>[1]Results!Z1378</f>
        <v>-2.6934816344509671</v>
      </c>
      <c r="X18" s="1">
        <f>[1]Results!AA1378</f>
        <v>-2.7708232403403477</v>
      </c>
      <c r="Y18" s="1">
        <f>[1]Results!AB1378</f>
        <v>-2.8418608851972338</v>
      </c>
      <c r="Z18" s="1">
        <f>[1]Results!AC1378</f>
        <v>-2.9072975455989969</v>
      </c>
      <c r="AA18" s="1">
        <f>[1]Results!AD1378</f>
        <v>-2.9678132484893371</v>
      </c>
      <c r="AB18" s="1">
        <f>[1]Results!AE1378</f>
        <v>-3.0252798208975751</v>
      </c>
      <c r="AC18" s="1">
        <f>[1]Results!AF1378</f>
        <v>-3.0776270786851856</v>
      </c>
      <c r="AD18" s="1">
        <f>[1]Results!AG1378</f>
        <v>-3.1255898088887513</v>
      </c>
      <c r="AE18" s="1">
        <f>[1]Results!AH1378</f>
        <v>-3.1700488978722019</v>
      </c>
      <c r="AF18" s="1">
        <f>[1]Results!AI1378</f>
        <v>-3.2118058264740013</v>
      </c>
      <c r="AG18" s="1">
        <f>[1]Results!AJ1378</f>
        <v>-3.2515292081538361</v>
      </c>
      <c r="AH18" s="1">
        <f>[1]Results!AK1378</f>
        <v>-3.2894035123872456</v>
      </c>
      <c r="AI18" s="1">
        <f>[1]Results!AL1378</f>
        <v>-3.3258315454236853</v>
      </c>
      <c r="AJ18" s="1">
        <f>[1]Results!AM1378</f>
        <v>-3.3612247777070614</v>
      </c>
      <c r="AK18" s="1">
        <f>[1]Results!AN1378</f>
        <v>-3.3959357031813409</v>
      </c>
      <c r="AL18" s="1">
        <f>[1]Results!AO1378</f>
        <v>-3.4302451844249515</v>
      </c>
      <c r="AM18" s="1">
        <f>[1]Results!AP1378</f>
        <v>-3.4616418965689011</v>
      </c>
      <c r="AN18" s="1">
        <f>[1]Results!AQ1378</f>
        <v>-3.4897390331934952</v>
      </c>
      <c r="AO18" s="1">
        <f>[1]Results!AR1378</f>
        <v>-3.5151331217567638</v>
      </c>
      <c r="AP18" s="1">
        <f>[1]Results!AS1378</f>
        <v>-3.5386245279844353</v>
      </c>
      <c r="AQ18" s="1">
        <f>[1]Results!AT1378</f>
        <v>-3.5609584435753572</v>
      </c>
      <c r="AR18" s="1">
        <f>[1]Results!AU1378</f>
        <v>-3.5823089093617644</v>
      </c>
      <c r="AS18" s="1">
        <f>[1]Results!AV1378</f>
        <v>-3.6031327940989177</v>
      </c>
      <c r="AT18" s="1">
        <f>[1]Results!AW1378</f>
        <v>-3.6238977601810829</v>
      </c>
      <c r="AU18" s="1">
        <f>[1]Results!AX1378</f>
        <v>-3.644993269874397</v>
      </c>
      <c r="AV18" s="1">
        <f>[1]Results!AY1378</f>
        <v>-3.6667168744262901</v>
      </c>
      <c r="AW18" s="1">
        <f>[1]Results!AZ1378</f>
        <v>-3.6878271408507191</v>
      </c>
      <c r="AX18" s="1">
        <f>[1]Results!BA1378</f>
        <v>-3.7083698351195404</v>
      </c>
      <c r="AY18" s="1">
        <f>[1]Results!BB1378</f>
        <v>-3.7287272107522473</v>
      </c>
      <c r="AZ18" s="1">
        <f>[1]Results!BC1378</f>
        <v>-3.7493013088616522</v>
      </c>
      <c r="BA18" s="1">
        <f>[1]Results!BD1378</f>
        <v>-3.7704314633248082</v>
      </c>
      <c r="BB18" s="1">
        <f>[1]Results!BE1378</f>
        <v>-3.7915336930737453</v>
      </c>
      <c r="BC18" s="1">
        <f>[1]Results!BF1378</f>
        <v>-3.8127405385005586</v>
      </c>
      <c r="BD18" s="1">
        <f>[1]Results!BG1378</f>
        <v>-3.8343728240279096</v>
      </c>
      <c r="BE18" s="1">
        <f>[1]Results!BH1378</f>
        <v>-3.8567447441935743</v>
      </c>
      <c r="BF18" s="1">
        <f>[1]Results!BI1378</f>
        <v>-3.8801109459960514</v>
      </c>
    </row>
    <row r="19" spans="1:58" x14ac:dyDescent="0.35">
      <c r="A19" s="3" t="str">
        <f>[1]Results!E1379</f>
        <v>100*(CH_cveh_2/CH_cveh_0-1)</v>
      </c>
      <c r="B19" t="str">
        <f>[1]Results!C1379</f>
        <v>Consommation des ménages automobile</v>
      </c>
      <c r="C19" s="1">
        <f>[1]Results!F1379</f>
        <v>-6.8501881673732612E-4</v>
      </c>
      <c r="D19" s="1">
        <f>[1]Results!G1379</f>
        <v>-0.13452476871043118</v>
      </c>
      <c r="E19" s="1">
        <f>[1]Results!H1379</f>
        <v>-0.32487423343047217</v>
      </c>
      <c r="F19" s="1">
        <f>[1]Results!I1379</f>
        <v>-0.52622555230296131</v>
      </c>
      <c r="G19" s="1">
        <f>[1]Results!J1379</f>
        <v>-0.71924899073581017</v>
      </c>
      <c r="H19" s="1">
        <f>[1]Results!K1379</f>
        <v>-0.89622835018924318</v>
      </c>
      <c r="I19" s="1">
        <f>[1]Results!L1379</f>
        <v>-1.0565331733181083</v>
      </c>
      <c r="J19" s="1">
        <f>[1]Results!M1379</f>
        <v>-1.1994358716817533</v>
      </c>
      <c r="K19" s="1">
        <f>[1]Results!N1379</f>
        <v>-1.3253246338582936</v>
      </c>
      <c r="L19" s="1">
        <f>[1]Results!O1379</f>
        <v>-1.4352734319655558</v>
      </c>
      <c r="M19" s="1">
        <f>[1]Results!P1379</f>
        <v>-1.5291514687148511</v>
      </c>
      <c r="N19" s="1">
        <f>[1]Results!Q1379</f>
        <v>-1.6145745892490293</v>
      </c>
      <c r="O19" s="1">
        <f>[1]Results!R1379</f>
        <v>-1.691400843305757</v>
      </c>
      <c r="P19" s="1">
        <f>[1]Results!S1379</f>
        <v>-1.7590607780225143</v>
      </c>
      <c r="Q19" s="1">
        <f>[1]Results!T1379</f>
        <v>-1.8173681286733023</v>
      </c>
      <c r="R19" s="1">
        <f>[1]Results!U1379</f>
        <v>-1.8665411447897462</v>
      </c>
      <c r="S19" s="1">
        <f>[1]Results!V1379</f>
        <v>-1.9106223151983959</v>
      </c>
      <c r="T19" s="1">
        <f>[1]Results!W1379</f>
        <v>-1.949777961889998</v>
      </c>
      <c r="U19" s="1">
        <f>[1]Results!X1379</f>
        <v>-1.9836924254462152</v>
      </c>
      <c r="V19" s="1">
        <f>[1]Results!Y1379</f>
        <v>-2.0124240266430893</v>
      </c>
      <c r="W19" s="1">
        <f>[1]Results!Z1379</f>
        <v>-2.0374196510535403</v>
      </c>
      <c r="X19" s="1">
        <f>[1]Results!AA1379</f>
        <v>-2.0571135740039104</v>
      </c>
      <c r="Y19" s="1">
        <f>[1]Results!AB1379</f>
        <v>-2.0731337669470329</v>
      </c>
      <c r="Z19" s="1">
        <f>[1]Results!AC1379</f>
        <v>-2.0866061266107128</v>
      </c>
      <c r="AA19" s="1">
        <f>[1]Results!AD1379</f>
        <v>-2.0983702587587749</v>
      </c>
      <c r="AB19" s="1">
        <f>[1]Results!AE1379</f>
        <v>-2.1117707935516483</v>
      </c>
      <c r="AC19" s="1">
        <f>[1]Results!AF1379</f>
        <v>-2.1212456271072377</v>
      </c>
      <c r="AD19" s="1">
        <f>[1]Results!AG1379</f>
        <v>-2.1285940161739458</v>
      </c>
      <c r="AE19" s="1">
        <f>[1]Results!AH1379</f>
        <v>-2.1352893041448717</v>
      </c>
      <c r="AF19" s="1">
        <f>[1]Results!AI1379</f>
        <v>-2.1422494892808119</v>
      </c>
      <c r="AG19" s="1">
        <f>[1]Results!AJ1379</f>
        <v>-2.1499800485732523</v>
      </c>
      <c r="AH19" s="1">
        <f>[1]Results!AK1379</f>
        <v>-2.1580716237678654</v>
      </c>
      <c r="AI19" s="1">
        <f>[1]Results!AL1379</f>
        <v>-2.1667687484704712</v>
      </c>
      <c r="AJ19" s="1">
        <f>[1]Results!AM1379</f>
        <v>-2.1763546530797817</v>
      </c>
      <c r="AK19" s="1">
        <f>[1]Results!AN1379</f>
        <v>-2.1869922419110899</v>
      </c>
      <c r="AL19" s="1">
        <f>[1]Results!AO1379</f>
        <v>-2.1987344724837987</v>
      </c>
      <c r="AM19" s="1">
        <f>[1]Results!AP1379</f>
        <v>-2.2065444118465449</v>
      </c>
      <c r="AN19" s="1">
        <f>[1]Results!AQ1379</f>
        <v>-2.210673626637738</v>
      </c>
      <c r="AO19" s="1">
        <f>[1]Results!AR1379</f>
        <v>-2.2130389963318065</v>
      </c>
      <c r="AP19" s="1">
        <f>[1]Results!AS1379</f>
        <v>-2.215206917067325</v>
      </c>
      <c r="AQ19" s="1">
        <f>[1]Results!AT1379</f>
        <v>-2.2181503661076074</v>
      </c>
      <c r="AR19" s="1">
        <f>[1]Results!AU1379</f>
        <v>-2.2215621973945887</v>
      </c>
      <c r="AS19" s="1">
        <f>[1]Results!AV1379</f>
        <v>-2.2258466645033503</v>
      </c>
      <c r="AT19" s="1">
        <f>[1]Results!AW1379</f>
        <v>-2.2313947469366435</v>
      </c>
      <c r="AU19" s="1">
        <f>[1]Results!AX1379</f>
        <v>-2.2384053018232541</v>
      </c>
      <c r="AV19" s="1">
        <f>[1]Results!AY1379</f>
        <v>-2.2469193322750325</v>
      </c>
      <c r="AW19" s="1">
        <f>[1]Results!AZ1379</f>
        <v>-2.2541663163684889</v>
      </c>
      <c r="AX19" s="1">
        <f>[1]Results!BA1379</f>
        <v>-2.2606017050940341</v>
      </c>
      <c r="AY19" s="1">
        <f>[1]Results!BB1379</f>
        <v>-2.2671381671869995</v>
      </c>
      <c r="AZ19" s="1">
        <f>[1]Results!BC1379</f>
        <v>-2.2743967362210626</v>
      </c>
      <c r="BA19" s="1">
        <f>[1]Results!BD1379</f>
        <v>-2.2827026382635673</v>
      </c>
      <c r="BB19" s="1">
        <f>[1]Results!BE1379</f>
        <v>-2.29061686559765</v>
      </c>
      <c r="BC19" s="1">
        <f>[1]Results!BF1379</f>
        <v>-2.2984766201759377</v>
      </c>
      <c r="BD19" s="1">
        <f>[1]Results!BG1379</f>
        <v>-2.306880964138347</v>
      </c>
      <c r="BE19" s="1">
        <f>[1]Results!BH1379</f>
        <v>-2.3162268746245052</v>
      </c>
      <c r="BF19" s="1">
        <f>[1]Results!BI1379</f>
        <v>-2.3267012624447747</v>
      </c>
    </row>
    <row r="20" spans="1:58" x14ac:dyDescent="0.35">
      <c r="A20" s="3" t="str">
        <f>[1]Results!E1380</f>
        <v>100*(G_2/G_0-1)</v>
      </c>
      <c r="B20" t="str">
        <f>[1]Results!C1380</f>
        <v>Dépenses publiques</v>
      </c>
      <c r="C20" s="1">
        <f>[1]Results!F1380</f>
        <v>0</v>
      </c>
      <c r="D20" s="1">
        <f>[1]Results!G1380</f>
        <v>0</v>
      </c>
      <c r="E20" s="1">
        <f>[1]Results!H1380</f>
        <v>0</v>
      </c>
      <c r="F20" s="1">
        <f>[1]Results!I1380</f>
        <v>0</v>
      </c>
      <c r="G20" s="1">
        <f>[1]Results!J1380</f>
        <v>0</v>
      </c>
      <c r="H20" s="1">
        <f>[1]Results!K1380</f>
        <v>0</v>
      </c>
      <c r="I20" s="1">
        <f>[1]Results!L1380</f>
        <v>0</v>
      </c>
      <c r="J20" s="1">
        <f>[1]Results!M1380</f>
        <v>0</v>
      </c>
      <c r="K20" s="1">
        <f>[1]Results!N1380</f>
        <v>0</v>
      </c>
      <c r="L20" s="1">
        <f>[1]Results!O1380</f>
        <v>0</v>
      </c>
      <c r="M20" s="1">
        <f>[1]Results!P1380</f>
        <v>0</v>
      </c>
      <c r="N20" s="1">
        <f>[1]Results!Q1380</f>
        <v>0</v>
      </c>
      <c r="O20" s="1">
        <f>[1]Results!R1380</f>
        <v>0</v>
      </c>
      <c r="P20" s="1">
        <f>[1]Results!S1380</f>
        <v>0</v>
      </c>
      <c r="Q20" s="1">
        <f>[1]Results!T1380</f>
        <v>0</v>
      </c>
      <c r="R20" s="1">
        <f>[1]Results!U1380</f>
        <v>0</v>
      </c>
      <c r="S20" s="1">
        <f>[1]Results!V1380</f>
        <v>0</v>
      </c>
      <c r="T20" s="1">
        <f>[1]Results!W1380</f>
        <v>0</v>
      </c>
      <c r="U20" s="1">
        <f>[1]Results!X1380</f>
        <v>0</v>
      </c>
      <c r="V20" s="1">
        <f>[1]Results!Y1380</f>
        <v>0</v>
      </c>
      <c r="W20" s="1">
        <f>[1]Results!Z1380</f>
        <v>0</v>
      </c>
      <c r="X20" s="1">
        <f>[1]Results!AA1380</f>
        <v>0</v>
      </c>
      <c r="Y20" s="1">
        <f>[1]Results!AB1380</f>
        <v>0</v>
      </c>
      <c r="Z20" s="1">
        <f>[1]Results!AC1380</f>
        <v>0</v>
      </c>
      <c r="AA20" s="1">
        <f>[1]Results!AD1380</f>
        <v>0</v>
      </c>
      <c r="AB20" s="1">
        <f>[1]Results!AE1380</f>
        <v>0</v>
      </c>
      <c r="AC20" s="1">
        <f>[1]Results!AF1380</f>
        <v>0</v>
      </c>
      <c r="AD20" s="1">
        <f>[1]Results!AG1380</f>
        <v>0</v>
      </c>
      <c r="AE20" s="1">
        <f>[1]Results!AH1380</f>
        <v>0</v>
      </c>
      <c r="AF20" s="1">
        <f>[1]Results!AI1380</f>
        <v>0</v>
      </c>
      <c r="AG20" s="1">
        <f>[1]Results!AJ1380</f>
        <v>0</v>
      </c>
      <c r="AH20" s="1">
        <f>[1]Results!AK1380</f>
        <v>0</v>
      </c>
      <c r="AI20" s="1">
        <f>[1]Results!AL1380</f>
        <v>0</v>
      </c>
      <c r="AJ20" s="1">
        <f>[1]Results!AM1380</f>
        <v>0</v>
      </c>
      <c r="AK20" s="1">
        <f>[1]Results!AN1380</f>
        <v>0</v>
      </c>
      <c r="AL20" s="1">
        <f>[1]Results!AO1380</f>
        <v>0</v>
      </c>
      <c r="AM20" s="1">
        <f>[1]Results!AP1380</f>
        <v>0</v>
      </c>
      <c r="AN20" s="1">
        <f>[1]Results!AQ1380</f>
        <v>0</v>
      </c>
      <c r="AO20" s="1">
        <f>[1]Results!AR1380</f>
        <v>0</v>
      </c>
      <c r="AP20" s="1">
        <f>[1]Results!AS1380</f>
        <v>0</v>
      </c>
      <c r="AQ20" s="1">
        <f>[1]Results!AT1380</f>
        <v>0</v>
      </c>
      <c r="AR20" s="1">
        <f>[1]Results!AU1380</f>
        <v>0</v>
      </c>
      <c r="AS20" s="1">
        <f>[1]Results!AV1380</f>
        <v>0</v>
      </c>
      <c r="AT20" s="1">
        <f>[1]Results!AW1380</f>
        <v>0</v>
      </c>
      <c r="AU20" s="1">
        <f>[1]Results!AX1380</f>
        <v>0</v>
      </c>
      <c r="AV20" s="1">
        <f>[1]Results!AY1380</f>
        <v>0</v>
      </c>
      <c r="AW20" s="1">
        <f>[1]Results!AZ1380</f>
        <v>0</v>
      </c>
      <c r="AX20" s="1">
        <f>[1]Results!BA1380</f>
        <v>0</v>
      </c>
      <c r="AY20" s="1">
        <f>[1]Results!BB1380</f>
        <v>0</v>
      </c>
      <c r="AZ20" s="1">
        <f>[1]Results!BC1380</f>
        <v>0</v>
      </c>
      <c r="BA20" s="1">
        <f>[1]Results!BD1380</f>
        <v>0</v>
      </c>
      <c r="BB20" s="1">
        <f>[1]Results!BE1380</f>
        <v>0</v>
      </c>
      <c r="BC20" s="1">
        <f>[1]Results!BF1380</f>
        <v>0</v>
      </c>
      <c r="BD20" s="1">
        <f>[1]Results!BG1380</f>
        <v>0</v>
      </c>
      <c r="BE20" s="1">
        <f>[1]Results!BH1380</f>
        <v>0</v>
      </c>
      <c r="BF20" s="1">
        <f>[1]Results!BI1380</f>
        <v>0</v>
      </c>
    </row>
    <row r="21" spans="1:58" x14ac:dyDescent="0.35">
      <c r="A21" s="3" t="str">
        <f>[1]Results!E1381</f>
        <v>100*(I_2/I_0-1)</v>
      </c>
      <c r="B21" t="str">
        <f>[1]Results!C1381</f>
        <v>Investissement</v>
      </c>
      <c r="C21" s="1">
        <f>[1]Results!F1381</f>
        <v>-8.6149740180974099E-2</v>
      </c>
      <c r="D21" s="1">
        <f>[1]Results!G1381</f>
        <v>-0.21706039438176283</v>
      </c>
      <c r="E21" s="1">
        <f>[1]Results!H1381</f>
        <v>-0.37133913520210893</v>
      </c>
      <c r="F21" s="1">
        <f>[1]Results!I1381</f>
        <v>-0.54039730281949527</v>
      </c>
      <c r="G21" s="1">
        <f>[1]Results!J1381</f>
        <v>-0.71939565054793819</v>
      </c>
      <c r="H21" s="1">
        <f>[1]Results!K1381</f>
        <v>-0.90551914176285608</v>
      </c>
      <c r="I21" s="1">
        <f>[1]Results!L1381</f>
        <v>-1.09817407872429</v>
      </c>
      <c r="J21" s="1">
        <f>[1]Results!M1381</f>
        <v>-1.2956146095612464</v>
      </c>
      <c r="K21" s="1">
        <f>[1]Results!N1381</f>
        <v>-1.4965422108330517</v>
      </c>
      <c r="L21" s="1">
        <f>[1]Results!O1381</f>
        <v>-1.6999281035706582</v>
      </c>
      <c r="M21" s="1">
        <f>[1]Results!P1381</f>
        <v>-1.9048193251853363</v>
      </c>
      <c r="N21" s="1">
        <f>[1]Results!Q1381</f>
        <v>-2.1147002077532173</v>
      </c>
      <c r="O21" s="1">
        <f>[1]Results!R1381</f>
        <v>-2.3268778071908414</v>
      </c>
      <c r="P21" s="1">
        <f>[1]Results!S1381</f>
        <v>-2.5395527186709566</v>
      </c>
      <c r="Q21" s="1">
        <f>[1]Results!T1381</f>
        <v>-2.7515041564791676</v>
      </c>
      <c r="R21" s="1">
        <f>[1]Results!U1381</f>
        <v>-2.9618226706627615</v>
      </c>
      <c r="S21" s="1">
        <f>[1]Results!V1381</f>
        <v>-3.1738445806802851</v>
      </c>
      <c r="T21" s="1">
        <f>[1]Results!W1381</f>
        <v>-3.385145372100351</v>
      </c>
      <c r="U21" s="1">
        <f>[1]Results!X1381</f>
        <v>-3.5942532762816559</v>
      </c>
      <c r="V21" s="1">
        <f>[1]Results!Y1381</f>
        <v>-3.8002892026105961</v>
      </c>
      <c r="W21" s="1">
        <f>[1]Results!Z1381</f>
        <v>-4.0027603095172388</v>
      </c>
      <c r="X21" s="1">
        <f>[1]Results!AA1381</f>
        <v>-4.2010322807561113</v>
      </c>
      <c r="Y21" s="1">
        <f>[1]Results!AB1381</f>
        <v>-4.3948271831416914</v>
      </c>
      <c r="Z21" s="1">
        <f>[1]Results!AC1381</f>
        <v>-4.5839754095873158</v>
      </c>
      <c r="AA21" s="1">
        <f>[1]Results!AD1381</f>
        <v>-4.7683366110232273</v>
      </c>
      <c r="AB21" s="1">
        <f>[1]Results!AE1381</f>
        <v>-4.9480574937345363</v>
      </c>
      <c r="AC21" s="1">
        <f>[1]Results!AF1381</f>
        <v>-5.1211535897773715</v>
      </c>
      <c r="AD21" s="1">
        <f>[1]Results!AG1381</f>
        <v>-5.2881159299015268</v>
      </c>
      <c r="AE21" s="1">
        <f>[1]Results!AH1381</f>
        <v>-5.4492502895228885</v>
      </c>
      <c r="AF21" s="1">
        <f>[1]Results!AI1381</f>
        <v>-5.6047038026286744</v>
      </c>
      <c r="AG21" s="1">
        <f>[1]Results!AJ1381</f>
        <v>-5.7545237032241792</v>
      </c>
      <c r="AH21" s="1">
        <f>[1]Results!AK1381</f>
        <v>-5.897976287484985</v>
      </c>
      <c r="AI21" s="1">
        <f>[1]Results!AL1381</f>
        <v>-6.0353203124476007</v>
      </c>
      <c r="AJ21" s="1">
        <f>[1]Results!AM1381</f>
        <v>-6.1666604188042378</v>
      </c>
      <c r="AK21" s="1">
        <f>[1]Results!AN1381</f>
        <v>-6.2920135764228835</v>
      </c>
      <c r="AL21" s="1">
        <f>[1]Results!AO1381</f>
        <v>-6.4113622509106794</v>
      </c>
      <c r="AM21" s="1">
        <f>[1]Results!AP1381</f>
        <v>-6.518860534234916</v>
      </c>
      <c r="AN21" s="1">
        <f>[1]Results!AQ1381</f>
        <v>-6.6169575790034791</v>
      </c>
      <c r="AO21" s="1">
        <f>[1]Results!AR1381</f>
        <v>-6.7070023679853374</v>
      </c>
      <c r="AP21" s="1">
        <f>[1]Results!AS1381</f>
        <v>-6.7897241432295585</v>
      </c>
      <c r="AQ21" s="1">
        <f>[1]Results!AT1381</f>
        <v>-6.8655811283851005</v>
      </c>
      <c r="AR21" s="1">
        <f>[1]Results!AU1381</f>
        <v>-6.9340253550418058</v>
      </c>
      <c r="AS21" s="1">
        <f>[1]Results!AV1381</f>
        <v>-6.9956988037587102</v>
      </c>
      <c r="AT21" s="1">
        <f>[1]Results!AW1381</f>
        <v>-7.0510626780369563</v>
      </c>
      <c r="AU21" s="1">
        <f>[1]Results!AX1381</f>
        <v>-7.1004725397865727</v>
      </c>
      <c r="AV21" s="1">
        <f>[1]Results!AY1381</f>
        <v>-7.1442349967976941</v>
      </c>
      <c r="AW21" s="1">
        <f>[1]Results!AZ1381</f>
        <v>-7.1798155637165078</v>
      </c>
      <c r="AX21" s="1">
        <f>[1]Results!BA1381</f>
        <v>-7.2086231035774828</v>
      </c>
      <c r="AY21" s="1">
        <f>[1]Results!BB1381</f>
        <v>-7.2315896550904757</v>
      </c>
      <c r="AZ21" s="1">
        <f>[1]Results!BC1381</f>
        <v>-7.2493527978900518</v>
      </c>
      <c r="BA21" s="1">
        <f>[1]Results!BD1381</f>
        <v>-7.2624106078687518</v>
      </c>
      <c r="BB21" s="1">
        <f>[1]Results!BE1381</f>
        <v>-7.2695353093108377</v>
      </c>
      <c r="BC21" s="1">
        <f>[1]Results!BF1381</f>
        <v>-7.2717852562012686</v>
      </c>
      <c r="BD21" s="1">
        <f>[1]Results!BG1381</f>
        <v>-7.2699258681727326</v>
      </c>
      <c r="BE21" s="1">
        <f>[1]Results!BH1381</f>
        <v>-7.2645403950645449</v>
      </c>
      <c r="BF21" s="1">
        <f>[1]Results!BI1381</f>
        <v>-7.256119253312332</v>
      </c>
    </row>
    <row r="22" spans="1:58" x14ac:dyDescent="0.35">
      <c r="A22" s="3" t="str">
        <f>[1]Results!E1382</f>
        <v>100*((I_2-IA_spub_2)/(I_0-IA_spub_0)-1)</v>
      </c>
      <c r="B22" t="str">
        <f>[1]Results!C1382</f>
        <v>Investissement entreprises</v>
      </c>
      <c r="C22" s="1">
        <f>[1]Results!F1382</f>
        <v>-9.2768413388033544E-2</v>
      </c>
      <c r="D22" s="1">
        <f>[1]Results!G1382</f>
        <v>-0.23417754049063211</v>
      </c>
      <c r="E22" s="1">
        <f>[1]Results!H1382</f>
        <v>-0.40119573674750608</v>
      </c>
      <c r="F22" s="1">
        <f>[1]Results!I1382</f>
        <v>-0.58446964448802818</v>
      </c>
      <c r="G22" s="1">
        <f>[1]Results!J1382</f>
        <v>-0.77863158980360225</v>
      </c>
      <c r="H22" s="1">
        <f>[1]Results!K1382</f>
        <v>-0.98049415904519766</v>
      </c>
      <c r="I22" s="1">
        <f>[1]Results!L1382</f>
        <v>-1.1892699689290964</v>
      </c>
      <c r="J22" s="1">
        <f>[1]Results!M1382</f>
        <v>-1.4030098957739101</v>
      </c>
      <c r="K22" s="1">
        <f>[1]Results!N1382</f>
        <v>-1.6202644991438975</v>
      </c>
      <c r="L22" s="1">
        <f>[1]Results!O1382</f>
        <v>-1.8398916072258964</v>
      </c>
      <c r="M22" s="1">
        <f>[1]Results!P1382</f>
        <v>-2.0609174611960879</v>
      </c>
      <c r="N22" s="1">
        <f>[1]Results!Q1382</f>
        <v>-2.286956695057496</v>
      </c>
      <c r="O22" s="1">
        <f>[1]Results!R1382</f>
        <v>-2.5151708734563849</v>
      </c>
      <c r="P22" s="1">
        <f>[1]Results!S1382</f>
        <v>-2.7436592241958491</v>
      </c>
      <c r="Q22" s="1">
        <f>[1]Results!T1382</f>
        <v>-2.9711334959893754</v>
      </c>
      <c r="R22" s="1">
        <f>[1]Results!U1382</f>
        <v>-3.1966382469775789</v>
      </c>
      <c r="S22" s="1">
        <f>[1]Results!V1382</f>
        <v>-3.4238011361554133</v>
      </c>
      <c r="T22" s="1">
        <f>[1]Results!W1382</f>
        <v>-3.6500325651864451</v>
      </c>
      <c r="U22" s="1">
        <f>[1]Results!X1382</f>
        <v>-3.8737705268400036</v>
      </c>
      <c r="V22" s="1">
        <f>[1]Results!Y1382</f>
        <v>-4.0940877145274834</v>
      </c>
      <c r="W22" s="1">
        <f>[1]Results!Z1382</f>
        <v>-4.3103850982694647</v>
      </c>
      <c r="X22" s="1">
        <f>[1]Results!AA1382</f>
        <v>-4.5221811967596786</v>
      </c>
      <c r="Y22" s="1">
        <f>[1]Results!AB1382</f>
        <v>-4.7291143220227987</v>
      </c>
      <c r="Z22" s="1">
        <f>[1]Results!AC1382</f>
        <v>-4.9309890823880149</v>
      </c>
      <c r="AA22" s="1">
        <f>[1]Results!AD1382</f>
        <v>-5.1276593372504902</v>
      </c>
      <c r="AB22" s="1">
        <f>[1]Results!AE1382</f>
        <v>-5.3190186311694143</v>
      </c>
      <c r="AC22" s="1">
        <f>[1]Results!AF1382</f>
        <v>-5.5034103524201239</v>
      </c>
      <c r="AD22" s="1">
        <f>[1]Results!AG1382</f>
        <v>-5.6812778628786091</v>
      </c>
      <c r="AE22" s="1">
        <f>[1]Results!AH1382</f>
        <v>-5.8529148319453324</v>
      </c>
      <c r="AF22" s="1">
        <f>[1]Results!AI1382</f>
        <v>-6.0184664683296525</v>
      </c>
      <c r="AG22" s="1">
        <f>[1]Results!AJ1382</f>
        <v>-6.177978910862592</v>
      </c>
      <c r="AH22" s="1">
        <f>[1]Results!AK1382</f>
        <v>-6.3306610136226737</v>
      </c>
      <c r="AI22" s="1">
        <f>[1]Results!AL1382</f>
        <v>-6.4767919969184735</v>
      </c>
      <c r="AJ22" s="1">
        <f>[1]Results!AM1382</f>
        <v>-6.6164857028344954</v>
      </c>
      <c r="AK22" s="1">
        <f>[1]Results!AN1382</f>
        <v>-6.7497626239042425</v>
      </c>
      <c r="AL22" s="1">
        <f>[1]Results!AO1382</f>
        <v>-6.8766065409825767</v>
      </c>
      <c r="AM22" s="1">
        <f>[1]Results!AP1382</f>
        <v>-6.9906555319012238</v>
      </c>
      <c r="AN22" s="1">
        <f>[1]Results!AQ1382</f>
        <v>-7.0946322380595621</v>
      </c>
      <c r="AO22" s="1">
        <f>[1]Results!AR1382</f>
        <v>-7.190004151580121</v>
      </c>
      <c r="AP22" s="1">
        <f>[1]Results!AS1382</f>
        <v>-7.2775550769251467</v>
      </c>
      <c r="AQ22" s="1">
        <f>[1]Results!AT1382</f>
        <v>-7.3577751695985461</v>
      </c>
      <c r="AR22" s="1">
        <f>[1]Results!AU1382</f>
        <v>-7.4300728206514899</v>
      </c>
      <c r="AS22" s="1">
        <f>[1]Results!AV1382</f>
        <v>-7.4951366472378655</v>
      </c>
      <c r="AT22" s="1">
        <f>[1]Results!AW1382</f>
        <v>-7.5534605370237262</v>
      </c>
      <c r="AU22" s="1">
        <f>[1]Results!AX1382</f>
        <v>-7.6054257271759411</v>
      </c>
      <c r="AV22" s="1">
        <f>[1]Results!AY1382</f>
        <v>-7.651361528313549</v>
      </c>
      <c r="AW22" s="1">
        <f>[1]Results!AZ1382</f>
        <v>-7.6885485192110909</v>
      </c>
      <c r="AX22" s="1">
        <f>[1]Results!BA1382</f>
        <v>-7.7184924038351754</v>
      </c>
      <c r="AY22" s="1">
        <f>[1]Results!BB1382</f>
        <v>-7.7421894095141219</v>
      </c>
      <c r="AZ22" s="1">
        <f>[1]Results!BC1382</f>
        <v>-7.760323066871111</v>
      </c>
      <c r="BA22" s="1">
        <f>[1]Results!BD1382</f>
        <v>-7.7734289738072953</v>
      </c>
      <c r="BB22" s="1">
        <f>[1]Results!BE1382</f>
        <v>-7.7801873596540112</v>
      </c>
      <c r="BC22" s="1">
        <f>[1]Results!BF1382</f>
        <v>-7.7817356525615056</v>
      </c>
      <c r="BD22" s="1">
        <f>[1]Results!BG1382</f>
        <v>-7.7788942215617602</v>
      </c>
      <c r="BE22" s="1">
        <f>[1]Results!BH1382</f>
        <v>-7.7722884891934125</v>
      </c>
      <c r="BF22" s="1">
        <f>[1]Results!BI1382</f>
        <v>-7.7624449207178259</v>
      </c>
    </row>
    <row r="23" spans="1:58" x14ac:dyDescent="0.35">
      <c r="A23" s="3" t="str">
        <f>[1]Results!E1383</f>
        <v>100*(X_2/X_0-1)</v>
      </c>
      <c r="B23" t="s">
        <v>22</v>
      </c>
      <c r="C23" s="1">
        <f>[1]Results!F1383</f>
        <v>-0.44185933503848585</v>
      </c>
      <c r="D23" s="1">
        <f>[1]Results!G1383</f>
        <v>-0.8745725356623657</v>
      </c>
      <c r="E23" s="1">
        <f>[1]Results!H1383</f>
        <v>-1.2577336589219112</v>
      </c>
      <c r="F23" s="1">
        <f>[1]Results!I1383</f>
        <v>-1.6186969415174501</v>
      </c>
      <c r="G23" s="1">
        <f>[1]Results!J1383</f>
        <v>-1.9586707391875291</v>
      </c>
      <c r="H23" s="1">
        <f>[1]Results!K1383</f>
        <v>-2.2793581776211047</v>
      </c>
      <c r="I23" s="1">
        <f>[1]Results!L1383</f>
        <v>-2.5889974712091646</v>
      </c>
      <c r="J23" s="1">
        <f>[1]Results!M1383</f>
        <v>-2.882723429411016</v>
      </c>
      <c r="K23" s="1">
        <f>[1]Results!N1383</f>
        <v>-3.1623814761349012</v>
      </c>
      <c r="L23" s="1">
        <f>[1]Results!O1383</f>
        <v>-3.4297592924762643</v>
      </c>
      <c r="M23" s="1">
        <f>[1]Results!P1383</f>
        <v>-3.6865887698462885</v>
      </c>
      <c r="N23" s="1">
        <f>[1]Results!Q1383</f>
        <v>-3.9575735513533994</v>
      </c>
      <c r="O23" s="1">
        <f>[1]Results!R1383</f>
        <v>-4.2197240544261323</v>
      </c>
      <c r="P23" s="1">
        <f>[1]Results!S1383</f>
        <v>-4.4743897990852428</v>
      </c>
      <c r="Q23" s="1">
        <f>[1]Results!T1383</f>
        <v>-4.722864309033814</v>
      </c>
      <c r="R23" s="1">
        <f>[1]Results!U1383</f>
        <v>-4.9663508231829638</v>
      </c>
      <c r="S23" s="1">
        <f>[1]Results!V1383</f>
        <v>-5.2272472409760518</v>
      </c>
      <c r="T23" s="1">
        <f>[1]Results!W1383</f>
        <v>-5.4839295221354885</v>
      </c>
      <c r="U23" s="1">
        <f>[1]Results!X1383</f>
        <v>-5.7371595237088124</v>
      </c>
      <c r="V23" s="1">
        <f>[1]Results!Y1383</f>
        <v>-5.9876185708559015</v>
      </c>
      <c r="W23" s="1">
        <f>[1]Results!Z1383</f>
        <v>-6.2358656411682256</v>
      </c>
      <c r="X23" s="1">
        <f>[1]Results!AA1383</f>
        <v>-6.4814762001354831</v>
      </c>
      <c r="Y23" s="1">
        <f>[1]Results!AB1383</f>
        <v>-6.7257790717492716</v>
      </c>
      <c r="Z23" s="1">
        <f>[1]Results!AC1383</f>
        <v>-6.9690521948377544</v>
      </c>
      <c r="AA23" s="1">
        <f>[1]Results!AD1383</f>
        <v>-7.2114709144806444</v>
      </c>
      <c r="AB23" s="1">
        <f>[1]Results!AE1383</f>
        <v>-7.4530458521481657</v>
      </c>
      <c r="AC23" s="1">
        <f>[1]Results!AF1383</f>
        <v>-7.6844732102142599</v>
      </c>
      <c r="AD23" s="1">
        <f>[1]Results!AG1383</f>
        <v>-7.9154653112087026</v>
      </c>
      <c r="AE23" s="1">
        <f>[1]Results!AH1383</f>
        <v>-8.145985546155476</v>
      </c>
      <c r="AF23" s="1">
        <f>[1]Results!AI1383</f>
        <v>-8.3759432272190626</v>
      </c>
      <c r="AG23" s="1">
        <f>[1]Results!AJ1383</f>
        <v>-8.6052008942737892</v>
      </c>
      <c r="AH23" s="1">
        <f>[1]Results!AK1383</f>
        <v>-8.8297170461723695</v>
      </c>
      <c r="AI23" s="1">
        <f>[1]Results!AL1383</f>
        <v>-9.0533471807221932</v>
      </c>
      <c r="AJ23" s="1">
        <f>[1]Results!AM1383</f>
        <v>-9.2758985111269787</v>
      </c>
      <c r="AK23" s="1">
        <f>[1]Results!AN1383</f>
        <v>-9.4971681514207535</v>
      </c>
      <c r="AL23" s="1">
        <f>[1]Results!AO1383</f>
        <v>-9.7169545211263415</v>
      </c>
      <c r="AM23" s="1">
        <f>[1]Results!AP1383</f>
        <v>-9.9034327528277117</v>
      </c>
      <c r="AN23" s="1">
        <f>[1]Results!AQ1383</f>
        <v>-10.089343758544189</v>
      </c>
      <c r="AO23" s="1">
        <f>[1]Results!AR1383</f>
        <v>-10.27463625768501</v>
      </c>
      <c r="AP23" s="1">
        <f>[1]Results!AS1383</f>
        <v>-10.459211924095291</v>
      </c>
      <c r="AQ23" s="1">
        <f>[1]Results!AT1383</f>
        <v>-10.642943347712031</v>
      </c>
      <c r="AR23" s="1">
        <f>[1]Results!AU1383</f>
        <v>-10.820950252823557</v>
      </c>
      <c r="AS23" s="1">
        <f>[1]Results!AV1383</f>
        <v>-10.998004855803888</v>
      </c>
      <c r="AT23" s="1">
        <f>[1]Results!AW1383</f>
        <v>-11.173984559439187</v>
      </c>
      <c r="AU23" s="1">
        <f>[1]Results!AX1383</f>
        <v>-11.348761717116595</v>
      </c>
      <c r="AV23" s="1">
        <f>[1]Results!AY1383</f>
        <v>-11.522209805064643</v>
      </c>
      <c r="AW23" s="1">
        <f>[1]Results!AZ1383</f>
        <v>-11.679217463079539</v>
      </c>
      <c r="AX23" s="1">
        <f>[1]Results!BA1383</f>
        <v>-11.835178009101599</v>
      </c>
      <c r="AY23" s="1">
        <f>[1]Results!BB1383</f>
        <v>-11.990051292511527</v>
      </c>
      <c r="AZ23" s="1">
        <f>[1]Results!BC1383</f>
        <v>-12.143773993332941</v>
      </c>
      <c r="BA23" s="1">
        <f>[1]Results!BD1383</f>
        <v>-12.296268158602597</v>
      </c>
      <c r="BB23" s="1">
        <f>[1]Results!BE1383</f>
        <v>-12.438712569852051</v>
      </c>
      <c r="BC23" s="1">
        <f>[1]Results!BF1383</f>
        <v>-12.580034579730871</v>
      </c>
      <c r="BD23" s="1">
        <f>[1]Results!BG1383</f>
        <v>-12.720192978374556</v>
      </c>
      <c r="BE23" s="1">
        <f>[1]Results!BH1383</f>
        <v>-12.859134025343554</v>
      </c>
      <c r="BF23" s="1">
        <f>[1]Results!BI1383</f>
        <v>-12.996795810282769</v>
      </c>
    </row>
    <row r="24" spans="1:58" x14ac:dyDescent="0.35">
      <c r="A24" s="3" t="str">
        <f>[1]Results!E1384</f>
        <v>100*(M_2/M_0-1)</v>
      </c>
      <c r="B24" t="s">
        <v>23</v>
      </c>
      <c r="C24" s="1">
        <f>[1]Results!F1384</f>
        <v>-0.14768517259088343</v>
      </c>
      <c r="D24" s="1">
        <f>[1]Results!G1384</f>
        <v>-0.33527140696527624</v>
      </c>
      <c r="E24" s="1">
        <f>[1]Results!H1384</f>
        <v>-0.54201921337493353</v>
      </c>
      <c r="F24" s="1">
        <f>[1]Results!I1384</f>
        <v>-0.76110858607958409</v>
      </c>
      <c r="G24" s="1">
        <f>[1]Results!J1384</f>
        <v>-0.98695406747761893</v>
      </c>
      <c r="H24" s="1">
        <f>[1]Results!K1384</f>
        <v>-1.2156666253234305</v>
      </c>
      <c r="I24" s="1">
        <f>[1]Results!L1384</f>
        <v>-1.4467522387202059</v>
      </c>
      <c r="J24" s="1">
        <f>[1]Results!M1384</f>
        <v>-1.6766821945557564</v>
      </c>
      <c r="K24" s="1">
        <f>[1]Results!N1384</f>
        <v>-1.9037194732215768</v>
      </c>
      <c r="L24" s="1">
        <f>[1]Results!O1384</f>
        <v>-2.1266720384606641</v>
      </c>
      <c r="M24" s="1">
        <f>[1]Results!P1384</f>
        <v>-2.3445984410973897</v>
      </c>
      <c r="N24" s="1">
        <f>[1]Results!Q1384</f>
        <v>-2.5645952963342933</v>
      </c>
      <c r="O24" s="1">
        <f>[1]Results!R1384</f>
        <v>-2.7804512029946937</v>
      </c>
      <c r="P24" s="1">
        <f>[1]Results!S1384</f>
        <v>-2.9907697809150924</v>
      </c>
      <c r="Q24" s="1">
        <f>[1]Results!T1384</f>
        <v>-3.1948711528454576</v>
      </c>
      <c r="R24" s="1">
        <f>[1]Results!U1384</f>
        <v>-3.392358777557769</v>
      </c>
      <c r="S24" s="1">
        <f>[1]Results!V1384</f>
        <v>-3.5902212073665063</v>
      </c>
      <c r="T24" s="1">
        <f>[1]Results!W1384</f>
        <v>-3.7829613162737474</v>
      </c>
      <c r="U24" s="1">
        <f>[1]Results!X1384</f>
        <v>-3.969713472676184</v>
      </c>
      <c r="V24" s="1">
        <f>[1]Results!Y1384</f>
        <v>-4.1502577476583031</v>
      </c>
      <c r="W24" s="1">
        <f>[1]Results!Z1384</f>
        <v>-4.3246953045369407</v>
      </c>
      <c r="X24" s="1">
        <f>[1]Results!AA1384</f>
        <v>-4.4928925110580327</v>
      </c>
      <c r="Y24" s="1">
        <f>[1]Results!AB1384</f>
        <v>-4.6551477264887842</v>
      </c>
      <c r="Z24" s="1">
        <f>[1]Results!AC1384</f>
        <v>-4.8118483086740937</v>
      </c>
      <c r="AA24" s="1">
        <f>[1]Results!AD1384</f>
        <v>-4.9633806307931128</v>
      </c>
      <c r="AB24" s="1">
        <f>[1]Results!AE1384</f>
        <v>-5.1102802157613425</v>
      </c>
      <c r="AC24" s="1">
        <f>[1]Results!AF1384</f>
        <v>-5.2500862235183572</v>
      </c>
      <c r="AD24" s="1">
        <f>[1]Results!AG1384</f>
        <v>-5.3850087179460271</v>
      </c>
      <c r="AE24" s="1">
        <f>[1]Results!AH1384</f>
        <v>-5.5157637921519509</v>
      </c>
      <c r="AF24" s="1">
        <f>[1]Results!AI1384</f>
        <v>-5.6428308680780965</v>
      </c>
      <c r="AG24" s="1">
        <f>[1]Results!AJ1384</f>
        <v>-5.7665859835183131</v>
      </c>
      <c r="AH24" s="1">
        <f>[1]Results!AK1384</f>
        <v>-5.8860362660468235</v>
      </c>
      <c r="AI24" s="1">
        <f>[1]Results!AL1384</f>
        <v>-6.0023751380560153</v>
      </c>
      <c r="AJ24" s="1">
        <f>[1]Results!AM1384</f>
        <v>-6.115966534599937</v>
      </c>
      <c r="AK24" s="1">
        <f>[1]Results!AN1384</f>
        <v>-6.2270454245988986</v>
      </c>
      <c r="AL24" s="1">
        <f>[1]Results!AO1384</f>
        <v>-6.3357897172673034</v>
      </c>
      <c r="AM24" s="1">
        <f>[1]Results!AP1384</f>
        <v>-6.4317011283465453</v>
      </c>
      <c r="AN24" s="1">
        <f>[1]Results!AQ1384</f>
        <v>-6.5227950321694594</v>
      </c>
      <c r="AO24" s="1">
        <f>[1]Results!AR1384</f>
        <v>-6.610450326954675</v>
      </c>
      <c r="AP24" s="1">
        <f>[1]Results!AS1384</f>
        <v>-6.6952970925075572</v>
      </c>
      <c r="AQ24" s="1">
        <f>[1]Results!AT1384</f>
        <v>-6.77775941100548</v>
      </c>
      <c r="AR24" s="1">
        <f>[1]Results!AU1384</f>
        <v>-6.8565655204040565</v>
      </c>
      <c r="AS24" s="1">
        <f>[1]Results!AV1384</f>
        <v>-6.9331354219390517</v>
      </c>
      <c r="AT24" s="1">
        <f>[1]Results!AW1384</f>
        <v>-7.0078811250690265</v>
      </c>
      <c r="AU24" s="1">
        <f>[1]Results!AX1384</f>
        <v>-7.0810633389043254</v>
      </c>
      <c r="AV24" s="1">
        <f>[1]Results!AY1384</f>
        <v>-7.1528811732446185</v>
      </c>
      <c r="AW24" s="1">
        <f>[1]Results!AZ1384</f>
        <v>-7.2184226279042303</v>
      </c>
      <c r="AX24" s="1">
        <f>[1]Results!BA1384</f>
        <v>-7.2814826553432628</v>
      </c>
      <c r="AY24" s="1">
        <f>[1]Results!BB1384</f>
        <v>-7.3428181594648585</v>
      </c>
      <c r="AZ24" s="1">
        <f>[1]Results!BC1384</f>
        <v>-7.4028110232485016</v>
      </c>
      <c r="BA24" s="1">
        <f>[1]Results!BD1384</f>
        <v>-7.461728972522474</v>
      </c>
      <c r="BB24" s="1">
        <f>[1]Results!BE1384</f>
        <v>-7.5168026194282644</v>
      </c>
      <c r="BC24" s="1">
        <f>[1]Results!BF1384</f>
        <v>-7.5703600220712648</v>
      </c>
      <c r="BD24" s="1">
        <f>[1]Results!BG1384</f>
        <v>-7.6229266166910392</v>
      </c>
      <c r="BE24" s="1">
        <f>[1]Results!BH1384</f>
        <v>-7.6747984412879777</v>
      </c>
      <c r="BF24" s="1">
        <f>[1]Results!BI1384</f>
        <v>-7.7261933116292809</v>
      </c>
    </row>
    <row r="25" spans="1:58" x14ac:dyDescent="0.35">
      <c r="A25" s="3" t="str">
        <f>[1]Results!E1385</f>
        <v>100*((CH_2-CH_ccon_2)/(CH_0-CH_ccon_0)-1)</v>
      </c>
      <c r="B25" t="str">
        <f>[1]Results!C1385</f>
        <v>Consommation des ménages</v>
      </c>
      <c r="C25" s="1">
        <f>[1]Results!F1385</f>
        <v>-4.0608958822352381E-2</v>
      </c>
      <c r="D25" s="1">
        <f>[1]Results!G1385</f>
        <v>-0.12779270717476754</v>
      </c>
      <c r="E25" s="1">
        <f>[1]Results!H1385</f>
        <v>-0.24847453999935487</v>
      </c>
      <c r="F25" s="1">
        <f>[1]Results!I1385</f>
        <v>-0.39211150466927913</v>
      </c>
      <c r="G25" s="1">
        <f>[1]Results!J1385</f>
        <v>-0.55016157616932793</v>
      </c>
      <c r="H25" s="1">
        <f>[1]Results!K1385</f>
        <v>-0.71602569485997858</v>
      </c>
      <c r="I25" s="1">
        <f>[1]Results!L1385</f>
        <v>-0.88560953738376913</v>
      </c>
      <c r="J25" s="1">
        <f>[1]Results!M1385</f>
        <v>-1.0551116045769304</v>
      </c>
      <c r="K25" s="1">
        <f>[1]Results!N1385</f>
        <v>-1.221597929576379</v>
      </c>
      <c r="L25" s="1">
        <f>[1]Results!O1385</f>
        <v>-1.3829136980593626</v>
      </c>
      <c r="M25" s="1">
        <f>[1]Results!P1385</f>
        <v>-1.536976335290241</v>
      </c>
      <c r="N25" s="1">
        <f>[1]Results!Q1385</f>
        <v>-1.6856605731441876</v>
      </c>
      <c r="O25" s="1">
        <f>[1]Results!R1385</f>
        <v>-1.8281448943527567</v>
      </c>
      <c r="P25" s="1">
        <f>[1]Results!S1385</f>
        <v>-1.9634070968764572</v>
      </c>
      <c r="Q25" s="1">
        <f>[1]Results!T1385</f>
        <v>-2.0906108924427236</v>
      </c>
      <c r="R25" s="1">
        <f>[1]Results!U1385</f>
        <v>-2.2091945491088838</v>
      </c>
      <c r="S25" s="1">
        <f>[1]Results!V1385</f>
        <v>-2.3207855128840049</v>
      </c>
      <c r="T25" s="1">
        <f>[1]Results!W1385</f>
        <v>-2.4255435430103223</v>
      </c>
      <c r="U25" s="1">
        <f>[1]Results!X1385</f>
        <v>-2.523328308348427</v>
      </c>
      <c r="V25" s="1">
        <f>[1]Results!Y1385</f>
        <v>-2.6140953597192707</v>
      </c>
      <c r="W25" s="1">
        <f>[1]Results!Z1385</f>
        <v>-2.6984304683377869</v>
      </c>
      <c r="X25" s="1">
        <f>[1]Results!AA1385</f>
        <v>-2.7757235218392684</v>
      </c>
      <c r="Y25" s="1">
        <f>[1]Results!AB1385</f>
        <v>-2.8466954099654496</v>
      </c>
      <c r="Z25" s="1">
        <f>[1]Results!AC1385</f>
        <v>-2.9120485416031849</v>
      </c>
      <c r="AA25" s="1">
        <f>[1]Results!AD1385</f>
        <v>-2.9724633607718931</v>
      </c>
      <c r="AB25" s="1">
        <f>[1]Results!AE1385</f>
        <v>-3.029815093436472</v>
      </c>
      <c r="AC25" s="1">
        <f>[1]Results!AF1385</f>
        <v>-3.0820302973458724</v>
      </c>
      <c r="AD25" s="1">
        <f>[1]Results!AG1385</f>
        <v>-3.1298440297853558</v>
      </c>
      <c r="AE25" s="1">
        <f>[1]Results!AH1385</f>
        <v>-3.1741366944355476</v>
      </c>
      <c r="AF25" s="1">
        <f>[1]Results!AI1385</f>
        <v>-3.2157101384167497</v>
      </c>
      <c r="AG25" s="1">
        <f>[1]Results!AJ1385</f>
        <v>-3.2552345389696646</v>
      </c>
      <c r="AH25" s="1">
        <f>[1]Results!AK1385</f>
        <v>-3.2928953864133081</v>
      </c>
      <c r="AI25" s="1">
        <f>[1]Results!AL1385</f>
        <v>-3.3290975959966662</v>
      </c>
      <c r="AJ25" s="1">
        <f>[1]Results!AM1385</f>
        <v>-3.364254463705163</v>
      </c>
      <c r="AK25" s="1">
        <f>[1]Results!AN1385</f>
        <v>-3.3987201342764339</v>
      </c>
      <c r="AL25" s="1">
        <f>[1]Results!AO1385</f>
        <v>-3.4327768824525706</v>
      </c>
      <c r="AM25" s="1">
        <f>[1]Results!AP1385</f>
        <v>-3.4639062464190906</v>
      </c>
      <c r="AN25" s="1">
        <f>[1]Results!AQ1385</f>
        <v>-3.4917222127636038</v>
      </c>
      <c r="AO25" s="1">
        <f>[1]Results!AR1385</f>
        <v>-3.516820464661996</v>
      </c>
      <c r="AP25" s="1">
        <f>[1]Results!AS1385</f>
        <v>-3.5400018739886296</v>
      </c>
      <c r="AQ25" s="1">
        <f>[1]Results!AT1385</f>
        <v>-3.5620139002143891</v>
      </c>
      <c r="AR25" s="1">
        <f>[1]Results!AU1385</f>
        <v>-3.5830325657656426</v>
      </c>
      <c r="AS25" s="1">
        <f>[1]Results!AV1385</f>
        <v>-3.6035180955477752</v>
      </c>
      <c r="AT25" s="1">
        <f>[1]Results!AW1385</f>
        <v>-3.623940897008715</v>
      </c>
      <c r="AU25" s="1">
        <f>[1]Results!AX1385</f>
        <v>-3.6446928432717129</v>
      </c>
      <c r="AV25" s="1">
        <f>[1]Results!AY1385</f>
        <v>-3.666073810970838</v>
      </c>
      <c r="AW25" s="1">
        <f>[1]Results!AZ1385</f>
        <v>-3.6868409291356929</v>
      </c>
      <c r="AX25" s="1">
        <f>[1]Results!BA1385</f>
        <v>-3.7070421553837551</v>
      </c>
      <c r="AY25" s="1">
        <f>[1]Results!BB1385</f>
        <v>-3.7270608825357265</v>
      </c>
      <c r="AZ25" s="1">
        <f>[1]Results!BC1385</f>
        <v>-3.7473007296031979</v>
      </c>
      <c r="BA25" s="1">
        <f>[1]Results!BD1385</f>
        <v>-3.7681032425053829</v>
      </c>
      <c r="BB25" s="1">
        <f>[1]Results!BE1385</f>
        <v>-3.7888847638266832</v>
      </c>
      <c r="BC25" s="1">
        <f>[1]Results!BF1385</f>
        <v>-3.809780037308752</v>
      </c>
      <c r="BD25" s="1">
        <f>[1]Results!BG1385</f>
        <v>-3.8311112700951444</v>
      </c>
      <c r="BE25" s="1">
        <f>[1]Results!BH1385</f>
        <v>-3.8531941050553797</v>
      </c>
      <c r="BF25" s="1">
        <f>[1]Results!BI1385</f>
        <v>-3.8762848595671473</v>
      </c>
    </row>
    <row r="26" spans="1:58" x14ac:dyDescent="0.35">
      <c r="A26" s="3" t="str">
        <f>[1]Results!E1386</f>
        <v>100*((I_2+CH_ccon_2)/(I_0+CH_ccon_0)-1)</v>
      </c>
      <c r="B26" t="str">
        <f>[1]Results!C1386</f>
        <v>Investissement</v>
      </c>
      <c r="C26" s="1">
        <f>[1]Results!F1386</f>
        <v>-8.4578489599484996E-2</v>
      </c>
      <c r="D26" s="1">
        <f>[1]Results!G1386</f>
        <v>-0.21312732646773247</v>
      </c>
      <c r="E26" s="1">
        <f>[1]Results!H1386</f>
        <v>-0.36505585508965765</v>
      </c>
      <c r="F26" s="1">
        <f>[1]Results!I1386</f>
        <v>-0.53181773634123353</v>
      </c>
      <c r="G26" s="1">
        <f>[1]Results!J1386</f>
        <v>-0.70857980944825094</v>
      </c>
      <c r="H26" s="1">
        <f>[1]Results!K1386</f>
        <v>-0.8925193599720771</v>
      </c>
      <c r="I26" s="1">
        <f>[1]Results!L1386</f>
        <v>-1.0829967738767099</v>
      </c>
      <c r="J26" s="1">
        <f>[1]Results!M1386</f>
        <v>-1.2782516848356518</v>
      </c>
      <c r="K26" s="1">
        <f>[1]Results!N1386</f>
        <v>-1.4769575719643324</v>
      </c>
      <c r="L26" s="1">
        <f>[1]Results!O1386</f>
        <v>-1.678053891452902</v>
      </c>
      <c r="M26" s="1">
        <f>[1]Results!P1386</f>
        <v>-1.8805220463969152</v>
      </c>
      <c r="N26" s="1">
        <f>[1]Results!Q1386</f>
        <v>-2.087744978983197</v>
      </c>
      <c r="O26" s="1">
        <f>[1]Results!R1386</f>
        <v>-2.2970775567889068</v>
      </c>
      <c r="P26" s="1">
        <f>[1]Results!S1386</f>
        <v>-2.5067264248485821</v>
      </c>
      <c r="Q26" s="1">
        <f>[1]Results!T1386</f>
        <v>-2.7154654087879981</v>
      </c>
      <c r="R26" s="1">
        <f>[1]Results!U1386</f>
        <v>-2.9223845874312371</v>
      </c>
      <c r="S26" s="1">
        <f>[1]Results!V1386</f>
        <v>-3.1307358601579294</v>
      </c>
      <c r="T26" s="1">
        <f>[1]Results!W1386</f>
        <v>-3.338186472389526</v>
      </c>
      <c r="U26" s="1">
        <f>[1]Results!X1386</f>
        <v>-3.5433127095559902</v>
      </c>
      <c r="V26" s="1">
        <f>[1]Results!Y1386</f>
        <v>-3.7452692900911022</v>
      </c>
      <c r="W26" s="1">
        <f>[1]Results!Z1386</f>
        <v>-3.9436100729586032</v>
      </c>
      <c r="X26" s="1">
        <f>[1]Results!AA1386</f>
        <v>-4.137706550312215</v>
      </c>
      <c r="Y26" s="1">
        <f>[1]Results!AB1386</f>
        <v>-4.3273218913830958</v>
      </c>
      <c r="Z26" s="1">
        <f>[1]Results!AC1386</f>
        <v>-4.512320317564777</v>
      </c>
      <c r="AA26" s="1">
        <f>[1]Results!AD1386</f>
        <v>-4.6925912996242385</v>
      </c>
      <c r="AB26" s="1">
        <f>[1]Results!AE1386</f>
        <v>-4.8683495328683986</v>
      </c>
      <c r="AC26" s="1">
        <f>[1]Results!AF1386</f>
        <v>-5.0376060570113124</v>
      </c>
      <c r="AD26" s="1">
        <f>[1]Results!AG1386</f>
        <v>-5.2008573622924548</v>
      </c>
      <c r="AE26" s="1">
        <f>[1]Results!AH1386</f>
        <v>-5.3584252270604154</v>
      </c>
      <c r="AF26" s="1">
        <f>[1]Results!AI1386</f>
        <v>-5.510474122450848</v>
      </c>
      <c r="AG26" s="1">
        <f>[1]Results!AJ1386</f>
        <v>-5.65706534095386</v>
      </c>
      <c r="AH26" s="1">
        <f>[1]Results!AK1386</f>
        <v>-5.797491535802191</v>
      </c>
      <c r="AI26" s="1">
        <f>[1]Results!AL1386</f>
        <v>-5.9320081520962802</v>
      </c>
      <c r="AJ26" s="1">
        <f>[1]Results!AM1386</f>
        <v>-6.0607232158893183</v>
      </c>
      <c r="AK26" s="1">
        <f>[1]Results!AN1386</f>
        <v>-6.1836586050912246</v>
      </c>
      <c r="AL26" s="1">
        <f>[1]Results!AO1386</f>
        <v>-6.3008009611039029</v>
      </c>
      <c r="AM26" s="1">
        <f>[1]Results!AP1386</f>
        <v>-6.406438426415562</v>
      </c>
      <c r="AN26" s="1">
        <f>[1]Results!AQ1386</f>
        <v>-6.5029140819696458</v>
      </c>
      <c r="AO26" s="1">
        <f>[1]Results!AR1386</f>
        <v>-6.5915480206119481</v>
      </c>
      <c r="AP26" s="1">
        <f>[1]Results!AS1386</f>
        <v>-6.6730660738456793</v>
      </c>
      <c r="AQ26" s="1">
        <f>[1]Results!AT1386</f>
        <v>-6.7479270970730809</v>
      </c>
      <c r="AR26" s="1">
        <f>[1]Results!AU1386</f>
        <v>-6.8156004663928353</v>
      </c>
      <c r="AS26" s="1">
        <f>[1]Results!AV1386</f>
        <v>-6.8767118042821647</v>
      </c>
      <c r="AT26" s="1">
        <f>[1]Results!AW1386</f>
        <v>-6.9317150281035573</v>
      </c>
      <c r="AU26" s="1">
        <f>[1]Results!AX1386</f>
        <v>-6.9809609678316287</v>
      </c>
      <c r="AV26" s="1">
        <f>[1]Results!AY1386</f>
        <v>-7.02475089549226</v>
      </c>
      <c r="AW26" s="1">
        <f>[1]Results!AZ1386</f>
        <v>-7.0605988832718181</v>
      </c>
      <c r="AX26" s="1">
        <f>[1]Results!BA1386</f>
        <v>-7.0898627835570549</v>
      </c>
      <c r="AY26" s="1">
        <f>[1]Results!BB1386</f>
        <v>-7.1134545827981954</v>
      </c>
      <c r="AZ26" s="1">
        <f>[1]Results!BC1386</f>
        <v>-7.1320020187046751</v>
      </c>
      <c r="BA26" s="1">
        <f>[1]Results!BD1386</f>
        <v>-7.1459947333086689</v>
      </c>
      <c r="BB26" s="1">
        <f>[1]Results!BE1386</f>
        <v>-7.1542287439229524</v>
      </c>
      <c r="BC26" s="1">
        <f>[1]Results!BF1386</f>
        <v>-7.157727443250872</v>
      </c>
      <c r="BD26" s="1">
        <f>[1]Results!BG1386</f>
        <v>-7.1572398559268446</v>
      </c>
      <c r="BE26" s="1">
        <f>[1]Results!BH1386</f>
        <v>-7.1533388006272851</v>
      </c>
      <c r="BF26" s="1">
        <f>[1]Results!BI1386</f>
        <v>-7.146504912495411</v>
      </c>
    </row>
    <row r="27" spans="1:58" x14ac:dyDescent="0.35">
      <c r="A27" s="3" t="str">
        <f>[1]Results!E1387</f>
        <v>100*((CH_ccon_2)/(CH_ccon_0)-1)</v>
      </c>
      <c r="B27" t="str">
        <f>[1]Results!C1387</f>
        <v>Investissement ménages</v>
      </c>
      <c r="C27" s="1">
        <f>[1]Results!F1387</f>
        <v>-4.3093675532113185E-2</v>
      </c>
      <c r="D27" s="1">
        <f>[1]Results!G1387</f>
        <v>-0.10966715009769201</v>
      </c>
      <c r="E27" s="1">
        <f>[1]Results!H1387</f>
        <v>-0.19961469686191613</v>
      </c>
      <c r="F27" s="1">
        <f>[1]Results!I1387</f>
        <v>-0.30546923533093517</v>
      </c>
      <c r="G27" s="1">
        <f>[1]Results!J1387</f>
        <v>-0.42270977653827702</v>
      </c>
      <c r="H27" s="1">
        <f>[1]Results!K1387</f>
        <v>-0.54840205778012852</v>
      </c>
      <c r="I27" s="1">
        <f>[1]Results!L1387</f>
        <v>-0.68071618291781766</v>
      </c>
      <c r="J27" s="1">
        <f>[1]Results!M1387</f>
        <v>-0.81754893855404687</v>
      </c>
      <c r="K27" s="1">
        <f>[1]Results!N1387</f>
        <v>-0.95687557481204388</v>
      </c>
      <c r="L27" s="1">
        <f>[1]Results!O1387</f>
        <v>-1.0968356024271153</v>
      </c>
      <c r="M27" s="1">
        <f>[1]Results!P1387</f>
        <v>-1.2347520810358947</v>
      </c>
      <c r="N27" s="1">
        <f>[1]Results!Q1387</f>
        <v>-1.3712503706341583</v>
      </c>
      <c r="O27" s="1">
        <f>[1]Results!R1387</f>
        <v>-1.5049387307236151</v>
      </c>
      <c r="P27" s="1">
        <f>[1]Results!S1387</f>
        <v>-1.6341375673156078</v>
      </c>
      <c r="Q27" s="1">
        <f>[1]Results!T1387</f>
        <v>-1.75742731342865</v>
      </c>
      <c r="R27" s="1">
        <f>[1]Results!U1387</f>
        <v>-1.8738317890179879</v>
      </c>
      <c r="S27" s="1">
        <f>[1]Results!V1387</f>
        <v>-1.9842985507094513</v>
      </c>
      <c r="T27" s="1">
        <f>[1]Results!W1387</f>
        <v>-2.0888671978817719</v>
      </c>
      <c r="U27" s="1">
        <f>[1]Results!X1387</f>
        <v>-2.1873186201331496</v>
      </c>
      <c r="V27" s="1">
        <f>[1]Results!Y1387</f>
        <v>-2.2796291354735598</v>
      </c>
      <c r="W27" s="1">
        <f>[1]Results!Z1387</f>
        <v>-2.366426609584027</v>
      </c>
      <c r="X27" s="1">
        <f>[1]Results!AA1387</f>
        <v>-2.4472669996530638</v>
      </c>
      <c r="Y27" s="1">
        <f>[1]Results!AB1387</f>
        <v>-2.5229512889287986</v>
      </c>
      <c r="Z27" s="1">
        <f>[1]Results!AC1387</f>
        <v>-2.5942114288300067</v>
      </c>
      <c r="AA27" s="1">
        <f>[1]Results!AD1387</f>
        <v>-2.6616912484247357</v>
      </c>
      <c r="AB27" s="1">
        <f>[1]Results!AE1387</f>
        <v>-2.7270542505913986</v>
      </c>
      <c r="AC27" s="1">
        <f>[1]Results!AF1387</f>
        <v>-2.7884215199417861</v>
      </c>
      <c r="AD27" s="1">
        <f>[1]Results!AG1387</f>
        <v>-2.8465094877362263</v>
      </c>
      <c r="AE27" s="1">
        <f>[1]Results!AH1387</f>
        <v>-2.9022238103085907</v>
      </c>
      <c r="AF27" s="1">
        <f>[1]Results!AI1387</f>
        <v>-2.9563329356191215</v>
      </c>
      <c r="AG27" s="1">
        <f>[1]Results!AJ1387</f>
        <v>-3.0093944921146365</v>
      </c>
      <c r="AH27" s="1">
        <f>[1]Results!AK1387</f>
        <v>-3.0615189583999447</v>
      </c>
      <c r="AI27" s="1">
        <f>[1]Results!AL1387</f>
        <v>-3.1129657743052097</v>
      </c>
      <c r="AJ27" s="1">
        <f>[1]Results!AM1387</f>
        <v>-3.1640232653357359</v>
      </c>
      <c r="AK27" s="1">
        <f>[1]Results!AN1387</f>
        <v>-3.2149336202677459</v>
      </c>
      <c r="AL27" s="1">
        <f>[1]Results!AO1387</f>
        <v>-3.2658840825240953</v>
      </c>
      <c r="AM27" s="1">
        <f>[1]Results!AP1387</f>
        <v>-3.3148273140126028</v>
      </c>
      <c r="AN27" s="1">
        <f>[1]Results!AQ1387</f>
        <v>-3.3613212791631208</v>
      </c>
      <c r="AO27" s="1">
        <f>[1]Results!AR1387</f>
        <v>-3.4060141016288514</v>
      </c>
      <c r="AP27" s="1">
        <f>[1]Results!AS1387</f>
        <v>-3.4496696992547093</v>
      </c>
      <c r="AQ27" s="1">
        <f>[1]Results!AT1387</f>
        <v>-3.4928828605982232</v>
      </c>
      <c r="AR27" s="1">
        <f>[1]Results!AU1387</f>
        <v>-3.5356962601305941</v>
      </c>
      <c r="AS27" s="1">
        <f>[1]Results!AV1387</f>
        <v>-3.5783477561933119</v>
      </c>
      <c r="AT27" s="1">
        <f>[1]Results!AW1387</f>
        <v>-3.6211266530910113</v>
      </c>
      <c r="AU27" s="1">
        <f>[1]Results!AX1387</f>
        <v>-3.664266728749066</v>
      </c>
      <c r="AV27" s="1">
        <f>[1]Results!AY1387</f>
        <v>-3.7079164405259712</v>
      </c>
      <c r="AW27" s="1">
        <f>[1]Results!AZ1387</f>
        <v>-3.7509272028374507</v>
      </c>
      <c r="AX27" s="1">
        <f>[1]Results!BA1387</f>
        <v>-3.7932054520572356</v>
      </c>
      <c r="AY27" s="1">
        <f>[1]Results!BB1387</f>
        <v>-3.8350622308852889</v>
      </c>
      <c r="AZ27" s="1">
        <f>[1]Results!BC1387</f>
        <v>-3.8768009401314973</v>
      </c>
      <c r="BA27" s="1">
        <f>[1]Results!BD1387</f>
        <v>-3.9186225056616619</v>
      </c>
      <c r="BB27" s="1">
        <f>[1]Results!BE1387</f>
        <v>-3.9599253390788069</v>
      </c>
      <c r="BC27" s="1">
        <f>[1]Results!BF1387</f>
        <v>-4.0007051626816947</v>
      </c>
      <c r="BD27" s="1">
        <f>[1]Results!BG1387</f>
        <v>-4.0411987446836495</v>
      </c>
      <c r="BE27" s="1">
        <f>[1]Results!BH1387</f>
        <v>-4.0816325216716738</v>
      </c>
      <c r="BF27" s="1">
        <f>[1]Results!BI1387</f>
        <v>-4.1221597937410763</v>
      </c>
    </row>
    <row r="28" spans="1:58" x14ac:dyDescent="0.35">
      <c r="A28" s="3" t="str">
        <f>[1]Results!E1388</f>
        <v>100*((IA_spub_2)/(IA_spub_0)-1)</v>
      </c>
      <c r="B28" t="str">
        <f>[1]Results!C1388</f>
        <v>Investissement public</v>
      </c>
      <c r="C28" s="1">
        <f>[1]Results!F1388</f>
        <v>-1.3624421983016166E-2</v>
      </c>
      <c r="D28" s="1">
        <f>[1]Results!G1388</f>
        <v>-3.1680718407123276E-2</v>
      </c>
      <c r="E28" s="1">
        <f>[1]Results!H1388</f>
        <v>-5.0528678752559397E-2</v>
      </c>
      <c r="F28" s="1">
        <f>[1]Results!I1388</f>
        <v>-6.9389298167910063E-2</v>
      </c>
      <c r="G28" s="1">
        <f>[1]Results!J1388</f>
        <v>-8.8739960185446609E-2</v>
      </c>
      <c r="H28" s="1">
        <f>[1]Results!K1388</f>
        <v>-0.10943294573015905</v>
      </c>
      <c r="I28" s="1">
        <f>[1]Results!L1388</f>
        <v>-0.13245236305993169</v>
      </c>
      <c r="J28" s="1">
        <f>[1]Results!M1388</f>
        <v>-0.15816641283039612</v>
      </c>
      <c r="K28" s="1">
        <f>[1]Results!N1388</f>
        <v>-0.1867809840407797</v>
      </c>
      <c r="L28" s="1">
        <f>[1]Results!O1388</f>
        <v>-0.21836415794573849</v>
      </c>
      <c r="M28" s="1">
        <f>[1]Results!P1388</f>
        <v>-0.25270075016747828</v>
      </c>
      <c r="N28" s="1">
        <f>[1]Results!Q1388</f>
        <v>-0.29057153210695352</v>
      </c>
      <c r="O28" s="1">
        <f>[1]Results!R1388</f>
        <v>-0.33124098948238423</v>
      </c>
      <c r="P28" s="1">
        <f>[1]Results!S1388</f>
        <v>-0.37414331133757139</v>
      </c>
      <c r="Q28" s="1">
        <f>[1]Results!T1388</f>
        <v>-0.41883608335738787</v>
      </c>
      <c r="R28" s="1">
        <f>[1]Results!U1388</f>
        <v>-0.46493385111751051</v>
      </c>
      <c r="S28" s="1">
        <f>[1]Results!V1388</f>
        <v>-0.51269741042899719</v>
      </c>
      <c r="T28" s="1">
        <f>[1]Results!W1388</f>
        <v>-0.56146985391973825</v>
      </c>
      <c r="U28" s="1">
        <f>[1]Results!X1388</f>
        <v>-0.610750673421534</v>
      </c>
      <c r="V28" s="1">
        <f>[1]Results!Y1388</f>
        <v>-0.66018254459441206</v>
      </c>
      <c r="W28" s="1">
        <f>[1]Results!Z1388</f>
        <v>-0.70963874665737059</v>
      </c>
      <c r="X28" s="1">
        <f>[1]Results!AA1388</f>
        <v>-0.7585172726551126</v>
      </c>
      <c r="Y28" s="1">
        <f>[1]Results!AB1388</f>
        <v>-0.80679016008045057</v>
      </c>
      <c r="Z28" s="1">
        <f>[1]Results!AC1388</f>
        <v>-0.85435198016365899</v>
      </c>
      <c r="AA28" s="1">
        <f>[1]Results!AD1388</f>
        <v>-0.90107121618971942</v>
      </c>
      <c r="AB28" s="1">
        <f>[1]Results!AE1388</f>
        <v>-0.94726613551623373</v>
      </c>
      <c r="AC28" s="1">
        <f>[1]Results!AF1388</f>
        <v>-0.9917012140861492</v>
      </c>
      <c r="AD28" s="1">
        <f>[1]Results!AG1388</f>
        <v>-1.0346135316756988</v>
      </c>
      <c r="AE28" s="1">
        <f>[1]Results!AH1388</f>
        <v>-1.0761370155235817</v>
      </c>
      <c r="AF28" s="1">
        <f>[1]Results!AI1388</f>
        <v>-1.1163314412574454</v>
      </c>
      <c r="AG28" s="1">
        <f>[1]Results!AJ1388</f>
        <v>-1.1552142507467389</v>
      </c>
      <c r="AH28" s="1">
        <f>[1]Results!AK1388</f>
        <v>-1.1926651661551935</v>
      </c>
      <c r="AI28" s="1">
        <f>[1]Results!AL1388</f>
        <v>-1.2287314590695209</v>
      </c>
      <c r="AJ28" s="1">
        <f>[1]Results!AM1388</f>
        <v>-1.2634447093405443</v>
      </c>
      <c r="AK28" s="1">
        <f>[1]Results!AN1388</f>
        <v>-1.2968245129612699</v>
      </c>
      <c r="AL28" s="1">
        <f>[1]Results!AO1388</f>
        <v>-1.3288912135328346</v>
      </c>
      <c r="AM28" s="1">
        <f>[1]Results!AP1388</f>
        <v>-1.3588037731599778</v>
      </c>
      <c r="AN28" s="1">
        <f>[1]Results!AQ1388</f>
        <v>-1.3869018023730528</v>
      </c>
      <c r="AO28" s="1">
        <f>[1]Results!AR1388</f>
        <v>-1.4135121975253462</v>
      </c>
      <c r="AP28" s="1">
        <f>[1]Results!AS1388</f>
        <v>-1.4388455361174501</v>
      </c>
      <c r="AQ28" s="1">
        <f>[1]Results!AT1388</f>
        <v>-1.4630354499921228</v>
      </c>
      <c r="AR28" s="1">
        <f>[1]Results!AU1388</f>
        <v>-1.4860253805579093</v>
      </c>
      <c r="AS28" s="1">
        <f>[1]Results!AV1388</f>
        <v>-1.5079550052556234</v>
      </c>
      <c r="AT28" s="1">
        <f>[1]Results!AW1388</f>
        <v>-1.5289350845621774</v>
      </c>
      <c r="AU28" s="1">
        <f>[1]Results!AX1388</f>
        <v>-1.5490468530547474</v>
      </c>
      <c r="AV28" s="1">
        <f>[1]Results!AY1388</f>
        <v>-1.5683537998971819</v>
      </c>
      <c r="AW28" s="1">
        <f>[1]Results!AZ1388</f>
        <v>-1.5864190973987835</v>
      </c>
      <c r="AX28" s="1">
        <f>[1]Results!BA1388</f>
        <v>-1.6035161181700675</v>
      </c>
      <c r="AY28" s="1">
        <f>[1]Results!BB1388</f>
        <v>-1.6198487492789182</v>
      </c>
      <c r="AZ28" s="1">
        <f>[1]Results!BC1388</f>
        <v>-1.6355378929790665</v>
      </c>
      <c r="BA28" s="1">
        <f>[1]Results!BD1388</f>
        <v>-1.6506556855058085</v>
      </c>
      <c r="BB28" s="1">
        <f>[1]Results!BE1388</f>
        <v>-1.6649645658756485</v>
      </c>
      <c r="BC28" s="1">
        <f>[1]Results!BF1388</f>
        <v>-1.6786271908025507</v>
      </c>
      <c r="BD28" s="1">
        <f>[1]Results!BG1388</f>
        <v>-1.6917728964380818</v>
      </c>
      <c r="BE28" s="1">
        <f>[1]Results!BH1388</f>
        <v>-1.7044844113304092</v>
      </c>
      <c r="BF28" s="1">
        <f>[1]Results!BI1388</f>
        <v>-1.7168150510170954</v>
      </c>
    </row>
    <row r="29" spans="1:58" x14ac:dyDescent="0.35">
      <c r="A29" s="3" t="str">
        <f>[1]Results!E1389</f>
        <v>100*(DISPINC_AT_VAL_2/DISPINC_AT_VAL_0-1)</v>
      </c>
      <c r="B29" t="str">
        <f>[1]Results!C1389</f>
        <v>Revenu disponible des ménages</v>
      </c>
      <c r="C29" s="1">
        <f>[1]Results!F1389</f>
        <v>-7.3311055766034361E-2</v>
      </c>
      <c r="D29" s="1">
        <f>[1]Results!G1389</f>
        <v>-0.2102744453922667</v>
      </c>
      <c r="E29" s="1">
        <f>[1]Results!H1389</f>
        <v>-0.38974561975655408</v>
      </c>
      <c r="F29" s="1">
        <f>[1]Results!I1389</f>
        <v>-0.60288846865785839</v>
      </c>
      <c r="G29" s="1">
        <f>[1]Results!J1389</f>
        <v>-0.8411475099261434</v>
      </c>
      <c r="H29" s="1">
        <f>[1]Results!K1389</f>
        <v>-1.0970428123401543</v>
      </c>
      <c r="I29" s="1">
        <f>[1]Results!L1389</f>
        <v>-1.3657183227604563</v>
      </c>
      <c r="J29" s="1">
        <f>[1]Results!M1389</f>
        <v>-1.6413033601527793</v>
      </c>
      <c r="K29" s="1">
        <f>[1]Results!N1389</f>
        <v>-1.9191332686941065</v>
      </c>
      <c r="L29" s="1">
        <f>[1]Results!O1389</f>
        <v>-2.1953145123799644</v>
      </c>
      <c r="M29" s="1">
        <f>[1]Results!P1389</f>
        <v>-2.4656707426755076</v>
      </c>
      <c r="N29" s="1">
        <f>[1]Results!Q1389</f>
        <v>-2.7327897739905405</v>
      </c>
      <c r="O29" s="1">
        <f>[1]Results!R1389</f>
        <v>-2.9928593053885955</v>
      </c>
      <c r="P29" s="1">
        <f>[1]Results!S1389</f>
        <v>-3.2434215944226019</v>
      </c>
      <c r="Q29" s="1">
        <f>[1]Results!T1389</f>
        <v>-3.4824970549525269</v>
      </c>
      <c r="R29" s="1">
        <f>[1]Results!U1389</f>
        <v>-3.7085655160465025</v>
      </c>
      <c r="S29" s="1">
        <f>[1]Results!V1389</f>
        <v>-3.9238223113803872</v>
      </c>
      <c r="T29" s="1">
        <f>[1]Results!W1389</f>
        <v>-4.1270855156196777</v>
      </c>
      <c r="U29" s="1">
        <f>[1]Results!X1389</f>
        <v>-4.3176143523060091</v>
      </c>
      <c r="V29" s="1">
        <f>[1]Results!Y1389</f>
        <v>-4.4950668338136541</v>
      </c>
      <c r="W29" s="1">
        <f>[1]Results!Z1389</f>
        <v>-4.660212396775143</v>
      </c>
      <c r="X29" s="1">
        <f>[1]Results!AA1389</f>
        <v>-4.8115484682160981</v>
      </c>
      <c r="Y29" s="1">
        <f>[1]Results!AB1389</f>
        <v>-4.950513473009055</v>
      </c>
      <c r="Z29" s="1">
        <f>[1]Results!AC1389</f>
        <v>-5.0778244673307604</v>
      </c>
      <c r="AA29" s="1">
        <f>[1]Results!AD1389</f>
        <v>-5.1943227922650266</v>
      </c>
      <c r="AB29" s="1">
        <f>[1]Results!AE1389</f>
        <v>-5.3030956405119785</v>
      </c>
      <c r="AC29" s="1">
        <f>[1]Results!AF1389</f>
        <v>-5.400016776755157</v>
      </c>
      <c r="AD29" s="1">
        <f>[1]Results!AG1389</f>
        <v>-5.4876793944244717</v>
      </c>
      <c r="AE29" s="1">
        <f>[1]Results!AH1389</f>
        <v>-5.5672366445350896</v>
      </c>
      <c r="AF29" s="1">
        <f>[1]Results!AI1389</f>
        <v>-5.6397710505005865</v>
      </c>
      <c r="AG29" s="1">
        <f>[1]Results!AJ1389</f>
        <v>-5.7062978356408163</v>
      </c>
      <c r="AH29" s="1">
        <f>[1]Results!AK1389</f>
        <v>-5.7671826995886804</v>
      </c>
      <c r="AI29" s="1">
        <f>[1]Results!AL1389</f>
        <v>-5.823382665953214</v>
      </c>
      <c r="AJ29" s="1">
        <f>[1]Results!AM1389</f>
        <v>-5.875752697850567</v>
      </c>
      <c r="AK29" s="1">
        <f>[1]Results!AN1389</f>
        <v>-5.9250459931853854</v>
      </c>
      <c r="AL29" s="1">
        <f>[1]Results!AO1389</f>
        <v>-5.9719178141102613</v>
      </c>
      <c r="AM29" s="1">
        <f>[1]Results!AP1389</f>
        <v>-6.0126771317421941</v>
      </c>
      <c r="AN29" s="1">
        <f>[1]Results!AQ1389</f>
        <v>-6.0480073040723674</v>
      </c>
      <c r="AO29" s="1">
        <f>[1]Results!AR1389</f>
        <v>-6.0790134684649555</v>
      </c>
      <c r="AP29" s="1">
        <f>[1]Results!AS1389</f>
        <v>-6.1066697302264439</v>
      </c>
      <c r="AQ29" s="1">
        <f>[1]Results!AT1389</f>
        <v>-6.1318440718422735</v>
      </c>
      <c r="AR29" s="1">
        <f>[1]Results!AU1389</f>
        <v>-6.1546044430082159</v>
      </c>
      <c r="AS29" s="1">
        <f>[1]Results!AV1389</f>
        <v>-6.1757351337254356</v>
      </c>
      <c r="AT29" s="1">
        <f>[1]Results!AW1389</f>
        <v>-6.195908049724852</v>
      </c>
      <c r="AU29" s="1">
        <f>[1]Results!AX1389</f>
        <v>-6.2156938138666407</v>
      </c>
      <c r="AV29" s="1">
        <f>[1]Results!AY1389</f>
        <v>-6.2355734906931133</v>
      </c>
      <c r="AW29" s="1">
        <f>[1]Results!AZ1389</f>
        <v>-6.2536998376158115</v>
      </c>
      <c r="AX29" s="1">
        <f>[1]Results!BA1389</f>
        <v>-6.2708055481061509</v>
      </c>
      <c r="AY29" s="1">
        <f>[1]Results!BB1389</f>
        <v>-6.2874647401623296</v>
      </c>
      <c r="AZ29" s="1">
        <f>[1]Results!BC1389</f>
        <v>-6.3041692270081491</v>
      </c>
      <c r="BA29" s="1">
        <f>[1]Results!BD1389</f>
        <v>-6.3213513851111403</v>
      </c>
      <c r="BB29" s="1">
        <f>[1]Results!BE1389</f>
        <v>-6.3380964347743767</v>
      </c>
      <c r="BC29" s="1">
        <f>[1]Results!BF1389</f>
        <v>-6.3549400338835493</v>
      </c>
      <c r="BD29" s="1">
        <f>[1]Results!BG1389</f>
        <v>-6.3723375238193825</v>
      </c>
      <c r="BE29" s="1">
        <f>[1]Results!BH1389</f>
        <v>-6.3906767592564417</v>
      </c>
      <c r="BF29" s="1">
        <f>[1]Results!BI1389</f>
        <v>-6.4102905930046976</v>
      </c>
    </row>
    <row r="30" spans="1:58" x14ac:dyDescent="0.35">
      <c r="A30" s="3" t="str">
        <f>[1]Results!E1390</f>
        <v>100*(DISPINC_AT_VAL_2/DISPINC_AT_VAL_0-1)-100*(PCH_2/PCH_0-1)</v>
      </c>
      <c r="B30" t="str">
        <f>[1]Results!C1390</f>
        <v>Revenu disponible réel des ménages</v>
      </c>
      <c r="C30" s="1">
        <f>[1]Results!F1390</f>
        <v>-5.9761795128809858E-2</v>
      </c>
      <c r="D30" s="1">
        <f>[1]Results!G1390</f>
        <v>-0.16336003127429555</v>
      </c>
      <c r="E30" s="1">
        <f>[1]Results!H1390</f>
        <v>-0.28957111431080484</v>
      </c>
      <c r="F30" s="1">
        <f>[1]Results!I1390</f>
        <v>-0.43173226750422566</v>
      </c>
      <c r="G30" s="1">
        <f>[1]Results!J1390</f>
        <v>-0.58413116700628542</v>
      </c>
      <c r="H30" s="1">
        <f>[1]Results!K1390</f>
        <v>-0.74211932204776287</v>
      </c>
      <c r="I30" s="1">
        <f>[1]Results!L1390</f>
        <v>-0.90323260737712463</v>
      </c>
      <c r="J30" s="1">
        <f>[1]Results!M1390</f>
        <v>-1.0638448232932363</v>
      </c>
      <c r="K30" s="1">
        <f>[1]Results!N1390</f>
        <v>-1.2214341487624902</v>
      </c>
      <c r="L30" s="1">
        <f>[1]Results!O1390</f>
        <v>-1.3741328191788527</v>
      </c>
      <c r="M30" s="1">
        <f>[1]Results!P1390</f>
        <v>-1.519755125245692</v>
      </c>
      <c r="N30" s="1">
        <f>[1]Results!Q1390</f>
        <v>-1.6619187687824999</v>
      </c>
      <c r="O30" s="1">
        <f>[1]Results!R1390</f>
        <v>-1.7979955110623558</v>
      </c>
      <c r="P30" s="1">
        <f>[1]Results!S1390</f>
        <v>-1.9268374063109661</v>
      </c>
      <c r="Q30" s="1">
        <f>[1]Results!T1390</f>
        <v>-2.0477209933650764</v>
      </c>
      <c r="R30" s="1">
        <f>[1]Results!U1390</f>
        <v>-2.1602318467420445</v>
      </c>
      <c r="S30" s="1">
        <f>[1]Results!V1390</f>
        <v>-2.2669569548434576</v>
      </c>
      <c r="T30" s="1">
        <f>[1]Results!W1390</f>
        <v>-2.3671031182393891</v>
      </c>
      <c r="U30" s="1">
        <f>[1]Results!X1390</f>
        <v>-2.4603830500353303</v>
      </c>
      <c r="V30" s="1">
        <f>[1]Results!Y1390</f>
        <v>-2.5468381349893372</v>
      </c>
      <c r="W30" s="1">
        <f>[1]Results!Z1390</f>
        <v>-2.62736510372511</v>
      </c>
      <c r="X30" s="1">
        <f>[1]Results!AA1390</f>
        <v>-2.7007336411933758</v>
      </c>
      <c r="Y30" s="1">
        <f>[1]Results!AB1390</f>
        <v>-2.7684116096975853</v>
      </c>
      <c r="Z30" s="1">
        <f>[1]Results!AC1390</f>
        <v>-2.8309888416069295</v>
      </c>
      <c r="AA30" s="1">
        <f>[1]Results!AD1390</f>
        <v>-2.8890577007191771</v>
      </c>
      <c r="AB30" s="1">
        <f>[1]Results!AE1390</f>
        <v>-2.9449686232619894</v>
      </c>
      <c r="AC30" s="1">
        <f>[1]Results!AF1390</f>
        <v>-2.9946275466690047</v>
      </c>
      <c r="AD30" s="1">
        <f>[1]Results!AG1390</f>
        <v>-3.0404752652705813</v>
      </c>
      <c r="AE30" s="1">
        <f>[1]Results!AH1390</f>
        <v>-3.083347312090523</v>
      </c>
      <c r="AF30" s="1">
        <f>[1]Results!AI1390</f>
        <v>-3.1239002021225541</v>
      </c>
      <c r="AG30" s="1">
        <f>[1]Results!AJ1390</f>
        <v>-3.162664568340678</v>
      </c>
      <c r="AH30" s="1">
        <f>[1]Results!AK1390</f>
        <v>-3.1995673796159978</v>
      </c>
      <c r="AI30" s="1">
        <f>[1]Results!AL1390</f>
        <v>-3.2351345595306058</v>
      </c>
      <c r="AJ30" s="1">
        <f>[1]Results!AM1390</f>
        <v>-3.2697649982343147</v>
      </c>
      <c r="AK30" s="1">
        <f>[1]Results!AN1390</f>
        <v>-3.3037655621173561</v>
      </c>
      <c r="AL30" s="1">
        <f>[1]Results!AO1390</f>
        <v>-3.3373749204358649</v>
      </c>
      <c r="AM30" s="1">
        <f>[1]Results!AP1390</f>
        <v>-3.3668897560299</v>
      </c>
      <c r="AN30" s="1">
        <f>[1]Results!AQ1390</f>
        <v>-3.3932534669228414</v>
      </c>
      <c r="AO30" s="1">
        <f>[1]Results!AR1390</f>
        <v>-3.4175077852032554</v>
      </c>
      <c r="AP30" s="1">
        <f>[1]Results!AS1390</f>
        <v>-3.4404036298086194</v>
      </c>
      <c r="AQ30" s="1">
        <f>[1]Results!AT1390</f>
        <v>-3.4625206059665898</v>
      </c>
      <c r="AR30" s="1">
        <f>[1]Results!AU1390</f>
        <v>-3.4836825562723384</v>
      </c>
      <c r="AS30" s="1">
        <f>[1]Results!AV1390</f>
        <v>-3.5044703203279797</v>
      </c>
      <c r="AT30" s="1">
        <f>[1]Results!AW1390</f>
        <v>-3.5253108826629243</v>
      </c>
      <c r="AU30" s="1">
        <f>[1]Results!AX1390</f>
        <v>-3.5465190957462478</v>
      </c>
      <c r="AV30" s="1">
        <f>[1]Results!AY1390</f>
        <v>-3.5683284974540981</v>
      </c>
      <c r="AW30" s="1">
        <f>[1]Results!AZ1390</f>
        <v>-3.5888288092481235</v>
      </c>
      <c r="AX30" s="1">
        <f>[1]Results!BA1390</f>
        <v>-3.6088540823121962</v>
      </c>
      <c r="AY30" s="1">
        <f>[1]Results!BB1390</f>
        <v>-3.6289135493918545</v>
      </c>
      <c r="AZ30" s="1">
        <f>[1]Results!BC1390</f>
        <v>-3.6493510518668333</v>
      </c>
      <c r="BA30" s="1">
        <f>[1]Results!BD1390</f>
        <v>-3.6704211953417332</v>
      </c>
      <c r="BB30" s="1">
        <f>[1]Results!BE1390</f>
        <v>-3.691105600564804</v>
      </c>
      <c r="BC30" s="1">
        <f>[1]Results!BF1390</f>
        <v>-3.7119593631750769</v>
      </c>
      <c r="BD30" s="1">
        <f>[1]Results!BG1390</f>
        <v>-3.7333616979234541</v>
      </c>
      <c r="BE30" s="1">
        <f>[1]Results!BH1390</f>
        <v>-3.7555756505785687</v>
      </c>
      <c r="BF30" s="1">
        <f>[1]Results!BI1390</f>
        <v>-3.7787915146304867</v>
      </c>
    </row>
    <row r="31" spans="1:58" x14ac:dyDescent="0.35">
      <c r="A31" s="3" t="str">
        <f>[1]Results!E1391</f>
        <v>100*(DISPINC_AT_VAL_2/DISPINC_AT_VAL_0-1)-100*((F_L_2/F_L_0)-1)</v>
      </c>
      <c r="B31" t="str">
        <f>[1]Results!C1391</f>
        <v>Revenu disponible par emploi en valeur</v>
      </c>
      <c r="C31" s="1">
        <f>[1]Results!F1391</f>
        <v>-1.0789297278102072E-2</v>
      </c>
      <c r="D31" s="1">
        <f>[1]Results!G1391</f>
        <v>-4.1109412722017957E-2</v>
      </c>
      <c r="E31" s="1">
        <f>[1]Results!H1391</f>
        <v>-8.6503150577932342E-2</v>
      </c>
      <c r="F31" s="1">
        <f>[1]Results!I1391</f>
        <v>-0.14999241138806685</v>
      </c>
      <c r="G31" s="1">
        <f>[1]Results!J1391</f>
        <v>-0.23182193373781912</v>
      </c>
      <c r="H31" s="1">
        <f>[1]Results!K1391</f>
        <v>-0.33067378949329651</v>
      </c>
      <c r="I31" s="1">
        <f>[1]Results!L1391</f>
        <v>-0.44484794170379649</v>
      </c>
      <c r="J31" s="1">
        <f>[1]Results!M1391</f>
        <v>-0.57106679964621376</v>
      </c>
      <c r="K31" s="1">
        <f>[1]Results!N1391</f>
        <v>-0.70612583423416142</v>
      </c>
      <c r="L31" s="1">
        <f>[1]Results!O1391</f>
        <v>-0.8467655783121919</v>
      </c>
      <c r="M31" s="1">
        <f>[1]Results!P1391</f>
        <v>-0.98909308638926996</v>
      </c>
      <c r="N31" s="1">
        <f>[1]Results!Q1391</f>
        <v>-1.1323485514902254</v>
      </c>
      <c r="O31" s="1">
        <f>[1]Results!R1391</f>
        <v>-1.2731147129813047</v>
      </c>
      <c r="P31" s="1">
        <f>[1]Results!S1391</f>
        <v>-1.4093357227126346</v>
      </c>
      <c r="Q31" s="1">
        <f>[1]Results!T1391</f>
        <v>-1.539257947220507</v>
      </c>
      <c r="R31" s="1">
        <f>[1]Results!U1391</f>
        <v>-1.6614075950085239</v>
      </c>
      <c r="S31" s="1">
        <f>[1]Results!V1391</f>
        <v>-1.7751149558347445</v>
      </c>
      <c r="T31" s="1">
        <f>[1]Results!W1391</f>
        <v>-1.8796154142441295</v>
      </c>
      <c r="U31" s="1">
        <f>[1]Results!X1391</f>
        <v>-1.9745414559289682</v>
      </c>
      <c r="V31" s="1">
        <f>[1]Results!Y1391</f>
        <v>-2.0597052658336219</v>
      </c>
      <c r="W31" s="1">
        <f>[1]Results!Z1391</f>
        <v>-2.1356834526004009</v>
      </c>
      <c r="X31" s="1">
        <f>[1]Results!AA1391</f>
        <v>-2.2011313119526199</v>
      </c>
      <c r="Y31" s="1">
        <f>[1]Results!AB1391</f>
        <v>-2.2571955635010466</v>
      </c>
      <c r="Z31" s="1">
        <f>[1]Results!AC1391</f>
        <v>-2.3042285403490625</v>
      </c>
      <c r="AA31" s="1">
        <f>[1]Results!AD1391</f>
        <v>-2.3426986672450019</v>
      </c>
      <c r="AB31" s="1">
        <f>[1]Results!AE1391</f>
        <v>-2.37489876259469</v>
      </c>
      <c r="AC31" s="1">
        <f>[1]Results!AF1391</f>
        <v>-2.3979834931895265</v>
      </c>
      <c r="AD31" s="1">
        <f>[1]Results!AG1391</f>
        <v>-2.4141485053730372</v>
      </c>
      <c r="AE31" s="1">
        <f>[1]Results!AH1391</f>
        <v>-2.4240859943360449</v>
      </c>
      <c r="AF31" s="1">
        <f>[1]Results!AI1391</f>
        <v>-2.4284738361823992</v>
      </c>
      <c r="AG31" s="1">
        <f>[1]Results!AJ1391</f>
        <v>-2.4280173905362519</v>
      </c>
      <c r="AH31" s="1">
        <f>[1]Results!AK1391</f>
        <v>-2.4233305786825037</v>
      </c>
      <c r="AI31" s="1">
        <f>[1]Results!AL1391</f>
        <v>-2.4151582517127679</v>
      </c>
      <c r="AJ31" s="1">
        <f>[1]Results!AM1391</f>
        <v>-2.4041949842644961</v>
      </c>
      <c r="AK31" s="1">
        <f>[1]Results!AN1391</f>
        <v>-2.3911101855112364</v>
      </c>
      <c r="AL31" s="1">
        <f>[1]Results!AO1391</f>
        <v>-2.3765400506318701</v>
      </c>
      <c r="AM31" s="1">
        <f>[1]Results!AP1391</f>
        <v>-2.3603853608314291</v>
      </c>
      <c r="AN31" s="1">
        <f>[1]Results!AQ1391</f>
        <v>-2.342767108351274</v>
      </c>
      <c r="AO31" s="1">
        <f>[1]Results!AR1391</f>
        <v>-2.3240024322270125</v>
      </c>
      <c r="AP31" s="1">
        <f>[1]Results!AS1391</f>
        <v>-2.3043801475103876</v>
      </c>
      <c r="AQ31" s="1">
        <f>[1]Results!AT1391</f>
        <v>-2.2842254996320861</v>
      </c>
      <c r="AR31" s="1">
        <f>[1]Results!AU1391</f>
        <v>-2.2637335095275768</v>
      </c>
      <c r="AS31" s="1">
        <f>[1]Results!AV1391</f>
        <v>-2.2433035742457146</v>
      </c>
      <c r="AT31" s="1">
        <f>[1]Results!AW1391</f>
        <v>-2.2232745515081809</v>
      </c>
      <c r="AU31" s="1">
        <f>[1]Results!AX1391</f>
        <v>-2.2039699951572507</v>
      </c>
      <c r="AV31" s="1">
        <f>[1]Results!AY1391</f>
        <v>-2.1857020776774085</v>
      </c>
      <c r="AW31" s="1">
        <f>[1]Results!AZ1391</f>
        <v>-2.1681882413600695</v>
      </c>
      <c r="AX31" s="1">
        <f>[1]Results!BA1391</f>
        <v>-2.1518465676168779</v>
      </c>
      <c r="AY31" s="1">
        <f>[1]Results!BB1391</f>
        <v>-2.1368232483458431</v>
      </c>
      <c r="AZ31" s="1">
        <f>[1]Results!BC1391</f>
        <v>-2.1232350134245284</v>
      </c>
      <c r="BA31" s="1">
        <f>[1]Results!BD1391</f>
        <v>-2.1112142192093115</v>
      </c>
      <c r="BB31" s="1">
        <f>[1]Results!BE1391</f>
        <v>-2.1005665445721471</v>
      </c>
      <c r="BC31" s="1">
        <f>[1]Results!BF1391</f>
        <v>-2.0915184307826014</v>
      </c>
      <c r="BD31" s="1">
        <f>[1]Results!BG1391</f>
        <v>-2.0841666198939013</v>
      </c>
      <c r="BE31" s="1">
        <f>[1]Results!BH1391</f>
        <v>-2.0785885565624334</v>
      </c>
      <c r="BF31" s="1">
        <f>[1]Results!BI1391</f>
        <v>-2.0748675950150961</v>
      </c>
    </row>
    <row r="32" spans="1:58" x14ac:dyDescent="0.35">
      <c r="A32" s="3" t="str">
        <f>[1]Results!E1392</f>
        <v>100*(DISPINC_AT_VAL_2/DISPINC_AT_VAL_0-1)-100*((F_L_2/F_L_0)-1)-100*(PCH_2/PCH_0-1)</v>
      </c>
      <c r="B32" t="str">
        <f>[1]Results!C1392</f>
        <v>Revenu disponible réel par emploi</v>
      </c>
      <c r="C32" s="1">
        <f>[1]Results!F1392</f>
        <v>2.7599633591224304E-3</v>
      </c>
      <c r="D32" s="1">
        <f>[1]Results!G1392</f>
        <v>5.805001395953191E-3</v>
      </c>
      <c r="E32" s="1">
        <f>[1]Results!H1392</f>
        <v>1.3671354867816898E-2</v>
      </c>
      <c r="F32" s="1">
        <f>[1]Results!I1392</f>
        <v>2.1163789765565877E-2</v>
      </c>
      <c r="G32" s="1">
        <f>[1]Results!J1392</f>
        <v>2.5194409182038857E-2</v>
      </c>
      <c r="H32" s="1">
        <f>[1]Results!K1392</f>
        <v>2.4249700799094942E-2</v>
      </c>
      <c r="I32" s="1">
        <f>[1]Results!L1392</f>
        <v>1.7637773679535229E-2</v>
      </c>
      <c r="J32" s="1">
        <f>[1]Results!M1392</f>
        <v>6.3917372133293071E-3</v>
      </c>
      <c r="K32" s="1">
        <f>[1]Results!N1392</f>
        <v>-8.4267143025451574E-3</v>
      </c>
      <c r="L32" s="1">
        <f>[1]Results!O1392</f>
        <v>-2.5583885111080118E-2</v>
      </c>
      <c r="M32" s="1">
        <f>[1]Results!P1392</f>
        <v>-4.3177468959454401E-2</v>
      </c>
      <c r="N32" s="1">
        <f>[1]Results!Q1392</f>
        <v>-6.1477546282184825E-2</v>
      </c>
      <c r="O32" s="1">
        <f>[1]Results!R1392</f>
        <v>-7.825091865506506E-2</v>
      </c>
      <c r="P32" s="1">
        <f>[1]Results!S1392</f>
        <v>-9.2751534600998831E-2</v>
      </c>
      <c r="Q32" s="1">
        <f>[1]Results!T1392</f>
        <v>-0.10448188563305649</v>
      </c>
      <c r="R32" s="1">
        <f>[1]Results!U1392</f>
        <v>-0.11307392570406583</v>
      </c>
      <c r="S32" s="1">
        <f>[1]Results!V1392</f>
        <v>-0.11824959929781498</v>
      </c>
      <c r="T32" s="1">
        <f>[1]Results!W1392</f>
        <v>-0.11963301686384087</v>
      </c>
      <c r="U32" s="1">
        <f>[1]Results!X1392</f>
        <v>-0.11731015365828945</v>
      </c>
      <c r="V32" s="1">
        <f>[1]Results!Y1392</f>
        <v>-0.11147656700930497</v>
      </c>
      <c r="W32" s="1">
        <f>[1]Results!Z1392</f>
        <v>-0.10283615955036796</v>
      </c>
      <c r="X32" s="1">
        <f>[1]Results!AA1392</f>
        <v>-9.0316484929897634E-2</v>
      </c>
      <c r="Y32" s="1">
        <f>[1]Results!AB1392</f>
        <v>-7.509370018957684E-2</v>
      </c>
      <c r="Z32" s="1">
        <f>[1]Results!AC1392</f>
        <v>-5.7392914625231661E-2</v>
      </c>
      <c r="AA32" s="1">
        <f>[1]Results!AD1392</f>
        <v>-3.7433575699152399E-2</v>
      </c>
      <c r="AB32" s="1">
        <f>[1]Results!AE1392</f>
        <v>-1.6771745344700939E-2</v>
      </c>
      <c r="AC32" s="1">
        <f>[1]Results!AF1392</f>
        <v>7.4057368966258252E-3</v>
      </c>
      <c r="AD32" s="1">
        <f>[1]Results!AG1392</f>
        <v>3.3055623780853249E-2</v>
      </c>
      <c r="AE32" s="1">
        <f>[1]Results!AH1392</f>
        <v>5.9803338108521675E-2</v>
      </c>
      <c r="AF32" s="1">
        <f>[1]Results!AI1392</f>
        <v>8.7397012195633117E-2</v>
      </c>
      <c r="AG32" s="1">
        <f>[1]Results!AJ1392</f>
        <v>0.1156158767638864</v>
      </c>
      <c r="AH32" s="1">
        <f>[1]Results!AK1392</f>
        <v>0.14428474129017888</v>
      </c>
      <c r="AI32" s="1">
        <f>[1]Results!AL1392</f>
        <v>0.17308985470984029</v>
      </c>
      <c r="AJ32" s="1">
        <f>[1]Results!AM1392</f>
        <v>0.20179271535175625</v>
      </c>
      <c r="AK32" s="1">
        <f>[1]Results!AN1392</f>
        <v>0.23017024555679289</v>
      </c>
      <c r="AL32" s="1">
        <f>[1]Results!AO1392</f>
        <v>0.2580028430425263</v>
      </c>
      <c r="AM32" s="1">
        <f>[1]Results!AP1392</f>
        <v>0.28540201488086492</v>
      </c>
      <c r="AN32" s="1">
        <f>[1]Results!AQ1392</f>
        <v>0.31198672879825207</v>
      </c>
      <c r="AO32" s="1">
        <f>[1]Results!AR1392</f>
        <v>0.33750325103468759</v>
      </c>
      <c r="AP32" s="1">
        <f>[1]Results!AS1392</f>
        <v>0.36188595290743697</v>
      </c>
      <c r="AQ32" s="1">
        <f>[1]Results!AT1392</f>
        <v>0.3850979662435976</v>
      </c>
      <c r="AR32" s="1">
        <f>[1]Results!AU1392</f>
        <v>0.4071883772083007</v>
      </c>
      <c r="AS32" s="1">
        <f>[1]Results!AV1392</f>
        <v>0.42796123915174134</v>
      </c>
      <c r="AT32" s="1">
        <f>[1]Results!AW1392</f>
        <v>0.44732261555374686</v>
      </c>
      <c r="AU32" s="1">
        <f>[1]Results!AX1392</f>
        <v>0.46520472296314219</v>
      </c>
      <c r="AV32" s="1">
        <f>[1]Results!AY1392</f>
        <v>0.48154291556160667</v>
      </c>
      <c r="AW32" s="1">
        <f>[1]Results!AZ1392</f>
        <v>0.49668278700761848</v>
      </c>
      <c r="AX32" s="1">
        <f>[1]Results!BA1392</f>
        <v>0.51010489817707683</v>
      </c>
      <c r="AY32" s="1">
        <f>[1]Results!BB1392</f>
        <v>0.52172794242463194</v>
      </c>
      <c r="AZ32" s="1">
        <f>[1]Results!BC1392</f>
        <v>0.53158316171678743</v>
      </c>
      <c r="BA32" s="1">
        <f>[1]Results!BD1392</f>
        <v>0.53971597056009557</v>
      </c>
      <c r="BB32" s="1">
        <f>[1]Results!BE1392</f>
        <v>0.54642428963742562</v>
      </c>
      <c r="BC32" s="1">
        <f>[1]Results!BF1392</f>
        <v>0.55146223992587107</v>
      </c>
      <c r="BD32" s="1">
        <f>[1]Results!BG1392</f>
        <v>0.5548092060020271</v>
      </c>
      <c r="BE32" s="1">
        <f>[1]Results!BH1392</f>
        <v>0.55651255211543971</v>
      </c>
      <c r="BF32" s="1">
        <f>[1]Results!BI1392</f>
        <v>0.55663148335911483</v>
      </c>
    </row>
    <row r="33" spans="1:58" x14ac:dyDescent="0.35">
      <c r="A33" s="3" t="str">
        <f>[1]Results!E1393</f>
        <v>100*(MPS_n_2-MPS_n_0)</v>
      </c>
      <c r="B33" t="str">
        <f>[1]Results!C1393</f>
        <v>Taux d'épargne</v>
      </c>
      <c r="C33" s="1">
        <f>[1]Results!F1393</f>
        <v>0</v>
      </c>
      <c r="D33" s="1">
        <f>[1]Results!G1393</f>
        <v>0</v>
      </c>
      <c r="E33" s="1">
        <f>[1]Results!H1393</f>
        <v>0</v>
      </c>
      <c r="F33" s="1">
        <f>[1]Results!I1393</f>
        <v>0</v>
      </c>
      <c r="G33" s="1">
        <f>[1]Results!J1393</f>
        <v>0</v>
      </c>
      <c r="H33" s="1">
        <f>[1]Results!K1393</f>
        <v>0</v>
      </c>
      <c r="I33" s="1">
        <f>[1]Results!L1393</f>
        <v>0</v>
      </c>
      <c r="J33" s="1">
        <f>[1]Results!M1393</f>
        <v>0</v>
      </c>
      <c r="K33" s="1">
        <f>[1]Results!N1393</f>
        <v>0</v>
      </c>
      <c r="L33" s="1">
        <f>[1]Results!O1393</f>
        <v>0</v>
      </c>
      <c r="M33" s="1">
        <f>[1]Results!P1393</f>
        <v>0</v>
      </c>
      <c r="N33" s="1">
        <f>[1]Results!Q1393</f>
        <v>0</v>
      </c>
      <c r="O33" s="1">
        <f>[1]Results!R1393</f>
        <v>0</v>
      </c>
      <c r="P33" s="1">
        <f>[1]Results!S1393</f>
        <v>0</v>
      </c>
      <c r="Q33" s="1">
        <f>[1]Results!T1393</f>
        <v>0</v>
      </c>
      <c r="R33" s="1">
        <f>[1]Results!U1393</f>
        <v>0</v>
      </c>
      <c r="S33" s="1">
        <f>[1]Results!V1393</f>
        <v>0</v>
      </c>
      <c r="T33" s="1">
        <f>[1]Results!W1393</f>
        <v>0</v>
      </c>
      <c r="U33" s="1">
        <f>[1]Results!X1393</f>
        <v>0</v>
      </c>
      <c r="V33" s="1">
        <f>[1]Results!Y1393</f>
        <v>0</v>
      </c>
      <c r="W33" s="1">
        <f>[1]Results!Z1393</f>
        <v>0</v>
      </c>
      <c r="X33" s="1">
        <f>[1]Results!AA1393</f>
        <v>0</v>
      </c>
      <c r="Y33" s="1">
        <f>[1]Results!AB1393</f>
        <v>0</v>
      </c>
      <c r="Z33" s="1">
        <f>[1]Results!AC1393</f>
        <v>0</v>
      </c>
      <c r="AA33" s="1">
        <f>[1]Results!AD1393</f>
        <v>0</v>
      </c>
      <c r="AB33" s="1">
        <f>[1]Results!AE1393</f>
        <v>0</v>
      </c>
      <c r="AC33" s="1">
        <f>[1]Results!AF1393</f>
        <v>0</v>
      </c>
      <c r="AD33" s="1">
        <f>[1]Results!AG1393</f>
        <v>0</v>
      </c>
      <c r="AE33" s="1">
        <f>[1]Results!AH1393</f>
        <v>0</v>
      </c>
      <c r="AF33" s="1">
        <f>[1]Results!AI1393</f>
        <v>0</v>
      </c>
      <c r="AG33" s="1">
        <f>[1]Results!AJ1393</f>
        <v>0</v>
      </c>
      <c r="AH33" s="1">
        <f>[1]Results!AK1393</f>
        <v>0</v>
      </c>
      <c r="AI33" s="1">
        <f>[1]Results!AL1393</f>
        <v>0</v>
      </c>
      <c r="AJ33" s="1">
        <f>[1]Results!AM1393</f>
        <v>0</v>
      </c>
      <c r="AK33" s="1">
        <f>[1]Results!AN1393</f>
        <v>0</v>
      </c>
      <c r="AL33" s="1">
        <f>[1]Results!AO1393</f>
        <v>0</v>
      </c>
      <c r="AM33" s="1">
        <f>[1]Results!AP1393</f>
        <v>0</v>
      </c>
      <c r="AN33" s="1">
        <f>[1]Results!AQ1393</f>
        <v>0</v>
      </c>
      <c r="AO33" s="1">
        <f>[1]Results!AR1393</f>
        <v>0</v>
      </c>
      <c r="AP33" s="1">
        <f>[1]Results!AS1393</f>
        <v>0</v>
      </c>
      <c r="AQ33" s="1">
        <f>[1]Results!AT1393</f>
        <v>0</v>
      </c>
      <c r="AR33" s="1">
        <f>[1]Results!AU1393</f>
        <v>0</v>
      </c>
      <c r="AS33" s="1">
        <f>[1]Results!AV1393</f>
        <v>0</v>
      </c>
      <c r="AT33" s="1">
        <f>[1]Results!AW1393</f>
        <v>0</v>
      </c>
      <c r="AU33" s="1">
        <f>[1]Results!AX1393</f>
        <v>0</v>
      </c>
      <c r="AV33" s="1">
        <f>[1]Results!AY1393</f>
        <v>0</v>
      </c>
      <c r="AW33" s="1">
        <f>[1]Results!AZ1393</f>
        <v>0</v>
      </c>
      <c r="AX33" s="1">
        <f>[1]Results!BA1393</f>
        <v>0</v>
      </c>
      <c r="AY33" s="1">
        <f>[1]Results!BB1393</f>
        <v>0</v>
      </c>
      <c r="AZ33" s="1">
        <f>[1]Results!BC1393</f>
        <v>0</v>
      </c>
      <c r="BA33" s="1">
        <f>[1]Results!BD1393</f>
        <v>0</v>
      </c>
      <c r="BB33" s="1">
        <f>[1]Results!BE1393</f>
        <v>0</v>
      </c>
      <c r="BC33" s="1">
        <f>[1]Results!BF1393</f>
        <v>0</v>
      </c>
      <c r="BD33" s="1">
        <f>[1]Results!BG1393</f>
        <v>0</v>
      </c>
      <c r="BE33" s="1">
        <f>[1]Results!BH1393</f>
        <v>0</v>
      </c>
      <c r="BF33" s="1">
        <f>[1]Results!BI1393</f>
        <v>0</v>
      </c>
    </row>
    <row r="34" spans="1:58" x14ac:dyDescent="0.35">
      <c r="A34" s="3" t="str">
        <f>[1]Results!E1394</f>
        <v>100*(PCH_2/PCH_0-1)</v>
      </c>
      <c r="B34" t="str">
        <f>[1]Results!C1394</f>
        <v>Prix à la consommation des ménages</v>
      </c>
      <c r="C34" s="1">
        <f>[1]Results!F1394</f>
        <v>-5.9761795128809858E-2</v>
      </c>
      <c r="D34" s="1">
        <f>[1]Results!G1394</f>
        <v>-0.16336003127429555</v>
      </c>
      <c r="E34" s="1">
        <f>[1]Results!H1394</f>
        <v>-0.28957111431080484</v>
      </c>
      <c r="F34" s="1">
        <f>[1]Results!I1394</f>
        <v>-0.43173226750422566</v>
      </c>
      <c r="G34" s="1">
        <f>[1]Results!J1394</f>
        <v>-0.58413116700628542</v>
      </c>
      <c r="H34" s="1">
        <f>[1]Results!K1394</f>
        <v>-0.74211932204776287</v>
      </c>
      <c r="I34" s="1">
        <f>[1]Results!L1394</f>
        <v>-0.90323260737712463</v>
      </c>
      <c r="J34" s="1">
        <f>[1]Results!M1394</f>
        <v>-1.0638448232932363</v>
      </c>
      <c r="K34" s="1">
        <f>[1]Results!N1394</f>
        <v>-1.2214341487624902</v>
      </c>
      <c r="L34" s="1">
        <f>[1]Results!O1394</f>
        <v>-1.3741328191788527</v>
      </c>
      <c r="M34" s="1">
        <f>[1]Results!P1394</f>
        <v>-1.519755125245692</v>
      </c>
      <c r="N34" s="1">
        <f>[1]Results!Q1394</f>
        <v>-1.6619187687824999</v>
      </c>
      <c r="O34" s="1">
        <f>[1]Results!R1394</f>
        <v>-1.7979955110623558</v>
      </c>
      <c r="P34" s="1">
        <f>[1]Results!S1394</f>
        <v>-1.9268374063109661</v>
      </c>
      <c r="Q34" s="1">
        <f>[1]Results!T1394</f>
        <v>-2.0477209933650764</v>
      </c>
      <c r="R34" s="1">
        <f>[1]Results!U1394</f>
        <v>-2.1602318467420445</v>
      </c>
      <c r="S34" s="1">
        <f>[1]Results!V1394</f>
        <v>-2.2669569548434576</v>
      </c>
      <c r="T34" s="1">
        <f>[1]Results!W1394</f>
        <v>-2.3671031182393891</v>
      </c>
      <c r="U34" s="1">
        <f>[1]Results!X1394</f>
        <v>-2.4603830500353303</v>
      </c>
      <c r="V34" s="1">
        <f>[1]Results!Y1394</f>
        <v>-2.5468381349893372</v>
      </c>
      <c r="W34" s="1">
        <f>[1]Results!Z1394</f>
        <v>-2.62736510372511</v>
      </c>
      <c r="X34" s="1">
        <f>[1]Results!AA1394</f>
        <v>-2.7007336411933758</v>
      </c>
      <c r="Y34" s="1">
        <f>[1]Results!AB1394</f>
        <v>-2.7684116096975853</v>
      </c>
      <c r="Z34" s="1">
        <f>[1]Results!AC1394</f>
        <v>-2.8309888416069295</v>
      </c>
      <c r="AA34" s="1">
        <f>[1]Results!AD1394</f>
        <v>-2.8890577007191771</v>
      </c>
      <c r="AB34" s="1">
        <f>[1]Results!AE1394</f>
        <v>-2.9449686232619894</v>
      </c>
      <c r="AC34" s="1">
        <f>[1]Results!AF1394</f>
        <v>-2.9946275466690047</v>
      </c>
      <c r="AD34" s="1">
        <f>[1]Results!AG1394</f>
        <v>-3.0404752652705813</v>
      </c>
      <c r="AE34" s="1">
        <f>[1]Results!AH1394</f>
        <v>-3.083347312090523</v>
      </c>
      <c r="AF34" s="1">
        <f>[1]Results!AI1394</f>
        <v>-3.1239002021225541</v>
      </c>
      <c r="AG34" s="1">
        <f>[1]Results!AJ1394</f>
        <v>-3.162664568340678</v>
      </c>
      <c r="AH34" s="1">
        <f>[1]Results!AK1394</f>
        <v>-3.1995673796159978</v>
      </c>
      <c r="AI34" s="1">
        <f>[1]Results!AL1394</f>
        <v>-3.2351345595306058</v>
      </c>
      <c r="AJ34" s="1">
        <f>[1]Results!AM1394</f>
        <v>-3.2697649982343147</v>
      </c>
      <c r="AK34" s="1">
        <f>[1]Results!AN1394</f>
        <v>-3.3037655621173561</v>
      </c>
      <c r="AL34" s="1">
        <f>[1]Results!AO1394</f>
        <v>-3.3373749204358649</v>
      </c>
      <c r="AM34" s="1">
        <f>[1]Results!AP1394</f>
        <v>-3.3668897560299</v>
      </c>
      <c r="AN34" s="1">
        <f>[1]Results!AQ1394</f>
        <v>-3.3932534669228414</v>
      </c>
      <c r="AO34" s="1">
        <f>[1]Results!AR1394</f>
        <v>-3.4175077852032554</v>
      </c>
      <c r="AP34" s="1">
        <f>[1]Results!AS1394</f>
        <v>-3.4404036298086194</v>
      </c>
      <c r="AQ34" s="1">
        <f>[1]Results!AT1394</f>
        <v>-3.4625206059665898</v>
      </c>
      <c r="AR34" s="1">
        <f>[1]Results!AU1394</f>
        <v>-3.4836825562723384</v>
      </c>
      <c r="AS34" s="1">
        <f>[1]Results!AV1394</f>
        <v>-3.5044703203279797</v>
      </c>
      <c r="AT34" s="1">
        <f>[1]Results!AW1394</f>
        <v>-3.5253108826629243</v>
      </c>
      <c r="AU34" s="1">
        <f>[1]Results!AX1394</f>
        <v>-3.5465190957462478</v>
      </c>
      <c r="AV34" s="1">
        <f>[1]Results!AY1394</f>
        <v>-3.5683284974540981</v>
      </c>
      <c r="AW34" s="1">
        <f>[1]Results!AZ1394</f>
        <v>-3.5888288092481235</v>
      </c>
      <c r="AX34" s="1">
        <f>[1]Results!BA1394</f>
        <v>-3.6088540823121962</v>
      </c>
      <c r="AY34" s="1">
        <f>[1]Results!BB1394</f>
        <v>-3.6289135493918545</v>
      </c>
      <c r="AZ34" s="1">
        <f>[1]Results!BC1394</f>
        <v>-3.6493510518668333</v>
      </c>
      <c r="BA34" s="1">
        <f>[1]Results!BD1394</f>
        <v>-3.6704211953417332</v>
      </c>
      <c r="BB34" s="1">
        <f>[1]Results!BE1394</f>
        <v>-3.691105600564804</v>
      </c>
      <c r="BC34" s="1">
        <f>[1]Results!BF1394</f>
        <v>-3.7119593631750769</v>
      </c>
      <c r="BD34" s="1">
        <f>[1]Results!BG1394</f>
        <v>-3.7333616979234541</v>
      </c>
      <c r="BE34" s="1">
        <f>[1]Results!BH1394</f>
        <v>-3.7555756505785687</v>
      </c>
      <c r="BF34" s="1">
        <f>[1]Results!BI1394</f>
        <v>-3.7787915146304867</v>
      </c>
    </row>
    <row r="35" spans="1:58" x14ac:dyDescent="0.35">
      <c r="A35" s="3" t="str">
        <f>[1]Results!E1395</f>
        <v>100*(PY_2/PY_0-1)</v>
      </c>
      <c r="B35" t="str">
        <f>[1]Results!C1395</f>
        <v>Prix à la production marchande</v>
      </c>
      <c r="C35" s="1">
        <f>[1]Results!F1395</f>
        <v>-1.7381569754748583E-2</v>
      </c>
      <c r="D35" s="1">
        <f>[1]Results!G1395</f>
        <v>-5.9331692906461342E-2</v>
      </c>
      <c r="E35" s="1">
        <f>[1]Results!H1395</f>
        <v>-0.12592328811790177</v>
      </c>
      <c r="F35" s="1">
        <f>[1]Results!I1395</f>
        <v>-0.21423511134430751</v>
      </c>
      <c r="G35" s="1">
        <f>[1]Results!J1395</f>
        <v>-0.32050823154913255</v>
      </c>
      <c r="H35" s="1">
        <f>[1]Results!K1395</f>
        <v>-0.44103452257573394</v>
      </c>
      <c r="I35" s="1">
        <f>[1]Results!L1395</f>
        <v>-0.5727459905957577</v>
      </c>
      <c r="J35" s="1">
        <f>[1]Results!M1395</f>
        <v>-0.71281453322590282</v>
      </c>
      <c r="K35" s="1">
        <f>[1]Results!N1395</f>
        <v>-0.85861165722661559</v>
      </c>
      <c r="L35" s="1">
        <f>[1]Results!O1395</f>
        <v>-1.0076995677146261</v>
      </c>
      <c r="M35" s="1">
        <f>[1]Results!P1395</f>
        <v>-1.1577110751841535</v>
      </c>
      <c r="N35" s="1">
        <f>[1]Results!Q1395</f>
        <v>-1.307534007164135</v>
      </c>
      <c r="O35" s="1">
        <f>[1]Results!R1395</f>
        <v>-1.4557691491061453</v>
      </c>
      <c r="P35" s="1">
        <f>[1]Results!S1395</f>
        <v>-1.6008869504465451</v>
      </c>
      <c r="Q35" s="1">
        <f>[1]Results!T1395</f>
        <v>-1.7414201654407879</v>
      </c>
      <c r="R35" s="1">
        <f>[1]Results!U1395</f>
        <v>-1.8760850881860192</v>
      </c>
      <c r="S35" s="1">
        <f>[1]Results!V1395</f>
        <v>-2.004518863130611</v>
      </c>
      <c r="T35" s="1">
        <f>[1]Results!W1395</f>
        <v>-2.1262846191448248</v>
      </c>
      <c r="U35" s="1">
        <f>[1]Results!X1395</f>
        <v>-2.2408721422753408</v>
      </c>
      <c r="V35" s="1">
        <f>[1]Results!Y1395</f>
        <v>-2.3478459087147185</v>
      </c>
      <c r="W35" s="1">
        <f>[1]Results!Z1395</f>
        <v>-2.4470651048555836</v>
      </c>
      <c r="X35" s="1">
        <f>[1]Results!AA1395</f>
        <v>-2.5382334683788033</v>
      </c>
      <c r="Y35" s="1">
        <f>[1]Results!AB1395</f>
        <v>-2.6213310557666292</v>
      </c>
      <c r="Z35" s="1">
        <f>[1]Results!AC1395</f>
        <v>-2.6965252132799322</v>
      </c>
      <c r="AA35" s="1">
        <f>[1]Results!AD1395</f>
        <v>-2.76412900451527</v>
      </c>
      <c r="AB35" s="1">
        <f>[1]Results!AE1395</f>
        <v>-2.8249966647471259</v>
      </c>
      <c r="AC35" s="1">
        <f>[1]Results!AF1395</f>
        <v>-2.879125590059306</v>
      </c>
      <c r="AD35" s="1">
        <f>[1]Results!AG1395</f>
        <v>-2.9266995622173164</v>
      </c>
      <c r="AE35" s="1">
        <f>[1]Results!AH1395</f>
        <v>-2.9681059517846609</v>
      </c>
      <c r="AF35" s="1">
        <f>[1]Results!AI1395</f>
        <v>-3.0038664767447654</v>
      </c>
      <c r="AG35" s="1">
        <f>[1]Results!AJ1395</f>
        <v>-3.0345712457749863</v>
      </c>
      <c r="AH35" s="1">
        <f>[1]Results!AK1395</f>
        <v>-3.0607425235067875</v>
      </c>
      <c r="AI35" s="1">
        <f>[1]Results!AL1395</f>
        <v>-3.0828975921302737</v>
      </c>
      <c r="AJ35" s="1">
        <f>[1]Results!AM1395</f>
        <v>-3.1015794487412207</v>
      </c>
      <c r="AK35" s="1">
        <f>[1]Results!AN1395</f>
        <v>-3.1173181340290901</v>
      </c>
      <c r="AL35" s="1">
        <f>[1]Results!AO1395</f>
        <v>-3.1306063357842251</v>
      </c>
      <c r="AM35" s="1">
        <f>[1]Results!AP1395</f>
        <v>-3.1413717759565252</v>
      </c>
      <c r="AN35" s="1">
        <f>[1]Results!AQ1395</f>
        <v>-3.1493149487278771</v>
      </c>
      <c r="AO35" s="1">
        <f>[1]Results!AR1395</f>
        <v>-3.1545152441985191</v>
      </c>
      <c r="AP35" s="1">
        <f>[1]Results!AS1395</f>
        <v>-3.1572580903421965</v>
      </c>
      <c r="AQ35" s="1">
        <f>[1]Results!AT1395</f>
        <v>-3.1579142505439139</v>
      </c>
      <c r="AR35" s="1">
        <f>[1]Results!AU1395</f>
        <v>-3.1567916228860571</v>
      </c>
      <c r="AS35" s="1">
        <f>[1]Results!AV1395</f>
        <v>-3.1541555427854528</v>
      </c>
      <c r="AT35" s="1">
        <f>[1]Results!AW1395</f>
        <v>-3.1503157927660452</v>
      </c>
      <c r="AU35" s="1">
        <f>[1]Results!AX1395</f>
        <v>-3.1455927521377269</v>
      </c>
      <c r="AV35" s="1">
        <f>[1]Results!AY1395</f>
        <v>-3.1402943695273189</v>
      </c>
      <c r="AW35" s="1">
        <f>[1]Results!AZ1395</f>
        <v>-3.1344759557853541</v>
      </c>
      <c r="AX35" s="1">
        <f>[1]Results!BA1395</f>
        <v>-3.1280255009203506</v>
      </c>
      <c r="AY35" s="1">
        <f>[1]Results!BB1395</f>
        <v>-3.1210269612402586</v>
      </c>
      <c r="AZ35" s="1">
        <f>[1]Results!BC1395</f>
        <v>-3.1136705973460632</v>
      </c>
      <c r="BA35" s="1">
        <f>[1]Results!BD1395</f>
        <v>-3.1061843716426951</v>
      </c>
      <c r="BB35" s="1">
        <f>[1]Results!BE1395</f>
        <v>-3.0986886816687265</v>
      </c>
      <c r="BC35" s="1">
        <f>[1]Results!BF1395</f>
        <v>-3.0911751934369347</v>
      </c>
      <c r="BD35" s="1">
        <f>[1]Results!BG1395</f>
        <v>-3.0837441036552282</v>
      </c>
      <c r="BE35" s="1">
        <f>[1]Results!BH1395</f>
        <v>-3.0765559141219923</v>
      </c>
      <c r="BF35" s="1">
        <f>[1]Results!BI1395</f>
        <v>-3.0697926837024547</v>
      </c>
    </row>
    <row r="36" spans="1:58" x14ac:dyDescent="0.35">
      <c r="A36" s="3" t="str">
        <f>[1]Results!E1396</f>
        <v>100*(PX_2/PX_0-1)</v>
      </c>
      <c r="B36" t="str">
        <f>[1]Results!C1396</f>
        <v>Prix des exportations</v>
      </c>
      <c r="C36" s="1">
        <f>[1]Results!F1396</f>
        <v>-2.1212469591003202E-2</v>
      </c>
      <c r="D36" s="1">
        <f>[1]Results!G1396</f>
        <v>-6.6471366322773395E-2</v>
      </c>
      <c r="E36" s="1">
        <f>[1]Results!H1396</f>
        <v>-0.13220268966540605</v>
      </c>
      <c r="F36" s="1">
        <f>[1]Results!I1396</f>
        <v>-0.21425422313567921</v>
      </c>
      <c r="G36" s="1">
        <f>[1]Results!J1396</f>
        <v>-0.30886088486962171</v>
      </c>
      <c r="H36" s="1">
        <f>[1]Results!K1396</f>
        <v>-0.41291514834423948</v>
      </c>
      <c r="I36" s="1">
        <f>[1]Results!L1396</f>
        <v>-0.52421080991774671</v>
      </c>
      <c r="J36" s="1">
        <f>[1]Results!M1396</f>
        <v>-0.6407063210699171</v>
      </c>
      <c r="K36" s="1">
        <f>[1]Results!N1396</f>
        <v>-0.76052003563367165</v>
      </c>
      <c r="L36" s="1">
        <f>[1]Results!O1396</f>
        <v>-0.88190146087522292</v>
      </c>
      <c r="M36" s="1">
        <f>[1]Results!P1396</f>
        <v>-1.0031450211390291</v>
      </c>
      <c r="N36" s="1">
        <f>[1]Results!Q1396</f>
        <v>-1.1238210664906934</v>
      </c>
      <c r="O36" s="1">
        <f>[1]Results!R1396</f>
        <v>-1.2427812194089616</v>
      </c>
      <c r="P36" s="1">
        <f>[1]Results!S1396</f>
        <v>-1.3587406962817794</v>
      </c>
      <c r="Q36" s="1">
        <f>[1]Results!T1396</f>
        <v>-1.4705193803811745</v>
      </c>
      <c r="R36" s="1">
        <f>[1]Results!U1396</f>
        <v>-1.5771312071265919</v>
      </c>
      <c r="S36" s="1">
        <f>[1]Results!V1396</f>
        <v>-1.6787116344734065</v>
      </c>
      <c r="T36" s="1">
        <f>[1]Results!W1396</f>
        <v>-1.7748390448572238</v>
      </c>
      <c r="U36" s="1">
        <f>[1]Results!X1396</f>
        <v>-1.8650284948399043</v>
      </c>
      <c r="V36" s="1">
        <f>[1]Results!Y1396</f>
        <v>-1.9489155106312994</v>
      </c>
      <c r="W36" s="1">
        <f>[1]Results!Z1396</f>
        <v>-2.0264036206060099</v>
      </c>
      <c r="X36" s="1">
        <f>[1]Results!AA1396</f>
        <v>-2.0973375809479666</v>
      </c>
      <c r="Y36" s="1">
        <f>[1]Results!AB1396</f>
        <v>-2.1617407991217918</v>
      </c>
      <c r="Z36" s="1">
        <f>[1]Results!AC1396</f>
        <v>-2.219792900401496</v>
      </c>
      <c r="AA36" s="1">
        <f>[1]Results!AD1396</f>
        <v>-2.2717874662214532</v>
      </c>
      <c r="AB36" s="1">
        <f>[1]Results!AE1396</f>
        <v>-2.3184176430641745</v>
      </c>
      <c r="AC36" s="1">
        <f>[1]Results!AF1396</f>
        <v>-2.3596620290594728</v>
      </c>
      <c r="AD36" s="1">
        <f>[1]Results!AG1396</f>
        <v>-2.3957385610285931</v>
      </c>
      <c r="AE36" s="1">
        <f>[1]Results!AH1396</f>
        <v>-2.4270113705009866</v>
      </c>
      <c r="AF36" s="1">
        <f>[1]Results!AI1396</f>
        <v>-2.4539225526230335</v>
      </c>
      <c r="AG36" s="1">
        <f>[1]Results!AJ1396</f>
        <v>-2.4769510100125847</v>
      </c>
      <c r="AH36" s="1">
        <f>[1]Results!AK1396</f>
        <v>-2.4964455153090537</v>
      </c>
      <c r="AI36" s="1">
        <f>[1]Results!AL1396</f>
        <v>-2.512845522109608</v>
      </c>
      <c r="AJ36" s="1">
        <f>[1]Results!AM1396</f>
        <v>-2.5266083721750654</v>
      </c>
      <c r="AK36" s="1">
        <f>[1]Results!AN1396</f>
        <v>-2.5381680913532212</v>
      </c>
      <c r="AL36" s="1">
        <f>[1]Results!AO1396</f>
        <v>-2.5479189287011206</v>
      </c>
      <c r="AM36" s="1">
        <f>[1]Results!AP1396</f>
        <v>-2.5552337451005824</v>
      </c>
      <c r="AN36" s="1">
        <f>[1]Results!AQ1396</f>
        <v>-2.5601370287223868</v>
      </c>
      <c r="AO36" s="1">
        <f>[1]Results!AR1396</f>
        <v>-2.5629273792642793</v>
      </c>
      <c r="AP36" s="1">
        <f>[1]Results!AS1396</f>
        <v>-2.5639524198827535</v>
      </c>
      <c r="AQ36" s="1">
        <f>[1]Results!AT1396</f>
        <v>-2.5635444721479606</v>
      </c>
      <c r="AR36" s="1">
        <f>[1]Results!AU1396</f>
        <v>-2.5618559825592691</v>
      </c>
      <c r="AS36" s="1">
        <f>[1]Results!AV1396</f>
        <v>-2.5591098871051043</v>
      </c>
      <c r="AT36" s="1">
        <f>[1]Results!AW1396</f>
        <v>-2.5555586353987914</v>
      </c>
      <c r="AU36" s="1">
        <f>[1]Results!AX1396</f>
        <v>-2.5514504740358102</v>
      </c>
      <c r="AV36" s="1">
        <f>[1]Results!AY1396</f>
        <v>-2.5470163331733131</v>
      </c>
      <c r="AW36" s="1">
        <f>[1]Results!AZ1396</f>
        <v>-2.5420135425032298</v>
      </c>
      <c r="AX36" s="1">
        <f>[1]Results!BA1396</f>
        <v>-2.5364558091331646</v>
      </c>
      <c r="AY36" s="1">
        <f>[1]Results!BB1396</f>
        <v>-2.5305074087796808</v>
      </c>
      <c r="AZ36" s="1">
        <f>[1]Results!BC1396</f>
        <v>-2.5243693351067353</v>
      </c>
      <c r="BA36" s="1">
        <f>[1]Results!BD1396</f>
        <v>-2.5182366587283123</v>
      </c>
      <c r="BB36" s="1">
        <f>[1]Results!BE1396</f>
        <v>-2.5120402829402644</v>
      </c>
      <c r="BC36" s="1">
        <f>[1]Results!BF1396</f>
        <v>-2.5058278521050248</v>
      </c>
      <c r="BD36" s="1">
        <f>[1]Results!BG1396</f>
        <v>-2.4997264561508525</v>
      </c>
      <c r="BE36" s="1">
        <f>[1]Results!BH1396</f>
        <v>-2.493882750321319</v>
      </c>
      <c r="BF36" s="1">
        <f>[1]Results!BI1396</f>
        <v>-2.4884404504383562</v>
      </c>
    </row>
    <row r="37" spans="1:58" x14ac:dyDescent="0.35">
      <c r="A37" s="3" t="str">
        <f>[1]Results!E1397</f>
        <v>100*(PM_2/PM_0-1)</v>
      </c>
      <c r="B37" t="str">
        <f>[1]Results!C1397</f>
        <v>Prix des importations</v>
      </c>
      <c r="C37" s="1">
        <f>[1]Results!F1397</f>
        <v>0</v>
      </c>
      <c r="D37" s="1">
        <f>[1]Results!G1397</f>
        <v>0</v>
      </c>
      <c r="E37" s="1">
        <f>[1]Results!H1397</f>
        <v>0</v>
      </c>
      <c r="F37" s="1">
        <f>[1]Results!I1397</f>
        <v>0</v>
      </c>
      <c r="G37" s="1">
        <f>[1]Results!J1397</f>
        <v>0</v>
      </c>
      <c r="H37" s="1">
        <f>[1]Results!K1397</f>
        <v>0</v>
      </c>
      <c r="I37" s="1">
        <f>[1]Results!L1397</f>
        <v>0</v>
      </c>
      <c r="J37" s="1">
        <f>[1]Results!M1397</f>
        <v>0</v>
      </c>
      <c r="K37" s="1">
        <f>[1]Results!N1397</f>
        <v>0</v>
      </c>
      <c r="L37" s="1">
        <f>[1]Results!O1397</f>
        <v>0</v>
      </c>
      <c r="M37" s="1">
        <f>[1]Results!P1397</f>
        <v>0</v>
      </c>
      <c r="N37" s="1">
        <f>[1]Results!Q1397</f>
        <v>0</v>
      </c>
      <c r="O37" s="1">
        <f>[1]Results!R1397</f>
        <v>0</v>
      </c>
      <c r="P37" s="1">
        <f>[1]Results!S1397</f>
        <v>0</v>
      </c>
      <c r="Q37" s="1">
        <f>[1]Results!T1397</f>
        <v>0</v>
      </c>
      <c r="R37" s="1">
        <f>[1]Results!U1397</f>
        <v>0</v>
      </c>
      <c r="S37" s="1">
        <f>[1]Results!V1397</f>
        <v>0</v>
      </c>
      <c r="T37" s="1">
        <f>[1]Results!W1397</f>
        <v>0</v>
      </c>
      <c r="U37" s="1">
        <f>[1]Results!X1397</f>
        <v>0</v>
      </c>
      <c r="V37" s="1">
        <f>[1]Results!Y1397</f>
        <v>0</v>
      </c>
      <c r="W37" s="1">
        <f>[1]Results!Z1397</f>
        <v>0</v>
      </c>
      <c r="X37" s="1">
        <f>[1]Results!AA1397</f>
        <v>0</v>
      </c>
      <c r="Y37" s="1">
        <f>[1]Results!AB1397</f>
        <v>0</v>
      </c>
      <c r="Z37" s="1">
        <f>[1]Results!AC1397</f>
        <v>0</v>
      </c>
      <c r="AA37" s="1">
        <f>[1]Results!AD1397</f>
        <v>0</v>
      </c>
      <c r="AB37" s="1">
        <f>[1]Results!AE1397</f>
        <v>0</v>
      </c>
      <c r="AC37" s="1">
        <f>[1]Results!AF1397</f>
        <v>0</v>
      </c>
      <c r="AD37" s="1">
        <f>[1]Results!AG1397</f>
        <v>0</v>
      </c>
      <c r="AE37" s="1">
        <f>[1]Results!AH1397</f>
        <v>0</v>
      </c>
      <c r="AF37" s="1">
        <f>[1]Results!AI1397</f>
        <v>0</v>
      </c>
      <c r="AG37" s="1">
        <f>[1]Results!AJ1397</f>
        <v>0</v>
      </c>
      <c r="AH37" s="1">
        <f>[1]Results!AK1397</f>
        <v>0</v>
      </c>
      <c r="AI37" s="1">
        <f>[1]Results!AL1397</f>
        <v>0</v>
      </c>
      <c r="AJ37" s="1">
        <f>[1]Results!AM1397</f>
        <v>0</v>
      </c>
      <c r="AK37" s="1">
        <f>[1]Results!AN1397</f>
        <v>0</v>
      </c>
      <c r="AL37" s="1">
        <f>[1]Results!AO1397</f>
        <v>0</v>
      </c>
      <c r="AM37" s="1">
        <f>[1]Results!AP1397</f>
        <v>0</v>
      </c>
      <c r="AN37" s="1">
        <f>[1]Results!AQ1397</f>
        <v>0</v>
      </c>
      <c r="AO37" s="1">
        <f>[1]Results!AR1397</f>
        <v>0</v>
      </c>
      <c r="AP37" s="1">
        <f>[1]Results!AS1397</f>
        <v>0</v>
      </c>
      <c r="AQ37" s="1">
        <f>[1]Results!AT1397</f>
        <v>0</v>
      </c>
      <c r="AR37" s="1">
        <f>[1]Results!AU1397</f>
        <v>0</v>
      </c>
      <c r="AS37" s="1">
        <f>[1]Results!AV1397</f>
        <v>0</v>
      </c>
      <c r="AT37" s="1">
        <f>[1]Results!AW1397</f>
        <v>0</v>
      </c>
      <c r="AU37" s="1">
        <f>[1]Results!AX1397</f>
        <v>0</v>
      </c>
      <c r="AV37" s="1">
        <f>[1]Results!AY1397</f>
        <v>0</v>
      </c>
      <c r="AW37" s="1">
        <f>[1]Results!AZ1397</f>
        <v>0</v>
      </c>
      <c r="AX37" s="1">
        <f>[1]Results!BA1397</f>
        <v>0</v>
      </c>
      <c r="AY37" s="1">
        <f>[1]Results!BB1397</f>
        <v>0</v>
      </c>
      <c r="AZ37" s="1">
        <f>[1]Results!BC1397</f>
        <v>0</v>
      </c>
      <c r="BA37" s="1">
        <f>[1]Results!BD1397</f>
        <v>0</v>
      </c>
      <c r="BB37" s="1">
        <f>[1]Results!BE1397</f>
        <v>0</v>
      </c>
      <c r="BC37" s="1">
        <f>[1]Results!BF1397</f>
        <v>0</v>
      </c>
      <c r="BD37" s="1">
        <f>[1]Results!BG1397</f>
        <v>0</v>
      </c>
      <c r="BE37" s="1">
        <f>[1]Results!BH1397</f>
        <v>0</v>
      </c>
      <c r="BF37" s="1">
        <f>[1]Results!BI1397</f>
        <v>0</v>
      </c>
    </row>
    <row r="38" spans="1:58" x14ac:dyDescent="0.35">
      <c r="A38" s="3" t="str">
        <f>[1]Results!E1398</f>
        <v>100*(W_2/W_0-1)</v>
      </c>
      <c r="B38" t="str">
        <f>[1]Results!C1398</f>
        <v>Salaire net nominal (hors cotisations employeurs et employés, unitaire)</v>
      </c>
      <c r="C38" s="1">
        <f>[1]Results!F1398</f>
        <v>-1.51863600261537E-2</v>
      </c>
      <c r="D38" s="1">
        <f>[1]Results!G1398</f>
        <v>-5.0358539049677464E-2</v>
      </c>
      <c r="E38" s="1">
        <f>[1]Results!H1398</f>
        <v>-0.10847615167478564</v>
      </c>
      <c r="F38" s="1">
        <f>[1]Results!I1398</f>
        <v>-0.1908588808335665</v>
      </c>
      <c r="G38" s="1">
        <f>[1]Results!J1398</f>
        <v>-0.29678888425178629</v>
      </c>
      <c r="H38" s="1">
        <f>[1]Results!K1398</f>
        <v>-0.4240018206699725</v>
      </c>
      <c r="I38" s="1">
        <f>[1]Results!L1398</f>
        <v>-0.56961044898338198</v>
      </c>
      <c r="J38" s="1">
        <f>[1]Results!M1398</f>
        <v>-0.73011779392821996</v>
      </c>
      <c r="K38" s="1">
        <f>[1]Results!N1398</f>
        <v>-0.90202912148457104</v>
      </c>
      <c r="L38" s="1">
        <f>[1]Results!O1398</f>
        <v>-1.0820387237604923</v>
      </c>
      <c r="M38" s="1">
        <f>[1]Results!P1398</f>
        <v>-1.266927290017017</v>
      </c>
      <c r="N38" s="1">
        <f>[1]Results!Q1398</f>
        <v>-1.4550604997801586</v>
      </c>
      <c r="O38" s="1">
        <f>[1]Results!R1398</f>
        <v>-1.6441424374791014</v>
      </c>
      <c r="P38" s="1">
        <f>[1]Results!S1398</f>
        <v>-1.832165021583132</v>
      </c>
      <c r="Q38" s="1">
        <f>[1]Results!T1398</f>
        <v>-2.0173373903339176</v>
      </c>
      <c r="R38" s="1">
        <f>[1]Results!U1398</f>
        <v>-2.1980579028784364</v>
      </c>
      <c r="S38" s="1">
        <f>[1]Results!V1398</f>
        <v>-2.3736973645702042</v>
      </c>
      <c r="T38" s="1">
        <f>[1]Results!W1398</f>
        <v>-2.5432431947191914</v>
      </c>
      <c r="U38" s="1">
        <f>[1]Results!X1398</f>
        <v>-2.7058718232963241</v>
      </c>
      <c r="V38" s="1">
        <f>[1]Results!Y1398</f>
        <v>-2.8609291695812944</v>
      </c>
      <c r="W38" s="1">
        <f>[1]Results!Z1398</f>
        <v>-3.0081138593099577</v>
      </c>
      <c r="X38" s="1">
        <f>[1]Results!AA1398</f>
        <v>-3.146745124431749</v>
      </c>
      <c r="Y38" s="1">
        <f>[1]Results!AB1398</f>
        <v>-3.2767344822523303</v>
      </c>
      <c r="Z38" s="1">
        <f>[1]Results!AC1398</f>
        <v>-3.3981006573482131</v>
      </c>
      <c r="AA38" s="1">
        <f>[1]Results!AD1398</f>
        <v>-3.510994826494207</v>
      </c>
      <c r="AB38" s="1">
        <f>[1]Results!AE1398</f>
        <v>-3.6162890108339285</v>
      </c>
      <c r="AC38" s="1">
        <f>[1]Results!AF1398</f>
        <v>-3.7133173917665463</v>
      </c>
      <c r="AD38" s="1">
        <f>[1]Results!AG1398</f>
        <v>-3.8025796210358509</v>
      </c>
      <c r="AE38" s="1">
        <f>[1]Results!AH1398</f>
        <v>-3.8845843448193085</v>
      </c>
      <c r="AF38" s="1">
        <f>[1]Results!AI1398</f>
        <v>-3.9598712661215063</v>
      </c>
      <c r="AG38" s="1">
        <f>[1]Results!AJ1398</f>
        <v>-4.0290204745049074</v>
      </c>
      <c r="AH38" s="1">
        <f>[1]Results!AK1398</f>
        <v>-4.0924886356894952</v>
      </c>
      <c r="AI38" s="1">
        <f>[1]Results!AL1398</f>
        <v>-4.1508855149273156</v>
      </c>
      <c r="AJ38" s="1">
        <f>[1]Results!AM1398</f>
        <v>-4.2048157120024188</v>
      </c>
      <c r="AK38" s="1">
        <f>[1]Results!AN1398</f>
        <v>-4.2548670822586736</v>
      </c>
      <c r="AL38" s="1">
        <f>[1]Results!AO1398</f>
        <v>-4.3015992350613157</v>
      </c>
      <c r="AM38" s="1">
        <f>[1]Results!AP1398</f>
        <v>-4.3443562551506059</v>
      </c>
      <c r="AN38" s="1">
        <f>[1]Results!AQ1398</f>
        <v>-4.3834084344368973</v>
      </c>
      <c r="AO38" s="1">
        <f>[1]Results!AR1398</f>
        <v>-4.4190305325669037</v>
      </c>
      <c r="AP38" s="1">
        <f>[1]Results!AS1398</f>
        <v>-4.4515106661638715</v>
      </c>
      <c r="AQ38" s="1">
        <f>[1]Results!AT1398</f>
        <v>-4.4811733436883605</v>
      </c>
      <c r="AR38" s="1">
        <f>[1]Results!AU1398</f>
        <v>-4.508171854526843</v>
      </c>
      <c r="AS38" s="1">
        <f>[1]Results!AV1398</f>
        <v>-4.5328756797983534</v>
      </c>
      <c r="AT38" s="1">
        <f>[1]Results!AW1398</f>
        <v>-4.555650860206728</v>
      </c>
      <c r="AU38" s="1">
        <f>[1]Results!AX1398</f>
        <v>-4.5768526348907379</v>
      </c>
      <c r="AV38" s="1">
        <f>[1]Results!AY1398</f>
        <v>-4.5968211696605588</v>
      </c>
      <c r="AW38" s="1">
        <f>[1]Results!AZ1398</f>
        <v>-4.6151852112767404</v>
      </c>
      <c r="AX38" s="1">
        <f>[1]Results!BA1398</f>
        <v>-4.632233429443211</v>
      </c>
      <c r="AY38" s="1">
        <f>[1]Results!BB1398</f>
        <v>-4.6481944480240012</v>
      </c>
      <c r="AZ38" s="1">
        <f>[1]Results!BC1398</f>
        <v>-4.6632702745107562</v>
      </c>
      <c r="BA38" s="1">
        <f>[1]Results!BD1398</f>
        <v>-4.6776632501034481</v>
      </c>
      <c r="BB38" s="1">
        <f>[1]Results!BE1398</f>
        <v>-4.691174304387169</v>
      </c>
      <c r="BC38" s="1">
        <f>[1]Results!BF1398</f>
        <v>-4.7040196141258424</v>
      </c>
      <c r="BD38" s="1">
        <f>[1]Results!BG1398</f>
        <v>-4.7163935715965337</v>
      </c>
      <c r="BE38" s="1">
        <f>[1]Results!BH1398</f>
        <v>-4.7284800613274331</v>
      </c>
      <c r="BF38" s="1">
        <f>[1]Results!BI1398</f>
        <v>-4.7404639951163174</v>
      </c>
    </row>
    <row r="39" spans="1:58" x14ac:dyDescent="0.35">
      <c r="A39" s="3" t="str">
        <f>[1]Results!E1399</f>
        <v>100*((W_2/PCH_2)/(W_0/PCH_0)-1)</v>
      </c>
      <c r="B39" t="str">
        <f>[1]Results!C1399</f>
        <v>Salaire net réel (hors cotisations employeurs et employés, unitaire)</v>
      </c>
      <c r="C39" s="1">
        <f>[1]Results!F1399</f>
        <v>-1.6373212338494092E-3</v>
      </c>
      <c r="D39" s="1">
        <f>[1]Results!G1399</f>
        <v>-3.4457414811339682E-3</v>
      </c>
      <c r="E39" s="1">
        <f>[1]Results!H1399</f>
        <v>-8.3099707010925172E-3</v>
      </c>
      <c r="F39" s="1">
        <f>[1]Results!I1399</f>
        <v>-1.9736459854868826E-2</v>
      </c>
      <c r="G39" s="1">
        <f>[1]Results!J1399</f>
        <v>-3.9875026667202107E-2</v>
      </c>
      <c r="H39" s="1">
        <f>[1]Results!K1399</f>
        <v>-6.9324378882729132E-2</v>
      </c>
      <c r="I39" s="1">
        <f>[1]Results!L1399</f>
        <v>-0.10762247216034027</v>
      </c>
      <c r="J39" s="1">
        <f>[1]Results!M1399</f>
        <v>-0.15354592109806386</v>
      </c>
      <c r="K39" s="1">
        <f>[1]Results!N1399</f>
        <v>-0.205765626518295</v>
      </c>
      <c r="L39" s="1">
        <f>[1]Results!O1399</f>
        <v>-0.26301687700336362</v>
      </c>
      <c r="M39" s="1">
        <f>[1]Results!P1399</f>
        <v>-0.32407716914264473</v>
      </c>
      <c r="N39" s="1">
        <f>[1]Results!Q1399</f>
        <v>-0.3883482028759766</v>
      </c>
      <c r="O39" s="1">
        <f>[1]Results!R1399</f>
        <v>-0.45471183018018779</v>
      </c>
      <c r="P39" s="1">
        <f>[1]Results!S1399</f>
        <v>-0.52245945200590782</v>
      </c>
      <c r="Q39" s="1">
        <f>[1]Results!T1399</f>
        <v>-0.59104144998491925</v>
      </c>
      <c r="R39" s="1">
        <f>[1]Results!U1399</f>
        <v>-0.65994234306973043</v>
      </c>
      <c r="S39" s="1">
        <f>[1]Results!V1399</f>
        <v>-0.72890904955602576</v>
      </c>
      <c r="T39" s="1">
        <f>[1]Results!W1399</f>
        <v>-0.79729301404156683</v>
      </c>
      <c r="U39" s="1">
        <f>[1]Results!X1399</f>
        <v>-0.86470000009820636</v>
      </c>
      <c r="V39" s="1">
        <f>[1]Results!Y1399</f>
        <v>-0.93083527063833049</v>
      </c>
      <c r="W39" s="1">
        <f>[1]Results!Z1399</f>
        <v>-0.99550363495533034</v>
      </c>
      <c r="X39" s="1">
        <f>[1]Results!AA1399</f>
        <v>-1.0582683833545659</v>
      </c>
      <c r="Y39" s="1">
        <f>[1]Results!AB1399</f>
        <v>-1.1190514617388736</v>
      </c>
      <c r="Z39" s="1">
        <f>[1]Results!AC1399</f>
        <v>-1.1777266127328989</v>
      </c>
      <c r="AA39" s="1">
        <f>[1]Results!AD1399</f>
        <v>-1.2341808758457695</v>
      </c>
      <c r="AB39" s="1">
        <f>[1]Results!AE1399</f>
        <v>-1.2885475822511427</v>
      </c>
      <c r="AC39" s="1">
        <f>[1]Results!AF1399</f>
        <v>-1.3401643301431232</v>
      </c>
      <c r="AD39" s="1">
        <f>[1]Results!AG1399</f>
        <v>-1.3893763677223503</v>
      </c>
      <c r="AE39" s="1">
        <f>[1]Results!AH1399</f>
        <v>-1.4363729262643621</v>
      </c>
      <c r="AF39" s="1">
        <f>[1]Results!AI1399</f>
        <v>-1.4812671870900629</v>
      </c>
      <c r="AG39" s="1">
        <f>[1]Results!AJ1399</f>
        <v>-1.5241561500838996</v>
      </c>
      <c r="AH39" s="1">
        <f>[1]Results!AK1399</f>
        <v>-1.5650579842878209</v>
      </c>
      <c r="AI39" s="1">
        <f>[1]Results!AL1399</f>
        <v>-1.6041569709288162</v>
      </c>
      <c r="AJ39" s="1">
        <f>[1]Results!AM1399</f>
        <v>-1.6416081180176123</v>
      </c>
      <c r="AK39" s="1">
        <f>[1]Results!AN1399</f>
        <v>-1.6775602086596231</v>
      </c>
      <c r="AL39" s="1">
        <f>[1]Results!AO1399</f>
        <v>-1.7121640373612634</v>
      </c>
      <c r="AM39" s="1">
        <f>[1]Results!AP1399</f>
        <v>-1.744730745235934</v>
      </c>
      <c r="AN39" s="1">
        <f>[1]Results!AQ1399</f>
        <v>-1.7757976536373232</v>
      </c>
      <c r="AO39" s="1">
        <f>[1]Results!AR1399</f>
        <v>-1.805580476297719</v>
      </c>
      <c r="AP39" s="1">
        <f>[1]Results!AS1399</f>
        <v>-1.8341478275022971</v>
      </c>
      <c r="AQ39" s="1">
        <f>[1]Results!AT1399</f>
        <v>-1.8615404128804469</v>
      </c>
      <c r="AR39" s="1">
        <f>[1]Results!AU1399</f>
        <v>-1.8876681084484481</v>
      </c>
      <c r="AS39" s="1">
        <f>[1]Results!AV1399</f>
        <v>-1.9127042623452883</v>
      </c>
      <c r="AT39" s="1">
        <f>[1]Results!AW1399</f>
        <v>-1.9367772104596281</v>
      </c>
      <c r="AU39" s="1">
        <f>[1]Results!AX1399</f>
        <v>-1.959993569607088</v>
      </c>
      <c r="AV39" s="1">
        <f>[1]Results!AY1399</f>
        <v>-1.9824530563092635</v>
      </c>
      <c r="AW39" s="1">
        <f>[1]Results!AZ1399</f>
        <v>-2.0037104830646024</v>
      </c>
      <c r="AX39" s="1">
        <f>[1]Results!BA1399</f>
        <v>-2.0241642331229492</v>
      </c>
      <c r="AY39" s="1">
        <f>[1]Results!BB1399</f>
        <v>-2.0439836077977835</v>
      </c>
      <c r="AZ39" s="1">
        <f>[1]Results!BC1399</f>
        <v>-2.0632270254351326</v>
      </c>
      <c r="BA39" s="1">
        <f>[1]Results!BD1399</f>
        <v>-2.0819233961709926</v>
      </c>
      <c r="BB39" s="1">
        <f>[1]Results!BE1399</f>
        <v>-2.0997640316350097</v>
      </c>
      <c r="BC39" s="1">
        <f>[1]Results!BF1399</f>
        <v>-2.1169905956614166</v>
      </c>
      <c r="BD39" s="1">
        <f>[1]Results!BG1399</f>
        <v>-2.1337262660525269</v>
      </c>
      <c r="BE39" s="1">
        <f>[1]Results!BH1399</f>
        <v>-2.1500345365594087</v>
      </c>
      <c r="BF39" s="1">
        <f>[1]Results!BI1399</f>
        <v>-2.1659621918587946</v>
      </c>
    </row>
    <row r="40" spans="1:58" x14ac:dyDescent="0.35">
      <c r="A40" s="3" t="str">
        <f>[1]Results!E1400</f>
        <v>100*(C_L_2/C_L_0-1)</v>
      </c>
      <c r="B40" t="str">
        <f>[1]Results!C1400</f>
        <v>Coût du travail nominal (yc. Cotisations employeurs et employés, unitaire)</v>
      </c>
      <c r="C40" s="1">
        <f>[1]Results!F1400</f>
        <v>-1.5186334884897956E-2</v>
      </c>
      <c r="D40" s="1">
        <f>[1]Results!G1400</f>
        <v>-5.0358533781125203E-2</v>
      </c>
      <c r="E40" s="1">
        <f>[1]Results!H1400</f>
        <v>-0.10847615655170673</v>
      </c>
      <c r="F40" s="1">
        <f>[1]Results!I1400</f>
        <v>-0.19085889154067948</v>
      </c>
      <c r="G40" s="1">
        <f>[1]Results!J1400</f>
        <v>-0.29678889497092298</v>
      </c>
      <c r="H40" s="1">
        <f>[1]Results!K1400</f>
        <v>-0.42400183306071648</v>
      </c>
      <c r="I40" s="1">
        <f>[1]Results!L1400</f>
        <v>-0.56961044849589415</v>
      </c>
      <c r="J40" s="1">
        <f>[1]Results!M1400</f>
        <v>-0.73011779466584104</v>
      </c>
      <c r="K40" s="1">
        <f>[1]Results!N1400</f>
        <v>-0.90202909284541333</v>
      </c>
      <c r="L40" s="1">
        <f>[1]Results!O1400</f>
        <v>-1.0820387176230573</v>
      </c>
      <c r="M40" s="1">
        <f>[1]Results!P1400</f>
        <v>-1.2669272769987971</v>
      </c>
      <c r="N40" s="1">
        <f>[1]Results!Q1400</f>
        <v>-1.455060515522888</v>
      </c>
      <c r="O40" s="1">
        <f>[1]Results!R1400</f>
        <v>-1.6441424471572819</v>
      </c>
      <c r="P40" s="1">
        <f>[1]Results!S1400</f>
        <v>-1.832165016830678</v>
      </c>
      <c r="Q40" s="1">
        <f>[1]Results!T1400</f>
        <v>-2.0173373900500779</v>
      </c>
      <c r="R40" s="1">
        <f>[1]Results!U1400</f>
        <v>-2.1980579079788232</v>
      </c>
      <c r="S40" s="1">
        <f>[1]Results!V1400</f>
        <v>-2.3736973661007688</v>
      </c>
      <c r="T40" s="1">
        <f>[1]Results!W1400</f>
        <v>-2.5432431989994231</v>
      </c>
      <c r="U40" s="1">
        <f>[1]Results!X1400</f>
        <v>-2.7058718227441214</v>
      </c>
      <c r="V40" s="1">
        <f>[1]Results!Y1400</f>
        <v>-2.860929179790539</v>
      </c>
      <c r="W40" s="1">
        <f>[1]Results!Z1400</f>
        <v>-3.0081138555690723</v>
      </c>
      <c r="X40" s="1">
        <f>[1]Results!AA1400</f>
        <v>-3.1467451194241325</v>
      </c>
      <c r="Y40" s="1">
        <f>[1]Results!AB1400</f>
        <v>-3.2767344865119896</v>
      </c>
      <c r="Z40" s="1">
        <f>[1]Results!AC1400</f>
        <v>-3.3981006679346226</v>
      </c>
      <c r="AA40" s="1">
        <f>[1]Results!AD1400</f>
        <v>-3.5109948536694358</v>
      </c>
      <c r="AB40" s="1">
        <f>[1]Results!AE1400</f>
        <v>-3.6162890025201344</v>
      </c>
      <c r="AC40" s="1">
        <f>[1]Results!AF1400</f>
        <v>-3.7133174012856873</v>
      </c>
      <c r="AD40" s="1">
        <f>[1]Results!AG1400</f>
        <v>-3.8025796774292187</v>
      </c>
      <c r="AE40" s="1">
        <f>[1]Results!AH1400</f>
        <v>-3.8845843042678796</v>
      </c>
      <c r="AF40" s="1">
        <f>[1]Results!AI1400</f>
        <v>-3.9598712492194932</v>
      </c>
      <c r="AG40" s="1">
        <f>[1]Results!AJ1400</f>
        <v>-4.0290204945639179</v>
      </c>
      <c r="AH40" s="1">
        <f>[1]Results!AK1400</f>
        <v>-4.0924886643270986</v>
      </c>
      <c r="AI40" s="1">
        <f>[1]Results!AL1400</f>
        <v>-4.1508854868007594</v>
      </c>
      <c r="AJ40" s="1">
        <f>[1]Results!AM1400</f>
        <v>-4.2048156768453859</v>
      </c>
      <c r="AK40" s="1">
        <f>[1]Results!AN1400</f>
        <v>-4.2548669784051256</v>
      </c>
      <c r="AL40" s="1">
        <f>[1]Results!AO1400</f>
        <v>-4.3015992341523646</v>
      </c>
      <c r="AM40" s="1">
        <f>[1]Results!AP1400</f>
        <v>-4.3443562677111691</v>
      </c>
      <c r="AN40" s="1">
        <f>[1]Results!AQ1400</f>
        <v>-4.383408480801398</v>
      </c>
      <c r="AO40" s="1">
        <f>[1]Results!AR1400</f>
        <v>-4.4190305298087207</v>
      </c>
      <c r="AP40" s="1">
        <f>[1]Results!AS1400</f>
        <v>-4.4515107134779459</v>
      </c>
      <c r="AQ40" s="1">
        <f>[1]Results!AT1400</f>
        <v>-4.4811733424090168</v>
      </c>
      <c r="AR40" s="1">
        <f>[1]Results!AU1400</f>
        <v>-4.5081718023716633</v>
      </c>
      <c r="AS40" s="1">
        <f>[1]Results!AV1400</f>
        <v>-4.5328757173194507</v>
      </c>
      <c r="AT40" s="1">
        <f>[1]Results!AW1400</f>
        <v>-4.5556508763784915</v>
      </c>
      <c r="AU40" s="1">
        <f>[1]Results!AX1400</f>
        <v>-4.576852642798257</v>
      </c>
      <c r="AV40" s="1">
        <f>[1]Results!AY1400</f>
        <v>-4.5968211485556854</v>
      </c>
      <c r="AW40" s="1">
        <f>[1]Results!AZ1400</f>
        <v>-4.6151852466176706</v>
      </c>
      <c r="AX40" s="1">
        <f>[1]Results!BA1400</f>
        <v>-4.6322334705273471</v>
      </c>
      <c r="AY40" s="1">
        <f>[1]Results!BB1400</f>
        <v>-4.6481944733119285</v>
      </c>
      <c r="AZ40" s="1">
        <f>[1]Results!BC1400</f>
        <v>-4.6632702804284998</v>
      </c>
      <c r="BA40" s="1">
        <f>[1]Results!BD1400</f>
        <v>-4.6776632300800092</v>
      </c>
      <c r="BB40" s="1">
        <f>[1]Results!BE1400</f>
        <v>-4.6911742648360955</v>
      </c>
      <c r="BC40" s="1">
        <f>[1]Results!BF1400</f>
        <v>-4.7040196235230258</v>
      </c>
      <c r="BD40" s="1">
        <f>[1]Results!BG1400</f>
        <v>-4.716393582772116</v>
      </c>
      <c r="BE40" s="1">
        <f>[1]Results!BH1400</f>
        <v>-4.7284800370124502</v>
      </c>
      <c r="BF40" s="1">
        <f>[1]Results!BI1400</f>
        <v>-4.7404639822804402</v>
      </c>
    </row>
    <row r="41" spans="1:58" x14ac:dyDescent="0.35">
      <c r="A41" s="3" t="str">
        <f>[1]Results!E1401</f>
        <v>100*((C_L_2/PVA_2)/(C_L_0/PVA_0)-1)</v>
      </c>
      <c r="B41" t="str">
        <f>[1]Results!C1401</f>
        <v>Coût réel du travail (yc. Cotisations employeurs et employés, unitaire)</v>
      </c>
      <c r="C41" s="1">
        <f>[1]Results!F1401</f>
        <v>5.772419321736777E-3</v>
      </c>
      <c r="D41" s="1">
        <f>[1]Results!G1401</f>
        <v>2.0841647673797148E-2</v>
      </c>
      <c r="E41" s="1">
        <f>[1]Results!H1401</f>
        <v>4.2515552162525339E-2</v>
      </c>
      <c r="F41" s="1">
        <f>[1]Results!I1401</f>
        <v>6.6105929729887158E-2</v>
      </c>
      <c r="G41" s="1">
        <f>[1]Results!J1401</f>
        <v>8.7799534855137473E-2</v>
      </c>
      <c r="H41" s="1">
        <f>[1]Results!K1401</f>
        <v>0.10532080011758094</v>
      </c>
      <c r="I41" s="1">
        <f>[1]Results!L1401</f>
        <v>0.11777917541864191</v>
      </c>
      <c r="J41" s="1">
        <f>[1]Results!M1401</f>
        <v>0.12516258050279117</v>
      </c>
      <c r="K41" s="1">
        <f>[1]Results!N1401</f>
        <v>0.12775351109195476</v>
      </c>
      <c r="L41" s="1">
        <f>[1]Results!O1401</f>
        <v>0.12589992224472102</v>
      </c>
      <c r="M41" s="1">
        <f>[1]Results!P1401</f>
        <v>0.11991966189546233</v>
      </c>
      <c r="N41" s="1">
        <f>[1]Results!Q1401</f>
        <v>0.11024924391251911</v>
      </c>
      <c r="O41" s="1">
        <f>[1]Results!R1401</f>
        <v>9.7423722224077025E-2</v>
      </c>
      <c r="P41" s="1">
        <f>[1]Results!S1401</f>
        <v>8.1668161774595127E-2</v>
      </c>
      <c r="Q41" s="1">
        <f>[1]Results!T1401</f>
        <v>6.3043993199785042E-2</v>
      </c>
      <c r="R41" s="1">
        <f>[1]Results!U1401</f>
        <v>4.1643280841552333E-2</v>
      </c>
      <c r="S41" s="1">
        <f>[1]Results!V1401</f>
        <v>1.7701279935433689E-2</v>
      </c>
      <c r="T41" s="1">
        <f>[1]Results!W1401</f>
        <v>-8.258400975225122E-3</v>
      </c>
      <c r="U41" s="1">
        <f>[1]Results!X1401</f>
        <v>-3.5978396577784899E-2</v>
      </c>
      <c r="V41" s="1">
        <f>[1]Results!Y1401</f>
        <v>-6.5294449878972038E-2</v>
      </c>
      <c r="W41" s="1">
        <f>[1]Results!Z1401</f>
        <v>-9.5991603178391394E-2</v>
      </c>
      <c r="X41" s="1">
        <f>[1]Results!AA1401</f>
        <v>-0.12787041230414298</v>
      </c>
      <c r="Y41" s="1">
        <f>[1]Results!AB1401</f>
        <v>-0.1607216566766434</v>
      </c>
      <c r="Z41" s="1">
        <f>[1]Results!AC1401</f>
        <v>-0.19436507950955084</v>
      </c>
      <c r="AA41" s="1">
        <f>[1]Results!AD1401</f>
        <v>-0.2285622910950913</v>
      </c>
      <c r="AB41" s="1">
        <f>[1]Results!AE1401</f>
        <v>-0.26298889336124898</v>
      </c>
      <c r="AC41" s="1">
        <f>[1]Results!AF1401</f>
        <v>-0.29734691090901322</v>
      </c>
      <c r="AD41" s="1">
        <f>[1]Results!AG1401</f>
        <v>-0.33168164975309056</v>
      </c>
      <c r="AE41" s="1">
        <f>[1]Results!AH1401</f>
        <v>-0.36606716310512155</v>
      </c>
      <c r="AF41" s="1">
        <f>[1]Results!AI1401</f>
        <v>-0.400416394477765</v>
      </c>
      <c r="AG41" s="1">
        <f>[1]Results!AJ1401</f>
        <v>-0.43459960091322136</v>
      </c>
      <c r="AH41" s="1">
        <f>[1]Results!AK1401</f>
        <v>-0.46844841784945412</v>
      </c>
      <c r="AI41" s="1">
        <f>[1]Results!AL1401</f>
        <v>-0.50195947506036509</v>
      </c>
      <c r="AJ41" s="1">
        <f>[1]Results!AM1401</f>
        <v>-0.53509751514481119</v>
      </c>
      <c r="AK41" s="1">
        <f>[1]Results!AN1401</f>
        <v>-0.5678262733967987</v>
      </c>
      <c r="AL41" s="1">
        <f>[1]Results!AO1401</f>
        <v>-0.6001267145132605</v>
      </c>
      <c r="AM41" s="1">
        <f>[1]Results!AP1401</f>
        <v>-0.63140516476188902</v>
      </c>
      <c r="AN41" s="1">
        <f>[1]Results!AQ1401</f>
        <v>-0.66236997781629059</v>
      </c>
      <c r="AO41" s="1">
        <f>[1]Results!AR1401</f>
        <v>-0.69320162291286458</v>
      </c>
      <c r="AP41" s="1">
        <f>[1]Results!AS1401</f>
        <v>-0.72384012137609588</v>
      </c>
      <c r="AQ41" s="1">
        <f>[1]Results!AT1401</f>
        <v>-0.75415358859119985</v>
      </c>
      <c r="AR41" s="1">
        <f>[1]Results!AU1401</f>
        <v>-0.78391401200496036</v>
      </c>
      <c r="AS41" s="1">
        <f>[1]Results!AV1401</f>
        <v>-0.81316551903564127</v>
      </c>
      <c r="AT41" s="1">
        <f>[1]Results!AW1401</f>
        <v>-0.84190043151226579</v>
      </c>
      <c r="AU41" s="1">
        <f>[1]Results!AX1401</f>
        <v>-0.8700880664497701</v>
      </c>
      <c r="AV41" s="1">
        <f>[1]Results!AY1401</f>
        <v>-0.89769907691359396</v>
      </c>
      <c r="AW41" s="1">
        <f>[1]Results!AZ1401</f>
        <v>-0.92429651599587048</v>
      </c>
      <c r="AX41" s="1">
        <f>[1]Results!BA1401</f>
        <v>-0.95030231708286284</v>
      </c>
      <c r="AY41" s="1">
        <f>[1]Results!BB1401</f>
        <v>-0.9758555183579154</v>
      </c>
      <c r="AZ41" s="1">
        <f>[1]Results!BC1401</f>
        <v>-1.0009293123885432</v>
      </c>
      <c r="BA41" s="1">
        <f>[1]Results!BD1401</f>
        <v>-1.0254482167722512</v>
      </c>
      <c r="BB41" s="1">
        <f>[1]Results!BE1401</f>
        <v>-1.0490631899979119</v>
      </c>
      <c r="BC41" s="1">
        <f>[1]Results!BF1401</f>
        <v>-1.0719978058152835</v>
      </c>
      <c r="BD41" s="1">
        <f>[1]Results!BG1401</f>
        <v>-1.094329762461288</v>
      </c>
      <c r="BE41" s="1">
        <f>[1]Results!BH1401</f>
        <v>-1.1160483754534156</v>
      </c>
      <c r="BF41" s="1">
        <f>[1]Results!BI1401</f>
        <v>-1.1371176168976427</v>
      </c>
    </row>
    <row r="42" spans="1:58" x14ac:dyDescent="0.35">
      <c r="A42" s="3" t="str">
        <f>[1]Results!E1402</f>
        <v>((F_L_2/F_L_0)-1)*100</v>
      </c>
      <c r="B42" t="str">
        <f>[1]Results!C1402</f>
        <v>Emploi en %</v>
      </c>
      <c r="C42" s="1">
        <f>[1]Results!F1402</f>
        <v>-6.2521758487932289E-2</v>
      </c>
      <c r="D42" s="1">
        <f>[1]Results!G1402</f>
        <v>-0.16916503267024874</v>
      </c>
      <c r="E42" s="1">
        <f>[1]Results!H1402</f>
        <v>-0.30324246917862174</v>
      </c>
      <c r="F42" s="1">
        <f>[1]Results!I1402</f>
        <v>-0.45289605726979154</v>
      </c>
      <c r="G42" s="1">
        <f>[1]Results!J1402</f>
        <v>-0.60932557618832428</v>
      </c>
      <c r="H42" s="1">
        <f>[1]Results!K1402</f>
        <v>-0.76636902284685782</v>
      </c>
      <c r="I42" s="1">
        <f>[1]Results!L1402</f>
        <v>-0.92087038105665986</v>
      </c>
      <c r="J42" s="1">
        <f>[1]Results!M1402</f>
        <v>-1.0702365605065656</v>
      </c>
      <c r="K42" s="1">
        <f>[1]Results!N1402</f>
        <v>-1.2130074344599451</v>
      </c>
      <c r="L42" s="1">
        <f>[1]Results!O1402</f>
        <v>-1.3485489340677725</v>
      </c>
      <c r="M42" s="1">
        <f>[1]Results!P1402</f>
        <v>-1.4765776562862376</v>
      </c>
      <c r="N42" s="1">
        <f>[1]Results!Q1402</f>
        <v>-1.6004412225003151</v>
      </c>
      <c r="O42" s="1">
        <f>[1]Results!R1402</f>
        <v>-1.7197445924072907</v>
      </c>
      <c r="P42" s="1">
        <f>[1]Results!S1402</f>
        <v>-1.8340858717099673</v>
      </c>
      <c r="Q42" s="1">
        <f>[1]Results!T1402</f>
        <v>-1.9432391077320199</v>
      </c>
      <c r="R42" s="1">
        <f>[1]Results!U1402</f>
        <v>-2.0471579210379787</v>
      </c>
      <c r="S42" s="1">
        <f>[1]Results!V1402</f>
        <v>-2.1487073555456426</v>
      </c>
      <c r="T42" s="1">
        <f>[1]Results!W1402</f>
        <v>-2.2474701013755483</v>
      </c>
      <c r="U42" s="1">
        <f>[1]Results!X1402</f>
        <v>-2.3430728963770409</v>
      </c>
      <c r="V42" s="1">
        <f>[1]Results!Y1402</f>
        <v>-2.4353615679800322</v>
      </c>
      <c r="W42" s="1">
        <f>[1]Results!Z1402</f>
        <v>-2.5245289441747421</v>
      </c>
      <c r="X42" s="1">
        <f>[1]Results!AA1402</f>
        <v>-2.6104171562634781</v>
      </c>
      <c r="Y42" s="1">
        <f>[1]Results!AB1402</f>
        <v>-2.6933179095080084</v>
      </c>
      <c r="Z42" s="1">
        <f>[1]Results!AC1402</f>
        <v>-2.7735959269816979</v>
      </c>
      <c r="AA42" s="1">
        <f>[1]Results!AD1402</f>
        <v>-2.8516241250200247</v>
      </c>
      <c r="AB42" s="1">
        <f>[1]Results!AE1402</f>
        <v>-2.9281968779172884</v>
      </c>
      <c r="AC42" s="1">
        <f>[1]Results!AF1402</f>
        <v>-3.0020332835656305</v>
      </c>
      <c r="AD42" s="1">
        <f>[1]Results!AG1402</f>
        <v>-3.0735308890514346</v>
      </c>
      <c r="AE42" s="1">
        <f>[1]Results!AH1402</f>
        <v>-3.1431506501990447</v>
      </c>
      <c r="AF42" s="1">
        <f>[1]Results!AI1402</f>
        <v>-3.2112972143181873</v>
      </c>
      <c r="AG42" s="1">
        <f>[1]Results!AJ1402</f>
        <v>-3.2782804451045644</v>
      </c>
      <c r="AH42" s="1">
        <f>[1]Results!AK1402</f>
        <v>-3.3438521209061767</v>
      </c>
      <c r="AI42" s="1">
        <f>[1]Results!AL1402</f>
        <v>-3.4082244142404461</v>
      </c>
      <c r="AJ42" s="1">
        <f>[1]Results!AM1402</f>
        <v>-3.4715577135860709</v>
      </c>
      <c r="AK42" s="1">
        <f>[1]Results!AN1402</f>
        <v>-3.5339358076741489</v>
      </c>
      <c r="AL42" s="1">
        <f>[1]Results!AO1402</f>
        <v>-3.5953777634783912</v>
      </c>
      <c r="AM42" s="1">
        <f>[1]Results!AP1402</f>
        <v>-3.652291770910765</v>
      </c>
      <c r="AN42" s="1">
        <f>[1]Results!AQ1402</f>
        <v>-3.7052401957210934</v>
      </c>
      <c r="AO42" s="1">
        <f>[1]Results!AR1402</f>
        <v>-3.755011036237943</v>
      </c>
      <c r="AP42" s="1">
        <f>[1]Results!AS1402</f>
        <v>-3.8022895827160563</v>
      </c>
      <c r="AQ42" s="1">
        <f>[1]Results!AT1402</f>
        <v>-3.8476185722101874</v>
      </c>
      <c r="AR42" s="1">
        <f>[1]Results!AU1402</f>
        <v>-3.8908709334806391</v>
      </c>
      <c r="AS42" s="1">
        <f>[1]Results!AV1402</f>
        <v>-3.932431559479721</v>
      </c>
      <c r="AT42" s="1">
        <f>[1]Results!AW1402</f>
        <v>-3.9726334982166711</v>
      </c>
      <c r="AU42" s="1">
        <f>[1]Results!AX1402</f>
        <v>-4.01172381870939</v>
      </c>
      <c r="AV42" s="1">
        <f>[1]Results!AY1402</f>
        <v>-4.0498714130157047</v>
      </c>
      <c r="AW42" s="1">
        <f>[1]Results!AZ1402</f>
        <v>-4.085511596255742</v>
      </c>
      <c r="AX42" s="1">
        <f>[1]Results!BA1402</f>
        <v>-4.118958980489273</v>
      </c>
      <c r="AY42" s="1">
        <f>[1]Results!BB1402</f>
        <v>-4.1506414918164865</v>
      </c>
      <c r="AZ42" s="1">
        <f>[1]Results!BC1402</f>
        <v>-4.1809342135836207</v>
      </c>
      <c r="BA42" s="1">
        <f>[1]Results!BD1402</f>
        <v>-4.2101371659018287</v>
      </c>
      <c r="BB42" s="1">
        <f>[1]Results!BE1402</f>
        <v>-4.2375298902022296</v>
      </c>
      <c r="BC42" s="1">
        <f>[1]Results!BF1402</f>
        <v>-4.263421603100948</v>
      </c>
      <c r="BD42" s="1">
        <f>[1]Results!BG1402</f>
        <v>-4.2881709039254812</v>
      </c>
      <c r="BE42" s="1">
        <f>[1]Results!BH1402</f>
        <v>-4.3120882026940084</v>
      </c>
      <c r="BF42" s="1">
        <f>[1]Results!BI1402</f>
        <v>-4.3354229979896015</v>
      </c>
    </row>
    <row r="43" spans="1:58" x14ac:dyDescent="0.35">
      <c r="A43" s="3" t="str">
        <f>[1]Results!E1403</f>
        <v>F_L_2-F_L_0</v>
      </c>
      <c r="B43" t="str">
        <f>[1]Results!C1403</f>
        <v>Emploi en millier</v>
      </c>
      <c r="C43" s="1">
        <f>[1]Results!F1403</f>
        <v>-17.113359999999375</v>
      </c>
      <c r="D43" s="1">
        <f>[1]Results!G1403</f>
        <v>-46.001800000001822</v>
      </c>
      <c r="E43" s="1">
        <f>[1]Results!H1403</f>
        <v>-82.064719999998488</v>
      </c>
      <c r="F43" s="1">
        <f>[1]Results!I1403</f>
        <v>-122.27058000000034</v>
      </c>
      <c r="G43" s="1">
        <f>[1]Results!J1403</f>
        <v>-164.48030999999901</v>
      </c>
      <c r="H43" s="1">
        <f>[1]Results!K1403</f>
        <v>-207.2342200000021</v>
      </c>
      <c r="I43" s="1">
        <f>[1]Results!L1403</f>
        <v>-249.71811000000162</v>
      </c>
      <c r="J43" s="1">
        <f>[1]Results!M1403</f>
        <v>-291.26983000000109</v>
      </c>
      <c r="K43" s="1">
        <f>[1]Results!N1403</f>
        <v>-331.49482999999964</v>
      </c>
      <c r="L43" s="1">
        <f>[1]Results!O1403</f>
        <v>-370.19377000000168</v>
      </c>
      <c r="M43" s="1">
        <f>[1]Results!P1403</f>
        <v>-407.50272000000041</v>
      </c>
      <c r="N43" s="1">
        <f>[1]Results!Q1403</f>
        <v>-444.02680999999939</v>
      </c>
      <c r="O43" s="1">
        <f>[1]Results!R1403</f>
        <v>-479.58666000000085</v>
      </c>
      <c r="P43" s="1">
        <f>[1]Results!S1403</f>
        <v>-514.01610000000073</v>
      </c>
      <c r="Q43" s="1">
        <f>[1]Results!T1403</f>
        <v>-547.20522999999957</v>
      </c>
      <c r="R43" s="1">
        <f>[1]Results!U1403</f>
        <v>-579.10139999999956</v>
      </c>
      <c r="S43" s="1">
        <f>[1]Results!V1403</f>
        <v>-610.48630000000048</v>
      </c>
      <c r="T43" s="1">
        <f>[1]Results!W1403</f>
        <v>-641.22555999999895</v>
      </c>
      <c r="U43" s="1">
        <f>[1]Results!X1403</f>
        <v>-671.20051999999851</v>
      </c>
      <c r="V43" s="1">
        <f>[1]Results!Y1403</f>
        <v>-700.35785000000033</v>
      </c>
      <c r="W43" s="1">
        <f>[1]Results!Z1403</f>
        <v>-728.45237999999881</v>
      </c>
      <c r="X43" s="1">
        <f>[1]Results!AA1403</f>
        <v>-755.76382999999987</v>
      </c>
      <c r="Y43" s="1">
        <f>[1]Results!AB1403</f>
        <v>-782.39024000000063</v>
      </c>
      <c r="Z43" s="1">
        <f>[1]Results!AC1403</f>
        <v>-808.43481999999858</v>
      </c>
      <c r="AA43" s="1">
        <f>[1]Results!AD1403</f>
        <v>-834.00055000000066</v>
      </c>
      <c r="AB43" s="1">
        <f>[1]Results!AE1403</f>
        <v>-858.3841399999983</v>
      </c>
      <c r="AC43" s="1">
        <f>[1]Results!AF1403</f>
        <v>-881.8119200000001</v>
      </c>
      <c r="AD43" s="1">
        <f>[1]Results!AG1403</f>
        <v>-904.48957000000155</v>
      </c>
      <c r="AE43" s="1">
        <f>[1]Results!AH1403</f>
        <v>-926.61129000000074</v>
      </c>
      <c r="AF43" s="1">
        <f>[1]Results!AI1403</f>
        <v>-948.34103999999934</v>
      </c>
      <c r="AG43" s="1">
        <f>[1]Results!AJ1403</f>
        <v>-969.80429999999978</v>
      </c>
      <c r="AH43" s="1">
        <f>[1]Results!AK1403</f>
        <v>-990.95151999999871</v>
      </c>
      <c r="AI43" s="1">
        <f>[1]Results!AL1403</f>
        <v>-1011.8600699999988</v>
      </c>
      <c r="AJ43" s="1">
        <f>[1]Results!AM1403</f>
        <v>-1032.5845300000001</v>
      </c>
      <c r="AK43" s="1">
        <f>[1]Results!AN1403</f>
        <v>-1053.1508400000021</v>
      </c>
      <c r="AL43" s="1">
        <f>[1]Results!AO1403</f>
        <v>-1073.5613300000005</v>
      </c>
      <c r="AM43" s="1">
        <f>[1]Results!AP1403</f>
        <v>-1092.4882799999978</v>
      </c>
      <c r="AN43" s="1">
        <f>[1]Results!AQ1403</f>
        <v>-1110.1202200000007</v>
      </c>
      <c r="AO43" s="1">
        <f>[1]Results!AR1403</f>
        <v>-1126.7258699999984</v>
      </c>
      <c r="AP43" s="1">
        <f>[1]Results!AS1403</f>
        <v>-1142.5415099999991</v>
      </c>
      <c r="AQ43" s="1">
        <f>[1]Results!AT1403</f>
        <v>-1157.755720000001</v>
      </c>
      <c r="AR43" s="1">
        <f>[1]Results!AU1403</f>
        <v>-1172.3497700000007</v>
      </c>
      <c r="AS43" s="1">
        <f>[1]Results!AV1403</f>
        <v>-1186.4530999999988</v>
      </c>
      <c r="AT43" s="1">
        <f>[1]Results!AW1403</f>
        <v>-1200.1746500000008</v>
      </c>
      <c r="AU43" s="1">
        <f>[1]Results!AX1403</f>
        <v>-1213.593280000001</v>
      </c>
      <c r="AV43" s="1">
        <f>[1]Results!AY1403</f>
        <v>-1226.7609300000004</v>
      </c>
      <c r="AW43" s="1">
        <f>[1]Results!AZ1403</f>
        <v>-1239.223579999998</v>
      </c>
      <c r="AX43" s="1">
        <f>[1]Results!BA1403</f>
        <v>-1251.0679500000006</v>
      </c>
      <c r="AY43" s="1">
        <f>[1]Results!BB1403</f>
        <v>-1262.4139800000012</v>
      </c>
      <c r="AZ43" s="1">
        <f>[1]Results!BC1403</f>
        <v>-1273.3664700000008</v>
      </c>
      <c r="BA43" s="1">
        <f>[1]Results!BD1403</f>
        <v>-1284.00893</v>
      </c>
      <c r="BB43" s="1">
        <f>[1]Results!BE1403</f>
        <v>-1294.1150100000013</v>
      </c>
      <c r="BC43" s="1">
        <f>[1]Results!BF1403</f>
        <v>-1303.7734400000008</v>
      </c>
      <c r="BD43" s="1">
        <f>[1]Results!BG1403</f>
        <v>-1313.0899299999983</v>
      </c>
      <c r="BE43" s="1">
        <f>[1]Results!BH1403</f>
        <v>-1322.1572099999976</v>
      </c>
      <c r="BF43" s="1">
        <f>[1]Results!BI1403</f>
        <v>-1331.0508300000001</v>
      </c>
    </row>
    <row r="44" spans="1:58" x14ac:dyDescent="0.35">
      <c r="A44" s="3" t="str">
        <f>[1]Results!E1404</f>
        <v>100*(UnR_2-UnR_0)</v>
      </c>
      <c r="B44" t="str">
        <f>[1]Results!C1404</f>
        <v>Taux de chômage (en point)</v>
      </c>
      <c r="C44" s="1">
        <f>[1]Results!F1404</f>
        <v>4.564321999999954E-2</v>
      </c>
      <c r="D44" s="1">
        <f>[1]Results!G1404</f>
        <v>0.1192390399999993</v>
      </c>
      <c r="E44" s="1">
        <f>[1]Results!H1404</f>
        <v>0.20798315999999983</v>
      </c>
      <c r="F44" s="1">
        <f>[1]Results!I1404</f>
        <v>0.30439542000000042</v>
      </c>
      <c r="G44" s="1">
        <f>[1]Results!J1404</f>
        <v>0.40344844999999907</v>
      </c>
      <c r="H44" s="1">
        <f>[1]Results!K1404</f>
        <v>0.50186735000000149</v>
      </c>
      <c r="I44" s="1">
        <f>[1]Results!L1404</f>
        <v>0.5985103399999997</v>
      </c>
      <c r="J44" s="1">
        <f>[1]Results!M1404</f>
        <v>0.69167532999999948</v>
      </c>
      <c r="K44" s="1">
        <f>[1]Results!N1404</f>
        <v>0.78066152000000055</v>
      </c>
      <c r="L44" s="1">
        <f>[1]Results!O1404</f>
        <v>0.86520260999999876</v>
      </c>
      <c r="M44" s="1">
        <f>[1]Results!P1404</f>
        <v>0.94449457999999931</v>
      </c>
      <c r="N44" s="1">
        <f>[1]Results!Q1404</f>
        <v>1.0227277300000004</v>
      </c>
      <c r="O44" s="1">
        <f>[1]Results!R1404</f>
        <v>1.0981612599999995</v>
      </c>
      <c r="P44" s="1">
        <f>[1]Results!S1404</f>
        <v>1.1704615100000009</v>
      </c>
      <c r="Q44" s="1">
        <f>[1]Results!T1404</f>
        <v>1.2394471300000016</v>
      </c>
      <c r="R44" s="1">
        <f>[1]Results!U1404</f>
        <v>1.3050733600000002</v>
      </c>
      <c r="S44" s="1">
        <f>[1]Results!V1404</f>
        <v>1.3694034000000022</v>
      </c>
      <c r="T44" s="1">
        <f>[1]Results!W1404</f>
        <v>1.4319794800000007</v>
      </c>
      <c r="U44" s="1">
        <f>[1]Results!X1404</f>
        <v>1.4924866099999989</v>
      </c>
      <c r="V44" s="1">
        <f>[1]Results!Y1404</f>
        <v>1.5508157999999994</v>
      </c>
      <c r="W44" s="1">
        <f>[1]Results!Z1404</f>
        <v>1.6078570600000008</v>
      </c>
      <c r="X44" s="1">
        <f>[1]Results!AA1404</f>
        <v>1.6615370900000008</v>
      </c>
      <c r="Y44" s="1">
        <f>[1]Results!AB1404</f>
        <v>1.713491880000001</v>
      </c>
      <c r="Z44" s="1">
        <f>[1]Results!AC1404</f>
        <v>1.7639066499999996</v>
      </c>
      <c r="AA44" s="1">
        <f>[1]Results!AD1404</f>
        <v>1.8129967899999988</v>
      </c>
      <c r="AB44" s="1">
        <f>[1]Results!AE1404</f>
        <v>1.8635967700000005</v>
      </c>
      <c r="AC44" s="1">
        <f>[1]Results!AF1404</f>
        <v>1.9097003699999977</v>
      </c>
      <c r="AD44" s="1">
        <f>[1]Results!AG1404</f>
        <v>1.9542500500000004</v>
      </c>
      <c r="AE44" s="1">
        <f>[1]Results!AH1404</f>
        <v>1.9976079300000005</v>
      </c>
      <c r="AF44" s="1">
        <f>[1]Results!AI1404</f>
        <v>2.0400789600000024</v>
      </c>
      <c r="AG44" s="1">
        <f>[1]Results!AJ1404</f>
        <v>2.0818891700000011</v>
      </c>
      <c r="AH44" s="1">
        <f>[1]Results!AK1404</f>
        <v>2.1228518700000003</v>
      </c>
      <c r="AI44" s="1">
        <f>[1]Results!AL1404</f>
        <v>2.1631361599999983</v>
      </c>
      <c r="AJ44" s="1">
        <f>[1]Results!AM1404</f>
        <v>2.2028532900000011</v>
      </c>
      <c r="AK44" s="1">
        <f>[1]Results!AN1404</f>
        <v>2.2420496099999991</v>
      </c>
      <c r="AL44" s="1">
        <f>[1]Results!AO1404</f>
        <v>2.28072265</v>
      </c>
      <c r="AM44" s="1">
        <f>[1]Results!AP1404</f>
        <v>2.3168409500000013</v>
      </c>
      <c r="AN44" s="1">
        <f>[1]Results!AQ1404</f>
        <v>2.3500036099999981</v>
      </c>
      <c r="AO44" s="1">
        <f>[1]Results!AR1404</f>
        <v>2.3809788500000013</v>
      </c>
      <c r="AP44" s="1">
        <f>[1]Results!AS1404</f>
        <v>2.4103279400000011</v>
      </c>
      <c r="AQ44" s="1">
        <f>[1]Results!AT1404</f>
        <v>2.4384513500000011</v>
      </c>
      <c r="AR44" s="1">
        <f>[1]Results!AU1404</f>
        <v>2.4652401399999997</v>
      </c>
      <c r="AS44" s="1">
        <f>[1]Results!AV1404</f>
        <v>2.4909807299999978</v>
      </c>
      <c r="AT44" s="1">
        <f>[1]Results!AW1404</f>
        <v>2.5159009300000008</v>
      </c>
      <c r="AU44" s="1">
        <f>[1]Results!AX1404</f>
        <v>2.5401570200000001</v>
      </c>
      <c r="AV44" s="1">
        <f>[1]Results!AY1404</f>
        <v>2.5638472200000013</v>
      </c>
      <c r="AW44" s="1">
        <f>[1]Results!AZ1404</f>
        <v>2.5857563599999995</v>
      </c>
      <c r="AX44" s="1">
        <f>[1]Results!BA1404</f>
        <v>2.6062715599999979</v>
      </c>
      <c r="AY44" s="1">
        <f>[1]Results!BB1404</f>
        <v>2.6257005500000012</v>
      </c>
      <c r="AZ44" s="1">
        <f>[1]Results!BC1404</f>
        <v>2.6442874799999987</v>
      </c>
      <c r="BA44" s="1">
        <f>[1]Results!BD1404</f>
        <v>2.6622151399999989</v>
      </c>
      <c r="BB44" s="1">
        <f>[1]Results!BE1404</f>
        <v>2.6789253500000001</v>
      </c>
      <c r="BC44" s="1">
        <f>[1]Results!BF1404</f>
        <v>2.6946656099999995</v>
      </c>
      <c r="BD44" s="1">
        <f>[1]Results!BG1404</f>
        <v>2.7096899500000022</v>
      </c>
      <c r="BE44" s="1">
        <f>[1]Results!BH1404</f>
        <v>2.7242029200000015</v>
      </c>
      <c r="BF44" s="1">
        <f>[1]Results!BI1404</f>
        <v>2.7383614500000015</v>
      </c>
    </row>
    <row r="45" spans="1:58" x14ac:dyDescent="0.35">
      <c r="A45" s="3" t="str">
        <f>[1]Results!E1405</f>
        <v>100*(Bal_Trade_VAL_2/(GDP_2*PGDP_2)-Bal_Trade_VAL_0/(GDP_0*PGDP_0))</v>
      </c>
      <c r="B45" t="str">
        <f>[1]Results!C1405</f>
        <v>Balance commerciale</v>
      </c>
      <c r="C45" s="1">
        <f>[1]Results!F1405</f>
        <v>-9.08608458322923E-2</v>
      </c>
      <c r="D45" s="1">
        <f>[1]Results!G1405</f>
        <v>-0.16805452765433943</v>
      </c>
      <c r="E45" s="1">
        <f>[1]Results!H1405</f>
        <v>-0.23787887603453142</v>
      </c>
      <c r="F45" s="1">
        <f>[1]Results!I1405</f>
        <v>-0.30414287217529373</v>
      </c>
      <c r="G45" s="1">
        <f>[1]Results!J1405</f>
        <v>-0.36714972493550707</v>
      </c>
      <c r="H45" s="1">
        <f>[1]Results!K1405</f>
        <v>-0.42711817181772976</v>
      </c>
      <c r="I45" s="1">
        <f>[1]Results!L1405</f>
        <v>-0.48544146988153092</v>
      </c>
      <c r="J45" s="1">
        <f>[1]Results!M1405</f>
        <v>-0.54104261750335636</v>
      </c>
      <c r="K45" s="1">
        <f>[1]Results!N1405</f>
        <v>-0.5942223006917402</v>
      </c>
      <c r="L45" s="1">
        <f>[1]Results!O1405</f>
        <v>-0.64520214006246812</v>
      </c>
      <c r="M45" s="1">
        <f>[1]Results!P1405</f>
        <v>-0.69436619032276181</v>
      </c>
      <c r="N45" s="1">
        <f>[1]Results!Q1405</f>
        <v>-0.74617639058328977</v>
      </c>
      <c r="O45" s="1">
        <f>[1]Results!R1405</f>
        <v>-0.79567076954093541</v>
      </c>
      <c r="P45" s="1">
        <f>[1]Results!S1405</f>
        <v>-0.84329315658073001</v>
      </c>
      <c r="Q45" s="1">
        <f>[1]Results!T1405</f>
        <v>-0.88928466610392309</v>
      </c>
      <c r="R45" s="1">
        <f>[1]Results!U1405</f>
        <v>-0.93384342824047195</v>
      </c>
      <c r="S45" s="1">
        <f>[1]Results!V1405</f>
        <v>-0.98159163478026135</v>
      </c>
      <c r="T45" s="1">
        <f>[1]Results!W1405</f>
        <v>-1.0276735650303421</v>
      </c>
      <c r="U45" s="1">
        <f>[1]Results!X1405</f>
        <v>-1.0724864988611034</v>
      </c>
      <c r="V45" s="1">
        <f>[1]Results!Y1405</f>
        <v>-1.1162395334468989</v>
      </c>
      <c r="W45" s="1">
        <f>[1]Results!Z1405</f>
        <v>-1.1589133988926721</v>
      </c>
      <c r="X45" s="1">
        <f>[1]Results!AA1405</f>
        <v>-1.2009348136550195</v>
      </c>
      <c r="Y45" s="1">
        <f>[1]Results!AB1405</f>
        <v>-1.2423432525531133</v>
      </c>
      <c r="Z45" s="1">
        <f>[1]Results!AC1405</f>
        <v>-1.2831854516248011</v>
      </c>
      <c r="AA45" s="1">
        <f>[1]Results!AD1405</f>
        <v>-1.3235252147583301</v>
      </c>
      <c r="AB45" s="1">
        <f>[1]Results!AE1405</f>
        <v>-1.3628541454594238</v>
      </c>
      <c r="AC45" s="1">
        <f>[1]Results!AF1405</f>
        <v>-1.4006028743437233</v>
      </c>
      <c r="AD45" s="1">
        <f>[1]Results!AG1405</f>
        <v>-1.4385141877249081</v>
      </c>
      <c r="AE45" s="1">
        <f>[1]Results!AH1405</f>
        <v>-1.476448029565526</v>
      </c>
      <c r="AF45" s="1">
        <f>[1]Results!AI1405</f>
        <v>-1.5143601827849951</v>
      </c>
      <c r="AG45" s="1">
        <f>[1]Results!AJ1405</f>
        <v>-1.5522342130492419</v>
      </c>
      <c r="AH45" s="1">
        <f>[1]Results!AK1405</f>
        <v>-1.5892641607971647</v>
      </c>
      <c r="AI45" s="1">
        <f>[1]Results!AL1405</f>
        <v>-1.6263522292418662</v>
      </c>
      <c r="AJ45" s="1">
        <f>[1]Results!AM1405</f>
        <v>-1.6634532935435316</v>
      </c>
      <c r="AK45" s="1">
        <f>[1]Results!AN1405</f>
        <v>-1.7005520196318291</v>
      </c>
      <c r="AL45" s="1">
        <f>[1]Results!AO1405</f>
        <v>-1.7376383565507685</v>
      </c>
      <c r="AM45" s="1">
        <f>[1]Results!AP1405</f>
        <v>-1.7679567617493848</v>
      </c>
      <c r="AN45" s="1">
        <f>[1]Results!AQ1405</f>
        <v>-1.7991857338436299</v>
      </c>
      <c r="AO45" s="1">
        <f>[1]Results!AR1405</f>
        <v>-1.8309480632736623</v>
      </c>
      <c r="AP45" s="1">
        <f>[1]Results!AS1405</f>
        <v>-1.8631007431336917</v>
      </c>
      <c r="AQ45" s="1">
        <f>[1]Results!AT1405</f>
        <v>-1.8955523167814654</v>
      </c>
      <c r="AR45" s="1">
        <f>[1]Results!AU1405</f>
        <v>-1.9272375766086112</v>
      </c>
      <c r="AS45" s="1">
        <f>[1]Results!AV1405</f>
        <v>-1.9592050362106255</v>
      </c>
      <c r="AT45" s="1">
        <f>[1]Results!AW1405</f>
        <v>-1.9913451170984455</v>
      </c>
      <c r="AU45" s="1">
        <f>[1]Results!AX1405</f>
        <v>-2.0235962969481194</v>
      </c>
      <c r="AV45" s="1">
        <f>[1]Results!AY1405</f>
        <v>-2.0559131771489283</v>
      </c>
      <c r="AW45" s="1">
        <f>[1]Results!AZ1405</f>
        <v>-2.0851168917393617</v>
      </c>
      <c r="AX45" s="1">
        <f>[1]Results!BA1405</f>
        <v>-2.114680313677793</v>
      </c>
      <c r="AY45" s="1">
        <f>[1]Results!BB1405</f>
        <v>-2.1443907620092033</v>
      </c>
      <c r="AZ45" s="1">
        <f>[1]Results!BC1405</f>
        <v>-2.174166238153727</v>
      </c>
      <c r="BA45" s="1">
        <f>[1]Results!BD1405</f>
        <v>-2.2039570163820295</v>
      </c>
      <c r="BB45" s="1">
        <f>[1]Results!BE1405</f>
        <v>-2.231871190874672</v>
      </c>
      <c r="BC45" s="1">
        <f>[1]Results!BF1405</f>
        <v>-2.2599467180026336</v>
      </c>
      <c r="BD45" s="1">
        <f>[1]Results!BG1405</f>
        <v>-2.2880408917540227</v>
      </c>
      <c r="BE45" s="1">
        <f>[1]Results!BH1405</f>
        <v>-2.3160890496844688</v>
      </c>
      <c r="BF45" s="1">
        <f>[1]Results!BI1405</f>
        <v>-2.3440480429995056</v>
      </c>
    </row>
    <row r="46" spans="1:58" x14ac:dyDescent="0.35">
      <c r="A46" s="3" t="str">
        <f>[1]Results!E1406</f>
        <v>100*(ENER_BILL_2/(GDP_2*PGDP_2)-ENER_BILL_0/(GDP_0*PGDP_0))</v>
      </c>
      <c r="B46" t="str">
        <f>[1]Results!C1406</f>
        <v>Facture énergétique</v>
      </c>
      <c r="C46" s="1">
        <f>[1]Results!F1406</f>
        <v>3.0993139560625202E-3</v>
      </c>
      <c r="D46" s="1">
        <f>[1]Results!G1406</f>
        <v>5.167891906069505E-3</v>
      </c>
      <c r="E46" s="1">
        <f>[1]Results!H1406</f>
        <v>7.4765387753765802E-3</v>
      </c>
      <c r="F46" s="1">
        <f>[1]Results!I1406</f>
        <v>1.0102731044619832E-2</v>
      </c>
      <c r="G46" s="1">
        <f>[1]Results!J1406</f>
        <v>1.2975756429072123E-2</v>
      </c>
      <c r="H46" s="1">
        <f>[1]Results!K1406</f>
        <v>1.603109940960714E-2</v>
      </c>
      <c r="I46" s="1">
        <f>[1]Results!L1406</f>
        <v>1.9234712049398008E-2</v>
      </c>
      <c r="J46" s="1">
        <f>[1]Results!M1406</f>
        <v>2.2549214614421206E-2</v>
      </c>
      <c r="K46" s="1">
        <f>[1]Results!N1406</f>
        <v>2.5984598527586771E-2</v>
      </c>
      <c r="L46" s="1">
        <f>[1]Results!O1406</f>
        <v>2.9543305866405745E-2</v>
      </c>
      <c r="M46" s="1">
        <f>[1]Results!P1406</f>
        <v>3.3161634651978841E-2</v>
      </c>
      <c r="N46" s="1">
        <f>[1]Results!Q1406</f>
        <v>3.695519883966554E-2</v>
      </c>
      <c r="O46" s="1">
        <f>[1]Results!R1406</f>
        <v>4.0741753930066855E-2</v>
      </c>
      <c r="P46" s="1">
        <f>[1]Results!S1406</f>
        <v>4.4505734806416473E-2</v>
      </c>
      <c r="Q46" s="1">
        <f>[1]Results!T1406</f>
        <v>4.8194297008500621E-2</v>
      </c>
      <c r="R46" s="1">
        <f>[1]Results!U1406</f>
        <v>5.1753715213932912E-2</v>
      </c>
      <c r="S46" s="1">
        <f>[1]Results!V1406</f>
        <v>5.5267322660284071E-2</v>
      </c>
      <c r="T46" s="1">
        <f>[1]Results!W1406</f>
        <v>5.8572914675768251E-2</v>
      </c>
      <c r="U46" s="1">
        <f>[1]Results!X1406</f>
        <v>6.1690140893470684E-2</v>
      </c>
      <c r="V46" s="1">
        <f>[1]Results!Y1406</f>
        <v>6.4622887375407126E-2</v>
      </c>
      <c r="W46" s="1">
        <f>[1]Results!Z1406</f>
        <v>6.7391986401574455E-2</v>
      </c>
      <c r="X46" s="1">
        <f>[1]Results!AA1406</f>
        <v>6.9973424577438395E-2</v>
      </c>
      <c r="Y46" s="1">
        <f>[1]Results!AB1406</f>
        <v>7.2389004440304688E-2</v>
      </c>
      <c r="Z46" s="1">
        <f>[1]Results!AC1406</f>
        <v>7.4645368180241589E-2</v>
      </c>
      <c r="AA46" s="1">
        <f>[1]Results!AD1406</f>
        <v>7.675047418136699E-2</v>
      </c>
      <c r="AB46" s="1">
        <f>[1]Results!AE1406</f>
        <v>7.8762900376325509E-2</v>
      </c>
      <c r="AC46" s="1">
        <f>[1]Results!AF1406</f>
        <v>8.0591943272611932E-2</v>
      </c>
      <c r="AD46" s="1">
        <f>[1]Results!AG1406</f>
        <v>8.2319756318450371E-2</v>
      </c>
      <c r="AE46" s="1">
        <f>[1]Results!AH1406</f>
        <v>8.3943355202896308E-2</v>
      </c>
      <c r="AF46" s="1">
        <f>[1]Results!AI1406</f>
        <v>8.5469571935637395E-2</v>
      </c>
      <c r="AG46" s="1">
        <f>[1]Results!AJ1406</f>
        <v>8.6905028258418671E-2</v>
      </c>
      <c r="AH46" s="1">
        <f>[1]Results!AK1406</f>
        <v>8.8236720926511761E-2</v>
      </c>
      <c r="AI46" s="1">
        <f>[1]Results!AL1406</f>
        <v>8.9499789450778536E-2</v>
      </c>
      <c r="AJ46" s="1">
        <f>[1]Results!AM1406</f>
        <v>9.0697336846027987E-2</v>
      </c>
      <c r="AK46" s="1">
        <f>[1]Results!AN1406</f>
        <v>9.1835337496547043E-2</v>
      </c>
      <c r="AL46" s="1">
        <f>[1]Results!AO1406</f>
        <v>9.2920017351421844E-2</v>
      </c>
      <c r="AM46" s="1">
        <f>[1]Results!AP1406</f>
        <v>9.3799107869714349E-2</v>
      </c>
      <c r="AN46" s="1">
        <f>[1]Results!AQ1406</f>
        <v>9.4679726991343971E-2</v>
      </c>
      <c r="AO46" s="1">
        <f>[1]Results!AR1406</f>
        <v>9.5525243965368684E-2</v>
      </c>
      <c r="AP46" s="1">
        <f>[1]Results!AS1406</f>
        <v>9.6333222795278423E-2</v>
      </c>
      <c r="AQ46" s="1">
        <f>[1]Results!AT1406</f>
        <v>9.7108810076706159E-2</v>
      </c>
      <c r="AR46" s="1">
        <f>[1]Results!AU1406</f>
        <v>9.7833396520656188E-2</v>
      </c>
      <c r="AS46" s="1">
        <f>[1]Results!AV1406</f>
        <v>9.8544489279481062E-2</v>
      </c>
      <c r="AT46" s="1">
        <f>[1]Results!AW1406</f>
        <v>9.9242115061195901E-2</v>
      </c>
      <c r="AU46" s="1">
        <f>[1]Results!AX1406</f>
        <v>9.9930749657819659E-2</v>
      </c>
      <c r="AV46" s="1">
        <f>[1]Results!AY1406</f>
        <v>0.10061396262130949</v>
      </c>
      <c r="AW46" s="1">
        <f>[1]Results!AZ1406</f>
        <v>0.10121085107481306</v>
      </c>
      <c r="AX46" s="1">
        <f>[1]Results!BA1406</f>
        <v>0.10181777165967076</v>
      </c>
      <c r="AY46" s="1">
        <f>[1]Results!BB1406</f>
        <v>0.10241336040356062</v>
      </c>
      <c r="AZ46" s="1">
        <f>[1]Results!BC1406</f>
        <v>0.1029932696542826</v>
      </c>
      <c r="BA46" s="1">
        <f>[1]Results!BD1406</f>
        <v>0.1035578288141806</v>
      </c>
      <c r="BB46" s="1">
        <f>[1]Results!BE1406</f>
        <v>0.10406210954578589</v>
      </c>
      <c r="BC46" s="1">
        <f>[1]Results!BF1406</f>
        <v>0.10456574784055428</v>
      </c>
      <c r="BD46" s="1">
        <f>[1]Results!BG1406</f>
        <v>0.10505943704360779</v>
      </c>
      <c r="BE46" s="1">
        <f>[1]Results!BH1406</f>
        <v>0.10554326956910103</v>
      </c>
      <c r="BF46" s="1">
        <f>[1]Results!BI1406</f>
        <v>0.10601941435481338</v>
      </c>
    </row>
    <row r="47" spans="1:58" x14ac:dyDescent="0.35">
      <c r="A47" s="3" t="str">
        <f>[1]Results!E1407</f>
        <v>100*((-Bal_G_prim_VAL_2)/(GDP_2*PGDP_2)-(-Bal_G_prim_VAL_0)/(GDP_0*PGDP_0))</v>
      </c>
      <c r="B47" t="str">
        <f>[1]Results!C1407</f>
        <v>Solde public primaire</v>
      </c>
      <c r="C47" s="1">
        <f>[1]Results!F1407</f>
        <v>4.6703549497115714E-2</v>
      </c>
      <c r="D47" s="1">
        <f>[1]Results!G1407</f>
        <v>0.12558193405246448</v>
      </c>
      <c r="E47" s="1">
        <f>[1]Results!H1407</f>
        <v>0.22076127883119481</v>
      </c>
      <c r="F47" s="1">
        <f>[1]Results!I1407</f>
        <v>0.32623955588834441</v>
      </c>
      <c r="G47" s="1">
        <f>[1]Results!J1407</f>
        <v>0.43661436544959881</v>
      </c>
      <c r="H47" s="1">
        <f>[1]Results!K1407</f>
        <v>0.54793554252810306</v>
      </c>
      <c r="I47" s="1">
        <f>[1]Results!L1407</f>
        <v>0.65818103405341843</v>
      </c>
      <c r="J47" s="1">
        <f>[1]Results!M1407</f>
        <v>0.76541725114260206</v>
      </c>
      <c r="K47" s="1">
        <f>[1]Results!N1407</f>
        <v>0.86832257936005042</v>
      </c>
      <c r="L47" s="1">
        <f>[1]Results!O1407</f>
        <v>0.96608077954863991</v>
      </c>
      <c r="M47" s="1">
        <f>[1]Results!P1407</f>
        <v>1.0584140576851557</v>
      </c>
      <c r="N47" s="1">
        <f>[1]Results!Q1407</f>
        <v>1.1468736147314891</v>
      </c>
      <c r="O47" s="1">
        <f>[1]Results!R1407</f>
        <v>1.2309264848253683</v>
      </c>
      <c r="P47" s="1">
        <f>[1]Results!S1407</f>
        <v>1.3100795770557296</v>
      </c>
      <c r="Q47" s="1">
        <f>[1]Results!T1407</f>
        <v>1.3840666019534702</v>
      </c>
      <c r="R47" s="1">
        <f>[1]Results!U1407</f>
        <v>1.4528006117731571</v>
      </c>
      <c r="S47" s="1">
        <f>[1]Results!V1407</f>
        <v>1.5187082438765331</v>
      </c>
      <c r="T47" s="1">
        <f>[1]Results!W1407</f>
        <v>1.580967871681753</v>
      </c>
      <c r="U47" s="1">
        <f>[1]Results!X1407</f>
        <v>1.6394077418068538</v>
      </c>
      <c r="V47" s="1">
        <f>[1]Results!Y1407</f>
        <v>1.6940569767346956</v>
      </c>
      <c r="W47" s="1">
        <f>[1]Results!Z1407</f>
        <v>1.7448232677030064</v>
      </c>
      <c r="X47" s="1">
        <f>[1]Results!AA1407</f>
        <v>1.7928324168982823</v>
      </c>
      <c r="Y47" s="1">
        <f>[1]Results!AB1407</f>
        <v>1.8376654119852434</v>
      </c>
      <c r="Z47" s="1">
        <f>[1]Results!AC1407</f>
        <v>1.879718867546867</v>
      </c>
      <c r="AA47" s="1">
        <f>[1]Results!AD1407</f>
        <v>1.9193906720343434</v>
      </c>
      <c r="AB47" s="1">
        <f>[1]Results!AE1407</f>
        <v>1.9561386417339752</v>
      </c>
      <c r="AC47" s="1">
        <f>[1]Results!AF1407</f>
        <v>1.9919747387911819</v>
      </c>
      <c r="AD47" s="1">
        <f>[1]Results!AG1407</f>
        <v>2.0261430137630709</v>
      </c>
      <c r="AE47" s="1">
        <f>[1]Results!AH1407</f>
        <v>2.0590149753051952</v>
      </c>
      <c r="AF47" s="1">
        <f>[1]Results!AI1407</f>
        <v>2.0908849605014739</v>
      </c>
      <c r="AG47" s="1">
        <f>[1]Results!AJ1407</f>
        <v>2.1219840547138209</v>
      </c>
      <c r="AH47" s="1">
        <f>[1]Results!AK1407</f>
        <v>2.1520614376003477</v>
      </c>
      <c r="AI47" s="1">
        <f>[1]Results!AL1407</f>
        <v>2.1814314220152129</v>
      </c>
      <c r="AJ47" s="1">
        <f>[1]Results!AM1407</f>
        <v>2.2102786363522799</v>
      </c>
      <c r="AK47" s="1">
        <f>[1]Results!AN1407</f>
        <v>2.238734909872004</v>
      </c>
      <c r="AL47" s="1">
        <f>[1]Results!AO1407</f>
        <v>2.2668903649681145</v>
      </c>
      <c r="AM47" s="1">
        <f>[1]Results!AP1407</f>
        <v>2.2909607189964643</v>
      </c>
      <c r="AN47" s="1">
        <f>[1]Results!AQ1407</f>
        <v>2.3130306225856567</v>
      </c>
      <c r="AO47" s="1">
        <f>[1]Results!AR1407</f>
        <v>2.333724562338503</v>
      </c>
      <c r="AP47" s="1">
        <f>[1]Results!AS1407</f>
        <v>2.353499796588177</v>
      </c>
      <c r="AQ47" s="1">
        <f>[1]Results!AT1407</f>
        <v>2.3726968958150865</v>
      </c>
      <c r="AR47" s="1">
        <f>[1]Results!AU1407</f>
        <v>2.3910360077579194</v>
      </c>
      <c r="AS47" s="1">
        <f>[1]Results!AV1407</f>
        <v>2.4089293282340778</v>
      </c>
      <c r="AT47" s="1">
        <f>[1]Results!AW1407</f>
        <v>2.4266220785069548</v>
      </c>
      <c r="AU47" s="1">
        <f>[1]Results!AX1407</f>
        <v>2.4442944274377036</v>
      </c>
      <c r="AV47" s="1">
        <f>[1]Results!AY1407</f>
        <v>2.4620771552741116</v>
      </c>
      <c r="AW47" s="1">
        <f>[1]Results!AZ1407</f>
        <v>2.4783792933244646</v>
      </c>
      <c r="AX47" s="1">
        <f>[1]Results!BA1407</f>
        <v>2.4939099017197779</v>
      </c>
      <c r="AY47" s="1">
        <f>[1]Results!BB1407</f>
        <v>2.5090429579922922</v>
      </c>
      <c r="AZ47" s="1">
        <f>[1]Results!BC1407</f>
        <v>2.5240568415287274</v>
      </c>
      <c r="BA47" s="1">
        <f>[1]Results!BD1407</f>
        <v>2.5391611438253072</v>
      </c>
      <c r="BB47" s="1">
        <f>[1]Results!BE1407</f>
        <v>2.5535077346213679</v>
      </c>
      <c r="BC47" s="1">
        <f>[1]Results!BF1407</f>
        <v>2.5676266396841045</v>
      </c>
      <c r="BD47" s="1">
        <f>[1]Results!BG1407</f>
        <v>2.5817960580340777</v>
      </c>
      <c r="BE47" s="1">
        <f>[1]Results!BH1407</f>
        <v>2.5962218289190409</v>
      </c>
      <c r="BF47" s="1">
        <f>[1]Results!BI1407</f>
        <v>2.6110546157865464</v>
      </c>
    </row>
    <row r="48" spans="1:58" x14ac:dyDescent="0.35">
      <c r="A48" s="3" t="str">
        <f>[1]Results!E1408</f>
        <v>100*((-Bal_G_tot_VAL_2)/(GDP_2*PGDP_2)-(-Bal_G_tot_VAL_0)/(GDP_0*PGDP_0))</v>
      </c>
      <c r="B48" t="str">
        <f>[1]Results!C1408</f>
        <v xml:space="preserve">Solde public </v>
      </c>
      <c r="C48" s="1">
        <f>[1]Results!F1408</f>
        <v>4.9617911456852765E-2</v>
      </c>
      <c r="D48" s="1">
        <f>[1]Results!G1408</f>
        <v>0.12666314531570994</v>
      </c>
      <c r="E48" s="1">
        <f>[1]Results!H1408</f>
        <v>0.21490093910284946</v>
      </c>
      <c r="F48" s="1">
        <f>[1]Results!I1408</f>
        <v>0.31092788007093669</v>
      </c>
      <c r="G48" s="1">
        <f>[1]Results!J1408</f>
        <v>0.41224564677587311</v>
      </c>
      <c r="H48" s="1">
        <f>[1]Results!K1408</f>
        <v>0.51717165364920659</v>
      </c>
      <c r="I48" s="1">
        <f>[1]Results!L1408</f>
        <v>0.62510388488885638</v>
      </c>
      <c r="J48" s="1">
        <f>[1]Results!M1408</f>
        <v>0.73465466855642536</v>
      </c>
      <c r="K48" s="1">
        <f>[1]Results!N1408</f>
        <v>0.844696371172312</v>
      </c>
      <c r="L48" s="1">
        <f>[1]Results!O1408</f>
        <v>0.95443716286781888</v>
      </c>
      <c r="M48" s="1">
        <f>[1]Results!P1408</f>
        <v>1.0635006027417995</v>
      </c>
      <c r="N48" s="1">
        <f>[1]Results!Q1408</f>
        <v>1.1736385072762292</v>
      </c>
      <c r="O48" s="1">
        <f>[1]Results!R1408</f>
        <v>1.2834727711390443</v>
      </c>
      <c r="P48" s="1">
        <f>[1]Results!S1408</f>
        <v>1.3920616261474852</v>
      </c>
      <c r="Q48" s="1">
        <f>[1]Results!T1408</f>
        <v>1.4988421587529861</v>
      </c>
      <c r="R48" s="1">
        <f>[1]Results!U1408</f>
        <v>1.6033870671322337</v>
      </c>
      <c r="S48" s="1">
        <f>[1]Results!V1408</f>
        <v>1.7078759393148728</v>
      </c>
      <c r="T48" s="1">
        <f>[1]Results!W1408</f>
        <v>1.8105855910328179</v>
      </c>
      <c r="U48" s="1">
        <f>[1]Results!X1408</f>
        <v>1.9107956697123223</v>
      </c>
      <c r="V48" s="1">
        <f>[1]Results!Y1408</f>
        <v>2.008170453169599</v>
      </c>
      <c r="W48" s="1">
        <f>[1]Results!Z1408</f>
        <v>2.1025683887797464</v>
      </c>
      <c r="X48" s="1">
        <f>[1]Results!AA1408</f>
        <v>2.1939599646922119</v>
      </c>
      <c r="Y48" s="1">
        <f>[1]Results!AB1408</f>
        <v>2.2821947186135652</v>
      </c>
      <c r="Z48" s="1">
        <f>[1]Results!AC1408</f>
        <v>2.367511105955832</v>
      </c>
      <c r="AA48" s="1">
        <f>[1]Results!AD1408</f>
        <v>2.4500904816800793</v>
      </c>
      <c r="AB48" s="1">
        <f>[1]Results!AE1408</f>
        <v>2.5303707666766764</v>
      </c>
      <c r="AC48" s="1">
        <f>[1]Results!AF1408</f>
        <v>2.6073929449324948</v>
      </c>
      <c r="AD48" s="1">
        <f>[1]Results!AG1408</f>
        <v>2.681604193545077</v>
      </c>
      <c r="AE48" s="1">
        <f>[1]Results!AH1408</f>
        <v>2.753712409353998</v>
      </c>
      <c r="AF48" s="1">
        <f>[1]Results!AI1408</f>
        <v>2.8241178212419427</v>
      </c>
      <c r="AG48" s="1">
        <f>[1]Results!AJ1408</f>
        <v>2.8930915556509116</v>
      </c>
      <c r="AH48" s="1">
        <f>[1]Results!AK1408</f>
        <v>2.9604026571023305</v>
      </c>
      <c r="AI48" s="1">
        <f>[1]Results!AL1408</f>
        <v>3.0265272416012627</v>
      </c>
      <c r="AJ48" s="1">
        <f>[1]Results!AM1408</f>
        <v>3.0918013046713111</v>
      </c>
      <c r="AK48" s="1">
        <f>[1]Results!AN1408</f>
        <v>3.1564782726443337</v>
      </c>
      <c r="AL48" s="1">
        <f>[1]Results!AO1408</f>
        <v>3.2207613507341875</v>
      </c>
      <c r="AM48" s="1">
        <f>[1]Results!AP1408</f>
        <v>3.2810827334649337</v>
      </c>
      <c r="AN48" s="1">
        <f>[1]Results!AQ1408</f>
        <v>3.3393874333813525</v>
      </c>
      <c r="AO48" s="1">
        <f>[1]Results!AR1408</f>
        <v>3.3966222910036912</v>
      </c>
      <c r="AP48" s="1">
        <f>[1]Results!AS1408</f>
        <v>3.4532589855917046</v>
      </c>
      <c r="AQ48" s="1">
        <f>[1]Results!AT1408</f>
        <v>3.5095589759507315</v>
      </c>
      <c r="AR48" s="1">
        <f>[1]Results!AU1408</f>
        <v>3.5651125801911951</v>
      </c>
      <c r="AS48" s="1">
        <f>[1]Results!AV1408</f>
        <v>3.6203480757458633</v>
      </c>
      <c r="AT48" s="1">
        <f>[1]Results!AW1408</f>
        <v>3.6755331396039108</v>
      </c>
      <c r="AU48" s="1">
        <f>[1]Results!AX1408</f>
        <v>3.7308232108344765</v>
      </c>
      <c r="AV48" s="1">
        <f>[1]Results!AY1408</f>
        <v>3.7863199555744909</v>
      </c>
      <c r="AW48" s="1">
        <f>[1]Results!AZ1408</f>
        <v>3.8402081814082951</v>
      </c>
      <c r="AX48" s="1">
        <f>[1]Results!BA1408</f>
        <v>3.893473396142312</v>
      </c>
      <c r="AY48" s="1">
        <f>[1]Results!BB1408</f>
        <v>3.946663593784701</v>
      </c>
      <c r="AZ48" s="1">
        <f>[1]Results!BC1408</f>
        <v>3.9999811558316658</v>
      </c>
      <c r="BA48" s="1">
        <f>[1]Results!BD1408</f>
        <v>4.0535015260215381</v>
      </c>
      <c r="BB48" s="1">
        <f>[1]Results!BE1408</f>
        <v>4.10616156308458</v>
      </c>
      <c r="BC48" s="1">
        <f>[1]Results!BF1408</f>
        <v>4.1585217726348729</v>
      </c>
      <c r="BD48" s="1">
        <f>[1]Results!BG1408</f>
        <v>4.2109324161325041</v>
      </c>
      <c r="BE48" s="1">
        <f>[1]Results!BH1408</f>
        <v>4.2635399416712181</v>
      </c>
      <c r="BF48" s="1">
        <f>[1]Results!BI1408</f>
        <v>4.3164102989617943</v>
      </c>
    </row>
    <row r="49" spans="1:58" x14ac:dyDescent="0.35">
      <c r="A49" s="3" t="str">
        <f>[1]Results!E1409</f>
        <v>(DEBT_G_VAL_2/(PGDP_2*GDP_2)-DEBT_G_VAL_0/(PGDP_0*GDP_0))*100</v>
      </c>
      <c r="B49" t="str">
        <f>[1]Results!C1409</f>
        <v>Dette publique</v>
      </c>
      <c r="C49" s="1">
        <f>[1]Results!F1409</f>
        <v>0.18359336566209361</v>
      </c>
      <c r="D49" s="1">
        <f>[1]Results!G1409</f>
        <v>0.48366433729949421</v>
      </c>
      <c r="E49" s="1">
        <f>[1]Results!H1409</f>
        <v>0.90332980401659491</v>
      </c>
      <c r="F49" s="1">
        <f>[1]Results!I1409</f>
        <v>1.4440591370244116</v>
      </c>
      <c r="G49" s="1">
        <f>[1]Results!J1409</f>
        <v>2.0990515832742362</v>
      </c>
      <c r="H49" s="1">
        <f>[1]Results!K1409</f>
        <v>2.8600916520710618</v>
      </c>
      <c r="I49" s="1">
        <f>[1]Results!L1409</f>
        <v>3.723664123331405</v>
      </c>
      <c r="J49" s="1">
        <f>[1]Results!M1409</f>
        <v>4.6793193890030338</v>
      </c>
      <c r="K49" s="1">
        <f>[1]Results!N1409</f>
        <v>5.7186259899787428</v>
      </c>
      <c r="L49" s="1">
        <f>[1]Results!O1409</f>
        <v>6.8330910819981883</v>
      </c>
      <c r="M49" s="1">
        <f>[1]Results!P1409</f>
        <v>8.0061390222357254</v>
      </c>
      <c r="N49" s="1">
        <f>[1]Results!Q1409</f>
        <v>9.2544705040951349</v>
      </c>
      <c r="O49" s="1">
        <f>[1]Results!R1409</f>
        <v>10.561032076586407</v>
      </c>
      <c r="P49" s="1">
        <f>[1]Results!S1409</f>
        <v>11.919616849132497</v>
      </c>
      <c r="Q49" s="1">
        <f>[1]Results!T1409</f>
        <v>13.323949932319223</v>
      </c>
      <c r="R49" s="1">
        <f>[1]Results!U1409</f>
        <v>14.768184706229203</v>
      </c>
      <c r="S49" s="1">
        <f>[1]Results!V1409</f>
        <v>16.25788852861745</v>
      </c>
      <c r="T49" s="1">
        <f>[1]Results!W1409</f>
        <v>17.783322062873253</v>
      </c>
      <c r="U49" s="1">
        <f>[1]Results!X1409</f>
        <v>19.340687193852556</v>
      </c>
      <c r="V49" s="1">
        <f>[1]Results!Y1409</f>
        <v>20.926171276343752</v>
      </c>
      <c r="W49" s="1">
        <f>[1]Results!Z1409</f>
        <v>22.551966767443552</v>
      </c>
      <c r="X49" s="1">
        <f>[1]Results!AA1409</f>
        <v>24.188681455595074</v>
      </c>
      <c r="Y49" s="1">
        <f>[1]Results!AB1409</f>
        <v>25.843530577966266</v>
      </c>
      <c r="Z49" s="1">
        <f>[1]Results!AC1409</f>
        <v>27.514303477208358</v>
      </c>
      <c r="AA49" s="1">
        <f>[1]Results!AD1409</f>
        <v>29.199303312530823</v>
      </c>
      <c r="AB49" s="1">
        <f>[1]Results!AE1409</f>
        <v>30.955185425858666</v>
      </c>
      <c r="AC49" s="1">
        <f>[1]Results!AF1409</f>
        <v>32.707803480578647</v>
      </c>
      <c r="AD49" s="1">
        <f>[1]Results!AG1409</f>
        <v>34.476385101761295</v>
      </c>
      <c r="AE49" s="1">
        <f>[1]Results!AH1409</f>
        <v>36.258674049577252</v>
      </c>
      <c r="AF49" s="1">
        <f>[1]Results!AI1409</f>
        <v>38.053123132041947</v>
      </c>
      <c r="AG49" s="1">
        <f>[1]Results!AJ1409</f>
        <v>39.858444918504432</v>
      </c>
      <c r="AH49" s="1">
        <f>[1]Results!AK1409</f>
        <v>41.671350528945752</v>
      </c>
      <c r="AI49" s="1">
        <f>[1]Results!AL1409</f>
        <v>43.49185228224426</v>
      </c>
      <c r="AJ49" s="1">
        <f>[1]Results!AM1409</f>
        <v>45.319017063749257</v>
      </c>
      <c r="AK49" s="1">
        <f>[1]Results!AN1409</f>
        <v>47.152170051802166</v>
      </c>
      <c r="AL49" s="1">
        <f>[1]Results!AO1409</f>
        <v>48.990788608466261</v>
      </c>
      <c r="AM49" s="1">
        <f>[1]Results!AP1409</f>
        <v>50.836253090443883</v>
      </c>
      <c r="AN49" s="1">
        <f>[1]Results!AQ1409</f>
        <v>52.683860876101377</v>
      </c>
      <c r="AO49" s="1">
        <f>[1]Results!AR1409</f>
        <v>54.531525477082241</v>
      </c>
      <c r="AP49" s="1">
        <f>[1]Results!AS1409</f>
        <v>56.378236485696263</v>
      </c>
      <c r="AQ49" s="1">
        <f>[1]Results!AT1409</f>
        <v>58.223438628316785</v>
      </c>
      <c r="AR49" s="1">
        <f>[1]Results!AU1409</f>
        <v>60.063943897564577</v>
      </c>
      <c r="AS49" s="1">
        <f>[1]Results!AV1409</f>
        <v>61.900931433847781</v>
      </c>
      <c r="AT49" s="1">
        <f>[1]Results!AW1409</f>
        <v>63.73424664976308</v>
      </c>
      <c r="AU49" s="1">
        <f>[1]Results!AX1409</f>
        <v>65.5640313625685</v>
      </c>
      <c r="AV49" s="1">
        <f>[1]Results!AY1409</f>
        <v>67.390581618524607</v>
      </c>
      <c r="AW49" s="1">
        <f>[1]Results!AZ1409</f>
        <v>69.2026427902303</v>
      </c>
      <c r="AX49" s="1">
        <f>[1]Results!BA1409</f>
        <v>71.006609467499374</v>
      </c>
      <c r="AY49" s="1">
        <f>[1]Results!BB1409</f>
        <v>72.802696012433572</v>
      </c>
      <c r="AZ49" s="1">
        <f>[1]Results!BC1409</f>
        <v>74.591726512910512</v>
      </c>
      <c r="BA49" s="1">
        <f>[1]Results!BD1409</f>
        <v>76.374675508136718</v>
      </c>
      <c r="BB49" s="1">
        <f>[1]Results!BE1409</f>
        <v>78.146779775312027</v>
      </c>
      <c r="BC49" s="1">
        <f>[1]Results!BF1409</f>
        <v>79.911753223194012</v>
      </c>
      <c r="BD49" s="1">
        <f>[1]Results!BG1409</f>
        <v>81.670248303055615</v>
      </c>
      <c r="BE49" s="1">
        <f>[1]Results!BH1409</f>
        <v>83.423233603389889</v>
      </c>
      <c r="BF49" s="1">
        <f>[1]Results!BI1409</f>
        <v>85.171722291915486</v>
      </c>
    </row>
    <row r="50" spans="1:58" x14ac:dyDescent="0.35">
      <c r="A50" s="3" t="str">
        <f>[1]Results!E1410</f>
        <v>GDP_2</v>
      </c>
      <c r="B50" t="str">
        <f>[1]Results!C1410</f>
        <v>PIB</v>
      </c>
      <c r="C50" s="1">
        <f>[1]Results!F1410</f>
        <v>2197903.673</v>
      </c>
      <c r="D50" s="1">
        <f>[1]Results!G1410</f>
        <v>2187714.1850000001</v>
      </c>
      <c r="E50" s="1">
        <f>[1]Results!H1410</f>
        <v>2208701.9180000001</v>
      </c>
      <c r="F50" s="1">
        <f>[1]Results!I1410</f>
        <v>2232191.4360000002</v>
      </c>
      <c r="G50" s="1">
        <f>[1]Results!J1410</f>
        <v>2258646.5699999998</v>
      </c>
      <c r="H50" s="1">
        <f>[1]Results!K1410</f>
        <v>2287777.0920000002</v>
      </c>
      <c r="I50" s="1">
        <f>[1]Results!L1410</f>
        <v>2317652.4840000002</v>
      </c>
      <c r="J50" s="1">
        <f>[1]Results!M1410</f>
        <v>2349095.7379999999</v>
      </c>
      <c r="K50" s="1">
        <f>[1]Results!N1410</f>
        <v>2381914.0699999998</v>
      </c>
      <c r="L50" s="1">
        <f>[1]Results!O1410</f>
        <v>2415933.767</v>
      </c>
      <c r="M50" s="1">
        <f>[1]Results!P1410</f>
        <v>2453668.7540000002</v>
      </c>
      <c r="N50" s="1">
        <f>[1]Results!Q1410</f>
        <v>2490201.2239999999</v>
      </c>
      <c r="O50" s="1">
        <f>[1]Results!R1410</f>
        <v>2527337.5299999998</v>
      </c>
      <c r="P50" s="1">
        <f>[1]Results!S1410</f>
        <v>2564988.3640000001</v>
      </c>
      <c r="Q50" s="1">
        <f>[1]Results!T1410</f>
        <v>2603104.6710000001</v>
      </c>
      <c r="R50" s="1">
        <f>[1]Results!U1410</f>
        <v>2641662.6060000001</v>
      </c>
      <c r="S50" s="1">
        <f>[1]Results!V1410</f>
        <v>2680496.1320000002</v>
      </c>
      <c r="T50" s="1">
        <f>[1]Results!W1410</f>
        <v>2719748.6179999998</v>
      </c>
      <c r="U50" s="1">
        <f>[1]Results!X1410</f>
        <v>2759438.2519999999</v>
      </c>
      <c r="V50" s="1">
        <f>[1]Results!Y1410</f>
        <v>2799589.2949999999</v>
      </c>
      <c r="W50" s="1">
        <f>[1]Results!Z1410</f>
        <v>2838253.5329999998</v>
      </c>
      <c r="X50" s="1">
        <f>[1]Results!AA1410</f>
        <v>2878855.4619999998</v>
      </c>
      <c r="Y50" s="1">
        <f>[1]Results!AB1410</f>
        <v>2920099.47</v>
      </c>
      <c r="Z50" s="1">
        <f>[1]Results!AC1410</f>
        <v>2962004.7</v>
      </c>
      <c r="AA50" s="1">
        <f>[1]Results!AD1410</f>
        <v>3004578.3849999998</v>
      </c>
      <c r="AB50" s="1">
        <f>[1]Results!AE1410</f>
        <v>3042147.4569999999</v>
      </c>
      <c r="AC50" s="1">
        <f>[1]Results!AF1410</f>
        <v>3081856.9419999998</v>
      </c>
      <c r="AD50" s="1">
        <f>[1]Results!AG1410</f>
        <v>3121781.9849999999</v>
      </c>
      <c r="AE50" s="1">
        <f>[1]Results!AH1410</f>
        <v>3162060.1919999998</v>
      </c>
      <c r="AF50" s="1">
        <f>[1]Results!AI1410</f>
        <v>3202796.5109999999</v>
      </c>
      <c r="AG50" s="1">
        <f>[1]Results!AJ1410</f>
        <v>3244071.8139999998</v>
      </c>
      <c r="AH50" s="1">
        <f>[1]Results!AK1410</f>
        <v>3285980.4219999998</v>
      </c>
      <c r="AI50" s="1">
        <f>[1]Results!AL1410</f>
        <v>3328530.736</v>
      </c>
      <c r="AJ50" s="1">
        <f>[1]Results!AM1410</f>
        <v>3371744.642</v>
      </c>
      <c r="AK50" s="1">
        <f>[1]Results!AN1410</f>
        <v>3415632.3470000001</v>
      </c>
      <c r="AL50" s="1">
        <f>[1]Results!AO1410</f>
        <v>3460197.1269999999</v>
      </c>
      <c r="AM50" s="1">
        <f>[1]Results!AP1410</f>
        <v>3504394.1260000002</v>
      </c>
      <c r="AN50" s="1">
        <f>[1]Results!AQ1410</f>
        <v>3548924.1519999998</v>
      </c>
      <c r="AO50" s="1">
        <f>[1]Results!AR1410</f>
        <v>3593849.787</v>
      </c>
      <c r="AP50" s="1">
        <f>[1]Results!AS1410</f>
        <v>3639227.81</v>
      </c>
      <c r="AQ50" s="1">
        <f>[1]Results!AT1410</f>
        <v>3685108.76</v>
      </c>
      <c r="AR50" s="1">
        <f>[1]Results!AU1410</f>
        <v>3731586.665</v>
      </c>
      <c r="AS50" s="1">
        <f>[1]Results!AV1410</f>
        <v>3778653.7239999999</v>
      </c>
      <c r="AT50" s="1">
        <f>[1]Results!AW1410</f>
        <v>3826333.8059999999</v>
      </c>
      <c r="AU50" s="1">
        <f>[1]Results!AX1410</f>
        <v>3874642.2510000002</v>
      </c>
      <c r="AV50" s="1">
        <f>[1]Results!AY1410</f>
        <v>3923588.642</v>
      </c>
      <c r="AW50" s="1">
        <f>[1]Results!AZ1410</f>
        <v>3973475.8319999999</v>
      </c>
      <c r="AX50" s="1">
        <f>[1]Results!BA1410</f>
        <v>4024079.27</v>
      </c>
      <c r="AY50" s="1">
        <f>[1]Results!BB1410</f>
        <v>4075390.8229999999</v>
      </c>
      <c r="AZ50" s="1">
        <f>[1]Results!BC1410</f>
        <v>4127399.7629999998</v>
      </c>
      <c r="BA50" s="1">
        <f>[1]Results!BD1410</f>
        <v>4180097.85</v>
      </c>
      <c r="BB50" s="1">
        <f>[1]Results!BE1410</f>
        <v>4233589.6189999999</v>
      </c>
      <c r="BC50" s="1">
        <f>[1]Results!BF1410</f>
        <v>4287785.574</v>
      </c>
      <c r="BD50" s="1">
        <f>[1]Results!BG1410</f>
        <v>4342684.7709999997</v>
      </c>
      <c r="BE50" s="1">
        <f>[1]Results!BH1410</f>
        <v>4398287.318</v>
      </c>
      <c r="BF50" s="1">
        <f>[1]Results!BI1410</f>
        <v>4454596.34</v>
      </c>
    </row>
    <row r="51" spans="1:58" x14ac:dyDescent="0.35">
      <c r="A51" s="3" t="str">
        <f>[1]Results!E1411</f>
        <v>(GDPter_2/GDPbis_2-1)*100</v>
      </c>
      <c r="B51" t="str">
        <f>[1]Results!C1411</f>
        <v>Ecart PIB</v>
      </c>
      <c r="C51" s="1">
        <f>[1]Results!F1411</f>
        <v>0</v>
      </c>
      <c r="D51" s="1">
        <f>[1]Results!G1411</f>
        <v>0</v>
      </c>
      <c r="E51" s="1">
        <f>[1]Results!H1411</f>
        <v>0</v>
      </c>
      <c r="F51" s="1">
        <f>[1]Results!I1411</f>
        <v>-4.4799031151399049E-8</v>
      </c>
      <c r="G51" s="1">
        <f>[1]Results!J1411</f>
        <v>0</v>
      </c>
      <c r="H51" s="1">
        <f>[1]Results!K1411</f>
        <v>0</v>
      </c>
      <c r="I51" s="1">
        <f>[1]Results!L1411</f>
        <v>0</v>
      </c>
      <c r="J51" s="1">
        <f>[1]Results!M1411</f>
        <v>4.256957009118878E-8</v>
      </c>
      <c r="K51" s="1">
        <f>[1]Results!N1411</f>
        <v>0</v>
      </c>
      <c r="L51" s="1">
        <f>[1]Results!O1411</f>
        <v>0</v>
      </c>
      <c r="M51" s="1">
        <f>[1]Results!P1411</f>
        <v>0</v>
      </c>
      <c r="N51" s="1">
        <f>[1]Results!Q1411</f>
        <v>0</v>
      </c>
      <c r="O51" s="1">
        <f>[1]Results!R1411</f>
        <v>0</v>
      </c>
      <c r="P51" s="1">
        <f>[1]Results!S1411</f>
        <v>0</v>
      </c>
      <c r="Q51" s="1">
        <f>[1]Results!T1411</f>
        <v>0</v>
      </c>
      <c r="R51" s="1">
        <f>[1]Results!U1411</f>
        <v>0</v>
      </c>
      <c r="S51" s="1">
        <f>[1]Results!V1411</f>
        <v>0</v>
      </c>
      <c r="T51" s="1">
        <f>[1]Results!W1411</f>
        <v>0</v>
      </c>
      <c r="U51" s="1">
        <f>[1]Results!X1411</f>
        <v>0</v>
      </c>
      <c r="V51" s="1">
        <f>[1]Results!Y1411</f>
        <v>0</v>
      </c>
      <c r="W51" s="1">
        <f>[1]Results!Z1411</f>
        <v>0</v>
      </c>
      <c r="X51" s="1">
        <f>[1]Results!AA1411</f>
        <v>0</v>
      </c>
      <c r="Y51" s="1">
        <f>[1]Results!AB1411</f>
        <v>0</v>
      </c>
      <c r="Z51" s="1">
        <f>[1]Results!AC1411</f>
        <v>0</v>
      </c>
      <c r="AA51" s="1">
        <f>[1]Results!AD1411</f>
        <v>0</v>
      </c>
      <c r="AB51" s="1">
        <f>[1]Results!AE1411</f>
        <v>0</v>
      </c>
      <c r="AC51" s="1">
        <f>[1]Results!AF1411</f>
        <v>0</v>
      </c>
      <c r="AD51" s="1">
        <f>[1]Results!AG1411</f>
        <v>0</v>
      </c>
      <c r="AE51" s="1">
        <f>[1]Results!AH1411</f>
        <v>0</v>
      </c>
      <c r="AF51" s="1">
        <f>[1]Results!AI1411</f>
        <v>0</v>
      </c>
      <c r="AG51" s="1">
        <f>[1]Results!AJ1411</f>
        <v>0</v>
      </c>
      <c r="AH51" s="1">
        <f>[1]Results!AK1411</f>
        <v>3.0432301123539673E-8</v>
      </c>
      <c r="AI51" s="1">
        <f>[1]Results!AL1411</f>
        <v>0</v>
      </c>
      <c r="AJ51" s="1">
        <f>[1]Results!AM1411</f>
        <v>0</v>
      </c>
      <c r="AK51" s="1">
        <f>[1]Results!AN1411</f>
        <v>0</v>
      </c>
      <c r="AL51" s="1">
        <f>[1]Results!AO1411</f>
        <v>0</v>
      </c>
      <c r="AM51" s="1">
        <f>[1]Results!AP1411</f>
        <v>2.8535618312730548E-8</v>
      </c>
      <c r="AN51" s="1">
        <f>[1]Results!AQ1411</f>
        <v>0</v>
      </c>
      <c r="AO51" s="1">
        <f>[1]Results!AR1411</f>
        <v>0</v>
      </c>
      <c r="AP51" s="1">
        <f>[1]Results!AS1411</f>
        <v>0</v>
      </c>
      <c r="AQ51" s="1">
        <f>[1]Results!AT1411</f>
        <v>0</v>
      </c>
      <c r="AR51" s="1">
        <f>[1]Results!AU1411</f>
        <v>0</v>
      </c>
      <c r="AS51" s="1">
        <f>[1]Results!AV1411</f>
        <v>0</v>
      </c>
      <c r="AT51" s="1">
        <f>[1]Results!AW1411</f>
        <v>0</v>
      </c>
      <c r="AU51" s="1">
        <f>[1]Results!AX1411</f>
        <v>0</v>
      </c>
      <c r="AV51" s="1">
        <f>[1]Results!AY1411</f>
        <v>0</v>
      </c>
      <c r="AW51" s="1">
        <f>[1]Results!AZ1411</f>
        <v>0</v>
      </c>
      <c r="AX51" s="1">
        <f>[1]Results!BA1411</f>
        <v>0</v>
      </c>
      <c r="AY51" s="1">
        <f>[1]Results!BB1411</f>
        <v>0</v>
      </c>
      <c r="AZ51" s="1">
        <f>[1]Results!BC1411</f>
        <v>0</v>
      </c>
      <c r="BA51" s="1">
        <f>[1]Results!BD1411</f>
        <v>0</v>
      </c>
      <c r="BB51" s="1">
        <f>[1]Results!BE1411</f>
        <v>0</v>
      </c>
      <c r="BC51" s="1">
        <f>[1]Results!BF1411</f>
        <v>0</v>
      </c>
      <c r="BD51" s="1">
        <f>[1]Results!BG1411</f>
        <v>0</v>
      </c>
      <c r="BE51" s="1">
        <f>[1]Results!BH1411</f>
        <v>0</v>
      </c>
      <c r="BF51" s="1">
        <f>[1]Results!BI1411</f>
        <v>0</v>
      </c>
    </row>
    <row r="52" spans="1:58" x14ac:dyDescent="0.35">
      <c r="A52" s="3" t="str">
        <f>[1]Results!E1412</f>
        <v>SPEND_G_VAL_2</v>
      </c>
      <c r="B52" t="str">
        <f>[1]Results!C1412</f>
        <v>Dépenses publiques</v>
      </c>
      <c r="C52" s="1">
        <f>[1]Results!F1412</f>
        <v>1178064.0930000001</v>
      </c>
      <c r="D52" s="1">
        <f>[1]Results!G1412</f>
        <v>1217089.7749999999</v>
      </c>
      <c r="E52" s="1">
        <f>[1]Results!H1412</f>
        <v>1255357.338</v>
      </c>
      <c r="F52" s="1">
        <f>[1]Results!I1412</f>
        <v>1293943.4010000001</v>
      </c>
      <c r="G52" s="1">
        <f>[1]Results!J1412</f>
        <v>1334628.3689999999</v>
      </c>
      <c r="H52" s="1">
        <f>[1]Results!K1412</f>
        <v>1378095.35</v>
      </c>
      <c r="I52" s="1">
        <f>[1]Results!L1412</f>
        <v>1423127.155</v>
      </c>
      <c r="J52" s="1">
        <f>[1]Results!M1412</f>
        <v>1471016.871</v>
      </c>
      <c r="K52" s="1">
        <f>[1]Results!N1412</f>
        <v>1521713.121</v>
      </c>
      <c r="L52" s="1">
        <f>[1]Results!O1412</f>
        <v>1575211.0589999999</v>
      </c>
      <c r="M52" s="1">
        <f>[1]Results!P1412</f>
        <v>1634125.611</v>
      </c>
      <c r="N52" s="1">
        <f>[1]Results!Q1412</f>
        <v>1693444.1229999999</v>
      </c>
      <c r="O52" s="1">
        <f>[1]Results!R1412</f>
        <v>1755690.074</v>
      </c>
      <c r="P52" s="1">
        <f>[1]Results!S1412</f>
        <v>1820846.9950000001</v>
      </c>
      <c r="Q52" s="1">
        <f>[1]Results!T1412</f>
        <v>1888920.683</v>
      </c>
      <c r="R52" s="1">
        <f>[1]Results!U1412</f>
        <v>1959913.274</v>
      </c>
      <c r="S52" s="1">
        <f>[1]Results!V1412</f>
        <v>2033822.17</v>
      </c>
      <c r="T52" s="1">
        <f>[1]Results!W1412</f>
        <v>2110618.6839999999</v>
      </c>
      <c r="U52" s="1">
        <f>[1]Results!X1412</f>
        <v>2190285.6609999998</v>
      </c>
      <c r="V52" s="1">
        <f>[1]Results!Y1412</f>
        <v>2272821.1460000002</v>
      </c>
      <c r="W52" s="1">
        <f>[1]Results!Z1412</f>
        <v>2355903.2149999999</v>
      </c>
      <c r="X52" s="1">
        <f>[1]Results!AA1412</f>
        <v>2444088.997</v>
      </c>
      <c r="Y52" s="1">
        <f>[1]Results!AB1412</f>
        <v>2535174.0619999999</v>
      </c>
      <c r="Z52" s="1">
        <f>[1]Results!AC1412</f>
        <v>2629233.699</v>
      </c>
      <c r="AA52" s="1">
        <f>[1]Results!AD1412</f>
        <v>2726329.9509999999</v>
      </c>
      <c r="AB52" s="1">
        <f>[1]Results!AE1412</f>
        <v>2819075.906</v>
      </c>
      <c r="AC52" s="1">
        <f>[1]Results!AF1412</f>
        <v>2918443.8319999999</v>
      </c>
      <c r="AD52" s="1">
        <f>[1]Results!AG1412</f>
        <v>3020679.628</v>
      </c>
      <c r="AE52" s="1">
        <f>[1]Results!AH1412</f>
        <v>3125936.89</v>
      </c>
      <c r="AF52" s="1">
        <f>[1]Results!AI1412</f>
        <v>3234336.824</v>
      </c>
      <c r="AG52" s="1">
        <f>[1]Results!AJ1412</f>
        <v>3346001.4219999998</v>
      </c>
      <c r="AH52" s="1">
        <f>[1]Results!AK1412</f>
        <v>3461067.4410000001</v>
      </c>
      <c r="AI52" s="1">
        <f>[1]Results!AL1412</f>
        <v>3579697.9649999999</v>
      </c>
      <c r="AJ52" s="1">
        <f>[1]Results!AM1412</f>
        <v>3702072.2439999999</v>
      </c>
      <c r="AK52" s="1">
        <f>[1]Results!AN1412</f>
        <v>3828379.0959999999</v>
      </c>
      <c r="AL52" s="1">
        <f>[1]Results!AO1412</f>
        <v>3958814.8939999999</v>
      </c>
      <c r="AM52" s="1">
        <f>[1]Results!AP1412</f>
        <v>4091336.523</v>
      </c>
      <c r="AN52" s="1">
        <f>[1]Results!AQ1412</f>
        <v>4228221.2019999996</v>
      </c>
      <c r="AO52" s="1">
        <f>[1]Results!AR1412</f>
        <v>4369670.4759999998</v>
      </c>
      <c r="AP52" s="1">
        <f>[1]Results!AS1412</f>
        <v>4515883.2290000003</v>
      </c>
      <c r="AQ52" s="1">
        <f>[1]Results!AT1412</f>
        <v>4667051.8530000001</v>
      </c>
      <c r="AR52" s="1">
        <f>[1]Results!AU1412</f>
        <v>4823363.9610000001</v>
      </c>
      <c r="AS52" s="1">
        <f>[1]Results!AV1412</f>
        <v>4985022.091</v>
      </c>
      <c r="AT52" s="1">
        <f>[1]Results!AW1412</f>
        <v>5152236.6619999995</v>
      </c>
      <c r="AU52" s="1">
        <f>[1]Results!AX1412</f>
        <v>5325219.5460000001</v>
      </c>
      <c r="AV52" s="1">
        <f>[1]Results!AY1412</f>
        <v>5504187.3020000001</v>
      </c>
      <c r="AW52" s="1">
        <f>[1]Results!AZ1412</f>
        <v>5689588.8689999999</v>
      </c>
      <c r="AX52" s="1">
        <f>[1]Results!BA1412</f>
        <v>5881455.1720000003</v>
      </c>
      <c r="AY52" s="1">
        <f>[1]Results!BB1412</f>
        <v>6080050.8959999997</v>
      </c>
      <c r="AZ52" s="1">
        <f>[1]Results!BC1412</f>
        <v>6285613.9869999997</v>
      </c>
      <c r="BA52" s="1">
        <f>[1]Results!BD1412</f>
        <v>6498375.2199999997</v>
      </c>
      <c r="BB52" s="1">
        <f>[1]Results!BE1412</f>
        <v>6718556.6550000003</v>
      </c>
      <c r="BC52" s="1">
        <f>[1]Results!BF1412</f>
        <v>6946410.7920000004</v>
      </c>
      <c r="BD52" s="1">
        <f>[1]Results!BG1412</f>
        <v>7182203.8300000001</v>
      </c>
      <c r="BE52" s="1">
        <f>[1]Results!BH1412</f>
        <v>7426189.0439999998</v>
      </c>
      <c r="BF52" s="1">
        <f>[1]Results!BI1412</f>
        <v>7678619.0750000002</v>
      </c>
    </row>
    <row r="53" spans="1:58" x14ac:dyDescent="0.35">
      <c r="A53" s="3" t="str">
        <f>[1]Results!E1413</f>
        <v>INC_G_VAL_2</v>
      </c>
      <c r="B53" t="str">
        <f>[1]Results!C1413</f>
        <v>Recettes publiques</v>
      </c>
      <c r="C53" s="1">
        <f>[1]Results!F1413</f>
        <v>1009816.572</v>
      </c>
      <c r="D53" s="1">
        <f>[1]Results!G1413</f>
        <v>1027513.517</v>
      </c>
      <c r="E53" s="1">
        <f>[1]Results!H1413</f>
        <v>1048439.648</v>
      </c>
      <c r="F53" s="1">
        <f>[1]Results!I1413</f>
        <v>1071634.5490000001</v>
      </c>
      <c r="G53" s="1">
        <f>[1]Results!J1413</f>
        <v>1097536.3119999999</v>
      </c>
      <c r="H53" s="1">
        <f>[1]Results!K1413</f>
        <v>1126436.068</v>
      </c>
      <c r="I53" s="1">
        <f>[1]Results!L1413</f>
        <v>1157766.334</v>
      </c>
      <c r="J53" s="1">
        <f>[1]Results!M1413</f>
        <v>1191811.703</v>
      </c>
      <c r="K53" s="1">
        <f>[1]Results!N1413</f>
        <v>1228581.3589999999</v>
      </c>
      <c r="L53" s="1">
        <f>[1]Results!O1413</f>
        <v>1268053.9569999999</v>
      </c>
      <c r="M53" s="1">
        <f>[1]Results!P1413</f>
        <v>1311475.8230000001</v>
      </c>
      <c r="N53" s="1">
        <f>[1]Results!Q1413</f>
        <v>1356978.963</v>
      </c>
      <c r="O53" s="1">
        <f>[1]Results!R1413</f>
        <v>1404911.9820000001</v>
      </c>
      <c r="P53" s="1">
        <f>[1]Results!S1413</f>
        <v>1455221.99</v>
      </c>
      <c r="Q53" s="1">
        <f>[1]Results!T1413</f>
        <v>1507875.0060000001</v>
      </c>
      <c r="R53" s="1">
        <f>[1]Results!U1413</f>
        <v>1562846.922</v>
      </c>
      <c r="S53" s="1">
        <f>[1]Results!V1413</f>
        <v>1620046.08</v>
      </c>
      <c r="T53" s="1">
        <f>[1]Results!W1413</f>
        <v>1679465.8770000001</v>
      </c>
      <c r="U53" s="1">
        <f>[1]Results!X1413</f>
        <v>1741092.56</v>
      </c>
      <c r="V53" s="1">
        <f>[1]Results!Y1413</f>
        <v>1804913.0319999999</v>
      </c>
      <c r="W53" s="1">
        <f>[1]Results!Z1413</f>
        <v>1869747.024</v>
      </c>
      <c r="X53" s="1">
        <f>[1]Results!AA1413</f>
        <v>1937184.68</v>
      </c>
      <c r="Y53" s="1">
        <f>[1]Results!AB1413</f>
        <v>2006887.844</v>
      </c>
      <c r="Z53" s="1">
        <f>[1]Results!AC1413</f>
        <v>2078877.1270000001</v>
      </c>
      <c r="AA53" s="1">
        <f>[1]Results!AD1413</f>
        <v>2153164.949</v>
      </c>
      <c r="AB53" s="1">
        <f>[1]Results!AE1413</f>
        <v>2226023.9950000001</v>
      </c>
      <c r="AC53" s="1">
        <f>[1]Results!AF1413</f>
        <v>2300813.4849999999</v>
      </c>
      <c r="AD53" s="1">
        <f>[1]Results!AG1413</f>
        <v>2377092.6869999999</v>
      </c>
      <c r="AE53" s="1">
        <f>[1]Results!AH1413</f>
        <v>2455057.5920000002</v>
      </c>
      <c r="AF53" s="1">
        <f>[1]Results!AI1413</f>
        <v>2534887.9739999999</v>
      </c>
      <c r="AG53" s="1">
        <f>[1]Results!AJ1413</f>
        <v>2616747.9160000002</v>
      </c>
      <c r="AH53" s="1">
        <f>[1]Results!AK1413</f>
        <v>2700809.93</v>
      </c>
      <c r="AI53" s="1">
        <f>[1]Results!AL1413</f>
        <v>2787211.9530000002</v>
      </c>
      <c r="AJ53" s="1">
        <f>[1]Results!AM1413</f>
        <v>2876088.4079999998</v>
      </c>
      <c r="AK53" s="1">
        <f>[1]Results!AN1413</f>
        <v>2967571.122</v>
      </c>
      <c r="AL53" s="1">
        <f>[1]Results!AO1413</f>
        <v>3061791.7420000001</v>
      </c>
      <c r="AM53" s="1">
        <f>[1]Results!AP1413</f>
        <v>3157978.5669999998</v>
      </c>
      <c r="AN53" s="1">
        <f>[1]Results!AQ1413</f>
        <v>3256606.9070000001</v>
      </c>
      <c r="AO53" s="1">
        <f>[1]Results!AR1413</f>
        <v>3357868.7349999999</v>
      </c>
      <c r="AP53" s="1">
        <f>[1]Results!AS1413</f>
        <v>3461972.4249999998</v>
      </c>
      <c r="AQ53" s="1">
        <f>[1]Results!AT1413</f>
        <v>3569126.3470000001</v>
      </c>
      <c r="AR53" s="1">
        <f>[1]Results!AU1413</f>
        <v>3679566.5120000001</v>
      </c>
      <c r="AS53" s="1">
        <f>[1]Results!AV1413</f>
        <v>3793476.0809999998</v>
      </c>
      <c r="AT53" s="1">
        <f>[1]Results!AW1413</f>
        <v>3911030.923</v>
      </c>
      <c r="AU53" s="1">
        <f>[1]Results!AX1413</f>
        <v>4032397.3360000001</v>
      </c>
      <c r="AV53" s="1">
        <f>[1]Results!AY1413</f>
        <v>4157734.2590000001</v>
      </c>
      <c r="AW53" s="1">
        <f>[1]Results!AZ1413</f>
        <v>4287447.0949999997</v>
      </c>
      <c r="AX53" s="1">
        <f>[1]Results!BA1413</f>
        <v>4421624.3059999999</v>
      </c>
      <c r="AY53" s="1">
        <f>[1]Results!BB1413</f>
        <v>4560400.8849999998</v>
      </c>
      <c r="AZ53" s="1">
        <f>[1]Results!BC1413</f>
        <v>4703911.0460000001</v>
      </c>
      <c r="BA53" s="1">
        <f>[1]Results!BD1413</f>
        <v>4852291.085</v>
      </c>
      <c r="BB53" s="1">
        <f>[1]Results!BE1413</f>
        <v>5005771.2460000003</v>
      </c>
      <c r="BC53" s="1">
        <f>[1]Results!BF1413</f>
        <v>5164482.6689999998</v>
      </c>
      <c r="BD53" s="1">
        <f>[1]Results!BG1413</f>
        <v>5328572.4649999999</v>
      </c>
      <c r="BE53" s="1">
        <f>[1]Results!BH1413</f>
        <v>5498194.4610000001</v>
      </c>
      <c r="BF53" s="1">
        <f>[1]Results!BI1413</f>
        <v>5673509.3200000003</v>
      </c>
    </row>
    <row r="54" spans="1:58" x14ac:dyDescent="0.35">
      <c r="A54" s="3" t="str">
        <f>[1]Results!E1414</f>
        <v>Bal_G_tot_VAL_2</v>
      </c>
      <c r="B54" t="str">
        <f>[1]Results!C1414</f>
        <v>Solde public</v>
      </c>
      <c r="C54" s="1">
        <f>[1]Results!F1414</f>
        <v>-66270.453219999996</v>
      </c>
      <c r="D54" s="1">
        <f>[1]Results!G1414</f>
        <v>-84285.6679</v>
      </c>
      <c r="E54" s="1">
        <f>[1]Results!H1414</f>
        <v>-97412.816990000007</v>
      </c>
      <c r="F54" s="1">
        <f>[1]Results!I1414</f>
        <v>-107933.3377</v>
      </c>
      <c r="G54" s="1">
        <f>[1]Results!J1414</f>
        <v>-117319.87519999999</v>
      </c>
      <c r="H54" s="1">
        <f>[1]Results!K1414</f>
        <v>-126021.107</v>
      </c>
      <c r="I54" s="1">
        <f>[1]Results!L1414</f>
        <v>-133421.5895</v>
      </c>
      <c r="J54" s="1">
        <f>[1]Results!M1414</f>
        <v>-140594.85800000001</v>
      </c>
      <c r="K54" s="1">
        <f>[1]Results!N1414</f>
        <v>-147491.70910000001</v>
      </c>
      <c r="L54" s="1">
        <f>[1]Results!O1414</f>
        <v>-154142.46340000001</v>
      </c>
      <c r="M54" s="1">
        <f>[1]Results!P1414</f>
        <v>-161928.02739999999</v>
      </c>
      <c r="N54" s="1">
        <f>[1]Results!Q1414</f>
        <v>-167646.99650000001</v>
      </c>
      <c r="O54" s="1">
        <f>[1]Results!R1414</f>
        <v>-173577.57930000001</v>
      </c>
      <c r="P54" s="1">
        <f>[1]Results!S1414</f>
        <v>-179745.614</v>
      </c>
      <c r="Q54" s="1">
        <f>[1]Results!T1414</f>
        <v>-186179.005</v>
      </c>
      <c r="R54" s="1">
        <f>[1]Results!U1414</f>
        <v>-192890.72880000001</v>
      </c>
      <c r="S54" s="1">
        <f>[1]Results!V1414</f>
        <v>-199955.9308</v>
      </c>
      <c r="T54" s="1">
        <f>[1]Results!W1414</f>
        <v>-207334.85200000001</v>
      </c>
      <c r="U54" s="1">
        <f>[1]Results!X1414</f>
        <v>-215008.4019</v>
      </c>
      <c r="V54" s="1">
        <f>[1]Results!Y1414</f>
        <v>-222972.99590000001</v>
      </c>
      <c r="W54" s="1">
        <f>[1]Results!Z1414</f>
        <v>-230072.42259999999</v>
      </c>
      <c r="X54" s="1">
        <f>[1]Results!AA1414</f>
        <v>-239316.92790000001</v>
      </c>
      <c r="Y54" s="1">
        <f>[1]Results!AB1414</f>
        <v>-248732.9822</v>
      </c>
      <c r="Z54" s="1">
        <f>[1]Results!AC1414</f>
        <v>-258366.68770000001</v>
      </c>
      <c r="AA54" s="1">
        <f>[1]Results!AD1414</f>
        <v>-268256.78220000002</v>
      </c>
      <c r="AB54" s="1">
        <f>[1]Results!AE1414</f>
        <v>-274730.85210000002</v>
      </c>
      <c r="AC54" s="1">
        <f>[1]Results!AF1414</f>
        <v>-285572.74589999998</v>
      </c>
      <c r="AD54" s="1">
        <f>[1]Results!AG1414</f>
        <v>-297250.70309999998</v>
      </c>
      <c r="AE54" s="1">
        <f>[1]Results!AH1414</f>
        <v>-309680.52470000001</v>
      </c>
      <c r="AF54" s="1">
        <f>[1]Results!AI1414</f>
        <v>-322766.05</v>
      </c>
      <c r="AG54" s="1">
        <f>[1]Results!AJ1414</f>
        <v>-336432.4045</v>
      </c>
      <c r="AH54" s="1">
        <f>[1]Results!AK1414</f>
        <v>-350614.78820000001</v>
      </c>
      <c r="AI54" s="1">
        <f>[1]Results!AL1414</f>
        <v>-365312.55050000001</v>
      </c>
      <c r="AJ54" s="1">
        <f>[1]Results!AM1414</f>
        <v>-380544.74660000001</v>
      </c>
      <c r="AK54" s="1">
        <f>[1]Results!AN1414</f>
        <v>-396341.64720000001</v>
      </c>
      <c r="AL54" s="1">
        <f>[1]Results!AO1414</f>
        <v>-412739.74320000003</v>
      </c>
      <c r="AM54" s="1">
        <f>[1]Results!AP1414</f>
        <v>-428437.56040000002</v>
      </c>
      <c r="AN54" s="1">
        <f>[1]Results!AQ1414</f>
        <v>-445272.02120000002</v>
      </c>
      <c r="AO54" s="1">
        <f>[1]Results!AR1414</f>
        <v>-463195.8665</v>
      </c>
      <c r="AP54" s="1">
        <f>[1]Results!AS1414</f>
        <v>-482145.13510000001</v>
      </c>
      <c r="AQ54" s="1">
        <f>[1]Results!AT1414</f>
        <v>-502052.58010000002</v>
      </c>
      <c r="AR54" s="1">
        <f>[1]Results!AU1414</f>
        <v>-522821.89439999999</v>
      </c>
      <c r="AS54" s="1">
        <f>[1]Results!AV1414</f>
        <v>-544429.36069999996</v>
      </c>
      <c r="AT54" s="1">
        <f>[1]Results!AW1414</f>
        <v>-566867.62159999995</v>
      </c>
      <c r="AU54" s="1">
        <f>[1]Results!AX1414</f>
        <v>-590140.71180000005</v>
      </c>
      <c r="AV54" s="1">
        <f>[1]Results!AY1414</f>
        <v>-614264.51</v>
      </c>
      <c r="AW54" s="1">
        <f>[1]Results!AZ1414</f>
        <v>-639240.0148</v>
      </c>
      <c r="AX54" s="1">
        <f>[1]Results!BA1414</f>
        <v>-664967.10580000002</v>
      </c>
      <c r="AY54" s="1">
        <f>[1]Results!BB1414</f>
        <v>-691537.89639999997</v>
      </c>
      <c r="AZ54" s="1">
        <f>[1]Results!BC1414</f>
        <v>-719013.93130000005</v>
      </c>
      <c r="BA54" s="1">
        <f>[1]Results!BD1414</f>
        <v>-747444.42830000003</v>
      </c>
      <c r="BB54" s="1">
        <f>[1]Results!BE1414</f>
        <v>-776773.48049999995</v>
      </c>
      <c r="BC54" s="1">
        <f>[1]Results!BF1414</f>
        <v>-807077.52069999999</v>
      </c>
      <c r="BD54" s="1">
        <f>[1]Results!BG1414</f>
        <v>-838426.88699999999</v>
      </c>
      <c r="BE54" s="1">
        <f>[1]Results!BH1414</f>
        <v>-870868.76020000002</v>
      </c>
      <c r="BF54" s="1">
        <f>[1]Results!BI1414</f>
        <v>-904440.49490000005</v>
      </c>
    </row>
    <row r="55" spans="1:58" x14ac:dyDescent="0.35">
      <c r="A55" s="3" t="str">
        <f>[1]Results!E1415</f>
        <v>DEBT_G_VAL_2</v>
      </c>
      <c r="B55" t="str">
        <f>[1]Results!C1415</f>
        <v>Dette publique</v>
      </c>
      <c r="C55" s="1">
        <f>[1]Results!F1415</f>
        <v>2105811.807</v>
      </c>
      <c r="D55" s="1">
        <f>[1]Results!G1415</f>
        <v>2190097.4750000001</v>
      </c>
      <c r="E55" s="1">
        <f>[1]Results!H1415</f>
        <v>2287510.2919999999</v>
      </c>
      <c r="F55" s="1">
        <f>[1]Results!I1415</f>
        <v>2395443.6290000002</v>
      </c>
      <c r="G55" s="1">
        <f>[1]Results!J1415</f>
        <v>2512763.5040000002</v>
      </c>
      <c r="H55" s="1">
        <f>[1]Results!K1415</f>
        <v>2638784.611</v>
      </c>
      <c r="I55" s="1">
        <f>[1]Results!L1415</f>
        <v>2772206.2009999999</v>
      </c>
      <c r="J55" s="1">
        <f>[1]Results!M1415</f>
        <v>2912801.0589999999</v>
      </c>
      <c r="K55" s="1">
        <f>[1]Results!N1415</f>
        <v>3060292.7680000002</v>
      </c>
      <c r="L55" s="1">
        <f>[1]Results!O1415</f>
        <v>3214435.2319999998</v>
      </c>
      <c r="M55" s="1">
        <f>[1]Results!P1415</f>
        <v>3376363.2590000001</v>
      </c>
      <c r="N55" s="1">
        <f>[1]Results!Q1415</f>
        <v>3544010.2549999999</v>
      </c>
      <c r="O55" s="1">
        <f>[1]Results!R1415</f>
        <v>3717587.835</v>
      </c>
      <c r="P55" s="1">
        <f>[1]Results!S1415</f>
        <v>3897333.449</v>
      </c>
      <c r="Q55" s="1">
        <f>[1]Results!T1415</f>
        <v>4083512.4539999999</v>
      </c>
      <c r="R55" s="1">
        <f>[1]Results!U1415</f>
        <v>4276403.1830000002</v>
      </c>
      <c r="S55" s="1">
        <f>[1]Results!V1415</f>
        <v>4476359.1129999999</v>
      </c>
      <c r="T55" s="1">
        <f>[1]Results!W1415</f>
        <v>4683693.9649999999</v>
      </c>
      <c r="U55" s="1">
        <f>[1]Results!X1415</f>
        <v>4898702.3669999996</v>
      </c>
      <c r="V55" s="1">
        <f>[1]Results!Y1415</f>
        <v>5121675.3629999999</v>
      </c>
      <c r="W55" s="1">
        <f>[1]Results!Z1415</f>
        <v>5351747.7860000003</v>
      </c>
      <c r="X55" s="1">
        <f>[1]Results!AA1415</f>
        <v>5591064.7139999997</v>
      </c>
      <c r="Y55" s="1">
        <f>[1]Results!AB1415</f>
        <v>5839797.6960000005</v>
      </c>
      <c r="Z55" s="1">
        <f>[1]Results!AC1415</f>
        <v>6098164.3839999996</v>
      </c>
      <c r="AA55" s="1">
        <f>[1]Results!AD1415</f>
        <v>6366421.1660000002</v>
      </c>
      <c r="AB55" s="1">
        <f>[1]Results!AE1415</f>
        <v>6641152.0180000002</v>
      </c>
      <c r="AC55" s="1">
        <f>[1]Results!AF1415</f>
        <v>6926724.7640000004</v>
      </c>
      <c r="AD55" s="1">
        <f>[1]Results!AG1415</f>
        <v>7223975.4670000002</v>
      </c>
      <c r="AE55" s="1">
        <f>[1]Results!AH1415</f>
        <v>7533655.9919999996</v>
      </c>
      <c r="AF55" s="1">
        <f>[1]Results!AI1415</f>
        <v>7856422.0420000004</v>
      </c>
      <c r="AG55" s="1">
        <f>[1]Results!AJ1415</f>
        <v>8192854.4460000005</v>
      </c>
      <c r="AH55" s="1">
        <f>[1]Results!AK1415</f>
        <v>8543469.2339999992</v>
      </c>
      <c r="AI55" s="1">
        <f>[1]Results!AL1415</f>
        <v>8908781.7850000001</v>
      </c>
      <c r="AJ55" s="1">
        <f>[1]Results!AM1415</f>
        <v>9289326.5309999995</v>
      </c>
      <c r="AK55" s="1">
        <f>[1]Results!AN1415</f>
        <v>9685668.1789999995</v>
      </c>
      <c r="AL55" s="1">
        <f>[1]Results!AO1415</f>
        <v>10098407.92</v>
      </c>
      <c r="AM55" s="1">
        <f>[1]Results!AP1415</f>
        <v>10526845.48</v>
      </c>
      <c r="AN55" s="1">
        <f>[1]Results!AQ1415</f>
        <v>10972117.5</v>
      </c>
      <c r="AO55" s="1">
        <f>[1]Results!AR1415</f>
        <v>11435313.369999999</v>
      </c>
      <c r="AP55" s="1">
        <f>[1]Results!AS1415</f>
        <v>11917458.5</v>
      </c>
      <c r="AQ55" s="1">
        <f>[1]Results!AT1415</f>
        <v>12419511.09</v>
      </c>
      <c r="AR55" s="1">
        <f>[1]Results!AU1415</f>
        <v>12942332.98</v>
      </c>
      <c r="AS55" s="1">
        <f>[1]Results!AV1415</f>
        <v>13486762.34</v>
      </c>
      <c r="AT55" s="1">
        <f>[1]Results!AW1415</f>
        <v>14053629.960000001</v>
      </c>
      <c r="AU55" s="1">
        <f>[1]Results!AX1415</f>
        <v>14643770.67</v>
      </c>
      <c r="AV55" s="1">
        <f>[1]Results!AY1415</f>
        <v>15258035.18</v>
      </c>
      <c r="AW55" s="1">
        <f>[1]Results!AZ1415</f>
        <v>15897275.199999999</v>
      </c>
      <c r="AX55" s="1">
        <f>[1]Results!BA1415</f>
        <v>16562242.300000001</v>
      </c>
      <c r="AY55" s="1">
        <f>[1]Results!BB1415</f>
        <v>17253780.199999999</v>
      </c>
      <c r="AZ55" s="1">
        <f>[1]Results!BC1415</f>
        <v>17972794.129999999</v>
      </c>
      <c r="BA55" s="1">
        <f>[1]Results!BD1415</f>
        <v>18720238.559999999</v>
      </c>
      <c r="BB55" s="1">
        <f>[1]Results!BE1415</f>
        <v>19497012.039999999</v>
      </c>
      <c r="BC55" s="1">
        <f>[1]Results!BF1415</f>
        <v>20304089.559999999</v>
      </c>
      <c r="BD55" s="1">
        <f>[1]Results!BG1415</f>
        <v>21142516.449999999</v>
      </c>
      <c r="BE55" s="1">
        <f>[1]Results!BH1415</f>
        <v>22013385.210000001</v>
      </c>
      <c r="BF55" s="1">
        <f>[1]Results!BI1415</f>
        <v>22917825.699999999</v>
      </c>
    </row>
    <row r="56" spans="1:58" x14ac:dyDescent="0.3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 spans="1:58" x14ac:dyDescent="0.3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 spans="1:58" x14ac:dyDescent="0.35">
      <c r="A58" s="13" t="s">
        <v>49</v>
      </c>
      <c r="B58" t="s">
        <v>4</v>
      </c>
      <c r="C58" s="1">
        <f>[1]Results!F1731</f>
        <v>1202984.926</v>
      </c>
      <c r="D58" s="1">
        <f>[1]Results!G1731</f>
        <v>1211930.274</v>
      </c>
      <c r="E58" s="1">
        <f>[1]Results!H1731</f>
        <v>1221106.466</v>
      </c>
      <c r="F58" s="1">
        <f>[1]Results!I1731</f>
        <v>1232054.0449999999</v>
      </c>
      <c r="G58" s="1">
        <f>[1]Results!J1731</f>
        <v>1245098.8540000001</v>
      </c>
      <c r="H58" s="1">
        <f>[1]Results!K1731</f>
        <v>1260228.4410000001</v>
      </c>
      <c r="I58" s="1">
        <f>[1]Results!L1731</f>
        <v>1276735.3729999999</v>
      </c>
      <c r="J58" s="1">
        <f>[1]Results!M1731</f>
        <v>1294605.8389999999</v>
      </c>
      <c r="K58" s="1">
        <f>[1]Results!N1731</f>
        <v>1313742.1610000001</v>
      </c>
      <c r="L58" s="1">
        <f>[1]Results!O1731</f>
        <v>1334004.3910000001</v>
      </c>
      <c r="M58" s="1">
        <f>[1]Results!P1731</f>
        <v>1356273.9709999999</v>
      </c>
      <c r="N58" s="1">
        <f>[1]Results!Q1731</f>
        <v>1379105.7560000001</v>
      </c>
      <c r="O58" s="1">
        <f>[1]Results!R1731</f>
        <v>1402427.6040000001</v>
      </c>
      <c r="P58" s="1">
        <f>[1]Results!S1731</f>
        <v>1426139.875</v>
      </c>
      <c r="Q58" s="1">
        <f>[1]Results!T1731</f>
        <v>1450157.8840000001</v>
      </c>
      <c r="R58" s="1">
        <f>[1]Results!U1731</f>
        <v>1474419.162</v>
      </c>
      <c r="S58" s="1">
        <f>[1]Results!V1731</f>
        <v>1498880.0149999999</v>
      </c>
      <c r="T58" s="1">
        <f>[1]Results!W1731</f>
        <v>1523509.9750000001</v>
      </c>
      <c r="U58" s="1">
        <f>[1]Results!X1731</f>
        <v>1548287.169</v>
      </c>
      <c r="V58" s="1">
        <f>[1]Results!Y1731</f>
        <v>1573195.3559999999</v>
      </c>
      <c r="W58" s="1">
        <f>[1]Results!Z1731</f>
        <v>1597443.7490000001</v>
      </c>
      <c r="X58" s="1">
        <f>[1]Results!AA1731</f>
        <v>1621985.4210000001</v>
      </c>
      <c r="Y58" s="1">
        <f>[1]Results!AB1731</f>
        <v>1646770.088</v>
      </c>
      <c r="Z58" s="1">
        <f>[1]Results!AC1731</f>
        <v>1671781.551</v>
      </c>
      <c r="AA58" s="1">
        <f>[1]Results!AD1731</f>
        <v>1697009.3729999999</v>
      </c>
      <c r="AB58" s="1">
        <f>[1]Results!AE1731</f>
        <v>1720190.233</v>
      </c>
      <c r="AC58" s="1">
        <f>[1]Results!AF1731</f>
        <v>1743028.8540000001</v>
      </c>
      <c r="AD58" s="1">
        <f>[1]Results!AG1731</f>
        <v>1765630.1810000001</v>
      </c>
      <c r="AE58" s="1">
        <f>[1]Results!AH1731</f>
        <v>1788129.1370000001</v>
      </c>
      <c r="AF58" s="1">
        <f>[1]Results!AI1731</f>
        <v>1810648.8729999999</v>
      </c>
      <c r="AG58" s="1">
        <f>[1]Results!AJ1731</f>
        <v>1833288.1910000001</v>
      </c>
      <c r="AH58" s="1">
        <f>[1]Results!AK1731</f>
        <v>1856120.6240000001</v>
      </c>
      <c r="AI58" s="1">
        <f>[1]Results!AL1731</f>
        <v>1879198.2439999999</v>
      </c>
      <c r="AJ58" s="1">
        <f>[1]Results!AM1731</f>
        <v>1902556.902</v>
      </c>
      <c r="AK58" s="1">
        <f>[1]Results!AN1731</f>
        <v>1926221.2749999999</v>
      </c>
      <c r="AL58" s="1">
        <f>[1]Results!AO1731</f>
        <v>1950208.9909999999</v>
      </c>
      <c r="AM58" s="1">
        <f>[1]Results!AP1731</f>
        <v>1973992.7479999999</v>
      </c>
      <c r="AN58" s="1">
        <f>[1]Results!AQ1731</f>
        <v>1997705.7120000001</v>
      </c>
      <c r="AO58" s="1">
        <f>[1]Results!AR1731</f>
        <v>2021450.2990000001</v>
      </c>
      <c r="AP58" s="1">
        <f>[1]Results!AS1731</f>
        <v>2045317.875</v>
      </c>
      <c r="AQ58" s="1">
        <f>[1]Results!AT1731</f>
        <v>2069389.3840000001</v>
      </c>
      <c r="AR58" s="1">
        <f>[1]Results!AU1731</f>
        <v>2093732.8940000001</v>
      </c>
      <c r="AS58" s="1">
        <f>[1]Results!AV1731</f>
        <v>2118402.3560000001</v>
      </c>
      <c r="AT58" s="1">
        <f>[1]Results!AW1731</f>
        <v>2143438.1469999999</v>
      </c>
      <c r="AU58" s="1">
        <f>[1]Results!AX1731</f>
        <v>2168868.8879999998</v>
      </c>
      <c r="AV58" s="1">
        <f>[1]Results!AY1731</f>
        <v>2194713.875</v>
      </c>
      <c r="AW58" s="1">
        <f>[1]Results!AZ1731</f>
        <v>2221033.9550000001</v>
      </c>
      <c r="AX58" s="1">
        <f>[1]Results!BA1731</f>
        <v>2247826.0720000002</v>
      </c>
      <c r="AY58" s="1">
        <f>[1]Results!BB1731</f>
        <v>2275086.9989999998</v>
      </c>
      <c r="AZ58" s="1">
        <f>[1]Results!BC1731</f>
        <v>2302812.9479999999</v>
      </c>
      <c r="BA58" s="1">
        <f>[1]Results!BD1731</f>
        <v>2331000.44</v>
      </c>
      <c r="BB58" s="1">
        <f>[1]Results!BE1731</f>
        <v>2359647.0780000002</v>
      </c>
      <c r="BC58" s="1">
        <f>[1]Results!BF1731</f>
        <v>2388751.9509999999</v>
      </c>
      <c r="BD58" s="1">
        <f>[1]Results!BG1731</f>
        <v>2418315.7000000002</v>
      </c>
      <c r="BE58" s="1">
        <f>[1]Results!BH1731</f>
        <v>2448340.3560000001</v>
      </c>
      <c r="BF58" s="1">
        <f>[1]Results!BI1731</f>
        <v>2478829.068</v>
      </c>
    </row>
    <row r="59" spans="1:58" x14ac:dyDescent="0.35">
      <c r="A59" s="14"/>
      <c r="B59" t="s">
        <v>6</v>
      </c>
      <c r="C59" s="1">
        <f>[1]Results!F1702</f>
        <v>1202495.9609999999</v>
      </c>
      <c r="D59" s="1">
        <f>[1]Results!G1702</f>
        <v>1210384.7830000001</v>
      </c>
      <c r="E59" s="1">
        <f>[1]Results!H1702</f>
        <v>1218081.1939999999</v>
      </c>
      <c r="F59" s="1">
        <f>[1]Results!I1702</f>
        <v>1227238.8840000001</v>
      </c>
      <c r="G59" s="1">
        <f>[1]Results!J1702</f>
        <v>1238272.3940000001</v>
      </c>
      <c r="H59" s="1">
        <f>[1]Results!K1702</f>
        <v>1251236.3049999999</v>
      </c>
      <c r="I59" s="1">
        <f>[1]Results!L1702</f>
        <v>1265467.4029999999</v>
      </c>
      <c r="J59" s="1">
        <f>[1]Results!M1702</f>
        <v>1280992.0549999999</v>
      </c>
      <c r="K59" s="1">
        <f>[1]Results!N1702</f>
        <v>1297745.2350000001</v>
      </c>
      <c r="L59" s="1">
        <f>[1]Results!O1702</f>
        <v>1315612.996</v>
      </c>
      <c r="M59" s="1">
        <f>[1]Results!P1702</f>
        <v>1335489.2749999999</v>
      </c>
      <c r="N59" s="1">
        <f>[1]Results!Q1702</f>
        <v>1355923.1329999999</v>
      </c>
      <c r="O59" s="1">
        <f>[1]Results!R1702</f>
        <v>1376856.5260000001</v>
      </c>
      <c r="P59" s="1">
        <f>[1]Results!S1702</f>
        <v>1398208.696</v>
      </c>
      <c r="Q59" s="1">
        <f>[1]Results!T1702</f>
        <v>1419912.5049999999</v>
      </c>
      <c r="R59" s="1">
        <f>[1]Results!U1702</f>
        <v>1441919.852</v>
      </c>
      <c r="S59" s="1">
        <f>[1]Results!V1702</f>
        <v>1464169.202</v>
      </c>
      <c r="T59" s="1">
        <f>[1]Results!W1702</f>
        <v>1486632.8689999999</v>
      </c>
      <c r="U59" s="1">
        <f>[1]Results!X1702</f>
        <v>1509296.2279999999</v>
      </c>
      <c r="V59" s="1">
        <f>[1]Results!Y1702</f>
        <v>1532148.8970000001</v>
      </c>
      <c r="W59" s="1">
        <f>[1]Results!Z1702</f>
        <v>1554416.895</v>
      </c>
      <c r="X59" s="1">
        <f>[1]Results!AA1702</f>
        <v>1577043.0719999999</v>
      </c>
      <c r="Y59" s="1">
        <f>[1]Results!AB1702</f>
        <v>1599971.173</v>
      </c>
      <c r="Z59" s="1">
        <f>[1]Results!AC1702</f>
        <v>1623177.8870000001</v>
      </c>
      <c r="AA59" s="1">
        <f>[1]Results!AD1702</f>
        <v>1646645.304</v>
      </c>
      <c r="AB59" s="1">
        <f>[1]Results!AE1702</f>
        <v>1668149.665</v>
      </c>
      <c r="AC59" s="1">
        <f>[1]Results!AF1702</f>
        <v>1689384.926</v>
      </c>
      <c r="AD59" s="1">
        <f>[1]Results!AG1702</f>
        <v>1710443.824</v>
      </c>
      <c r="AE59" s="1">
        <f>[1]Results!AH1702</f>
        <v>1731444.5689999999</v>
      </c>
      <c r="AF59" s="1">
        <f>[1]Results!AI1702</f>
        <v>1752494.3470000001</v>
      </c>
      <c r="AG59" s="1">
        <f>[1]Results!AJ1702</f>
        <v>1773678.29</v>
      </c>
      <c r="AH59" s="1">
        <f>[1]Results!AK1702</f>
        <v>1795065.327</v>
      </c>
      <c r="AI59" s="1">
        <f>[1]Results!AL1702</f>
        <v>1816699.2760000001</v>
      </c>
      <c r="AJ59" s="1">
        <f>[1]Results!AM1702</f>
        <v>1838607.6880000001</v>
      </c>
      <c r="AK59" s="1">
        <f>[1]Results!AN1702</f>
        <v>1860808.0390000001</v>
      </c>
      <c r="AL59" s="1">
        <f>[1]Results!AO1702</f>
        <v>1883312.041</v>
      </c>
      <c r="AM59" s="1">
        <f>[1]Results!AP1702</f>
        <v>1905660.1880000001</v>
      </c>
      <c r="AN59" s="1">
        <f>[1]Results!AQ1702</f>
        <v>1927990.996</v>
      </c>
      <c r="AO59" s="1">
        <f>[1]Results!AR1702</f>
        <v>1950393.63</v>
      </c>
      <c r="AP59" s="1">
        <f>[1]Results!AS1702</f>
        <v>1972941.7549999999</v>
      </c>
      <c r="AQ59" s="1">
        <f>[1]Results!AT1702</f>
        <v>1995699.2879999999</v>
      </c>
      <c r="AR59" s="1">
        <f>[1]Results!AU1702</f>
        <v>2018728.9140000001</v>
      </c>
      <c r="AS59" s="1">
        <f>[1]Results!AV1702</f>
        <v>2042073.5060000001</v>
      </c>
      <c r="AT59" s="1">
        <f>[1]Results!AW1702</f>
        <v>2065762.14</v>
      </c>
      <c r="AU59" s="1">
        <f>[1]Results!AX1702</f>
        <v>2089813.763</v>
      </c>
      <c r="AV59" s="1">
        <f>[1]Results!AY1702</f>
        <v>2114239.9309999999</v>
      </c>
      <c r="AW59" s="1">
        <f>[1]Results!AZ1702</f>
        <v>2139126.0619999999</v>
      </c>
      <c r="AX59" s="1">
        <f>[1]Results!BA1702</f>
        <v>2164468.3679999998</v>
      </c>
      <c r="AY59" s="1">
        <f>[1]Results!BB1702</f>
        <v>2190255.2110000001</v>
      </c>
      <c r="AZ59" s="1">
        <f>[1]Results!BC1702</f>
        <v>2216473.5520000001</v>
      </c>
      <c r="BA59" s="1">
        <f>[1]Results!BD1702</f>
        <v>2243111.6660000002</v>
      </c>
      <c r="BB59" s="1">
        <f>[1]Results!BE1702</f>
        <v>2270180.264</v>
      </c>
      <c r="BC59" s="1">
        <f>[1]Results!BF1702</f>
        <v>2297675.037</v>
      </c>
      <c r="BD59" s="1">
        <f>[1]Results!BG1702</f>
        <v>2325588.46</v>
      </c>
      <c r="BE59" s="1">
        <f>[1]Results!BH1702</f>
        <v>2353914.1179999998</v>
      </c>
      <c r="BF59" s="1">
        <f>[1]Results!BI1702</f>
        <v>2382647.75</v>
      </c>
    </row>
    <row r="60" spans="1:58" x14ac:dyDescent="0.35">
      <c r="A60" s="14"/>
      <c r="C60" s="1"/>
      <c r="D60" s="1"/>
      <c r="E60" s="1"/>
      <c r="F60" s="1"/>
      <c r="G60" s="1"/>
      <c r="H60" s="4">
        <f t="shared" ref="H60:U60" si="0">H58/G58-1</f>
        <v>1.2151313890776505E-2</v>
      </c>
      <c r="I60" s="4">
        <f t="shared" si="0"/>
        <v>1.309836491779337E-2</v>
      </c>
      <c r="J60" s="4">
        <f t="shared" si="0"/>
        <v>1.3997000770809009E-2</v>
      </c>
      <c r="K60" s="4">
        <f t="shared" si="0"/>
        <v>1.4781581716626357E-2</v>
      </c>
      <c r="L60" s="4">
        <f t="shared" si="0"/>
        <v>1.5423292790250898E-2</v>
      </c>
      <c r="M60" s="4">
        <f t="shared" si="0"/>
        <v>1.6693783131632722E-2</v>
      </c>
      <c r="N60" s="4">
        <f t="shared" si="0"/>
        <v>1.6834198317000837E-2</v>
      </c>
      <c r="O60" s="4">
        <f t="shared" si="0"/>
        <v>1.6910848133679934E-2</v>
      </c>
      <c r="P60" s="4">
        <f t="shared" si="0"/>
        <v>1.6908017877263593E-2</v>
      </c>
      <c r="Q60" s="4">
        <f t="shared" si="0"/>
        <v>1.684127161790494E-2</v>
      </c>
      <c r="R60" s="4">
        <f t="shared" si="0"/>
        <v>1.6730094197108691E-2</v>
      </c>
      <c r="S60" s="4">
        <f t="shared" si="0"/>
        <v>1.659016216719511E-2</v>
      </c>
      <c r="T60" s="4">
        <f t="shared" si="0"/>
        <v>1.6432242576801759E-2</v>
      </c>
      <c r="U60" s="4">
        <f t="shared" si="0"/>
        <v>1.6263230570577658E-2</v>
      </c>
      <c r="V60" s="4">
        <f>V58/U58-1</f>
        <v>1.6087575676344112E-2</v>
      </c>
      <c r="W60" s="4">
        <f t="shared" ref="W60:AL60" si="1">W58/V58-1</f>
        <v>1.5413465916689573E-2</v>
      </c>
      <c r="X60" s="4">
        <f t="shared" si="1"/>
        <v>1.5363089946274E-2</v>
      </c>
      <c r="Y60" s="4">
        <f t="shared" si="1"/>
        <v>1.5280449922120409E-2</v>
      </c>
      <c r="Z60" s="4">
        <f t="shared" si="1"/>
        <v>1.5188193653903781E-2</v>
      </c>
      <c r="AA60" s="4">
        <f t="shared" si="1"/>
        <v>1.5090381865327851E-2</v>
      </c>
      <c r="AB60" s="4">
        <f t="shared" si="1"/>
        <v>1.3659830268951678E-2</v>
      </c>
      <c r="AC60" s="4">
        <f t="shared" si="1"/>
        <v>1.3276799601500855E-2</v>
      </c>
      <c r="AD60" s="4">
        <f t="shared" si="1"/>
        <v>1.2966696993072402E-2</v>
      </c>
      <c r="AE60" s="4">
        <f t="shared" si="1"/>
        <v>1.2742734147904722E-2</v>
      </c>
      <c r="AF60" s="4">
        <f t="shared" si="1"/>
        <v>1.2594021054755489E-2</v>
      </c>
      <c r="AG60" s="4">
        <f t="shared" si="1"/>
        <v>1.250342810115912E-2</v>
      </c>
      <c r="AH60" s="4">
        <f t="shared" si="1"/>
        <v>1.2454361028500172E-2</v>
      </c>
      <c r="AI60" s="4">
        <f t="shared" si="1"/>
        <v>1.2433254445644248E-2</v>
      </c>
      <c r="AJ60" s="4">
        <f t="shared" si="1"/>
        <v>1.2430119107752935E-2</v>
      </c>
      <c r="AK60" s="4">
        <f t="shared" si="1"/>
        <v>1.2438194608068498E-2</v>
      </c>
      <c r="AL60" s="4">
        <f t="shared" si="1"/>
        <v>1.2453250470925159E-2</v>
      </c>
      <c r="AM60" s="4">
        <f t="shared" ref="AM60" si="2">AM58/AL58-1</f>
        <v>1.2195491411310044E-2</v>
      </c>
      <c r="AN60" s="4">
        <f t="shared" ref="AN60" si="3">AN58/AM58-1</f>
        <v>1.2012690534970671E-2</v>
      </c>
      <c r="AO60" s="4">
        <f t="shared" ref="AO60" si="4">AO58/AN58-1</f>
        <v>1.1885928371415666E-2</v>
      </c>
      <c r="AP60" s="4">
        <f t="shared" ref="AP60" si="5">AP58/AO58-1</f>
        <v>1.180715450278802E-2</v>
      </c>
      <c r="AQ60" s="4">
        <f t="shared" ref="AQ60" si="6">AQ58/AP58-1</f>
        <v>1.1769079659561532E-2</v>
      </c>
      <c r="AR60" s="4">
        <f t="shared" ref="AR60" si="7">AR58/AQ58-1</f>
        <v>1.1763619833085937E-2</v>
      </c>
      <c r="AS60" s="4">
        <f t="shared" ref="AS60" si="8">AS58/AR58-1</f>
        <v>1.1782525875528416E-2</v>
      </c>
      <c r="AT60" s="4">
        <f t="shared" ref="AT60" si="9">AT58/AS58-1</f>
        <v>1.1818241671177399E-2</v>
      </c>
      <c r="AU60" s="4">
        <f t="shared" ref="AU60" si="10">AU58/AT58-1</f>
        <v>1.1864462259194797E-2</v>
      </c>
      <c r="AV60" s="4">
        <f t="shared" ref="AV60" si="11">AV58/AU58-1</f>
        <v>1.191634364944627E-2</v>
      </c>
      <c r="AW60" s="4">
        <f t="shared" ref="AW60" si="12">AW58/AV58-1</f>
        <v>1.1992488086858266E-2</v>
      </c>
      <c r="AX60" s="4">
        <f t="shared" ref="AX60" si="13">AX58/AW58-1</f>
        <v>1.2062902928469565E-2</v>
      </c>
      <c r="AY60" s="4">
        <f t="shared" ref="AY60" si="14">AY58/AX58-1</f>
        <v>1.2127685206420047E-2</v>
      </c>
      <c r="AZ60" s="4">
        <f t="shared" ref="AZ60" si="15">AZ58/AY58-1</f>
        <v>1.2186764291733265E-2</v>
      </c>
      <c r="BA60" s="4">
        <f t="shared" ref="BA60" si="16">BA58/AZ58-1</f>
        <v>1.2240460965134314E-2</v>
      </c>
      <c r="BB60" s="4">
        <f t="shared" ref="BB60" si="17">BB58/BA58-1</f>
        <v>1.2289417671667247E-2</v>
      </c>
      <c r="BC60" s="4">
        <f t="shared" ref="BC60" si="18">BC58/BB58-1</f>
        <v>1.2334417833648414E-2</v>
      </c>
      <c r="BD60" s="4">
        <f t="shared" ref="BD60" si="19">BD58/BC58-1</f>
        <v>1.2376232277957477E-2</v>
      </c>
      <c r="BE60" s="4">
        <f t="shared" ref="BE60" si="20">BE58/BD58-1</f>
        <v>1.2415523746547974E-2</v>
      </c>
      <c r="BF60" s="4">
        <f t="shared" ref="BF60" si="21">BF58/BE58-1</f>
        <v>1.2452807848092995E-2</v>
      </c>
    </row>
    <row r="61" spans="1:58" x14ac:dyDescent="0.35">
      <c r="A61" s="16" t="s">
        <v>3</v>
      </c>
      <c r="B61" t="s">
        <v>4</v>
      </c>
      <c r="C61" s="1">
        <f>[1]Results!F1789</f>
        <v>0.99928330870000004</v>
      </c>
      <c r="D61" s="1">
        <f>[1]Results!G1789</f>
        <v>1.016348619</v>
      </c>
      <c r="E61" s="1">
        <f>[1]Results!H1789</f>
        <v>1.032485257</v>
      </c>
      <c r="F61" s="1">
        <f>[1]Results!I1789</f>
        <v>1.0487057950000001</v>
      </c>
      <c r="G61" s="1">
        <f>[1]Results!J1789</f>
        <v>1.0655777639999999</v>
      </c>
      <c r="H61" s="1">
        <f>[1]Results!K1789</f>
        <v>1.0833791239999999</v>
      </c>
      <c r="I61" s="1">
        <f>[1]Results!L1789</f>
        <v>1.1021979340000001</v>
      </c>
      <c r="J61" s="1">
        <f>[1]Results!M1789</f>
        <v>1.122063765</v>
      </c>
      <c r="K61" s="1">
        <f>[1]Results!N1789</f>
        <v>1.1429853889999999</v>
      </c>
      <c r="L61" s="1">
        <f>[1]Results!O1789</f>
        <v>1.1649638659999999</v>
      </c>
      <c r="M61" s="1">
        <f>[1]Results!P1789</f>
        <v>1.1880487850000001</v>
      </c>
      <c r="N61" s="1">
        <f>[1]Results!Q1789</f>
        <v>1.2121981020000001</v>
      </c>
      <c r="O61" s="1">
        <f>[1]Results!R1789</f>
        <v>1.2373745920000001</v>
      </c>
      <c r="P61" s="1">
        <f>[1]Results!S1789</f>
        <v>1.2635389480000001</v>
      </c>
      <c r="Q61" s="1">
        <f>[1]Results!T1789</f>
        <v>1.2906461499999999</v>
      </c>
      <c r="R61" s="1">
        <f>[1]Results!U1789</f>
        <v>1.318645096</v>
      </c>
      <c r="S61" s="1">
        <f>[1]Results!V1789</f>
        <v>1.3474804039999999</v>
      </c>
      <c r="T61" s="1">
        <f>[1]Results!W1789</f>
        <v>1.3770950230000001</v>
      </c>
      <c r="U61" s="1">
        <f>[1]Results!X1789</f>
        <v>1.4074327719999999</v>
      </c>
      <c r="V61" s="1">
        <f>[1]Results!Y1789</f>
        <v>1.4384404159999999</v>
      </c>
      <c r="W61" s="1">
        <f>[1]Results!Z1789</f>
        <v>1.470027193</v>
      </c>
      <c r="X61" s="1">
        <f>[1]Results!AA1789</f>
        <v>1.5021705169999999</v>
      </c>
      <c r="Y61" s="1">
        <f>[1]Results!AB1789</f>
        <v>1.534844251</v>
      </c>
      <c r="Z61" s="1">
        <f>[1]Results!AC1789</f>
        <v>1.5680234280000001</v>
      </c>
      <c r="AA61" s="1">
        <f>[1]Results!AD1789</f>
        <v>1.6016877249999999</v>
      </c>
      <c r="AB61" s="1">
        <f>[1]Results!AE1789</f>
        <v>1.6356995919999999</v>
      </c>
      <c r="AC61" s="1">
        <f>[1]Results!AF1789</f>
        <v>1.6700518360000001</v>
      </c>
      <c r="AD61" s="1">
        <f>[1]Results!AG1789</f>
        <v>1.704744018</v>
      </c>
      <c r="AE61" s="1">
        <f>[1]Results!AH1789</f>
        <v>1.739780329</v>
      </c>
      <c r="AF61" s="1">
        <f>[1]Results!AI1789</f>
        <v>1.775171171</v>
      </c>
      <c r="AG61" s="1">
        <f>[1]Results!AJ1789</f>
        <v>1.8109344060000001</v>
      </c>
      <c r="AH61" s="1">
        <f>[1]Results!AK1789</f>
        <v>1.847095304</v>
      </c>
      <c r="AI61" s="1">
        <f>[1]Results!AL1789</f>
        <v>1.8836854890000001</v>
      </c>
      <c r="AJ61" s="1">
        <f>[1]Results!AM1789</f>
        <v>1.9207413760000001</v>
      </c>
      <c r="AK61" s="1">
        <f>[1]Results!AN1789</f>
        <v>1.9583025300000001</v>
      </c>
      <c r="AL61" s="1">
        <f>[1]Results!AO1789</f>
        <v>1.996410198</v>
      </c>
      <c r="AM61" s="1">
        <f>[1]Results!AP1789</f>
        <v>2.035074152</v>
      </c>
      <c r="AN61" s="1">
        <f>[1]Results!AQ1789</f>
        <v>2.074318501</v>
      </c>
      <c r="AO61" s="1">
        <f>[1]Results!AR1789</f>
        <v>2.1141745950000002</v>
      </c>
      <c r="AP61" s="1">
        <f>[1]Results!AS1789</f>
        <v>2.154676459</v>
      </c>
      <c r="AQ61" s="1">
        <f>[1]Results!AT1789</f>
        <v>2.1958588290000001</v>
      </c>
      <c r="AR61" s="1">
        <f>[1]Results!AU1789</f>
        <v>2.2377565700000002</v>
      </c>
      <c r="AS61" s="1">
        <f>[1]Results!AV1789</f>
        <v>2.2804045369999999</v>
      </c>
      <c r="AT61" s="1">
        <f>[1]Results!AW1789</f>
        <v>2.3238374460000002</v>
      </c>
      <c r="AU61" s="1">
        <f>[1]Results!AX1789</f>
        <v>2.3680896410000001</v>
      </c>
      <c r="AV61" s="1">
        <f>[1]Results!AY1789</f>
        <v>2.4131947820000001</v>
      </c>
      <c r="AW61" s="1">
        <f>[1]Results!AZ1789</f>
        <v>2.4591886550000002</v>
      </c>
      <c r="AX61" s="1">
        <f>[1]Results!BA1789</f>
        <v>2.506104332</v>
      </c>
      <c r="AY61" s="1">
        <f>[1]Results!BB1789</f>
        <v>2.5539727139999999</v>
      </c>
      <c r="AZ61" s="1">
        <f>[1]Results!BC1789</f>
        <v>2.6028229220000001</v>
      </c>
      <c r="BA61" s="1">
        <f>[1]Results!BD1789</f>
        <v>2.6526825289999998</v>
      </c>
      <c r="BB61" s="1">
        <f>[1]Results!BE1789</f>
        <v>2.7035777410000001</v>
      </c>
      <c r="BC61" s="1">
        <f>[1]Results!BF1789</f>
        <v>2.7555335840000001</v>
      </c>
      <c r="BD61" s="1">
        <f>[1]Results!BG1789</f>
        <v>2.808574117</v>
      </c>
      <c r="BE61" s="1">
        <f>[1]Results!BH1789</f>
        <v>2.8627226769999998</v>
      </c>
      <c r="BF61" s="1">
        <f>[1]Results!BI1789</f>
        <v>2.918002124</v>
      </c>
    </row>
    <row r="62" spans="1:58" x14ac:dyDescent="0.35">
      <c r="A62" s="16"/>
      <c r="B62" t="s">
        <v>6</v>
      </c>
      <c r="C62" s="1">
        <f>[1]Results!F1760</f>
        <v>0.99914791319999996</v>
      </c>
      <c r="D62" s="1">
        <f>[1]Results!G1760</f>
        <v>1.015871805</v>
      </c>
      <c r="E62" s="1">
        <f>[1]Results!H1760</f>
        <v>1.0314509700000001</v>
      </c>
      <c r="F62" s="1">
        <f>[1]Results!I1760</f>
        <v>1.04691087</v>
      </c>
      <c r="G62" s="1">
        <f>[1]Results!J1760</f>
        <v>1.062839055</v>
      </c>
      <c r="H62" s="1">
        <f>[1]Results!K1760</f>
        <v>1.079533957</v>
      </c>
      <c r="I62" s="1">
        <f>[1]Results!L1760</f>
        <v>1.0971004259999999</v>
      </c>
      <c r="J62" s="1">
        <f>[1]Results!M1760</f>
        <v>1.115584312</v>
      </c>
      <c r="K62" s="1">
        <f>[1]Results!N1760</f>
        <v>1.1350107899999999</v>
      </c>
      <c r="L62" s="1">
        <f>[1]Results!O1760</f>
        <v>1.1553973959999999</v>
      </c>
      <c r="M62" s="1">
        <f>[1]Results!P1760</f>
        <v>1.176810846</v>
      </c>
      <c r="N62" s="1">
        <f>[1]Results!Q1760</f>
        <v>1.199217024</v>
      </c>
      <c r="O62" s="1">
        <f>[1]Results!R1760</f>
        <v>1.2225896510000001</v>
      </c>
      <c r="P62" s="1">
        <f>[1]Results!S1760</f>
        <v>1.2469033940000001</v>
      </c>
      <c r="Q62" s="1">
        <f>[1]Results!T1760</f>
        <v>1.2721282679999999</v>
      </c>
      <c r="R62" s="1">
        <f>[1]Results!U1760</f>
        <v>1.29822807</v>
      </c>
      <c r="S62" s="1">
        <f>[1]Results!V1760</f>
        <v>1.325154468</v>
      </c>
      <c r="T62" s="1">
        <f>[1]Results!W1760</f>
        <v>1.352858393</v>
      </c>
      <c r="U62" s="1">
        <f>[1]Results!X1760</f>
        <v>1.38129349</v>
      </c>
      <c r="V62" s="1">
        <f>[1]Results!Y1760</f>
        <v>1.410416307</v>
      </c>
      <c r="W62" s="1">
        <f>[1]Results!Z1760</f>
        <v>1.4401437850000001</v>
      </c>
      <c r="X62" s="1">
        <f>[1]Results!AA1760</f>
        <v>1.470462479</v>
      </c>
      <c r="Y62" s="1">
        <f>[1]Results!AB1760</f>
        <v>1.501352386</v>
      </c>
      <c r="Z62" s="1">
        <f>[1]Results!AC1760</f>
        <v>1.532792519</v>
      </c>
      <c r="AA62" s="1">
        <f>[1]Results!AD1760</f>
        <v>1.564764577</v>
      </c>
      <c r="AB62" s="1">
        <f>[1]Results!AE1760</f>
        <v>1.5971277180000001</v>
      </c>
      <c r="AC62" s="1">
        <f>[1]Results!AF1760</f>
        <v>1.6298805890000001</v>
      </c>
      <c r="AD62" s="1">
        <f>[1]Results!AG1760</f>
        <v>1.6630254520000001</v>
      </c>
      <c r="AE62" s="1">
        <f>[1]Results!AH1760</f>
        <v>1.6965661110000001</v>
      </c>
      <c r="AF62" s="1">
        <f>[1]Results!AI1760</f>
        <v>1.7305101570000001</v>
      </c>
      <c r="AG62" s="1">
        <f>[1]Results!AJ1760</f>
        <v>1.764870876</v>
      </c>
      <c r="AH62" s="1">
        <f>[1]Results!AK1760</f>
        <v>1.7996690019999999</v>
      </c>
      <c r="AI62" s="1">
        <f>[1]Results!AL1760</f>
        <v>1.8349310350000001</v>
      </c>
      <c r="AJ62" s="1">
        <f>[1]Results!AM1760</f>
        <v>1.8706870920000001</v>
      </c>
      <c r="AK62" s="1">
        <f>[1]Results!AN1760</f>
        <v>1.906969929</v>
      </c>
      <c r="AL62" s="1">
        <f>[1]Results!AO1760</f>
        <v>1.943813915</v>
      </c>
      <c r="AM62" s="1">
        <f>[1]Results!AP1760</f>
        <v>1.9812304169999999</v>
      </c>
      <c r="AN62" s="1">
        <f>[1]Results!AQ1760</f>
        <v>2.019250451</v>
      </c>
      <c r="AO62" s="1">
        <f>[1]Results!AR1760</f>
        <v>2.0579057180000002</v>
      </c>
      <c r="AP62" s="1">
        <f>[1]Results!AS1760</f>
        <v>2.097227051</v>
      </c>
      <c r="AQ62" s="1">
        <f>[1]Results!AT1760</f>
        <v>2.1372442540000001</v>
      </c>
      <c r="AR62" s="1">
        <f>[1]Results!AU1760</f>
        <v>2.1779878400000001</v>
      </c>
      <c r="AS62" s="1">
        <f>[1]Results!AV1760</f>
        <v>2.2194888929999999</v>
      </c>
      <c r="AT62" s="1">
        <f>[1]Results!AW1760</f>
        <v>2.2617771090000001</v>
      </c>
      <c r="AU62" s="1">
        <f>[1]Results!AX1760</f>
        <v>2.3048811910000002</v>
      </c>
      <c r="AV62" s="1">
        <f>[1]Results!AY1760</f>
        <v>2.348828965</v>
      </c>
      <c r="AW62" s="1">
        <f>[1]Results!AZ1760</f>
        <v>2.393654449</v>
      </c>
      <c r="AX62" s="1">
        <f>[1]Results!BA1760</f>
        <v>2.4393930510000001</v>
      </c>
      <c r="AY62" s="1">
        <f>[1]Results!BB1760</f>
        <v>2.4860740419999998</v>
      </c>
      <c r="AZ62" s="1">
        <f>[1]Results!BC1760</f>
        <v>2.5337227059999998</v>
      </c>
      <c r="BA62" s="1">
        <f>[1]Results!BD1760</f>
        <v>2.5823617670000001</v>
      </c>
      <c r="BB62" s="1">
        <f>[1]Results!BE1760</f>
        <v>2.632014286</v>
      </c>
      <c r="BC62" s="1">
        <f>[1]Results!BF1760</f>
        <v>2.6827053639999998</v>
      </c>
      <c r="BD62" s="1">
        <f>[1]Results!BG1760</f>
        <v>2.7344565250000001</v>
      </c>
      <c r="BE62" s="1">
        <f>[1]Results!BH1760</f>
        <v>2.7872870399999998</v>
      </c>
      <c r="BF62" s="1">
        <f>[1]Results!BI1760</f>
        <v>2.8412149250000001</v>
      </c>
    </row>
    <row r="63" spans="1:58" x14ac:dyDescent="0.35">
      <c r="A63" s="1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 spans="1:58" x14ac:dyDescent="0.35">
      <c r="A64" s="16" t="s">
        <v>1</v>
      </c>
      <c r="B64" t="str">
        <f>B61</f>
        <v>Baseline</v>
      </c>
      <c r="D64" s="1">
        <f t="shared" ref="D64:AL64" si="22">(D61/C61-1)*100</f>
        <v>1.7077549631245859</v>
      </c>
      <c r="E64" s="1">
        <f t="shared" si="22"/>
        <v>1.5877069834440372</v>
      </c>
      <c r="F64" s="1">
        <f t="shared" si="22"/>
        <v>1.5710188489403309</v>
      </c>
      <c r="G64" s="1">
        <f t="shared" si="22"/>
        <v>1.6088372049092969</v>
      </c>
      <c r="H64" s="1">
        <f t="shared" si="22"/>
        <v>1.6705829082972468</v>
      </c>
      <c r="I64" s="1">
        <f t="shared" si="22"/>
        <v>1.7370475010186848</v>
      </c>
      <c r="J64" s="1">
        <f t="shared" si="22"/>
        <v>1.8023832550569718</v>
      </c>
      <c r="K64" s="1">
        <f t="shared" si="22"/>
        <v>1.864566404566137</v>
      </c>
      <c r="L64" s="1">
        <f t="shared" si="22"/>
        <v>1.9229009584478707</v>
      </c>
      <c r="M64" s="1">
        <f t="shared" si="22"/>
        <v>1.9815995734927094</v>
      </c>
      <c r="N64" s="1">
        <f t="shared" si="22"/>
        <v>2.0326873193174499</v>
      </c>
      <c r="O64" s="1">
        <f t="shared" si="22"/>
        <v>2.076928676794787</v>
      </c>
      <c r="P64" s="1">
        <f t="shared" si="22"/>
        <v>2.1145056775175863</v>
      </c>
      <c r="Q64" s="1">
        <f t="shared" si="22"/>
        <v>2.1453396464673036</v>
      </c>
      <c r="R64" s="1">
        <f t="shared" si="22"/>
        <v>2.16937430913966</v>
      </c>
      <c r="S64" s="1">
        <f t="shared" si="22"/>
        <v>2.1867375905366249</v>
      </c>
      <c r="T64" s="1">
        <f t="shared" si="22"/>
        <v>2.197777341480367</v>
      </c>
      <c r="U64" s="1">
        <f t="shared" si="22"/>
        <v>2.2030250994524048</v>
      </c>
      <c r="V64" s="1">
        <f t="shared" si="22"/>
        <v>2.2031349999003691</v>
      </c>
      <c r="W64" s="1">
        <f t="shared" si="22"/>
        <v>2.1959044426627106</v>
      </c>
      <c r="X64" s="1">
        <f t="shared" si="22"/>
        <v>2.1865802315127691</v>
      </c>
      <c r="Y64" s="1">
        <f t="shared" si="22"/>
        <v>2.1751015367585058</v>
      </c>
      <c r="Z64" s="1">
        <f t="shared" si="22"/>
        <v>2.1617292424545909</v>
      </c>
      <c r="AA64" s="1">
        <f t="shared" si="22"/>
        <v>2.1469256389197167</v>
      </c>
      <c r="AB64" s="1">
        <f t="shared" si="22"/>
        <v>2.1235017581220372</v>
      </c>
      <c r="AC64" s="1">
        <f t="shared" si="22"/>
        <v>2.1001560535939934</v>
      </c>
      <c r="AD64" s="1">
        <f t="shared" si="22"/>
        <v>2.0773116889049703</v>
      </c>
      <c r="AE64" s="1">
        <f t="shared" si="22"/>
        <v>2.0552241644528291</v>
      </c>
      <c r="AF64" s="1">
        <f t="shared" si="22"/>
        <v>2.0342132515282607</v>
      </c>
      <c r="AG64" s="1">
        <f t="shared" si="22"/>
        <v>2.0146358607127324</v>
      </c>
      <c r="AH64" s="1">
        <f t="shared" si="22"/>
        <v>1.9968088231242076</v>
      </c>
      <c r="AI64" s="1">
        <f t="shared" si="22"/>
        <v>1.9809581520109809</v>
      </c>
      <c r="AJ64" s="1">
        <f t="shared" si="22"/>
        <v>1.9672013834789448</v>
      </c>
      <c r="AK64" s="1">
        <f t="shared" si="22"/>
        <v>1.9555549991963073</v>
      </c>
      <c r="AL64" s="1">
        <f t="shared" si="22"/>
        <v>1.9459540809560139</v>
      </c>
      <c r="AM64" s="1">
        <f t="shared" ref="AM64:AM65" si="23">(AM61/AL61-1)*100</f>
        <v>1.9366738378081561</v>
      </c>
      <c r="AN64" s="1">
        <f t="shared" ref="AN64:AN65" si="24">(AN61/AM61-1)*100</f>
        <v>1.9283989706926352</v>
      </c>
      <c r="AO64" s="1">
        <f t="shared" ref="AO64:AO65" si="25">(AO61/AN61-1)*100</f>
        <v>1.921406668300274</v>
      </c>
      <c r="AP64" s="1">
        <f t="shared" ref="AP64:AP65" si="26">(AP61/AO61-1)*100</f>
        <v>1.9157293865788683</v>
      </c>
      <c r="AQ64" s="1">
        <f t="shared" ref="AQ64:AQ65" si="27">(AQ61/AP61-1)*100</f>
        <v>1.9113018025505912</v>
      </c>
      <c r="AR64" s="1">
        <f t="shared" ref="AR64:AR65" si="28">(AR61/AQ61-1)*100</f>
        <v>1.9080343620760276</v>
      </c>
      <c r="AS64" s="1">
        <f t="shared" ref="AS64:AS65" si="29">(AS61/AR61-1)*100</f>
        <v>1.9058358523778018</v>
      </c>
      <c r="AT64" s="1">
        <f t="shared" ref="AT64:AT65" si="30">(AT61/AS61-1)*100</f>
        <v>1.9046142162626456</v>
      </c>
      <c r="AU64" s="1">
        <f t="shared" ref="AU64:AU65" si="31">(AU61/AT61-1)*100</f>
        <v>1.9042723954797669</v>
      </c>
      <c r="AV64" s="1">
        <f t="shared" ref="AV64:AV65" si="32">(AV61/AU61-1)*100</f>
        <v>1.9047058109233239</v>
      </c>
      <c r="AW64" s="1">
        <f t="shared" ref="AW64:AW65" si="33">(AW61/AV61-1)*100</f>
        <v>1.9059328879321269</v>
      </c>
      <c r="AX64" s="1">
        <f t="shared" ref="AX64:AX65" si="34">(AX61/AW61-1)*100</f>
        <v>1.9077705528858679</v>
      </c>
      <c r="AY64" s="1">
        <f t="shared" ref="AY64:AY65" si="35">(AY61/AX61-1)*100</f>
        <v>1.910071396021995</v>
      </c>
      <c r="AZ64" s="1">
        <f t="shared" ref="AZ64:AZ65" si="36">(AZ61/AY61-1)*100</f>
        <v>1.9127145616012253</v>
      </c>
      <c r="BA64" s="1">
        <f t="shared" ref="BA64:BA65" si="37">(BA61/AZ61-1)*100</f>
        <v>1.9155973531110426</v>
      </c>
      <c r="BB64" s="1">
        <f t="shared" ref="BB64:BB65" si="38">(BB61/BA61-1)*100</f>
        <v>1.9186318544943459</v>
      </c>
      <c r="BC64" s="1">
        <f t="shared" ref="BC64:BC65" si="39">(BC61/BB61-1)*100</f>
        <v>1.9217439991491725</v>
      </c>
      <c r="BD64" s="1">
        <f t="shared" ref="BD64:BD65" si="40">(BD61/BC61-1)*100</f>
        <v>1.9248734004905454</v>
      </c>
      <c r="BE64" s="1">
        <f t="shared" ref="BE64:BE65" si="41">(BE61/BD61-1)*100</f>
        <v>1.9279733325264337</v>
      </c>
      <c r="BF64" s="1">
        <f t="shared" ref="BF64:BF65" si="42">(BF61/BE61-1)*100</f>
        <v>1.9310095051865206</v>
      </c>
    </row>
    <row r="65" spans="1:58" x14ac:dyDescent="0.35">
      <c r="A65" s="16"/>
      <c r="B65" t="str">
        <f>B62</f>
        <v>NZ50</v>
      </c>
      <c r="D65" s="1">
        <f t="shared" ref="D65:AL65" si="43">(D62/C62-1)*100</f>
        <v>1.673815416021629</v>
      </c>
      <c r="E65" s="1">
        <f t="shared" si="43"/>
        <v>1.5335758826380719</v>
      </c>
      <c r="F65" s="1">
        <f t="shared" si="43"/>
        <v>1.498849722347928</v>
      </c>
      <c r="G65" s="1">
        <f t="shared" si="43"/>
        <v>1.5214461380079092</v>
      </c>
      <c r="H65" s="1">
        <f t="shared" si="43"/>
        <v>1.5707836404261544</v>
      </c>
      <c r="I65" s="1">
        <f t="shared" si="43"/>
        <v>1.6272270905508757</v>
      </c>
      <c r="J65" s="1">
        <f t="shared" si="43"/>
        <v>1.6847943508136121</v>
      </c>
      <c r="K65" s="1">
        <f t="shared" si="43"/>
        <v>1.7413724620394255</v>
      </c>
      <c r="L65" s="1">
        <f t="shared" si="43"/>
        <v>1.7961596647023903</v>
      </c>
      <c r="M65" s="1">
        <f t="shared" si="43"/>
        <v>1.8533406838316946</v>
      </c>
      <c r="N65" s="1">
        <f t="shared" si="43"/>
        <v>1.9039744642190382</v>
      </c>
      <c r="O65" s="1">
        <f t="shared" si="43"/>
        <v>1.9489905940494712</v>
      </c>
      <c r="P65" s="1">
        <f t="shared" si="43"/>
        <v>1.9887083928866067</v>
      </c>
      <c r="Q65" s="1">
        <f t="shared" si="43"/>
        <v>2.0230014707939725</v>
      </c>
      <c r="R65" s="1">
        <f t="shared" si="43"/>
        <v>2.0516643373575283</v>
      </c>
      <c r="S65" s="1">
        <f t="shared" si="43"/>
        <v>2.0740884149885952</v>
      </c>
      <c r="T65" s="1">
        <f t="shared" si="43"/>
        <v>2.0906185406303956</v>
      </c>
      <c r="U65" s="1">
        <f t="shared" si="43"/>
        <v>2.1018531686043174</v>
      </c>
      <c r="V65" s="1">
        <f t="shared" si="43"/>
        <v>2.1083728556485104</v>
      </c>
      <c r="W65" s="1">
        <f t="shared" si="43"/>
        <v>2.1077094651033468</v>
      </c>
      <c r="X65" s="1">
        <f t="shared" si="43"/>
        <v>2.1052546499723324</v>
      </c>
      <c r="Y65" s="1">
        <f t="shared" si="43"/>
        <v>2.1006933152763585</v>
      </c>
      <c r="Z65" s="1">
        <f t="shared" si="43"/>
        <v>2.0941208268742795</v>
      </c>
      <c r="AA65" s="1">
        <f t="shared" si="43"/>
        <v>2.0858699141393711</v>
      </c>
      <c r="AB65" s="1">
        <f t="shared" si="43"/>
        <v>2.0682434581978715</v>
      </c>
      <c r="AC65" s="1">
        <f t="shared" si="43"/>
        <v>2.050735869828535</v>
      </c>
      <c r="AD65" s="1">
        <f t="shared" si="43"/>
        <v>2.0335761542099151</v>
      </c>
      <c r="AE65" s="1">
        <f t="shared" si="43"/>
        <v>2.0168458011068369</v>
      </c>
      <c r="AF65" s="1">
        <f t="shared" si="43"/>
        <v>2.0007499725426259</v>
      </c>
      <c r="AG65" s="1">
        <f t="shared" si="43"/>
        <v>1.9855832027919185</v>
      </c>
      <c r="AH65" s="1">
        <f t="shared" si="43"/>
        <v>1.971709458930393</v>
      </c>
      <c r="AI65" s="1">
        <f t="shared" si="43"/>
        <v>1.9593621360824098</v>
      </c>
      <c r="AJ65" s="1">
        <f t="shared" si="43"/>
        <v>1.9486322002287171</v>
      </c>
      <c r="AK65" s="1">
        <f t="shared" si="43"/>
        <v>1.9395460178863511</v>
      </c>
      <c r="AL65" s="1">
        <f t="shared" si="43"/>
        <v>1.9320695853510816</v>
      </c>
      <c r="AM65" s="1">
        <f t="shared" si="23"/>
        <v>1.9249014379033147</v>
      </c>
      <c r="AN65" s="1">
        <f t="shared" si="24"/>
        <v>1.9190112201876275</v>
      </c>
      <c r="AO65" s="1">
        <f t="shared" si="25"/>
        <v>1.9143374206432417</v>
      </c>
      <c r="AP65" s="1">
        <f t="shared" si="26"/>
        <v>1.9107451160694788</v>
      </c>
      <c r="AQ65" s="1">
        <f t="shared" si="27"/>
        <v>1.9081006503763653</v>
      </c>
      <c r="AR65" s="1">
        <f t="shared" si="28"/>
        <v>1.9063607691889084</v>
      </c>
      <c r="AS65" s="1">
        <f t="shared" si="29"/>
        <v>1.9054768000908551</v>
      </c>
      <c r="AT65" s="1">
        <f t="shared" si="30"/>
        <v>1.9053132517748539</v>
      </c>
      <c r="AU65" s="1">
        <f t="shared" si="31"/>
        <v>1.9057617051866593</v>
      </c>
      <c r="AV65" s="1">
        <f t="shared" si="32"/>
        <v>1.9067262196249102</v>
      </c>
      <c r="AW65" s="1">
        <f t="shared" si="33"/>
        <v>1.908418393503597</v>
      </c>
      <c r="AX65" s="1">
        <f t="shared" si="34"/>
        <v>1.9108272716267916</v>
      </c>
      <c r="AY65" s="1">
        <f t="shared" si="35"/>
        <v>1.9136313838749031</v>
      </c>
      <c r="AZ65" s="1">
        <f t="shared" si="36"/>
        <v>1.9166228839132771</v>
      </c>
      <c r="BA65" s="1">
        <f t="shared" si="37"/>
        <v>1.919667881762277</v>
      </c>
      <c r="BB65" s="1">
        <f t="shared" si="38"/>
        <v>1.92275612327093</v>
      </c>
      <c r="BC65" s="1">
        <f t="shared" si="39"/>
        <v>1.9259423578979806</v>
      </c>
      <c r="BD65" s="1">
        <f t="shared" si="40"/>
        <v>1.9290661469747672</v>
      </c>
      <c r="BE65" s="1">
        <f t="shared" si="41"/>
        <v>1.9320298025217175</v>
      </c>
      <c r="BF65" s="1">
        <f t="shared" si="42"/>
        <v>1.9347804594965767</v>
      </c>
    </row>
    <row r="66" spans="1:58" x14ac:dyDescent="0.35">
      <c r="A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58" x14ac:dyDescent="0.35">
      <c r="A67" s="15" t="s">
        <v>2</v>
      </c>
      <c r="B67" t="str">
        <f>B64</f>
        <v>Baseline</v>
      </c>
      <c r="C67" s="6">
        <f>[1]Emissions!B820</f>
        <v>350.59143469999998</v>
      </c>
      <c r="D67" s="6">
        <f>[1]Emissions!C820</f>
        <v>348.57112899999998</v>
      </c>
      <c r="E67" s="6">
        <f>[1]Emissions!D820</f>
        <v>349.25957519999997</v>
      </c>
      <c r="F67" s="6">
        <f>[1]Emissions!E820</f>
        <v>350.77754779999998</v>
      </c>
      <c r="G67" s="6">
        <f>[1]Emissions!F820</f>
        <v>352.9341068</v>
      </c>
      <c r="H67" s="6">
        <f>[1]Emissions!G820</f>
        <v>355.68807750000002</v>
      </c>
      <c r="I67" s="6">
        <f>[1]Emissions!H820</f>
        <v>358.80161670000001</v>
      </c>
      <c r="J67" s="6">
        <f>[1]Emissions!I820</f>
        <v>362.27945019999999</v>
      </c>
      <c r="K67" s="6">
        <f>[1]Emissions!J820</f>
        <v>366.06210160000001</v>
      </c>
      <c r="L67" s="6">
        <f>[1]Emissions!K820</f>
        <v>370.078641</v>
      </c>
      <c r="M67" s="6">
        <f>[1]Emissions!L820</f>
        <v>374.5803353</v>
      </c>
      <c r="N67" s="6">
        <f>[1]Emissions!M820</f>
        <v>379.06849629999999</v>
      </c>
      <c r="O67" s="6">
        <f>[1]Emissions!N820</f>
        <v>383.6156259</v>
      </c>
      <c r="P67" s="6">
        <f>[1]Emissions!O820</f>
        <v>388.22095039999999</v>
      </c>
      <c r="Q67" s="6">
        <f>[1]Emissions!P820</f>
        <v>392.87563469999998</v>
      </c>
      <c r="R67" s="6">
        <f>[1]Emissions!Q820</f>
        <v>397.5723587</v>
      </c>
      <c r="S67" s="6">
        <f>[1]Emissions!R820</f>
        <v>402.30577019999998</v>
      </c>
      <c r="T67" s="6">
        <f>[1]Emissions!S820</f>
        <v>407.07220310000002</v>
      </c>
      <c r="U67" s="6">
        <f>[1]Emissions!T820</f>
        <v>411.86946399999999</v>
      </c>
      <c r="V67" s="6">
        <f>[1]Emissions!U820</f>
        <v>416.6968056</v>
      </c>
      <c r="W67" s="6">
        <f>[1]Emissions!V820</f>
        <v>421.337107</v>
      </c>
      <c r="X67" s="6">
        <f>[1]Emissions!W820</f>
        <v>426.12716110000002</v>
      </c>
      <c r="Y67" s="6">
        <f>[1]Emissions!X820</f>
        <v>430.98797530000002</v>
      </c>
      <c r="Z67" s="6">
        <f>[1]Emissions!Y820</f>
        <v>435.90534689999998</v>
      </c>
      <c r="AA67" s="6">
        <f>[1]Emissions!Z820</f>
        <v>440.87901069999998</v>
      </c>
      <c r="AB67" s="6">
        <f>[1]Emissions!AA820</f>
        <v>445.28698509999998</v>
      </c>
      <c r="AC67" s="6">
        <f>[1]Emissions!AB820</f>
        <v>449.79721740000002</v>
      </c>
      <c r="AD67" s="6">
        <f>[1]Emissions!AC820</f>
        <v>454.33379830000001</v>
      </c>
      <c r="AE67" s="6">
        <f>[1]Emissions!AD820</f>
        <v>458.89450540000001</v>
      </c>
      <c r="AF67" s="6">
        <f>[1]Emissions!AE820</f>
        <v>463.49037170000003</v>
      </c>
      <c r="AG67" s="6">
        <f>[1]Emissions!AF820</f>
        <v>468.133486</v>
      </c>
      <c r="AH67" s="6">
        <f>[1]Emissions!AG820</f>
        <v>472.8342887</v>
      </c>
      <c r="AI67" s="6">
        <f>[1]Emissions!AH820</f>
        <v>477.6005662</v>
      </c>
      <c r="AJ67" s="6">
        <f>[1]Emissions!AI820</f>
        <v>482.43848539999999</v>
      </c>
      <c r="AK67" s="6">
        <f>[1]Emissions!AJ820</f>
        <v>487.35259550000001</v>
      </c>
      <c r="AL67" s="6">
        <f>[1]Emissions!AK820</f>
        <v>492.34595660000002</v>
      </c>
      <c r="AM67" s="6">
        <f>[1]Emissions!AL820</f>
        <v>497.27138760000003</v>
      </c>
      <c r="AN67" s="6">
        <f>[1]Emissions!AM820</f>
        <v>502.20797119999997</v>
      </c>
      <c r="AO67" s="6">
        <f>[1]Emissions!AN820</f>
        <v>507.17850729999998</v>
      </c>
      <c r="AP67" s="6">
        <f>[1]Emissions!AO820</f>
        <v>512.19319689999998</v>
      </c>
      <c r="AQ67" s="6">
        <f>[1]Emissions!AP820</f>
        <v>517.25856580000004</v>
      </c>
      <c r="AR67" s="6">
        <f>[1]Emissions!AQ820</f>
        <v>522.37939319999998</v>
      </c>
      <c r="AS67" s="6">
        <f>[1]Emissions!AR820</f>
        <v>527.55916569999999</v>
      </c>
      <c r="AT67" s="6">
        <f>[1]Emissions!AS820</f>
        <v>532.80030020000004</v>
      </c>
      <c r="AU67" s="6">
        <f>[1]Emissions!AT820</f>
        <v>538.10436679999998</v>
      </c>
      <c r="AV67" s="6">
        <f>[1]Emissions!AU820</f>
        <v>543.47280499999999</v>
      </c>
      <c r="AW67" s="6">
        <f>[1]Emissions!AV820</f>
        <v>548.92111490000002</v>
      </c>
      <c r="AX67" s="6">
        <f>[1]Emissions!AW820</f>
        <v>554.44455579999999</v>
      </c>
      <c r="AY67" s="6">
        <f>[1]Emissions!AX820</f>
        <v>560.04299170000002</v>
      </c>
      <c r="AZ67" s="6">
        <f>[1]Emissions!AY820</f>
        <v>565.71681349999994</v>
      </c>
      <c r="BA67" s="6">
        <f>[1]Emissions!AZ820</f>
        <v>571.46626179999998</v>
      </c>
      <c r="BB67" s="6">
        <f>[1]Emissions!BA820</f>
        <v>577.29146009999999</v>
      </c>
      <c r="BC67" s="6">
        <f>[1]Emissions!BB820</f>
        <v>583.19256329999996</v>
      </c>
      <c r="BD67" s="6">
        <f>[1]Emissions!BC820</f>
        <v>589.16988170000002</v>
      </c>
      <c r="BE67" s="6">
        <f>[1]Emissions!BD820</f>
        <v>595.22395259999996</v>
      </c>
      <c r="BF67" s="6">
        <f>[1]Emissions!BE820</f>
        <v>601.35556799999995</v>
      </c>
    </row>
    <row r="68" spans="1:58" x14ac:dyDescent="0.35">
      <c r="A68" s="11"/>
      <c r="B68" t="s">
        <v>25</v>
      </c>
      <c r="C68" s="6">
        <f>[1]Emissions!B824</f>
        <v>119.490486</v>
      </c>
      <c r="D68" s="6">
        <f>[1]Emissions!C824</f>
        <v>119.46702000000001</v>
      </c>
      <c r="E68" s="6">
        <f>[1]Emissions!D824</f>
        <v>118.91176129999999</v>
      </c>
      <c r="F68" s="6">
        <f>[1]Emissions!E824</f>
        <v>118.34272300000001</v>
      </c>
      <c r="G68" s="6">
        <f>[1]Emissions!F824</f>
        <v>117.92491579999999</v>
      </c>
      <c r="H68" s="6">
        <f>[1]Emissions!G824</f>
        <v>117.68464229999999</v>
      </c>
      <c r="I68" s="6">
        <f>[1]Emissions!H824</f>
        <v>117.5737389</v>
      </c>
      <c r="J68" s="6">
        <f>[1]Emissions!I824</f>
        <v>117.5717202</v>
      </c>
      <c r="K68" s="6">
        <f>[1]Emissions!J824</f>
        <v>117.6513046</v>
      </c>
      <c r="L68" s="6">
        <f>[1]Emissions!K824</f>
        <v>117.7810617</v>
      </c>
      <c r="M68" s="6">
        <f>[1]Emissions!L824</f>
        <v>118.00411630000001</v>
      </c>
      <c r="N68" s="6">
        <f>[1]Emissions!M824</f>
        <v>118.2427553</v>
      </c>
      <c r="O68" s="6">
        <f>[1]Emissions!N824</f>
        <v>118.4926863</v>
      </c>
      <c r="P68" s="6">
        <f>[1]Emissions!O824</f>
        <v>118.7509831</v>
      </c>
      <c r="Q68" s="6">
        <f>[1]Emissions!P824</f>
        <v>119.01751609999999</v>
      </c>
      <c r="R68" s="6">
        <f>[1]Emissions!Q824</f>
        <v>119.2927598</v>
      </c>
      <c r="S68" s="6">
        <f>[1]Emissions!R824</f>
        <v>119.5764588</v>
      </c>
      <c r="T68" s="6">
        <f>[1]Emissions!S824</f>
        <v>119.8674484</v>
      </c>
      <c r="U68" s="6">
        <f>[1]Emissions!T824</f>
        <v>120.1638579</v>
      </c>
      <c r="V68" s="6">
        <f>[1]Emissions!U824</f>
        <v>120.4635172</v>
      </c>
      <c r="W68" s="6">
        <f>[1]Emissions!V824</f>
        <v>120.73375729999999</v>
      </c>
      <c r="X68" s="6">
        <f>[1]Emissions!W824</f>
        <v>121.0162636</v>
      </c>
      <c r="Y68" s="6">
        <f>[1]Emissions!X824</f>
        <v>121.3027763</v>
      </c>
      <c r="Z68" s="6">
        <f>[1]Emissions!Y824</f>
        <v>121.58927</v>
      </c>
      <c r="AA68" s="6">
        <f>[1]Emissions!Z824</f>
        <v>121.8739807</v>
      </c>
      <c r="AB68" s="6">
        <f>[1]Emissions!AA824</f>
        <v>122.0724977</v>
      </c>
      <c r="AC68" s="6">
        <f>[1]Emissions!AB824</f>
        <v>122.26460830000001</v>
      </c>
      <c r="AD68" s="6">
        <f>[1]Emissions!AC824</f>
        <v>122.448491</v>
      </c>
      <c r="AE68" s="6">
        <f>[1]Emissions!AD824</f>
        <v>122.6239274</v>
      </c>
      <c r="AF68" s="6">
        <f>[1]Emissions!AE824</f>
        <v>122.7916391</v>
      </c>
      <c r="AG68" s="6">
        <f>[1]Emissions!AF824</f>
        <v>122.9528432</v>
      </c>
      <c r="AH68" s="6">
        <f>[1]Emissions!AG824</f>
        <v>123.108914</v>
      </c>
      <c r="AI68" s="6">
        <f>[1]Emissions!AH824</f>
        <v>123.2607254</v>
      </c>
      <c r="AJ68" s="6">
        <f>[1]Emissions!AI824</f>
        <v>123.4095234</v>
      </c>
      <c r="AK68" s="6">
        <f>[1]Emissions!AJ824</f>
        <v>123.5566213</v>
      </c>
      <c r="AL68" s="6">
        <f>[1]Emissions!AK824</f>
        <v>123.7032123</v>
      </c>
      <c r="AM68" s="6">
        <f>[1]Emissions!AL824</f>
        <v>123.8321593</v>
      </c>
      <c r="AN68" s="6">
        <f>[1]Emissions!AM824</f>
        <v>123.9515796</v>
      </c>
      <c r="AO68" s="6">
        <f>[1]Emissions!AN824</f>
        <v>124.0654033</v>
      </c>
      <c r="AP68" s="6">
        <f>[1]Emissions!AO824</f>
        <v>124.1755364</v>
      </c>
      <c r="AQ68" s="6">
        <f>[1]Emissions!AP824</f>
        <v>124.2829038</v>
      </c>
      <c r="AR68" s="6">
        <f>[1]Emissions!AQ824</f>
        <v>124.3879352</v>
      </c>
      <c r="AS68" s="6">
        <f>[1]Emissions!AR824</f>
        <v>124.4907664</v>
      </c>
      <c r="AT68" s="6">
        <f>[1]Emissions!AS824</f>
        <v>124.5913693</v>
      </c>
      <c r="AU68" s="6">
        <f>[1]Emissions!AT824</f>
        <v>124.6896586</v>
      </c>
      <c r="AV68" s="6">
        <f>[1]Emissions!AU824</f>
        <v>124.7860112</v>
      </c>
      <c r="AW68" s="6">
        <f>[1]Emissions!AV824</f>
        <v>124.8833697</v>
      </c>
      <c r="AX68" s="6">
        <f>[1]Emissions!AW824</f>
        <v>124.982986</v>
      </c>
      <c r="AY68" s="6">
        <f>[1]Emissions!AX824</f>
        <v>125.0861815</v>
      </c>
      <c r="AZ68" s="6">
        <f>[1]Emissions!AY824</f>
        <v>125.1939357</v>
      </c>
      <c r="BA68" s="6">
        <f>[1]Emissions!AZ824</f>
        <v>125.3068114</v>
      </c>
      <c r="BB68" s="6">
        <f>[1]Emissions!BA824</f>
        <v>125.4250224</v>
      </c>
      <c r="BC68" s="6">
        <f>[1]Emissions!BB824</f>
        <v>125.5485362</v>
      </c>
      <c r="BD68" s="6">
        <f>[1]Emissions!BC824</f>
        <v>125.6771636</v>
      </c>
      <c r="BE68" s="6">
        <f>[1]Emissions!BD824</f>
        <v>125.8106227</v>
      </c>
      <c r="BF68" s="6">
        <f>[1]Emissions!BE824</f>
        <v>125.9485791</v>
      </c>
    </row>
    <row r="69" spans="1:58" x14ac:dyDescent="0.35">
      <c r="A69" s="11"/>
      <c r="B69" t="s">
        <v>26</v>
      </c>
      <c r="C69" s="6">
        <f>SUM(C70:C72)</f>
        <v>231.10094871929999</v>
      </c>
      <c r="D69" s="6">
        <f t="shared" ref="D69:AL69" si="44">SUM(D70:D72)</f>
        <v>229.1041089</v>
      </c>
      <c r="E69" s="6">
        <f t="shared" si="44"/>
        <v>230.34781387369998</v>
      </c>
      <c r="F69" s="6">
        <f t="shared" si="44"/>
        <v>232.43482481550001</v>
      </c>
      <c r="G69" s="6">
        <f t="shared" si="44"/>
        <v>235.00919097029998</v>
      </c>
      <c r="H69" s="6">
        <f t="shared" si="44"/>
        <v>238.0034351916</v>
      </c>
      <c r="I69" s="6">
        <f t="shared" si="44"/>
        <v>241.22787767540001</v>
      </c>
      <c r="J69" s="6">
        <f t="shared" si="44"/>
        <v>244.70773004</v>
      </c>
      <c r="K69" s="6">
        <f t="shared" si="44"/>
        <v>248.41079694229998</v>
      </c>
      <c r="L69" s="6">
        <f t="shared" si="44"/>
        <v>252.2975792764</v>
      </c>
      <c r="M69" s="6">
        <f t="shared" si="44"/>
        <v>256.57621898899998</v>
      </c>
      <c r="N69" s="6">
        <f t="shared" si="44"/>
        <v>260.8257409995</v>
      </c>
      <c r="O69" s="6">
        <f t="shared" si="44"/>
        <v>265.12293958010002</v>
      </c>
      <c r="P69" s="6">
        <f t="shared" si="44"/>
        <v>269.4699672694</v>
      </c>
      <c r="Q69" s="6">
        <f t="shared" si="44"/>
        <v>273.8581185475</v>
      </c>
      <c r="R69" s="6">
        <f t="shared" si="44"/>
        <v>278.27959886550002</v>
      </c>
      <c r="S69" s="6">
        <f t="shared" si="44"/>
        <v>282.72931140380001</v>
      </c>
      <c r="T69" s="6">
        <f t="shared" si="44"/>
        <v>287.20475477900004</v>
      </c>
      <c r="U69" s="6">
        <f t="shared" si="44"/>
        <v>291.70560608540006</v>
      </c>
      <c r="V69" s="6">
        <f t="shared" si="44"/>
        <v>296.23328839199996</v>
      </c>
      <c r="W69" s="6">
        <f t="shared" si="44"/>
        <v>300.60334970740001</v>
      </c>
      <c r="X69" s="6">
        <f t="shared" si="44"/>
        <v>305.11089746089999</v>
      </c>
      <c r="Y69" s="6">
        <f t="shared" si="44"/>
        <v>309.68519897809995</v>
      </c>
      <c r="Z69" s="6">
        <f t="shared" si="44"/>
        <v>314.3160769035</v>
      </c>
      <c r="AA69" s="6">
        <f t="shared" si="44"/>
        <v>319.00503003759997</v>
      </c>
      <c r="AB69" s="6">
        <f t="shared" si="44"/>
        <v>323.21448739830004</v>
      </c>
      <c r="AC69" s="6">
        <f t="shared" si="44"/>
        <v>327.53260905809998</v>
      </c>
      <c r="AD69" s="6">
        <f t="shared" si="44"/>
        <v>331.88530731089998</v>
      </c>
      <c r="AE69" s="6">
        <f t="shared" si="44"/>
        <v>336.27057796930001</v>
      </c>
      <c r="AF69" s="6">
        <f t="shared" si="44"/>
        <v>340.69873260430001</v>
      </c>
      <c r="AG69" s="6">
        <f t="shared" si="44"/>
        <v>345.18064285500003</v>
      </c>
      <c r="AH69" s="6">
        <f t="shared" si="44"/>
        <v>349.72537469499997</v>
      </c>
      <c r="AI69" s="6">
        <f t="shared" si="44"/>
        <v>354.33984073619996</v>
      </c>
      <c r="AJ69" s="6">
        <f t="shared" si="44"/>
        <v>359.02896202680006</v>
      </c>
      <c r="AK69" s="6">
        <f t="shared" si="44"/>
        <v>363.79597415800004</v>
      </c>
      <c r="AL69" s="6">
        <f t="shared" si="44"/>
        <v>368.64274426219998</v>
      </c>
      <c r="AM69" s="6">
        <f t="shared" ref="AM69:BC69" si="45">SUM(AM70:AM72)</f>
        <v>373.43922835160004</v>
      </c>
      <c r="AN69" s="6">
        <f t="shared" si="45"/>
        <v>378.25639154319998</v>
      </c>
      <c r="AO69" s="6">
        <f t="shared" si="45"/>
        <v>383.11310392189995</v>
      </c>
      <c r="AP69" s="6">
        <f t="shared" si="45"/>
        <v>388.01766047120003</v>
      </c>
      <c r="AQ69" s="6">
        <f t="shared" si="45"/>
        <v>392.97566196619999</v>
      </c>
      <c r="AR69" s="6">
        <f t="shared" si="45"/>
        <v>397.99145796380003</v>
      </c>
      <c r="AS69" s="6">
        <f t="shared" si="45"/>
        <v>403.06839936879999</v>
      </c>
      <c r="AT69" s="6">
        <f t="shared" si="45"/>
        <v>408.20893077860001</v>
      </c>
      <c r="AU69" s="6">
        <f t="shared" si="45"/>
        <v>413.41470815700006</v>
      </c>
      <c r="AV69" s="6">
        <f t="shared" si="45"/>
        <v>418.68679383570003</v>
      </c>
      <c r="AW69" s="6">
        <f t="shared" si="45"/>
        <v>424.03774517430003</v>
      </c>
      <c r="AX69" s="6">
        <f t="shared" si="45"/>
        <v>429.46156980590001</v>
      </c>
      <c r="AY69" s="6">
        <f t="shared" si="45"/>
        <v>434.9568102229</v>
      </c>
      <c r="AZ69" s="6">
        <f t="shared" si="45"/>
        <v>440.52287778129994</v>
      </c>
      <c r="BA69" s="6">
        <f t="shared" si="45"/>
        <v>446.15945035330003</v>
      </c>
      <c r="BB69" s="6">
        <f t="shared" si="45"/>
        <v>451.86643767599998</v>
      </c>
      <c r="BC69" s="6">
        <f t="shared" si="45"/>
        <v>457.64402711740001</v>
      </c>
      <c r="BD69" s="6">
        <f t="shared" ref="BD69:BF69" si="46">SUM(BD70:BD72)</f>
        <v>463.49271813669998</v>
      </c>
      <c r="BE69" s="6">
        <f t="shared" si="46"/>
        <v>469.41332991069999</v>
      </c>
      <c r="BF69" s="6">
        <f t="shared" si="46"/>
        <v>475.40698899879999</v>
      </c>
    </row>
    <row r="70" spans="1:58" x14ac:dyDescent="0.35">
      <c r="A70" s="11"/>
      <c r="B70" t="s">
        <v>50</v>
      </c>
      <c r="C70" s="6">
        <f>[1]Emissions!B821</f>
        <v>215.8206874</v>
      </c>
      <c r="D70" s="6">
        <f>[1]Emissions!C821</f>
        <v>213.8273978</v>
      </c>
      <c r="E70" s="6">
        <f>[1]Emissions!D821</f>
        <v>214.92372689999999</v>
      </c>
      <c r="F70" s="6">
        <f>[1]Emissions!E821</f>
        <v>216.81423989999999</v>
      </c>
      <c r="G70" s="6">
        <f>[1]Emissions!F821</f>
        <v>219.16518980000001</v>
      </c>
      <c r="H70" s="6">
        <f>[1]Emissions!G821</f>
        <v>221.91689579999999</v>
      </c>
      <c r="I70" s="6">
        <f>[1]Emissions!H821</f>
        <v>224.89319380000001</v>
      </c>
      <c r="J70" s="6">
        <f>[1]Emissions!I821</f>
        <v>228.1167844</v>
      </c>
      <c r="K70" s="6">
        <f>[1]Emissions!J821</f>
        <v>231.5560744</v>
      </c>
      <c r="L70" s="6">
        <f>[1]Emissions!K821</f>
        <v>235.1723714</v>
      </c>
      <c r="M70" s="6">
        <f>[1]Emissions!L821</f>
        <v>239.1583569</v>
      </c>
      <c r="N70" s="6">
        <f>[1]Emissions!M821</f>
        <v>243.11926270000001</v>
      </c>
      <c r="O70" s="6">
        <f>[1]Emissions!N821</f>
        <v>247.12519829999999</v>
      </c>
      <c r="P70" s="6">
        <f>[1]Emissions!O821</f>
        <v>251.17733459999999</v>
      </c>
      <c r="Q70" s="6">
        <f>[1]Emissions!P821</f>
        <v>255.2668018</v>
      </c>
      <c r="R70" s="6">
        <f>[1]Emissions!Q821</f>
        <v>259.38569539999997</v>
      </c>
      <c r="S70" s="6">
        <f>[1]Emissions!R821</f>
        <v>263.52874150000002</v>
      </c>
      <c r="T70" s="6">
        <f>[1]Emissions!S821</f>
        <v>267.69319180000002</v>
      </c>
      <c r="U70" s="6">
        <f>[1]Emissions!T821</f>
        <v>271.87842970000003</v>
      </c>
      <c r="V70" s="6">
        <f>[1]Emissions!U821</f>
        <v>276.08556379999999</v>
      </c>
      <c r="W70" s="6">
        <f>[1]Emissions!V821</f>
        <v>280.14188460000003</v>
      </c>
      <c r="X70" s="6">
        <f>[1]Emissions!W821</f>
        <v>284.32311229999999</v>
      </c>
      <c r="Y70" s="6">
        <f>[1]Emissions!X821</f>
        <v>288.56352349999997</v>
      </c>
      <c r="Z70" s="6">
        <f>[1]Emissions!Y821</f>
        <v>292.85363610000002</v>
      </c>
      <c r="AA70" s="6">
        <f>[1]Emissions!Z821</f>
        <v>297.19498149999998</v>
      </c>
      <c r="AB70" s="6">
        <f>[1]Emissions!AA821</f>
        <v>301.08482240000001</v>
      </c>
      <c r="AC70" s="6">
        <f>[1]Emissions!AB821</f>
        <v>305.07268219999997</v>
      </c>
      <c r="AD70" s="6">
        <f>[1]Emissions!AC821</f>
        <v>309.0902754</v>
      </c>
      <c r="AE70" s="6">
        <f>[1]Emissions!AD821</f>
        <v>313.13599349999998</v>
      </c>
      <c r="AF70" s="6">
        <f>[1]Emissions!AE821</f>
        <v>317.21982320000001</v>
      </c>
      <c r="AG70" s="6">
        <f>[1]Emissions!AF821</f>
        <v>321.35230050000001</v>
      </c>
      <c r="AH70" s="6">
        <f>[1]Emissions!AG821</f>
        <v>325.5422615</v>
      </c>
      <c r="AI70" s="6">
        <f>[1]Emissions!AH821</f>
        <v>329.79650570000001</v>
      </c>
      <c r="AJ70" s="6">
        <f>[1]Emissions!AI821</f>
        <v>334.11994320000002</v>
      </c>
      <c r="AK70" s="6">
        <f>[1]Emissions!AJ821</f>
        <v>338.5158773</v>
      </c>
      <c r="AL70" s="6">
        <f>[1]Emissions!AK821</f>
        <v>342.9862966</v>
      </c>
      <c r="AM70" s="6">
        <f>[1]Emissions!AL821</f>
        <v>347.40980519999999</v>
      </c>
      <c r="AN70" s="6">
        <f>[1]Emissions!AM821</f>
        <v>351.8527307</v>
      </c>
      <c r="AO70" s="6">
        <f>[1]Emissions!AN821</f>
        <v>356.33293159999999</v>
      </c>
      <c r="AP70" s="6">
        <f>[1]Emissions!AO821</f>
        <v>360.85831710000002</v>
      </c>
      <c r="AQ70" s="6">
        <f>[1]Emissions!AP821</f>
        <v>365.43425089999999</v>
      </c>
      <c r="AR70" s="6">
        <f>[1]Emissions!AQ821</f>
        <v>370.0649095</v>
      </c>
      <c r="AS70" s="6">
        <f>[1]Emissions!AR821</f>
        <v>374.75351740000002</v>
      </c>
      <c r="AT70" s="6">
        <f>[1]Emissions!AS821</f>
        <v>379.502433</v>
      </c>
      <c r="AU70" s="6">
        <f>[1]Emissions!AT821</f>
        <v>384.31325950000002</v>
      </c>
      <c r="AV70" s="6">
        <f>[1]Emissions!AU821</f>
        <v>389.18703140000002</v>
      </c>
      <c r="AW70" s="6">
        <f>[1]Emissions!AV821</f>
        <v>394.13552010000001</v>
      </c>
      <c r="AX70" s="6">
        <f>[1]Emissions!AW821</f>
        <v>399.15316380000002</v>
      </c>
      <c r="AY70" s="6">
        <f>[1]Emissions!AX821</f>
        <v>404.23860059999998</v>
      </c>
      <c r="AZ70" s="6">
        <f>[1]Emissions!AY821</f>
        <v>409.39126729999998</v>
      </c>
      <c r="BA70" s="6">
        <f>[1]Emissions!AZ821</f>
        <v>414.61083500000001</v>
      </c>
      <c r="BB70" s="6">
        <f>[1]Emissions!BA821</f>
        <v>419.89717899999999</v>
      </c>
      <c r="BC70" s="6">
        <f>[1]Emissions!BB821</f>
        <v>425.25042500000001</v>
      </c>
      <c r="BD70" s="6">
        <f>[1]Emissions!BC821</f>
        <v>430.67098440000001</v>
      </c>
      <c r="BE70" s="6">
        <f>[1]Emissions!BD821</f>
        <v>436.1595638</v>
      </c>
      <c r="BF70" s="6">
        <f>[1]Emissions!BE821</f>
        <v>441.7171553</v>
      </c>
    </row>
    <row r="71" spans="1:58" x14ac:dyDescent="0.35">
      <c r="A71" s="11"/>
      <c r="B71" t="s">
        <v>51</v>
      </c>
      <c r="C71" s="6">
        <f>[1]Emissions!B822</f>
        <v>2.7572479300000001E-2</v>
      </c>
      <c r="D71" s="6">
        <f>[1]Emissions!C822</f>
        <v>2.7226520000000001E-2</v>
      </c>
      <c r="E71" s="6">
        <f>[1]Emissions!D822</f>
        <v>2.73686837E-2</v>
      </c>
      <c r="F71" s="6">
        <f>[1]Emissions!E822</f>
        <v>2.76041655E-2</v>
      </c>
      <c r="G71" s="6">
        <f>[1]Emissions!F822</f>
        <v>2.7911620299999999E-2</v>
      </c>
      <c r="H71" s="6">
        <f>[1]Emissions!G822</f>
        <v>2.8279161600000002E-2</v>
      </c>
      <c r="I71" s="6">
        <f>[1]Emissions!H822</f>
        <v>2.8679535400000001E-2</v>
      </c>
      <c r="J71" s="6">
        <f>[1]Emissions!I822</f>
        <v>2.911263E-2</v>
      </c>
      <c r="K71" s="6">
        <f>[1]Emissions!J822</f>
        <v>2.9572522300000001E-2</v>
      </c>
      <c r="L71" s="6">
        <f>[1]Emissions!K822</f>
        <v>3.0053916399999998E-2</v>
      </c>
      <c r="M71" s="6">
        <f>[1]Emissions!L822</f>
        <v>3.0581679000000001E-2</v>
      </c>
      <c r="N71" s="6">
        <f>[1]Emissions!M822</f>
        <v>3.1106409500000001E-2</v>
      </c>
      <c r="O71" s="6">
        <f>[1]Emissions!N822</f>
        <v>3.1637760100000002E-2</v>
      </c>
      <c r="P71" s="6">
        <f>[1]Emissions!O822</f>
        <v>3.2174349400000003E-2</v>
      </c>
      <c r="Q71" s="6">
        <f>[1]Emissions!P822</f>
        <v>3.2714827500000002E-2</v>
      </c>
      <c r="R71" s="6">
        <f>[1]Emissions!Q822</f>
        <v>3.32583355E-2</v>
      </c>
      <c r="S71" s="6">
        <f>[1]Emissions!R822</f>
        <v>3.3804493800000002E-2</v>
      </c>
      <c r="T71" s="6">
        <f>[1]Emissions!S822</f>
        <v>3.4353289000000002E-2</v>
      </c>
      <c r="U71" s="6">
        <f>[1]Emissions!T822</f>
        <v>3.49049554E-2</v>
      </c>
      <c r="V71" s="6">
        <f>[1]Emissions!U822</f>
        <v>3.5459881999999998E-2</v>
      </c>
      <c r="W71" s="6">
        <f>[1]Emissions!V822</f>
        <v>3.5996567399999999E-2</v>
      </c>
      <c r="X71" s="6">
        <f>[1]Emissions!W822</f>
        <v>3.65495209E-2</v>
      </c>
      <c r="Y71" s="6">
        <f>[1]Emissions!X822</f>
        <v>3.7109988099999998E-2</v>
      </c>
      <c r="Z71" s="6">
        <f>[1]Emissions!Y822</f>
        <v>3.7677853499999997E-2</v>
      </c>
      <c r="AA71" s="6">
        <f>[1]Emissions!Z822</f>
        <v>3.8253377599999999E-2</v>
      </c>
      <c r="AB71" s="6">
        <f>[1]Emissions!AA822</f>
        <v>3.8773338300000001E-2</v>
      </c>
      <c r="AC71" s="6">
        <f>[1]Emissions!AB822</f>
        <v>3.9305878099999997E-2</v>
      </c>
      <c r="AD71" s="6">
        <f>[1]Emissions!AC822</f>
        <v>3.9840520900000002E-2</v>
      </c>
      <c r="AE71" s="6">
        <f>[1]Emissions!AD822</f>
        <v>4.0379099299999999E-2</v>
      </c>
      <c r="AF71" s="6">
        <f>[1]Emissions!AE822</f>
        <v>4.0923644299999999E-2</v>
      </c>
      <c r="AG71" s="6">
        <f>[1]Emissions!AF822</f>
        <v>4.1475835000000003E-2</v>
      </c>
      <c r="AH71" s="6">
        <f>[1]Emissions!AG822</f>
        <v>4.2036904999999999E-2</v>
      </c>
      <c r="AI71" s="6">
        <f>[1]Emissions!AH822</f>
        <v>4.2607686200000001E-2</v>
      </c>
      <c r="AJ71" s="6">
        <f>[1]Emissions!AI822</f>
        <v>4.3188686800000001E-2</v>
      </c>
      <c r="AK71" s="6">
        <f>[1]Emissions!AJ822</f>
        <v>4.3780178000000003E-2</v>
      </c>
      <c r="AL71" s="6">
        <f>[1]Emissions!AK822</f>
        <v>4.4382272200000003E-2</v>
      </c>
      <c r="AM71" s="6">
        <f>[1]Emissions!AL822</f>
        <v>4.4979611599999997E-2</v>
      </c>
      <c r="AN71" s="6">
        <f>[1]Emissions!AM822</f>
        <v>4.5580363200000001E-2</v>
      </c>
      <c r="AO71" s="6">
        <f>[1]Emissions!AN822</f>
        <v>4.6186301899999997E-2</v>
      </c>
      <c r="AP71" s="6">
        <f>[1]Emissions!AO822</f>
        <v>4.6798741200000001E-2</v>
      </c>
      <c r="AQ71" s="6">
        <f>[1]Emissions!AP822</f>
        <v>4.7418796200000002E-2</v>
      </c>
      <c r="AR71" s="6">
        <f>[1]Emissions!AQ822</f>
        <v>4.8047393799999998E-2</v>
      </c>
      <c r="AS71" s="6">
        <f>[1]Emissions!AR822</f>
        <v>4.8685258799999999E-2</v>
      </c>
      <c r="AT71" s="6">
        <f>[1]Emissions!AS822</f>
        <v>4.9332918599999998E-2</v>
      </c>
      <c r="AU71" s="6">
        <f>[1]Emissions!AT822</f>
        <v>4.9990726999999999E-2</v>
      </c>
      <c r="AV71" s="6">
        <f>[1]Emissions!AU822</f>
        <v>5.0658895699999998E-2</v>
      </c>
      <c r="AW71" s="6">
        <f>[1]Emissions!AV822</f>
        <v>5.1338924299999998E-2</v>
      </c>
      <c r="AX71" s="6">
        <f>[1]Emissions!AW822</f>
        <v>5.2030095899999997E-2</v>
      </c>
      <c r="AY71" s="6">
        <f>[1]Emissions!AX822</f>
        <v>5.2732242899999997E-2</v>
      </c>
      <c r="AZ71" s="6">
        <f>[1]Emissions!AY822</f>
        <v>5.34452313E-2</v>
      </c>
      <c r="BA71" s="6">
        <f>[1]Emissions!AZ822</f>
        <v>5.4168953300000003E-2</v>
      </c>
      <c r="BB71" s="6">
        <f>[1]Emissions!BA822</f>
        <v>5.4903335999999997E-2</v>
      </c>
      <c r="BC71" s="6">
        <f>[1]Emissions!BB822</f>
        <v>5.5648347399999999E-2</v>
      </c>
      <c r="BD71" s="6">
        <f>[1]Emissions!BC822</f>
        <v>5.64039967E-2</v>
      </c>
      <c r="BE71" s="6">
        <f>[1]Emissions!BD822</f>
        <v>5.7170330700000001E-2</v>
      </c>
      <c r="BF71" s="6">
        <f>[1]Emissions!BE822</f>
        <v>5.7947428799999999E-2</v>
      </c>
    </row>
    <row r="72" spans="1:58" x14ac:dyDescent="0.35">
      <c r="A72" s="11"/>
      <c r="B72" t="s">
        <v>52</v>
      </c>
      <c r="C72" s="6">
        <f>[1]Emissions!B823</f>
        <v>15.252688839999999</v>
      </c>
      <c r="D72" s="6">
        <f>[1]Emissions!C823</f>
        <v>15.249484580000001</v>
      </c>
      <c r="E72" s="6">
        <f>[1]Emissions!D823</f>
        <v>15.396718290000001</v>
      </c>
      <c r="F72" s="6">
        <f>[1]Emissions!E823</f>
        <v>15.592980750000001</v>
      </c>
      <c r="G72" s="6">
        <f>[1]Emissions!F823</f>
        <v>15.816089549999999</v>
      </c>
      <c r="H72" s="6">
        <f>[1]Emissions!G823</f>
        <v>16.058260229999998</v>
      </c>
      <c r="I72" s="6">
        <f>[1]Emissions!H823</f>
        <v>16.306004340000001</v>
      </c>
      <c r="J72" s="6">
        <f>[1]Emissions!I823</f>
        <v>16.561833010000001</v>
      </c>
      <c r="K72" s="6">
        <f>[1]Emissions!J823</f>
        <v>16.825150019999999</v>
      </c>
      <c r="L72" s="6">
        <f>[1]Emissions!K823</f>
        <v>17.095153960000001</v>
      </c>
      <c r="M72" s="6">
        <f>[1]Emissions!L823</f>
        <v>17.387280409999999</v>
      </c>
      <c r="N72" s="6">
        <f>[1]Emissions!M823</f>
        <v>17.675371890000001</v>
      </c>
      <c r="O72" s="6">
        <f>[1]Emissions!N823</f>
        <v>17.966103520000001</v>
      </c>
      <c r="P72" s="6">
        <f>[1]Emissions!O823</f>
        <v>18.260458320000001</v>
      </c>
      <c r="Q72" s="6">
        <f>[1]Emissions!P823</f>
        <v>18.558601920000001</v>
      </c>
      <c r="R72" s="6">
        <f>[1]Emissions!Q823</f>
        <v>18.860645130000002</v>
      </c>
      <c r="S72" s="6">
        <f>[1]Emissions!R823</f>
        <v>19.16676541</v>
      </c>
      <c r="T72" s="6">
        <f>[1]Emissions!S823</f>
        <v>19.477209689999999</v>
      </c>
      <c r="U72" s="6">
        <f>[1]Emissions!T823</f>
        <v>19.79227143</v>
      </c>
      <c r="V72" s="6">
        <f>[1]Emissions!U823</f>
        <v>20.112264710000002</v>
      </c>
      <c r="W72" s="6">
        <f>[1]Emissions!V823</f>
        <v>20.425468540000001</v>
      </c>
      <c r="X72" s="6">
        <f>[1]Emissions!W823</f>
        <v>20.751235640000001</v>
      </c>
      <c r="Y72" s="6">
        <f>[1]Emissions!X823</f>
        <v>21.084565489999999</v>
      </c>
      <c r="Z72" s="6">
        <f>[1]Emissions!Y823</f>
        <v>21.424762950000002</v>
      </c>
      <c r="AA72" s="6">
        <f>[1]Emissions!Z823</f>
        <v>21.77179516</v>
      </c>
      <c r="AB72" s="6">
        <f>[1]Emissions!AA823</f>
        <v>22.09089166</v>
      </c>
      <c r="AC72" s="6">
        <f>[1]Emissions!AB823</f>
        <v>22.420620979999999</v>
      </c>
      <c r="AD72" s="6">
        <f>[1]Emissions!AC823</f>
        <v>22.75519139</v>
      </c>
      <c r="AE72" s="6">
        <f>[1]Emissions!AD823</f>
        <v>23.094205370000001</v>
      </c>
      <c r="AF72" s="6">
        <f>[1]Emissions!AE823</f>
        <v>23.43798576</v>
      </c>
      <c r="AG72" s="6">
        <f>[1]Emissions!AF823</f>
        <v>23.78686652</v>
      </c>
      <c r="AH72" s="6">
        <f>[1]Emissions!AG823</f>
        <v>24.141076290000001</v>
      </c>
      <c r="AI72" s="6">
        <f>[1]Emissions!AH823</f>
        <v>24.500727349999998</v>
      </c>
      <c r="AJ72" s="6">
        <f>[1]Emissions!AI823</f>
        <v>24.86583014</v>
      </c>
      <c r="AK72" s="6">
        <f>[1]Emissions!AJ823</f>
        <v>25.236316680000002</v>
      </c>
      <c r="AL72" s="6">
        <f>[1]Emissions!AK823</f>
        <v>25.612065390000001</v>
      </c>
      <c r="AM72" s="6">
        <f>[1]Emissions!AL823</f>
        <v>25.984443540000001</v>
      </c>
      <c r="AN72" s="6">
        <f>[1]Emissions!AM823</f>
        <v>26.358080480000002</v>
      </c>
      <c r="AO72" s="6">
        <f>[1]Emissions!AN823</f>
        <v>26.73398602</v>
      </c>
      <c r="AP72" s="6">
        <f>[1]Emissions!AO823</f>
        <v>27.112544629999999</v>
      </c>
      <c r="AQ72" s="6">
        <f>[1]Emissions!AP823</f>
        <v>27.49399227</v>
      </c>
      <c r="AR72" s="6">
        <f>[1]Emissions!AQ823</f>
        <v>27.878501069999999</v>
      </c>
      <c r="AS72" s="6">
        <f>[1]Emissions!AR823</f>
        <v>28.266196709999999</v>
      </c>
      <c r="AT72" s="6">
        <f>[1]Emissions!AS823</f>
        <v>28.657164860000002</v>
      </c>
      <c r="AU72" s="6">
        <f>[1]Emissions!AT823</f>
        <v>29.051457930000002</v>
      </c>
      <c r="AV72" s="6">
        <f>[1]Emissions!AU823</f>
        <v>29.449103539999999</v>
      </c>
      <c r="AW72" s="6">
        <f>[1]Emissions!AV823</f>
        <v>29.850886150000001</v>
      </c>
      <c r="AX72" s="6">
        <f>[1]Emissions!AW823</f>
        <v>30.256375909999999</v>
      </c>
      <c r="AY72" s="6">
        <f>[1]Emissions!AX823</f>
        <v>30.665477379999999</v>
      </c>
      <c r="AZ72" s="6">
        <f>[1]Emissions!AY823</f>
        <v>31.078165250000001</v>
      </c>
      <c r="BA72" s="6">
        <f>[1]Emissions!AZ823</f>
        <v>31.494446400000001</v>
      </c>
      <c r="BB72" s="6">
        <f>[1]Emissions!BA823</f>
        <v>31.91435534</v>
      </c>
      <c r="BC72" s="6">
        <f>[1]Emissions!BB823</f>
        <v>32.337953769999999</v>
      </c>
      <c r="BD72" s="6">
        <f>[1]Emissions!BC823</f>
        <v>32.765329739999999</v>
      </c>
      <c r="BE72" s="6">
        <f>[1]Emissions!BD823</f>
        <v>33.196595780000003</v>
      </c>
      <c r="BF72" s="6">
        <f>[1]Emissions!BE823</f>
        <v>33.631886270000003</v>
      </c>
    </row>
    <row r="73" spans="1:58" x14ac:dyDescent="0.35">
      <c r="A73" s="11"/>
      <c r="B73" t="str">
        <f>B65</f>
        <v>NZ50</v>
      </c>
      <c r="C73" s="6">
        <f>[1]Emissions!B825</f>
        <v>350.28895519999998</v>
      </c>
      <c r="D73" s="6">
        <f>[1]Emissions!C825</f>
        <v>347.67222390000001</v>
      </c>
      <c r="E73" s="6">
        <f>[1]Emissions!D825</f>
        <v>347.72183239999998</v>
      </c>
      <c r="F73" s="6">
        <f>[1]Emissions!E825</f>
        <v>348.57148480000001</v>
      </c>
      <c r="G73" s="6">
        <f>[1]Emissions!F825</f>
        <v>350.03832729999999</v>
      </c>
      <c r="H73" s="6">
        <f>[1]Emissions!G825</f>
        <v>352.08584919999998</v>
      </c>
      <c r="I73" s="6">
        <f>[1]Emissions!H825</f>
        <v>354.47016109999998</v>
      </c>
      <c r="J73" s="6">
        <f>[1]Emissions!I825</f>
        <v>357.21584280000002</v>
      </c>
      <c r="K73" s="6">
        <f>[1]Emissions!J825</f>
        <v>360.2808263</v>
      </c>
      <c r="L73" s="6">
        <f>[1]Emissions!K825</f>
        <v>363.61040930000001</v>
      </c>
      <c r="M73" s="6">
        <f>[1]Emissions!L825</f>
        <v>367.442519</v>
      </c>
      <c r="N73" s="6">
        <f>[1]Emissions!M825</f>
        <v>371.26485359999998</v>
      </c>
      <c r="O73" s="6">
        <f>[1]Emissions!N825</f>
        <v>375.16605340000001</v>
      </c>
      <c r="P73" s="6">
        <f>[1]Emissions!O825</f>
        <v>379.14742360000002</v>
      </c>
      <c r="Q73" s="6">
        <f>[1]Emissions!P825</f>
        <v>383.1956313</v>
      </c>
      <c r="R73" s="6">
        <f>[1]Emissions!Q825</f>
        <v>387.29762060000002</v>
      </c>
      <c r="S73" s="6">
        <f>[1]Emissions!R825</f>
        <v>391.42072560000003</v>
      </c>
      <c r="T73" s="6">
        <f>[1]Emissions!S825</f>
        <v>395.57389419999998</v>
      </c>
      <c r="U73" s="6">
        <f>[1]Emissions!T825</f>
        <v>399.75815460000001</v>
      </c>
      <c r="V73" s="6">
        <f>[1]Emissions!U825</f>
        <v>403.97406430000001</v>
      </c>
      <c r="W73" s="6">
        <f>[1]Emissions!V825</f>
        <v>408.01326030000001</v>
      </c>
      <c r="X73" s="6">
        <f>[1]Emissions!W825</f>
        <v>412.20121</v>
      </c>
      <c r="Y73" s="6">
        <f>[1]Emissions!X825</f>
        <v>416.46189170000002</v>
      </c>
      <c r="Z73" s="6">
        <f>[1]Emissions!Y825</f>
        <v>420.78084059999998</v>
      </c>
      <c r="AA73" s="6">
        <f>[1]Emissions!Z825</f>
        <v>425.15653429999998</v>
      </c>
      <c r="AB73" s="6">
        <f>[1]Emissions!AA825</f>
        <v>428.99258950000001</v>
      </c>
      <c r="AC73" s="6">
        <f>[1]Emissions!AB825</f>
        <v>432.93680849999998</v>
      </c>
      <c r="AD73" s="6">
        <f>[1]Emissions!AC825</f>
        <v>436.91087599999997</v>
      </c>
      <c r="AE73" s="6">
        <f>[1]Emissions!AD825</f>
        <v>440.9105275</v>
      </c>
      <c r="AF73" s="6">
        <f>[1]Emissions!AE825</f>
        <v>444.94505830000003</v>
      </c>
      <c r="AG73" s="6">
        <f>[1]Emissions!AF825</f>
        <v>449.02444059999999</v>
      </c>
      <c r="AH73" s="6">
        <f>[1]Emissions!AG825</f>
        <v>453.16245120000002</v>
      </c>
      <c r="AI73" s="6">
        <f>[1]Emissions!AH825</f>
        <v>457.3631575</v>
      </c>
      <c r="AJ73" s="6">
        <f>[1]Emissions!AI825</f>
        <v>461.63098309999998</v>
      </c>
      <c r="AK73" s="6">
        <f>[1]Emissions!AJ825</f>
        <v>465.96932779999997</v>
      </c>
      <c r="AL73" s="6">
        <f>[1]Emissions!AK825</f>
        <v>470.38048759999998</v>
      </c>
      <c r="AM73" s="6">
        <f>[1]Emissions!AL825</f>
        <v>474.76789309999998</v>
      </c>
      <c r="AN73" s="6">
        <f>[1]Emissions!AM825</f>
        <v>479.18029539999998</v>
      </c>
      <c r="AO73" s="6">
        <f>[1]Emissions!AN825</f>
        <v>483.63238719999998</v>
      </c>
      <c r="AP73" s="6">
        <f>[1]Emissions!AO825</f>
        <v>488.13169379999999</v>
      </c>
      <c r="AQ73" s="6">
        <f>[1]Emissions!AP825</f>
        <v>492.6836174</v>
      </c>
      <c r="AR73" s="6">
        <f>[1]Emissions!AQ825</f>
        <v>497.29910000000001</v>
      </c>
      <c r="AS73" s="6">
        <f>[1]Emissions!AR825</f>
        <v>501.97750139999999</v>
      </c>
      <c r="AT73" s="6">
        <f>[1]Emissions!AS825</f>
        <v>506.72005919999998</v>
      </c>
      <c r="AU73" s="6">
        <f>[1]Emissions!AT825</f>
        <v>511.5279281</v>
      </c>
      <c r="AV73" s="6">
        <f>[1]Emissions!AU825</f>
        <v>516.40182679999998</v>
      </c>
      <c r="AW73" s="6">
        <f>[1]Emissions!AV825</f>
        <v>521.37667610000005</v>
      </c>
      <c r="AX73" s="6">
        <f>[1]Emissions!AW825</f>
        <v>526.43307049999999</v>
      </c>
      <c r="AY73" s="6">
        <f>[1]Emissions!AX825</f>
        <v>531.56500779999999</v>
      </c>
      <c r="AZ73" s="6">
        <f>[1]Emissions!AY825</f>
        <v>536.76968539999996</v>
      </c>
      <c r="BA73" s="6">
        <f>[1]Emissions!AZ825</f>
        <v>542.04525739999997</v>
      </c>
      <c r="BB73" s="6">
        <f>[1]Emissions!BA825</f>
        <v>547.40388099999996</v>
      </c>
      <c r="BC73" s="6">
        <f>[1]Emissions!BB825</f>
        <v>552.83681309999997</v>
      </c>
      <c r="BD73" s="6">
        <f>[1]Emissions!BC825</f>
        <v>558.34113969999999</v>
      </c>
      <c r="BE73" s="6">
        <f>[1]Emissions!BD825</f>
        <v>563.91568800000005</v>
      </c>
      <c r="BF73" s="6">
        <f>[1]Emissions!BE825</f>
        <v>569.56001130000004</v>
      </c>
    </row>
    <row r="74" spans="1:58" x14ac:dyDescent="0.35">
      <c r="A74" s="8"/>
      <c r="B74" t="s">
        <v>25</v>
      </c>
      <c r="C74" s="6">
        <f>[1]Emissions!B829</f>
        <v>119.490486</v>
      </c>
      <c r="D74" s="6">
        <f>[1]Emissions!C829</f>
        <v>119.28571100000001</v>
      </c>
      <c r="E74" s="6">
        <f>[1]Emissions!D829</f>
        <v>118.5566462</v>
      </c>
      <c r="F74" s="6">
        <f>[1]Emissions!E829</f>
        <v>117.8188914</v>
      </c>
      <c r="G74" s="6">
        <f>[1]Emissions!F829</f>
        <v>117.233137</v>
      </c>
      <c r="H74" s="6">
        <f>[1]Emissions!G829</f>
        <v>116.8212235</v>
      </c>
      <c r="I74" s="6">
        <f>[1]Emissions!H829</f>
        <v>116.52421940000001</v>
      </c>
      <c r="J74" s="6">
        <f>[1]Emissions!I829</f>
        <v>116.3376287</v>
      </c>
      <c r="K74" s="6">
        <f>[1]Emissions!J829</f>
        <v>116.24911160000001</v>
      </c>
      <c r="L74" s="6">
        <f>[1]Emissions!K829</f>
        <v>116.2414941</v>
      </c>
      <c r="M74" s="6">
        <f>[1]Emissions!L829</f>
        <v>116.3427483</v>
      </c>
      <c r="N74" s="6">
        <f>[1]Emissions!M829</f>
        <v>116.4688912</v>
      </c>
      <c r="O74" s="6">
        <f>[1]Emissions!N829</f>
        <v>116.62208699999999</v>
      </c>
      <c r="P74" s="6">
        <f>[1]Emissions!O829</f>
        <v>116.7995974</v>
      </c>
      <c r="Q74" s="6">
        <f>[1]Emissions!P829</f>
        <v>116.9966821</v>
      </c>
      <c r="R74" s="6">
        <f>[1]Emissions!Q829</f>
        <v>117.20839599999999</v>
      </c>
      <c r="S74" s="6">
        <f>[1]Emissions!R829</f>
        <v>117.42523970000001</v>
      </c>
      <c r="T74" s="6">
        <f>[1]Emissions!S829</f>
        <v>117.64762</v>
      </c>
      <c r="U74" s="6">
        <f>[1]Emissions!T829</f>
        <v>117.8747504</v>
      </c>
      <c r="V74" s="6">
        <f>[1]Emissions!U829</f>
        <v>118.105459</v>
      </c>
      <c r="W74" s="6">
        <f>[1]Emissions!V829</f>
        <v>118.30909920000001</v>
      </c>
      <c r="X74" s="6">
        <f>[1]Emissions!W829</f>
        <v>118.52689049999999</v>
      </c>
      <c r="Y74" s="6">
        <f>[1]Emissions!X829</f>
        <v>118.7512945</v>
      </c>
      <c r="Z74" s="6">
        <f>[1]Emissions!Y829</f>
        <v>118.9785432</v>
      </c>
      <c r="AA74" s="6">
        <f>[1]Emissions!Z829</f>
        <v>119.2066938</v>
      </c>
      <c r="AB74" s="6">
        <f>[1]Emissions!AA829</f>
        <v>119.35462320000001</v>
      </c>
      <c r="AC74" s="6">
        <f>[1]Emissions!AB829</f>
        <v>119.5012761</v>
      </c>
      <c r="AD74" s="6">
        <f>[1]Emissions!AC829</f>
        <v>119.6432887</v>
      </c>
      <c r="AE74" s="6">
        <f>[1]Emissions!AD829</f>
        <v>119.7797637</v>
      </c>
      <c r="AF74" s="6">
        <f>[1]Emissions!AE829</f>
        <v>119.9110369</v>
      </c>
      <c r="AG74" s="6">
        <f>[1]Emissions!AF829</f>
        <v>120.03744349999999</v>
      </c>
      <c r="AH74" s="6">
        <f>[1]Emissions!AG829</f>
        <v>120.1611193</v>
      </c>
      <c r="AI74" s="6">
        <f>[1]Emissions!AH829</f>
        <v>120.2822441</v>
      </c>
      <c r="AJ74" s="6">
        <f>[1]Emissions!AI829</f>
        <v>120.4013973</v>
      </c>
      <c r="AK74" s="6">
        <f>[1]Emissions!AJ829</f>
        <v>120.51925300000001</v>
      </c>
      <c r="AL74" s="6">
        <f>[1]Emissions!AK829</f>
        <v>120.6364593</v>
      </c>
      <c r="AM74" s="6">
        <f>[1]Emissions!AL829</f>
        <v>120.74854809999999</v>
      </c>
      <c r="AN74" s="6">
        <f>[1]Emissions!AM829</f>
        <v>120.85640170000001</v>
      </c>
      <c r="AO74" s="6">
        <f>[1]Emissions!AN829</f>
        <v>120.9610404</v>
      </c>
      <c r="AP74" s="6">
        <f>[1]Emissions!AO829</f>
        <v>121.06350380000001</v>
      </c>
      <c r="AQ74" s="6">
        <f>[1]Emissions!AP829</f>
        <v>121.16479579999999</v>
      </c>
      <c r="AR74" s="6">
        <f>[1]Emissions!AQ829</f>
        <v>121.2677162</v>
      </c>
      <c r="AS74" s="6">
        <f>[1]Emissions!AR829</f>
        <v>121.3720149</v>
      </c>
      <c r="AT74" s="6">
        <f>[1]Emissions!AS829</f>
        <v>121.47788300000001</v>
      </c>
      <c r="AU74" s="6">
        <f>[1]Emissions!AT829</f>
        <v>121.58562329999999</v>
      </c>
      <c r="AV74" s="6">
        <f>[1]Emissions!AU829</f>
        <v>121.69551079999999</v>
      </c>
      <c r="AW74" s="6">
        <f>[1]Emissions!AV829</f>
        <v>121.8153284</v>
      </c>
      <c r="AX74" s="6">
        <f>[1]Emissions!AW829</f>
        <v>121.94116270000001</v>
      </c>
      <c r="AY74" s="6">
        <f>[1]Emissions!AX829</f>
        <v>122.07123989999999</v>
      </c>
      <c r="AZ74" s="6">
        <f>[1]Emissions!AY829</f>
        <v>122.2047152</v>
      </c>
      <c r="BA74" s="6">
        <f>[1]Emissions!AZ829</f>
        <v>122.3411275</v>
      </c>
      <c r="BB74" s="6">
        <f>[1]Emissions!BA829</f>
        <v>122.48393660000001</v>
      </c>
      <c r="BC74" s="6">
        <f>[1]Emissions!BB829</f>
        <v>122.63076289999999</v>
      </c>
      <c r="BD74" s="6">
        <f>[1]Emissions!BC829</f>
        <v>122.7804113</v>
      </c>
      <c r="BE74" s="6">
        <f>[1]Emissions!BD829</f>
        <v>122.9322074</v>
      </c>
      <c r="BF74" s="6">
        <f>[1]Emissions!BE829</f>
        <v>123.0856964</v>
      </c>
    </row>
    <row r="75" spans="1:58" x14ac:dyDescent="0.35">
      <c r="A75" s="8"/>
      <c r="B75" t="s">
        <v>26</v>
      </c>
      <c r="C75" s="6">
        <f>SUM(C76:C78)</f>
        <v>230.79846922519999</v>
      </c>
      <c r="D75" s="6">
        <f t="shared" ref="D75:AL75" si="47">SUM(D76:D78)</f>
        <v>228.38651288980003</v>
      </c>
      <c r="E75" s="6">
        <f t="shared" si="47"/>
        <v>229.1651861103</v>
      </c>
      <c r="F75" s="6">
        <f t="shared" si="47"/>
        <v>230.75259347870002</v>
      </c>
      <c r="G75" s="6">
        <f t="shared" si="47"/>
        <v>232.80519030049999</v>
      </c>
      <c r="H75" s="6">
        <f t="shared" si="47"/>
        <v>235.2646256502</v>
      </c>
      <c r="I75" s="6">
        <f t="shared" si="47"/>
        <v>237.94594160930001</v>
      </c>
      <c r="J75" s="6">
        <f t="shared" si="47"/>
        <v>240.8782141483</v>
      </c>
      <c r="K75" s="6">
        <f t="shared" si="47"/>
        <v>244.0317146678</v>
      </c>
      <c r="L75" s="6">
        <f t="shared" si="47"/>
        <v>247.36891516170002</v>
      </c>
      <c r="M75" s="6">
        <f t="shared" si="47"/>
        <v>251.09977072700002</v>
      </c>
      <c r="N75" s="6">
        <f t="shared" si="47"/>
        <v>254.79596242279999</v>
      </c>
      <c r="O75" s="6">
        <f t="shared" si="47"/>
        <v>258.5439664173</v>
      </c>
      <c r="P75" s="6">
        <f t="shared" si="47"/>
        <v>262.34782618269998</v>
      </c>
      <c r="Q75" s="6">
        <f t="shared" si="47"/>
        <v>266.19894922329996</v>
      </c>
      <c r="R75" s="6">
        <f t="shared" si="47"/>
        <v>270.08922471489996</v>
      </c>
      <c r="S75" s="6">
        <f t="shared" si="47"/>
        <v>273.99548598460001</v>
      </c>
      <c r="T75" s="6">
        <f t="shared" si="47"/>
        <v>277.92627422390001</v>
      </c>
      <c r="U75" s="6">
        <f t="shared" si="47"/>
        <v>281.8834042231</v>
      </c>
      <c r="V75" s="6">
        <f t="shared" si="47"/>
        <v>285.8686053495</v>
      </c>
      <c r="W75" s="6">
        <f t="shared" si="47"/>
        <v>289.70416110919996</v>
      </c>
      <c r="X75" s="6">
        <f t="shared" si="47"/>
        <v>293.67431946380003</v>
      </c>
      <c r="Y75" s="6">
        <f t="shared" si="47"/>
        <v>297.71059715780001</v>
      </c>
      <c r="Z75" s="6">
        <f t="shared" si="47"/>
        <v>301.80229748440001</v>
      </c>
      <c r="AA75" s="6">
        <f t="shared" si="47"/>
        <v>305.94984043210002</v>
      </c>
      <c r="AB75" s="6">
        <f t="shared" si="47"/>
        <v>309.63796627549999</v>
      </c>
      <c r="AC75" s="6">
        <f t="shared" si="47"/>
        <v>313.43553238269993</v>
      </c>
      <c r="AD75" s="6">
        <f t="shared" si="47"/>
        <v>317.26758728139998</v>
      </c>
      <c r="AE75" s="6">
        <f t="shared" si="47"/>
        <v>321.13076376020001</v>
      </c>
      <c r="AF75" s="6">
        <f t="shared" si="47"/>
        <v>325.0340214098</v>
      </c>
      <c r="AG75" s="6">
        <f t="shared" si="47"/>
        <v>328.98699700409998</v>
      </c>
      <c r="AH75" s="6">
        <f t="shared" si="47"/>
        <v>333.00133194999995</v>
      </c>
      <c r="AI75" s="6">
        <f t="shared" si="47"/>
        <v>337.08091345849999</v>
      </c>
      <c r="AJ75" s="6">
        <f t="shared" si="47"/>
        <v>341.22958573640005</v>
      </c>
      <c r="AK75" s="6">
        <f t="shared" si="47"/>
        <v>345.45007485190001</v>
      </c>
      <c r="AL75" s="6">
        <f t="shared" si="47"/>
        <v>349.7440283139</v>
      </c>
      <c r="AM75" s="6">
        <f t="shared" ref="AM75:BC75" si="48">SUM(AM76:AM78)</f>
        <v>354.01934508609997</v>
      </c>
      <c r="AN75" s="6">
        <f t="shared" si="48"/>
        <v>358.32389363610002</v>
      </c>
      <c r="AO75" s="6">
        <f t="shared" si="48"/>
        <v>362.67134675530002</v>
      </c>
      <c r="AP75" s="6">
        <f t="shared" si="48"/>
        <v>367.0681900244</v>
      </c>
      <c r="AQ75" s="6">
        <f t="shared" si="48"/>
        <v>371.51882151439997</v>
      </c>
      <c r="AR75" s="6">
        <f t="shared" si="48"/>
        <v>376.03138375830002</v>
      </c>
      <c r="AS75" s="6">
        <f t="shared" si="48"/>
        <v>380.6054865799</v>
      </c>
      <c r="AT75" s="6">
        <f t="shared" si="48"/>
        <v>385.24217617530002</v>
      </c>
      <c r="AU75" s="6">
        <f t="shared" si="48"/>
        <v>389.94230479589999</v>
      </c>
      <c r="AV75" s="6">
        <f t="shared" si="48"/>
        <v>394.70631596249996</v>
      </c>
      <c r="AW75" s="6">
        <f t="shared" si="48"/>
        <v>399.56134770290004</v>
      </c>
      <c r="AX75" s="6">
        <f t="shared" si="48"/>
        <v>404.49190782709996</v>
      </c>
      <c r="AY75" s="6">
        <f t="shared" si="48"/>
        <v>409.4937679441</v>
      </c>
      <c r="AZ75" s="6">
        <f t="shared" si="48"/>
        <v>414.5649702385</v>
      </c>
      <c r="BA75" s="6">
        <f t="shared" si="48"/>
        <v>419.70412993269997</v>
      </c>
      <c r="BB75" s="6">
        <f t="shared" si="48"/>
        <v>424.91994446559994</v>
      </c>
      <c r="BC75" s="6">
        <f t="shared" si="48"/>
        <v>430.20605027919999</v>
      </c>
      <c r="BD75" s="6">
        <f t="shared" ref="BD75:BF75" si="49">SUM(BD76:BD78)</f>
        <v>435.56072829660002</v>
      </c>
      <c r="BE75" s="6">
        <f t="shared" si="49"/>
        <v>440.98348059200003</v>
      </c>
      <c r="BF75" s="6">
        <f t="shared" si="49"/>
        <v>446.47431489400003</v>
      </c>
    </row>
    <row r="76" spans="1:58" x14ac:dyDescent="0.35">
      <c r="A76" s="8"/>
      <c r="B76" t="s">
        <v>50</v>
      </c>
      <c r="C76" s="5">
        <f>[1]Emissions!B826</f>
        <v>215.53410270000001</v>
      </c>
      <c r="D76" s="5">
        <f>[1]Emissions!C826</f>
        <v>213.14562950000001</v>
      </c>
      <c r="E76" s="5">
        <f>[1]Emissions!D826</f>
        <v>213.79894329999999</v>
      </c>
      <c r="F76" s="5">
        <f>[1]Emissions!E826</f>
        <v>215.2132436</v>
      </c>
      <c r="G76" s="5">
        <f>[1]Emissions!F826</f>
        <v>217.06673359999999</v>
      </c>
      <c r="H76" s="5">
        <f>[1]Emissions!G826</f>
        <v>219.30860060000001</v>
      </c>
      <c r="I76" s="5">
        <f>[1]Emissions!H826</f>
        <v>221.76741060000001</v>
      </c>
      <c r="J76" s="5">
        <f>[1]Emissions!I826</f>
        <v>224.46952569999999</v>
      </c>
      <c r="K76" s="5">
        <f>[1]Emissions!J826</f>
        <v>227.38574840000001</v>
      </c>
      <c r="L76" s="5">
        <f>[1]Emissions!K826</f>
        <v>230.47933090000001</v>
      </c>
      <c r="M76" s="5">
        <f>[1]Emissions!L826</f>
        <v>233.94497720000001</v>
      </c>
      <c r="N76" s="5">
        <f>[1]Emissions!M826</f>
        <v>237.38117679999999</v>
      </c>
      <c r="O76" s="5">
        <f>[1]Emissions!N826</f>
        <v>240.86718719999999</v>
      </c>
      <c r="P76" s="5">
        <f>[1]Emissions!O826</f>
        <v>244.40593179999999</v>
      </c>
      <c r="Q76" s="5">
        <f>[1]Emissions!P826</f>
        <v>247.98860339999999</v>
      </c>
      <c r="R76" s="5">
        <f>[1]Emissions!Q826</f>
        <v>251.6069627</v>
      </c>
      <c r="S76" s="5">
        <f>[1]Emissions!R826</f>
        <v>255.23860550000001</v>
      </c>
      <c r="T76" s="5">
        <f>[1]Emissions!S826</f>
        <v>258.89121230000001</v>
      </c>
      <c r="U76" s="5">
        <f>[1]Emissions!T826</f>
        <v>262.56616880000001</v>
      </c>
      <c r="V76" s="5">
        <f>[1]Emissions!U826</f>
        <v>266.26485910000002</v>
      </c>
      <c r="W76" s="5">
        <f>[1]Emissions!V826</f>
        <v>269.82101719999997</v>
      </c>
      <c r="X76" s="5">
        <f>[1]Emissions!W826</f>
        <v>273.49990810000003</v>
      </c>
      <c r="Y76" s="5">
        <f>[1]Emissions!X826</f>
        <v>277.23799480000002</v>
      </c>
      <c r="Z76" s="5">
        <f>[1]Emissions!Y826</f>
        <v>281.02529099999998</v>
      </c>
      <c r="AA76" s="5">
        <f>[1]Emissions!Z826</f>
        <v>284.86227220000001</v>
      </c>
      <c r="AB76" s="5">
        <f>[1]Emissions!AA826</f>
        <v>288.26751030000003</v>
      </c>
      <c r="AC76" s="5">
        <f>[1]Emissions!AB826</f>
        <v>291.77176429999997</v>
      </c>
      <c r="AD76" s="5">
        <f>[1]Emissions!AC826</f>
        <v>295.30602199999998</v>
      </c>
      <c r="AE76" s="5">
        <f>[1]Emissions!AD826</f>
        <v>298.86736990000003</v>
      </c>
      <c r="AF76" s="5">
        <f>[1]Emissions!AE826</f>
        <v>302.46447360000002</v>
      </c>
      <c r="AG76" s="5">
        <f>[1]Emissions!AF826</f>
        <v>306.10664389999999</v>
      </c>
      <c r="AH76" s="5">
        <f>[1]Emissions!AG826</f>
        <v>309.80507219999998</v>
      </c>
      <c r="AI76" s="5">
        <f>[1]Emissions!AH826</f>
        <v>313.56364330000002</v>
      </c>
      <c r="AJ76" s="5">
        <f>[1]Emissions!AI826</f>
        <v>317.38618580000002</v>
      </c>
      <c r="AK76" s="5">
        <f>[1]Emissions!AJ826</f>
        <v>321.27545759999998</v>
      </c>
      <c r="AL76" s="5">
        <f>[1]Emissions!AK826</f>
        <v>325.23317850000001</v>
      </c>
      <c r="AM76" s="5">
        <f>[1]Emissions!AL826</f>
        <v>329.17365480000001</v>
      </c>
      <c r="AN76" s="5">
        <f>[1]Emissions!AM826</f>
        <v>333.14139790000002</v>
      </c>
      <c r="AO76" s="5">
        <f>[1]Emissions!AN826</f>
        <v>337.14934820000002</v>
      </c>
      <c r="AP76" s="5">
        <f>[1]Emissions!AO826</f>
        <v>341.20369260000001</v>
      </c>
      <c r="AQ76" s="5">
        <f>[1]Emissions!AP826</f>
        <v>345.30863069999998</v>
      </c>
      <c r="AR76" s="5">
        <f>[1]Emissions!AQ826</f>
        <v>349.47185180000002</v>
      </c>
      <c r="AS76" s="5">
        <f>[1]Emissions!AR826</f>
        <v>353.69303539999999</v>
      </c>
      <c r="AT76" s="5">
        <f>[1]Emissions!AS826</f>
        <v>357.97318990000002</v>
      </c>
      <c r="AU76" s="5">
        <f>[1]Emissions!AT826</f>
        <v>362.3131305</v>
      </c>
      <c r="AV76" s="5">
        <f>[1]Emissions!AU826</f>
        <v>366.713278</v>
      </c>
      <c r="AW76" s="5">
        <f>[1]Emissions!AV826</f>
        <v>371.19900410000002</v>
      </c>
      <c r="AX76" s="5">
        <f>[1]Emissions!AW826</f>
        <v>375.75586929999997</v>
      </c>
      <c r="AY76" s="5">
        <f>[1]Emissions!AX826</f>
        <v>380.37990509999997</v>
      </c>
      <c r="AZ76" s="5">
        <f>[1]Emissions!AY826</f>
        <v>385.06925410000002</v>
      </c>
      <c r="BA76" s="5">
        <f>[1]Emissions!AZ826</f>
        <v>389.82257709999999</v>
      </c>
      <c r="BB76" s="5">
        <f>[1]Emissions!BA826</f>
        <v>394.64794389999997</v>
      </c>
      <c r="BC76" s="5">
        <f>[1]Emissions!BB826</f>
        <v>399.53937059999998</v>
      </c>
      <c r="BD76" s="5">
        <f>[1]Emissions!BC826</f>
        <v>404.4951974</v>
      </c>
      <c r="BE76" s="5">
        <f>[1]Emissions!BD826</f>
        <v>409.51490410000002</v>
      </c>
      <c r="BF76" s="5">
        <f>[1]Emissions!BE826</f>
        <v>414.59843940000002</v>
      </c>
    </row>
    <row r="77" spans="1:58" x14ac:dyDescent="0.35">
      <c r="A77" s="8"/>
      <c r="B77" t="s">
        <v>51</v>
      </c>
      <c r="C77" s="5">
        <f>[1]Emissions!B827</f>
        <v>2.75266352E-2</v>
      </c>
      <c r="D77" s="5">
        <f>[1]Emissions!C827</f>
        <v>2.7129689799999999E-2</v>
      </c>
      <c r="E77" s="5">
        <f>[1]Emissions!D827</f>
        <v>2.7215260299999999E-2</v>
      </c>
      <c r="F77" s="5">
        <f>[1]Emissions!E827</f>
        <v>2.73901387E-2</v>
      </c>
      <c r="G77" s="5">
        <f>[1]Emissions!F827</f>
        <v>2.7634350500000002E-2</v>
      </c>
      <c r="H77" s="5">
        <f>[1]Emissions!G827</f>
        <v>2.7937060199999999E-2</v>
      </c>
      <c r="I77" s="5">
        <f>[1]Emissions!H827</f>
        <v>2.8271389300000001E-2</v>
      </c>
      <c r="J77" s="5">
        <f>[1]Emissions!I827</f>
        <v>2.8638158300000001E-2</v>
      </c>
      <c r="K77" s="5">
        <f>[1]Emissions!J827</f>
        <v>2.90318278E-2</v>
      </c>
      <c r="L77" s="5">
        <f>[1]Emissions!K827</f>
        <v>2.9447331699999999E-2</v>
      </c>
      <c r="M77" s="5">
        <f>[1]Emissions!L827</f>
        <v>2.9909076999999999E-2</v>
      </c>
      <c r="N77" s="5">
        <f>[1]Emissions!M827</f>
        <v>3.03662528E-2</v>
      </c>
      <c r="O77" s="5">
        <f>[1]Emissions!N827</f>
        <v>3.0830247299999999E-2</v>
      </c>
      <c r="P77" s="5">
        <f>[1]Emissions!O827</f>
        <v>3.1299922700000003E-2</v>
      </c>
      <c r="Q77" s="5">
        <f>[1]Emissions!P827</f>
        <v>3.17740933E-2</v>
      </c>
      <c r="R77" s="5">
        <f>[1]Emissions!Q827</f>
        <v>3.2252004899999999E-2</v>
      </c>
      <c r="S77" s="5">
        <f>[1]Emissions!R827</f>
        <v>3.2730684599999997E-2</v>
      </c>
      <c r="T77" s="5">
        <f>[1]Emissions!S827</f>
        <v>3.3212133900000003E-2</v>
      </c>
      <c r="U77" s="5">
        <f>[1]Emissions!T827</f>
        <v>3.3696673099999998E-2</v>
      </c>
      <c r="V77" s="5">
        <f>[1]Emissions!U827</f>
        <v>3.4184659499999999E-2</v>
      </c>
      <c r="W77" s="5">
        <f>[1]Emissions!V827</f>
        <v>3.4655369200000001E-2</v>
      </c>
      <c r="X77" s="5">
        <f>[1]Emissions!W827</f>
        <v>3.5141893799999997E-2</v>
      </c>
      <c r="Y77" s="5">
        <f>[1]Emissions!X827</f>
        <v>3.5635747799999999E-2</v>
      </c>
      <c r="Z77" s="5">
        <f>[1]Emissions!Y827</f>
        <v>3.6136634399999999E-2</v>
      </c>
      <c r="AA77" s="5">
        <f>[1]Emissions!Z827</f>
        <v>3.6644622100000003E-2</v>
      </c>
      <c r="AB77" s="5">
        <f>[1]Emissions!AA827</f>
        <v>3.7099255499999997E-2</v>
      </c>
      <c r="AC77" s="5">
        <f>[1]Emissions!AB827</f>
        <v>3.7566372700000003E-2</v>
      </c>
      <c r="AD77" s="5">
        <f>[1]Emissions!AC827</f>
        <v>3.8035221399999999E-2</v>
      </c>
      <c r="AE77" s="5">
        <f>[1]Emissions!AD827</f>
        <v>3.8507340199999997E-2</v>
      </c>
      <c r="AF77" s="5">
        <f>[1]Emissions!AE827</f>
        <v>3.8984489800000001E-2</v>
      </c>
      <c r="AG77" s="5">
        <f>[1]Emissions!AF827</f>
        <v>3.9468124100000002E-2</v>
      </c>
      <c r="AH77" s="5">
        <f>[1]Emissions!AG827</f>
        <v>3.9959889999999998E-2</v>
      </c>
      <c r="AI77" s="5">
        <f>[1]Emissions!AH827</f>
        <v>4.0460038500000003E-2</v>
      </c>
      <c r="AJ77" s="5">
        <f>[1]Emissions!AI827</f>
        <v>4.0968946399999998E-2</v>
      </c>
      <c r="AK77" s="5">
        <f>[1]Emissions!AJ827</f>
        <v>4.1486801900000002E-2</v>
      </c>
      <c r="AL77" s="5">
        <f>[1]Emissions!AK827</f>
        <v>4.2013663899999998E-2</v>
      </c>
      <c r="AM77" s="5">
        <f>[1]Emissions!AL827</f>
        <v>4.2540266100000002E-2</v>
      </c>
      <c r="AN77" s="5">
        <f>[1]Emissions!AM827</f>
        <v>4.3070226099999998E-2</v>
      </c>
      <c r="AO77" s="5">
        <f>[1]Emissions!AN827</f>
        <v>4.3604895300000002E-2</v>
      </c>
      <c r="AP77" s="5">
        <f>[1]Emissions!AO827</f>
        <v>4.41452944E-2</v>
      </c>
      <c r="AQ77" s="5">
        <f>[1]Emissions!AP827</f>
        <v>4.4692274400000002E-2</v>
      </c>
      <c r="AR77" s="5">
        <f>[1]Emissions!AQ827</f>
        <v>4.52473683E-2</v>
      </c>
      <c r="AS77" s="5">
        <f>[1]Emissions!AR827</f>
        <v>4.5810489900000001E-2</v>
      </c>
      <c r="AT77" s="5">
        <f>[1]Emissions!AS827</f>
        <v>4.6381965300000001E-2</v>
      </c>
      <c r="AU77" s="5">
        <f>[1]Emissions!AT827</f>
        <v>4.6962005899999999E-2</v>
      </c>
      <c r="AV77" s="5">
        <f>[1]Emissions!AU827</f>
        <v>4.7550722500000003E-2</v>
      </c>
      <c r="AW77" s="5">
        <f>[1]Emissions!AV827</f>
        <v>4.8152292899999997E-2</v>
      </c>
      <c r="AX77" s="5">
        <f>[1]Emissions!AW827</f>
        <v>4.8763917099999998E-2</v>
      </c>
      <c r="AY77" s="5">
        <f>[1]Emissions!AX827</f>
        <v>4.9385214099999998E-2</v>
      </c>
      <c r="AZ77" s="5">
        <f>[1]Emissions!AY827</f>
        <v>5.0015908499999998E-2</v>
      </c>
      <c r="BA77" s="5">
        <f>[1]Emissions!AZ827</f>
        <v>5.0655772699999997E-2</v>
      </c>
      <c r="BB77" s="5">
        <f>[1]Emissions!BA827</f>
        <v>5.1306415600000002E-2</v>
      </c>
      <c r="BC77" s="5">
        <f>[1]Emissions!BB827</f>
        <v>5.1966399199999999E-2</v>
      </c>
      <c r="BD77" s="5">
        <f>[1]Emissions!BC827</f>
        <v>5.2635536599999998E-2</v>
      </c>
      <c r="BE77" s="5">
        <f>[1]Emissions!BD827</f>
        <v>5.3313732000000003E-2</v>
      </c>
      <c r="BF77" s="5">
        <f>[1]Emissions!BE827</f>
        <v>5.4000944000000002E-2</v>
      </c>
    </row>
    <row r="78" spans="1:58" x14ac:dyDescent="0.35">
      <c r="B78" t="s">
        <v>52</v>
      </c>
      <c r="C78" s="5">
        <f>[1]Emissions!B828</f>
        <v>15.236839890000001</v>
      </c>
      <c r="D78" s="5">
        <f>[1]Emissions!C828</f>
        <v>15.2137537</v>
      </c>
      <c r="E78" s="5">
        <f>[1]Emissions!D828</f>
        <v>15.339027550000001</v>
      </c>
      <c r="F78" s="5">
        <f>[1]Emissions!E828</f>
        <v>15.51195974</v>
      </c>
      <c r="G78" s="5">
        <f>[1]Emissions!F828</f>
        <v>15.710822350000001</v>
      </c>
      <c r="H78" s="5">
        <f>[1]Emissions!G828</f>
        <v>15.92808799</v>
      </c>
      <c r="I78" s="5">
        <f>[1]Emissions!H828</f>
        <v>16.15025962</v>
      </c>
      <c r="J78" s="5">
        <f>[1]Emissions!I828</f>
        <v>16.38005029</v>
      </c>
      <c r="K78" s="5">
        <f>[1]Emissions!J828</f>
        <v>16.616934440000001</v>
      </c>
      <c r="L78" s="5">
        <f>[1]Emissions!K828</f>
        <v>16.860136929999999</v>
      </c>
      <c r="M78" s="5">
        <f>[1]Emissions!L828</f>
        <v>17.12488445</v>
      </c>
      <c r="N78" s="5">
        <f>[1]Emissions!M828</f>
        <v>17.38441937</v>
      </c>
      <c r="O78" s="5">
        <f>[1]Emissions!N828</f>
        <v>17.645948969999999</v>
      </c>
      <c r="P78" s="5">
        <f>[1]Emissions!O828</f>
        <v>17.910594459999999</v>
      </c>
      <c r="Q78" s="5">
        <f>[1]Emissions!P828</f>
        <v>18.178571730000002</v>
      </c>
      <c r="R78" s="5">
        <f>[1]Emissions!Q828</f>
        <v>18.45001001</v>
      </c>
      <c r="S78" s="5">
        <f>[1]Emissions!R828</f>
        <v>18.724149799999999</v>
      </c>
      <c r="T78" s="5">
        <f>[1]Emissions!S828</f>
        <v>19.001849790000001</v>
      </c>
      <c r="U78" s="5">
        <f>[1]Emissions!T828</f>
        <v>19.283538750000002</v>
      </c>
      <c r="V78" s="5">
        <f>[1]Emissions!U828</f>
        <v>19.569561589999999</v>
      </c>
      <c r="W78" s="5">
        <f>[1]Emissions!V828</f>
        <v>19.848488540000002</v>
      </c>
      <c r="X78" s="5">
        <f>[1]Emissions!W828</f>
        <v>20.139269469999999</v>
      </c>
      <c r="Y78" s="5">
        <f>[1]Emissions!X828</f>
        <v>20.436966609999999</v>
      </c>
      <c r="Z78" s="5">
        <f>[1]Emissions!Y828</f>
        <v>20.740869849999999</v>
      </c>
      <c r="AA78" s="5">
        <f>[1]Emissions!Z828</f>
        <v>21.050923610000002</v>
      </c>
      <c r="AB78" s="5">
        <f>[1]Emissions!AA828</f>
        <v>21.333356720000001</v>
      </c>
      <c r="AC78" s="5">
        <f>[1]Emissions!AB828</f>
        <v>21.62620171</v>
      </c>
      <c r="AD78" s="5">
        <f>[1]Emissions!AC828</f>
        <v>21.923530060000001</v>
      </c>
      <c r="AE78" s="5">
        <f>[1]Emissions!AD828</f>
        <v>22.224886519999998</v>
      </c>
      <c r="AF78" s="5">
        <f>[1]Emissions!AE828</f>
        <v>22.530563319999999</v>
      </c>
      <c r="AG78" s="5">
        <f>[1]Emissions!AF828</f>
        <v>22.840884979999998</v>
      </c>
      <c r="AH78" s="5">
        <f>[1]Emissions!AG828</f>
        <v>23.156299860000001</v>
      </c>
      <c r="AI78" s="5">
        <f>[1]Emissions!AH828</f>
        <v>23.47681012</v>
      </c>
      <c r="AJ78" s="5">
        <f>[1]Emissions!AI828</f>
        <v>23.802430990000001</v>
      </c>
      <c r="AK78" s="5">
        <f>[1]Emissions!AJ828</f>
        <v>24.133130449999999</v>
      </c>
      <c r="AL78" s="5">
        <f>[1]Emissions!AK828</f>
        <v>24.468836150000001</v>
      </c>
      <c r="AM78" s="5">
        <f>[1]Emissions!AL828</f>
        <v>24.80315002</v>
      </c>
      <c r="AN78" s="5">
        <f>[1]Emissions!AM828</f>
        <v>25.139425509999999</v>
      </c>
      <c r="AO78" s="5">
        <f>[1]Emissions!AN828</f>
        <v>25.478393659999998</v>
      </c>
      <c r="AP78" s="5">
        <f>[1]Emissions!AO828</f>
        <v>25.82035213</v>
      </c>
      <c r="AQ78" s="5">
        <f>[1]Emissions!AP828</f>
        <v>26.165498540000002</v>
      </c>
      <c r="AR78" s="5">
        <f>[1]Emissions!AQ828</f>
        <v>26.514284589999999</v>
      </c>
      <c r="AS78" s="5">
        <f>[1]Emissions!AR828</f>
        <v>26.866640690000001</v>
      </c>
      <c r="AT78" s="5">
        <f>[1]Emissions!AS828</f>
        <v>27.222604310000001</v>
      </c>
      <c r="AU78" s="5">
        <f>[1]Emissions!AT828</f>
        <v>27.582212290000001</v>
      </c>
      <c r="AV78" s="5">
        <f>[1]Emissions!AU828</f>
        <v>27.945487239999999</v>
      </c>
      <c r="AW78" s="5">
        <f>[1]Emissions!AV828</f>
        <v>28.314191309999998</v>
      </c>
      <c r="AX78" s="5">
        <f>[1]Emissions!AW828</f>
        <v>28.687274609999999</v>
      </c>
      <c r="AY78" s="5">
        <f>[1]Emissions!AX828</f>
        <v>29.064477629999999</v>
      </c>
      <c r="AZ78" s="5">
        <f>[1]Emissions!AY828</f>
        <v>29.44570023</v>
      </c>
      <c r="BA78" s="5">
        <f>[1]Emissions!AZ828</f>
        <v>29.830897060000002</v>
      </c>
      <c r="BB78" s="5">
        <f>[1]Emissions!BA828</f>
        <v>30.22069415</v>
      </c>
      <c r="BC78" s="5">
        <f>[1]Emissions!BB828</f>
        <v>30.61471328</v>
      </c>
      <c r="BD78" s="5">
        <f>[1]Emissions!BC828</f>
        <v>31.012895360000002</v>
      </c>
      <c r="BE78" s="5">
        <f>[1]Emissions!BD828</f>
        <v>31.415262760000001</v>
      </c>
      <c r="BF78" s="5">
        <f>[1]Emissions!BE828</f>
        <v>31.82187455</v>
      </c>
    </row>
    <row r="79" spans="1:58" x14ac:dyDescent="0.35">
      <c r="B79" t="s">
        <v>13</v>
      </c>
      <c r="C79" s="6">
        <f>[1]Results!F1551</f>
        <v>1969443.8559999999</v>
      </c>
      <c r="D79" s="6">
        <f>[1]Results!G1551</f>
        <v>1961793.702</v>
      </c>
      <c r="E79" s="6">
        <f>[1]Results!H1551</f>
        <v>1984352.382</v>
      </c>
      <c r="F79" s="6">
        <f>[1]Results!I1551</f>
        <v>2009239.068</v>
      </c>
      <c r="G79" s="6">
        <f>[1]Results!J1551</f>
        <v>2036867.4950000001</v>
      </c>
      <c r="H79" s="6">
        <f>[1]Results!K1551</f>
        <v>2066919.1810000001</v>
      </c>
      <c r="I79" s="6">
        <f>[1]Results!L1551</f>
        <v>2097598.8130000001</v>
      </c>
      <c r="J79" s="6">
        <f>[1]Results!M1551</f>
        <v>2129665.574</v>
      </c>
      <c r="K79" s="6">
        <f>[1]Results!N1551</f>
        <v>2162921.7629999998</v>
      </c>
      <c r="L79" s="6">
        <f>[1]Results!O1551</f>
        <v>2197201.4730000002</v>
      </c>
      <c r="M79" s="6">
        <f>[1]Results!P1551</f>
        <v>2234865.3360000001</v>
      </c>
      <c r="N79" s="6">
        <f>[1]Results!Q1551</f>
        <v>2271386.6680000001</v>
      </c>
      <c r="O79" s="6">
        <f>[1]Results!R1551</f>
        <v>2308439.3849999998</v>
      </c>
      <c r="P79" s="6">
        <f>[1]Results!S1551</f>
        <v>2345937.4309999999</v>
      </c>
      <c r="Q79" s="6">
        <f>[1]Results!T1551</f>
        <v>2383834.7680000002</v>
      </c>
      <c r="R79" s="6">
        <f>[1]Results!U1551</f>
        <v>2422110.6090000002</v>
      </c>
      <c r="S79" s="6">
        <f>[1]Results!V1551</f>
        <v>2460763.5180000002</v>
      </c>
      <c r="T79" s="6">
        <f>[1]Results!W1551</f>
        <v>2499805.824</v>
      </c>
      <c r="U79" s="6">
        <f>[1]Results!X1551</f>
        <v>2539258.5389999999</v>
      </c>
      <c r="V79" s="6">
        <f>[1]Results!Y1551</f>
        <v>2579147.429</v>
      </c>
      <c r="W79" s="6">
        <f>[1]Results!Z1551</f>
        <v>2617629.469</v>
      </c>
      <c r="X79" s="6">
        <f>[1]Results!AA1551</f>
        <v>2658006.5380000002</v>
      </c>
      <c r="Y79" s="6">
        <f>[1]Results!AB1551</f>
        <v>2698989.28</v>
      </c>
      <c r="Z79" s="6">
        <f>[1]Results!AC1551</f>
        <v>2740610.8149999999</v>
      </c>
      <c r="AA79" s="6">
        <f>[1]Results!AD1551</f>
        <v>2782888.804</v>
      </c>
      <c r="AB79" s="6">
        <f>[1]Results!AE1551</f>
        <v>2820425.2349999999</v>
      </c>
      <c r="AC79" s="6">
        <f>[1]Results!AF1551</f>
        <v>2860119.0869999998</v>
      </c>
      <c r="AD79" s="6">
        <f>[1]Results!AG1551</f>
        <v>2900066.844</v>
      </c>
      <c r="AE79" s="6">
        <f>[1]Results!AH1551</f>
        <v>2940402.2459999998</v>
      </c>
      <c r="AF79" s="6">
        <f>[1]Results!AI1551</f>
        <v>2981225.0249999999</v>
      </c>
      <c r="AG79" s="6">
        <f>[1]Results!AJ1551</f>
        <v>3022611.2969999998</v>
      </c>
      <c r="AH79" s="6">
        <f>[1]Results!AK1551</f>
        <v>3064615.3459999999</v>
      </c>
      <c r="AI79" s="6">
        <f>[1]Results!AL1551</f>
        <v>3107272.5219999999</v>
      </c>
      <c r="AJ79" s="6">
        <f>[1]Results!AM1551</f>
        <v>3150603.023</v>
      </c>
      <c r="AK79" s="6">
        <f>[1]Results!AN1551</f>
        <v>3194616.0789999999</v>
      </c>
      <c r="AL79" s="6">
        <f>[1]Results!AO1551</f>
        <v>3239313.7059999998</v>
      </c>
      <c r="AM79" s="6">
        <f>[1]Results!AP1551</f>
        <v>3283380.6</v>
      </c>
      <c r="AN79" s="6">
        <f>[1]Results!AQ1551</f>
        <v>3327779.361</v>
      </c>
      <c r="AO79" s="6">
        <f>[1]Results!AR1551</f>
        <v>3372561.7519999999</v>
      </c>
      <c r="AP79" s="6">
        <f>[1]Results!AS1551</f>
        <v>3417784.3059999999</v>
      </c>
      <c r="AQ79" s="6">
        <f>[1]Results!AT1551</f>
        <v>3463498.267</v>
      </c>
      <c r="AR79" s="6">
        <f>[1]Results!AU1551</f>
        <v>3509746.8080000002</v>
      </c>
      <c r="AS79" s="6">
        <f>[1]Results!AV1551</f>
        <v>3556564.0649999999</v>
      </c>
      <c r="AT79" s="6">
        <f>[1]Results!AW1551</f>
        <v>3603975.39</v>
      </c>
      <c r="AU79" s="6">
        <f>[1]Results!AX1551</f>
        <v>3651998.497</v>
      </c>
      <c r="AV79" s="6">
        <f>[1]Results!AY1551</f>
        <v>3700645.07</v>
      </c>
      <c r="AW79" s="6">
        <f>[1]Results!AZ1551</f>
        <v>3750041.7519999999</v>
      </c>
      <c r="AX79" s="6">
        <f>[1]Results!BA1551</f>
        <v>3800105.3480000002</v>
      </c>
      <c r="AY79" s="6">
        <f>[1]Results!BB1551</f>
        <v>3850834.5529999998</v>
      </c>
      <c r="AZ79" s="6">
        <f>[1]Results!BC1551</f>
        <v>3902227.7319999998</v>
      </c>
      <c r="BA79" s="6">
        <f>[1]Results!BD1551</f>
        <v>3954284.6140000001</v>
      </c>
      <c r="BB79" s="6">
        <f>[1]Results!BE1551</f>
        <v>4007006.9759999998</v>
      </c>
      <c r="BC79" s="6">
        <f>[1]Results!BF1551</f>
        <v>4060398.9389999998</v>
      </c>
      <c r="BD79" s="6">
        <f>[1]Results!BG1551</f>
        <v>4114466.9610000001</v>
      </c>
      <c r="BE79" s="6">
        <f>[1]Results!BH1551</f>
        <v>4169219.65</v>
      </c>
      <c r="BF79" s="6">
        <f>[1]Results!BI1551</f>
        <v>4224667.4620000003</v>
      </c>
    </row>
    <row r="80" spans="1:58" x14ac:dyDescent="0.35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</row>
    <row r="81" spans="1:58" x14ac:dyDescent="0.35">
      <c r="A81" s="12" t="s">
        <v>78</v>
      </c>
      <c r="B81" t="s">
        <v>13</v>
      </c>
      <c r="C81" s="6">
        <f>[1]Results!F1551</f>
        <v>1969443.8559999999</v>
      </c>
      <c r="D81" s="6">
        <f>[1]Results!G1551</f>
        <v>1961793.702</v>
      </c>
      <c r="E81" s="6">
        <f>[1]Results!H1551</f>
        <v>1984352.382</v>
      </c>
      <c r="F81" s="6">
        <f>[1]Results!I1551</f>
        <v>2009239.068</v>
      </c>
      <c r="G81" s="6">
        <f>[1]Results!J1551</f>
        <v>2036867.4950000001</v>
      </c>
      <c r="H81" s="6">
        <f>[1]Results!K1551</f>
        <v>2066919.1810000001</v>
      </c>
      <c r="I81" s="6">
        <f>[1]Results!L1551</f>
        <v>2097598.8130000001</v>
      </c>
      <c r="J81" s="6">
        <f>[1]Results!M1551</f>
        <v>2129665.574</v>
      </c>
      <c r="K81" s="6">
        <f>[1]Results!N1551</f>
        <v>2162921.7629999998</v>
      </c>
      <c r="L81" s="6">
        <f>[1]Results!O1551</f>
        <v>2197201.4730000002</v>
      </c>
      <c r="M81" s="6">
        <f>[1]Results!P1551</f>
        <v>2234865.3360000001</v>
      </c>
      <c r="N81" s="6">
        <f>[1]Results!Q1551</f>
        <v>2271386.6680000001</v>
      </c>
      <c r="O81" s="6">
        <f>[1]Results!R1551</f>
        <v>2308439.3849999998</v>
      </c>
      <c r="P81" s="6">
        <f>[1]Results!S1551</f>
        <v>2345937.4309999999</v>
      </c>
      <c r="Q81" s="6">
        <f>[1]Results!T1551</f>
        <v>2383834.7680000002</v>
      </c>
      <c r="R81" s="6">
        <f>[1]Results!U1551</f>
        <v>2422110.6090000002</v>
      </c>
      <c r="S81" s="6">
        <f>[1]Results!V1551</f>
        <v>2460763.5180000002</v>
      </c>
      <c r="T81" s="6">
        <f>[1]Results!W1551</f>
        <v>2499805.824</v>
      </c>
      <c r="U81" s="6">
        <f>[1]Results!X1551</f>
        <v>2539258.5389999999</v>
      </c>
      <c r="V81" s="6">
        <f>[1]Results!Y1551</f>
        <v>2579147.429</v>
      </c>
      <c r="W81" s="6">
        <f>[1]Results!Z1551</f>
        <v>2617629.469</v>
      </c>
      <c r="X81" s="6">
        <f>[1]Results!AA1551</f>
        <v>2658006.5380000002</v>
      </c>
      <c r="Y81" s="6">
        <f>[1]Results!AB1551</f>
        <v>2698989.28</v>
      </c>
      <c r="Z81" s="6">
        <f>[1]Results!AC1551</f>
        <v>2740610.8149999999</v>
      </c>
      <c r="AA81" s="6">
        <f>[1]Results!AD1551</f>
        <v>2782888.804</v>
      </c>
      <c r="AB81" s="6">
        <f>[1]Results!AE1551</f>
        <v>2820425.2349999999</v>
      </c>
      <c r="AC81" s="6">
        <f>[1]Results!AF1551</f>
        <v>2860119.0869999998</v>
      </c>
      <c r="AD81" s="6">
        <f>[1]Results!AG1551</f>
        <v>2900066.844</v>
      </c>
      <c r="AE81" s="6">
        <f>[1]Results!AH1551</f>
        <v>2940402.2459999998</v>
      </c>
      <c r="AF81" s="6">
        <f>[1]Results!AI1551</f>
        <v>2981225.0249999999</v>
      </c>
      <c r="AG81" s="6">
        <f>[1]Results!AJ1551</f>
        <v>3022611.2969999998</v>
      </c>
      <c r="AH81" s="6">
        <f>[1]Results!AK1551</f>
        <v>3064615.3459999999</v>
      </c>
      <c r="AI81" s="6">
        <f>[1]Results!AL1551</f>
        <v>3107272.5219999999</v>
      </c>
      <c r="AJ81" s="6">
        <f>[1]Results!AM1551</f>
        <v>3150603.023</v>
      </c>
      <c r="AK81" s="6">
        <f>[1]Results!AN1551</f>
        <v>3194616.0789999999</v>
      </c>
      <c r="AL81" s="6">
        <f>[1]Results!AO1551</f>
        <v>3239313.7059999998</v>
      </c>
      <c r="AM81" s="6">
        <f>[1]Results!AP1551</f>
        <v>3283380.6</v>
      </c>
      <c r="AN81" s="6">
        <f>[1]Results!AQ1551</f>
        <v>3327779.361</v>
      </c>
      <c r="AO81" s="6">
        <f>[1]Results!AR1551</f>
        <v>3372561.7519999999</v>
      </c>
      <c r="AP81" s="6">
        <f>[1]Results!AS1551</f>
        <v>3417784.3059999999</v>
      </c>
      <c r="AQ81" s="6">
        <f>[1]Results!AT1551</f>
        <v>3463498.267</v>
      </c>
      <c r="AR81" s="6">
        <f>[1]Results!AU1551</f>
        <v>3509746.8080000002</v>
      </c>
      <c r="AS81" s="6">
        <f>[1]Results!AV1551</f>
        <v>3556564.0649999999</v>
      </c>
      <c r="AT81" s="6">
        <f>[1]Results!AW1551</f>
        <v>3603975.39</v>
      </c>
      <c r="AU81" s="6">
        <f>[1]Results!AX1551</f>
        <v>3651998.497</v>
      </c>
      <c r="AV81" s="6">
        <f>[1]Results!AY1551</f>
        <v>3700645.07</v>
      </c>
      <c r="AW81" s="6">
        <f>[1]Results!AZ1551</f>
        <v>3750041.7519999999</v>
      </c>
      <c r="AX81" s="6">
        <f>[1]Results!BA1551</f>
        <v>3800105.3480000002</v>
      </c>
      <c r="AY81" s="6">
        <f>[1]Results!BB1551</f>
        <v>3850834.5529999998</v>
      </c>
      <c r="AZ81" s="6">
        <f>[1]Results!BC1551</f>
        <v>3902227.7319999998</v>
      </c>
      <c r="BA81" s="6">
        <f>[1]Results!BD1551</f>
        <v>3954284.6140000001</v>
      </c>
      <c r="BB81" s="6">
        <f>[1]Results!BE1551</f>
        <v>4007006.9759999998</v>
      </c>
      <c r="BC81" s="6">
        <f>[1]Results!BF1551</f>
        <v>4060398.9389999998</v>
      </c>
      <c r="BD81" s="6">
        <f>[1]Results!BG1551</f>
        <v>4114466.9610000001</v>
      </c>
      <c r="BE81" s="6">
        <f>[1]Results!BH1551</f>
        <v>4169219.65</v>
      </c>
      <c r="BF81" s="6">
        <f>[1]Results!BI1551</f>
        <v>4224667.4620000003</v>
      </c>
    </row>
    <row r="82" spans="1:58" x14ac:dyDescent="0.35">
      <c r="A82" t="s">
        <v>38</v>
      </c>
      <c r="B82" t="s">
        <v>7</v>
      </c>
      <c r="C82" s="6">
        <f>[1]Results!F1552</f>
        <v>36136.789320000003</v>
      </c>
      <c r="D82" s="6">
        <f>[1]Results!G1552</f>
        <v>35604.107040000003</v>
      </c>
      <c r="E82" s="6">
        <f>[1]Results!H1552</f>
        <v>35839.226069999997</v>
      </c>
      <c r="F82" s="6">
        <f>[1]Results!I1552</f>
        <v>36114.20551</v>
      </c>
      <c r="G82" s="6">
        <f>[1]Results!J1552</f>
        <v>36459.103479999998</v>
      </c>
      <c r="H82" s="6">
        <f>[1]Results!K1552</f>
        <v>36869.942929999997</v>
      </c>
      <c r="I82" s="6">
        <f>[1]Results!L1552</f>
        <v>37313.062570000002</v>
      </c>
      <c r="J82" s="6">
        <f>[1]Results!M1552</f>
        <v>37794.502540000001</v>
      </c>
      <c r="K82" s="6">
        <f>[1]Results!N1552</f>
        <v>38306.722280000002</v>
      </c>
      <c r="L82" s="6">
        <f>[1]Results!O1552</f>
        <v>38842.980009999999</v>
      </c>
      <c r="M82" s="6">
        <f>[1]Results!P1552</f>
        <v>39440.403330000001</v>
      </c>
      <c r="N82" s="6">
        <f>[1]Results!Q1552</f>
        <v>40025.625169999999</v>
      </c>
      <c r="O82" s="6">
        <f>[1]Results!R1552</f>
        <v>40621.075349999999</v>
      </c>
      <c r="P82" s="6">
        <f>[1]Results!S1552</f>
        <v>41223.898179999997</v>
      </c>
      <c r="Q82" s="6">
        <f>[1]Results!T1552</f>
        <v>41832.30328</v>
      </c>
      <c r="R82" s="6">
        <f>[1]Results!U1552</f>
        <v>42445.271130000001</v>
      </c>
      <c r="S82" s="6">
        <f>[1]Results!V1552</f>
        <v>43062.351849999999</v>
      </c>
      <c r="T82" s="6">
        <f>[1]Results!W1552</f>
        <v>43683.50834</v>
      </c>
      <c r="U82" s="6">
        <f>[1]Results!X1552</f>
        <v>44308.96686</v>
      </c>
      <c r="V82" s="6">
        <f>[1]Results!Y1552</f>
        <v>44939.115230000003</v>
      </c>
      <c r="W82" s="6">
        <f>[1]Results!Z1552</f>
        <v>45543.986140000001</v>
      </c>
      <c r="X82" s="6">
        <f>[1]Results!AA1552</f>
        <v>46175.558239999998</v>
      </c>
      <c r="Y82" s="6">
        <f>[1]Results!AB1552</f>
        <v>46815.324379999998</v>
      </c>
      <c r="Z82" s="6">
        <f>[1]Results!AC1552</f>
        <v>47463.972329999997</v>
      </c>
      <c r="AA82" s="6">
        <f>[1]Results!AD1552</f>
        <v>48121.919309999997</v>
      </c>
      <c r="AB82" s="6">
        <f>[1]Results!AE1552</f>
        <v>48701.75013</v>
      </c>
      <c r="AC82" s="6">
        <f>[1]Results!AF1552</f>
        <v>49310.132270000002</v>
      </c>
      <c r="AD82" s="6">
        <f>[1]Results!AG1552</f>
        <v>49920.62601</v>
      </c>
      <c r="AE82" s="6">
        <f>[1]Results!AH1552</f>
        <v>50536.238980000002</v>
      </c>
      <c r="AF82" s="6">
        <f>[1]Results!AI1552</f>
        <v>51159.325949999999</v>
      </c>
      <c r="AG82" s="6">
        <f>[1]Results!AJ1552</f>
        <v>51791.673199999997</v>
      </c>
      <c r="AH82" s="6">
        <f>[1]Results!AK1552</f>
        <v>52434.560749999997</v>
      </c>
      <c r="AI82" s="6">
        <f>[1]Results!AL1552</f>
        <v>53088.844720000001</v>
      </c>
      <c r="AJ82" s="6">
        <f>[1]Results!AM1552</f>
        <v>53755.045760000001</v>
      </c>
      <c r="AK82" s="6">
        <f>[1]Results!AN1552</f>
        <v>54433.442170000002</v>
      </c>
      <c r="AL82" s="6">
        <f>[1]Results!AO1552</f>
        <v>55124.149559999998</v>
      </c>
      <c r="AM82" s="6">
        <f>[1]Results!AP1552</f>
        <v>55806.054329999999</v>
      </c>
      <c r="AN82" s="6">
        <f>[1]Results!AQ1552</f>
        <v>56493.436900000001</v>
      </c>
      <c r="AO82" s="6">
        <f>[1]Results!AR1552</f>
        <v>57187.487880000001</v>
      </c>
      <c r="AP82" s="6">
        <f>[1]Results!AS1552</f>
        <v>57889.480889999999</v>
      </c>
      <c r="AQ82" s="6">
        <f>[1]Results!AT1552</f>
        <v>58600.577340000003</v>
      </c>
      <c r="AR82" s="6">
        <f>[1]Results!AU1552</f>
        <v>59321.745210000001</v>
      </c>
      <c r="AS82" s="6">
        <f>[1]Results!AV1552</f>
        <v>60053.730629999998</v>
      </c>
      <c r="AT82" s="6">
        <f>[1]Results!AW1552</f>
        <v>60797.069739999999</v>
      </c>
      <c r="AU82" s="6">
        <f>[1]Results!AX1552</f>
        <v>61552.120620000002</v>
      </c>
      <c r="AV82" s="6">
        <f>[1]Results!AY1552</f>
        <v>62319.105710000003</v>
      </c>
      <c r="AW82" s="6">
        <f>[1]Results!AZ1552</f>
        <v>63100.070970000001</v>
      </c>
      <c r="AX82" s="6">
        <f>[1]Results!BA1552</f>
        <v>63893.79391</v>
      </c>
      <c r="AY82" s="6">
        <f>[1]Results!BB1552</f>
        <v>64700.209410000003</v>
      </c>
      <c r="AZ82" s="6">
        <f>[1]Results!BC1552</f>
        <v>65519.228029999998</v>
      </c>
      <c r="BA82" s="6">
        <f>[1]Results!BD1552</f>
        <v>66350.770319999996</v>
      </c>
      <c r="BB82" s="6">
        <f>[1]Results!BE1552</f>
        <v>67194.785870000007</v>
      </c>
      <c r="BC82" s="6">
        <f>[1]Results!BF1552</f>
        <v>68051.262440000006</v>
      </c>
      <c r="BD82" s="6">
        <f>[1]Results!BG1552</f>
        <v>68920.228180000006</v>
      </c>
      <c r="BE82" s="6">
        <f>[1]Results!BH1552</f>
        <v>69801.749089999998</v>
      </c>
      <c r="BF82" s="6">
        <f>[1]Results!BI1552</f>
        <v>70695.92383</v>
      </c>
    </row>
    <row r="83" spans="1:58" x14ac:dyDescent="0.35">
      <c r="B83" t="s">
        <v>30</v>
      </c>
      <c r="C83" s="6">
        <f>[1]Results!F1555</f>
        <v>332226.51299999998</v>
      </c>
      <c r="D83" s="6">
        <f>[1]Results!G1555</f>
        <v>327294.1251</v>
      </c>
      <c r="E83" s="6">
        <f>[1]Results!H1555</f>
        <v>332357.73790000001</v>
      </c>
      <c r="F83" s="6">
        <f>[1]Results!I1555</f>
        <v>336963.5025</v>
      </c>
      <c r="G83" s="6">
        <f>[1]Results!J1555</f>
        <v>341864.17060000001</v>
      </c>
      <c r="H83" s="6">
        <f>[1]Results!K1555</f>
        <v>347084.88449999999</v>
      </c>
      <c r="I83" s="6">
        <f>[1]Results!L1555</f>
        <v>352338.79180000001</v>
      </c>
      <c r="J83" s="6">
        <f>[1]Results!M1555</f>
        <v>357782.23830000003</v>
      </c>
      <c r="K83" s="6">
        <f>[1]Results!N1555</f>
        <v>363382.46529999998</v>
      </c>
      <c r="L83" s="6">
        <f>[1]Results!O1555</f>
        <v>369123.47159999999</v>
      </c>
      <c r="M83" s="6">
        <f>[1]Results!P1555</f>
        <v>375411.74949999998</v>
      </c>
      <c r="N83" s="6">
        <f>[1]Results!Q1555</f>
        <v>381469.51250000001</v>
      </c>
      <c r="O83" s="6">
        <f>[1]Results!R1555</f>
        <v>387643.38750000001</v>
      </c>
      <c r="P83" s="6">
        <f>[1]Results!S1555</f>
        <v>393907.05050000001</v>
      </c>
      <c r="Q83" s="6">
        <f>[1]Results!T1555</f>
        <v>400256.5478</v>
      </c>
      <c r="R83" s="6">
        <f>[1]Results!U1555</f>
        <v>406693.57530000003</v>
      </c>
      <c r="S83" s="6">
        <f>[1]Results!V1555</f>
        <v>413222.59169999999</v>
      </c>
      <c r="T83" s="6">
        <f>[1]Results!W1555</f>
        <v>419849.74229999998</v>
      </c>
      <c r="U83" s="6">
        <f>[1]Results!X1555</f>
        <v>426582.04229999997</v>
      </c>
      <c r="V83" s="6">
        <f>[1]Results!Y1555</f>
        <v>433426.71850000002</v>
      </c>
      <c r="W83" s="6">
        <f>[1]Results!Z1555</f>
        <v>440078.85729999997</v>
      </c>
      <c r="X83" s="6">
        <f>[1]Results!AA1555</f>
        <v>447113.52370000002</v>
      </c>
      <c r="Y83" s="6">
        <f>[1]Results!AB1555</f>
        <v>454274.07500000001</v>
      </c>
      <c r="Z83" s="6">
        <f>[1]Results!AC1555</f>
        <v>461580.94540000003</v>
      </c>
      <c r="AA83" s="6">
        <f>[1]Results!AD1555</f>
        <v>469039.10580000002</v>
      </c>
      <c r="AB83" s="6">
        <f>[1]Results!AE1555</f>
        <v>475749.10430000001</v>
      </c>
      <c r="AC83" s="6">
        <f>[1]Results!AF1555</f>
        <v>482923.75670000003</v>
      </c>
      <c r="AD83" s="6">
        <f>[1]Results!AG1555</f>
        <v>490153.5013</v>
      </c>
      <c r="AE83" s="6">
        <f>[1]Results!AH1555</f>
        <v>497473.73849999998</v>
      </c>
      <c r="AF83" s="6">
        <f>[1]Results!AI1555</f>
        <v>504898.02409999998</v>
      </c>
      <c r="AG83" s="6">
        <f>[1]Results!AJ1555</f>
        <v>512434.08980000002</v>
      </c>
      <c r="AH83" s="6">
        <f>[1]Results!AK1555</f>
        <v>520086.25540000002</v>
      </c>
      <c r="AI83" s="6">
        <f>[1]Results!AL1555</f>
        <v>527856.09770000004</v>
      </c>
      <c r="AJ83" s="6">
        <f>[1]Results!AM1555</f>
        <v>535742.99560000002</v>
      </c>
      <c r="AK83" s="6">
        <f>[1]Results!AN1555</f>
        <v>543744.7352</v>
      </c>
      <c r="AL83" s="6">
        <f>[1]Results!AO1555</f>
        <v>551858.08829999994</v>
      </c>
      <c r="AM83" s="6">
        <f>[1]Results!AP1555</f>
        <v>559859.92070000002</v>
      </c>
      <c r="AN83" s="6">
        <f>[1]Results!AQ1555</f>
        <v>567922.5797</v>
      </c>
      <c r="AO83" s="6">
        <f>[1]Results!AR1555</f>
        <v>576037.99029999995</v>
      </c>
      <c r="AP83" s="6">
        <f>[1]Results!AS1555</f>
        <v>584209.14260000002</v>
      </c>
      <c r="AQ83" s="6">
        <f>[1]Results!AT1555</f>
        <v>592439.99639999995</v>
      </c>
      <c r="AR83" s="6">
        <f>[1]Results!AU1555</f>
        <v>600733.93240000005</v>
      </c>
      <c r="AS83" s="6">
        <f>[1]Results!AV1555</f>
        <v>609093.49509999994</v>
      </c>
      <c r="AT83" s="6">
        <f>[1]Results!AW1555</f>
        <v>617520.40330000001</v>
      </c>
      <c r="AU83" s="6">
        <f>[1]Results!AX1555</f>
        <v>626015.67879999999</v>
      </c>
      <c r="AV83" s="6">
        <f>[1]Results!AY1555</f>
        <v>634579.83109999995</v>
      </c>
      <c r="AW83" s="6">
        <f>[1]Results!AZ1555</f>
        <v>643233.05290000001</v>
      </c>
      <c r="AX83" s="6">
        <f>[1]Results!BA1555</f>
        <v>651959.40789999999</v>
      </c>
      <c r="AY83" s="6">
        <f>[1]Results!BB1555</f>
        <v>660759.59169999999</v>
      </c>
      <c r="AZ83" s="6">
        <f>[1]Results!BC1555</f>
        <v>669633.62580000004</v>
      </c>
      <c r="BA83" s="6">
        <f>[1]Results!BD1555</f>
        <v>678581.88289999997</v>
      </c>
      <c r="BB83" s="6">
        <f>[1]Results!BE1555</f>
        <v>687605.27910000004</v>
      </c>
      <c r="BC83" s="6">
        <f>[1]Results!BF1555</f>
        <v>696705.30940000003</v>
      </c>
      <c r="BD83" s="6">
        <f>[1]Results!BG1555</f>
        <v>705884.03150000004</v>
      </c>
      <c r="BE83" s="6">
        <f>[1]Results!BH1555</f>
        <v>715144.02099999995</v>
      </c>
      <c r="BF83" s="6">
        <f>[1]Results!BI1555</f>
        <v>724488.3088</v>
      </c>
    </row>
    <row r="84" spans="1:58" x14ac:dyDescent="0.35">
      <c r="B84" t="s">
        <v>9</v>
      </c>
      <c r="C84" s="6">
        <f>[1]Results!F1567</f>
        <v>48571.106160000003</v>
      </c>
      <c r="D84" s="6">
        <f>[1]Results!G1567</f>
        <v>47910.119019999998</v>
      </c>
      <c r="E84" s="6">
        <f>[1]Results!H1567</f>
        <v>48554.34059</v>
      </c>
      <c r="F84" s="6">
        <f>[1]Results!I1567</f>
        <v>49154.875180000003</v>
      </c>
      <c r="G84" s="6">
        <f>[1]Results!J1567</f>
        <v>49808.286959999998</v>
      </c>
      <c r="H84" s="6">
        <f>[1]Results!K1567</f>
        <v>50518.171580000002</v>
      </c>
      <c r="I84" s="6">
        <f>[1]Results!L1567</f>
        <v>51241.08915</v>
      </c>
      <c r="J84" s="6">
        <f>[1]Results!M1567</f>
        <v>51998.473740000001</v>
      </c>
      <c r="K84" s="6">
        <f>[1]Results!N1567</f>
        <v>52782.815609999998</v>
      </c>
      <c r="L84" s="6">
        <f>[1]Results!O1567</f>
        <v>53588.705249999999</v>
      </c>
      <c r="M84" s="6">
        <f>[1]Results!P1567</f>
        <v>54474.332369999996</v>
      </c>
      <c r="N84" s="6">
        <f>[1]Results!Q1567</f>
        <v>55320.51397</v>
      </c>
      <c r="O84" s="6">
        <f>[1]Results!R1567</f>
        <v>56177.021399999998</v>
      </c>
      <c r="P84" s="6">
        <f>[1]Results!S1567</f>
        <v>57039.185989999998</v>
      </c>
      <c r="Q84" s="6">
        <f>[1]Results!T1567</f>
        <v>57905.490559999998</v>
      </c>
      <c r="R84" s="6">
        <f>[1]Results!U1567</f>
        <v>58775.49467</v>
      </c>
      <c r="S84" s="6">
        <f>[1]Results!V1567</f>
        <v>59649.400300000001</v>
      </c>
      <c r="T84" s="6">
        <f>[1]Results!W1567</f>
        <v>60527.839039999999</v>
      </c>
      <c r="U84" s="6">
        <f>[1]Results!X1567</f>
        <v>61411.712829999997</v>
      </c>
      <c r="V84" s="6">
        <f>[1]Results!Y1567</f>
        <v>62302.075129999997</v>
      </c>
      <c r="W84" s="6">
        <f>[1]Results!Z1567</f>
        <v>63153.227160000002</v>
      </c>
      <c r="X84" s="6">
        <f>[1]Results!AA1567</f>
        <v>64052.198530000001</v>
      </c>
      <c r="Y84" s="6">
        <f>[1]Results!AB1567</f>
        <v>64961.041740000001</v>
      </c>
      <c r="Z84" s="6">
        <f>[1]Results!AC1567</f>
        <v>65882.724019999994</v>
      </c>
      <c r="AA84" s="6">
        <f>[1]Results!AD1567</f>
        <v>66818.343550000005</v>
      </c>
      <c r="AB84" s="6">
        <f>[1]Results!AE1567</f>
        <v>67633.360520000002</v>
      </c>
      <c r="AC84" s="6">
        <f>[1]Results!AF1567</f>
        <v>68511.948770000003</v>
      </c>
      <c r="AD84" s="6">
        <f>[1]Results!AG1567</f>
        <v>69394.718479999996</v>
      </c>
      <c r="AE84" s="6">
        <f>[1]Results!AH1567</f>
        <v>70287.394490000006</v>
      </c>
      <c r="AF84" s="6">
        <f>[1]Results!AI1567</f>
        <v>71192.954700000002</v>
      </c>
      <c r="AG84" s="6">
        <f>[1]Results!AJ1567</f>
        <v>72113.471999999994</v>
      </c>
      <c r="AH84" s="6">
        <f>[1]Results!AK1567</f>
        <v>73050.392779999995</v>
      </c>
      <c r="AI84" s="6">
        <f>[1]Results!AL1567</f>
        <v>74004.650829999999</v>
      </c>
      <c r="AJ84" s="6">
        <f>[1]Results!AM1567</f>
        <v>74976.775819999995</v>
      </c>
      <c r="AK84" s="6">
        <f>[1]Results!AN1567</f>
        <v>75967.002410000001</v>
      </c>
      <c r="AL84" s="6">
        <f>[1]Results!AO1567</f>
        <v>76975.366859999995</v>
      </c>
      <c r="AM84" s="6">
        <f>[1]Results!AP1567</f>
        <v>77968.950960000002</v>
      </c>
      <c r="AN84" s="6">
        <f>[1]Results!AQ1567</f>
        <v>78974.502080000006</v>
      </c>
      <c r="AO84" s="6">
        <f>[1]Results!AR1567</f>
        <v>79991.812090000007</v>
      </c>
      <c r="AP84" s="6">
        <f>[1]Results!AS1567</f>
        <v>81021.967600000004</v>
      </c>
      <c r="AQ84" s="6">
        <f>[1]Results!AT1567</f>
        <v>82066.104699999996</v>
      </c>
      <c r="AR84" s="6">
        <f>[1]Results!AU1567</f>
        <v>83125.187980000002</v>
      </c>
      <c r="AS84" s="6">
        <f>[1]Results!AV1567</f>
        <v>84199.961850000007</v>
      </c>
      <c r="AT84" s="6">
        <f>[1]Results!AW1567</f>
        <v>85290.953590000005</v>
      </c>
      <c r="AU84" s="6">
        <f>[1]Results!AX1567</f>
        <v>86398.502649999995</v>
      </c>
      <c r="AV84" s="6">
        <f>[1]Results!AY1567</f>
        <v>87522.801229999997</v>
      </c>
      <c r="AW84" s="6">
        <f>[1]Results!AZ1567</f>
        <v>88666.929839999997</v>
      </c>
      <c r="AX84" s="6">
        <f>[1]Results!BA1567</f>
        <v>89828.462</v>
      </c>
      <c r="AY84" s="6">
        <f>[1]Results!BB1567</f>
        <v>91007.407229999997</v>
      </c>
      <c r="AZ84" s="6">
        <f>[1]Results!BC1567</f>
        <v>92203.662020000003</v>
      </c>
      <c r="BA84" s="6">
        <f>[1]Results!BD1567</f>
        <v>93417.142540000001</v>
      </c>
      <c r="BB84" s="6">
        <f>[1]Results!BE1567</f>
        <v>94647.815600000002</v>
      </c>
      <c r="BC84" s="6">
        <f>[1]Results!BF1567</f>
        <v>95895.707970000003</v>
      </c>
      <c r="BD84" s="6">
        <f>[1]Results!BG1567</f>
        <v>97160.90655</v>
      </c>
      <c r="BE84" s="6">
        <f>[1]Results!BH1567</f>
        <v>98443.553490000006</v>
      </c>
      <c r="BF84" s="6">
        <f>[1]Results!BI1567</f>
        <v>99743.838470000002</v>
      </c>
    </row>
    <row r="85" spans="1:58" x14ac:dyDescent="0.35">
      <c r="B85" t="s">
        <v>10</v>
      </c>
      <c r="C85" s="6">
        <f>[1]Results!F1572</f>
        <v>1513908.5689999999</v>
      </c>
      <c r="D85" s="6">
        <f>[1]Results!G1572</f>
        <v>1512673.74</v>
      </c>
      <c r="E85" s="6">
        <f>[1]Results!H1572</f>
        <v>1529056.294</v>
      </c>
      <c r="F85" s="6">
        <f>[1]Results!I1572</f>
        <v>1548250.3289999999</v>
      </c>
      <c r="G85" s="6">
        <f>[1]Results!J1572</f>
        <v>1569732.8019999999</v>
      </c>
      <c r="H85" s="6">
        <f>[1]Results!K1572</f>
        <v>1593149.058</v>
      </c>
      <c r="I85" s="6">
        <f>[1]Results!L1572</f>
        <v>1617095.0560000001</v>
      </c>
      <c r="J85" s="6">
        <f>[1]Results!M1572</f>
        <v>1642137.325</v>
      </c>
      <c r="K85" s="6">
        <f>[1]Results!N1572</f>
        <v>1668133.172</v>
      </c>
      <c r="L85" s="6">
        <f>[1]Results!O1572</f>
        <v>1694952.4620000001</v>
      </c>
      <c r="M85" s="6">
        <f>[1]Results!P1572</f>
        <v>1724420.67</v>
      </c>
      <c r="N85" s="6">
        <f>[1]Results!Q1572</f>
        <v>1753056.1259999999</v>
      </c>
      <c r="O85" s="6">
        <f>[1]Results!R1572</f>
        <v>1782089.541</v>
      </c>
      <c r="P85" s="6">
        <f>[1]Results!S1572</f>
        <v>1811469.182</v>
      </c>
      <c r="Q85" s="6">
        <f>[1]Results!T1572</f>
        <v>1841156.1850000001</v>
      </c>
      <c r="R85" s="6">
        <f>[1]Results!U1572</f>
        <v>1871129.0349999999</v>
      </c>
      <c r="S85" s="6">
        <f>[1]Results!V1572</f>
        <v>1901381.463</v>
      </c>
      <c r="T85" s="6">
        <f>[1]Results!W1572</f>
        <v>1931918.3740000001</v>
      </c>
      <c r="U85" s="6">
        <f>[1]Results!X1572</f>
        <v>1962751.8729999999</v>
      </c>
      <c r="V85" s="6">
        <f>[1]Results!Y1572</f>
        <v>1993898.1950000001</v>
      </c>
      <c r="W85" s="6">
        <f>[1]Results!Z1572</f>
        <v>2023923.165</v>
      </c>
      <c r="X85" s="6">
        <f>[1]Results!AA1572</f>
        <v>2055361.98</v>
      </c>
      <c r="Y85" s="6">
        <f>[1]Results!AB1572</f>
        <v>2087257.442</v>
      </c>
      <c r="Z85" s="6">
        <f>[1]Results!AC1572</f>
        <v>2119618.1239999998</v>
      </c>
      <c r="AA85" s="6">
        <f>[1]Results!AD1572</f>
        <v>2152454.3769999999</v>
      </c>
      <c r="AB85" s="6">
        <f>[1]Results!AE1572</f>
        <v>2181571.949</v>
      </c>
      <c r="AC85" s="6">
        <f>[1]Results!AF1572</f>
        <v>2212257.9079999998</v>
      </c>
      <c r="AD85" s="6">
        <f>[1]Results!AG1572</f>
        <v>2243131.327</v>
      </c>
      <c r="AE85" s="6">
        <f>[1]Results!AH1572</f>
        <v>2274280.2450000001</v>
      </c>
      <c r="AF85" s="6">
        <f>[1]Results!AI1572</f>
        <v>2305783.9380000001</v>
      </c>
      <c r="AG85" s="6">
        <f>[1]Results!AJ1572</f>
        <v>2337705.6740000001</v>
      </c>
      <c r="AH85" s="6">
        <f>[1]Results!AK1572</f>
        <v>2370091.7420000001</v>
      </c>
      <c r="AI85" s="6">
        <f>[1]Results!AL1572</f>
        <v>2402973.4389999998</v>
      </c>
      <c r="AJ85" s="6">
        <f>[1]Results!AM1572</f>
        <v>2436370.0839999998</v>
      </c>
      <c r="AK85" s="6">
        <f>[1]Results!AN1572</f>
        <v>2470292.3739999998</v>
      </c>
      <c r="AL85" s="6">
        <f>[1]Results!AO1572</f>
        <v>2504745.3509999998</v>
      </c>
      <c r="AM85" s="6">
        <f>[1]Results!AP1572</f>
        <v>2538710.5469999998</v>
      </c>
      <c r="AN85" s="6">
        <f>[1]Results!AQ1572</f>
        <v>2572922.5630000001</v>
      </c>
      <c r="AO85" s="6">
        <f>[1]Results!AR1572</f>
        <v>2607439.2829999998</v>
      </c>
      <c r="AP85" s="6">
        <f>[1]Results!AS1572</f>
        <v>2642311.3250000002</v>
      </c>
      <c r="AQ85" s="6">
        <f>[1]Results!AT1572</f>
        <v>2677583.3199999998</v>
      </c>
      <c r="AR85" s="6">
        <f>[1]Results!AU1572</f>
        <v>2713292.9330000002</v>
      </c>
      <c r="AS85" s="6">
        <f>[1]Results!AV1572</f>
        <v>2749470.1940000001</v>
      </c>
      <c r="AT85" s="6">
        <f>[1]Results!AW1572</f>
        <v>2786137.6949999998</v>
      </c>
      <c r="AU85" s="6">
        <f>[1]Results!AX1572</f>
        <v>2823311.5219999999</v>
      </c>
      <c r="AV85" s="6">
        <f>[1]Results!AY1572</f>
        <v>2861002.4849999999</v>
      </c>
      <c r="AW85" s="6">
        <f>[1]Results!AZ1572</f>
        <v>2899310.0559999999</v>
      </c>
      <c r="AX85" s="6">
        <f>[1]Results!BA1572</f>
        <v>2938171.781</v>
      </c>
      <c r="AY85" s="6">
        <f>[1]Results!BB1572</f>
        <v>2977585.68</v>
      </c>
      <c r="AZ85" s="6">
        <f>[1]Results!BC1572</f>
        <v>3017550.2820000001</v>
      </c>
      <c r="BA85" s="6">
        <f>[1]Results!BD1572</f>
        <v>3058065.1260000002</v>
      </c>
      <c r="BB85" s="6">
        <f>[1]Results!BE1572</f>
        <v>3099131.1809999999</v>
      </c>
      <c r="BC85" s="6">
        <f>[1]Results!BF1572</f>
        <v>3140751.0610000002</v>
      </c>
      <c r="BD85" s="6">
        <f>[1]Results!BG1572</f>
        <v>3182929.0249999999</v>
      </c>
      <c r="BE85" s="6">
        <f>[1]Results!BH1572</f>
        <v>3225670.8309999998</v>
      </c>
      <c r="BF85" s="6">
        <f>[1]Results!BI1572</f>
        <v>3268983.5090000001</v>
      </c>
    </row>
    <row r="86" spans="1:58" x14ac:dyDescent="0.35">
      <c r="B86" t="s">
        <v>29</v>
      </c>
      <c r="C86" s="6">
        <f>C91-C87</f>
        <v>-1911.7610970999999</v>
      </c>
      <c r="D86" s="6">
        <f t="shared" ref="D86:AL86" si="50">D91-D87</f>
        <v>-1974.4389272999999</v>
      </c>
      <c r="E86" s="6">
        <f t="shared" si="50"/>
        <v>-1900.7682655999999</v>
      </c>
      <c r="F86" s="6">
        <f t="shared" si="50"/>
        <v>-1891.9366446999998</v>
      </c>
      <c r="G86" s="6">
        <f t="shared" si="50"/>
        <v>-1897.5858513999999</v>
      </c>
      <c r="H86" s="6">
        <f t="shared" si="50"/>
        <v>-1908.6167857</v>
      </c>
      <c r="I86" s="6">
        <f t="shared" si="50"/>
        <v>-1924.1318755000002</v>
      </c>
      <c r="J86" s="6">
        <f t="shared" si="50"/>
        <v>-1940.5608150999999</v>
      </c>
      <c r="K86" s="6">
        <f t="shared" si="50"/>
        <v>-1958.4270886999998</v>
      </c>
      <c r="L86" s="6">
        <f t="shared" si="50"/>
        <v>-1977.4589427999999</v>
      </c>
      <c r="M86" s="6">
        <f t="shared" si="50"/>
        <v>-1995.5977111</v>
      </c>
      <c r="N86" s="6">
        <f t="shared" si="50"/>
        <v>-2019.0409023999998</v>
      </c>
      <c r="O86" s="6">
        <f t="shared" si="50"/>
        <v>-2040.7059170000002</v>
      </c>
      <c r="P86" s="6">
        <f t="shared" si="50"/>
        <v>-2062.1197839999995</v>
      </c>
      <c r="Q86" s="6">
        <f t="shared" si="50"/>
        <v>-2083.5613956000002</v>
      </c>
      <c r="R86" s="6">
        <f t="shared" si="50"/>
        <v>-2105.0527511999999</v>
      </c>
      <c r="S86" s="6">
        <f t="shared" si="50"/>
        <v>-2126.5879301</v>
      </c>
      <c r="T86" s="6">
        <f t="shared" si="50"/>
        <v>-2148.1699444000001</v>
      </c>
      <c r="U86" s="6">
        <f t="shared" si="50"/>
        <v>-2169.8108855999999</v>
      </c>
      <c r="V86" s="6">
        <f t="shared" si="50"/>
        <v>-2191.5280591000001</v>
      </c>
      <c r="W86" s="6">
        <f t="shared" si="50"/>
        <v>-2214.5760454000001</v>
      </c>
      <c r="X86" s="6">
        <f t="shared" si="50"/>
        <v>-2234.2576412000003</v>
      </c>
      <c r="Y86" s="6">
        <f t="shared" si="50"/>
        <v>-2255.7250399999998</v>
      </c>
      <c r="Z86" s="6">
        <f t="shared" si="50"/>
        <v>-2277.7412321000002</v>
      </c>
      <c r="AA86" s="6">
        <f t="shared" si="50"/>
        <v>-2300.0392682000002</v>
      </c>
      <c r="AB86" s="6">
        <f t="shared" si="50"/>
        <v>-2326.1279307999998</v>
      </c>
      <c r="AC86" s="6">
        <f t="shared" si="50"/>
        <v>-2344.1190319000002</v>
      </c>
      <c r="AD86" s="6">
        <f t="shared" si="50"/>
        <v>-2364.0734779999998</v>
      </c>
      <c r="AE86" s="6">
        <f t="shared" si="50"/>
        <v>-2384.5871858</v>
      </c>
      <c r="AF86" s="6">
        <f t="shared" si="50"/>
        <v>-2405.3682871000001</v>
      </c>
      <c r="AG86" s="6">
        <f t="shared" si="50"/>
        <v>-2426.3954807</v>
      </c>
      <c r="AH86" s="6">
        <f t="shared" si="50"/>
        <v>-2447.6980056000002</v>
      </c>
      <c r="AI86" s="6">
        <f t="shared" si="50"/>
        <v>-2469.3083941999998</v>
      </c>
      <c r="AJ86" s="6">
        <f t="shared" si="50"/>
        <v>-2491.2453627999998</v>
      </c>
      <c r="AK86" s="6">
        <f t="shared" si="50"/>
        <v>-2513.5199245000003</v>
      </c>
      <c r="AL86" s="6">
        <f t="shared" si="50"/>
        <v>-2536.1372161999998</v>
      </c>
      <c r="AM86" s="6">
        <f t="shared" ref="AM86:BC86" si="51">AM91-AM87</f>
        <v>-2559.9495654000002</v>
      </c>
      <c r="AN86" s="6">
        <f t="shared" si="51"/>
        <v>-2582.5479260000002</v>
      </c>
      <c r="AO86" s="6">
        <f t="shared" si="51"/>
        <v>-2605.0649123000003</v>
      </c>
      <c r="AP86" s="6">
        <f t="shared" si="51"/>
        <v>-2627.7622072999998</v>
      </c>
      <c r="AQ86" s="6">
        <f t="shared" si="51"/>
        <v>-2650.7049402999996</v>
      </c>
      <c r="AR86" s="6">
        <f t="shared" si="51"/>
        <v>-2673.9186424999998</v>
      </c>
      <c r="AS86" s="6">
        <f t="shared" si="51"/>
        <v>-2697.4201082</v>
      </c>
      <c r="AT86" s="6">
        <f t="shared" si="51"/>
        <v>-2721.2220620999997</v>
      </c>
      <c r="AU86" s="6">
        <f t="shared" si="51"/>
        <v>-2745.3332986</v>
      </c>
      <c r="AV86" s="6">
        <f t="shared" si="51"/>
        <v>-2769.7566768999995</v>
      </c>
      <c r="AW86" s="6">
        <f t="shared" si="51"/>
        <v>-2794.4123460000001</v>
      </c>
      <c r="AX86" s="6">
        <f t="shared" si="51"/>
        <v>-2819.5152790000002</v>
      </c>
      <c r="AY86" s="6">
        <f t="shared" si="51"/>
        <v>-2844.9610216999999</v>
      </c>
      <c r="AZ86" s="6">
        <f t="shared" si="51"/>
        <v>-2870.7247064000003</v>
      </c>
      <c r="BA86" s="6">
        <f t="shared" si="51"/>
        <v>-2896.7990483999997</v>
      </c>
      <c r="BB86" s="6">
        <f t="shared" si="51"/>
        <v>-2923.1801654000001</v>
      </c>
      <c r="BC86" s="6">
        <f t="shared" si="51"/>
        <v>-2949.8651503999999</v>
      </c>
      <c r="BD86" s="6">
        <f t="shared" ref="BD86:BF86" si="52">BD91-BD87</f>
        <v>-2976.8520094</v>
      </c>
      <c r="BE86" s="6">
        <f t="shared" si="52"/>
        <v>-3004.1398474000002</v>
      </c>
      <c r="BF86" s="6">
        <f t="shared" si="52"/>
        <v>-3031.7289283999999</v>
      </c>
    </row>
    <row r="87" spans="1:58" x14ac:dyDescent="0.35">
      <c r="B87" t="s">
        <v>36</v>
      </c>
      <c r="C87" s="6">
        <f>C89+C90</f>
        <v>-117.46611589999998</v>
      </c>
      <c r="D87" s="6">
        <f t="shared" ref="D87:AL87" si="53">D89+D90</f>
        <v>-117.87318970000001</v>
      </c>
      <c r="E87" s="6">
        <f t="shared" si="53"/>
        <v>-110.39308140000003</v>
      </c>
      <c r="F87" s="6">
        <f t="shared" si="53"/>
        <v>-110.88823130000003</v>
      </c>
      <c r="G87" s="6">
        <f t="shared" si="53"/>
        <v>-113.79938960000004</v>
      </c>
      <c r="H87" s="6">
        <f t="shared" si="53"/>
        <v>-118.27182129999994</v>
      </c>
      <c r="I87" s="6">
        <f t="shared" si="53"/>
        <v>-123.87863049999999</v>
      </c>
      <c r="J87" s="6">
        <f t="shared" si="53"/>
        <v>-130.23003889999995</v>
      </c>
      <c r="K87" s="6">
        <f t="shared" si="53"/>
        <v>-137.24081530000001</v>
      </c>
      <c r="L87" s="6">
        <f t="shared" si="53"/>
        <v>-144.75943719999998</v>
      </c>
      <c r="M87" s="6">
        <f t="shared" si="53"/>
        <v>-152.86798690000001</v>
      </c>
      <c r="N87" s="6">
        <f t="shared" si="53"/>
        <v>-161.4824486</v>
      </c>
      <c r="O87" s="6">
        <f t="shared" si="53"/>
        <v>-170.05318399999999</v>
      </c>
      <c r="P87" s="6">
        <f t="shared" si="53"/>
        <v>-178.73111300000005</v>
      </c>
      <c r="Q87" s="6">
        <f t="shared" si="53"/>
        <v>-187.51542840000002</v>
      </c>
      <c r="R87" s="6">
        <f t="shared" si="53"/>
        <v>-196.38581280000005</v>
      </c>
      <c r="S87" s="6">
        <f t="shared" si="53"/>
        <v>-205.32533690000002</v>
      </c>
      <c r="T87" s="6">
        <f t="shared" si="53"/>
        <v>-214.32287959999996</v>
      </c>
      <c r="U87" s="6">
        <f t="shared" si="53"/>
        <v>-223.37211839999998</v>
      </c>
      <c r="V87" s="6">
        <f t="shared" si="53"/>
        <v>-232.47026789999995</v>
      </c>
      <c r="W87" s="6">
        <f t="shared" si="53"/>
        <v>-241.46076159999996</v>
      </c>
      <c r="X87" s="6">
        <f t="shared" si="53"/>
        <v>-250.33973079999998</v>
      </c>
      <c r="Y87" s="6">
        <f t="shared" si="53"/>
        <v>-259.46844499999997</v>
      </c>
      <c r="Z87" s="6">
        <f t="shared" si="53"/>
        <v>-268.7009789</v>
      </c>
      <c r="AA87" s="6">
        <f t="shared" si="53"/>
        <v>-278.01547679999999</v>
      </c>
      <c r="AB87" s="6">
        <f t="shared" si="53"/>
        <v>-286.96078820000002</v>
      </c>
      <c r="AC87" s="6">
        <f t="shared" si="53"/>
        <v>-295.31280909999998</v>
      </c>
      <c r="AD87" s="6">
        <f t="shared" si="53"/>
        <v>-303.88611200000003</v>
      </c>
      <c r="AE87" s="6">
        <f t="shared" si="53"/>
        <v>-312.51517920000003</v>
      </c>
      <c r="AF87" s="6">
        <f t="shared" si="53"/>
        <v>-321.18867690000002</v>
      </c>
      <c r="AG87" s="6">
        <f t="shared" si="53"/>
        <v>-329.92228130000001</v>
      </c>
      <c r="AH87" s="6">
        <f t="shared" si="53"/>
        <v>-338.7335104</v>
      </c>
      <c r="AI87" s="6">
        <f t="shared" si="53"/>
        <v>-347.63688179999997</v>
      </c>
      <c r="AJ87" s="6">
        <f t="shared" si="53"/>
        <v>-356.64335719999997</v>
      </c>
      <c r="AK87" s="6">
        <f t="shared" si="53"/>
        <v>-365.76078749999999</v>
      </c>
      <c r="AL87" s="6">
        <f t="shared" si="53"/>
        <v>-374.99455680000005</v>
      </c>
      <c r="AM87" s="6">
        <f t="shared" ref="AM87:BC87" si="54">AM89+AM90</f>
        <v>-384.23923260000004</v>
      </c>
      <c r="AN87" s="6">
        <f t="shared" si="54"/>
        <v>-393.38414899999998</v>
      </c>
      <c r="AO87" s="6">
        <f t="shared" si="54"/>
        <v>-402.56662470000003</v>
      </c>
      <c r="AP87" s="6">
        <f t="shared" si="54"/>
        <v>-411.81917469999996</v>
      </c>
      <c r="AQ87" s="6">
        <f t="shared" si="54"/>
        <v>-421.15533270000003</v>
      </c>
      <c r="AR87" s="6">
        <f t="shared" si="54"/>
        <v>-430.58489950000001</v>
      </c>
      <c r="AS87" s="6">
        <f t="shared" si="54"/>
        <v>-440.11608579999995</v>
      </c>
      <c r="AT87" s="6">
        <f t="shared" si="54"/>
        <v>-449.75554890000001</v>
      </c>
      <c r="AU87" s="6">
        <f t="shared" si="54"/>
        <v>-459.50832539999999</v>
      </c>
      <c r="AV87" s="6">
        <f t="shared" si="54"/>
        <v>-469.37794310000004</v>
      </c>
      <c r="AW87" s="6">
        <f t="shared" si="54"/>
        <v>-479.37651900000003</v>
      </c>
      <c r="AX87" s="6">
        <f t="shared" si="54"/>
        <v>-489.51551199999994</v>
      </c>
      <c r="AY87" s="6">
        <f t="shared" si="54"/>
        <v>-499.78317930000003</v>
      </c>
      <c r="AZ87" s="6">
        <f t="shared" si="54"/>
        <v>-510.17687860000001</v>
      </c>
      <c r="BA87" s="6">
        <f t="shared" si="54"/>
        <v>-520.69547060000002</v>
      </c>
      <c r="BB87" s="6">
        <f t="shared" si="54"/>
        <v>-531.33809159999998</v>
      </c>
      <c r="BC87" s="6">
        <f t="shared" si="54"/>
        <v>-542.1040706</v>
      </c>
      <c r="BD87" s="6">
        <f t="shared" ref="BD87:BF87" si="55">BD89+BD90</f>
        <v>-552.9929836</v>
      </c>
      <c r="BE87" s="6">
        <f t="shared" si="55"/>
        <v>-564.0046936</v>
      </c>
      <c r="BF87" s="6">
        <f t="shared" si="55"/>
        <v>-575.13933860000009</v>
      </c>
    </row>
    <row r="88" spans="1:58" x14ac:dyDescent="0.35">
      <c r="B88" t="s">
        <v>33</v>
      </c>
      <c r="C88" s="6">
        <f>[1]Results!F1580</f>
        <v>40630.106370000001</v>
      </c>
      <c r="D88" s="6">
        <f>[1]Results!G1580</f>
        <v>40403.922400000003</v>
      </c>
      <c r="E88" s="6">
        <f>[1]Results!H1580</f>
        <v>40555.944929999998</v>
      </c>
      <c r="F88" s="6">
        <f>[1]Results!I1580</f>
        <v>40758.980490000002</v>
      </c>
      <c r="G88" s="6">
        <f>[1]Results!J1580</f>
        <v>41014.516799999998</v>
      </c>
      <c r="H88" s="6">
        <f>[1]Results!K1580</f>
        <v>41324.012170000002</v>
      </c>
      <c r="I88" s="6">
        <f>[1]Results!L1580</f>
        <v>41658.824679999998</v>
      </c>
      <c r="J88" s="6">
        <f>[1]Results!M1580</f>
        <v>42023.8249</v>
      </c>
      <c r="K88" s="6">
        <f>[1]Results!N1580</f>
        <v>42412.254849999998</v>
      </c>
      <c r="L88" s="6">
        <f>[1]Results!O1580</f>
        <v>42816.072059999999</v>
      </c>
      <c r="M88" s="6">
        <f>[1]Results!P1580</f>
        <v>43266.64587</v>
      </c>
      <c r="N88" s="6">
        <f>[1]Results!Q1580</f>
        <v>43695.413919999999</v>
      </c>
      <c r="O88" s="6">
        <f>[1]Results!R1580</f>
        <v>44119.11823</v>
      </c>
      <c r="P88" s="6">
        <f>[1]Results!S1580</f>
        <v>44538.965300000003</v>
      </c>
      <c r="Q88" s="6">
        <f>[1]Results!T1580</f>
        <v>44955.318460000002</v>
      </c>
      <c r="R88" s="6">
        <f>[1]Results!U1580</f>
        <v>45368.671159999998</v>
      </c>
      <c r="S88" s="6">
        <f>[1]Results!V1580</f>
        <v>45779.624100000001</v>
      </c>
      <c r="T88" s="6">
        <f>[1]Results!W1580</f>
        <v>46188.8537</v>
      </c>
      <c r="U88" s="6">
        <f>[1]Results!X1580</f>
        <v>46597.127540000001</v>
      </c>
      <c r="V88" s="6">
        <f>[1]Results!Y1580</f>
        <v>47005.323380000002</v>
      </c>
      <c r="W88" s="6">
        <f>[1]Results!Z1580</f>
        <v>47386.269950000002</v>
      </c>
      <c r="X88" s="6">
        <f>[1]Results!AA1580</f>
        <v>47787.874709999996</v>
      </c>
      <c r="Y88" s="6">
        <f>[1]Results!AB1580</f>
        <v>48196.590550000001</v>
      </c>
      <c r="Z88" s="6">
        <f>[1]Results!AC1580</f>
        <v>48611.491979999999</v>
      </c>
      <c r="AA88" s="6">
        <f>[1]Results!AD1580</f>
        <v>49033.113720000001</v>
      </c>
      <c r="AB88" s="6">
        <f>[1]Results!AE1580</f>
        <v>49382.159220000001</v>
      </c>
      <c r="AC88" s="6">
        <f>[1]Results!AF1580</f>
        <v>49754.772259999998</v>
      </c>
      <c r="AD88" s="6">
        <f>[1]Results!AG1580</f>
        <v>50134.630899999996</v>
      </c>
      <c r="AE88" s="6">
        <f>[1]Results!AH1580</f>
        <v>50521.730710000003</v>
      </c>
      <c r="AF88" s="6">
        <f>[1]Results!AI1580</f>
        <v>50917.339910000002</v>
      </c>
      <c r="AG88" s="6">
        <f>[1]Results!AJ1580</f>
        <v>51322.705759999997</v>
      </c>
      <c r="AH88" s="6">
        <f>[1]Results!AK1580</f>
        <v>51738.82602</v>
      </c>
      <c r="AI88" s="6">
        <f>[1]Results!AL1580</f>
        <v>52166.435010000001</v>
      </c>
      <c r="AJ88" s="6">
        <f>[1]Results!AM1580</f>
        <v>52606.011050000001</v>
      </c>
      <c r="AK88" s="6">
        <f>[1]Results!AN1580</f>
        <v>53057.805999999997</v>
      </c>
      <c r="AL88" s="6">
        <f>[1]Results!AO1580</f>
        <v>53521.882460000001</v>
      </c>
      <c r="AM88" s="6">
        <f>[1]Results!AP1580</f>
        <v>53979.315880000002</v>
      </c>
      <c r="AN88" s="6">
        <f>[1]Results!AQ1580</f>
        <v>54442.211329999998</v>
      </c>
      <c r="AO88" s="6">
        <f>[1]Results!AR1580</f>
        <v>54912.81093</v>
      </c>
      <c r="AP88" s="6">
        <f>[1]Results!AS1580</f>
        <v>55391.971619999997</v>
      </c>
      <c r="AQ88" s="6">
        <f>[1]Results!AT1580</f>
        <v>55880.128660000002</v>
      </c>
      <c r="AR88" s="6">
        <f>[1]Results!AU1580</f>
        <v>56377.51268</v>
      </c>
      <c r="AS88" s="6">
        <f>[1]Results!AV1580</f>
        <v>56884.219599999997</v>
      </c>
      <c r="AT88" s="6">
        <f>[1]Results!AW1580</f>
        <v>57400.245849999999</v>
      </c>
      <c r="AU88" s="6">
        <f>[1]Results!AX1580</f>
        <v>57925.514580000003</v>
      </c>
      <c r="AV88" s="6">
        <f>[1]Results!AY1580</f>
        <v>58459.981419999996</v>
      </c>
      <c r="AW88" s="6">
        <f>[1]Results!AZ1580</f>
        <v>59005.430939999998</v>
      </c>
      <c r="AX88" s="6">
        <f>[1]Results!BA1580</f>
        <v>59560.934020000001</v>
      </c>
      <c r="AY88" s="6">
        <f>[1]Results!BB1580</f>
        <v>60126.409019999999</v>
      </c>
      <c r="AZ88" s="6">
        <f>[1]Results!BC1580</f>
        <v>60701.835830000004</v>
      </c>
      <c r="BA88" s="6">
        <f>[1]Results!BD1580</f>
        <v>61287.186439999998</v>
      </c>
      <c r="BB88" s="6">
        <f>[1]Results!BE1580</f>
        <v>61882.43331</v>
      </c>
      <c r="BC88" s="6">
        <f>[1]Results!BF1580</f>
        <v>62487.567940000001</v>
      </c>
      <c r="BD88" s="6">
        <f>[1]Results!BG1580</f>
        <v>63102.615019999997</v>
      </c>
      <c r="BE88" s="6">
        <f>[1]Results!BH1580</f>
        <v>63727.639900000002</v>
      </c>
      <c r="BF88" s="6">
        <f>[1]Results!BI1580</f>
        <v>64362.750350000002</v>
      </c>
    </row>
    <row r="89" spans="1:58" x14ac:dyDescent="0.35">
      <c r="B89" t="s">
        <v>35</v>
      </c>
      <c r="C89" s="6">
        <f>[1]Results!F1577</f>
        <v>-613.16616929999998</v>
      </c>
      <c r="D89" s="6">
        <f>[1]Results!G1577</f>
        <v>-613.57324310000001</v>
      </c>
      <c r="E89" s="6">
        <f>[1]Results!H1577</f>
        <v>-606.09313480000003</v>
      </c>
      <c r="F89" s="6">
        <f>[1]Results!I1577</f>
        <v>-606.58828470000003</v>
      </c>
      <c r="G89" s="6">
        <f>[1]Results!J1577</f>
        <v>-609.49944300000004</v>
      </c>
      <c r="H89" s="6">
        <f>[1]Results!K1577</f>
        <v>-613.97187469999994</v>
      </c>
      <c r="I89" s="6">
        <f>[1]Results!L1577</f>
        <v>-619.57868389999999</v>
      </c>
      <c r="J89" s="6">
        <f>[1]Results!M1577</f>
        <v>-625.93009229999996</v>
      </c>
      <c r="K89" s="6">
        <f>[1]Results!N1577</f>
        <v>-632.94086870000001</v>
      </c>
      <c r="L89" s="6">
        <f>[1]Results!O1577</f>
        <v>-640.45949059999998</v>
      </c>
      <c r="M89" s="6">
        <f>[1]Results!P1577</f>
        <v>-648.56804030000001</v>
      </c>
      <c r="N89" s="6">
        <f>[1]Results!Q1577</f>
        <v>-657.182502</v>
      </c>
      <c r="O89" s="6">
        <f>[1]Results!R1577</f>
        <v>-665.75323739999999</v>
      </c>
      <c r="P89" s="6">
        <f>[1]Results!S1577</f>
        <v>-674.43116640000005</v>
      </c>
      <c r="Q89" s="6">
        <f>[1]Results!T1577</f>
        <v>-683.21548180000002</v>
      </c>
      <c r="R89" s="6">
        <f>[1]Results!U1577</f>
        <v>-692.08586620000005</v>
      </c>
      <c r="S89" s="6">
        <f>[1]Results!V1577</f>
        <v>-701.02539030000003</v>
      </c>
      <c r="T89" s="6">
        <f>[1]Results!W1577</f>
        <v>-710.02293299999997</v>
      </c>
      <c r="U89" s="6">
        <f>[1]Results!X1577</f>
        <v>-719.07217179999998</v>
      </c>
      <c r="V89" s="6">
        <f>[1]Results!Y1577</f>
        <v>-728.17032129999996</v>
      </c>
      <c r="W89" s="6">
        <f>[1]Results!Z1577</f>
        <v>-737.16081499999996</v>
      </c>
      <c r="X89" s="6">
        <f>[1]Results!AA1577</f>
        <v>-746.03978419999999</v>
      </c>
      <c r="Y89" s="6">
        <f>[1]Results!AB1577</f>
        <v>-755.16849839999998</v>
      </c>
      <c r="Z89" s="6">
        <f>[1]Results!AC1577</f>
        <v>-764.4010323</v>
      </c>
      <c r="AA89" s="6">
        <f>[1]Results!AD1577</f>
        <v>-773.71553019999999</v>
      </c>
      <c r="AB89" s="6">
        <f>[1]Results!AE1577</f>
        <v>-782.66084160000003</v>
      </c>
      <c r="AC89" s="6">
        <f>[1]Results!AF1577</f>
        <v>-791.01286249999998</v>
      </c>
      <c r="AD89" s="6">
        <f>[1]Results!AG1577</f>
        <v>-799.58616540000003</v>
      </c>
      <c r="AE89" s="6">
        <f>[1]Results!AH1577</f>
        <v>-808.21523260000004</v>
      </c>
      <c r="AF89" s="6">
        <f>[1]Results!AI1577</f>
        <v>-816.88873030000002</v>
      </c>
      <c r="AG89" s="6">
        <f>[1]Results!AJ1577</f>
        <v>-825.62233470000001</v>
      </c>
      <c r="AH89" s="6">
        <f>[1]Results!AK1577</f>
        <v>-834.4335638</v>
      </c>
      <c r="AI89" s="6">
        <f>[1]Results!AL1577</f>
        <v>-843.33693519999997</v>
      </c>
      <c r="AJ89" s="6">
        <f>[1]Results!AM1577</f>
        <v>-852.34341059999997</v>
      </c>
      <c r="AK89" s="6">
        <f>[1]Results!AN1577</f>
        <v>-861.46084089999999</v>
      </c>
      <c r="AL89" s="6">
        <f>[1]Results!AO1577</f>
        <v>-870.69461020000006</v>
      </c>
      <c r="AM89" s="6">
        <f>[1]Results!AP1577</f>
        <v>-879.93928600000004</v>
      </c>
      <c r="AN89" s="6">
        <f>[1]Results!AQ1577</f>
        <v>-889.08420239999998</v>
      </c>
      <c r="AO89" s="6">
        <f>[1]Results!AR1577</f>
        <v>-898.26667810000004</v>
      </c>
      <c r="AP89" s="6">
        <f>[1]Results!AS1577</f>
        <v>-907.51922809999996</v>
      </c>
      <c r="AQ89" s="6">
        <f>[1]Results!AT1577</f>
        <v>-916.85538610000003</v>
      </c>
      <c r="AR89" s="6">
        <f>[1]Results!AU1577</f>
        <v>-926.28495290000001</v>
      </c>
      <c r="AS89" s="6">
        <f>[1]Results!AV1577</f>
        <v>-935.81613919999995</v>
      </c>
      <c r="AT89" s="6">
        <f>[1]Results!AW1577</f>
        <v>-945.45560230000001</v>
      </c>
      <c r="AU89" s="6">
        <f>[1]Results!AX1577</f>
        <v>-955.20837879999999</v>
      </c>
      <c r="AV89" s="6">
        <f>[1]Results!AY1577</f>
        <v>-965.07799650000004</v>
      </c>
      <c r="AW89" s="6">
        <f>[1]Results!AZ1577</f>
        <v>-975.07657240000003</v>
      </c>
      <c r="AX89" s="6">
        <f>[1]Results!BA1577</f>
        <v>-985.21556539999995</v>
      </c>
      <c r="AY89" s="6">
        <f>[1]Results!BB1577</f>
        <v>-995.48323270000003</v>
      </c>
      <c r="AZ89" s="6">
        <f>[1]Results!BC1577</f>
        <v>-1005.876932</v>
      </c>
      <c r="BA89" s="6">
        <f>[1]Results!BD1577</f>
        <v>-1016.395524</v>
      </c>
      <c r="BB89" s="6">
        <f>[1]Results!BE1577</f>
        <v>-1027.038145</v>
      </c>
      <c r="BC89" s="6">
        <f>[1]Results!BF1577</f>
        <v>-1037.804124</v>
      </c>
      <c r="BD89" s="6">
        <f>[1]Results!BG1577</f>
        <v>-1048.693037</v>
      </c>
      <c r="BE89" s="6">
        <f>[1]Results!BH1577</f>
        <v>-1059.704747</v>
      </c>
      <c r="BF89" s="6">
        <f>[1]Results!BI1577</f>
        <v>-1070.8393920000001</v>
      </c>
    </row>
    <row r="90" spans="1:58" x14ac:dyDescent="0.35">
      <c r="B90" t="s">
        <v>34</v>
      </c>
      <c r="C90" s="6">
        <f>[1]Results!$F1579</f>
        <v>495.7000534</v>
      </c>
      <c r="D90" s="6">
        <f>[1]Results!$F1579</f>
        <v>495.7000534</v>
      </c>
      <c r="E90" s="6">
        <f>[1]Results!$F1579</f>
        <v>495.7000534</v>
      </c>
      <c r="F90" s="6">
        <f>[1]Results!$F1579</f>
        <v>495.7000534</v>
      </c>
      <c r="G90" s="6">
        <f>[1]Results!$F1579</f>
        <v>495.7000534</v>
      </c>
      <c r="H90" s="6">
        <f>[1]Results!$F1579</f>
        <v>495.7000534</v>
      </c>
      <c r="I90" s="6">
        <f>[1]Results!$F1579</f>
        <v>495.7000534</v>
      </c>
      <c r="J90" s="6">
        <f>[1]Results!$F1579</f>
        <v>495.7000534</v>
      </c>
      <c r="K90" s="6">
        <f>[1]Results!$F1579</f>
        <v>495.7000534</v>
      </c>
      <c r="L90" s="6">
        <f>[1]Results!$F1579</f>
        <v>495.7000534</v>
      </c>
      <c r="M90" s="6">
        <f>[1]Results!$F1579</f>
        <v>495.7000534</v>
      </c>
      <c r="N90" s="6">
        <f>[1]Results!$F1579</f>
        <v>495.7000534</v>
      </c>
      <c r="O90" s="6">
        <f>[1]Results!$F1579</f>
        <v>495.7000534</v>
      </c>
      <c r="P90" s="6">
        <f>[1]Results!$F1579</f>
        <v>495.7000534</v>
      </c>
      <c r="Q90" s="6">
        <f>[1]Results!$F1579</f>
        <v>495.7000534</v>
      </c>
      <c r="R90" s="6">
        <f>[1]Results!$F1579</f>
        <v>495.7000534</v>
      </c>
      <c r="S90" s="6">
        <f>[1]Results!$F1579</f>
        <v>495.7000534</v>
      </c>
      <c r="T90" s="6">
        <f>[1]Results!$F1579</f>
        <v>495.7000534</v>
      </c>
      <c r="U90" s="6">
        <f>[1]Results!$F1579</f>
        <v>495.7000534</v>
      </c>
      <c r="V90" s="6">
        <f>[1]Results!$F1579</f>
        <v>495.7000534</v>
      </c>
      <c r="W90" s="6">
        <f>[1]Results!$F1579</f>
        <v>495.7000534</v>
      </c>
      <c r="X90" s="6">
        <f>[1]Results!$F1579</f>
        <v>495.7000534</v>
      </c>
      <c r="Y90" s="6">
        <f>[1]Results!$F1579</f>
        <v>495.7000534</v>
      </c>
      <c r="Z90" s="6">
        <f>[1]Results!$F1579</f>
        <v>495.7000534</v>
      </c>
      <c r="AA90" s="6">
        <f>[1]Results!$F1579</f>
        <v>495.7000534</v>
      </c>
      <c r="AB90" s="6">
        <f>[1]Results!$F1579</f>
        <v>495.7000534</v>
      </c>
      <c r="AC90" s="6">
        <f>[1]Results!$F1579</f>
        <v>495.7000534</v>
      </c>
      <c r="AD90" s="6">
        <f>[1]Results!$F1579</f>
        <v>495.7000534</v>
      </c>
      <c r="AE90" s="6">
        <f>[1]Results!$F1579</f>
        <v>495.7000534</v>
      </c>
      <c r="AF90" s="6">
        <f>[1]Results!$F1579</f>
        <v>495.7000534</v>
      </c>
      <c r="AG90" s="6">
        <f>[1]Results!$F1579</f>
        <v>495.7000534</v>
      </c>
      <c r="AH90" s="6">
        <f>[1]Results!$F1579</f>
        <v>495.7000534</v>
      </c>
      <c r="AI90" s="6">
        <f>[1]Results!$F1579</f>
        <v>495.7000534</v>
      </c>
      <c r="AJ90" s="6">
        <f>[1]Results!$F1579</f>
        <v>495.7000534</v>
      </c>
      <c r="AK90" s="6">
        <f>[1]Results!$F1579</f>
        <v>495.7000534</v>
      </c>
      <c r="AL90" s="6">
        <f>[1]Results!$F1579</f>
        <v>495.7000534</v>
      </c>
      <c r="AM90" s="6">
        <f>[1]Results!$F1579</f>
        <v>495.7000534</v>
      </c>
      <c r="AN90" s="6">
        <f>[1]Results!$F1579</f>
        <v>495.7000534</v>
      </c>
      <c r="AO90" s="6">
        <f>[1]Results!$F1579</f>
        <v>495.7000534</v>
      </c>
      <c r="AP90" s="6">
        <f>[1]Results!$F1579</f>
        <v>495.7000534</v>
      </c>
      <c r="AQ90" s="6">
        <f>[1]Results!$F1579</f>
        <v>495.7000534</v>
      </c>
      <c r="AR90" s="6">
        <f>[1]Results!$F1579</f>
        <v>495.7000534</v>
      </c>
      <c r="AS90" s="6">
        <f>[1]Results!$F1579</f>
        <v>495.7000534</v>
      </c>
      <c r="AT90" s="6">
        <f>[1]Results!$F1579</f>
        <v>495.7000534</v>
      </c>
      <c r="AU90" s="6">
        <f>[1]Results!$F1579</f>
        <v>495.7000534</v>
      </c>
      <c r="AV90" s="6">
        <f>[1]Results!$F1579</f>
        <v>495.7000534</v>
      </c>
      <c r="AW90" s="6">
        <f>[1]Results!$F1579</f>
        <v>495.7000534</v>
      </c>
      <c r="AX90" s="6">
        <f>[1]Results!$F1579</f>
        <v>495.7000534</v>
      </c>
      <c r="AY90" s="6">
        <f>[1]Results!$F1579</f>
        <v>495.7000534</v>
      </c>
      <c r="AZ90" s="6">
        <f>[1]Results!$F1579</f>
        <v>495.7000534</v>
      </c>
      <c r="BA90" s="6">
        <f>[1]Results!$F1579</f>
        <v>495.7000534</v>
      </c>
      <c r="BB90" s="6">
        <f>[1]Results!$F1579</f>
        <v>495.7000534</v>
      </c>
      <c r="BC90" s="6">
        <f>[1]Results!$F1579</f>
        <v>495.7000534</v>
      </c>
      <c r="BD90" s="6">
        <f>[1]Results!$F1579</f>
        <v>495.7000534</v>
      </c>
      <c r="BE90" s="6">
        <f>[1]Results!$F1579</f>
        <v>495.7000534</v>
      </c>
      <c r="BF90" s="6">
        <f>[1]Results!$F1579</f>
        <v>495.7000534</v>
      </c>
    </row>
    <row r="91" spans="1:58" x14ac:dyDescent="0.35">
      <c r="B91" t="s">
        <v>37</v>
      </c>
      <c r="C91" s="6">
        <f>[1]Results!F1575</f>
        <v>-2029.2272129999999</v>
      </c>
      <c r="D91" s="6">
        <f>[1]Results!G1575</f>
        <v>-2092.3121169999999</v>
      </c>
      <c r="E91" s="6">
        <f>[1]Results!H1575</f>
        <v>-2011.161347</v>
      </c>
      <c r="F91" s="6">
        <f>[1]Results!I1575</f>
        <v>-2002.8248759999999</v>
      </c>
      <c r="G91" s="6">
        <f>[1]Results!J1575</f>
        <v>-2011.385241</v>
      </c>
      <c r="H91" s="6">
        <f>[1]Results!K1575</f>
        <v>-2026.8886070000001</v>
      </c>
      <c r="I91" s="6">
        <f>[1]Results!L1575</f>
        <v>-2048.0105060000001</v>
      </c>
      <c r="J91" s="6">
        <f>[1]Results!M1575</f>
        <v>-2070.7908539999999</v>
      </c>
      <c r="K91" s="6">
        <f>[1]Results!N1575</f>
        <v>-2095.6679039999999</v>
      </c>
      <c r="L91" s="6">
        <f>[1]Results!O1575</f>
        <v>-2122.2183799999998</v>
      </c>
      <c r="M91" s="6">
        <f>[1]Results!P1575</f>
        <v>-2148.465698</v>
      </c>
      <c r="N91" s="6">
        <f>[1]Results!Q1575</f>
        <v>-2180.5233509999998</v>
      </c>
      <c r="O91" s="6">
        <f>[1]Results!R1575</f>
        <v>-2210.7591010000001</v>
      </c>
      <c r="P91" s="6">
        <f>[1]Results!S1575</f>
        <v>-2240.8508969999998</v>
      </c>
      <c r="Q91" s="6">
        <f>[1]Results!T1575</f>
        <v>-2271.0768240000002</v>
      </c>
      <c r="R91" s="6">
        <f>[1]Results!U1575</f>
        <v>-2301.438564</v>
      </c>
      <c r="S91" s="6">
        <f>[1]Results!V1575</f>
        <v>-2331.9132669999999</v>
      </c>
      <c r="T91" s="6">
        <f>[1]Results!W1575</f>
        <v>-2362.4928239999999</v>
      </c>
      <c r="U91" s="6">
        <f>[1]Results!X1575</f>
        <v>-2393.183004</v>
      </c>
      <c r="V91" s="6">
        <f>[1]Results!Y1575</f>
        <v>-2423.9983269999998</v>
      </c>
      <c r="W91" s="6">
        <f>[1]Results!Z1575</f>
        <v>-2456.036807</v>
      </c>
      <c r="X91" s="6">
        <f>[1]Results!AA1575</f>
        <v>-2484.5973720000002</v>
      </c>
      <c r="Y91" s="6">
        <f>[1]Results!AB1575</f>
        <v>-2515.1934849999998</v>
      </c>
      <c r="Z91" s="6">
        <f>[1]Results!AC1575</f>
        <v>-2546.442211</v>
      </c>
      <c r="AA91" s="6">
        <f>[1]Results!AD1575</f>
        <v>-2578.0547449999999</v>
      </c>
      <c r="AB91" s="6">
        <f>[1]Results!AE1575</f>
        <v>-2613.0887189999999</v>
      </c>
      <c r="AC91" s="6">
        <f>[1]Results!AF1575</f>
        <v>-2639.4318410000001</v>
      </c>
      <c r="AD91" s="6">
        <f>[1]Results!AG1575</f>
        <v>-2667.9595899999999</v>
      </c>
      <c r="AE91" s="6">
        <f>[1]Results!AH1575</f>
        <v>-2697.1023650000002</v>
      </c>
      <c r="AF91" s="6">
        <f>[1]Results!AI1575</f>
        <v>-2726.5569639999999</v>
      </c>
      <c r="AG91" s="6">
        <f>[1]Results!AJ1575</f>
        <v>-2756.3177620000001</v>
      </c>
      <c r="AH91" s="6">
        <f>[1]Results!AK1575</f>
        <v>-2786.4315160000001</v>
      </c>
      <c r="AI91" s="6">
        <f>[1]Results!AL1575</f>
        <v>-2816.9452759999999</v>
      </c>
      <c r="AJ91" s="6">
        <f>[1]Results!AM1575</f>
        <v>-2847.8887199999999</v>
      </c>
      <c r="AK91" s="6">
        <f>[1]Results!AN1575</f>
        <v>-2879.2807120000002</v>
      </c>
      <c r="AL91" s="6">
        <f>[1]Results!AO1575</f>
        <v>-2911.1317730000001</v>
      </c>
      <c r="AM91" s="6">
        <f>[1]Results!AP1575</f>
        <v>-2944.1887980000001</v>
      </c>
      <c r="AN91" s="6">
        <f>[1]Results!AQ1575</f>
        <v>-2975.9320750000002</v>
      </c>
      <c r="AO91" s="6">
        <f>[1]Results!AR1575</f>
        <v>-3007.6315370000002</v>
      </c>
      <c r="AP91" s="6">
        <f>[1]Results!AS1575</f>
        <v>-3039.5813819999998</v>
      </c>
      <c r="AQ91" s="6">
        <f>[1]Results!AT1575</f>
        <v>-3071.8602729999998</v>
      </c>
      <c r="AR91" s="6">
        <f>[1]Results!AU1575</f>
        <v>-3104.5035419999999</v>
      </c>
      <c r="AS91" s="6">
        <f>[1]Results!AV1575</f>
        <v>-3137.5361939999998</v>
      </c>
      <c r="AT91" s="6">
        <f>[1]Results!AW1575</f>
        <v>-3170.9776109999998</v>
      </c>
      <c r="AU91" s="6">
        <f>[1]Results!AX1575</f>
        <v>-3204.8416240000001</v>
      </c>
      <c r="AV91" s="6">
        <f>[1]Results!AY1575</f>
        <v>-3239.1346199999998</v>
      </c>
      <c r="AW91" s="6">
        <f>[1]Results!AZ1575</f>
        <v>-3273.788865</v>
      </c>
      <c r="AX91" s="6">
        <f>[1]Results!BA1575</f>
        <v>-3309.0307910000001</v>
      </c>
      <c r="AY91" s="6">
        <f>[1]Results!BB1575</f>
        <v>-3344.744201</v>
      </c>
      <c r="AZ91" s="6">
        <f>[1]Results!BC1575</f>
        <v>-3380.9015850000001</v>
      </c>
      <c r="BA91" s="6">
        <f>[1]Results!BD1575</f>
        <v>-3417.4945189999999</v>
      </c>
      <c r="BB91" s="6">
        <f>[1]Results!BE1575</f>
        <v>-3454.5182570000002</v>
      </c>
      <c r="BC91" s="6">
        <f>[1]Results!BF1575</f>
        <v>-3491.9692209999998</v>
      </c>
      <c r="BD91" s="6">
        <f>[1]Results!BG1575</f>
        <v>-3529.8449930000002</v>
      </c>
      <c r="BE91" s="6">
        <f>[1]Results!BH1575</f>
        <v>-3568.1445410000001</v>
      </c>
      <c r="BF91" s="6">
        <f>[1]Results!BI1575</f>
        <v>-3606.8682669999998</v>
      </c>
    </row>
    <row r="93" spans="1:58" x14ac:dyDescent="0.35">
      <c r="A93" t="s">
        <v>39</v>
      </c>
      <c r="B93" t="s">
        <v>13</v>
      </c>
      <c r="C93" s="6">
        <f>[1]Results!F1512</f>
        <v>1966899.7660000001</v>
      </c>
      <c r="D93" s="6">
        <f>[1]Results!G1512</f>
        <v>1956553.2609999999</v>
      </c>
      <c r="E93" s="6">
        <f>[1]Results!H1512</f>
        <v>1976141.922</v>
      </c>
      <c r="F93" s="6">
        <f>[1]Results!I1512</f>
        <v>1997870.7830000001</v>
      </c>
      <c r="G93" s="6">
        <f>[1]Results!J1512</f>
        <v>2022212.0519999999</v>
      </c>
      <c r="H93" s="6">
        <f>[1]Results!K1512</f>
        <v>2048888.9240000001</v>
      </c>
      <c r="I93" s="6">
        <f>[1]Results!L1512</f>
        <v>2076111.3559999999</v>
      </c>
      <c r="J93" s="6">
        <f>[1]Results!M1512</f>
        <v>2104684.1260000002</v>
      </c>
      <c r="K93" s="6">
        <f>[1]Results!N1512</f>
        <v>2134425.574</v>
      </c>
      <c r="L93" s="6">
        <f>[1]Results!O1512</f>
        <v>2165181.2039999999</v>
      </c>
      <c r="M93" s="6">
        <f>[1]Results!P1512</f>
        <v>2199284.52</v>
      </c>
      <c r="N93" s="6">
        <f>[1]Results!Q1512</f>
        <v>2232125.7510000002</v>
      </c>
      <c r="O93" s="6">
        <f>[1]Results!R1512</f>
        <v>2265486.642</v>
      </c>
      <c r="P93" s="6">
        <f>[1]Results!S1512</f>
        <v>2299287.409</v>
      </c>
      <c r="Q93" s="6">
        <f>[1]Results!T1512</f>
        <v>2333488.6009999998</v>
      </c>
      <c r="R93" s="6">
        <f>[1]Results!U1512</f>
        <v>2368073.497</v>
      </c>
      <c r="S93" s="6">
        <f>[1]Results!V1512</f>
        <v>2402891.733</v>
      </c>
      <c r="T93" s="6">
        <f>[1]Results!W1512</f>
        <v>2438084.6320000002</v>
      </c>
      <c r="U93" s="6">
        <f>[1]Results!X1512</f>
        <v>2473671.48</v>
      </c>
      <c r="V93" s="6">
        <f>[1]Results!Y1512</f>
        <v>2509677.2769999998</v>
      </c>
      <c r="W93" s="6">
        <f>[1]Results!Z1512</f>
        <v>2544303.9950000001</v>
      </c>
      <c r="X93" s="6">
        <f>[1]Results!AA1512</f>
        <v>2580774.6039999998</v>
      </c>
      <c r="Y93" s="6">
        <f>[1]Results!AB1512</f>
        <v>2617822.21</v>
      </c>
      <c r="Z93" s="6">
        <f>[1]Results!AC1512</f>
        <v>2655471.0410000002</v>
      </c>
      <c r="AA93" s="6">
        <f>[1]Results!AD1512</f>
        <v>2693731.16</v>
      </c>
      <c r="AB93" s="6">
        <f>[1]Results!AE1512</f>
        <v>2727362.1579999998</v>
      </c>
      <c r="AC93" s="6">
        <f>[1]Results!AF1512</f>
        <v>2763130.5649999999</v>
      </c>
      <c r="AD93" s="6">
        <f>[1]Results!AG1512</f>
        <v>2799126.9240000001</v>
      </c>
      <c r="AE93" s="6">
        <f>[1]Results!AH1512</f>
        <v>2835472.7940000002</v>
      </c>
      <c r="AF93" s="6">
        <f>[1]Results!AI1512</f>
        <v>2872257.1779999998</v>
      </c>
      <c r="AG93" s="6">
        <f>[1]Results!AJ1512</f>
        <v>2909548.0690000001</v>
      </c>
      <c r="AH93" s="6">
        <f>[1]Results!AK1512</f>
        <v>2947427.861</v>
      </c>
      <c r="AI93" s="6">
        <f>[1]Results!AL1512</f>
        <v>2985899.6290000002</v>
      </c>
      <c r="AJ93" s="6">
        <f>[1]Results!AM1512</f>
        <v>3024981.3360000001</v>
      </c>
      <c r="AK93" s="6">
        <f>[1]Results!AN1512</f>
        <v>3064680.8160000001</v>
      </c>
      <c r="AL93" s="6">
        <f>[1]Results!AO1512</f>
        <v>3104999.9070000001</v>
      </c>
      <c r="AM93" s="6">
        <f>[1]Results!AP1512</f>
        <v>3144973.662</v>
      </c>
      <c r="AN93" s="6">
        <f>[1]Results!AQ1512</f>
        <v>3185277.6869999999</v>
      </c>
      <c r="AO93" s="6">
        <f>[1]Results!AR1512</f>
        <v>3225960.3169999998</v>
      </c>
      <c r="AP93" s="6">
        <f>[1]Results!AS1512</f>
        <v>3267067.1170000001</v>
      </c>
      <c r="AQ93" s="6">
        <f>[1]Results!AT1512</f>
        <v>3308639.06</v>
      </c>
      <c r="AR93" s="6">
        <f>[1]Results!AU1512</f>
        <v>3350758.7779999999</v>
      </c>
      <c r="AS93" s="6">
        <f>[1]Results!AV1512</f>
        <v>3393413.8560000001</v>
      </c>
      <c r="AT93" s="6">
        <f>[1]Results!AW1512</f>
        <v>3436624.0159999998</v>
      </c>
      <c r="AU93" s="6">
        <f>[1]Results!AX1512</f>
        <v>3480401.852</v>
      </c>
      <c r="AV93" s="6">
        <f>[1]Results!AY1512</f>
        <v>3524755.2749999999</v>
      </c>
      <c r="AW93" s="6">
        <f>[1]Results!AZ1512</f>
        <v>3569965.3029999998</v>
      </c>
      <c r="AX93" s="6">
        <f>[1]Results!BA1512</f>
        <v>3615815.2719999999</v>
      </c>
      <c r="AY93" s="6">
        <f>[1]Results!BB1512</f>
        <v>3662299.5260000001</v>
      </c>
      <c r="AZ93" s="6">
        <f>[1]Results!BC1512</f>
        <v>3709409.5070000002</v>
      </c>
      <c r="BA93" s="6">
        <f>[1]Results!BD1512</f>
        <v>3757138.773</v>
      </c>
      <c r="BB93" s="6">
        <f>[1]Results!BE1512</f>
        <v>3805585.8620000002</v>
      </c>
      <c r="BC93" s="6">
        <f>[1]Results!BF1512</f>
        <v>3854665.4679999999</v>
      </c>
      <c r="BD93" s="6">
        <f>[1]Results!BG1512</f>
        <v>3904377.929</v>
      </c>
      <c r="BE93" s="6">
        <f>[1]Results!BH1512</f>
        <v>3954724.202</v>
      </c>
      <c r="BF93" s="6">
        <f>[1]Results!BI1512</f>
        <v>4005707.8309999998</v>
      </c>
    </row>
    <row r="94" spans="1:58" x14ac:dyDescent="0.35">
      <c r="B94" t="s">
        <v>7</v>
      </c>
      <c r="C94" s="6">
        <f>[1]Results!F1513</f>
        <v>36075.172359999997</v>
      </c>
      <c r="D94" s="6">
        <f>[1]Results!G1513</f>
        <v>35472.31609</v>
      </c>
      <c r="E94" s="6">
        <f>[1]Results!H1513</f>
        <v>35632.103360000001</v>
      </c>
      <c r="F94" s="6">
        <f>[1]Results!I1513</f>
        <v>35828.373540000001</v>
      </c>
      <c r="G94" s="6">
        <f>[1]Results!J1513</f>
        <v>36092.27115</v>
      </c>
      <c r="H94" s="6">
        <f>[1]Results!K1513</f>
        <v>36420.574059999999</v>
      </c>
      <c r="I94" s="6">
        <f>[1]Results!L1513</f>
        <v>36779.23302</v>
      </c>
      <c r="J94" s="6">
        <f>[1]Results!M1513</f>
        <v>37175.941559999999</v>
      </c>
      <c r="K94" s="6">
        <f>[1]Results!N1513</f>
        <v>37604.32804</v>
      </c>
      <c r="L94" s="6">
        <f>[1]Results!O1513</f>
        <v>38058.769339999999</v>
      </c>
      <c r="M94" s="6">
        <f>[1]Results!P1513</f>
        <v>38574.403760000001</v>
      </c>
      <c r="N94" s="6">
        <f>[1]Results!Q1513</f>
        <v>39075.248420000004</v>
      </c>
      <c r="O94" s="6">
        <f>[1]Results!R1513</f>
        <v>39586.516989999996</v>
      </c>
      <c r="P94" s="6">
        <f>[1]Results!S1513</f>
        <v>40105.50419</v>
      </c>
      <c r="Q94" s="6">
        <f>[1]Results!T1513</f>
        <v>40630.564729999998</v>
      </c>
      <c r="R94" s="6">
        <f>[1]Results!U1513</f>
        <v>41160.77173</v>
      </c>
      <c r="S94" s="6">
        <f>[1]Results!V1513</f>
        <v>41691.803370000001</v>
      </c>
      <c r="T94" s="6">
        <f>[1]Results!W1513</f>
        <v>42227.022470000004</v>
      </c>
      <c r="U94" s="6">
        <f>[1]Results!X1513</f>
        <v>42766.531640000001</v>
      </c>
      <c r="V94" s="6">
        <f>[1]Results!Y1513</f>
        <v>43310.682460000004</v>
      </c>
      <c r="W94" s="6">
        <f>[1]Results!Z1513</f>
        <v>43830.662759999999</v>
      </c>
      <c r="X94" s="6">
        <f>[1]Results!AA1513</f>
        <v>44376.335279999999</v>
      </c>
      <c r="Y94" s="6">
        <f>[1]Results!AB1513</f>
        <v>44929.856670000001</v>
      </c>
      <c r="Z94" s="6">
        <f>[1]Results!AC1513</f>
        <v>45491.660889999999</v>
      </c>
      <c r="AA94" s="6">
        <f>[1]Results!AD1513</f>
        <v>46061.943169999999</v>
      </c>
      <c r="AB94" s="6">
        <f>[1]Results!AE1513</f>
        <v>46557.295259999999</v>
      </c>
      <c r="AC94" s="6">
        <f>[1]Results!AF1513</f>
        <v>47080.682540000002</v>
      </c>
      <c r="AD94" s="6">
        <f>[1]Results!AG1513</f>
        <v>47605.627800000002</v>
      </c>
      <c r="AE94" s="6">
        <f>[1]Results!AH1513</f>
        <v>48134.800770000002</v>
      </c>
      <c r="AF94" s="6">
        <f>[1]Results!AI1513</f>
        <v>48670.242910000001</v>
      </c>
      <c r="AG94" s="6">
        <f>[1]Results!AJ1513</f>
        <v>49213.488109999998</v>
      </c>
      <c r="AH94" s="6">
        <f>[1]Results!AK1513</f>
        <v>49766.498119999997</v>
      </c>
      <c r="AI94" s="6">
        <f>[1]Results!AL1513</f>
        <v>50329.217969999998</v>
      </c>
      <c r="AJ94" s="6">
        <f>[1]Results!AM1513</f>
        <v>50902.061909999997</v>
      </c>
      <c r="AK94" s="6">
        <f>[1]Results!AN1513</f>
        <v>51485.208879999998</v>
      </c>
      <c r="AL94" s="6">
        <f>[1]Results!AO1513</f>
        <v>52078.704530000003</v>
      </c>
      <c r="AM94" s="6">
        <f>[1]Results!AP1513</f>
        <v>52670.455730000001</v>
      </c>
      <c r="AN94" s="6">
        <f>[1]Results!AQ1513</f>
        <v>53267.0167</v>
      </c>
      <c r="AO94" s="6">
        <f>[1]Results!AR1513</f>
        <v>53869.568509999997</v>
      </c>
      <c r="AP94" s="6">
        <f>[1]Results!AS1513</f>
        <v>54479.072359999998</v>
      </c>
      <c r="AQ94" s="6">
        <f>[1]Results!AT1513</f>
        <v>55096.383289999998</v>
      </c>
      <c r="AR94" s="6">
        <f>[1]Results!AU1513</f>
        <v>55723.462679999997</v>
      </c>
      <c r="AS94" s="6">
        <f>[1]Results!AV1513</f>
        <v>56359.80833</v>
      </c>
      <c r="AT94" s="6">
        <f>[1]Results!AW1513</f>
        <v>57005.81725</v>
      </c>
      <c r="AU94" s="6">
        <f>[1]Results!AX1513</f>
        <v>57661.707920000001</v>
      </c>
      <c r="AV94" s="6">
        <f>[1]Results!AY1513</f>
        <v>58327.592199999999</v>
      </c>
      <c r="AW94" s="6">
        <f>[1]Results!AZ1513</f>
        <v>59009.497080000001</v>
      </c>
      <c r="AX94" s="6">
        <f>[1]Results!BA1513</f>
        <v>59702.644699999997</v>
      </c>
      <c r="AY94" s="6">
        <f>[1]Results!BB1513</f>
        <v>60406.890939999997</v>
      </c>
      <c r="AZ94" s="6">
        <f>[1]Results!BC1513</f>
        <v>61121.955929999996</v>
      </c>
      <c r="BA94" s="6">
        <f>[1]Results!BD1513</f>
        <v>61847.591780000002</v>
      </c>
      <c r="BB94" s="6">
        <f>[1]Results!BE1513</f>
        <v>62586.25662</v>
      </c>
      <c r="BC94" s="6">
        <f>[1]Results!BF1513</f>
        <v>63335.595179999997</v>
      </c>
      <c r="BD94" s="6">
        <f>[1]Results!BG1513</f>
        <v>64095.543680000002</v>
      </c>
      <c r="BE94" s="6">
        <f>[1]Results!BH1513</f>
        <v>64866.00765</v>
      </c>
      <c r="BF94" s="6">
        <f>[1]Results!BI1513</f>
        <v>65646.943350000001</v>
      </c>
    </row>
    <row r="95" spans="1:58" x14ac:dyDescent="0.35">
      <c r="B95" t="s">
        <v>30</v>
      </c>
      <c r="C95" s="6">
        <f>[1]Results!F1516</f>
        <v>331507.98979999998</v>
      </c>
      <c r="D95" s="6">
        <f>[1]Results!G1516</f>
        <v>325944.49459999998</v>
      </c>
      <c r="E95" s="6">
        <f>[1]Results!H1516</f>
        <v>330331.1949</v>
      </c>
      <c r="F95" s="6">
        <f>[1]Results!I1516</f>
        <v>334233.11780000001</v>
      </c>
      <c r="G95" s="6">
        <f>[1]Results!J1516</f>
        <v>338408.62689999997</v>
      </c>
      <c r="H95" s="6">
        <f>[1]Results!K1516</f>
        <v>342886.58689999999</v>
      </c>
      <c r="I95" s="6">
        <f>[1]Results!L1516</f>
        <v>347375.64919999999</v>
      </c>
      <c r="J95" s="6">
        <f>[1]Results!M1516</f>
        <v>352041.69569999998</v>
      </c>
      <c r="K95" s="6">
        <f>[1]Results!N1516</f>
        <v>356852.00880000001</v>
      </c>
      <c r="L95" s="6">
        <f>[1]Results!O1516</f>
        <v>361790.80129999999</v>
      </c>
      <c r="M95" s="6">
        <f>[1]Results!P1516</f>
        <v>367254.82059999998</v>
      </c>
      <c r="N95" s="6">
        <f>[1]Results!Q1516</f>
        <v>372442.77679999999</v>
      </c>
      <c r="O95" s="6">
        <f>[1]Results!R1516</f>
        <v>377735.47200000001</v>
      </c>
      <c r="P95" s="6">
        <f>[1]Results!S1516</f>
        <v>383103.70890000003</v>
      </c>
      <c r="Q95" s="6">
        <f>[1]Results!T1516</f>
        <v>388543.60560000001</v>
      </c>
      <c r="R95" s="6">
        <f>[1]Results!U1516</f>
        <v>394056.92170000001</v>
      </c>
      <c r="S95" s="6">
        <f>[1]Results!V1516</f>
        <v>399605.28389999998</v>
      </c>
      <c r="T95" s="6">
        <f>[1]Results!W1516</f>
        <v>405238.79350000003</v>
      </c>
      <c r="U95" s="6">
        <f>[1]Results!X1516</f>
        <v>410960.06050000002</v>
      </c>
      <c r="V95" s="6">
        <f>[1]Results!Y1516</f>
        <v>416775.65139999997</v>
      </c>
      <c r="W95" s="6">
        <f>[1]Results!Z1516</f>
        <v>422393.48019999999</v>
      </c>
      <c r="X95" s="6">
        <f>[1]Results!AA1516</f>
        <v>428364.98820000002</v>
      </c>
      <c r="Y95" s="6">
        <f>[1]Results!AB1516</f>
        <v>434444.07770000002</v>
      </c>
      <c r="Z95" s="6">
        <f>[1]Results!AC1516</f>
        <v>440649.39319999999</v>
      </c>
      <c r="AA95" s="6">
        <f>[1]Results!AD1516</f>
        <v>446985.1936</v>
      </c>
      <c r="AB95" s="6">
        <f>[1]Results!AE1516</f>
        <v>452597.78940000001</v>
      </c>
      <c r="AC95" s="6">
        <f>[1]Results!AF1516</f>
        <v>458656.58390000003</v>
      </c>
      <c r="AD95" s="6">
        <f>[1]Results!AG1516</f>
        <v>464756.40350000001</v>
      </c>
      <c r="AE95" s="6">
        <f>[1]Results!AH1516</f>
        <v>470932.13319999998</v>
      </c>
      <c r="AF95" s="6">
        <f>[1]Results!AI1516</f>
        <v>477196.80420000001</v>
      </c>
      <c r="AG95" s="6">
        <f>[1]Results!AJ1516</f>
        <v>483558.06040000002</v>
      </c>
      <c r="AH95" s="6">
        <f>[1]Results!AK1516</f>
        <v>490030.10279999999</v>
      </c>
      <c r="AI95" s="6">
        <f>[1]Results!AL1516</f>
        <v>496605.39769999997</v>
      </c>
      <c r="AJ95" s="6">
        <f>[1]Results!AM1516</f>
        <v>503285.09240000002</v>
      </c>
      <c r="AK95" s="6">
        <f>[1]Results!AN1516</f>
        <v>510068.0907</v>
      </c>
      <c r="AL95" s="6">
        <f>[1]Results!AO1516</f>
        <v>516952.348</v>
      </c>
      <c r="AM95" s="6">
        <f>[1]Results!AP1516</f>
        <v>523814.9792</v>
      </c>
      <c r="AN95" s="6">
        <f>[1]Results!AQ1516</f>
        <v>530730.96950000001</v>
      </c>
      <c r="AO95" s="6">
        <f>[1]Results!AR1516</f>
        <v>537701.7328</v>
      </c>
      <c r="AP95" s="6">
        <f>[1]Results!AS1516</f>
        <v>544730.68790000002</v>
      </c>
      <c r="AQ95" s="6">
        <f>[1]Results!AT1516</f>
        <v>551821.34290000005</v>
      </c>
      <c r="AR95" s="6">
        <f>[1]Results!AU1516</f>
        <v>558990.27989999996</v>
      </c>
      <c r="AS95" s="6">
        <f>[1]Results!AV1516</f>
        <v>566226.22050000005</v>
      </c>
      <c r="AT95" s="6">
        <f>[1]Results!AW1516</f>
        <v>573531.97270000004</v>
      </c>
      <c r="AU95" s="6">
        <f>[1]Results!AX1516</f>
        <v>580908.51980000001</v>
      </c>
      <c r="AV95" s="6">
        <f>[1]Results!AY1516</f>
        <v>588356.29099999997</v>
      </c>
      <c r="AW95" s="6">
        <f>[1]Results!AZ1516</f>
        <v>595939.80689999997</v>
      </c>
      <c r="AX95" s="6">
        <f>[1]Results!BA1516</f>
        <v>603598.16799999995</v>
      </c>
      <c r="AY95" s="6">
        <f>[1]Results!BB1516</f>
        <v>611335.48540000001</v>
      </c>
      <c r="AZ95" s="6">
        <f>[1]Results!BC1516</f>
        <v>619151.17200000002</v>
      </c>
      <c r="BA95" s="6">
        <f>[1]Results!BD1516</f>
        <v>627044.60100000002</v>
      </c>
      <c r="BB95" s="6">
        <f>[1]Results!BE1516</f>
        <v>635044.51769999997</v>
      </c>
      <c r="BC95" s="6">
        <f>[1]Results!BF1516</f>
        <v>643122.45940000005</v>
      </c>
      <c r="BD95" s="6">
        <f>[1]Results!BG1516</f>
        <v>651281.7132</v>
      </c>
      <c r="BE95" s="6">
        <f>[1]Results!BH1516</f>
        <v>659523.47809999995</v>
      </c>
      <c r="BF95" s="6">
        <f>[1]Results!BI1516</f>
        <v>667849.17310000001</v>
      </c>
    </row>
    <row r="96" spans="1:58" x14ac:dyDescent="0.35">
      <c r="B96" t="s">
        <v>9</v>
      </c>
      <c r="C96" s="6">
        <f>[1]Results!F1528</f>
        <v>48478.047610000001</v>
      </c>
      <c r="D96" s="6">
        <f>[1]Results!G1528</f>
        <v>47731.57879</v>
      </c>
      <c r="E96" s="6">
        <f>[1]Results!H1528</f>
        <v>48283.38639</v>
      </c>
      <c r="F96" s="6">
        <f>[1]Results!I1528</f>
        <v>48787.80242</v>
      </c>
      <c r="G96" s="6">
        <f>[1]Results!J1528</f>
        <v>49342.854930000001</v>
      </c>
      <c r="H96" s="6">
        <f>[1]Results!K1528</f>
        <v>49953.256990000002</v>
      </c>
      <c r="I96" s="6">
        <f>[1]Results!L1528</f>
        <v>50575.445849999996</v>
      </c>
      <c r="J96" s="6">
        <f>[1]Results!M1528</f>
        <v>51232.487410000002</v>
      </c>
      <c r="K96" s="6">
        <f>[1]Results!N1528</f>
        <v>51917.15092</v>
      </c>
      <c r="L96" s="6">
        <f>[1]Results!O1528</f>
        <v>52624.229370000001</v>
      </c>
      <c r="M96" s="6">
        <f>[1]Results!P1528</f>
        <v>53410.644950000002</v>
      </c>
      <c r="N96" s="6">
        <f>[1]Results!Q1528</f>
        <v>54154.118600000002</v>
      </c>
      <c r="O96" s="6">
        <f>[1]Results!R1528</f>
        <v>54908.92843</v>
      </c>
      <c r="P96" s="6">
        <f>[1]Results!S1528</f>
        <v>55670.042390000002</v>
      </c>
      <c r="Q96" s="6">
        <f>[1]Results!T1528</f>
        <v>56435.916129999998</v>
      </c>
      <c r="R96" s="6">
        <f>[1]Results!U1528</f>
        <v>57206.058340000003</v>
      </c>
      <c r="S96" s="6">
        <f>[1]Results!V1528</f>
        <v>57974.831810000003</v>
      </c>
      <c r="T96" s="6">
        <f>[1]Results!W1528</f>
        <v>58748.564039999997</v>
      </c>
      <c r="U96" s="6">
        <f>[1]Results!X1528</f>
        <v>59527.497020000003</v>
      </c>
      <c r="V96" s="6">
        <f>[1]Results!Y1528</f>
        <v>60312.467559999997</v>
      </c>
      <c r="W96" s="6">
        <f>[1]Results!Z1528</f>
        <v>61059.321989999997</v>
      </c>
      <c r="X96" s="6">
        <f>[1]Results!AA1528</f>
        <v>61851.797749999998</v>
      </c>
      <c r="Y96" s="6">
        <f>[1]Results!AB1528</f>
        <v>62653.152300000002</v>
      </c>
      <c r="Z96" s="6">
        <f>[1]Results!AC1528</f>
        <v>63465.939879999998</v>
      </c>
      <c r="AA96" s="6">
        <f>[1]Results!AD1528</f>
        <v>64290.970300000001</v>
      </c>
      <c r="AB96" s="6">
        <f>[1]Results!AE1528</f>
        <v>64999.443189999998</v>
      </c>
      <c r="AC96" s="6">
        <f>[1]Results!AF1528</f>
        <v>65769.642569999996</v>
      </c>
      <c r="AD96" s="6">
        <f>[1]Results!AG1528</f>
        <v>66542.452619999996</v>
      </c>
      <c r="AE96" s="6">
        <f>[1]Results!AH1528</f>
        <v>67323.283739999999</v>
      </c>
      <c r="AF96" s="6">
        <f>[1]Results!AI1528</f>
        <v>68114.803119999997</v>
      </c>
      <c r="AG96" s="6">
        <f>[1]Results!AJ1528</f>
        <v>68918.838780000005</v>
      </c>
      <c r="AH96" s="6">
        <f>[1]Results!AK1528</f>
        <v>69737.941080000004</v>
      </c>
      <c r="AI96" s="6">
        <f>[1]Results!AL1528</f>
        <v>70571.633360000007</v>
      </c>
      <c r="AJ96" s="6">
        <f>[1]Results!AM1528</f>
        <v>71420.47279</v>
      </c>
      <c r="AK96" s="6">
        <f>[1]Results!AN1528</f>
        <v>72284.656359999994</v>
      </c>
      <c r="AL96" s="6">
        <f>[1]Results!AO1528</f>
        <v>73164.205010000005</v>
      </c>
      <c r="AM96" s="6">
        <f>[1]Results!AP1528</f>
        <v>74039.384680000003</v>
      </c>
      <c r="AN96" s="6">
        <f>[1]Results!AQ1528</f>
        <v>74923.932029999996</v>
      </c>
      <c r="AO96" s="6">
        <f>[1]Results!AR1528</f>
        <v>75818.609930000006</v>
      </c>
      <c r="AP96" s="6">
        <f>[1]Results!AS1528</f>
        <v>76724.367410000006</v>
      </c>
      <c r="AQ96" s="6">
        <f>[1]Results!AT1528</f>
        <v>77642.097869999998</v>
      </c>
      <c r="AR96" s="6">
        <f>[1]Results!AU1528</f>
        <v>78574.365399999995</v>
      </c>
      <c r="AS96" s="6">
        <f>[1]Results!AV1528</f>
        <v>79519.943090000001</v>
      </c>
      <c r="AT96" s="6">
        <f>[1]Results!AW1528</f>
        <v>80479.367840000006</v>
      </c>
      <c r="AU96" s="6">
        <f>[1]Results!AX1528</f>
        <v>81452.879879999993</v>
      </c>
      <c r="AV96" s="6">
        <f>[1]Results!AY1528</f>
        <v>82440.594200000007</v>
      </c>
      <c r="AW96" s="6">
        <f>[1]Results!AZ1528</f>
        <v>83451.495540000004</v>
      </c>
      <c r="AX96" s="6">
        <f>[1]Results!BA1528</f>
        <v>84477.200159999993</v>
      </c>
      <c r="AY96" s="6">
        <f>[1]Results!BB1528</f>
        <v>85518.117110000007</v>
      </c>
      <c r="AZ96" s="6">
        <f>[1]Results!BC1528</f>
        <v>86574.062770000004</v>
      </c>
      <c r="BA96" s="6">
        <f>[1]Results!BD1528</f>
        <v>87644.836410000004</v>
      </c>
      <c r="BB96" s="6">
        <f>[1]Results!BE1528</f>
        <v>88734.164130000005</v>
      </c>
      <c r="BC96" s="6">
        <f>[1]Results!BF1528</f>
        <v>89838.160900000003</v>
      </c>
      <c r="BD96" s="6">
        <f>[1]Results!BG1528</f>
        <v>90957.10355</v>
      </c>
      <c r="BE96" s="6">
        <f>[1]Results!BH1528</f>
        <v>92091.019459999996</v>
      </c>
      <c r="BF96" s="6">
        <f>[1]Results!BI1528</f>
        <v>93239.967730000004</v>
      </c>
    </row>
    <row r="97" spans="1:58" x14ac:dyDescent="0.35">
      <c r="B97" t="s">
        <v>10</v>
      </c>
      <c r="C97" s="6">
        <f>[1]Results!F1533</f>
        <v>1512274.1040000001</v>
      </c>
      <c r="D97" s="6">
        <f>[1]Results!G1533</f>
        <v>1509210.3859999999</v>
      </c>
      <c r="E97" s="6">
        <f>[1]Results!H1533</f>
        <v>1523545.328</v>
      </c>
      <c r="F97" s="6">
        <f>[1]Results!I1533</f>
        <v>1540537.1969999999</v>
      </c>
      <c r="G97" s="6">
        <f>[1]Results!J1533</f>
        <v>1559713.0160000001</v>
      </c>
      <c r="H97" s="6">
        <f>[1]Results!K1533</f>
        <v>1580753.902</v>
      </c>
      <c r="I97" s="6">
        <f>[1]Results!L1533</f>
        <v>1602266.5009999999</v>
      </c>
      <c r="J97" s="6">
        <f>[1]Results!M1533</f>
        <v>1624849.5889999999</v>
      </c>
      <c r="K97" s="6">
        <f>[1]Results!N1533</f>
        <v>1648373.723</v>
      </c>
      <c r="L97" s="6">
        <f>[1]Results!O1533</f>
        <v>1672717.362</v>
      </c>
      <c r="M97" s="6">
        <f>[1]Results!P1533</f>
        <v>1699691.0719999999</v>
      </c>
      <c r="N97" s="6">
        <f>[1]Results!Q1533</f>
        <v>1725761.452</v>
      </c>
      <c r="O97" s="6">
        <f>[1]Results!R1533</f>
        <v>1752223.578</v>
      </c>
      <c r="P97" s="6">
        <f>[1]Results!S1533</f>
        <v>1779035.6429999999</v>
      </c>
      <c r="Q97" s="6">
        <f>[1]Results!T1533</f>
        <v>1806166.196</v>
      </c>
      <c r="R97" s="6">
        <f>[1]Results!U1533</f>
        <v>1833598.7</v>
      </c>
      <c r="S97" s="6">
        <f>[1]Results!V1533</f>
        <v>1861234.652</v>
      </c>
      <c r="T97" s="6">
        <f>[1]Results!W1533</f>
        <v>1889152.649</v>
      </c>
      <c r="U97" s="6">
        <f>[1]Results!X1533</f>
        <v>1917368.395</v>
      </c>
      <c r="V97" s="6">
        <f>[1]Results!Y1533</f>
        <v>1945898.2819999999</v>
      </c>
      <c r="W97" s="6">
        <f>[1]Results!Z1533</f>
        <v>1973336.6129999999</v>
      </c>
      <c r="X97" s="6">
        <f>[1]Results!AA1533</f>
        <v>2002170.513</v>
      </c>
      <c r="Y97" s="6">
        <f>[1]Results!AB1533</f>
        <v>2031452.0970000001</v>
      </c>
      <c r="Z97" s="6">
        <f>[1]Results!AC1533</f>
        <v>2061183.7169999999</v>
      </c>
      <c r="AA97" s="6">
        <f>[1]Results!AD1533</f>
        <v>2091369.577</v>
      </c>
      <c r="AB97" s="6">
        <f>[1]Results!AE1533</f>
        <v>2117914.3659999999</v>
      </c>
      <c r="AC97" s="6">
        <f>[1]Results!AF1533</f>
        <v>2146029.0929999999</v>
      </c>
      <c r="AD97" s="6">
        <f>[1]Results!AG1533</f>
        <v>2174321.821</v>
      </c>
      <c r="AE97" s="6">
        <f>[1]Results!AH1533</f>
        <v>2202869.83</v>
      </c>
      <c r="AF97" s="6">
        <f>[1]Results!AI1533</f>
        <v>2231743.0240000002</v>
      </c>
      <c r="AG97" s="6">
        <f>[1]Results!AJ1533</f>
        <v>2260997.31</v>
      </c>
      <c r="AH97" s="6">
        <f>[1]Results!AK1533</f>
        <v>2290694.8629999999</v>
      </c>
      <c r="AI97" s="6">
        <f>[1]Results!AL1533</f>
        <v>2320846.787</v>
      </c>
      <c r="AJ97" s="6">
        <f>[1]Results!AM1533</f>
        <v>2351468.6090000002</v>
      </c>
      <c r="AK97" s="6">
        <f>[1]Results!AN1533</f>
        <v>2382568.753</v>
      </c>
      <c r="AL97" s="6">
        <f>[1]Results!AO1533</f>
        <v>2414151.0359999998</v>
      </c>
      <c r="AM97" s="6">
        <f>[1]Results!AP1533</f>
        <v>2445417.9849999999</v>
      </c>
      <c r="AN97" s="6">
        <f>[1]Results!AQ1533</f>
        <v>2476940.6749999998</v>
      </c>
      <c r="AO97" s="6">
        <f>[1]Results!AR1533</f>
        <v>2508763.2230000002</v>
      </c>
      <c r="AP97" s="6">
        <f>[1]Results!AS1533</f>
        <v>2540925.5350000001</v>
      </c>
      <c r="AQ97" s="6">
        <f>[1]Results!AT1533</f>
        <v>2573463.1189999999</v>
      </c>
      <c r="AR97" s="6">
        <f>[1]Results!AU1533</f>
        <v>2606436.4530000002</v>
      </c>
      <c r="AS97" s="6">
        <f>[1]Results!AV1533</f>
        <v>2639846.7289999998</v>
      </c>
      <c r="AT97" s="6">
        <f>[1]Results!AW1533</f>
        <v>2673709.9449999998</v>
      </c>
      <c r="AU97" s="6">
        <f>[1]Results!AX1533</f>
        <v>2708037.3330000001</v>
      </c>
      <c r="AV97" s="6">
        <f>[1]Results!AY1533</f>
        <v>2742836.25</v>
      </c>
      <c r="AW97" s="6">
        <f>[1]Results!AZ1533</f>
        <v>2778303.6949999998</v>
      </c>
      <c r="AX97" s="6">
        <f>[1]Results!BA1533</f>
        <v>2814300.588</v>
      </c>
      <c r="AY97" s="6">
        <f>[1]Results!BB1533</f>
        <v>2850817.219</v>
      </c>
      <c r="AZ97" s="6">
        <f>[1]Results!BC1533</f>
        <v>2887846.4449999998</v>
      </c>
      <c r="BA97" s="6">
        <f>[1]Results!BD1533</f>
        <v>2925383.179</v>
      </c>
      <c r="BB97" s="6">
        <f>[1]Results!BE1533</f>
        <v>2963489.44</v>
      </c>
      <c r="BC97" s="6">
        <f>[1]Results!BF1533</f>
        <v>3002116.0359999998</v>
      </c>
      <c r="BD97" s="6">
        <f>[1]Results!BG1533</f>
        <v>3041259.9049999998</v>
      </c>
      <c r="BE97" s="6">
        <f>[1]Results!BH1533</f>
        <v>3080920.9750000001</v>
      </c>
      <c r="BF97" s="6">
        <f>[1]Results!BI1533</f>
        <v>3121101.3859999999</v>
      </c>
    </row>
    <row r="98" spans="1:58" x14ac:dyDescent="0.35">
      <c r="B98" t="s">
        <v>29</v>
      </c>
      <c r="C98" s="6">
        <f>C103-C99</f>
        <v>-2005.6923099999999</v>
      </c>
      <c r="D98" s="6">
        <f t="shared" ref="D98:AL98" si="56">D103-D99</f>
        <v>-2047.1776602</v>
      </c>
      <c r="E98" s="6">
        <f t="shared" si="56"/>
        <v>-1982.6719783999999</v>
      </c>
      <c r="F98" s="6">
        <f t="shared" si="56"/>
        <v>-1977.5508833999997</v>
      </c>
      <c r="G98" s="6">
        <f t="shared" si="56"/>
        <v>-1986.1076691999999</v>
      </c>
      <c r="H98" s="6">
        <f t="shared" si="56"/>
        <v>-2000.0065966</v>
      </c>
      <c r="I98" s="6">
        <f t="shared" si="56"/>
        <v>-2017.849526</v>
      </c>
      <c r="J98" s="6">
        <f t="shared" si="56"/>
        <v>-2036.7113075999998</v>
      </c>
      <c r="K98" s="6">
        <f t="shared" si="56"/>
        <v>-2057.1983633</v>
      </c>
      <c r="L98" s="6">
        <f t="shared" si="56"/>
        <v>-2079.0952717999999</v>
      </c>
      <c r="M98" s="6">
        <f t="shared" si="56"/>
        <v>-2101.5737721999999</v>
      </c>
      <c r="N98" s="6">
        <f t="shared" si="56"/>
        <v>-2128.2846552000001</v>
      </c>
      <c r="O98" s="6">
        <f t="shared" si="56"/>
        <v>-2153.1268967999999</v>
      </c>
      <c r="P98" s="6">
        <f t="shared" si="56"/>
        <v>-2177.7671283999998</v>
      </c>
      <c r="Q98" s="6">
        <f t="shared" si="56"/>
        <v>-2202.5243492999998</v>
      </c>
      <c r="R98" s="6">
        <f t="shared" si="56"/>
        <v>-2227.4211738000004</v>
      </c>
      <c r="S98" s="6">
        <f t="shared" si="56"/>
        <v>-2252.5011365</v>
      </c>
      <c r="T98" s="6">
        <f t="shared" si="56"/>
        <v>-2277.3295381000003</v>
      </c>
      <c r="U98" s="6">
        <f t="shared" si="56"/>
        <v>-2302.2123866000002</v>
      </c>
      <c r="V98" s="6">
        <f t="shared" si="56"/>
        <v>-2327.2284416000002</v>
      </c>
      <c r="W98" s="6">
        <f t="shared" si="56"/>
        <v>-2352.7616821000001</v>
      </c>
      <c r="X98" s="6">
        <f t="shared" si="56"/>
        <v>-2376.0350931000003</v>
      </c>
      <c r="Y98" s="6">
        <f t="shared" si="56"/>
        <v>-2401.0274517999997</v>
      </c>
      <c r="Z98" s="6">
        <f t="shared" si="56"/>
        <v>-2426.6551202999999</v>
      </c>
      <c r="AA98" s="6">
        <f t="shared" si="56"/>
        <v>-2452.6790768999999</v>
      </c>
      <c r="AB98" s="6">
        <f t="shared" si="56"/>
        <v>-2480.0627105000003</v>
      </c>
      <c r="AC98" s="6">
        <f t="shared" si="56"/>
        <v>-2501.2669669000002</v>
      </c>
      <c r="AD98" s="6">
        <f t="shared" si="56"/>
        <v>-2524.4046647</v>
      </c>
      <c r="AE98" s="6">
        <f t="shared" si="56"/>
        <v>-2548.1794549000001</v>
      </c>
      <c r="AF98" s="6">
        <f t="shared" si="56"/>
        <v>-2572.3294900000001</v>
      </c>
      <c r="AG98" s="6">
        <f t="shared" si="56"/>
        <v>-2596.8445419999998</v>
      </c>
      <c r="AH98" s="6">
        <f t="shared" si="56"/>
        <v>-2621.7426028</v>
      </c>
      <c r="AI98" s="6">
        <f t="shared" si="56"/>
        <v>-2647.1497546000001</v>
      </c>
      <c r="AJ98" s="6">
        <f t="shared" si="56"/>
        <v>-2673.0242908999999</v>
      </c>
      <c r="AK98" s="6">
        <f t="shared" si="56"/>
        <v>-2699.3671283999997</v>
      </c>
      <c r="AL98" s="6">
        <f t="shared" si="56"/>
        <v>-2726.1822893000003</v>
      </c>
      <c r="AM98" s="6">
        <f t="shared" ref="AM98:BC98" si="57">AM103-AM99</f>
        <v>-2753.5831024999998</v>
      </c>
      <c r="AN98" s="6">
        <f t="shared" si="57"/>
        <v>-2780.7372006000001</v>
      </c>
      <c r="AO98" s="6">
        <f t="shared" si="57"/>
        <v>-2808.0494519000003</v>
      </c>
      <c r="AP98" s="6">
        <f t="shared" si="57"/>
        <v>-2835.6495142999997</v>
      </c>
      <c r="AQ98" s="6">
        <f t="shared" si="57"/>
        <v>-2863.5879498000004</v>
      </c>
      <c r="AR98" s="6">
        <f t="shared" si="57"/>
        <v>-2891.8734009999998</v>
      </c>
      <c r="AS98" s="6">
        <f t="shared" si="57"/>
        <v>-2920.65672</v>
      </c>
      <c r="AT98" s="6">
        <f t="shared" si="57"/>
        <v>-2949.8622757000003</v>
      </c>
      <c r="AU98" s="6">
        <f t="shared" si="57"/>
        <v>-2979.4812995000002</v>
      </c>
      <c r="AV98" s="6">
        <f t="shared" si="57"/>
        <v>-3009.5157194999997</v>
      </c>
      <c r="AW98" s="6">
        <f t="shared" si="57"/>
        <v>-3039.8774377999998</v>
      </c>
      <c r="AX98" s="6">
        <f t="shared" si="57"/>
        <v>-3071.1533316</v>
      </c>
      <c r="AY98" s="6">
        <f t="shared" si="57"/>
        <v>-3102.9518827000002</v>
      </c>
      <c r="AZ98" s="6">
        <f t="shared" si="57"/>
        <v>-3135.1876992999996</v>
      </c>
      <c r="BA98" s="6">
        <f t="shared" si="57"/>
        <v>-3167.8412677000001</v>
      </c>
      <c r="BB98" s="6">
        <f t="shared" si="57"/>
        <v>-3200.8638810000002</v>
      </c>
      <c r="BC98" s="6">
        <f t="shared" si="57"/>
        <v>-3234.5265796999997</v>
      </c>
      <c r="BD98" s="6">
        <f t="shared" ref="BD98:BF98" si="58">BD103-BD99</f>
        <v>-3268.6404822000004</v>
      </c>
      <c r="BE98" s="6">
        <f t="shared" si="58"/>
        <v>-3303.1685354000001</v>
      </c>
      <c r="BF98" s="6">
        <f t="shared" si="58"/>
        <v>-3338.1063961</v>
      </c>
    </row>
    <row r="99" spans="1:58" x14ac:dyDescent="0.35">
      <c r="B99" t="s">
        <v>36</v>
      </c>
      <c r="C99" s="6">
        <f>C101+C102</f>
        <v>-117.90353799999997</v>
      </c>
      <c r="D99" s="6">
        <f t="shared" ref="D99:AL99" si="59">D101+D102</f>
        <v>-124.77910179999992</v>
      </c>
      <c r="E99" s="6">
        <f t="shared" si="59"/>
        <v>-114.36404560000005</v>
      </c>
      <c r="F99" s="6">
        <f t="shared" si="59"/>
        <v>-110.72574259999999</v>
      </c>
      <c r="G99" s="6">
        <f t="shared" si="59"/>
        <v>-108.81503579999998</v>
      </c>
      <c r="H99" s="6">
        <f t="shared" si="59"/>
        <v>-107.84236540000001</v>
      </c>
      <c r="I99" s="6">
        <f t="shared" si="59"/>
        <v>-107.77513499999992</v>
      </c>
      <c r="J99" s="6">
        <f t="shared" si="59"/>
        <v>-108.06047039999999</v>
      </c>
      <c r="K99" s="6">
        <f t="shared" si="59"/>
        <v>-108.65616969999996</v>
      </c>
      <c r="L99" s="6">
        <f t="shared" si="59"/>
        <v>-109.47316220000005</v>
      </c>
      <c r="M99" s="6">
        <f t="shared" si="59"/>
        <v>-110.09564880000005</v>
      </c>
      <c r="N99" s="6">
        <f t="shared" si="59"/>
        <v>-111.45236980000004</v>
      </c>
      <c r="O99" s="6">
        <f t="shared" si="59"/>
        <v>-112.67859220000003</v>
      </c>
      <c r="P99" s="6">
        <f t="shared" si="59"/>
        <v>-113.93568059999996</v>
      </c>
      <c r="Q99" s="6">
        <f t="shared" si="59"/>
        <v>-115.23800069999993</v>
      </c>
      <c r="R99" s="6">
        <f t="shared" si="59"/>
        <v>-116.57856319999996</v>
      </c>
      <c r="S99" s="6">
        <f t="shared" si="59"/>
        <v>-117.98287149999999</v>
      </c>
      <c r="T99" s="6">
        <f t="shared" si="59"/>
        <v>-119.37661390000005</v>
      </c>
      <c r="U99" s="6">
        <f t="shared" si="59"/>
        <v>-120.78262239999992</v>
      </c>
      <c r="V99" s="6">
        <f t="shared" si="59"/>
        <v>-122.1984764</v>
      </c>
      <c r="W99" s="6">
        <f t="shared" si="59"/>
        <v>-123.86668589999999</v>
      </c>
      <c r="X99" s="6">
        <f t="shared" si="59"/>
        <v>-125.10658789999991</v>
      </c>
      <c r="Y99" s="6">
        <f t="shared" si="59"/>
        <v>-126.47248320000006</v>
      </c>
      <c r="Z99" s="6">
        <f t="shared" si="59"/>
        <v>-127.84953269999994</v>
      </c>
      <c r="AA99" s="6">
        <f t="shared" si="59"/>
        <v>-129.21700809999993</v>
      </c>
      <c r="AB99" s="6">
        <f t="shared" si="59"/>
        <v>-131.27269549999994</v>
      </c>
      <c r="AC99" s="6">
        <f t="shared" si="59"/>
        <v>-132.41724809999994</v>
      </c>
      <c r="AD99" s="6">
        <f t="shared" si="59"/>
        <v>-133.69580729999996</v>
      </c>
      <c r="AE99" s="6">
        <f t="shared" si="59"/>
        <v>-134.95462610000004</v>
      </c>
      <c r="AF99" s="6">
        <f t="shared" si="59"/>
        <v>-136.17125999999996</v>
      </c>
      <c r="AG99" s="6">
        <f t="shared" si="59"/>
        <v>-137.34876099999997</v>
      </c>
      <c r="AH99" s="6">
        <f t="shared" si="59"/>
        <v>-138.48528520000002</v>
      </c>
      <c r="AI99" s="6">
        <f t="shared" si="59"/>
        <v>-139.60005339999998</v>
      </c>
      <c r="AJ99" s="6">
        <f t="shared" si="59"/>
        <v>-140.69025910000005</v>
      </c>
      <c r="AK99" s="6">
        <f t="shared" si="59"/>
        <v>-141.7577586000001</v>
      </c>
      <c r="AL99" s="6">
        <f t="shared" si="59"/>
        <v>-142.80448269999999</v>
      </c>
      <c r="AM99" s="6">
        <f t="shared" ref="AM99:BC99" si="60">AM101+AM102</f>
        <v>-143.93007850000004</v>
      </c>
      <c r="AN99" s="6">
        <f t="shared" si="60"/>
        <v>-144.97903740000004</v>
      </c>
      <c r="AO99" s="6">
        <f t="shared" si="60"/>
        <v>-145.98628110000004</v>
      </c>
      <c r="AP99" s="6">
        <f t="shared" si="60"/>
        <v>-146.9620807</v>
      </c>
      <c r="AQ99" s="6">
        <f t="shared" si="60"/>
        <v>-147.91143019999993</v>
      </c>
      <c r="AR99" s="6">
        <f t="shared" si="60"/>
        <v>-148.82798700000001</v>
      </c>
      <c r="AS99" s="6">
        <f t="shared" si="60"/>
        <v>-149.73522600000001</v>
      </c>
      <c r="AT99" s="6">
        <f t="shared" si="60"/>
        <v>-150.62745529999995</v>
      </c>
      <c r="AU99" s="6">
        <f t="shared" si="60"/>
        <v>-151.50611850000007</v>
      </c>
      <c r="AV99" s="6">
        <f t="shared" si="60"/>
        <v>-152.37300949999997</v>
      </c>
      <c r="AW99" s="6">
        <f t="shared" si="60"/>
        <v>-153.18035420000001</v>
      </c>
      <c r="AX99" s="6">
        <f t="shared" si="60"/>
        <v>-154.02050439999994</v>
      </c>
      <c r="AY99" s="6">
        <f t="shared" si="60"/>
        <v>-154.85624530000007</v>
      </c>
      <c r="AZ99" s="6">
        <f t="shared" si="60"/>
        <v>-155.68291170000009</v>
      </c>
      <c r="BA99" s="6">
        <f t="shared" si="60"/>
        <v>-156.50012930000003</v>
      </c>
      <c r="BB99" s="6">
        <f t="shared" si="60"/>
        <v>-157.28625199999999</v>
      </c>
      <c r="BC99" s="6">
        <f t="shared" si="60"/>
        <v>-158.08179929999994</v>
      </c>
      <c r="BD99" s="6">
        <f t="shared" ref="BD99:BF99" si="61">BD101+BD102</f>
        <v>-158.86749080000004</v>
      </c>
      <c r="BE99" s="6">
        <f t="shared" si="61"/>
        <v>-159.64021960000002</v>
      </c>
      <c r="BF99" s="6">
        <f t="shared" si="61"/>
        <v>-160.39893190000009</v>
      </c>
    </row>
    <row r="100" spans="1:58" x14ac:dyDescent="0.35">
      <c r="B100" t="s">
        <v>33</v>
      </c>
      <c r="C100" s="6">
        <f>[1]Results!F1541</f>
        <v>40596.111069999999</v>
      </c>
      <c r="D100" s="6">
        <f>[1]Results!G1541</f>
        <v>40284.947639999999</v>
      </c>
      <c r="E100" s="6">
        <f>[1]Results!H1541</f>
        <v>40354.007270000002</v>
      </c>
      <c r="F100" s="6">
        <f>[1]Results!I1541</f>
        <v>40474.717080000002</v>
      </c>
      <c r="G100" s="6">
        <f>[1]Results!J1541</f>
        <v>40648.948089999998</v>
      </c>
      <c r="H100" s="6">
        <f>[1]Results!K1541</f>
        <v>40878.488429999998</v>
      </c>
      <c r="I100" s="6">
        <f>[1]Results!L1541</f>
        <v>41134.314720000002</v>
      </c>
      <c r="J100" s="6">
        <f>[1]Results!M1541</f>
        <v>41421.666429999997</v>
      </c>
      <c r="K100" s="6">
        <f>[1]Results!N1541</f>
        <v>41735.186439999998</v>
      </c>
      <c r="L100" s="6">
        <f>[1]Results!O1541</f>
        <v>42068.168339999997</v>
      </c>
      <c r="M100" s="6">
        <f>[1]Results!P1541</f>
        <v>42452.856460000003</v>
      </c>
      <c r="N100" s="6">
        <f>[1]Results!Q1541</f>
        <v>42818.421159999998</v>
      </c>
      <c r="O100" s="6">
        <f>[1]Results!R1541</f>
        <v>43183.237179999996</v>
      </c>
      <c r="P100" s="6">
        <f>[1]Results!S1541</f>
        <v>43548.248269999996</v>
      </c>
      <c r="Q100" s="6">
        <f>[1]Results!T1541</f>
        <v>43912.881329999997</v>
      </c>
      <c r="R100" s="6">
        <f>[1]Results!U1541</f>
        <v>44276.624280000004</v>
      </c>
      <c r="S100" s="6">
        <f>[1]Results!V1541</f>
        <v>44636.073369999998</v>
      </c>
      <c r="T100" s="6">
        <f>[1]Results!W1541</f>
        <v>44993.557809999998</v>
      </c>
      <c r="U100" s="6">
        <f>[1]Results!X1541</f>
        <v>45350.054880000003</v>
      </c>
      <c r="V100" s="6">
        <f>[1]Results!Y1541</f>
        <v>45706.491199999997</v>
      </c>
      <c r="W100" s="6">
        <f>[1]Results!Z1541</f>
        <v>46036.632510000003</v>
      </c>
      <c r="X100" s="6">
        <f>[1]Results!AA1541</f>
        <v>46386.827850000001</v>
      </c>
      <c r="Y100" s="6">
        <f>[1]Results!AB1541</f>
        <v>46743.954890000001</v>
      </c>
      <c r="Z100" s="6">
        <f>[1]Results!AC1541</f>
        <v>47106.950929999999</v>
      </c>
      <c r="AA100" s="6">
        <f>[1]Results!AD1541</f>
        <v>47476.129159999997</v>
      </c>
      <c r="AB100" s="6">
        <f>[1]Results!AE1541</f>
        <v>47775.154020000002</v>
      </c>
      <c r="AC100" s="6">
        <f>[1]Results!AF1541</f>
        <v>48097.49134</v>
      </c>
      <c r="AD100" s="6">
        <f>[1]Results!AG1541</f>
        <v>48426.756930000003</v>
      </c>
      <c r="AE100" s="6">
        <f>[1]Results!AH1541</f>
        <v>48762.665050000003</v>
      </c>
      <c r="AF100" s="6">
        <f>[1]Results!AI1541</f>
        <v>49106.263250000004</v>
      </c>
      <c r="AG100" s="6">
        <f>[1]Results!AJ1541</f>
        <v>49458.620150000002</v>
      </c>
      <c r="AH100" s="6">
        <f>[1]Results!AK1541</f>
        <v>49821.248500000002</v>
      </c>
      <c r="AI100" s="6">
        <f>[1]Results!AL1541</f>
        <v>50194.348539999999</v>
      </c>
      <c r="AJ100" s="6">
        <f>[1]Results!AM1541</f>
        <v>50578.190269999999</v>
      </c>
      <c r="AK100" s="6">
        <f>[1]Results!AN1541</f>
        <v>50972.905500000001</v>
      </c>
      <c r="AL100" s="6">
        <f>[1]Results!AO1541</f>
        <v>51378.499819999997</v>
      </c>
      <c r="AM100" s="6">
        <f>[1]Results!AP1541</f>
        <v>51782.593419999997</v>
      </c>
      <c r="AN100" s="6">
        <f>[1]Results!AQ1541</f>
        <v>52193.250599999999</v>
      </c>
      <c r="AO100" s="6">
        <f>[1]Results!AR1541</f>
        <v>52611.801959999997</v>
      </c>
      <c r="AP100" s="6">
        <f>[1]Results!AS1541</f>
        <v>53038.720269999998</v>
      </c>
      <c r="AQ100" s="6">
        <f>[1]Results!AT1541</f>
        <v>53474.275090000003</v>
      </c>
      <c r="AR100" s="6">
        <f>[1]Results!AU1541</f>
        <v>53919.499510000001</v>
      </c>
      <c r="AS100" s="6">
        <f>[1]Results!AV1541</f>
        <v>54373.99381</v>
      </c>
      <c r="AT100" s="6">
        <f>[1]Results!AW1541</f>
        <v>54837.655489999997</v>
      </c>
      <c r="AU100" s="6">
        <f>[1]Results!AX1541</f>
        <v>55310.396950000002</v>
      </c>
      <c r="AV100" s="6">
        <f>[1]Results!AY1541</f>
        <v>55792.122360000001</v>
      </c>
      <c r="AW100" s="6">
        <f>[1]Results!AZ1541</f>
        <v>56287.096680000002</v>
      </c>
      <c r="AX100" s="6">
        <f>[1]Results!BA1541</f>
        <v>56792.600270000003</v>
      </c>
      <c r="AY100" s="6">
        <f>[1]Results!BB1541</f>
        <v>57307.845090000003</v>
      </c>
      <c r="AZ100" s="6">
        <f>[1]Results!BC1541</f>
        <v>57832.376349999999</v>
      </c>
      <c r="BA100" s="6">
        <f>[1]Results!BD1541</f>
        <v>58365.893360000002</v>
      </c>
      <c r="BB100" s="6">
        <f>[1]Results!BE1541</f>
        <v>58909.877540000001</v>
      </c>
      <c r="BC100" s="6">
        <f>[1]Results!BF1541</f>
        <v>59463.284729999999</v>
      </c>
      <c r="BD100" s="6">
        <f>[1]Results!BG1541</f>
        <v>60025.788310000004</v>
      </c>
      <c r="BE100" s="6">
        <f>[1]Results!BH1541</f>
        <v>60597.242480000001</v>
      </c>
      <c r="BF100" s="6">
        <f>[1]Results!BI1541</f>
        <v>61177.611850000001</v>
      </c>
    </row>
    <row r="101" spans="1:58" x14ac:dyDescent="0.35">
      <c r="B101" t="s">
        <v>35</v>
      </c>
      <c r="C101" s="6">
        <f>[1]Results!F1538</f>
        <v>-612.76103179999996</v>
      </c>
      <c r="D101" s="6">
        <f>[1]Results!G1538</f>
        <v>-612.01591269999994</v>
      </c>
      <c r="E101" s="6">
        <f>[1]Results!H1538</f>
        <v>-603.31705650000004</v>
      </c>
      <c r="F101" s="6">
        <f>[1]Results!I1538</f>
        <v>-602.53046589999997</v>
      </c>
      <c r="G101" s="6">
        <f>[1]Results!J1538</f>
        <v>-604.1109606</v>
      </c>
      <c r="H101" s="6">
        <f>[1]Results!K1538</f>
        <v>-607.21526340000003</v>
      </c>
      <c r="I101" s="6">
        <f>[1]Results!L1538</f>
        <v>-611.42253559999995</v>
      </c>
      <c r="J101" s="6">
        <f>[1]Results!M1538</f>
        <v>-616.34956669999997</v>
      </c>
      <c r="K101" s="6">
        <f>[1]Results!N1538</f>
        <v>-621.92520249999995</v>
      </c>
      <c r="L101" s="6">
        <f>[1]Results!O1538</f>
        <v>-628.00518529999999</v>
      </c>
      <c r="M101" s="6">
        <f>[1]Results!P1538</f>
        <v>-634.66964800000005</v>
      </c>
      <c r="N101" s="6">
        <f>[1]Results!Q1538</f>
        <v>-641.81309710000005</v>
      </c>
      <c r="O101" s="6">
        <f>[1]Results!R1538</f>
        <v>-648.88402659999997</v>
      </c>
      <c r="P101" s="6">
        <f>[1]Results!S1538</f>
        <v>-656.06357409999998</v>
      </c>
      <c r="Q101" s="6">
        <f>[1]Results!T1538</f>
        <v>-663.35646699999995</v>
      </c>
      <c r="R101" s="6">
        <f>[1]Results!U1538</f>
        <v>-670.7437271</v>
      </c>
      <c r="S101" s="6">
        <f>[1]Results!V1538</f>
        <v>-678.18523889999994</v>
      </c>
      <c r="T101" s="6">
        <f>[1]Results!W1538</f>
        <v>-685.64934870000002</v>
      </c>
      <c r="U101" s="6">
        <f>[1]Results!X1538</f>
        <v>-693.16523719999998</v>
      </c>
      <c r="V101" s="6">
        <f>[1]Results!Y1538</f>
        <v>-700.73478009999997</v>
      </c>
      <c r="W101" s="6">
        <f>[1]Results!Z1538</f>
        <v>-708.20975629999998</v>
      </c>
      <c r="X101" s="6">
        <f>[1]Results!AA1538</f>
        <v>-715.58563389999995</v>
      </c>
      <c r="Y101" s="6">
        <f>[1]Results!AB1538</f>
        <v>-723.20161910000002</v>
      </c>
      <c r="Z101" s="6">
        <f>[1]Results!AC1538</f>
        <v>-730.91898079999999</v>
      </c>
      <c r="AA101" s="6">
        <f>[1]Results!AD1538</f>
        <v>-738.71502269999996</v>
      </c>
      <c r="AB101" s="6">
        <f>[1]Results!AE1538</f>
        <v>-746.16662359999998</v>
      </c>
      <c r="AC101" s="6">
        <f>[1]Results!AF1538</f>
        <v>-753.07180359999995</v>
      </c>
      <c r="AD101" s="6">
        <f>[1]Results!AG1538</f>
        <v>-760.19482479999999</v>
      </c>
      <c r="AE101" s="6">
        <f>[1]Results!AH1538</f>
        <v>-767.36746049999999</v>
      </c>
      <c r="AF101" s="6">
        <f>[1]Results!AI1538</f>
        <v>-774.57623960000001</v>
      </c>
      <c r="AG101" s="6">
        <f>[1]Results!AJ1538</f>
        <v>-781.83457099999998</v>
      </c>
      <c r="AH101" s="6">
        <f>[1]Results!AK1538</f>
        <v>-789.16292829999998</v>
      </c>
      <c r="AI101" s="6">
        <f>[1]Results!AL1538</f>
        <v>-796.57835009999997</v>
      </c>
      <c r="AJ101" s="6">
        <f>[1]Results!AM1538</f>
        <v>-804.08236590000001</v>
      </c>
      <c r="AK101" s="6">
        <f>[1]Results!AN1538</f>
        <v>-811.68032960000005</v>
      </c>
      <c r="AL101" s="6">
        <f>[1]Results!AO1538</f>
        <v>-819.37645090000001</v>
      </c>
      <c r="AM101" s="6">
        <f>[1]Results!AP1538</f>
        <v>-827.1189081</v>
      </c>
      <c r="AN101" s="6">
        <f>[1]Results!AQ1538</f>
        <v>-834.84444570000005</v>
      </c>
      <c r="AO101" s="6">
        <f>[1]Results!AR1538</f>
        <v>-842.6087546</v>
      </c>
      <c r="AP101" s="6">
        <f>[1]Results!AS1538</f>
        <v>-850.43161039999995</v>
      </c>
      <c r="AQ101" s="6">
        <f>[1]Results!AT1538</f>
        <v>-858.32421069999998</v>
      </c>
      <c r="AR101" s="6">
        <f>[1]Results!AU1538</f>
        <v>-866.30231419999996</v>
      </c>
      <c r="AS101" s="6">
        <f>[1]Results!AV1538</f>
        <v>-874.37915959999998</v>
      </c>
      <c r="AT101" s="6">
        <f>[1]Results!AW1538</f>
        <v>-882.54945329999998</v>
      </c>
      <c r="AU101" s="6">
        <f>[1]Results!AX1538</f>
        <v>-890.81549410000002</v>
      </c>
      <c r="AV101" s="6">
        <f>[1]Results!AY1538</f>
        <v>-899.17961100000002</v>
      </c>
      <c r="AW101" s="6">
        <f>[1]Results!AZ1538</f>
        <v>-907.67613540000002</v>
      </c>
      <c r="AX101" s="6">
        <f>[1]Results!BA1538</f>
        <v>-916.33595089999994</v>
      </c>
      <c r="AY101" s="6">
        <f>[1]Results!BB1538</f>
        <v>-925.11201740000001</v>
      </c>
      <c r="AZ101" s="6">
        <f>[1]Results!BC1538</f>
        <v>-933.99580790000005</v>
      </c>
      <c r="BA101" s="6">
        <f>[1]Results!BD1538</f>
        <v>-942.9847565</v>
      </c>
      <c r="BB101" s="6">
        <f>[1]Results!BE1538</f>
        <v>-952.0920625</v>
      </c>
      <c r="BC101" s="6">
        <f>[1]Results!BF1538</f>
        <v>-961.32929609999997</v>
      </c>
      <c r="BD101" s="6">
        <f>[1]Results!BG1538</f>
        <v>-970.67279970000004</v>
      </c>
      <c r="BE101" s="6">
        <f>[1]Results!BH1538</f>
        <v>-980.1181934</v>
      </c>
      <c r="BF101" s="6">
        <f>[1]Results!BI1538</f>
        <v>-989.66426220000005</v>
      </c>
    </row>
    <row r="102" spans="1:58" x14ac:dyDescent="0.35">
      <c r="B102" t="s">
        <v>34</v>
      </c>
      <c r="C102" s="6">
        <f>[1]Results!F1540</f>
        <v>494.85749379999999</v>
      </c>
      <c r="D102" s="6">
        <f>[1]Results!G1540</f>
        <v>487.23681090000002</v>
      </c>
      <c r="E102" s="6">
        <f>[1]Results!H1540</f>
        <v>488.95301089999998</v>
      </c>
      <c r="F102" s="6">
        <f>[1]Results!I1540</f>
        <v>491.80472329999998</v>
      </c>
      <c r="G102" s="6">
        <f>[1]Results!J1540</f>
        <v>495.29592480000002</v>
      </c>
      <c r="H102" s="6">
        <f>[1]Results!K1540</f>
        <v>499.37289800000002</v>
      </c>
      <c r="I102" s="6">
        <f>[1]Results!L1540</f>
        <v>503.64740060000003</v>
      </c>
      <c r="J102" s="6">
        <f>[1]Results!M1540</f>
        <v>508.28909629999998</v>
      </c>
      <c r="K102" s="6">
        <f>[1]Results!N1540</f>
        <v>513.26903279999999</v>
      </c>
      <c r="L102" s="6">
        <f>[1]Results!O1540</f>
        <v>518.53202309999995</v>
      </c>
      <c r="M102" s="6">
        <f>[1]Results!P1540</f>
        <v>524.5739992</v>
      </c>
      <c r="N102" s="6">
        <f>[1]Results!Q1540</f>
        <v>530.36072730000001</v>
      </c>
      <c r="O102" s="6">
        <f>[1]Results!R1540</f>
        <v>536.20543439999994</v>
      </c>
      <c r="P102" s="6">
        <f>[1]Results!S1540</f>
        <v>542.12789350000003</v>
      </c>
      <c r="Q102" s="6">
        <f>[1]Results!T1540</f>
        <v>548.11846630000002</v>
      </c>
      <c r="R102" s="6">
        <f>[1]Results!U1540</f>
        <v>554.16516390000004</v>
      </c>
      <c r="S102" s="6">
        <f>[1]Results!V1540</f>
        <v>560.20236739999996</v>
      </c>
      <c r="T102" s="6">
        <f>[1]Results!W1540</f>
        <v>566.27273479999997</v>
      </c>
      <c r="U102" s="6">
        <f>[1]Results!X1540</f>
        <v>572.38261480000006</v>
      </c>
      <c r="V102" s="6">
        <f>[1]Results!Y1540</f>
        <v>578.53630369999996</v>
      </c>
      <c r="W102" s="6">
        <f>[1]Results!Z1540</f>
        <v>584.34307039999999</v>
      </c>
      <c r="X102" s="6">
        <f>[1]Results!AA1540</f>
        <v>590.47904600000004</v>
      </c>
      <c r="Y102" s="6">
        <f>[1]Results!AB1540</f>
        <v>596.72913589999996</v>
      </c>
      <c r="Z102" s="6">
        <f>[1]Results!AC1540</f>
        <v>603.06944810000005</v>
      </c>
      <c r="AA102" s="6">
        <f>[1]Results!AD1540</f>
        <v>609.49801460000003</v>
      </c>
      <c r="AB102" s="6">
        <f>[1]Results!AE1540</f>
        <v>614.89392810000004</v>
      </c>
      <c r="AC102" s="6">
        <f>[1]Results!AF1540</f>
        <v>620.65455550000001</v>
      </c>
      <c r="AD102" s="6">
        <f>[1]Results!AG1540</f>
        <v>626.49901750000004</v>
      </c>
      <c r="AE102" s="6">
        <f>[1]Results!AH1540</f>
        <v>632.41283439999995</v>
      </c>
      <c r="AF102" s="6">
        <f>[1]Results!AI1540</f>
        <v>638.40497960000005</v>
      </c>
      <c r="AG102" s="6">
        <f>[1]Results!AJ1540</f>
        <v>644.48581000000001</v>
      </c>
      <c r="AH102" s="6">
        <f>[1]Results!AK1540</f>
        <v>650.67764309999995</v>
      </c>
      <c r="AI102" s="6">
        <f>[1]Results!AL1540</f>
        <v>656.97829669999999</v>
      </c>
      <c r="AJ102" s="6">
        <f>[1]Results!AM1540</f>
        <v>663.39210679999997</v>
      </c>
      <c r="AK102" s="6">
        <f>[1]Results!AN1540</f>
        <v>669.92257099999995</v>
      </c>
      <c r="AL102" s="6">
        <f>[1]Results!AO1540</f>
        <v>676.57196820000001</v>
      </c>
      <c r="AM102" s="6">
        <f>[1]Results!AP1540</f>
        <v>683.18882959999996</v>
      </c>
      <c r="AN102" s="6">
        <f>[1]Results!AQ1540</f>
        <v>689.86540830000001</v>
      </c>
      <c r="AO102" s="6">
        <f>[1]Results!AR1540</f>
        <v>696.62247349999996</v>
      </c>
      <c r="AP102" s="6">
        <f>[1]Results!AS1540</f>
        <v>703.46952969999995</v>
      </c>
      <c r="AQ102" s="6">
        <f>[1]Results!AT1540</f>
        <v>710.41278050000005</v>
      </c>
      <c r="AR102" s="6">
        <f>[1]Results!AU1540</f>
        <v>717.47432719999995</v>
      </c>
      <c r="AS102" s="6">
        <f>[1]Results!AV1540</f>
        <v>724.64393359999997</v>
      </c>
      <c r="AT102" s="6">
        <f>[1]Results!AW1540</f>
        <v>731.92199800000003</v>
      </c>
      <c r="AU102" s="6">
        <f>[1]Results!AX1540</f>
        <v>739.30937559999995</v>
      </c>
      <c r="AV102" s="6">
        <f>[1]Results!AY1540</f>
        <v>746.80660150000006</v>
      </c>
      <c r="AW102" s="6">
        <f>[1]Results!AZ1540</f>
        <v>754.49578120000001</v>
      </c>
      <c r="AX102" s="6">
        <f>[1]Results!BA1540</f>
        <v>762.31544650000001</v>
      </c>
      <c r="AY102" s="6">
        <f>[1]Results!BB1540</f>
        <v>770.25577209999994</v>
      </c>
      <c r="AZ102" s="6">
        <f>[1]Results!BC1540</f>
        <v>778.31289619999995</v>
      </c>
      <c r="BA102" s="6">
        <f>[1]Results!BD1540</f>
        <v>786.48462719999998</v>
      </c>
      <c r="BB102" s="6">
        <f>[1]Results!BE1540</f>
        <v>794.80581050000001</v>
      </c>
      <c r="BC102" s="6">
        <f>[1]Results!BF1540</f>
        <v>803.24749680000002</v>
      </c>
      <c r="BD102" s="6">
        <f>[1]Results!BG1540</f>
        <v>811.8053089</v>
      </c>
      <c r="BE102" s="6">
        <f>[1]Results!BH1540</f>
        <v>820.47797379999997</v>
      </c>
      <c r="BF102" s="6">
        <f>[1]Results!BI1540</f>
        <v>829.26533029999996</v>
      </c>
    </row>
    <row r="103" spans="1:58" x14ac:dyDescent="0.35">
      <c r="B103" t="s">
        <v>37</v>
      </c>
      <c r="C103" s="6">
        <f>[1]Results!F1537</f>
        <v>-2123.5958479999999</v>
      </c>
      <c r="D103" s="6">
        <f>[1]Results!G1537</f>
        <v>-2171.9567619999998</v>
      </c>
      <c r="E103" s="6">
        <f>[1]Results!H1537</f>
        <v>-2097.036024</v>
      </c>
      <c r="F103" s="6">
        <f>[1]Results!I1537</f>
        <v>-2088.2766259999999</v>
      </c>
      <c r="G103" s="6">
        <f>[1]Results!J1537</f>
        <v>-2094.922705</v>
      </c>
      <c r="H103" s="6">
        <f>[1]Results!K1537</f>
        <v>-2107.848962</v>
      </c>
      <c r="I103" s="6">
        <f>[1]Results!L1537</f>
        <v>-2125.6246609999998</v>
      </c>
      <c r="J103" s="6">
        <f>[1]Results!M1537</f>
        <v>-2144.7717779999998</v>
      </c>
      <c r="K103" s="6">
        <f>[1]Results!N1537</f>
        <v>-2165.8545330000002</v>
      </c>
      <c r="L103" s="6">
        <f>[1]Results!O1537</f>
        <v>-2188.5684339999998</v>
      </c>
      <c r="M103" s="6">
        <f>[1]Results!P1537</f>
        <v>-2211.6694210000001</v>
      </c>
      <c r="N103" s="6">
        <f>[1]Results!Q1537</f>
        <v>-2239.7370249999999</v>
      </c>
      <c r="O103" s="6">
        <f>[1]Results!R1537</f>
        <v>-2265.8054889999999</v>
      </c>
      <c r="P103" s="6">
        <f>[1]Results!S1537</f>
        <v>-2291.7028089999999</v>
      </c>
      <c r="Q103" s="6">
        <f>[1]Results!T1537</f>
        <v>-2317.76235</v>
      </c>
      <c r="R103" s="6">
        <f>[1]Results!U1537</f>
        <v>-2343.9997370000001</v>
      </c>
      <c r="S103" s="6">
        <f>[1]Results!V1537</f>
        <v>-2370.4840079999999</v>
      </c>
      <c r="T103" s="6">
        <f>[1]Results!W1537</f>
        <v>-2396.7061520000002</v>
      </c>
      <c r="U103" s="6">
        <f>[1]Results!X1537</f>
        <v>-2422.9950090000002</v>
      </c>
      <c r="V103" s="6">
        <f>[1]Results!Y1537</f>
        <v>-2449.4269180000001</v>
      </c>
      <c r="W103" s="6">
        <f>[1]Results!Z1537</f>
        <v>-2476.6283680000001</v>
      </c>
      <c r="X103" s="6">
        <f>[1]Results!AA1537</f>
        <v>-2501.1416810000001</v>
      </c>
      <c r="Y103" s="6">
        <f>[1]Results!AB1537</f>
        <v>-2527.4999349999998</v>
      </c>
      <c r="Z103" s="6">
        <f>[1]Results!AC1537</f>
        <v>-2554.504653</v>
      </c>
      <c r="AA103" s="6">
        <f>[1]Results!AD1537</f>
        <v>-2581.8960849999999</v>
      </c>
      <c r="AB103" s="6">
        <f>[1]Results!AE1537</f>
        <v>-2611.3354060000001</v>
      </c>
      <c r="AC103" s="6">
        <f>[1]Results!AF1537</f>
        <v>-2633.6842150000002</v>
      </c>
      <c r="AD103" s="6">
        <f>[1]Results!AG1537</f>
        <v>-2658.1004720000001</v>
      </c>
      <c r="AE103" s="6">
        <f>[1]Results!AH1537</f>
        <v>-2683.1340810000002</v>
      </c>
      <c r="AF103" s="6">
        <f>[1]Results!AI1537</f>
        <v>-2708.5007500000002</v>
      </c>
      <c r="AG103" s="6">
        <f>[1]Results!AJ1537</f>
        <v>-2734.193303</v>
      </c>
      <c r="AH103" s="6">
        <f>[1]Results!AK1537</f>
        <v>-2760.2278879999999</v>
      </c>
      <c r="AI103" s="6">
        <f>[1]Results!AL1537</f>
        <v>-2786.749808</v>
      </c>
      <c r="AJ103" s="6">
        <f>[1]Results!AM1537</f>
        <v>-2813.7145500000001</v>
      </c>
      <c r="AK103" s="6">
        <f>[1]Results!AN1537</f>
        <v>-2841.1248869999999</v>
      </c>
      <c r="AL103" s="6">
        <f>[1]Results!AO1537</f>
        <v>-2868.9867720000002</v>
      </c>
      <c r="AM103" s="6">
        <f>[1]Results!AP1537</f>
        <v>-2897.5131809999998</v>
      </c>
      <c r="AN103" s="6">
        <f>[1]Results!AQ1537</f>
        <v>-2925.716238</v>
      </c>
      <c r="AO103" s="6">
        <f>[1]Results!AR1537</f>
        <v>-2954.0357330000002</v>
      </c>
      <c r="AP103" s="6">
        <f>[1]Results!AS1537</f>
        <v>-2982.6115949999999</v>
      </c>
      <c r="AQ103" s="6">
        <f>[1]Results!AT1537</f>
        <v>-3011.4993800000002</v>
      </c>
      <c r="AR103" s="6">
        <f>[1]Results!AU1537</f>
        <v>-3040.701388</v>
      </c>
      <c r="AS103" s="6">
        <f>[1]Results!AV1537</f>
        <v>-3070.3919460000002</v>
      </c>
      <c r="AT103" s="6">
        <f>[1]Results!AW1537</f>
        <v>-3100.4897310000001</v>
      </c>
      <c r="AU103" s="6">
        <f>[1]Results!AX1537</f>
        <v>-3130.9874180000002</v>
      </c>
      <c r="AV103" s="6">
        <f>[1]Results!AY1537</f>
        <v>-3161.8887289999998</v>
      </c>
      <c r="AW103" s="6">
        <f>[1]Results!AZ1537</f>
        <v>-3193.0577920000001</v>
      </c>
      <c r="AX103" s="6">
        <f>[1]Results!BA1537</f>
        <v>-3225.1738359999999</v>
      </c>
      <c r="AY103" s="6">
        <f>[1]Results!BB1537</f>
        <v>-3257.8081280000001</v>
      </c>
      <c r="AZ103" s="6">
        <f>[1]Results!BC1537</f>
        <v>-3290.8706109999998</v>
      </c>
      <c r="BA103" s="6">
        <f>[1]Results!BD1537</f>
        <v>-3324.3413970000001</v>
      </c>
      <c r="BB103" s="6">
        <f>[1]Results!BE1537</f>
        <v>-3358.1501330000001</v>
      </c>
      <c r="BC103" s="6">
        <f>[1]Results!BF1537</f>
        <v>-3392.6083789999998</v>
      </c>
      <c r="BD103" s="6">
        <f>[1]Results!BG1537</f>
        <v>-3427.5079730000002</v>
      </c>
      <c r="BE103" s="6">
        <f>[1]Results!BH1537</f>
        <v>-3462.808755</v>
      </c>
      <c r="BF103" s="6">
        <f>[1]Results!BI1537</f>
        <v>-3498.5053280000002</v>
      </c>
    </row>
    <row r="104" spans="1:58" x14ac:dyDescent="0.35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</row>
    <row r="106" spans="1:58" x14ac:dyDescent="0.35">
      <c r="A106" s="12" t="s">
        <v>79</v>
      </c>
      <c r="B106" t="s">
        <v>14</v>
      </c>
      <c r="C106" s="7" t="s">
        <v>15</v>
      </c>
      <c r="D106" s="7" t="s">
        <v>16</v>
      </c>
      <c r="E106" s="7" t="s">
        <v>17</v>
      </c>
    </row>
    <row r="107" spans="1:58" x14ac:dyDescent="0.35">
      <c r="A107" t="s">
        <v>80</v>
      </c>
      <c r="B107" t="s">
        <v>27</v>
      </c>
      <c r="C107" s="4">
        <f>(R93-R79)/R79</f>
        <v>-2.230992746541419E-2</v>
      </c>
      <c r="D107" s="10">
        <f>(AB93-AB79)/AB79</f>
        <v>-3.2996115566240158E-2</v>
      </c>
      <c r="E107" s="10">
        <f>(AL93-AL79)/AL79</f>
        <v>-4.1463659030990946E-2</v>
      </c>
    </row>
    <row r="108" spans="1:58" x14ac:dyDescent="0.35">
      <c r="B108" t="s">
        <v>7</v>
      </c>
      <c r="C108" s="4">
        <f t="shared" ref="C108:C114" si="62">(R94-R82)/R82</f>
        <v>-3.026248545016658E-2</v>
      </c>
      <c r="D108" s="4">
        <f t="shared" ref="D108:D114" si="63">(AB94-AB82)/AB82</f>
        <v>-4.4032398512903324E-2</v>
      </c>
      <c r="E108" s="4">
        <f t="shared" ref="E108:E114" si="64">(AL94-AL82)/AL82</f>
        <v>-5.5247020667142883E-2</v>
      </c>
      <c r="Q108" s="5"/>
      <c r="U108" s="5"/>
      <c r="V108" s="5"/>
      <c r="Y108" s="5"/>
      <c r="Z108" s="5"/>
      <c r="AA108" s="5"/>
    </row>
    <row r="109" spans="1:58" x14ac:dyDescent="0.35">
      <c r="B109" t="s">
        <v>30</v>
      </c>
      <c r="C109" s="4">
        <f t="shared" si="62"/>
        <v>-3.1071682385635215E-2</v>
      </c>
      <c r="D109" s="4">
        <f t="shared" si="63"/>
        <v>-4.8662865974417345E-2</v>
      </c>
      <c r="E109" s="4">
        <f t="shared" si="64"/>
        <v>-6.3251297824640312E-2</v>
      </c>
      <c r="Q109" s="5"/>
      <c r="U109" s="5"/>
      <c r="V109" s="5"/>
      <c r="Y109" s="5"/>
      <c r="Z109" s="5"/>
      <c r="AA109" s="5"/>
    </row>
    <row r="110" spans="1:58" x14ac:dyDescent="0.35">
      <c r="B110" t="s">
        <v>9</v>
      </c>
      <c r="C110" s="4">
        <f t="shared" si="62"/>
        <v>-2.6702222394073077E-2</v>
      </c>
      <c r="D110" s="4">
        <f t="shared" si="63"/>
        <v>-3.8944055267239347E-2</v>
      </c>
      <c r="E110" s="4">
        <f t="shared" si="64"/>
        <v>-4.9511447693800441E-2</v>
      </c>
      <c r="Q110" s="5"/>
      <c r="U110" s="5"/>
      <c r="V110" s="5"/>
      <c r="Y110" s="5"/>
      <c r="Z110" s="5"/>
      <c r="AA110" s="5"/>
    </row>
    <row r="111" spans="1:58" x14ac:dyDescent="0.35">
      <c r="B111" t="s">
        <v>10</v>
      </c>
      <c r="C111" s="4">
        <f t="shared" si="62"/>
        <v>-2.0057587850962916E-2</v>
      </c>
      <c r="D111" s="4">
        <f t="shared" si="63"/>
        <v>-2.9179685331570102E-2</v>
      </c>
      <c r="E111" s="4">
        <f t="shared" si="64"/>
        <v>-3.6169072023162309E-2</v>
      </c>
      <c r="Q111" s="5"/>
      <c r="U111" s="5"/>
      <c r="V111" s="5"/>
      <c r="Y111" s="5"/>
      <c r="Z111" s="5"/>
      <c r="AA111" s="5"/>
    </row>
    <row r="112" spans="1:58" x14ac:dyDescent="0.35">
      <c r="B112" t="s">
        <v>29</v>
      </c>
      <c r="C112" s="4">
        <f t="shared" si="62"/>
        <v>5.8130810513058885E-2</v>
      </c>
      <c r="D112" s="4">
        <f t="shared" si="63"/>
        <v>6.617640313835163E-2</v>
      </c>
      <c r="E112" s="4">
        <f t="shared" si="64"/>
        <v>7.4934854425878814E-2</v>
      </c>
      <c r="Q112" s="5"/>
      <c r="U112" s="5"/>
      <c r="V112" s="5"/>
      <c r="Y112" s="5"/>
      <c r="Z112" s="5"/>
      <c r="AA112" s="5"/>
    </row>
    <row r="113" spans="1:58" x14ac:dyDescent="0.35">
      <c r="B113" t="s">
        <v>36</v>
      </c>
      <c r="C113" s="4">
        <f t="shared" si="62"/>
        <v>-0.4063799134068613</v>
      </c>
      <c r="D113" s="4">
        <f t="shared" si="63"/>
        <v>-0.54254134746623217</v>
      </c>
      <c r="E113" s="4">
        <f t="shared" si="64"/>
        <v>-0.6191825184914258</v>
      </c>
      <c r="Q113" s="5"/>
      <c r="U113" s="5"/>
      <c r="V113" s="5"/>
      <c r="Y113" s="5"/>
      <c r="Z113" s="5"/>
      <c r="AA113" s="5"/>
    </row>
    <row r="114" spans="1:58" x14ac:dyDescent="0.35">
      <c r="B114" t="s">
        <v>33</v>
      </c>
      <c r="C114" s="4">
        <f t="shared" si="62"/>
        <v>-2.4070506190245543E-2</v>
      </c>
      <c r="D114" s="4">
        <f t="shared" si="63"/>
        <v>-3.2542222239426807E-2</v>
      </c>
      <c r="E114" s="4">
        <f t="shared" si="64"/>
        <v>-4.0046847036852212E-2</v>
      </c>
      <c r="Q114" s="5"/>
      <c r="U114" s="5"/>
      <c r="V114" s="5"/>
      <c r="Y114" s="5"/>
      <c r="Z114" s="5"/>
      <c r="AA114" s="5"/>
    </row>
    <row r="115" spans="1:58" x14ac:dyDescent="0.35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</row>
    <row r="116" spans="1:58" x14ac:dyDescent="0.35">
      <c r="A116" s="12" t="s">
        <v>79</v>
      </c>
      <c r="B116" t="s">
        <v>14</v>
      </c>
      <c r="C116" s="7" t="s">
        <v>15</v>
      </c>
      <c r="D116" s="7" t="s">
        <v>16</v>
      </c>
      <c r="E116" s="7" t="s">
        <v>17</v>
      </c>
    </row>
    <row r="117" spans="1:58" x14ac:dyDescent="0.35">
      <c r="A117" t="s">
        <v>81</v>
      </c>
      <c r="B117" t="s">
        <v>7</v>
      </c>
      <c r="C117" s="4">
        <f>R94/R82-1</f>
        <v>-3.0262485450166632E-2</v>
      </c>
      <c r="D117" s="4">
        <f>AB94/AB82-1</f>
        <v>-4.4032398512903304E-2</v>
      </c>
      <c r="E117" s="4">
        <f>AL94/AL82-1</f>
        <v>-5.5247020667142932E-2</v>
      </c>
    </row>
    <row r="118" spans="1:58" x14ac:dyDescent="0.35">
      <c r="B118" t="s">
        <v>30</v>
      </c>
      <c r="C118" s="4">
        <f>R95/R83-1</f>
        <v>-3.107168238563518E-2</v>
      </c>
      <c r="D118" s="4">
        <f>AB95/AB83-1</f>
        <v>-4.866286597441738E-2</v>
      </c>
      <c r="E118" s="4">
        <f>AL95/AL83-1</f>
        <v>-6.325129782464034E-2</v>
      </c>
    </row>
    <row r="119" spans="1:58" x14ac:dyDescent="0.35">
      <c r="B119" t="s">
        <v>9</v>
      </c>
      <c r="C119" s="4">
        <f>R96/R84-1</f>
        <v>-2.670222239407305E-2</v>
      </c>
      <c r="D119" s="4">
        <f>AB96/AB84-1</f>
        <v>-3.8944055267239319E-2</v>
      </c>
      <c r="E119" s="4">
        <f>AL96/AL84-1</f>
        <v>-4.9511447693800448E-2</v>
      </c>
    </row>
    <row r="120" spans="1:58" x14ac:dyDescent="0.35">
      <c r="B120" t="s">
        <v>10</v>
      </c>
      <c r="C120" s="4">
        <f>R97/R85-1</f>
        <v>-2.0057587850962899E-2</v>
      </c>
      <c r="D120" s="4">
        <f>AB97/AB85-1</f>
        <v>-2.9179685331570115E-2</v>
      </c>
      <c r="E120" s="4">
        <f>AL97/AL85-1</f>
        <v>-3.616907202316233E-2</v>
      </c>
    </row>
    <row r="121" spans="1:58" x14ac:dyDescent="0.35">
      <c r="B121" t="s">
        <v>29</v>
      </c>
      <c r="C121" s="4">
        <f>R98/R86-1</f>
        <v>5.8130810513058906E-2</v>
      </c>
      <c r="D121" s="4">
        <f>AB98/AB86-1</f>
        <v>6.6176403138351603E-2</v>
      </c>
      <c r="E121" s="4">
        <f>AL98/AL86-1</f>
        <v>7.4934854425878772E-2</v>
      </c>
    </row>
    <row r="122" spans="1:58" x14ac:dyDescent="0.35">
      <c r="B122" t="s">
        <v>33</v>
      </c>
      <c r="C122" s="4">
        <f>R100/R88-1</f>
        <v>-2.4070506190245533E-2</v>
      </c>
      <c r="D122" s="4">
        <f>AB100/AB88-1</f>
        <v>-3.2542222239426821E-2</v>
      </c>
      <c r="E122" s="4">
        <f>AL100/AL88-1</f>
        <v>-4.004684703685224E-2</v>
      </c>
    </row>
    <row r="124" spans="1:58" x14ac:dyDescent="0.35">
      <c r="A124" s="12" t="s">
        <v>82</v>
      </c>
      <c r="C124" s="2">
        <v>42005</v>
      </c>
      <c r="D124" s="2">
        <v>42370</v>
      </c>
      <c r="E124" s="2">
        <v>42736</v>
      </c>
      <c r="F124" s="2">
        <v>43101</v>
      </c>
      <c r="G124" s="2">
        <v>43466</v>
      </c>
      <c r="H124" s="2">
        <v>43831</v>
      </c>
      <c r="I124" s="2">
        <v>44197</v>
      </c>
      <c r="J124" s="2">
        <v>44562</v>
      </c>
      <c r="K124" s="2">
        <v>44927</v>
      </c>
      <c r="L124" s="2">
        <v>45292</v>
      </c>
      <c r="M124" s="2">
        <v>45658</v>
      </c>
      <c r="N124" s="2">
        <v>46023</v>
      </c>
      <c r="O124" s="2">
        <v>46388</v>
      </c>
      <c r="P124" s="2">
        <v>46753</v>
      </c>
      <c r="Q124" s="2">
        <v>47119</v>
      </c>
      <c r="R124" s="2">
        <v>47484</v>
      </c>
      <c r="S124" s="2">
        <v>47849</v>
      </c>
      <c r="T124" s="2">
        <v>48214</v>
      </c>
      <c r="U124" s="2">
        <v>48580</v>
      </c>
      <c r="V124" s="2">
        <v>48945</v>
      </c>
      <c r="W124" s="2">
        <v>49310</v>
      </c>
      <c r="X124" s="2">
        <v>49675</v>
      </c>
      <c r="Y124" s="2">
        <v>50041</v>
      </c>
      <c r="Z124" s="2">
        <v>50406</v>
      </c>
      <c r="AA124" s="2">
        <v>50771</v>
      </c>
      <c r="AB124" s="2">
        <v>51136</v>
      </c>
      <c r="AC124" s="2">
        <v>51502</v>
      </c>
      <c r="AD124" s="2">
        <v>51867</v>
      </c>
      <c r="AE124" s="2">
        <v>52232</v>
      </c>
      <c r="AF124" s="2">
        <v>52597</v>
      </c>
      <c r="AG124" s="2">
        <v>52963</v>
      </c>
      <c r="AH124" s="2">
        <v>53328</v>
      </c>
      <c r="AI124" s="2">
        <v>53693</v>
      </c>
      <c r="AJ124" s="2">
        <v>54058</v>
      </c>
      <c r="AK124" s="2">
        <v>54424</v>
      </c>
      <c r="AL124" s="2">
        <v>54789</v>
      </c>
      <c r="AM124" s="2">
        <v>54790</v>
      </c>
      <c r="AN124" s="2">
        <v>54791</v>
      </c>
      <c r="AO124" s="2">
        <v>54792</v>
      </c>
      <c r="AP124" s="2">
        <v>54793</v>
      </c>
      <c r="AQ124" s="2">
        <v>54794</v>
      </c>
      <c r="AR124" s="2">
        <v>54795</v>
      </c>
      <c r="AS124" s="2">
        <v>54796</v>
      </c>
      <c r="AT124" s="2">
        <v>54797</v>
      </c>
      <c r="AU124" s="2">
        <v>54798</v>
      </c>
      <c r="AV124" s="2">
        <v>54799</v>
      </c>
      <c r="AW124" s="2">
        <v>54800</v>
      </c>
      <c r="AX124" s="2">
        <v>54801</v>
      </c>
      <c r="AY124" s="2">
        <v>54802</v>
      </c>
      <c r="AZ124" s="2">
        <v>54803</v>
      </c>
      <c r="BA124" s="2">
        <v>54804</v>
      </c>
      <c r="BB124" s="2">
        <v>54805</v>
      </c>
      <c r="BC124" s="2">
        <v>54806</v>
      </c>
      <c r="BD124" s="2">
        <v>54807</v>
      </c>
      <c r="BE124" s="2">
        <v>54808</v>
      </c>
      <c r="BF124" s="2">
        <v>54809</v>
      </c>
    </row>
    <row r="125" spans="1:58" x14ac:dyDescent="0.35">
      <c r="A125" t="s">
        <v>38</v>
      </c>
      <c r="B125" t="s">
        <v>27</v>
      </c>
      <c r="C125" s="6">
        <f>[1]Production!B3</f>
        <v>3859362.8829999999</v>
      </c>
      <c r="D125" s="6">
        <f>[1]Production!C3</f>
        <v>3841758.8139999998</v>
      </c>
      <c r="E125" s="6">
        <f>[1]Production!D3</f>
        <v>3879392.5430000001</v>
      </c>
      <c r="F125" s="6">
        <f>[1]Production!E3</f>
        <v>3926602.176</v>
      </c>
      <c r="G125" s="6">
        <f>[1]Production!F3</f>
        <v>3980277.4539999999</v>
      </c>
      <c r="H125" s="6">
        <f>[1]Production!G3</f>
        <v>4039046.0240000002</v>
      </c>
      <c r="I125" s="6">
        <f>[1]Production!H3</f>
        <v>4099438.98</v>
      </c>
      <c r="J125" s="6">
        <f>[1]Production!I3</f>
        <v>4162449.3969999999</v>
      </c>
      <c r="K125" s="6">
        <f>[1]Production!J3</f>
        <v>4227771.4220000003</v>
      </c>
      <c r="L125" s="6">
        <f>[1]Production!K3</f>
        <v>4295084.1229999997</v>
      </c>
      <c r="M125" s="6">
        <f>[1]Production!L3</f>
        <v>4368586.83</v>
      </c>
      <c r="N125" s="6">
        <f>[1]Production!M3</f>
        <v>4440548.9390000002</v>
      </c>
      <c r="O125" s="6">
        <f>[1]Production!N3</f>
        <v>4513288.5379999997</v>
      </c>
      <c r="P125" s="6">
        <f>[1]Production!O3</f>
        <v>4586799.8320000004</v>
      </c>
      <c r="Q125" s="6">
        <f>[1]Production!P3</f>
        <v>4661025.767</v>
      </c>
      <c r="R125" s="6">
        <f>[1]Production!Q3</f>
        <v>4735934.4330000002</v>
      </c>
      <c r="S125" s="6">
        <f>[1]Production!R3</f>
        <v>4811528.3569999998</v>
      </c>
      <c r="T125" s="6">
        <f>[1]Production!S3</f>
        <v>4887837.7640000004</v>
      </c>
      <c r="U125" s="6">
        <f>[1]Production!T3</f>
        <v>4964911.1469999999</v>
      </c>
      <c r="V125" s="6">
        <f>[1]Production!U3</f>
        <v>5042807.1689999998</v>
      </c>
      <c r="W125" s="6">
        <f>[1]Production!V3</f>
        <v>5118234.7920000004</v>
      </c>
      <c r="X125" s="6">
        <f>[1]Production!W3</f>
        <v>5196817.1730000004</v>
      </c>
      <c r="Y125" s="6">
        <f>[1]Production!X3</f>
        <v>5276743.6310000001</v>
      </c>
      <c r="Z125" s="6">
        <f>[1]Production!Y3</f>
        <v>5357961.3260000004</v>
      </c>
      <c r="AA125" s="6">
        <f>[1]Production!Z3</f>
        <v>5440484.3669999996</v>
      </c>
      <c r="AB125" s="6">
        <f>[1]Production!AA3</f>
        <v>5514638.3459999999</v>
      </c>
      <c r="AC125" s="6">
        <f>[1]Production!AB3</f>
        <v>5591896.8020000001</v>
      </c>
      <c r="AD125" s="6">
        <f>[1]Production!AC3</f>
        <v>5669836.7249999996</v>
      </c>
      <c r="AE125" s="6">
        <f>[1]Production!AD3</f>
        <v>5748583.7170000002</v>
      </c>
      <c r="AF125" s="6">
        <f>[1]Production!AE3</f>
        <v>5828311.3260000004</v>
      </c>
      <c r="AG125" s="6">
        <f>[1]Production!AF3</f>
        <v>5909167.4910000004</v>
      </c>
      <c r="AH125" s="6">
        <f>[1]Production!AG3</f>
        <v>5991260.0470000003</v>
      </c>
      <c r="AI125" s="6">
        <f>[1]Production!AH3</f>
        <v>6074658.6660000002</v>
      </c>
      <c r="AJ125" s="6">
        <f>[1]Production!AI3</f>
        <v>6159401.6969999997</v>
      </c>
      <c r="AK125" s="6">
        <f>[1]Production!AJ3</f>
        <v>6245504.4560000002</v>
      </c>
      <c r="AL125" s="6">
        <f>[1]Production!AK3</f>
        <v>6332966.9550000001</v>
      </c>
      <c r="AM125" s="6">
        <f>[1]Production!AL3</f>
        <v>6419427.3640000001</v>
      </c>
      <c r="AN125" s="6">
        <f>[1]Production!AM3</f>
        <v>6506387.1859999998</v>
      </c>
      <c r="AO125" s="6">
        <f>[1]Production!AN3</f>
        <v>6594055.5149999997</v>
      </c>
      <c r="AP125" s="6">
        <f>[1]Production!AO3</f>
        <v>6682565.5590000004</v>
      </c>
      <c r="AQ125" s="6">
        <f>[1]Production!AP3</f>
        <v>6772022.4400000004</v>
      </c>
      <c r="AR125" s="6">
        <f>[1]Production!AQ3</f>
        <v>6862511.2829999998</v>
      </c>
      <c r="AS125" s="6">
        <f>[1]Production!AR3</f>
        <v>6954098.2429999998</v>
      </c>
      <c r="AT125" s="6">
        <f>[1]Production!AS3</f>
        <v>7046831.6519999998</v>
      </c>
      <c r="AU125" s="6">
        <f>[1]Production!AT3</f>
        <v>7140744.4479999999</v>
      </c>
      <c r="AV125" s="6">
        <f>[1]Production!AU3</f>
        <v>7235857.4400000004</v>
      </c>
      <c r="AW125" s="6">
        <f>[1]Production!AV3</f>
        <v>7332396.5319999997</v>
      </c>
      <c r="AX125" s="6">
        <f>[1]Production!AW3</f>
        <v>7430230.8090000004</v>
      </c>
      <c r="AY125" s="6">
        <f>[1]Production!AX3</f>
        <v>7529345.1210000003</v>
      </c>
      <c r="AZ125" s="6">
        <f>[1]Production!AY3</f>
        <v>7629731.6890000002</v>
      </c>
      <c r="BA125" s="6">
        <f>[1]Production!AZ3</f>
        <v>7731387.3720000004</v>
      </c>
      <c r="BB125" s="6">
        <f>[1]Production!BA3</f>
        <v>7834313.8619999997</v>
      </c>
      <c r="BC125" s="6">
        <f>[1]Production!BB3</f>
        <v>7938518.0049999999</v>
      </c>
      <c r="BD125" s="6">
        <f>[1]Production!BC3</f>
        <v>8044011.7359999996</v>
      </c>
      <c r="BE125" s="6">
        <f>[1]Production!BD3</f>
        <v>8150811.6550000003</v>
      </c>
      <c r="BF125" s="6">
        <f>[1]Production!BE3</f>
        <v>8258938.3930000002</v>
      </c>
    </row>
    <row r="126" spans="1:58" x14ac:dyDescent="0.35">
      <c r="B126" t="s">
        <v>7</v>
      </c>
      <c r="C126" s="6">
        <f>[1]Production!B5+[1]Production!B7</f>
        <v>88399.361332</v>
      </c>
      <c r="D126" s="6">
        <f>[1]Production!C5+[1]Production!C7</f>
        <v>87319.689123999997</v>
      </c>
      <c r="E126" s="6">
        <f>[1]Production!D5+[1]Production!D7</f>
        <v>87715.475677999988</v>
      </c>
      <c r="F126" s="6">
        <f>[1]Production!E5+[1]Production!E7</f>
        <v>88390.678075999997</v>
      </c>
      <c r="G126" s="6">
        <f>[1]Production!F5+[1]Production!F7</f>
        <v>89286.316627000007</v>
      </c>
      <c r="H126" s="6">
        <f>[1]Production!G5+[1]Production!G7</f>
        <v>90368.001866999999</v>
      </c>
      <c r="I126" s="6">
        <f>[1]Production!H5+[1]Production!H7</f>
        <v>91551.281093999991</v>
      </c>
      <c r="J126" s="6">
        <f>[1]Production!I5+[1]Production!I7</f>
        <v>92836.166515000004</v>
      </c>
      <c r="K126" s="6">
        <f>[1]Production!J5+[1]Production!J7</f>
        <v>94203.988085000005</v>
      </c>
      <c r="L126" s="6">
        <f>[1]Production!K5+[1]Production!K7</f>
        <v>95637.317376000006</v>
      </c>
      <c r="M126" s="6">
        <f>[1]Production!L5+[1]Production!L7</f>
        <v>97215.352759000001</v>
      </c>
      <c r="N126" s="6">
        <f>[1]Production!M5+[1]Production!M7</f>
        <v>98783.725065000006</v>
      </c>
      <c r="O126" s="6">
        <f>[1]Production!N5+[1]Production!N7</f>
        <v>100372.64687</v>
      </c>
      <c r="P126" s="6">
        <f>[1]Production!O5+[1]Production!O7</f>
        <v>101978.00857800001</v>
      </c>
      <c r="Q126" s="6">
        <f>[1]Production!P5+[1]Production!P7</f>
        <v>103595.70334400001</v>
      </c>
      <c r="R126" s="6">
        <f>[1]Production!Q5+[1]Production!Q7</f>
        <v>105223.077529</v>
      </c>
      <c r="S126" s="6">
        <f>[1]Production!R5+[1]Production!R7</f>
        <v>106858.92207099999</v>
      </c>
      <c r="T126" s="6">
        <f>[1]Production!S5+[1]Production!S7</f>
        <v>108503.14975600001</v>
      </c>
      <c r="U126" s="6">
        <f>[1]Production!T5+[1]Production!T7</f>
        <v>110156.426863</v>
      </c>
      <c r="V126" s="6">
        <f>[1]Production!U5+[1]Production!U7</f>
        <v>111819.89022199999</v>
      </c>
      <c r="W126" s="6">
        <f>[1]Production!V5+[1]Production!V7</f>
        <v>113426.459443</v>
      </c>
      <c r="X126" s="6">
        <f>[1]Production!W5+[1]Production!W7</f>
        <v>115083.95855899999</v>
      </c>
      <c r="Y126" s="6">
        <f>[1]Production!X5+[1]Production!X7</f>
        <v>116764.897604</v>
      </c>
      <c r="Z126" s="6">
        <f>[1]Production!Y5+[1]Production!Y7</f>
        <v>118468.617023</v>
      </c>
      <c r="AA126" s="6">
        <f>[1]Production!Z5+[1]Production!Z7</f>
        <v>120195.784136</v>
      </c>
      <c r="AB126" s="6">
        <f>[1]Production!AA5+[1]Production!AA7</f>
        <v>121749.61051299999</v>
      </c>
      <c r="AC126" s="6">
        <f>[1]Production!AB5+[1]Production!AB7</f>
        <v>123343.182651</v>
      </c>
      <c r="AD126" s="6">
        <f>[1]Production!AC5+[1]Production!AC7</f>
        <v>124943.91557100001</v>
      </c>
      <c r="AE126" s="6">
        <f>[1]Production!AD5+[1]Production!AD7</f>
        <v>126557.105637</v>
      </c>
      <c r="AF126" s="6">
        <f>[1]Production!AE5+[1]Production!AE7</f>
        <v>128188.74539500001</v>
      </c>
      <c r="AG126" s="6">
        <f>[1]Production!AF5+[1]Production!AF7</f>
        <v>129843.82187699999</v>
      </c>
      <c r="AH126" s="6">
        <f>[1]Production!AG5+[1]Production!AG7</f>
        <v>131526.013232</v>
      </c>
      <c r="AI126" s="6">
        <f>[1]Production!AH5+[1]Production!AH7</f>
        <v>133237.805949</v>
      </c>
      <c r="AJ126" s="6">
        <f>[1]Production!AI5+[1]Production!AI7</f>
        <v>134980.72163300001</v>
      </c>
      <c r="AK126" s="6">
        <f>[1]Production!AJ5+[1]Production!AJ7</f>
        <v>136755.57404799998</v>
      </c>
      <c r="AL126" s="6">
        <f>[1]Production!AK5+[1]Production!AK7</f>
        <v>138562.69794100002</v>
      </c>
      <c r="AM126" s="6">
        <f>[1]Production!AL5+[1]Production!AL7</f>
        <v>140354.43646300002</v>
      </c>
      <c r="AN126" s="6">
        <f>[1]Production!AM5+[1]Production!AM7</f>
        <v>142156.37740999999</v>
      </c>
      <c r="AO126" s="6">
        <f>[1]Production!AN5+[1]Production!AN7</f>
        <v>143974.13365500001</v>
      </c>
      <c r="AP126" s="6">
        <f>[1]Production!AO5+[1]Production!AO7</f>
        <v>145811.73560300001</v>
      </c>
      <c r="AQ126" s="6">
        <f>[1]Production!AP5+[1]Production!AP7</f>
        <v>147672.534124</v>
      </c>
      <c r="AR126" s="6">
        <f>[1]Production!AQ5+[1]Production!AQ7</f>
        <v>149559.28317400001</v>
      </c>
      <c r="AS126" s="6">
        <f>[1]Production!AR5+[1]Production!AR7</f>
        <v>151474.116507</v>
      </c>
      <c r="AT126" s="6">
        <f>[1]Production!AS5+[1]Production!AS7</f>
        <v>153418.57543599998</v>
      </c>
      <c r="AU126" s="6">
        <f>[1]Production!AT5+[1]Production!AT7</f>
        <v>155393.68771699999</v>
      </c>
      <c r="AV126" s="6">
        <f>[1]Production!AU5+[1]Production!AU7</f>
        <v>157400.073083</v>
      </c>
      <c r="AW126" s="6">
        <f>[1]Production!AV5+[1]Production!AV7</f>
        <v>159442.380779</v>
      </c>
      <c r="AX126" s="6">
        <f>[1]Production!AW5+[1]Production!AW7</f>
        <v>161518.40513100001</v>
      </c>
      <c r="AY126" s="6">
        <f>[1]Production!AX5+[1]Production!AX7</f>
        <v>163627.657672</v>
      </c>
      <c r="AZ126" s="6">
        <f>[1]Production!AY5+[1]Production!AY7</f>
        <v>165769.75726499999</v>
      </c>
      <c r="BA126" s="6">
        <f>[1]Production!AZ5+[1]Production!AZ7</f>
        <v>167944.39806199999</v>
      </c>
      <c r="BB126" s="6">
        <f>[1]Production!BA5+[1]Production!BA7</f>
        <v>170151.37283499999</v>
      </c>
      <c r="BC126" s="6">
        <f>[1]Production!BB5+[1]Production!BB7</f>
        <v>172390.591678</v>
      </c>
      <c r="BD126" s="6">
        <f>[1]Production!BC5+[1]Production!BC7</f>
        <v>174662.085525</v>
      </c>
      <c r="BE126" s="6">
        <f>[1]Production!BD5+[1]Production!BD7</f>
        <v>176965.99745200001</v>
      </c>
      <c r="BF126" s="6">
        <f>[1]Production!BE5+[1]Production!BE7</f>
        <v>179302.56679799999</v>
      </c>
    </row>
    <row r="127" spans="1:58" x14ac:dyDescent="0.35">
      <c r="B127" t="s">
        <v>30</v>
      </c>
      <c r="C127" s="6">
        <f>[1]Production!B9+[1]Production!B11+[1]Production!B13+[1]Production!B15+[1]Production!B17+[1]Production!B19+[1]Production!B21+[1]Production!B23+[1]Production!B25+[1]Production!B27+[1]Production!B41</f>
        <v>980668.46111999988</v>
      </c>
      <c r="D127" s="6">
        <f>[1]Production!C9+[1]Production!C11+[1]Production!C13+[1]Production!C15+[1]Production!C17+[1]Production!C19+[1]Production!C21+[1]Production!C23+[1]Production!C25+[1]Production!C27+[1]Production!C41</f>
        <v>968606.48330399999</v>
      </c>
      <c r="E127" s="6">
        <f>[1]Production!D9+[1]Production!D11+[1]Production!D13+[1]Production!D15+[1]Production!D17+[1]Production!D19+[1]Production!D21+[1]Production!D23+[1]Production!D25+[1]Production!D27+[1]Production!D41</f>
        <v>979327.13931499992</v>
      </c>
      <c r="F127" s="6">
        <f>[1]Production!E9+[1]Production!E11+[1]Production!E13+[1]Production!E15+[1]Production!E17+[1]Production!E19+[1]Production!E21+[1]Production!E23+[1]Production!E25+[1]Production!E27+[1]Production!E41</f>
        <v>992461.37202499982</v>
      </c>
      <c r="G127" s="6">
        <f>[1]Production!F9+[1]Production!F11+[1]Production!F13+[1]Production!F15+[1]Production!F17+[1]Production!F19+[1]Production!F21+[1]Production!F23+[1]Production!F25+[1]Production!F27+[1]Production!F41</f>
        <v>1007062.538583</v>
      </c>
      <c r="H127" s="6">
        <f>[1]Production!G9+[1]Production!G11+[1]Production!G13+[1]Production!G15+[1]Production!G17+[1]Production!G19+[1]Production!G21+[1]Production!G23+[1]Production!G25+[1]Production!G27+[1]Production!G41</f>
        <v>1022720.1423290001</v>
      </c>
      <c r="I127" s="6">
        <f>[1]Production!H9+[1]Production!H11+[1]Production!H13+[1]Production!H15+[1]Production!H17+[1]Production!H19+[1]Production!H21+[1]Production!H23+[1]Production!H25+[1]Production!H27+[1]Production!H41</f>
        <v>1038575.099379</v>
      </c>
      <c r="J127" s="6">
        <f>[1]Production!I9+[1]Production!I11+[1]Production!I13+[1]Production!I15+[1]Production!I17+[1]Production!I19+[1]Production!I21+[1]Production!I23+[1]Production!I25+[1]Production!I27+[1]Production!I41</f>
        <v>1054904.185756</v>
      </c>
      <c r="K127" s="6">
        <f>[1]Production!J9+[1]Production!J11+[1]Production!J13+[1]Production!J15+[1]Production!J17+[1]Production!J19+[1]Production!J21+[1]Production!J23+[1]Production!J25+[1]Production!J27+[1]Production!J41</f>
        <v>1071666.5812009999</v>
      </c>
      <c r="L127" s="6">
        <f>[1]Production!K9+[1]Production!K11+[1]Production!K13+[1]Production!K15+[1]Production!K17+[1]Production!K19+[1]Production!K21+[1]Production!K23+[1]Production!K25+[1]Production!K27+[1]Production!K41</f>
        <v>1088821.0867900001</v>
      </c>
      <c r="M127" s="6">
        <f>[1]Production!L9+[1]Production!L11+[1]Production!L13+[1]Production!L15+[1]Production!L17+[1]Production!L19+[1]Production!L21+[1]Production!L23+[1]Production!L25+[1]Production!L27+[1]Production!L41</f>
        <v>1107432.7129599999</v>
      </c>
      <c r="N127" s="6">
        <f>[1]Production!M9+[1]Production!M11+[1]Production!M13+[1]Production!M15+[1]Production!M17+[1]Production!M19+[1]Production!M21+[1]Production!M23+[1]Production!M25+[1]Production!M27+[1]Production!M41</f>
        <v>1125613.8590530001</v>
      </c>
      <c r="O127" s="6">
        <f>[1]Production!N9+[1]Production!N11+[1]Production!N13+[1]Production!N15+[1]Production!N17+[1]Production!N19+[1]Production!N21+[1]Production!N23+[1]Production!N25+[1]Production!N27+[1]Production!N41</f>
        <v>1143981.0349290001</v>
      </c>
      <c r="P127" s="6">
        <f>[1]Production!O9+[1]Production!O11+[1]Production!O13+[1]Production!O15+[1]Production!O17+[1]Production!O19+[1]Production!O21+[1]Production!O23+[1]Production!O25+[1]Production!O27+[1]Production!O41</f>
        <v>1162549.9394699999</v>
      </c>
      <c r="Q127" s="6">
        <f>[1]Production!P9+[1]Production!P11+[1]Production!P13+[1]Production!P15+[1]Production!P17+[1]Production!P19+[1]Production!P21+[1]Production!P23+[1]Production!P25+[1]Production!P27+[1]Production!P41</f>
        <v>1181323.6858990001</v>
      </c>
      <c r="R127" s="6">
        <f>[1]Production!Q9+[1]Production!Q11+[1]Production!Q13+[1]Production!Q15+[1]Production!Q17+[1]Production!Q19+[1]Production!Q21+[1]Production!Q23+[1]Production!Q25+[1]Production!Q27+[1]Production!Q41</f>
        <v>1200309.0621220001</v>
      </c>
      <c r="S127" s="6">
        <f>[1]Production!R9+[1]Production!R11+[1]Production!R13+[1]Production!R15+[1]Production!R17+[1]Production!R19+[1]Production!R21+[1]Production!R23+[1]Production!R25+[1]Production!R27+[1]Production!R41</f>
        <v>1219519.2252769999</v>
      </c>
      <c r="T127" s="6">
        <f>[1]Production!S9+[1]Production!S11+[1]Production!S13+[1]Production!S15+[1]Production!S17+[1]Production!S19+[1]Production!S21+[1]Production!S23+[1]Production!S25+[1]Production!S27+[1]Production!S41</f>
        <v>1238972.6828139999</v>
      </c>
      <c r="U127" s="6">
        <f>[1]Production!T9+[1]Production!T11+[1]Production!T13+[1]Production!T15+[1]Production!T17+[1]Production!T19+[1]Production!T21+[1]Production!T23+[1]Production!T25+[1]Production!T27+[1]Production!T41</f>
        <v>1258691.2899730003</v>
      </c>
      <c r="V127" s="6">
        <f>[1]Production!U9+[1]Production!U11+[1]Production!U13+[1]Production!U15+[1]Production!U17+[1]Production!U19+[1]Production!U21+[1]Production!U23+[1]Production!U25+[1]Production!U27+[1]Production!U41</f>
        <v>1278698.2837099999</v>
      </c>
      <c r="W127" s="6">
        <f>[1]Production!V9+[1]Production!V11+[1]Production!V13+[1]Production!V15+[1]Production!V17+[1]Production!V19+[1]Production!V21+[1]Production!V23+[1]Production!V25+[1]Production!V27+[1]Production!V41</f>
        <v>1298194.4895769998</v>
      </c>
      <c r="X127" s="6">
        <f>[1]Production!W9+[1]Production!W11+[1]Production!W13+[1]Production!W15+[1]Production!W17+[1]Production!W19+[1]Production!W21+[1]Production!W23+[1]Production!W25+[1]Production!W27+[1]Production!W41</f>
        <v>1318575.5016590001</v>
      </c>
      <c r="Y127" s="6">
        <f>[1]Production!X9+[1]Production!X11+[1]Production!X13+[1]Production!X15+[1]Production!X17+[1]Production!X19+[1]Production!X21+[1]Production!X23+[1]Production!X25+[1]Production!X27+[1]Production!X41</f>
        <v>1339384.1172820001</v>
      </c>
      <c r="Z127" s="6">
        <f>[1]Production!Y9+[1]Production!Y11+[1]Production!Y13+[1]Production!Y15+[1]Production!Y17+[1]Production!Y19+[1]Production!Y21+[1]Production!Y23+[1]Production!Y25+[1]Production!Y27+[1]Production!Y41</f>
        <v>1360611.9937440001</v>
      </c>
      <c r="AA127" s="6">
        <f>[1]Production!Z9+[1]Production!Z11+[1]Production!Z13+[1]Production!Z15+[1]Production!Z17+[1]Production!Z19+[1]Production!Z21+[1]Production!Z23+[1]Production!Z25+[1]Production!Z27+[1]Production!Z41</f>
        <v>1382263.8730920001</v>
      </c>
      <c r="AB127" s="6">
        <f>[1]Production!AA9+[1]Production!AA11+[1]Production!AA13+[1]Production!AA15+[1]Production!AA17+[1]Production!AA19+[1]Production!AA21+[1]Production!AA23+[1]Production!AA25+[1]Production!AA27+[1]Production!AA41</f>
        <v>1401970.3310079998</v>
      </c>
      <c r="AC127" s="6">
        <f>[1]Production!AB9+[1]Production!AB11+[1]Production!AB13+[1]Production!AB15+[1]Production!AB17+[1]Production!AB19+[1]Production!AB21+[1]Production!AB23+[1]Production!AB25+[1]Production!AB27+[1]Production!AB41</f>
        <v>1422568.8877780002</v>
      </c>
      <c r="AD127" s="6">
        <f>[1]Production!AC9+[1]Production!AC11+[1]Production!AC13+[1]Production!AC15+[1]Production!AC17+[1]Production!AC19+[1]Production!AC21+[1]Production!AC23+[1]Production!AC25+[1]Production!AC27+[1]Production!AC41</f>
        <v>1443428.0550199999</v>
      </c>
      <c r="AE127" s="6">
        <f>[1]Production!AD9+[1]Production!AD11+[1]Production!AD13+[1]Production!AD15+[1]Production!AD17+[1]Production!AD19+[1]Production!AD21+[1]Production!AD23+[1]Production!AD25+[1]Production!AD27+[1]Production!AD41</f>
        <v>1464570.0037730001</v>
      </c>
      <c r="AF127" s="6">
        <f>[1]Production!AE9+[1]Production!AE11+[1]Production!AE13+[1]Production!AE15+[1]Production!AE17+[1]Production!AE19+[1]Production!AE21+[1]Production!AE23+[1]Production!AE25+[1]Production!AE27+[1]Production!AE41</f>
        <v>1486024.472113</v>
      </c>
      <c r="AG127" s="6">
        <f>[1]Production!AF9+[1]Production!AF11+[1]Production!AF13+[1]Production!AF15+[1]Production!AF17+[1]Production!AF19+[1]Production!AF21+[1]Production!AF23+[1]Production!AF25+[1]Production!AF27+[1]Production!AF41</f>
        <v>1507815.2926630003</v>
      </c>
      <c r="AH127" s="6">
        <f>[1]Production!AG9+[1]Production!AG11+[1]Production!AG13+[1]Production!AG15+[1]Production!AG17+[1]Production!AG19+[1]Production!AG21+[1]Production!AG23+[1]Production!AG25+[1]Production!AG27+[1]Production!AG41</f>
        <v>1529957.7275080001</v>
      </c>
      <c r="AI127" s="6">
        <f>[1]Production!AH9+[1]Production!AH11+[1]Production!AH13+[1]Production!AH15+[1]Production!AH17+[1]Production!AH19+[1]Production!AH21+[1]Production!AH23+[1]Production!AH25+[1]Production!AH27+[1]Production!AH41</f>
        <v>1552458.7531369999</v>
      </c>
      <c r="AJ127" s="6">
        <f>[1]Production!AI9+[1]Production!AI11+[1]Production!AI13+[1]Production!AI15+[1]Production!AI17+[1]Production!AI19+[1]Production!AI21+[1]Production!AI23+[1]Production!AI25+[1]Production!AI27+[1]Production!AI41</f>
        <v>1575318.3789579999</v>
      </c>
      <c r="AK127" s="6">
        <f>[1]Production!AJ9+[1]Production!AJ11+[1]Production!AJ13+[1]Production!AJ15+[1]Production!AJ17+[1]Production!AJ19+[1]Production!AJ21+[1]Production!AJ23+[1]Production!AJ25+[1]Production!AJ27+[1]Production!AJ41</f>
        <v>1598531.414045</v>
      </c>
      <c r="AL127" s="6">
        <f>[1]Production!AK9+[1]Production!AK11+[1]Production!AK13+[1]Production!AK15+[1]Production!AK17+[1]Production!AK19+[1]Production!AK21+[1]Production!AK23+[1]Production!AK25+[1]Production!AK27+[1]Production!AK41</f>
        <v>1622089.2339880001</v>
      </c>
      <c r="AM127" s="6">
        <f>[1]Production!AL9+[1]Production!AL11+[1]Production!AL13+[1]Production!AL15+[1]Production!AL17+[1]Production!AL19+[1]Production!AL21+[1]Production!AL23+[1]Production!AL25+[1]Production!AL27+[1]Production!AL41</f>
        <v>1645403.9325589999</v>
      </c>
      <c r="AN127" s="6">
        <f>[1]Production!AM9+[1]Production!AM11+[1]Production!AM13+[1]Production!AM15+[1]Production!AM17+[1]Production!AM19+[1]Production!AM21+[1]Production!AM23+[1]Production!AM25+[1]Production!AM27+[1]Production!AM41</f>
        <v>1668840.8893210001</v>
      </c>
      <c r="AO127" s="6">
        <f>[1]Production!AN9+[1]Production!AN11+[1]Production!AN13+[1]Production!AN15+[1]Production!AN17+[1]Production!AN19+[1]Production!AN21+[1]Production!AN23+[1]Production!AN25+[1]Production!AN27+[1]Production!AN41</f>
        <v>1692438.4610290003</v>
      </c>
      <c r="AP127" s="6">
        <f>[1]Production!AO9+[1]Production!AO11+[1]Production!AO13+[1]Production!AO15+[1]Production!AO17+[1]Production!AO19+[1]Production!AO21+[1]Production!AO23+[1]Production!AO25+[1]Production!AO27+[1]Production!AO41</f>
        <v>1716218.2676550001</v>
      </c>
      <c r="AQ127" s="6">
        <f>[1]Production!AP9+[1]Production!AP11+[1]Production!AP13+[1]Production!AP15+[1]Production!AP17+[1]Production!AP19+[1]Production!AP21+[1]Production!AP23+[1]Production!AP25+[1]Production!AP27+[1]Production!AP41</f>
        <v>1740195.6638760003</v>
      </c>
      <c r="AR127" s="6">
        <f>[1]Production!AQ9+[1]Production!AQ11+[1]Production!AQ13+[1]Production!AQ15+[1]Production!AQ17+[1]Production!AQ19+[1]Production!AQ21+[1]Production!AQ23+[1]Production!AQ25+[1]Production!AQ27+[1]Production!AQ41</f>
        <v>1764382.1221289998</v>
      </c>
      <c r="AS127" s="6">
        <f>[1]Production!AR9+[1]Production!AR11+[1]Production!AR13+[1]Production!AR15+[1]Production!AR17+[1]Production!AR19+[1]Production!AR21+[1]Production!AR23+[1]Production!AR25+[1]Production!AR27+[1]Production!AR41</f>
        <v>1788785.860901</v>
      </c>
      <c r="AT127" s="6">
        <f>[1]Production!AS9+[1]Production!AS11+[1]Production!AS13+[1]Production!AS15+[1]Production!AS17+[1]Production!AS19+[1]Production!AS21+[1]Production!AS23+[1]Production!AS25+[1]Production!AS27+[1]Production!AS41</f>
        <v>1813412.2194730002</v>
      </c>
      <c r="AU127" s="6">
        <f>[1]Production!AT9+[1]Production!AT11+[1]Production!AT13+[1]Production!AT15+[1]Production!AT17+[1]Production!AT19+[1]Production!AT21+[1]Production!AT23+[1]Production!AT25+[1]Production!AT27+[1]Production!AT41</f>
        <v>1838264.1596360002</v>
      </c>
      <c r="AV127" s="6">
        <f>[1]Production!AU9+[1]Production!AU11+[1]Production!AU13+[1]Production!AU15+[1]Production!AU17+[1]Production!AU19+[1]Production!AU21+[1]Production!AU23+[1]Production!AU25+[1]Production!AU27+[1]Production!AU41</f>
        <v>1863342.8731829999</v>
      </c>
      <c r="AW127" s="6">
        <f>[1]Production!AV9+[1]Production!AV11+[1]Production!AV13+[1]Production!AV15+[1]Production!AV17+[1]Production!AV19+[1]Production!AV21+[1]Production!AV23+[1]Production!AV25+[1]Production!AV27+[1]Production!AV41</f>
        <v>1888701.0220029999</v>
      </c>
      <c r="AX127" s="6">
        <f>[1]Production!AW9+[1]Production!AW11+[1]Production!AW13+[1]Production!AW15+[1]Production!AW17+[1]Production!AW19+[1]Production!AW21+[1]Production!AW23+[1]Production!AW25+[1]Production!AW27+[1]Production!AW41</f>
        <v>1914303.9564600002</v>
      </c>
      <c r="AY127" s="6">
        <f>[1]Production!AX9+[1]Production!AX11+[1]Production!AX13+[1]Production!AX15+[1]Production!AX17+[1]Production!AX19+[1]Production!AX21+[1]Production!AX23+[1]Production!AX25+[1]Production!AX27+[1]Production!AX41</f>
        <v>1940147.2308849997</v>
      </c>
      <c r="AZ127" s="6">
        <f>[1]Production!AY9+[1]Production!AY11+[1]Production!AY13+[1]Production!AY15+[1]Production!AY17+[1]Production!AY19+[1]Production!AY21+[1]Production!AY23+[1]Production!AY25+[1]Production!AY27+[1]Production!AY41</f>
        <v>1966228.828066</v>
      </c>
      <c r="BA127" s="6">
        <f>[1]Production!AZ9+[1]Production!AZ11+[1]Production!AZ13+[1]Production!AZ15+[1]Production!AZ17+[1]Production!AZ19+[1]Production!AZ21+[1]Production!AZ23+[1]Production!AZ25+[1]Production!AZ27+[1]Production!AZ41</f>
        <v>1992548.5534529998</v>
      </c>
      <c r="BB127" s="6">
        <f>[1]Production!BA9+[1]Production!BA11+[1]Production!BA13+[1]Production!BA15+[1]Production!BA17+[1]Production!BA19+[1]Production!BA21+[1]Production!BA23+[1]Production!BA25+[1]Production!BA27+[1]Production!BA41</f>
        <v>2019107.9988399998</v>
      </c>
      <c r="BC127" s="6">
        <f>[1]Production!BB9+[1]Production!BB11+[1]Production!BB13+[1]Production!BB15+[1]Production!BB17+[1]Production!BB19+[1]Production!BB21+[1]Production!BB23+[1]Production!BB25+[1]Production!BB27+[1]Production!BB41</f>
        <v>2045910.5379959999</v>
      </c>
      <c r="BD127" s="6">
        <f>[1]Production!BC9+[1]Production!BC11+[1]Production!BC13+[1]Production!BC15+[1]Production!BC17+[1]Production!BC19+[1]Production!BC21+[1]Production!BC23+[1]Production!BC25+[1]Production!BC27+[1]Production!BC41</f>
        <v>2072961.2543139998</v>
      </c>
      <c r="BE127" s="6">
        <f>[1]Production!BD9+[1]Production!BD11+[1]Production!BD13+[1]Production!BD15+[1]Production!BD17+[1]Production!BD19+[1]Production!BD21+[1]Production!BD23+[1]Production!BD25+[1]Production!BD27+[1]Production!BD41</f>
        <v>2100266.7969870004</v>
      </c>
      <c r="BF127" s="6">
        <f>[1]Production!BE9+[1]Production!BE11+[1]Production!BE13+[1]Production!BE15+[1]Production!BE17+[1]Production!BE19+[1]Production!BE21+[1]Production!BE23+[1]Production!BE25+[1]Production!BE27+[1]Production!BE41</f>
        <v>2127835.1890580002</v>
      </c>
    </row>
    <row r="128" spans="1:58" x14ac:dyDescent="0.35">
      <c r="B128" t="s">
        <v>9</v>
      </c>
      <c r="C128" s="6">
        <f>[1]Production!B29+[1]Production!B31+[1]Production!B33+[1]Production!B35</f>
        <v>121165.40543399999</v>
      </c>
      <c r="D128" s="6">
        <f>[1]Production!C29+[1]Production!C31+[1]Production!C33+[1]Production!C35</f>
        <v>119591.456091</v>
      </c>
      <c r="E128" s="6">
        <f>[1]Production!D29+[1]Production!D31+[1]Production!D33+[1]Production!D35</f>
        <v>120832.049994</v>
      </c>
      <c r="F128" s="6">
        <f>[1]Production!E29+[1]Production!E31+[1]Production!E33+[1]Production!E35</f>
        <v>122334.286177</v>
      </c>
      <c r="G128" s="6">
        <f>[1]Production!F29+[1]Production!F31+[1]Production!F33+[1]Production!F35</f>
        <v>124014.16134199999</v>
      </c>
      <c r="H128" s="6">
        <f>[1]Production!G29+[1]Production!G31+[1]Production!G33+[1]Production!G35</f>
        <v>125835.375463</v>
      </c>
      <c r="I128" s="6">
        <f>[1]Production!H29+[1]Production!H31+[1]Production!H33+[1]Production!H35</f>
        <v>127689.53480699999</v>
      </c>
      <c r="J128" s="6">
        <f>[1]Production!I29+[1]Production!I31+[1]Production!I33+[1]Production!I35</f>
        <v>129614.512676</v>
      </c>
      <c r="K128" s="6">
        <f>[1]Production!J29+[1]Production!J31+[1]Production!J33+[1]Production!J35</f>
        <v>131598.73872699999</v>
      </c>
      <c r="L128" s="6">
        <f>[1]Production!K29+[1]Production!K31+[1]Production!K33+[1]Production!K35</f>
        <v>133630.24706600001</v>
      </c>
      <c r="M128" s="6">
        <f>[1]Production!L29+[1]Production!L31+[1]Production!L33+[1]Production!L35</f>
        <v>135843.10438099998</v>
      </c>
      <c r="N128" s="6">
        <f>[1]Production!M29+[1]Production!M31+[1]Production!M33+[1]Production!M35</f>
        <v>137977.705537</v>
      </c>
      <c r="O128" s="6">
        <f>[1]Production!N29+[1]Production!N31+[1]Production!N33+[1]Production!N35</f>
        <v>140120.737563</v>
      </c>
      <c r="P128" s="6">
        <f>[1]Production!O29+[1]Production!O31+[1]Production!O33+[1]Production!O35</f>
        <v>142272.21466599999</v>
      </c>
      <c r="Q128" s="6">
        <f>[1]Production!P29+[1]Production!P31+[1]Production!P33+[1]Production!P35</f>
        <v>144430.756509</v>
      </c>
      <c r="R128" s="6">
        <f>[1]Production!Q29+[1]Production!Q31+[1]Production!Q33+[1]Production!Q35</f>
        <v>146596.06224599999</v>
      </c>
      <c r="S128" s="6">
        <f>[1]Production!R29+[1]Production!R31+[1]Production!R33+[1]Production!R35</f>
        <v>148769.11991199999</v>
      </c>
      <c r="T128" s="6">
        <f>[1]Production!S29+[1]Production!S31+[1]Production!S33+[1]Production!S35</f>
        <v>150951.92185300001</v>
      </c>
      <c r="U128" s="6">
        <f>[1]Production!T29+[1]Production!T31+[1]Production!T33+[1]Production!T35</f>
        <v>153147.11698699999</v>
      </c>
      <c r="V128" s="6">
        <f>[1]Production!U29+[1]Production!U31+[1]Production!U33+[1]Production!U35</f>
        <v>155357.71895899999</v>
      </c>
      <c r="W128" s="6">
        <f>[1]Production!V29+[1]Production!V31+[1]Production!V33+[1]Production!V35</f>
        <v>157479.01634099998</v>
      </c>
      <c r="X128" s="6">
        <f>[1]Production!W29+[1]Production!W31+[1]Production!W33+[1]Production!W35</f>
        <v>159700.827647</v>
      </c>
      <c r="Y128" s="6">
        <f>[1]Production!X29+[1]Production!X31+[1]Production!X33+[1]Production!X35</f>
        <v>161957.00852999999</v>
      </c>
      <c r="Z128" s="6">
        <f>[1]Production!Y29+[1]Production!Y31+[1]Production!Y33+[1]Production!Y35</f>
        <v>164247.02636900003</v>
      </c>
      <c r="AA128" s="6">
        <f>[1]Production!Z29+[1]Production!Z31+[1]Production!Z33+[1]Production!Z35</f>
        <v>166572.48075299998</v>
      </c>
      <c r="AB128" s="6">
        <f>[1]Production!AA29+[1]Production!AA31+[1]Production!AA33+[1]Production!AA35</f>
        <v>168623.639199</v>
      </c>
      <c r="AC128" s="6">
        <f>[1]Production!AB29+[1]Production!AB31+[1]Production!AB33+[1]Production!AB35</f>
        <v>170792.53482100001</v>
      </c>
      <c r="AD128" s="6">
        <f>[1]Production!AC29+[1]Production!AC31+[1]Production!AC33+[1]Production!AC35</f>
        <v>172986.992902</v>
      </c>
      <c r="AE128" s="6">
        <f>[1]Production!AD29+[1]Production!AD31+[1]Production!AD33+[1]Production!AD35</f>
        <v>175210.66337999998</v>
      </c>
      <c r="AF128" s="6">
        <f>[1]Production!AE29+[1]Production!AE31+[1]Production!AE33+[1]Production!AE35</f>
        <v>177468.96981400001</v>
      </c>
      <c r="AG128" s="6">
        <f>[1]Production!AF29+[1]Production!AF31+[1]Production!AF33+[1]Production!AF35</f>
        <v>179766.55531200001</v>
      </c>
      <c r="AH128" s="6">
        <f>[1]Production!AG29+[1]Production!AG31+[1]Production!AG33+[1]Production!AG35</f>
        <v>182106.798802</v>
      </c>
      <c r="AI128" s="6">
        <f>[1]Production!AH29+[1]Production!AH31+[1]Production!AH33+[1]Production!AH35</f>
        <v>184491.87464999998</v>
      </c>
      <c r="AJ128" s="6">
        <f>[1]Production!AI29+[1]Production!AI31+[1]Production!AI33+[1]Production!AI35</f>
        <v>186922.96881000002</v>
      </c>
      <c r="AK128" s="6">
        <f>[1]Production!AJ29+[1]Production!AJ31+[1]Production!AJ33+[1]Production!AJ35</f>
        <v>189400.53344999999</v>
      </c>
      <c r="AL128" s="6">
        <f>[1]Production!AK29+[1]Production!AK31+[1]Production!AK33+[1]Production!AK35</f>
        <v>191924.52249</v>
      </c>
      <c r="AM128" s="6">
        <f>[1]Production!AL29+[1]Production!AL31+[1]Production!AL33+[1]Production!AL35</f>
        <v>194419.00542999999</v>
      </c>
      <c r="AN128" s="6">
        <f>[1]Production!AM29+[1]Production!AM31+[1]Production!AM33+[1]Production!AM35</f>
        <v>196937.53589</v>
      </c>
      <c r="AO128" s="6">
        <f>[1]Production!AN29+[1]Production!AN31+[1]Production!AN33+[1]Production!AN35</f>
        <v>199485.99628999998</v>
      </c>
      <c r="AP128" s="6">
        <f>[1]Production!AO29+[1]Production!AO31+[1]Production!AO33+[1]Production!AO35</f>
        <v>202067.88825000002</v>
      </c>
      <c r="AQ128" s="6">
        <f>[1]Production!AP29+[1]Production!AP31+[1]Production!AP33+[1]Production!AP35</f>
        <v>204685.92241999999</v>
      </c>
      <c r="AR128" s="6">
        <f>[1]Production!AQ29+[1]Production!AQ31+[1]Production!AQ33+[1]Production!AQ35</f>
        <v>207342.26072999998</v>
      </c>
      <c r="AS128" s="6">
        <f>[1]Production!AR29+[1]Production!AR31+[1]Production!AR33+[1]Production!AR35</f>
        <v>210038.53446</v>
      </c>
      <c r="AT128" s="6">
        <f>[1]Production!AS29+[1]Production!AS31+[1]Production!AS33+[1]Production!AS35</f>
        <v>212775.87138999999</v>
      </c>
      <c r="AU128" s="6">
        <f>[1]Production!AT29+[1]Production!AT31+[1]Production!AT33+[1]Production!AT35</f>
        <v>215554.96466999999</v>
      </c>
      <c r="AV128" s="6">
        <f>[1]Production!AU29+[1]Production!AU31+[1]Production!AU33+[1]Production!AU35</f>
        <v>218376.16664999997</v>
      </c>
      <c r="AW128" s="6">
        <f>[1]Production!AV29+[1]Production!AV31+[1]Production!AV33+[1]Production!AV35</f>
        <v>221246.47875999997</v>
      </c>
      <c r="AX128" s="6">
        <f>[1]Production!AW29+[1]Production!AW31+[1]Production!AW33+[1]Production!AW35</f>
        <v>224160.94367000001</v>
      </c>
      <c r="AY128" s="6">
        <f>[1]Production!AX29+[1]Production!AX31+[1]Production!AX33+[1]Production!AX35</f>
        <v>227118.90689999997</v>
      </c>
      <c r="AZ128" s="6">
        <f>[1]Production!AY29+[1]Production!AY31+[1]Production!AY33+[1]Production!AY35</f>
        <v>230119.95438999997</v>
      </c>
      <c r="BA128" s="6">
        <f>[1]Production!AZ29+[1]Production!AZ31+[1]Production!AZ33+[1]Production!AZ35</f>
        <v>233163.81400000001</v>
      </c>
      <c r="BB128" s="6">
        <f>[1]Production!BA29+[1]Production!BA31+[1]Production!BA33+[1]Production!BA35</f>
        <v>236250.36096999998</v>
      </c>
      <c r="BC128" s="6">
        <f>[1]Production!BB29+[1]Production!BB31+[1]Production!BB33+[1]Production!BB35</f>
        <v>239379.62646999996</v>
      </c>
      <c r="BD128" s="6">
        <f>[1]Production!BC29+[1]Production!BC31+[1]Production!BC33+[1]Production!BC35</f>
        <v>242551.79651000001</v>
      </c>
      <c r="BE128" s="6">
        <f>[1]Production!BD29+[1]Production!BD31+[1]Production!BD33+[1]Production!BD35</f>
        <v>245767.19884</v>
      </c>
      <c r="BF128" s="6">
        <f>[1]Production!BE29+[1]Production!BE31+[1]Production!BE33+[1]Production!BE35</f>
        <v>249026.28355999998</v>
      </c>
    </row>
    <row r="129" spans="1:58" x14ac:dyDescent="0.35">
      <c r="B129" t="s">
        <v>10</v>
      </c>
      <c r="C129" s="6">
        <f>[1]Production!B37+[1]Production!B39</f>
        <v>2560883.1027000002</v>
      </c>
      <c r="D129" s="6">
        <f>[1]Production!C37+[1]Production!C39</f>
        <v>2558982.8158</v>
      </c>
      <c r="E129" s="6">
        <f>[1]Production!D37+[1]Production!D39</f>
        <v>2583903.5490999999</v>
      </c>
      <c r="F129" s="6">
        <f>[1]Production!E37+[1]Production!E39</f>
        <v>2615232.9222999997</v>
      </c>
      <c r="G129" s="6">
        <f>[1]Production!F37+[1]Production!F39</f>
        <v>2650995.0214</v>
      </c>
      <c r="H129" s="6">
        <f>[1]Production!G37+[1]Production!G39</f>
        <v>2690309.2769999998</v>
      </c>
      <c r="I129" s="6">
        <f>[1]Production!H37+[1]Production!H39</f>
        <v>2730837.0146999997</v>
      </c>
      <c r="J129" s="6">
        <f>[1]Production!I37+[1]Production!I39</f>
        <v>2773246.5079999999</v>
      </c>
      <c r="K129" s="6">
        <f>[1]Production!J37+[1]Production!J39</f>
        <v>2817320.7487000003</v>
      </c>
      <c r="L129" s="6">
        <f>[1]Production!K37+[1]Production!K39</f>
        <v>2862829.7392000002</v>
      </c>
      <c r="M129" s="6">
        <f>[1]Production!L37+[1]Production!L39</f>
        <v>2912611.7689</v>
      </c>
      <c r="N129" s="6">
        <f>[1]Production!M37+[1]Production!M39</f>
        <v>2961414.2205999997</v>
      </c>
      <c r="O129" s="6">
        <f>[1]Production!N37+[1]Production!N39</f>
        <v>3010780.8289999999</v>
      </c>
      <c r="P129" s="6">
        <f>[1]Production!O37+[1]Production!O39</f>
        <v>3060691.9124999996</v>
      </c>
      <c r="Q129" s="6">
        <f>[1]Production!P37+[1]Production!P39</f>
        <v>3111093.0203</v>
      </c>
      <c r="R129" s="6">
        <f>[1]Production!Q37+[1]Production!Q39</f>
        <v>3161948.3859000001</v>
      </c>
      <c r="S129" s="6">
        <f>[1]Production!R37+[1]Production!R39</f>
        <v>3213247.1360999998</v>
      </c>
      <c r="T129" s="6">
        <f>[1]Production!S37+[1]Production!S39</f>
        <v>3264998.2602000004</v>
      </c>
      <c r="U129" s="6">
        <f>[1]Production!T37+[1]Production!T39</f>
        <v>3317223.9174000002</v>
      </c>
      <c r="V129" s="6">
        <f>[1]Production!U37+[1]Production!U39</f>
        <v>3369953.8864000002</v>
      </c>
      <c r="W129" s="6">
        <f>[1]Production!V37+[1]Production!V39</f>
        <v>3420939.6618999997</v>
      </c>
      <c r="X129" s="6">
        <f>[1]Production!W37+[1]Production!W39</f>
        <v>3473988.1881999997</v>
      </c>
      <c r="Y129" s="6">
        <f>[1]Production!X37+[1]Production!X39</f>
        <v>3527874.3799000001</v>
      </c>
      <c r="Z129" s="6">
        <f>[1]Production!Y37+[1]Production!Y39</f>
        <v>3582558.1854000003</v>
      </c>
      <c r="AA129" s="6">
        <f>[1]Production!Z37+[1]Production!Z39</f>
        <v>3638046.0192</v>
      </c>
      <c r="AB129" s="6">
        <f>[1]Production!AA37+[1]Production!AA39</f>
        <v>3687747.6439</v>
      </c>
      <c r="AC129" s="6">
        <f>[1]Production!AB37+[1]Production!AB39</f>
        <v>3739445.6922999998</v>
      </c>
      <c r="AD129" s="6">
        <f>[1]Production!AC37+[1]Production!AC39</f>
        <v>3791514.5241</v>
      </c>
      <c r="AE129" s="6">
        <f>[1]Production!AD37+[1]Production!AD39</f>
        <v>3844049.2078999998</v>
      </c>
      <c r="AF129" s="6">
        <f>[1]Production!AE37+[1]Production!AE39</f>
        <v>3897179.2439999999</v>
      </c>
      <c r="AG129" s="6">
        <f>[1]Production!AF37+[1]Production!AF39</f>
        <v>3951015.9825999998</v>
      </c>
      <c r="AH129" s="6">
        <f>[1]Production!AG37+[1]Production!AG39</f>
        <v>4005642.3289999999</v>
      </c>
      <c r="AI129" s="6">
        <f>[1]Production!AH37+[1]Production!AH39</f>
        <v>4061114.3774000001</v>
      </c>
      <c r="AJ129" s="6">
        <f>[1]Production!AI37+[1]Production!AI39</f>
        <v>4117466.4050000003</v>
      </c>
      <c r="AK129" s="6">
        <f>[1]Production!AJ37+[1]Production!AJ39</f>
        <v>4174716.8385999999</v>
      </c>
      <c r="AL129" s="6">
        <f>[1]Production!AK37+[1]Production!AK39</f>
        <v>4232873.6551999999</v>
      </c>
      <c r="AM129" s="6">
        <f>[1]Production!AL37+[1]Production!AL39</f>
        <v>4290336.3107000003</v>
      </c>
      <c r="AN129" s="6">
        <f>[1]Production!AM37+[1]Production!AM39</f>
        <v>4348130.1354</v>
      </c>
      <c r="AO129" s="6">
        <f>[1]Production!AN37+[1]Production!AN39</f>
        <v>4406408.0088999998</v>
      </c>
      <c r="AP129" s="6">
        <f>[1]Production!AO37+[1]Production!AO39</f>
        <v>4465271.4036999997</v>
      </c>
      <c r="AQ129" s="6">
        <f>[1]Production!AP37+[1]Production!AP39</f>
        <v>4524802.6091</v>
      </c>
      <c r="AR129" s="6">
        <f>[1]Production!AQ37+[1]Production!AQ39</f>
        <v>4585069.4672999997</v>
      </c>
      <c r="AS129" s="6">
        <f>[1]Production!AR37+[1]Production!AR39</f>
        <v>4646125.5937999999</v>
      </c>
      <c r="AT129" s="6">
        <f>[1]Production!AS37+[1]Production!AS39</f>
        <v>4708011.0259999996</v>
      </c>
      <c r="AU129" s="6">
        <f>[1]Production!AT37+[1]Production!AT39</f>
        <v>4770753.9419999998</v>
      </c>
      <c r="AV129" s="6">
        <f>[1]Production!AU37+[1]Production!AU39</f>
        <v>4834372.9059999995</v>
      </c>
      <c r="AW129" s="6">
        <f>[1]Production!AV37+[1]Production!AV39</f>
        <v>4899024.7340000002</v>
      </c>
      <c r="AX129" s="6">
        <f>[1]Production!AW37+[1]Production!AW39</f>
        <v>4964622.7760000005</v>
      </c>
      <c r="AY129" s="6">
        <f>[1]Production!AX37+[1]Production!AX39</f>
        <v>5031157.733</v>
      </c>
      <c r="AZ129" s="6">
        <f>[1]Production!AY37+[1]Production!AY39</f>
        <v>5098624.6909999996</v>
      </c>
      <c r="BA129" s="6">
        <f>[1]Production!AZ37+[1]Production!AZ39</f>
        <v>5167021.3330000006</v>
      </c>
      <c r="BB129" s="6">
        <f>[1]Production!BA37+[1]Production!BA39</f>
        <v>5236348.1439999994</v>
      </c>
      <c r="BC129" s="6">
        <f>[1]Production!BB37+[1]Production!BB39</f>
        <v>5306608.6620000005</v>
      </c>
      <c r="BD129" s="6">
        <f>[1]Production!BC37+[1]Production!BC39</f>
        <v>5377809.4609999992</v>
      </c>
      <c r="BE129" s="6">
        <f>[1]Production!BD37+[1]Production!BD39</f>
        <v>5449959.8780000005</v>
      </c>
      <c r="BF129" s="6">
        <f>[1]Production!BE37+[1]Production!BE39</f>
        <v>5523071.591</v>
      </c>
    </row>
    <row r="130" spans="1:58" x14ac:dyDescent="0.35">
      <c r="B130" t="s">
        <v>29</v>
      </c>
      <c r="C130" s="6">
        <f>[1]Production!B43+[1]Production!B47</f>
        <v>35878.822653199997</v>
      </c>
      <c r="D130" s="6">
        <f>[1]Production!C43+[1]Production!C47</f>
        <v>35277.7158786</v>
      </c>
      <c r="E130" s="6">
        <f>[1]Production!D43+[1]Production!D47</f>
        <v>35408.297123699995</v>
      </c>
      <c r="F130" s="6">
        <f>[1]Production!E43+[1]Production!E47</f>
        <v>35630.916592400004</v>
      </c>
      <c r="G130" s="6">
        <f>[1]Production!F43+[1]Production!F47</f>
        <v>35917.992069599997</v>
      </c>
      <c r="H130" s="6">
        <f>[1]Production!G43+[1]Production!G47</f>
        <v>36261.384445300006</v>
      </c>
      <c r="I130" s="6">
        <f>[1]Production!H43+[1]Production!H47</f>
        <v>36632.792481000004</v>
      </c>
      <c r="J130" s="6">
        <f>[1]Production!I43+[1]Production!I47</f>
        <v>37037.651797099999</v>
      </c>
      <c r="K130" s="6">
        <f>[1]Production!J43+[1]Production!J47</f>
        <v>37469.967395899999</v>
      </c>
      <c r="L130" s="6">
        <f>[1]Production!K43+[1]Production!K47</f>
        <v>37923.684527199999</v>
      </c>
      <c r="M130" s="6">
        <f>[1]Production!L43+[1]Production!L47</f>
        <v>38429.498917299999</v>
      </c>
      <c r="N130" s="6">
        <f>[1]Production!M43+[1]Production!M47</f>
        <v>38924.0742035</v>
      </c>
      <c r="O130" s="6">
        <f>[1]Production!N43+[1]Production!N47</f>
        <v>39426.046100599997</v>
      </c>
      <c r="P130" s="6">
        <f>[1]Production!O43+[1]Production!O47</f>
        <v>39935.033131299999</v>
      </c>
      <c r="Q130" s="6">
        <f>[1]Production!P43+[1]Production!P47</f>
        <v>40449.958804200003</v>
      </c>
      <c r="R130" s="6">
        <f>[1]Production!Q43+[1]Production!Q47</f>
        <v>40969.986794299999</v>
      </c>
      <c r="S130" s="6">
        <f>[1]Production!R43+[1]Production!R47</f>
        <v>41494.574339300001</v>
      </c>
      <c r="T130" s="6">
        <f>[1]Production!S43+[1]Production!S47</f>
        <v>42023.413850300007</v>
      </c>
      <c r="U130" s="6">
        <f>[1]Production!T43+[1]Production!T47</f>
        <v>42556.381120399994</v>
      </c>
      <c r="V130" s="6">
        <f>[1]Production!U43+[1]Production!U47</f>
        <v>43093.497560600001</v>
      </c>
      <c r="W130" s="6">
        <f>[1]Production!V43+[1]Production!V47</f>
        <v>43609.131131599999</v>
      </c>
      <c r="X130" s="6">
        <f>[1]Production!W43+[1]Production!W47</f>
        <v>44147.863713300001</v>
      </c>
      <c r="Y130" s="6">
        <f>[1]Production!X43+[1]Production!X47</f>
        <v>44693.858255800005</v>
      </c>
      <c r="Z130" s="6">
        <f>[1]Production!Y43+[1]Production!Y47</f>
        <v>45246.160407199997</v>
      </c>
      <c r="AA130" s="6">
        <f>[1]Production!Z43+[1]Production!Z47</f>
        <v>45804.882784100002</v>
      </c>
      <c r="AB130" s="6">
        <f>[1]Production!AA43+[1]Production!AA47</f>
        <v>46296.050121100001</v>
      </c>
      <c r="AC130" s="6">
        <f>[1]Production!AB43+[1]Production!AB47</f>
        <v>46812.6498594</v>
      </c>
      <c r="AD130" s="6">
        <f>[1]Production!AC43+[1]Production!AC47</f>
        <v>47333.3905285</v>
      </c>
      <c r="AE130" s="6">
        <f>[1]Production!AD43+[1]Production!AD47</f>
        <v>47858.022919000003</v>
      </c>
      <c r="AF130" s="6">
        <f>[1]Production!AE43+[1]Production!AE47</f>
        <v>48387.475442900002</v>
      </c>
      <c r="AG130" s="6">
        <f>[1]Production!AF43+[1]Production!AF47</f>
        <v>48922.750127500003</v>
      </c>
      <c r="AH130" s="6">
        <f>[1]Production!AG43+[1]Production!AG47</f>
        <v>49464.700056599999</v>
      </c>
      <c r="AI130" s="6">
        <f>[1]Production!AH43+[1]Production!AH47</f>
        <v>50013.961952900005</v>
      </c>
      <c r="AJ130" s="6">
        <f>[1]Production!AI43+[1]Production!AI47</f>
        <v>50571.022413500003</v>
      </c>
      <c r="AK130" s="6">
        <f>[1]Production!AJ43+[1]Production!AJ47</f>
        <v>51136.233094700001</v>
      </c>
      <c r="AL130" s="6">
        <f>[1]Production!AK43+[1]Production!AK47</f>
        <v>51709.831158199995</v>
      </c>
      <c r="AM130" s="6">
        <f>[1]Production!AL43+[1]Production!AL47</f>
        <v>52274.066702399999</v>
      </c>
      <c r="AN130" s="6">
        <f>[1]Production!AM43+[1]Production!AM47</f>
        <v>52841.798289000006</v>
      </c>
      <c r="AO130" s="6">
        <f>[1]Production!AN43+[1]Production!AN47</f>
        <v>53414.6799856</v>
      </c>
      <c r="AP130" s="6">
        <f>[1]Production!AO43+[1]Production!AO47</f>
        <v>53993.443754799999</v>
      </c>
      <c r="AQ130" s="6">
        <f>[1]Production!AP43+[1]Production!AP47</f>
        <v>54578.606890999996</v>
      </c>
      <c r="AR130" s="6">
        <f>[1]Production!AQ43+[1]Production!AQ47</f>
        <v>55170.5895972</v>
      </c>
      <c r="AS130" s="6">
        <f>[1]Production!AR43+[1]Production!AR47</f>
        <v>55769.728592899999</v>
      </c>
      <c r="AT130" s="6">
        <f>[1]Production!AS43+[1]Production!AS47</f>
        <v>56376.279558900002</v>
      </c>
      <c r="AU130" s="6">
        <f>[1]Production!AT43+[1]Production!AT47</f>
        <v>56990.425273400004</v>
      </c>
      <c r="AV130" s="6">
        <f>[1]Production!AU43+[1]Production!AU47</f>
        <v>57612.308277199998</v>
      </c>
      <c r="AW130" s="6">
        <f>[1]Production!AV43+[1]Production!AV47</f>
        <v>58243.687403600001</v>
      </c>
      <c r="AX130" s="6">
        <f>[1]Production!AW43+[1]Production!AW47</f>
        <v>58883.528944700003</v>
      </c>
      <c r="AY130" s="6">
        <f>[1]Production!AX43+[1]Production!AX47</f>
        <v>59531.785037299996</v>
      </c>
      <c r="AZ130" s="6">
        <f>[1]Production!AY43+[1]Production!AY47</f>
        <v>60188.460517</v>
      </c>
      <c r="BA130" s="6">
        <f>[1]Production!AZ43+[1]Production!AZ47</f>
        <v>60853.558461599998</v>
      </c>
      <c r="BB130" s="6">
        <f>[1]Production!BA43+[1]Production!BA47</f>
        <v>61527.081042999998</v>
      </c>
      <c r="BC130" s="6">
        <f>[1]Production!BB43+[1]Production!BB47</f>
        <v>62209.037830899993</v>
      </c>
      <c r="BD130" s="6">
        <f>[1]Production!BC43+[1]Production!BC47</f>
        <v>62899.452133699997</v>
      </c>
      <c r="BE130" s="6">
        <f>[1]Production!BD43+[1]Production!BD47</f>
        <v>63598.3641241</v>
      </c>
      <c r="BF130" s="6">
        <f>[1]Production!BE43+[1]Production!BE47</f>
        <v>64305.831173899998</v>
      </c>
    </row>
    <row r="131" spans="1:58" x14ac:dyDescent="0.35">
      <c r="B131" t="s">
        <v>36</v>
      </c>
      <c r="C131" s="6">
        <f>[1]Production!B45+[1]Production!B49</f>
        <v>4493.4727549999998</v>
      </c>
      <c r="D131" s="6">
        <f>[1]Production!C45+[1]Production!C49</f>
        <v>4420.9524039999997</v>
      </c>
      <c r="E131" s="6">
        <f>[1]Production!D45+[1]Production!D49</f>
        <v>4430.9222402000005</v>
      </c>
      <c r="F131" s="6">
        <f>[1]Production!E45+[1]Production!E49</f>
        <v>4451.3310455999999</v>
      </c>
      <c r="G131" s="6">
        <f>[1]Production!F45+[1]Production!F49</f>
        <v>4480.7744258000002</v>
      </c>
      <c r="H131" s="6">
        <f>[1]Production!G45+[1]Production!G49</f>
        <v>4518.3930233999999</v>
      </c>
      <c r="I131" s="6">
        <f>[1]Production!H45+[1]Production!H49</f>
        <v>4560.7036276999997</v>
      </c>
      <c r="J131" s="6">
        <f>[1]Production!I45+[1]Production!I49</f>
        <v>4607.9973520000003</v>
      </c>
      <c r="K131" s="6">
        <f>[1]Production!J45+[1]Production!J49</f>
        <v>4659.3246335000003</v>
      </c>
      <c r="L131" s="6">
        <f>[1]Production!K45+[1]Production!K49</f>
        <v>4713.8459280999996</v>
      </c>
      <c r="M131" s="6">
        <f>[1]Production!L45+[1]Production!L49</f>
        <v>4774.8105048000007</v>
      </c>
      <c r="N131" s="6">
        <f>[1]Production!M45+[1]Production!M49</f>
        <v>4834.9675889999999</v>
      </c>
      <c r="O131" s="6">
        <f>[1]Production!N45+[1]Production!N49</f>
        <v>4896.3761320000003</v>
      </c>
      <c r="P131" s="6">
        <f>[1]Production!O45+[1]Production!O49</f>
        <v>4958.8761936999999</v>
      </c>
      <c r="Q131" s="6">
        <f>[1]Production!P45+[1]Production!P49</f>
        <v>5022.2691219999997</v>
      </c>
      <c r="R131" s="6">
        <f>[1]Production!Q45+[1]Production!Q49</f>
        <v>5086.3971230999996</v>
      </c>
      <c r="S131" s="6">
        <f>[1]Production!R45+[1]Production!R49</f>
        <v>5151.1455001000004</v>
      </c>
      <c r="T131" s="6">
        <f>[1]Production!S45+[1]Production!S49</f>
        <v>5216.4347589999998</v>
      </c>
      <c r="U131" s="6">
        <f>[1]Production!T45+[1]Production!T49</f>
        <v>5282.2134005999997</v>
      </c>
      <c r="V131" s="6">
        <f>[1]Production!U45+[1]Production!U49</f>
        <v>5348.4523637000002</v>
      </c>
      <c r="W131" s="6">
        <f>[1]Production!V45+[1]Production!V49</f>
        <v>5412.2169574</v>
      </c>
      <c r="X131" s="6">
        <f>[1]Production!W45+[1]Production!W49</f>
        <v>5478.5099355000002</v>
      </c>
      <c r="Y131" s="6">
        <f>[1]Production!X45+[1]Production!X49</f>
        <v>5545.5050356000002</v>
      </c>
      <c r="Z131" s="6">
        <f>[1]Production!Y45+[1]Production!Y49</f>
        <v>5613.1206506999997</v>
      </c>
      <c r="AA131" s="6">
        <f>[1]Production!Z45+[1]Production!Z49</f>
        <v>5681.3694890999996</v>
      </c>
      <c r="AB131" s="6">
        <f>[1]Production!AA45+[1]Production!AA49</f>
        <v>5741.8466641999994</v>
      </c>
      <c r="AC131" s="6">
        <f>[1]Production!AB45+[1]Production!AB49</f>
        <v>5805.0154469999998</v>
      </c>
      <c r="AD131" s="6">
        <f>[1]Production!AC45+[1]Production!AC49</f>
        <v>5868.3771624999999</v>
      </c>
      <c r="AE131" s="6">
        <f>[1]Production!AD45+[1]Production!AD49</f>
        <v>5931.9612407000004</v>
      </c>
      <c r="AF131" s="6">
        <f>[1]Production!AE45+[1]Production!AE49</f>
        <v>5995.9030896999993</v>
      </c>
      <c r="AG131" s="6">
        <f>[1]Production!AF45+[1]Production!AF49</f>
        <v>6060.3403109999999</v>
      </c>
      <c r="AH131" s="6">
        <f>[1]Production!AG45+[1]Production!AG49</f>
        <v>6125.3904883999994</v>
      </c>
      <c r="AI131" s="6">
        <f>[1]Production!AH45+[1]Production!AH49</f>
        <v>6191.1464980000001</v>
      </c>
      <c r="AJ131" s="6">
        <f>[1]Production!AI45+[1]Production!AI49</f>
        <v>6257.6806410999998</v>
      </c>
      <c r="AK131" s="6">
        <f>[1]Production!AJ45+[1]Production!AJ49</f>
        <v>6325.0472342000003</v>
      </c>
      <c r="AL131" s="6">
        <f>[1]Production!AK45+[1]Production!AK49</f>
        <v>6393.2857887999999</v>
      </c>
      <c r="AM131" s="6">
        <f>[1]Production!AL45+[1]Production!AL49</f>
        <v>6460.3917696000008</v>
      </c>
      <c r="AN131" s="6">
        <f>[1]Production!AM45+[1]Production!AM49</f>
        <v>6527.8185604999999</v>
      </c>
      <c r="AO131" s="6">
        <f>[1]Production!AN45+[1]Production!AN49</f>
        <v>6595.7348671</v>
      </c>
      <c r="AP131" s="6">
        <f>[1]Production!AO45+[1]Production!AO49</f>
        <v>6664.2312056000001</v>
      </c>
      <c r="AQ131" s="6">
        <f>[1]Production!AP45+[1]Production!AP49</f>
        <v>6733.3803504999996</v>
      </c>
      <c r="AR131" s="6">
        <f>[1]Production!AQ45+[1]Production!AQ49</f>
        <v>6803.2452528000003</v>
      </c>
      <c r="AS131" s="6">
        <f>[1]Production!AR45+[1]Production!AR49</f>
        <v>6873.8785333999995</v>
      </c>
      <c r="AT131" s="6">
        <f>[1]Production!AS45+[1]Production!AS49</f>
        <v>6945.3218541999995</v>
      </c>
      <c r="AU131" s="6">
        <f>[1]Production!AT45+[1]Production!AT49</f>
        <v>7017.6064555000003</v>
      </c>
      <c r="AV131" s="6">
        <f>[1]Production!AU45+[1]Production!AU49</f>
        <v>7090.7559145999994</v>
      </c>
      <c r="AW131" s="6">
        <f>[1]Production!AV45+[1]Production!AV49</f>
        <v>7164.9730743</v>
      </c>
      <c r="AX131" s="6">
        <f>[1]Production!AW45+[1]Production!AW49</f>
        <v>7240.1425046000004</v>
      </c>
      <c r="AY131" s="6">
        <f>[1]Production!AX45+[1]Production!AX49</f>
        <v>7316.2607613</v>
      </c>
      <c r="AZ131" s="6">
        <f>[1]Production!AY45+[1]Production!AY49</f>
        <v>7393.3275846000006</v>
      </c>
      <c r="BA131" s="6">
        <f>[1]Production!AZ45+[1]Production!AZ49</f>
        <v>7471.3417135</v>
      </c>
      <c r="BB131" s="6">
        <f>[1]Production!BA45+[1]Production!BA49</f>
        <v>7550.3014187000008</v>
      </c>
      <c r="BC131" s="6">
        <f>[1]Production!BB45+[1]Production!BB49</f>
        <v>7630.2055151000004</v>
      </c>
      <c r="BD131" s="6">
        <f>[1]Production!BC45+[1]Production!BC49</f>
        <v>7711.0540784999994</v>
      </c>
      <c r="BE131" s="6">
        <f>[1]Production!BD45+[1]Production!BD49</f>
        <v>7792.8487679999998</v>
      </c>
      <c r="BF131" s="6">
        <f>[1]Production!BE45+[1]Production!BE49</f>
        <v>7875.5928480000002</v>
      </c>
    </row>
    <row r="132" spans="1:58" x14ac:dyDescent="0.35">
      <c r="B132" t="s">
        <v>33</v>
      </c>
      <c r="C132" s="6">
        <f>[1]Production!B51+[1]Production!B53+[1]Production!B55+[1]Production!B57+[1]Production!B59+[1]Production!B61+[1]Production!B63+[1]Production!B65+[1]Production!B67</f>
        <v>67874.257154699997</v>
      </c>
      <c r="D132" s="6">
        <f>[1]Production!C51+[1]Production!C53+[1]Production!C55+[1]Production!C57+[1]Production!C59+[1]Production!C61+[1]Production!C63+[1]Production!C65+[1]Production!C67</f>
        <v>67559.701448999986</v>
      </c>
      <c r="E132" s="6">
        <f>[1]Production!D51+[1]Production!D53+[1]Production!D55+[1]Production!D57+[1]Production!D59+[1]Production!D61+[1]Production!D63+[1]Production!D65+[1]Production!D67</f>
        <v>67775.109554800001</v>
      </c>
      <c r="F132" s="6">
        <f>[1]Production!E51+[1]Production!E53+[1]Production!E55+[1]Production!E57+[1]Production!E59+[1]Production!E61+[1]Production!E63+[1]Production!E65+[1]Production!E67</f>
        <v>68100.66994610001</v>
      </c>
      <c r="G132" s="6">
        <f>[1]Production!F51+[1]Production!F53+[1]Production!F55+[1]Production!F57+[1]Production!F59+[1]Production!F61+[1]Production!F63+[1]Production!F65+[1]Production!F67</f>
        <v>68520.650070499993</v>
      </c>
      <c r="H132" s="6">
        <f>[1]Production!G51+[1]Production!G53+[1]Production!G55+[1]Production!G57+[1]Production!G59+[1]Production!G61+[1]Production!G63+[1]Production!G65+[1]Production!G67</f>
        <v>69033.450107299985</v>
      </c>
      <c r="I132" s="6">
        <f>[1]Production!H51+[1]Production!H53+[1]Production!H55+[1]Production!H57+[1]Production!H59+[1]Production!H61+[1]Production!H63+[1]Production!H65+[1]Production!H67</f>
        <v>69592.553768600003</v>
      </c>
      <c r="J132" s="6">
        <f>[1]Production!I51+[1]Production!I53+[1]Production!I55+[1]Production!I57+[1]Production!I59+[1]Production!I61+[1]Production!I63+[1]Production!I65+[1]Production!I67</f>
        <v>70202.374964999995</v>
      </c>
      <c r="K132" s="6">
        <f>[1]Production!J51+[1]Production!J53+[1]Production!J55+[1]Production!J57+[1]Production!J59+[1]Production!J61+[1]Production!J63+[1]Production!J65+[1]Production!J67</f>
        <v>70852.073109500008</v>
      </c>
      <c r="L132" s="6">
        <f>[1]Production!K51+[1]Production!K53+[1]Production!K55+[1]Production!K57+[1]Production!K59+[1]Production!K61+[1]Production!K63+[1]Production!K65+[1]Production!K67</f>
        <v>71528.202462800007</v>
      </c>
      <c r="M132" s="6">
        <f>[1]Production!L51+[1]Production!L53+[1]Production!L55+[1]Production!L57+[1]Production!L59+[1]Production!L61+[1]Production!L63+[1]Production!L65+[1]Production!L67</f>
        <v>72279.581326899992</v>
      </c>
      <c r="N132" s="6">
        <f>[1]Production!M51+[1]Production!M53+[1]Production!M55+[1]Production!M57+[1]Production!M59+[1]Production!M61+[1]Production!M63+[1]Production!M65+[1]Production!M67</f>
        <v>73000.387832999986</v>
      </c>
      <c r="O132" s="6">
        <f>[1]Production!N51+[1]Production!N53+[1]Production!N55+[1]Production!N57+[1]Production!N59+[1]Production!N61+[1]Production!N63+[1]Production!N65+[1]Production!N67</f>
        <v>73710.867564600005</v>
      </c>
      <c r="P132" s="6">
        <f>[1]Production!O51+[1]Production!O53+[1]Production!O55+[1]Production!O57+[1]Production!O59+[1]Production!O61+[1]Production!O63+[1]Production!O65+[1]Production!O67</f>
        <v>74413.848159100002</v>
      </c>
      <c r="Q132" s="6">
        <f>[1]Production!P51+[1]Production!P53+[1]Production!P55+[1]Production!P57+[1]Production!P59+[1]Production!P61+[1]Production!P63+[1]Production!P65+[1]Production!P67</f>
        <v>75110.373237299995</v>
      </c>
      <c r="R132" s="6">
        <f>[1]Production!Q51+[1]Production!Q53+[1]Production!Q55+[1]Production!Q57+[1]Production!Q59+[1]Production!Q61+[1]Production!Q63+[1]Production!Q65+[1]Production!Q67</f>
        <v>75801.461534700007</v>
      </c>
      <c r="S132" s="6">
        <f>[1]Production!R51+[1]Production!R53+[1]Production!R55+[1]Production!R57+[1]Production!R59+[1]Production!R61+[1]Production!R63+[1]Production!R65+[1]Production!R67</f>
        <v>76488.233496900008</v>
      </c>
      <c r="T132" s="6">
        <f>[1]Production!S51+[1]Production!S53+[1]Production!S55+[1]Production!S57+[1]Production!S59+[1]Production!S61+[1]Production!S63+[1]Production!S65+[1]Production!S67</f>
        <v>77171.9004976</v>
      </c>
      <c r="U132" s="6">
        <f>[1]Production!T51+[1]Production!T53+[1]Production!T55+[1]Production!T57+[1]Production!T59+[1]Production!T61+[1]Production!T63+[1]Production!T65+[1]Production!T67</f>
        <v>77853.801078000004</v>
      </c>
      <c r="V132" s="6">
        <f>[1]Production!U51+[1]Production!U53+[1]Production!U55+[1]Production!U57+[1]Production!U59+[1]Production!U61+[1]Production!U63+[1]Production!U65+[1]Production!U67</f>
        <v>78535.440246200014</v>
      </c>
      <c r="W132" s="6">
        <f>[1]Production!V51+[1]Production!V53+[1]Production!V55+[1]Production!V57+[1]Production!V59+[1]Production!V61+[1]Production!V63+[1]Production!V65+[1]Production!V67</f>
        <v>79173.816953699992</v>
      </c>
      <c r="X132" s="6">
        <f>[1]Production!W51+[1]Production!W53+[1]Production!W55+[1]Production!W57+[1]Production!W59+[1]Production!W61+[1]Production!W63+[1]Production!W65+[1]Production!W67</f>
        <v>79842.323617200003</v>
      </c>
      <c r="Y132" s="6">
        <f>[1]Production!X51+[1]Production!X53+[1]Production!X55+[1]Production!X57+[1]Production!X59+[1]Production!X61+[1]Production!X63+[1]Production!X65+[1]Production!X67</f>
        <v>80523.864290200014</v>
      </c>
      <c r="Z132" s="6">
        <f>[1]Production!Y51+[1]Production!Y53+[1]Production!Y55+[1]Production!Y57+[1]Production!Y59+[1]Production!Y61+[1]Production!Y63+[1]Production!Y65+[1]Production!Y67</f>
        <v>81216.222070899996</v>
      </c>
      <c r="AA132" s="6">
        <f>[1]Production!Z51+[1]Production!Z53+[1]Production!Z55+[1]Production!Z57+[1]Production!Z59+[1]Production!Z61+[1]Production!Z63+[1]Production!Z65+[1]Production!Z67</f>
        <v>81919.956798200001</v>
      </c>
      <c r="AB132" s="6">
        <f>[1]Production!AA51+[1]Production!AA53+[1]Production!AA55+[1]Production!AA57+[1]Production!AA59+[1]Production!AA61+[1]Production!AA63+[1]Production!AA65+[1]Production!AA67</f>
        <v>82509.224525999991</v>
      </c>
      <c r="AC132" s="6">
        <f>[1]Production!AB51+[1]Production!AB53+[1]Production!AB55+[1]Production!AB57+[1]Production!AB59+[1]Production!AB61+[1]Production!AB63+[1]Production!AB65+[1]Production!AB67</f>
        <v>83128.839566200011</v>
      </c>
      <c r="AD132" s="6">
        <f>[1]Production!AC51+[1]Production!AC53+[1]Production!AC55+[1]Production!AC57+[1]Production!AC59+[1]Production!AC61+[1]Production!AC63+[1]Production!AC65+[1]Production!AC67</f>
        <v>83761.469668299993</v>
      </c>
      <c r="AE132" s="6">
        <f>[1]Production!AD51+[1]Production!AD53+[1]Production!AD55+[1]Production!AD57+[1]Production!AD59+[1]Production!AD61+[1]Production!AD63+[1]Production!AD65+[1]Production!AD67</f>
        <v>84406.752320300002</v>
      </c>
      <c r="AF132" s="6">
        <f>[1]Production!AE51+[1]Production!AE53+[1]Production!AE55+[1]Production!AE57+[1]Production!AE59+[1]Production!AE61+[1]Production!AE63+[1]Production!AE65+[1]Production!AE67</f>
        <v>85066.516305199999</v>
      </c>
      <c r="AG132" s="6">
        <f>[1]Production!AF51+[1]Production!AF53+[1]Production!AF55+[1]Production!AF57+[1]Production!AF59+[1]Production!AF61+[1]Production!AF63+[1]Production!AF65+[1]Production!AF67</f>
        <v>85742.748369399982</v>
      </c>
      <c r="AH132" s="6">
        <f>[1]Production!AG51+[1]Production!AG53+[1]Production!AG55+[1]Production!AG57+[1]Production!AG59+[1]Production!AG61+[1]Production!AG63+[1]Production!AG65+[1]Production!AG67</f>
        <v>86437.087075699994</v>
      </c>
      <c r="AI132" s="6">
        <f>[1]Production!AH51+[1]Production!AH53+[1]Production!AH55+[1]Production!AH57+[1]Production!AH59+[1]Production!AH61+[1]Production!AH63+[1]Production!AH65+[1]Production!AH67</f>
        <v>87150.747229400018</v>
      </c>
      <c r="AJ132" s="6">
        <f>[1]Production!AI51+[1]Production!AI53+[1]Production!AI55+[1]Production!AI57+[1]Production!AI59+[1]Production!AI61+[1]Production!AI63+[1]Production!AI65+[1]Production!AI67</f>
        <v>87884.519509899983</v>
      </c>
      <c r="AK132" s="6">
        <f>[1]Production!AJ51+[1]Production!AJ53+[1]Production!AJ55+[1]Production!AJ57+[1]Production!AJ59+[1]Production!AJ61+[1]Production!AJ63+[1]Production!AJ65+[1]Production!AJ67</f>
        <v>88638.815528699997</v>
      </c>
      <c r="AL132" s="6">
        <f>[1]Production!AK51+[1]Production!AK53+[1]Production!AK55+[1]Production!AK57+[1]Production!AK59+[1]Production!AK61+[1]Production!AK63+[1]Production!AK65+[1]Production!AK67</f>
        <v>89413.72891819998</v>
      </c>
      <c r="AM132" s="6">
        <f>[1]Production!AL51+[1]Production!AL53+[1]Production!AL55+[1]Production!AL57+[1]Production!AL59+[1]Production!AL61+[1]Production!AL63+[1]Production!AL65+[1]Production!AL67</f>
        <v>90179.21952340001</v>
      </c>
      <c r="AN132" s="6">
        <f>[1]Production!AM51+[1]Production!AM53+[1]Production!AM55+[1]Production!AM57+[1]Production!AM59+[1]Production!AM61+[1]Production!AM63+[1]Production!AM65+[1]Production!AM67</f>
        <v>90952.631036899984</v>
      </c>
      <c r="AO132" s="6">
        <f>[1]Production!AN51+[1]Production!AN53+[1]Production!AN55+[1]Production!AN57+[1]Production!AN59+[1]Production!AN61+[1]Production!AN63+[1]Production!AN65+[1]Production!AN67</f>
        <v>91738.500532599981</v>
      </c>
      <c r="AP132" s="6">
        <f>[1]Production!AO51+[1]Production!AO53+[1]Production!AO55+[1]Production!AO57+[1]Production!AO59+[1]Production!AO61+[1]Production!AO63+[1]Production!AO65+[1]Production!AO67</f>
        <v>92538.588215700001</v>
      </c>
      <c r="AQ132" s="6">
        <f>[1]Production!AP51+[1]Production!AP53+[1]Production!AP55+[1]Production!AP57+[1]Production!AP59+[1]Production!AP61+[1]Production!AP63+[1]Production!AP65+[1]Production!AP67</f>
        <v>93353.722468800013</v>
      </c>
      <c r="AR132" s="6">
        <f>[1]Production!AQ51+[1]Production!AQ53+[1]Production!AQ55+[1]Production!AQ57+[1]Production!AQ59+[1]Production!AQ61+[1]Production!AQ63+[1]Production!AQ65+[1]Production!AQ67</f>
        <v>94184.315236599985</v>
      </c>
      <c r="AS132" s="6">
        <f>[1]Production!AR51+[1]Production!AR53+[1]Production!AR55+[1]Production!AR57+[1]Production!AR59+[1]Production!AR61+[1]Production!AR63+[1]Production!AR65+[1]Production!AR67</f>
        <v>95030.530376299983</v>
      </c>
      <c r="AT132" s="6">
        <f>[1]Production!AS51+[1]Production!AS53+[1]Production!AS55+[1]Production!AS57+[1]Production!AS59+[1]Production!AS61+[1]Production!AS63+[1]Production!AS65+[1]Production!AS67</f>
        <v>95892.358051999996</v>
      </c>
      <c r="AU132" s="6">
        <f>[1]Production!AT51+[1]Production!AT53+[1]Production!AT55+[1]Production!AT57+[1]Production!AT59+[1]Production!AT61+[1]Production!AT63+[1]Production!AT65+[1]Production!AT67</f>
        <v>96769.663317299986</v>
      </c>
      <c r="AV132" s="6">
        <f>[1]Production!AU51+[1]Production!AU53+[1]Production!AU55+[1]Production!AU57+[1]Production!AU59+[1]Production!AU61+[1]Production!AU63+[1]Production!AU65+[1]Production!AU67</f>
        <v>97662.357315100002</v>
      </c>
      <c r="AW132" s="6">
        <f>[1]Production!AV51+[1]Production!AV53+[1]Production!AV55+[1]Production!AV57+[1]Production!AV59+[1]Production!AV61+[1]Production!AV63+[1]Production!AV65+[1]Production!AV67</f>
        <v>98573.257190000018</v>
      </c>
      <c r="AX132" s="6">
        <f>[1]Production!AW51+[1]Production!AW53+[1]Production!AW55+[1]Production!AW57+[1]Production!AW59+[1]Production!AW61+[1]Production!AW63+[1]Production!AW65+[1]Production!AW67</f>
        <v>99501.056051799998</v>
      </c>
      <c r="AY132" s="6">
        <f>[1]Production!AX51+[1]Production!AX53+[1]Production!AX55+[1]Production!AX57+[1]Production!AX59+[1]Production!AX61+[1]Production!AX63+[1]Production!AX65+[1]Production!AX67</f>
        <v>100445.5468936</v>
      </c>
      <c r="AZ132" s="6">
        <f>[1]Production!AY51+[1]Production!AY53+[1]Production!AY55+[1]Production!AY57+[1]Production!AY59+[1]Production!AY61+[1]Production!AY63+[1]Production!AY65+[1]Production!AY67</f>
        <v>101406.67050600001</v>
      </c>
      <c r="BA132" s="6">
        <f>[1]Production!AZ51+[1]Production!AZ53+[1]Production!AZ55+[1]Production!AZ57+[1]Production!AZ59+[1]Production!AZ61+[1]Production!AZ63+[1]Production!AZ65+[1]Production!AZ67</f>
        <v>102384.37270779999</v>
      </c>
      <c r="BB132" s="6">
        <f>[1]Production!BA51+[1]Production!BA53+[1]Production!BA55+[1]Production!BA57+[1]Production!BA59+[1]Production!BA61+[1]Production!BA63+[1]Production!BA65+[1]Production!BA67</f>
        <v>103378.60340379999</v>
      </c>
      <c r="BC132" s="6">
        <f>[1]Production!BB51+[1]Production!BB53+[1]Production!BB55+[1]Production!BB57+[1]Production!BB59+[1]Production!BB61+[1]Production!BB63+[1]Production!BB65+[1]Production!BB67</f>
        <v>104389.34413690002</v>
      </c>
      <c r="BD132" s="6">
        <f>[1]Production!BC51+[1]Production!BC53+[1]Production!BC55+[1]Production!BC57+[1]Production!BC59+[1]Production!BC61+[1]Production!BC63+[1]Production!BC65+[1]Production!BC67</f>
        <v>105416.63172219999</v>
      </c>
      <c r="BE132" s="6">
        <f>[1]Production!BD51+[1]Production!BD53+[1]Production!BD55+[1]Production!BD57+[1]Production!BD59+[1]Production!BD61+[1]Production!BD63+[1]Production!BD65+[1]Production!BD67</f>
        <v>106460.5712714</v>
      </c>
      <c r="BF132" s="6">
        <f>[1]Production!BE51+[1]Production!BE53+[1]Production!BE55+[1]Production!BE57+[1]Production!BE59+[1]Production!BE61+[1]Production!BE63+[1]Production!BE65+[1]Production!BE67</f>
        <v>107521.33975179998</v>
      </c>
    </row>
    <row r="133" spans="1:58" x14ac:dyDescent="0.35"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</row>
    <row r="134" spans="1:58" x14ac:dyDescent="0.35">
      <c r="C134" s="2"/>
    </row>
    <row r="135" spans="1:58" x14ac:dyDescent="0.35">
      <c r="A135" s="12" t="s">
        <v>82</v>
      </c>
      <c r="B135" t="s">
        <v>24</v>
      </c>
      <c r="C135" s="2">
        <v>42005</v>
      </c>
      <c r="D135" s="2">
        <v>42370</v>
      </c>
      <c r="E135" s="2">
        <v>42736</v>
      </c>
      <c r="F135" s="2">
        <v>43101</v>
      </c>
      <c r="G135" s="2">
        <v>43466</v>
      </c>
      <c r="H135" s="2">
        <v>43831</v>
      </c>
      <c r="I135" s="2">
        <v>44197</v>
      </c>
      <c r="J135" s="2">
        <v>44562</v>
      </c>
      <c r="K135" s="2">
        <v>44927</v>
      </c>
      <c r="L135" s="2">
        <v>45292</v>
      </c>
      <c r="M135" s="2">
        <v>45658</v>
      </c>
      <c r="N135" s="2">
        <v>46023</v>
      </c>
      <c r="O135" s="2">
        <v>46388</v>
      </c>
      <c r="P135" s="2">
        <v>46753</v>
      </c>
      <c r="Q135" s="2">
        <v>47119</v>
      </c>
      <c r="R135" s="2">
        <v>47484</v>
      </c>
      <c r="S135" s="2">
        <v>47849</v>
      </c>
      <c r="T135" s="2">
        <v>48214</v>
      </c>
      <c r="U135" s="2">
        <v>48580</v>
      </c>
      <c r="V135" s="2">
        <v>48945</v>
      </c>
      <c r="W135" s="2">
        <v>49310</v>
      </c>
      <c r="X135" s="2">
        <v>49675</v>
      </c>
      <c r="Y135" s="2">
        <v>50041</v>
      </c>
      <c r="Z135" s="2">
        <v>50406</v>
      </c>
      <c r="AA135" s="2">
        <v>50771</v>
      </c>
      <c r="AB135" s="2">
        <v>51136</v>
      </c>
      <c r="AC135" s="2">
        <v>51502</v>
      </c>
      <c r="AD135" s="2">
        <v>51867</v>
      </c>
      <c r="AE135" s="2">
        <v>52232</v>
      </c>
      <c r="AF135" s="2">
        <v>52597</v>
      </c>
      <c r="AG135" s="2">
        <v>52963</v>
      </c>
      <c r="AH135" s="2">
        <v>53328</v>
      </c>
      <c r="AI135" s="2">
        <v>53693</v>
      </c>
      <c r="AJ135" s="2">
        <v>54058</v>
      </c>
      <c r="AK135" s="2">
        <v>54424</v>
      </c>
      <c r="AL135" s="2">
        <v>54789</v>
      </c>
      <c r="AM135" s="2">
        <v>54790</v>
      </c>
      <c r="AN135" s="2">
        <v>54791</v>
      </c>
      <c r="AO135" s="2">
        <v>54792</v>
      </c>
      <c r="AP135" s="2">
        <v>54793</v>
      </c>
      <c r="AQ135" s="2">
        <v>54794</v>
      </c>
      <c r="AR135" s="2">
        <v>54795</v>
      </c>
      <c r="AS135" s="2">
        <v>54796</v>
      </c>
      <c r="AT135" s="2">
        <v>54797</v>
      </c>
      <c r="AU135" s="2">
        <v>54798</v>
      </c>
      <c r="AV135" s="2">
        <v>54799</v>
      </c>
      <c r="AW135" s="2">
        <v>54800</v>
      </c>
      <c r="AX135" s="2">
        <v>54801</v>
      </c>
      <c r="AY135" s="2">
        <v>54802</v>
      </c>
      <c r="AZ135" s="2">
        <v>54803</v>
      </c>
      <c r="BA135" s="2">
        <v>54804</v>
      </c>
      <c r="BB135" s="2">
        <v>54805</v>
      </c>
      <c r="BC135" s="2">
        <v>54806</v>
      </c>
      <c r="BD135" s="2">
        <v>54807</v>
      </c>
      <c r="BE135" s="2">
        <v>54808</v>
      </c>
      <c r="BF135" s="2">
        <v>54809</v>
      </c>
    </row>
    <row r="136" spans="1:58" x14ac:dyDescent="0.35">
      <c r="A136" t="s">
        <v>39</v>
      </c>
      <c r="B136" t="s">
        <v>27</v>
      </c>
      <c r="C136" s="6">
        <f>[1]Production!B2</f>
        <v>3854232.906</v>
      </c>
      <c r="D136" s="6">
        <f>[1]Production!C2</f>
        <v>3830743.2549999999</v>
      </c>
      <c r="E136" s="6">
        <f>[1]Production!D2</f>
        <v>3861924.213</v>
      </c>
      <c r="F136" s="6">
        <f>[1]Production!E2</f>
        <v>3902296.4920000001</v>
      </c>
      <c r="G136" s="6">
        <f>[1]Production!F2</f>
        <v>3948882.62</v>
      </c>
      <c r="H136" s="6">
        <f>[1]Production!G2</f>
        <v>4000399.3859999999</v>
      </c>
      <c r="I136" s="6">
        <f>[1]Production!H2</f>
        <v>4053388.9789999998</v>
      </c>
      <c r="J136" s="6">
        <f>[1]Production!I2</f>
        <v>4108930.9219999998</v>
      </c>
      <c r="K136" s="6">
        <f>[1]Production!J2</f>
        <v>4166752.915</v>
      </c>
      <c r="L136" s="6">
        <f>[1]Production!K2</f>
        <v>4226554.6059999997</v>
      </c>
      <c r="M136" s="6">
        <f>[1]Production!L2</f>
        <v>4292477.0259999996</v>
      </c>
      <c r="N136" s="6">
        <f>[1]Production!M2</f>
        <v>4356614.62</v>
      </c>
      <c r="O136" s="6">
        <f>[1]Production!N2</f>
        <v>4421485.2130000005</v>
      </c>
      <c r="P136" s="6">
        <f>[1]Production!O2</f>
        <v>4487111.8229999999</v>
      </c>
      <c r="Q136" s="6">
        <f>[1]Production!P2</f>
        <v>4553451.9740000004</v>
      </c>
      <c r="R136" s="6">
        <f>[1]Production!Q2</f>
        <v>4620480.7259999998</v>
      </c>
      <c r="S136" s="6">
        <f>[1]Production!R2</f>
        <v>4687899.477</v>
      </c>
      <c r="T136" s="6">
        <f>[1]Production!S2</f>
        <v>4755970.4869999997</v>
      </c>
      <c r="U136" s="6">
        <f>[1]Production!T2</f>
        <v>4824759.8059999999</v>
      </c>
      <c r="V136" s="6">
        <f>[1]Production!U2</f>
        <v>4894327.2690000003</v>
      </c>
      <c r="W136" s="6">
        <f>[1]Production!V2</f>
        <v>4961472.3669999996</v>
      </c>
      <c r="X136" s="6">
        <f>[1]Production!W2</f>
        <v>5031665.3870000001</v>
      </c>
      <c r="Y136" s="6">
        <f>[1]Production!X2</f>
        <v>5103127.6849999996</v>
      </c>
      <c r="Z136" s="6">
        <f>[1]Production!Y2</f>
        <v>5175791.909</v>
      </c>
      <c r="AA136" s="6">
        <f>[1]Production!Z2</f>
        <v>5249656.8210000005</v>
      </c>
      <c r="AB136" s="6">
        <f>[1]Production!AA2</f>
        <v>5315366.17</v>
      </c>
      <c r="AC136" s="6">
        <f>[1]Production!AB2</f>
        <v>5384150.7209999999</v>
      </c>
      <c r="AD136" s="6">
        <f>[1]Production!AC2</f>
        <v>5453555.1220000004</v>
      </c>
      <c r="AE136" s="6">
        <f>[1]Production!AD2</f>
        <v>5523677.926</v>
      </c>
      <c r="AF136" s="6">
        <f>[1]Production!AE2</f>
        <v>5594670.7640000004</v>
      </c>
      <c r="AG136" s="6">
        <f>[1]Production!AF2</f>
        <v>5666665.233</v>
      </c>
      <c r="AH136" s="6">
        <f>[1]Production!AG2</f>
        <v>5739825.6370000001</v>
      </c>
      <c r="AI136" s="6">
        <f>[1]Production!AH2</f>
        <v>5814163.2699999996</v>
      </c>
      <c r="AJ136" s="6">
        <f>[1]Production!AI2</f>
        <v>5889707.8130000001</v>
      </c>
      <c r="AK136" s="6">
        <f>[1]Production!AJ2</f>
        <v>5966471.7280000001</v>
      </c>
      <c r="AL136" s="6">
        <f>[1]Production!AK2</f>
        <v>6044455.4299999997</v>
      </c>
      <c r="AM136" s="6">
        <f>[1]Production!AL2</f>
        <v>6121999.8870000001</v>
      </c>
      <c r="AN136" s="6">
        <f>[1]Production!AM2</f>
        <v>6200092.165</v>
      </c>
      <c r="AO136" s="6">
        <f>[1]Production!AN2</f>
        <v>6278886.9309999999</v>
      </c>
      <c r="AP136" s="6">
        <f>[1]Production!AO2</f>
        <v>6358487.7819999997</v>
      </c>
      <c r="AQ136" s="6">
        <f>[1]Production!AP2</f>
        <v>6438978.4349999996</v>
      </c>
      <c r="AR136" s="6">
        <f>[1]Production!AQ2</f>
        <v>6520523.1109999996</v>
      </c>
      <c r="AS136" s="6">
        <f>[1]Production!AR2</f>
        <v>6603103.6119999997</v>
      </c>
      <c r="AT136" s="6">
        <f>[1]Production!AS2</f>
        <v>6686750.8470000001</v>
      </c>
      <c r="AU136" s="6">
        <f>[1]Production!AT2</f>
        <v>6771486.8190000001</v>
      </c>
      <c r="AV136" s="6">
        <f>[1]Production!AU2</f>
        <v>6857325.0310000004</v>
      </c>
      <c r="AW136" s="6">
        <f>[1]Production!AV2</f>
        <v>6944799.7149999999</v>
      </c>
      <c r="AX136" s="6">
        <f>[1]Production!AW2</f>
        <v>7033541.0070000002</v>
      </c>
      <c r="AY136" s="6">
        <f>[1]Production!AX2</f>
        <v>7123503.6169999996</v>
      </c>
      <c r="AZ136" s="6">
        <f>[1]Production!AY2</f>
        <v>7214662.2230000002</v>
      </c>
      <c r="BA136" s="6">
        <f>[1]Production!AZ2</f>
        <v>7307000.6699999999</v>
      </c>
      <c r="BB136" s="6">
        <f>[1]Production!BA2</f>
        <v>7400713.3679999998</v>
      </c>
      <c r="BC136" s="6">
        <f>[1]Production!BB2</f>
        <v>7495646.182</v>
      </c>
      <c r="BD136" s="6">
        <f>[1]Production!BC2</f>
        <v>7591784.6619999995</v>
      </c>
      <c r="BE136" s="6">
        <f>[1]Production!BD2</f>
        <v>7689127.358</v>
      </c>
      <c r="BF136" s="6">
        <f>[1]Production!BE2</f>
        <v>7787680.2400000002</v>
      </c>
    </row>
    <row r="137" spans="1:58" x14ac:dyDescent="0.35">
      <c r="B137" t="s">
        <v>7</v>
      </c>
      <c r="C137" s="6">
        <f>[1]Production!B4+[1]Production!B6</f>
        <v>88259.326679999998</v>
      </c>
      <c r="D137" s="6">
        <f>[1]Production!C4+[1]Production!C6</f>
        <v>87011.687781999994</v>
      </c>
      <c r="E137" s="6">
        <f>[1]Production!D4+[1]Production!D6</f>
        <v>87223.763774999999</v>
      </c>
      <c r="F137" s="6">
        <f>[1]Production!E4+[1]Production!E6</f>
        <v>87704.412693999999</v>
      </c>
      <c r="G137" s="6">
        <f>[1]Production!F4+[1]Production!F6</f>
        <v>88398.388317000004</v>
      </c>
      <c r="H137" s="6">
        <f>[1]Production!G4+[1]Production!G6</f>
        <v>89274.048953999998</v>
      </c>
      <c r="I137" s="6">
        <f>[1]Production!H4+[1]Production!H6</f>
        <v>90247.246358000004</v>
      </c>
      <c r="J137" s="6">
        <f>[1]Production!I4+[1]Production!I6</f>
        <v>91321.398722999991</v>
      </c>
      <c r="K137" s="6">
        <f>[1]Production!J4+[1]Production!J6</f>
        <v>92479.997279999996</v>
      </c>
      <c r="L137" s="6">
        <f>[1]Production!K4+[1]Production!K6</f>
        <v>93707.392593000011</v>
      </c>
      <c r="M137" s="6">
        <f>[1]Production!L4+[1]Production!L6</f>
        <v>95079.768068999998</v>
      </c>
      <c r="N137" s="6">
        <f>[1]Production!M4+[1]Production!M6</f>
        <v>96437.425185999993</v>
      </c>
      <c r="O137" s="6">
        <f>[1]Production!N4+[1]Production!N6</f>
        <v>97816.073306000006</v>
      </c>
      <c r="P137" s="6">
        <f>[1]Production!O4+[1]Production!O6</f>
        <v>99212.477249000003</v>
      </c>
      <c r="Q137" s="6">
        <f>[1]Production!P4+[1]Production!P6</f>
        <v>100623.01357099999</v>
      </c>
      <c r="R137" s="6">
        <f>[1]Production!Q4+[1]Production!Q6</f>
        <v>102045.31732099999</v>
      </c>
      <c r="S137" s="6">
        <f>[1]Production!R4+[1]Production!R6</f>
        <v>103469.817564</v>
      </c>
      <c r="T137" s="6">
        <f>[1]Production!S4+[1]Production!S6</f>
        <v>104902.82656700001</v>
      </c>
      <c r="U137" s="6">
        <f>[1]Production!T4+[1]Production!T6</f>
        <v>106345.378859</v>
      </c>
      <c r="V137" s="6">
        <f>[1]Production!U4+[1]Production!U6</f>
        <v>107798.57123999999</v>
      </c>
      <c r="W137" s="6">
        <f>[1]Production!V4+[1]Production!V6</f>
        <v>109197.813245</v>
      </c>
      <c r="X137" s="6">
        <f>[1]Production!W4+[1]Production!W6</f>
        <v>110646.510859</v>
      </c>
      <c r="Y137" s="6">
        <f>[1]Production!X4+[1]Production!X6</f>
        <v>112118.04237099999</v>
      </c>
      <c r="Z137" s="6">
        <f>[1]Production!Y4+[1]Production!Y6</f>
        <v>113611.213819</v>
      </c>
      <c r="AA137" s="6">
        <f>[1]Production!Z4+[1]Production!Z6</f>
        <v>115126.11222900001</v>
      </c>
      <c r="AB137" s="6">
        <f>[1]Production!AA4+[1]Production!AA6</f>
        <v>116474.67146899999</v>
      </c>
      <c r="AC137" s="6">
        <f>[1]Production!AB4+[1]Production!AB6</f>
        <v>117862.82401500001</v>
      </c>
      <c r="AD137" s="6">
        <f>[1]Production!AC4+[1]Production!AC6</f>
        <v>119257.05980300001</v>
      </c>
      <c r="AE137" s="6">
        <f>[1]Production!AD4+[1]Production!AD6</f>
        <v>120661.74552400001</v>
      </c>
      <c r="AF137" s="6">
        <f>[1]Production!AE4+[1]Production!AE6</f>
        <v>122082.04418200001</v>
      </c>
      <c r="AG137" s="6">
        <f>[1]Production!AF4+[1]Production!AF6</f>
        <v>123522.259703</v>
      </c>
      <c r="AH137" s="6">
        <f>[1]Production!AG4+[1]Production!AG6</f>
        <v>124987.431337</v>
      </c>
      <c r="AI137" s="6">
        <f>[1]Production!AH4+[1]Production!AH6</f>
        <v>126478.210257</v>
      </c>
      <c r="AJ137" s="6">
        <f>[1]Production!AI4+[1]Production!AI6</f>
        <v>127995.68844499999</v>
      </c>
      <c r="AK137" s="6">
        <f>[1]Production!AJ4+[1]Production!AJ6</f>
        <v>129540.40977</v>
      </c>
      <c r="AL137" s="6">
        <f>[1]Production!AK4+[1]Production!AK6</f>
        <v>131112.53633999999</v>
      </c>
      <c r="AM137" s="6">
        <f>[1]Production!AL4+[1]Production!AL6</f>
        <v>132683.92228200001</v>
      </c>
      <c r="AN137" s="6">
        <f>[1]Production!AM4+[1]Production!AM6</f>
        <v>134265.68155000001</v>
      </c>
      <c r="AO137" s="6">
        <f>[1]Production!AN4+[1]Production!AN6</f>
        <v>135861.91156400001</v>
      </c>
      <c r="AP137" s="6">
        <f>[1]Production!AO4+[1]Production!AO6</f>
        <v>137475.674424</v>
      </c>
      <c r="AQ137" s="6">
        <f>[1]Production!AP4+[1]Production!AP6</f>
        <v>139109.51040899998</v>
      </c>
      <c r="AR137" s="6">
        <f>[1]Production!AQ4+[1]Production!AQ6</f>
        <v>140768.178151</v>
      </c>
      <c r="AS137" s="6">
        <f>[1]Production!AR4+[1]Production!AR6</f>
        <v>142451.28780600001</v>
      </c>
      <c r="AT137" s="6">
        <f>[1]Production!AS4+[1]Production!AS6</f>
        <v>144159.76936999999</v>
      </c>
      <c r="AU137" s="6">
        <f>[1]Production!AT4+[1]Production!AT6</f>
        <v>145894.23107799998</v>
      </c>
      <c r="AV137" s="6">
        <f>[1]Production!AU4+[1]Production!AU6</f>
        <v>147654.99130199998</v>
      </c>
      <c r="AW137" s="6">
        <f>[1]Production!AV4+[1]Production!AV6</f>
        <v>149455.274019</v>
      </c>
      <c r="AX137" s="6">
        <f>[1]Production!AW4+[1]Production!AW6</f>
        <v>151286.20413599999</v>
      </c>
      <c r="AY137" s="6">
        <f>[1]Production!AX4+[1]Production!AX6</f>
        <v>153146.489175</v>
      </c>
      <c r="AZ137" s="6">
        <f>[1]Production!AY4+[1]Production!AY6</f>
        <v>155035.23933200003</v>
      </c>
      <c r="BA137" s="6">
        <f>[1]Production!AZ4+[1]Production!AZ6</f>
        <v>156951.746166</v>
      </c>
      <c r="BB137" s="6">
        <f>[1]Production!BA4+[1]Production!BA6</f>
        <v>158901.181044</v>
      </c>
      <c r="BC137" s="6">
        <f>[1]Production!BB4+[1]Production!BB6</f>
        <v>160878.993636</v>
      </c>
      <c r="BD137" s="6">
        <f>[1]Production!BC4+[1]Production!BC6</f>
        <v>162884.55061199999</v>
      </c>
      <c r="BE137" s="6">
        <f>[1]Production!BD4+[1]Production!BD6</f>
        <v>164917.53557399998</v>
      </c>
      <c r="BF137" s="6">
        <f>[1]Production!BE4+[1]Production!BE6</f>
        <v>166977.81551700001</v>
      </c>
    </row>
    <row r="138" spans="1:58" x14ac:dyDescent="0.35">
      <c r="B138" t="s">
        <v>30</v>
      </c>
      <c r="C138" s="6">
        <f>[1]Production!B8+[1]Production!B10+[1]Production!B12+[1]Production!B14+[1]Production!B16+[1]Production!B18+[1]Production!B20+[1]Production!B22+[1]Production!B24+[1]Production!B26+[1]Production!B40</f>
        <v>978734.35733699996</v>
      </c>
      <c r="D138" s="6">
        <f>[1]Production!C8+[1]Production!C10+[1]Production!C12+[1]Production!C14+[1]Production!C16+[1]Production!C18+[1]Production!C20+[1]Production!C22+[1]Production!C24+[1]Production!C26+[1]Production!C40</f>
        <v>964638.64382599981</v>
      </c>
      <c r="E138" s="6">
        <f>[1]Production!D8+[1]Production!D10+[1]Production!D12+[1]Production!D14+[1]Production!D16+[1]Production!D18+[1]Production!D20+[1]Production!D22+[1]Production!D24+[1]Production!D26+[1]Production!D40</f>
        <v>973200.14336999995</v>
      </c>
      <c r="F138" s="6">
        <f>[1]Production!E8+[1]Production!E10+[1]Production!E12+[1]Production!E14+[1]Production!E16+[1]Production!E18+[1]Production!E20+[1]Production!E22+[1]Production!E24+[1]Production!E26+[1]Production!E40</f>
        <v>984094.20843800006</v>
      </c>
      <c r="G138" s="6">
        <f>[1]Production!F8+[1]Production!F10+[1]Production!F12+[1]Production!F14+[1]Production!F16+[1]Production!F18+[1]Production!F20+[1]Production!F22+[1]Production!F24+[1]Production!F26+[1]Production!F40</f>
        <v>996402.33835199999</v>
      </c>
      <c r="H138" s="6">
        <f>[1]Production!G8+[1]Production!G10+[1]Production!G12+[1]Production!G14+[1]Production!G16+[1]Production!G18+[1]Production!G20+[1]Production!G22+[1]Production!G24+[1]Production!G26+[1]Production!G40</f>
        <v>1009729.376707</v>
      </c>
      <c r="I138" s="6">
        <f>[1]Production!H8+[1]Production!H10+[1]Production!H12+[1]Production!H14+[1]Production!H16+[1]Production!H18+[1]Production!H20+[1]Production!H22+[1]Production!H24+[1]Production!H26+[1]Production!H40</f>
        <v>1023205.6400109999</v>
      </c>
      <c r="J138" s="6">
        <f>[1]Production!I8+[1]Production!I10+[1]Production!I12+[1]Production!I14+[1]Production!I16+[1]Production!I18+[1]Production!I20+[1]Production!I22+[1]Production!I24+[1]Production!I26+[1]Production!I40</f>
        <v>1037130.462194</v>
      </c>
      <c r="K138" s="6">
        <f>[1]Production!J8+[1]Production!J10+[1]Production!J12+[1]Production!J14+[1]Production!J16+[1]Production!J18+[1]Production!J20+[1]Production!J22+[1]Production!J24+[1]Production!J26+[1]Production!J40</f>
        <v>1051465.2697930001</v>
      </c>
      <c r="L138" s="6">
        <f>[1]Production!K8+[1]Production!K10+[1]Production!K12+[1]Production!K14+[1]Production!K16+[1]Production!K18+[1]Production!K20+[1]Production!K22+[1]Production!K24+[1]Production!K26+[1]Production!K40</f>
        <v>1066168.7377810001</v>
      </c>
      <c r="M138" s="6">
        <f>[1]Production!L8+[1]Production!L10+[1]Production!L12+[1]Production!L14+[1]Production!L16+[1]Production!L18+[1]Production!L20+[1]Production!L22+[1]Production!L24+[1]Production!L26+[1]Production!L40</f>
        <v>1082278.271246</v>
      </c>
      <c r="N138" s="6">
        <f>[1]Production!M8+[1]Production!M10+[1]Production!M12+[1]Production!M14+[1]Production!M16+[1]Production!M18+[1]Production!M20+[1]Production!M22+[1]Production!M24+[1]Production!M26+[1]Production!M40</f>
        <v>1097837.5589500002</v>
      </c>
      <c r="O138" s="6">
        <f>[1]Production!N8+[1]Production!N10+[1]Production!N12+[1]Production!N14+[1]Production!N16+[1]Production!N18+[1]Production!N20+[1]Production!N22+[1]Production!N24+[1]Production!N26+[1]Production!N40</f>
        <v>1113543.0663400001</v>
      </c>
      <c r="P138" s="6">
        <f>[1]Production!O8+[1]Production!O10+[1]Production!O12+[1]Production!O14+[1]Production!O16+[1]Production!O18+[1]Production!O20+[1]Production!O22+[1]Production!O24+[1]Production!O26+[1]Production!O40</f>
        <v>1129415.576198</v>
      </c>
      <c r="Q138" s="6">
        <f>[1]Production!P8+[1]Production!P10+[1]Production!P12+[1]Production!P14+[1]Production!P16+[1]Production!P18+[1]Production!P20+[1]Production!P22+[1]Production!P24+[1]Production!P26+[1]Production!P40</f>
        <v>1145459.8436680001</v>
      </c>
      <c r="R138" s="6">
        <f>[1]Production!Q8+[1]Production!Q10+[1]Production!Q12+[1]Production!Q14+[1]Production!Q16+[1]Production!Q18+[1]Production!Q20+[1]Production!Q22+[1]Production!Q24+[1]Production!Q26+[1]Production!Q40</f>
        <v>1161682.5391459998</v>
      </c>
      <c r="S138" s="6">
        <f>[1]Production!R8+[1]Production!R10+[1]Production!R12+[1]Production!R14+[1]Production!R16+[1]Production!R18+[1]Production!R20+[1]Production!R22+[1]Production!R24+[1]Production!R26+[1]Production!R40</f>
        <v>1177980.78635</v>
      </c>
      <c r="T138" s="6">
        <f>[1]Production!S8+[1]Production!S10+[1]Production!S12+[1]Production!S14+[1]Production!S16+[1]Production!S18+[1]Production!S20+[1]Production!S22+[1]Production!S24+[1]Production!S26+[1]Production!S40</f>
        <v>1194471.161143</v>
      </c>
      <c r="U138" s="6">
        <f>[1]Production!T8+[1]Production!T10+[1]Production!T12+[1]Production!T14+[1]Production!T16+[1]Production!T18+[1]Production!T20+[1]Production!T22+[1]Production!T24+[1]Production!T26+[1]Production!T40</f>
        <v>1211179.2934780002</v>
      </c>
      <c r="V138" s="6">
        <f>[1]Production!U8+[1]Production!U10+[1]Production!U12+[1]Production!U14+[1]Production!U16+[1]Production!U18+[1]Production!U20+[1]Production!U22+[1]Production!U24+[1]Production!U26+[1]Production!U40</f>
        <v>1228128.1754399999</v>
      </c>
      <c r="W138" s="6">
        <f>[1]Production!V8+[1]Production!V10+[1]Production!V12+[1]Production!V14+[1]Production!V16+[1]Production!V18+[1]Production!V20+[1]Production!V22+[1]Production!V24+[1]Production!V26+[1]Production!V40</f>
        <v>1244552.603223</v>
      </c>
      <c r="X138" s="6">
        <f>[1]Production!W8+[1]Production!W10+[1]Production!W12+[1]Production!W14+[1]Production!W16+[1]Production!W18+[1]Production!W20+[1]Production!W22+[1]Production!W24+[1]Production!W26+[1]Production!W40</f>
        <v>1261789.22703</v>
      </c>
      <c r="Y138" s="6">
        <f>[1]Production!X8+[1]Production!X10+[1]Production!X12+[1]Production!X14+[1]Production!X16+[1]Production!X18+[1]Production!X20+[1]Production!X22+[1]Production!X24+[1]Production!X26+[1]Production!X40</f>
        <v>1279398.5076609999</v>
      </c>
      <c r="Z138" s="6">
        <f>[1]Production!Y8+[1]Production!Y10+[1]Production!Y12+[1]Production!Y14+[1]Production!Y16+[1]Production!Y18+[1]Production!Y20+[1]Production!Y22+[1]Production!Y24+[1]Production!Y26+[1]Production!Y40</f>
        <v>1297369.2174380003</v>
      </c>
      <c r="AA138" s="6">
        <f>[1]Production!Z8+[1]Production!Z10+[1]Production!Z12+[1]Production!Z14+[1]Production!Z16+[1]Production!Z18+[1]Production!Z20+[1]Production!Z22+[1]Production!Z24+[1]Production!Z26+[1]Production!Z40</f>
        <v>1315703.4287989999</v>
      </c>
      <c r="AB138" s="6">
        <f>[1]Production!AA8+[1]Production!AA10+[1]Production!AA12+[1]Production!AA14+[1]Production!AA16+[1]Production!AA18+[1]Production!AA20+[1]Production!AA22+[1]Production!AA24+[1]Production!AA26+[1]Production!AA40</f>
        <v>1332153.9651110002</v>
      </c>
      <c r="AC138" s="6">
        <f>[1]Production!AB8+[1]Production!AB10+[1]Production!AB12+[1]Production!AB14+[1]Production!AB16+[1]Production!AB18+[1]Production!AB20+[1]Production!AB22+[1]Production!AB24+[1]Production!AB26+[1]Production!AB40</f>
        <v>1349460.5909520001</v>
      </c>
      <c r="AD138" s="6">
        <f>[1]Production!AC8+[1]Production!AC10+[1]Production!AC12+[1]Production!AC14+[1]Production!AC16+[1]Production!AC18+[1]Production!AC20+[1]Production!AC22+[1]Production!AC24+[1]Production!AC26+[1]Production!AC40</f>
        <v>1366986.3835840002</v>
      </c>
      <c r="AE138" s="6">
        <f>[1]Production!AD8+[1]Production!AD10+[1]Production!AD12+[1]Production!AD14+[1]Production!AD16+[1]Production!AD18+[1]Production!AD20+[1]Production!AD22+[1]Production!AD24+[1]Production!AD26+[1]Production!AD40</f>
        <v>1384749.2403480001</v>
      </c>
      <c r="AF138" s="6">
        <f>[1]Production!AE8+[1]Production!AE10+[1]Production!AE12+[1]Production!AE14+[1]Production!AE16+[1]Production!AE18+[1]Production!AE20+[1]Production!AE22+[1]Production!AE24+[1]Production!AE26+[1]Production!AE40</f>
        <v>1402776.196156</v>
      </c>
      <c r="AG138" s="6">
        <f>[1]Production!AF8+[1]Production!AF10+[1]Production!AF12+[1]Production!AF14+[1]Production!AF16+[1]Production!AF18+[1]Production!AF20+[1]Production!AF22+[1]Production!AF24+[1]Production!AF26+[1]Production!AF40</f>
        <v>1421089.8823570001</v>
      </c>
      <c r="AH138" s="6">
        <f>[1]Production!AG8+[1]Production!AG10+[1]Production!AG12+[1]Production!AG14+[1]Production!AG16+[1]Production!AG18+[1]Production!AG20+[1]Production!AG22+[1]Production!AG24+[1]Production!AG26+[1]Production!AG40</f>
        <v>1439731.374024</v>
      </c>
      <c r="AI138" s="6">
        <f>[1]Production!AH8+[1]Production!AH10+[1]Production!AH12+[1]Production!AH14+[1]Production!AH16+[1]Production!AH18+[1]Production!AH20+[1]Production!AH22+[1]Production!AH24+[1]Production!AH26+[1]Production!AH40</f>
        <v>1458686.881604</v>
      </c>
      <c r="AJ138" s="6">
        <f>[1]Production!AI8+[1]Production!AI10+[1]Production!AI12+[1]Production!AI14+[1]Production!AI16+[1]Production!AI18+[1]Production!AI20+[1]Production!AI22+[1]Production!AI24+[1]Production!AI26+[1]Production!AI40</f>
        <v>1477957.129347</v>
      </c>
      <c r="AK138" s="6">
        <f>[1]Production!AJ8+[1]Production!AJ10+[1]Production!AJ12+[1]Production!AJ14+[1]Production!AJ16+[1]Production!AJ18+[1]Production!AJ20+[1]Production!AJ22+[1]Production!AJ24+[1]Production!AJ26+[1]Production!AJ40</f>
        <v>1497539.1053510001</v>
      </c>
      <c r="AL138" s="6">
        <f>[1]Production!AK8+[1]Production!AK10+[1]Production!AK12+[1]Production!AK14+[1]Production!AK16+[1]Production!AK18+[1]Production!AK20+[1]Production!AK22+[1]Production!AK24+[1]Production!AK26+[1]Production!AK40</f>
        <v>1517427.134505</v>
      </c>
      <c r="AM138" s="6">
        <f>[1]Production!AL8+[1]Production!AL10+[1]Production!AL12+[1]Production!AL14+[1]Production!AL16+[1]Production!AL18+[1]Production!AL20+[1]Production!AL22+[1]Production!AL24+[1]Production!AL26+[1]Production!AL40</f>
        <v>1537302.6871100001</v>
      </c>
      <c r="AN138" s="6">
        <f>[1]Production!AM8+[1]Production!AM10+[1]Production!AM12+[1]Production!AM14+[1]Production!AM16+[1]Production!AM18+[1]Production!AM20+[1]Production!AM22+[1]Production!AM24+[1]Production!AM26+[1]Production!AM40</f>
        <v>1557313.6718330004</v>
      </c>
      <c r="AO138" s="6">
        <f>[1]Production!AN8+[1]Production!AN10+[1]Production!AN12+[1]Production!AN14+[1]Production!AN16+[1]Production!AN18+[1]Production!AN20+[1]Production!AN22+[1]Production!AN24+[1]Production!AN26+[1]Production!AN40</f>
        <v>1577487.3145409999</v>
      </c>
      <c r="AP138" s="6">
        <f>[1]Production!AO8+[1]Production!AO10+[1]Production!AO12+[1]Production!AO14+[1]Production!AO16+[1]Production!AO18+[1]Production!AO20+[1]Production!AO22+[1]Production!AO24+[1]Production!AO26+[1]Production!AO40</f>
        <v>1597840.567549</v>
      </c>
      <c r="AQ138" s="6">
        <f>[1]Production!AP8+[1]Production!AP10+[1]Production!AP12+[1]Production!AP14+[1]Production!AP16+[1]Production!AP18+[1]Production!AP20+[1]Production!AP22+[1]Production!AP24+[1]Production!AP26+[1]Production!AP40</f>
        <v>1618386.295742</v>
      </c>
      <c r="AR138" s="6">
        <f>[1]Production!AQ8+[1]Production!AQ10+[1]Production!AQ12+[1]Production!AQ14+[1]Production!AQ16+[1]Production!AQ18+[1]Production!AQ20+[1]Production!AQ22+[1]Production!AQ24+[1]Production!AQ26+[1]Production!AQ40</f>
        <v>1639170.926552</v>
      </c>
      <c r="AS138" s="6">
        <f>[1]Production!AR8+[1]Production!AR10+[1]Production!AR12+[1]Production!AR14+[1]Production!AR16+[1]Production!AR18+[1]Production!AR20+[1]Production!AR22+[1]Production!AR24+[1]Production!AR26+[1]Production!AR40</f>
        <v>1660171.3068639999</v>
      </c>
      <c r="AT138" s="6">
        <f>[1]Production!AS8+[1]Production!AS10+[1]Production!AS12+[1]Production!AS14+[1]Production!AS16+[1]Production!AS18+[1]Production!AS20+[1]Production!AS22+[1]Production!AS24+[1]Production!AS26+[1]Production!AS40</f>
        <v>1681390.4600910002</v>
      </c>
      <c r="AU138" s="6">
        <f>[1]Production!AT8+[1]Production!AT10+[1]Production!AT12+[1]Production!AT14+[1]Production!AT16+[1]Production!AT18+[1]Production!AT20+[1]Production!AT22+[1]Production!AT24+[1]Production!AT26+[1]Production!AT40</f>
        <v>1702830.3454419998</v>
      </c>
      <c r="AV138" s="6">
        <f>[1]Production!AU8+[1]Production!AU10+[1]Production!AU12+[1]Production!AU14+[1]Production!AU16+[1]Production!AU18+[1]Production!AU20+[1]Production!AU22+[1]Production!AU24+[1]Production!AU26+[1]Production!AU40</f>
        <v>1724491.7578350001</v>
      </c>
      <c r="AW138" s="6">
        <f>[1]Production!AV8+[1]Production!AV10+[1]Production!AV12+[1]Production!AV14+[1]Production!AV16+[1]Production!AV18+[1]Production!AV20+[1]Production!AV22+[1]Production!AV24+[1]Production!AV26+[1]Production!AV40</f>
        <v>1746546.4078209999</v>
      </c>
      <c r="AX138" s="6">
        <f>[1]Production!AW8+[1]Production!AW10+[1]Production!AW12+[1]Production!AW14+[1]Production!AW16+[1]Production!AW18+[1]Production!AW20+[1]Production!AW22+[1]Production!AW24+[1]Production!AW26+[1]Production!AW40</f>
        <v>1768858.8995420001</v>
      </c>
      <c r="AY138" s="6">
        <f>[1]Production!AX8+[1]Production!AX10+[1]Production!AX12+[1]Production!AX14+[1]Production!AX16+[1]Production!AX18+[1]Production!AX20+[1]Production!AX22+[1]Production!AX24+[1]Production!AX26+[1]Production!AX40</f>
        <v>1791417.55804</v>
      </c>
      <c r="AZ138" s="6">
        <f>[1]Production!AY8+[1]Production!AY10+[1]Production!AY12+[1]Production!AY14+[1]Production!AY16+[1]Production!AY18+[1]Production!AY20+[1]Production!AY22+[1]Production!AY24+[1]Production!AY26+[1]Production!AY40</f>
        <v>1814216.235777</v>
      </c>
      <c r="BA138" s="6">
        <f>[1]Production!AZ8+[1]Production!AZ10+[1]Production!AZ12+[1]Production!AZ14+[1]Production!AZ16+[1]Production!AZ18+[1]Production!AZ20+[1]Production!AZ22+[1]Production!AZ24+[1]Production!AZ26+[1]Production!AZ40</f>
        <v>1837251.627134</v>
      </c>
      <c r="BB138" s="6">
        <f>[1]Production!BA8+[1]Production!BA10+[1]Production!BA12+[1]Production!BA14+[1]Production!BA16+[1]Production!BA18+[1]Production!BA20+[1]Production!BA22+[1]Production!BA24+[1]Production!BA26+[1]Production!BA40</f>
        <v>1860599.970678</v>
      </c>
      <c r="BC138" s="6">
        <f>[1]Production!BB8+[1]Production!BB10+[1]Production!BB12+[1]Production!BB14+[1]Production!BB16+[1]Production!BB18+[1]Production!BB20+[1]Production!BB22+[1]Production!BB24+[1]Production!BB26+[1]Production!BB40</f>
        <v>1884197.1277699999</v>
      </c>
      <c r="BD138" s="6">
        <f>[1]Production!BC8+[1]Production!BC10+[1]Production!BC12+[1]Production!BC14+[1]Production!BC16+[1]Production!BC18+[1]Production!BC20+[1]Production!BC22+[1]Production!BC24+[1]Production!BC26+[1]Production!BC40</f>
        <v>1908040.8845170001</v>
      </c>
      <c r="BE138" s="6">
        <f>[1]Production!BD8+[1]Production!BD10+[1]Production!BD12+[1]Production!BD14+[1]Production!BD16+[1]Production!BD18+[1]Production!BD20+[1]Production!BD22+[1]Production!BD24+[1]Production!BD26+[1]Production!BD40</f>
        <v>1932132.5537450002</v>
      </c>
      <c r="BF138" s="6">
        <f>[1]Production!BE8+[1]Production!BE10+[1]Production!BE12+[1]Production!BE14+[1]Production!BE16+[1]Production!BE18+[1]Production!BE20+[1]Production!BE22+[1]Production!BE24+[1]Production!BE26+[1]Production!BE40</f>
        <v>1956475.5231960001</v>
      </c>
    </row>
    <row r="139" spans="1:58" x14ac:dyDescent="0.35">
      <c r="B139" t="s">
        <v>9</v>
      </c>
      <c r="C139" s="6">
        <f>[1]Production!B28+[1]Production!B30+[1]Production!B32+[1]Production!B34</f>
        <v>120934.21522900001</v>
      </c>
      <c r="D139" s="6">
        <f>[1]Production!C28+[1]Production!C30+[1]Production!C32+[1]Production!C34</f>
        <v>119118.147681</v>
      </c>
      <c r="E139" s="6">
        <f>[1]Production!D28+[1]Production!D30+[1]Production!D32+[1]Production!D34</f>
        <v>120102.73744700001</v>
      </c>
      <c r="F139" s="6">
        <f>[1]Production!E28+[1]Production!E30+[1]Production!E32+[1]Production!E34</f>
        <v>121340.98050000001</v>
      </c>
      <c r="G139" s="6">
        <f>[1]Production!F28+[1]Production!F30+[1]Production!F32+[1]Production!F34</f>
        <v>122752.989289</v>
      </c>
      <c r="H139" s="6">
        <f>[1]Production!G28+[1]Production!G30+[1]Production!G32+[1]Production!G34</f>
        <v>124305.165578</v>
      </c>
      <c r="I139" s="6">
        <f>[1]Production!H28+[1]Production!H30+[1]Production!H32+[1]Production!H34</f>
        <v>125888.584647</v>
      </c>
      <c r="J139" s="6">
        <f>[1]Production!I28+[1]Production!I30+[1]Production!I32+[1]Production!I34</f>
        <v>127544.603802</v>
      </c>
      <c r="K139" s="6">
        <f>[1]Production!J28+[1]Production!J30+[1]Production!J32+[1]Production!J34</f>
        <v>129262.39555099999</v>
      </c>
      <c r="L139" s="6">
        <f>[1]Production!K28+[1]Production!K30+[1]Production!K32+[1]Production!K34</f>
        <v>131030.28891</v>
      </c>
      <c r="M139" s="6">
        <f>[1]Production!L28+[1]Production!L30+[1]Production!L32+[1]Production!L34</f>
        <v>132978.989412</v>
      </c>
      <c r="N139" s="6">
        <f>[1]Production!M28+[1]Production!M30+[1]Production!M32+[1]Production!M34</f>
        <v>134840.60542799998</v>
      </c>
      <c r="O139" s="6">
        <f>[1]Production!N28+[1]Production!N30+[1]Production!N32+[1]Production!N34</f>
        <v>136711.78949400003</v>
      </c>
      <c r="P139" s="6">
        <f>[1]Production!O28+[1]Production!O30+[1]Production!O32+[1]Production!O34</f>
        <v>138592.92111200001</v>
      </c>
      <c r="Q139" s="6">
        <f>[1]Production!P28+[1]Production!P30+[1]Production!P32+[1]Production!P34</f>
        <v>140482.57183100001</v>
      </c>
      <c r="R139" s="6">
        <f>[1]Production!Q28+[1]Production!Q30+[1]Production!Q32+[1]Production!Q34</f>
        <v>142380.18257200002</v>
      </c>
      <c r="S139" s="6">
        <f>[1]Production!R28+[1]Production!R30+[1]Production!R32+[1]Production!R34</f>
        <v>144272.19934299999</v>
      </c>
      <c r="T139" s="6">
        <f>[1]Production!S28+[1]Production!S30+[1]Production!S32+[1]Production!S34</f>
        <v>146172.736955</v>
      </c>
      <c r="U139" s="6">
        <f>[1]Production!T28+[1]Production!T30+[1]Production!T32+[1]Production!T34</f>
        <v>148084.49013700002</v>
      </c>
      <c r="V139" s="6">
        <f>[1]Production!U28+[1]Production!U30+[1]Production!U32+[1]Production!U34</f>
        <v>150010.07058500001</v>
      </c>
      <c r="W139" s="6">
        <f>[1]Production!V28+[1]Production!V30+[1]Production!V32+[1]Production!V34</f>
        <v>151848.511401</v>
      </c>
      <c r="X139" s="6">
        <f>[1]Production!W28+[1]Production!W30+[1]Production!W32+[1]Production!W34</f>
        <v>153781.95468999998</v>
      </c>
      <c r="Y139" s="6">
        <f>[1]Production!X28+[1]Production!X30+[1]Production!X32+[1]Production!X34</f>
        <v>155746.21011699998</v>
      </c>
      <c r="Z139" s="6">
        <f>[1]Production!Y28+[1]Production!Y30+[1]Production!Y32+[1]Production!Y34</f>
        <v>157740.035363</v>
      </c>
      <c r="AA139" s="6">
        <f>[1]Production!Z28+[1]Production!Z30+[1]Production!Z32+[1]Production!Z34</f>
        <v>159764.32626</v>
      </c>
      <c r="AB139" s="6">
        <f>[1]Production!AA28+[1]Production!AA30+[1]Production!AA32+[1]Production!AA34</f>
        <v>161523.50019000002</v>
      </c>
      <c r="AC139" s="6">
        <f>[1]Production!AB28+[1]Production!AB30+[1]Production!AB32+[1]Production!AB34</f>
        <v>163396.83045400001</v>
      </c>
      <c r="AD139" s="6">
        <f>[1]Production!AC28+[1]Production!AC30+[1]Production!AC32+[1]Production!AC34</f>
        <v>165291.074223</v>
      </c>
      <c r="AE139" s="6">
        <f>[1]Production!AD28+[1]Production!AD30+[1]Production!AD32+[1]Production!AD34</f>
        <v>167208.95424800002</v>
      </c>
      <c r="AF139" s="6">
        <f>[1]Production!AE28+[1]Production!AE30+[1]Production!AE32+[1]Production!AE34</f>
        <v>169155.13686699999</v>
      </c>
      <c r="AG139" s="6">
        <f>[1]Production!AF28+[1]Production!AF30+[1]Production!AF32+[1]Production!AF34</f>
        <v>171133.68191099999</v>
      </c>
      <c r="AH139" s="6">
        <f>[1]Production!AG28+[1]Production!AG30+[1]Production!AG32+[1]Production!AG34</f>
        <v>173150.70947400003</v>
      </c>
      <c r="AI139" s="6">
        <f>[1]Production!AH28+[1]Production!AH30+[1]Production!AH32+[1]Production!AH34</f>
        <v>175205.34043900002</v>
      </c>
      <c r="AJ139" s="6">
        <f>[1]Production!AI28+[1]Production!AI30+[1]Production!AI32+[1]Production!AI34</f>
        <v>177298.46406700002</v>
      </c>
      <c r="AK139" s="6">
        <f>[1]Production!AJ28+[1]Production!AJ30+[1]Production!AJ32+[1]Production!AJ34</f>
        <v>179430.417372</v>
      </c>
      <c r="AL139" s="6">
        <f>[1]Production!AK28+[1]Production!AK30+[1]Production!AK32+[1]Production!AK34</f>
        <v>181601.14207</v>
      </c>
      <c r="AM139" s="6">
        <f>[1]Production!AL28+[1]Production!AL30+[1]Production!AL32+[1]Production!AL34</f>
        <v>183767.22922000001</v>
      </c>
      <c r="AN139" s="6">
        <f>[1]Production!AM28+[1]Production!AM30+[1]Production!AM32+[1]Production!AM34</f>
        <v>185954.29863</v>
      </c>
      <c r="AO139" s="6">
        <f>[1]Production!AN28+[1]Production!AN30+[1]Production!AN32+[1]Production!AN34</f>
        <v>188166.73891000001</v>
      </c>
      <c r="AP139" s="6">
        <f>[1]Production!AO28+[1]Production!AO30+[1]Production!AO32+[1]Production!AO34</f>
        <v>190407.27043</v>
      </c>
      <c r="AQ139" s="6">
        <f>[1]Production!AP28+[1]Production!AP30+[1]Production!AP32+[1]Production!AP34</f>
        <v>192678.03034</v>
      </c>
      <c r="AR139" s="6">
        <f>[1]Production!AQ28+[1]Production!AQ30+[1]Production!AQ32+[1]Production!AQ34</f>
        <v>194985.19315000001</v>
      </c>
      <c r="AS139" s="6">
        <f>[1]Production!AR28+[1]Production!AR30+[1]Production!AR32+[1]Production!AR34</f>
        <v>197326.16897999999</v>
      </c>
      <c r="AT139" s="6">
        <f>[1]Production!AS28+[1]Production!AS30+[1]Production!AS32+[1]Production!AS34</f>
        <v>199701.62837999998</v>
      </c>
      <c r="AU139" s="6">
        <f>[1]Production!AT28+[1]Production!AT30+[1]Production!AT32+[1]Production!AT34</f>
        <v>202112.00409</v>
      </c>
      <c r="AV139" s="6">
        <f>[1]Production!AU28+[1]Production!AU30+[1]Production!AU32+[1]Production!AU34</f>
        <v>204557.49883</v>
      </c>
      <c r="AW139" s="6">
        <f>[1]Production!AV28+[1]Production!AV30+[1]Production!AV32+[1]Production!AV34</f>
        <v>207059.68463</v>
      </c>
      <c r="AX139" s="6">
        <f>[1]Production!AW28+[1]Production!AW30+[1]Production!AW32+[1]Production!AW34</f>
        <v>209600.82975999999</v>
      </c>
      <c r="AY139" s="6">
        <f>[1]Production!AX28+[1]Production!AX30+[1]Production!AX32+[1]Production!AX34</f>
        <v>212179.53004999997</v>
      </c>
      <c r="AZ139" s="6">
        <f>[1]Production!AY28+[1]Production!AY30+[1]Production!AY32+[1]Production!AY34</f>
        <v>214794.98733</v>
      </c>
      <c r="BA139" s="6">
        <f>[1]Production!AZ28+[1]Production!AZ30+[1]Production!AZ32+[1]Production!AZ34</f>
        <v>217446.66272999995</v>
      </c>
      <c r="BB139" s="6">
        <f>[1]Production!BA28+[1]Production!BA30+[1]Production!BA32+[1]Production!BA34</f>
        <v>220143.72194999998</v>
      </c>
      <c r="BC139" s="6">
        <f>[1]Production!BB28+[1]Production!BB30+[1]Production!BB32+[1]Production!BB34</f>
        <v>222877.80904999998</v>
      </c>
      <c r="BD139" s="6">
        <f>[1]Production!BC28+[1]Production!BC30+[1]Production!BC32+[1]Production!BC34</f>
        <v>225648.47473999998</v>
      </c>
      <c r="BE139" s="6">
        <f>[1]Production!BD28+[1]Production!BD30+[1]Production!BD32+[1]Production!BD34</f>
        <v>228455.65540000002</v>
      </c>
      <c r="BF139" s="6">
        <f>[1]Production!BE28+[1]Production!BE30+[1]Production!BE32+[1]Production!BE34</f>
        <v>231299.50127000001</v>
      </c>
    </row>
    <row r="140" spans="1:58" x14ac:dyDescent="0.35">
      <c r="B140" t="s">
        <v>10</v>
      </c>
      <c r="C140" s="6">
        <f>[1]Production!B36+[1]Production!B38</f>
        <v>2558185.1705999998</v>
      </c>
      <c r="D140" s="6">
        <f>[1]Production!C36+[1]Production!C38</f>
        <v>2553066.1406</v>
      </c>
      <c r="E140" s="6">
        <f>[1]Production!D36+[1]Production!D38</f>
        <v>2574361.9510000004</v>
      </c>
      <c r="F140" s="6">
        <f>[1]Production!E36+[1]Production!E38</f>
        <v>2601784.1670000004</v>
      </c>
      <c r="G140" s="6">
        <f>[1]Production!F36+[1]Production!F38</f>
        <v>2633451.6973000001</v>
      </c>
      <c r="H140" s="6">
        <f>[1]Production!G36+[1]Production!G38</f>
        <v>2668551.2196</v>
      </c>
      <c r="I140" s="6">
        <f>[1]Production!H36+[1]Production!H38</f>
        <v>2704767.1543000001</v>
      </c>
      <c r="J140" s="6">
        <f>[1]Production!I36+[1]Production!I38</f>
        <v>2742822.5628999998</v>
      </c>
      <c r="K140" s="6">
        <f>[1]Production!J36+[1]Production!J38</f>
        <v>2782525.6521999999</v>
      </c>
      <c r="L140" s="6">
        <f>[1]Production!K36+[1]Production!K38</f>
        <v>2823661.9791999999</v>
      </c>
      <c r="M140" s="6">
        <f>[1]Production!L36+[1]Production!L38</f>
        <v>2869045.5088</v>
      </c>
      <c r="N140" s="6">
        <f>[1]Production!M36+[1]Production!M38</f>
        <v>2913336.8292999999</v>
      </c>
      <c r="O140" s="6">
        <f>[1]Production!N36+[1]Production!N38</f>
        <v>2958178.3711999999</v>
      </c>
      <c r="P140" s="6">
        <f>[1]Production!O36+[1]Production!O38</f>
        <v>3003572.9756000005</v>
      </c>
      <c r="Q140" s="6">
        <f>[1]Production!P36+[1]Production!P38</f>
        <v>3049480.3385999999</v>
      </c>
      <c r="R140" s="6">
        <f>[1]Production!Q36+[1]Production!Q38</f>
        <v>3095873.7148000002</v>
      </c>
      <c r="S140" s="6">
        <f>[1]Production!R36+[1]Production!R38</f>
        <v>3142591.1799999997</v>
      </c>
      <c r="T140" s="6">
        <f>[1]Production!S36+[1]Production!S38</f>
        <v>3189751.2288000002</v>
      </c>
      <c r="U140" s="6">
        <f>[1]Production!T36+[1]Production!T38</f>
        <v>3237388.6817000001</v>
      </c>
      <c r="V140" s="6">
        <f>[1]Production!U36+[1]Production!U38</f>
        <v>3285535.0236999998</v>
      </c>
      <c r="W140" s="6">
        <f>[1]Production!V36+[1]Production!V38</f>
        <v>3331989.0249999999</v>
      </c>
      <c r="X140" s="6">
        <f>[1]Production!W36+[1]Production!W38</f>
        <v>3380480.8662</v>
      </c>
      <c r="Y140" s="6">
        <f>[1]Production!X36+[1]Production!X38</f>
        <v>3429795.5639000004</v>
      </c>
      <c r="Z140" s="6">
        <f>[1]Production!Y36+[1]Production!Y38</f>
        <v>3479882.9459000002</v>
      </c>
      <c r="AA140" s="6">
        <f>[1]Production!Z36+[1]Production!Z38</f>
        <v>3530738.5342999999</v>
      </c>
      <c r="AB140" s="6">
        <f>[1]Production!AA36+[1]Production!AA38</f>
        <v>3575935.2052000002</v>
      </c>
      <c r="AC140" s="6">
        <f>[1]Production!AB36+[1]Production!AB38</f>
        <v>3623139.5424000002</v>
      </c>
      <c r="AD140" s="6">
        <f>[1]Production!AC36+[1]Production!AC38</f>
        <v>3670701.2935000001</v>
      </c>
      <c r="AE140" s="6">
        <f>[1]Production!AD36+[1]Production!AD38</f>
        <v>3718695.2847000002</v>
      </c>
      <c r="AF140" s="6">
        <f>[1]Production!AE36+[1]Production!AE38</f>
        <v>3767233.9410999999</v>
      </c>
      <c r="AG140" s="6">
        <f>[1]Production!AF36+[1]Production!AF38</f>
        <v>3816415.2271999996</v>
      </c>
      <c r="AH140" s="6">
        <f>[1]Production!AG36+[1]Production!AG38</f>
        <v>3866346.9682999998</v>
      </c>
      <c r="AI140" s="6">
        <f>[1]Production!AH36+[1]Production!AH38</f>
        <v>3917054.2547999998</v>
      </c>
      <c r="AJ140" s="6">
        <f>[1]Production!AI36+[1]Production!AI38</f>
        <v>3968563.2423999999</v>
      </c>
      <c r="AK140" s="6">
        <f>[1]Production!AJ36+[1]Production!AJ38</f>
        <v>4020888.0216000001</v>
      </c>
      <c r="AL140" s="6">
        <f>[1]Production!AK36+[1]Production!AK38</f>
        <v>4074034.3766000001</v>
      </c>
      <c r="AM140" s="6">
        <f>[1]Production!AL36+[1]Production!AL38</f>
        <v>4126762.5293000001</v>
      </c>
      <c r="AN140" s="6">
        <f>[1]Production!AM36+[1]Production!AM38</f>
        <v>4179857.7065999997</v>
      </c>
      <c r="AO140" s="6">
        <f>[1]Production!AN36+[1]Production!AN38</f>
        <v>4233435.0102000004</v>
      </c>
      <c r="AP140" s="6">
        <f>[1]Production!AO36+[1]Production!AO38</f>
        <v>4287573.6887999997</v>
      </c>
      <c r="AQ140" s="6">
        <f>[1]Production!AP36+[1]Production!AP38</f>
        <v>4342338.9276000001</v>
      </c>
      <c r="AR140" s="6">
        <f>[1]Production!AQ36+[1]Production!AQ38</f>
        <v>4397834.1463000001</v>
      </c>
      <c r="AS140" s="6">
        <f>[1]Production!AR36+[1]Production!AR38</f>
        <v>4454068.6573000001</v>
      </c>
      <c r="AT140" s="6">
        <f>[1]Production!AS36+[1]Production!AS38</f>
        <v>4511068.8</v>
      </c>
      <c r="AU140" s="6">
        <f>[1]Production!AT36+[1]Production!AT38</f>
        <v>4568853.5970000001</v>
      </c>
      <c r="AV140" s="6">
        <f>[1]Production!AU36+[1]Production!AU38</f>
        <v>4627435.3100000005</v>
      </c>
      <c r="AW140" s="6">
        <f>[1]Production!AV36+[1]Production!AV38</f>
        <v>4687128.6210000003</v>
      </c>
      <c r="AX140" s="6">
        <f>[1]Production!AW36+[1]Production!AW38</f>
        <v>4747734.6030000001</v>
      </c>
      <c r="AY140" s="6">
        <f>[1]Production!AX36+[1]Production!AX38</f>
        <v>4809224.3029999994</v>
      </c>
      <c r="AZ140" s="6">
        <f>[1]Production!AY36+[1]Production!AY38</f>
        <v>4871581.2609999999</v>
      </c>
      <c r="BA140" s="6">
        <f>[1]Production!AZ36+[1]Production!AZ38</f>
        <v>4934794.5350000001</v>
      </c>
      <c r="BB140" s="6">
        <f>[1]Production!BA36+[1]Production!BA38</f>
        <v>4998962.8739999998</v>
      </c>
      <c r="BC140" s="6">
        <f>[1]Production!BB36+[1]Production!BB38</f>
        <v>5064013.1859999998</v>
      </c>
      <c r="BD140" s="6">
        <f>[1]Production!BC36+[1]Production!BC38</f>
        <v>5129935.1720000003</v>
      </c>
      <c r="BE140" s="6">
        <f>[1]Production!BD36+[1]Production!BD38</f>
        <v>5196726.807</v>
      </c>
      <c r="BF140" s="6">
        <f>[1]Production!BE36+[1]Production!BE38</f>
        <v>5264390.7570000002</v>
      </c>
    </row>
    <row r="141" spans="1:58" x14ac:dyDescent="0.35">
      <c r="B141" t="s">
        <v>29</v>
      </c>
      <c r="C141" s="6">
        <f>[1]Production!B42+[1]Production!B46</f>
        <v>35813.290977199998</v>
      </c>
      <c r="D141" s="6">
        <f>[1]Production!C42+[1]Production!C46</f>
        <v>35135.436892500002</v>
      </c>
      <c r="E141" s="6">
        <f>[1]Production!D42+[1]Production!D46</f>
        <v>35185.759161100003</v>
      </c>
      <c r="F141" s="6">
        <f>[1]Production!E42+[1]Production!E46</f>
        <v>35325.244380000004</v>
      </c>
      <c r="G141" s="6">
        <f>[1]Production!F42+[1]Production!F46</f>
        <v>35526.987456199997</v>
      </c>
      <c r="H141" s="6">
        <f>[1]Production!G42+[1]Production!G46</f>
        <v>35783.318047400004</v>
      </c>
      <c r="I141" s="6">
        <f>[1]Production!H42+[1]Production!H46</f>
        <v>36065.396322500004</v>
      </c>
      <c r="J141" s="6">
        <f>[1]Production!I42+[1]Production!I46</f>
        <v>36380.291035399998</v>
      </c>
      <c r="K141" s="6">
        <f>[1]Production!J42+[1]Production!J46</f>
        <v>36722.969246100001</v>
      </c>
      <c r="L141" s="6">
        <f>[1]Production!K42+[1]Production!K46</f>
        <v>37088.212993699999</v>
      </c>
      <c r="M141" s="6">
        <f>[1]Production!L42+[1]Production!L46</f>
        <v>37505.2062639</v>
      </c>
      <c r="N141" s="6">
        <f>[1]Production!M42+[1]Production!M46</f>
        <v>37908.465609899999</v>
      </c>
      <c r="O141" s="6">
        <f>[1]Production!N42+[1]Production!N46</f>
        <v>38319.579161999995</v>
      </c>
      <c r="P141" s="6">
        <f>[1]Production!O42+[1]Production!O46</f>
        <v>38738.424594199998</v>
      </c>
      <c r="Q141" s="6">
        <f>[1]Production!P42+[1]Production!P46</f>
        <v>39163.801379299999</v>
      </c>
      <c r="R141" s="6">
        <f>[1]Production!Q42+[1]Production!Q46</f>
        <v>39594.625923599997</v>
      </c>
      <c r="S141" s="6">
        <f>[1]Production!R42+[1]Production!R46</f>
        <v>40026.1301609</v>
      </c>
      <c r="T141" s="6">
        <f>[1]Production!S42+[1]Production!S46</f>
        <v>40461.354748199999</v>
      </c>
      <c r="U141" s="6">
        <f>[1]Production!T42+[1]Production!T46</f>
        <v>40900.404405100002</v>
      </c>
      <c r="V141" s="6">
        <f>[1]Production!U42+[1]Production!U46</f>
        <v>41343.317144400004</v>
      </c>
      <c r="W141" s="6">
        <f>[1]Production!V42+[1]Production!V46</f>
        <v>41765.844767100003</v>
      </c>
      <c r="X141" s="6">
        <f>[1]Production!W42+[1]Production!W46</f>
        <v>42210.145172100005</v>
      </c>
      <c r="Y141" s="6">
        <f>[1]Production!X42+[1]Production!X46</f>
        <v>42661.201115000003</v>
      </c>
      <c r="Z141" s="6">
        <f>[1]Production!Y42+[1]Production!Y46</f>
        <v>43117.994652900001</v>
      </c>
      <c r="AA141" s="6">
        <f>[1]Production!Z42+[1]Production!Z46</f>
        <v>43580.507601599995</v>
      </c>
      <c r="AB141" s="6">
        <f>[1]Production!AA42+[1]Production!AA46</f>
        <v>43979.476573899999</v>
      </c>
      <c r="AC141" s="6">
        <f>[1]Production!AB42+[1]Production!AB46</f>
        <v>44403.325155400002</v>
      </c>
      <c r="AD141" s="6">
        <f>[1]Production!AC42+[1]Production!AC46</f>
        <v>44830.775586800002</v>
      </c>
      <c r="AE141" s="6">
        <f>[1]Production!AD42+[1]Production!AD46</f>
        <v>45261.404046399999</v>
      </c>
      <c r="AF141" s="6">
        <f>[1]Production!AE42+[1]Production!AE46</f>
        <v>45695.987996100004</v>
      </c>
      <c r="AG141" s="6">
        <f>[1]Production!AF42+[1]Production!AF46</f>
        <v>46135.363837500001</v>
      </c>
      <c r="AH141" s="6">
        <f>[1]Production!AG42+[1]Production!AG46</f>
        <v>46581.138338800003</v>
      </c>
      <c r="AI141" s="6">
        <f>[1]Production!AH42+[1]Production!AH46</f>
        <v>47033.113457400003</v>
      </c>
      <c r="AJ141" s="6">
        <f>[1]Production!AI42+[1]Production!AI46</f>
        <v>47491.632507000002</v>
      </c>
      <c r="AK141" s="6">
        <f>[1]Production!AJ42+[1]Production!AJ46</f>
        <v>47956.961154900004</v>
      </c>
      <c r="AL141" s="6">
        <f>[1]Production!AK42+[1]Production!AK46</f>
        <v>48429.2762497</v>
      </c>
      <c r="AM141" s="6">
        <f>[1]Production!AL42+[1]Production!AL46</f>
        <v>48900.078966400004</v>
      </c>
      <c r="AN141" s="6">
        <f>[1]Production!AM42+[1]Production!AM46</f>
        <v>49374.3956139</v>
      </c>
      <c r="AO141" s="6">
        <f>[1]Production!AN42+[1]Production!AN46</f>
        <v>49853.2018131</v>
      </c>
      <c r="AP141" s="6">
        <f>[1]Production!AO42+[1]Production!AO46</f>
        <v>50337.041806900001</v>
      </c>
      <c r="AQ141" s="6">
        <f>[1]Production!AP42+[1]Production!AP46</f>
        <v>50826.339218399997</v>
      </c>
      <c r="AR141" s="6">
        <f>[1]Production!AQ42+[1]Production!AQ46</f>
        <v>51322.6853051</v>
      </c>
      <c r="AS141" s="6">
        <f>[1]Production!AR42+[1]Production!AR46</f>
        <v>51825.316500299996</v>
      </c>
      <c r="AT141" s="6">
        <f>[1]Production!AS42+[1]Production!AS46</f>
        <v>52334.354445100005</v>
      </c>
      <c r="AU141" s="6">
        <f>[1]Production!AT42+[1]Production!AT46</f>
        <v>52849.9227999</v>
      </c>
      <c r="AV141" s="6">
        <f>[1]Production!AU42+[1]Production!AU46</f>
        <v>53372.104308800001</v>
      </c>
      <c r="AW141" s="6">
        <f>[1]Production!AV42+[1]Production!AV46</f>
        <v>53906.573090099999</v>
      </c>
      <c r="AX141" s="6">
        <f>[1]Production!AW42+[1]Production!AW46</f>
        <v>54448.791371600004</v>
      </c>
      <c r="AY141" s="6">
        <f>[1]Production!AX42+[1]Production!AX46</f>
        <v>54998.3066492</v>
      </c>
      <c r="AZ141" s="6">
        <f>[1]Production!AY42+[1]Production!AY46</f>
        <v>55554.951259000001</v>
      </c>
      <c r="BA141" s="6">
        <f>[1]Production!AZ42+[1]Production!AZ46</f>
        <v>56118.616165299994</v>
      </c>
      <c r="BB141" s="6">
        <f>[1]Production!BA42+[1]Production!BA46</f>
        <v>56691.810450999998</v>
      </c>
      <c r="BC141" s="6">
        <f>[1]Production!BB42+[1]Production!BB46</f>
        <v>57272.287926899997</v>
      </c>
      <c r="BD141" s="6">
        <f>[1]Production!BC42+[1]Production!BC46</f>
        <v>57859.818802900001</v>
      </c>
      <c r="BE141" s="6">
        <f>[1]Production!BD42+[1]Production!BD46</f>
        <v>58454.331968899998</v>
      </c>
      <c r="BF141" s="6">
        <f>[1]Production!BE42+[1]Production!BE46</f>
        <v>59055.803842600006</v>
      </c>
    </row>
    <row r="142" spans="1:58" x14ac:dyDescent="0.35">
      <c r="B142" t="s">
        <v>36</v>
      </c>
      <c r="C142" s="6">
        <f>+[1]Production!B44+[1]Production!B48</f>
        <v>4486.1535160000003</v>
      </c>
      <c r="D142" s="6">
        <f>+[1]Production!C44+[1]Production!C48</f>
        <v>4405.5012292000001</v>
      </c>
      <c r="E142" s="6">
        <f>+[1]Production!D44+[1]Production!D48</f>
        <v>4406.7604025999999</v>
      </c>
      <c r="F142" s="6">
        <f>+[1]Production!E44+[1]Production!E48</f>
        <v>4417.9662393999997</v>
      </c>
      <c r="G142" s="6">
        <f>+[1]Production!F44+[1]Production!F48</f>
        <v>4437.8167831000001</v>
      </c>
      <c r="H142" s="6">
        <f>+[1]Production!G44+[1]Production!G48</f>
        <v>4465.5418105999997</v>
      </c>
      <c r="I142" s="6">
        <f>+[1]Production!H44+[1]Production!H48</f>
        <v>4497.6607393000004</v>
      </c>
      <c r="J142" s="6">
        <f>+[1]Production!I44+[1]Production!I48</f>
        <v>4534.6145321000004</v>
      </c>
      <c r="K142" s="6">
        <f>+[1]Production!J44+[1]Production!J48</f>
        <v>4575.5214777000001</v>
      </c>
      <c r="L142" s="6">
        <f>+[1]Production!K44+[1]Production!K48</f>
        <v>4619.5966091</v>
      </c>
      <c r="M142" s="6">
        <f>+[1]Production!L44+[1]Production!L48</f>
        <v>4670.0197914</v>
      </c>
      <c r="N142" s="6">
        <f>+[1]Production!M44+[1]Production!M48</f>
        <v>4719.3574733000005</v>
      </c>
      <c r="O142" s="6">
        <f>+[1]Production!N44+[1]Production!N48</f>
        <v>4769.9875575000005</v>
      </c>
      <c r="P142" s="6">
        <f>+[1]Production!O44+[1]Production!O48</f>
        <v>4821.7740295000003</v>
      </c>
      <c r="Q142" s="6">
        <f>+[1]Production!P44+[1]Production!P48</f>
        <v>4874.5141763000001</v>
      </c>
      <c r="R142" s="6">
        <f>+[1]Production!Q44+[1]Production!Q48</f>
        <v>4928.0403882999999</v>
      </c>
      <c r="S142" s="6">
        <f>+[1]Production!R44+[1]Production!R48</f>
        <v>4981.7943431000003</v>
      </c>
      <c r="T142" s="6">
        <f>+[1]Production!S44+[1]Production!S48</f>
        <v>5036.0709683999994</v>
      </c>
      <c r="U142" s="6">
        <f>+[1]Production!T44+[1]Production!T48</f>
        <v>5090.8387617999997</v>
      </c>
      <c r="V142" s="6">
        <f>+[1]Production!U44+[1]Production!U48</f>
        <v>5146.0711228</v>
      </c>
      <c r="W142" s="6">
        <f>+[1]Production!V44+[1]Production!V48</f>
        <v>5198.9919452000004</v>
      </c>
      <c r="X142" s="6">
        <f>+[1]Production!W44+[1]Production!W48</f>
        <v>5254.3260222999997</v>
      </c>
      <c r="Y142" s="6">
        <f>+[1]Production!X44+[1]Production!X48</f>
        <v>5310.3463091999993</v>
      </c>
      <c r="Z142" s="6">
        <f>+[1]Production!Y44+[1]Production!Y48</f>
        <v>5366.9628886</v>
      </c>
      <c r="AA142" s="6">
        <f>+[1]Production!Z44+[1]Production!Z48</f>
        <v>5424.1734314000005</v>
      </c>
      <c r="AB142" s="6">
        <f>+[1]Production!AA44+[1]Production!AA48</f>
        <v>5474.1080054000004</v>
      </c>
      <c r="AC142" s="6">
        <f>+[1]Production!AB44+[1]Production!AB48</f>
        <v>5526.6894305000005</v>
      </c>
      <c r="AD142" s="6">
        <f>+[1]Production!AC44+[1]Production!AC48</f>
        <v>5579.4401534999997</v>
      </c>
      <c r="AE142" s="6">
        <f>+[1]Production!AD44+[1]Production!AD48</f>
        <v>5632.3709311999992</v>
      </c>
      <c r="AF142" s="6">
        <f>+[1]Production!AE44+[1]Production!AE48</f>
        <v>5685.5983052000001</v>
      </c>
      <c r="AG142" s="6">
        <f>+[1]Production!AF44+[1]Production!AF48</f>
        <v>5739.2401841999999</v>
      </c>
      <c r="AH142" s="6">
        <f>+[1]Production!AG44+[1]Production!AG48</f>
        <v>5793.4924883000003</v>
      </c>
      <c r="AI142" s="6">
        <f>+[1]Production!AH44+[1]Production!AH48</f>
        <v>5848.3525850999995</v>
      </c>
      <c r="AJ142" s="6">
        <f>+[1]Production!AI44+[1]Production!AI48</f>
        <v>5903.8758496</v>
      </c>
      <c r="AK142" s="6">
        <f>+[1]Production!AJ44+[1]Production!AJ48</f>
        <v>5960.1050037999994</v>
      </c>
      <c r="AL142" s="6">
        <f>+[1]Production!AK44+[1]Production!AK48</f>
        <v>6017.0707187999997</v>
      </c>
      <c r="AM142" s="6">
        <f>+[1]Production!AL44+[1]Production!AL48</f>
        <v>6073.7645449000001</v>
      </c>
      <c r="AN142" s="6">
        <f>+[1]Production!AM44+[1]Production!AM48</f>
        <v>6130.7799935000003</v>
      </c>
      <c r="AO142" s="6">
        <f>+[1]Production!AN44+[1]Production!AN48</f>
        <v>6188.2319029999999</v>
      </c>
      <c r="AP142" s="6">
        <f>+[1]Production!AO44+[1]Production!AO48</f>
        <v>6246.1922528000005</v>
      </c>
      <c r="AQ142" s="6">
        <f>+[1]Production!AP44+[1]Production!AP48</f>
        <v>6304.7206477</v>
      </c>
      <c r="AR142" s="6">
        <f>+[1]Production!AQ44+[1]Production!AQ48</f>
        <v>6364.0003962999999</v>
      </c>
      <c r="AS142" s="6">
        <f>+[1]Production!AR44+[1]Production!AR48</f>
        <v>6423.9603076000003</v>
      </c>
      <c r="AT142" s="6">
        <f>+[1]Production!AS44+[1]Production!AS48</f>
        <v>6484.6262011000008</v>
      </c>
      <c r="AU142" s="6">
        <f>+[1]Production!AT44+[1]Production!AT48</f>
        <v>6546.0195598</v>
      </c>
      <c r="AV142" s="6">
        <f>+[1]Production!AU44+[1]Production!AU48</f>
        <v>6608.1548639999992</v>
      </c>
      <c r="AW142" s="6">
        <f>+[1]Production!AV44+[1]Production!AV48</f>
        <v>6671.6506073999999</v>
      </c>
      <c r="AX142" s="6">
        <f>+[1]Production!AW44+[1]Production!AW48</f>
        <v>6736.0146871999996</v>
      </c>
      <c r="AY142" s="6">
        <f>+[1]Production!AX44+[1]Production!AX48</f>
        <v>6801.2115386000005</v>
      </c>
      <c r="AZ142" s="6">
        <f>+[1]Production!AY44+[1]Production!AY48</f>
        <v>6867.2250815999996</v>
      </c>
      <c r="BA142" s="6">
        <f>+[1]Production!AZ44+[1]Production!AZ48</f>
        <v>6934.0420649999996</v>
      </c>
      <c r="BB142" s="6">
        <f>+[1]Production!BA44+[1]Production!BA48</f>
        <v>7001.9264368999993</v>
      </c>
      <c r="BC142" s="6">
        <f>+[1]Production!BB44+[1]Production!BB48</f>
        <v>7070.6322839999993</v>
      </c>
      <c r="BD142" s="6">
        <f>+[1]Production!BC44+[1]Production!BC48</f>
        <v>7140.1377035999994</v>
      </c>
      <c r="BE142" s="6">
        <f>+[1]Production!BD44+[1]Production!BD48</f>
        <v>7210.4324742999997</v>
      </c>
      <c r="BF142" s="6">
        <f>+[1]Production!BE44+[1]Production!BE48</f>
        <v>7281.5100585</v>
      </c>
    </row>
    <row r="143" spans="1:58" x14ac:dyDescent="0.35">
      <c r="B143" t="s">
        <v>33</v>
      </c>
      <c r="C143" s="6">
        <f>[1]Production!B50+[1]Production!B52+[1]Production!B54+[1]Production!B56+[1]Production!B58+[1]Production!B60+[1]Production!B62+[1]Production!B64+[1]Production!B66</f>
        <v>67820.392064900007</v>
      </c>
      <c r="D143" s="6">
        <f>[1]Production!C50+[1]Production!C52+[1]Production!C54+[1]Production!C56+[1]Production!C58+[1]Production!C60+[1]Production!C62+[1]Production!C64+[1]Production!C66</f>
        <v>67367.697421000004</v>
      </c>
      <c r="E143" s="6">
        <f>[1]Production!D50+[1]Production!D52+[1]Production!D54+[1]Production!D56+[1]Production!D58+[1]Production!D60+[1]Production!D62+[1]Production!D64+[1]Production!D66</f>
        <v>67443.098107999991</v>
      </c>
      <c r="F143" s="6">
        <f>[1]Production!E50+[1]Production!E52+[1]Production!E54+[1]Production!E56+[1]Production!E58+[1]Production!E60+[1]Production!E62+[1]Production!E64+[1]Production!E66</f>
        <v>67629.512078100001</v>
      </c>
      <c r="G143" s="6">
        <f>[1]Production!F50+[1]Production!F52+[1]Production!F54+[1]Production!F56+[1]Production!F58+[1]Production!F60+[1]Production!F62+[1]Production!F64+[1]Production!F66</f>
        <v>67912.402357599989</v>
      </c>
      <c r="H143" s="6">
        <f>[1]Production!G50+[1]Production!G52+[1]Production!G54+[1]Production!G56+[1]Production!G58+[1]Production!G60+[1]Production!G62+[1]Production!G64+[1]Production!G66</f>
        <v>68290.714867399991</v>
      </c>
      <c r="I143" s="6">
        <f>[1]Production!H50+[1]Production!H52+[1]Production!H54+[1]Production!H56+[1]Production!H58+[1]Production!H60+[1]Production!H62+[1]Production!H64+[1]Production!H66</f>
        <v>68717.295958499992</v>
      </c>
      <c r="J143" s="6">
        <f>[1]Production!I50+[1]Production!I52+[1]Production!I54+[1]Production!I56+[1]Production!I58+[1]Production!I60+[1]Production!I62+[1]Production!I64+[1]Production!I66</f>
        <v>69196.989210400003</v>
      </c>
      <c r="K143" s="6">
        <f>[1]Production!J50+[1]Production!J52+[1]Production!J54+[1]Production!J56+[1]Production!J58+[1]Production!J60+[1]Production!J62+[1]Production!J64+[1]Production!J66</f>
        <v>69721.108983900005</v>
      </c>
      <c r="L143" s="6">
        <f>[1]Production!K50+[1]Production!K52+[1]Production!K54+[1]Production!K56+[1]Production!K58+[1]Production!K60+[1]Production!K62+[1]Production!K64+[1]Production!K66</f>
        <v>70278.398656599995</v>
      </c>
      <c r="M143" s="6">
        <f>[1]Production!L50+[1]Production!L52+[1]Production!L54+[1]Production!L56+[1]Production!L58+[1]Production!L60+[1]Production!L62+[1]Production!L64+[1]Production!L66</f>
        <v>70919.262463000006</v>
      </c>
      <c r="N143" s="6">
        <f>[1]Production!M50+[1]Production!M52+[1]Production!M54+[1]Production!M56+[1]Production!M58+[1]Production!M60+[1]Production!M62+[1]Production!M64+[1]Production!M66</f>
        <v>71534.378116300009</v>
      </c>
      <c r="O143" s="6">
        <f>[1]Production!N50+[1]Production!N52+[1]Production!N54+[1]Production!N56+[1]Production!N58+[1]Production!N60+[1]Production!N62+[1]Production!N64+[1]Production!N66</f>
        <v>72146.345388799993</v>
      </c>
      <c r="P143" s="6">
        <f>[1]Production!O50+[1]Production!O52+[1]Production!O54+[1]Production!O56+[1]Production!O58+[1]Production!O60+[1]Production!O62+[1]Production!O64+[1]Production!O66</f>
        <v>72757.67424420001</v>
      </c>
      <c r="Q143" s="6">
        <f>[1]Production!P50+[1]Production!P52+[1]Production!P54+[1]Production!P56+[1]Production!P58+[1]Production!P60+[1]Production!P62+[1]Production!P64+[1]Production!P66</f>
        <v>73367.890580300009</v>
      </c>
      <c r="R143" s="6">
        <f>[1]Production!Q50+[1]Production!Q52+[1]Production!Q54+[1]Production!Q56+[1]Production!Q58+[1]Production!Q60+[1]Production!Q62+[1]Production!Q64+[1]Production!Q66</f>
        <v>73976.306051499996</v>
      </c>
      <c r="S143" s="6">
        <f>[1]Production!R50+[1]Production!R52+[1]Production!R54+[1]Production!R56+[1]Production!R58+[1]Production!R60+[1]Production!R62+[1]Production!R64+[1]Production!R66</f>
        <v>74577.569377500011</v>
      </c>
      <c r="T143" s="6">
        <f>[1]Production!S50+[1]Production!S52+[1]Production!S54+[1]Production!S56+[1]Production!S58+[1]Production!S60+[1]Production!S62+[1]Production!S64+[1]Production!S66</f>
        <v>75175.108455299996</v>
      </c>
      <c r="U143" s="6">
        <f>[1]Production!T50+[1]Production!T52+[1]Production!T54+[1]Production!T56+[1]Production!T58+[1]Production!T60+[1]Production!T62+[1]Production!T64+[1]Production!T66</f>
        <v>75770.718682100007</v>
      </c>
      <c r="V143" s="6">
        <f>[1]Production!U50+[1]Production!U52+[1]Production!U54+[1]Production!U56+[1]Production!U58+[1]Production!U60+[1]Production!U62+[1]Production!U64+[1]Production!U66</f>
        <v>76366.039151599995</v>
      </c>
      <c r="W143" s="6">
        <f>[1]Production!V50+[1]Production!V52+[1]Production!V54+[1]Production!V56+[1]Production!V58+[1]Production!V60+[1]Production!V62+[1]Production!V64+[1]Production!V66</f>
        <v>76919.577713099992</v>
      </c>
      <c r="X143" s="6">
        <f>[1]Production!W50+[1]Production!W52+[1]Production!W54+[1]Production!W56+[1]Production!W58+[1]Production!W60+[1]Production!W62+[1]Production!W64+[1]Production!W66</f>
        <v>77502.357095199986</v>
      </c>
      <c r="Y143" s="6">
        <f>[1]Production!X50+[1]Production!X52+[1]Production!X54+[1]Production!X56+[1]Production!X58+[1]Production!X60+[1]Production!X62+[1]Production!X64+[1]Production!X66</f>
        <v>78097.813966199988</v>
      </c>
      <c r="Z143" s="6">
        <f>[1]Production!Y50+[1]Production!Y52+[1]Production!Y54+[1]Production!Y56+[1]Production!Y58+[1]Production!Y60+[1]Production!Y62+[1]Production!Y64+[1]Production!Y66</f>
        <v>78703.539602000004</v>
      </c>
      <c r="AA143" s="6">
        <f>[1]Production!Z50+[1]Production!Z52+[1]Production!Z54+[1]Production!Z56+[1]Production!Z58+[1]Production!Z60+[1]Production!Z62+[1]Production!Z64+[1]Production!Z66</f>
        <v>79319.738003899998</v>
      </c>
      <c r="AB143" s="6">
        <f>[1]Production!AA50+[1]Production!AA52+[1]Production!AA54+[1]Production!AA56+[1]Production!AA58+[1]Production!AA60+[1]Production!AA62+[1]Production!AA64+[1]Production!AA66</f>
        <v>79825.243265600002</v>
      </c>
      <c r="AC143" s="6">
        <f>[1]Production!AB50+[1]Production!AB52+[1]Production!AB54+[1]Production!AB56+[1]Production!AB58+[1]Production!AB60+[1]Production!AB62+[1]Production!AB64+[1]Production!AB66</f>
        <v>80360.917868700009</v>
      </c>
      <c r="AD143" s="6">
        <f>[1]Production!AC50+[1]Production!AC52+[1]Production!AC54+[1]Production!AC56+[1]Production!AC58+[1]Production!AC60+[1]Production!AC62+[1]Production!AC64+[1]Production!AC66</f>
        <v>80909.095735800001</v>
      </c>
      <c r="AE143" s="6">
        <f>[1]Production!AD50+[1]Production!AD52+[1]Production!AD54+[1]Production!AD56+[1]Production!AD58+[1]Production!AD60+[1]Production!AD62+[1]Production!AD64+[1]Production!AD66</f>
        <v>81468.92608949999</v>
      </c>
      <c r="AF143" s="6">
        <f>[1]Production!AE50+[1]Production!AE52+[1]Production!AE54+[1]Production!AE56+[1]Production!AE58+[1]Production!AE60+[1]Production!AE62+[1]Production!AE64+[1]Production!AE66</f>
        <v>82041.858845700001</v>
      </c>
      <c r="AG143" s="6">
        <f>[1]Production!AF50+[1]Production!AF52+[1]Production!AF54+[1]Production!AF56+[1]Production!AF58+[1]Production!AF60+[1]Production!AF62+[1]Production!AF64+[1]Production!AF66</f>
        <v>82629.577567900007</v>
      </c>
      <c r="AH143" s="6">
        <f>[1]Production!AG50+[1]Production!AG52+[1]Production!AG54+[1]Production!AG56+[1]Production!AG58+[1]Production!AG60+[1]Production!AG62+[1]Production!AG64+[1]Production!AG66</f>
        <v>83234.523420300015</v>
      </c>
      <c r="AI143" s="6">
        <f>[1]Production!AH50+[1]Production!AH52+[1]Production!AH54+[1]Production!AH56+[1]Production!AH58+[1]Production!AH60+[1]Production!AH62+[1]Production!AH64+[1]Production!AH66</f>
        <v>83857.11793790001</v>
      </c>
      <c r="AJ143" s="6">
        <f>[1]Production!AI50+[1]Production!AI52+[1]Production!AI54+[1]Production!AI56+[1]Production!AI58+[1]Production!AI60+[1]Production!AI62+[1]Production!AI64+[1]Production!AI66</f>
        <v>84497.779939500004</v>
      </c>
      <c r="AK143" s="6">
        <f>[1]Production!AJ50+[1]Production!AJ52+[1]Production!AJ54+[1]Production!AJ56+[1]Production!AJ58+[1]Production!AJ60+[1]Production!AJ62+[1]Production!AJ64+[1]Production!AJ66</f>
        <v>85156.707557500005</v>
      </c>
      <c r="AL143" s="6">
        <f>[1]Production!AK50+[1]Production!AK52+[1]Production!AK54+[1]Production!AK56+[1]Production!AK58+[1]Production!AK60+[1]Production!AK62+[1]Production!AK64+[1]Production!AK66</f>
        <v>85833.893281900004</v>
      </c>
      <c r="AM143" s="6">
        <f>[1]Production!AL50+[1]Production!AL52+[1]Production!AL54+[1]Production!AL56+[1]Production!AL58+[1]Production!AL60+[1]Production!AL62+[1]Production!AL64+[1]Production!AL66</f>
        <v>86509.676097800009</v>
      </c>
      <c r="AN143" s="6">
        <f>[1]Production!AM50+[1]Production!AM52+[1]Production!AM54+[1]Production!AM56+[1]Production!AM58+[1]Production!AM60+[1]Production!AM62+[1]Production!AM64+[1]Production!AM66</f>
        <v>87195.631055799982</v>
      </c>
      <c r="AO143" s="6">
        <f>[1]Production!AN50+[1]Production!AN52+[1]Production!AN54+[1]Production!AN56+[1]Production!AN58+[1]Production!AN60+[1]Production!AN62+[1]Production!AN64+[1]Production!AN66</f>
        <v>87894.521849800003</v>
      </c>
      <c r="AP143" s="6">
        <f>[1]Production!AO50+[1]Production!AO52+[1]Production!AO54+[1]Production!AO56+[1]Production!AO58+[1]Production!AO60+[1]Production!AO62+[1]Production!AO64+[1]Production!AO66</f>
        <v>88607.346707999997</v>
      </c>
      <c r="AQ143" s="6">
        <f>[1]Production!AP50+[1]Production!AP52+[1]Production!AP54+[1]Production!AP56+[1]Production!AP58+[1]Production!AP60+[1]Production!AP62+[1]Production!AP64+[1]Production!AP66</f>
        <v>89334.611310499982</v>
      </c>
      <c r="AR143" s="6">
        <f>[1]Production!AQ50+[1]Production!AQ52+[1]Production!AQ54+[1]Production!AQ56+[1]Production!AQ58+[1]Production!AQ60+[1]Production!AQ62+[1]Production!AQ64+[1]Production!AQ66</f>
        <v>90077.980863599994</v>
      </c>
      <c r="AS143" s="6">
        <f>[1]Production!AR50+[1]Production!AR52+[1]Production!AR54+[1]Production!AR56+[1]Production!AR58+[1]Production!AR60+[1]Production!AR62+[1]Production!AR64+[1]Production!AR66</f>
        <v>90836.913980100013</v>
      </c>
      <c r="AT143" s="6">
        <f>[1]Production!AS50+[1]Production!AS52+[1]Production!AS54+[1]Production!AS56+[1]Production!AS58+[1]Production!AS60+[1]Production!AS62+[1]Production!AS64+[1]Production!AS66</f>
        <v>91611.208532499979</v>
      </c>
      <c r="AU143" s="6">
        <f>[1]Production!AT50+[1]Production!AT52+[1]Production!AT54+[1]Production!AT56+[1]Production!AT58+[1]Production!AT60+[1]Production!AT62+[1]Production!AT64+[1]Production!AT66</f>
        <v>92400.699016099999</v>
      </c>
      <c r="AV143" s="6">
        <f>[1]Production!AU50+[1]Production!AU52+[1]Production!AU54+[1]Production!AU56+[1]Production!AU58+[1]Production!AU60+[1]Production!AU62+[1]Production!AU64+[1]Production!AU66</f>
        <v>93205.21424120001</v>
      </c>
      <c r="AW143" s="6">
        <f>[1]Production!AV50+[1]Production!AV52+[1]Production!AV54+[1]Production!AV56+[1]Production!AV58+[1]Production!AV60+[1]Production!AV62+[1]Production!AV64+[1]Production!AV66</f>
        <v>94031.504013499987</v>
      </c>
      <c r="AX143" s="6">
        <f>[1]Production!AW50+[1]Production!AW52+[1]Production!AW54+[1]Production!AW56+[1]Production!AW58+[1]Production!AW60+[1]Production!AW62+[1]Production!AW64+[1]Production!AW66</f>
        <v>94875.664010999986</v>
      </c>
      <c r="AY143" s="6">
        <f>[1]Production!AX50+[1]Production!AX52+[1]Production!AX54+[1]Production!AX56+[1]Production!AX58+[1]Production!AX60+[1]Production!AX62+[1]Production!AX64+[1]Production!AX66</f>
        <v>95736.21825559999</v>
      </c>
      <c r="AZ143" s="6">
        <f>[1]Production!AY50+[1]Production!AY52+[1]Production!AY54+[1]Production!AY56+[1]Production!AY58+[1]Production!AY60+[1]Production!AY62+[1]Production!AY64+[1]Production!AY66</f>
        <v>96612.323344900011</v>
      </c>
      <c r="BA143" s="6">
        <f>[1]Production!AZ50+[1]Production!AZ52+[1]Production!AZ54+[1]Production!AZ56+[1]Production!AZ58+[1]Production!AZ60+[1]Production!AZ62+[1]Production!AZ64+[1]Production!AZ66</f>
        <v>97503.439823299996</v>
      </c>
      <c r="BB143" s="6">
        <f>[1]Production!BA50+[1]Production!BA52+[1]Production!BA54+[1]Production!BA56+[1]Production!BA58+[1]Production!BA60+[1]Production!BA62+[1]Production!BA64+[1]Production!BA66</f>
        <v>98411.884332400004</v>
      </c>
      <c r="BC143" s="6">
        <f>[1]Production!BB50+[1]Production!BB52+[1]Production!BB54+[1]Production!BB56+[1]Production!BB58+[1]Production!BB60+[1]Production!BB62+[1]Production!BB64+[1]Production!BB66</f>
        <v>99336.145609900021</v>
      </c>
      <c r="BD143" s="6">
        <f>[1]Production!BC50+[1]Production!BC52+[1]Production!BC54+[1]Production!BC56+[1]Production!BC58+[1]Production!BC60+[1]Production!BC62+[1]Production!BC64+[1]Production!BC66</f>
        <v>100275.62314739999</v>
      </c>
      <c r="BE143" s="6">
        <f>[1]Production!BD50+[1]Production!BD52+[1]Production!BD54+[1]Production!BD56+[1]Production!BD58+[1]Production!BD60+[1]Production!BD62+[1]Production!BD64+[1]Production!BD66</f>
        <v>101230.0419469</v>
      </c>
      <c r="BF143" s="6">
        <f>[1]Production!BE50+[1]Production!BE52+[1]Production!BE54+[1]Production!BE56+[1]Production!BE58+[1]Production!BE60+[1]Production!BE62+[1]Production!BE64+[1]Production!BE66</f>
        <v>102199.328589</v>
      </c>
    </row>
    <row r="145" spans="1:5" x14ac:dyDescent="0.35">
      <c r="A145" s="12" t="s">
        <v>83</v>
      </c>
      <c r="B145" t="s">
        <v>14</v>
      </c>
      <c r="C145" s="7" t="s">
        <v>15</v>
      </c>
      <c r="D145" s="7" t="s">
        <v>16</v>
      </c>
      <c r="E145" s="7" t="s">
        <v>17</v>
      </c>
    </row>
    <row r="146" spans="1:5" x14ac:dyDescent="0.35">
      <c r="A146" t="s">
        <v>80</v>
      </c>
      <c r="B146" t="s">
        <v>40</v>
      </c>
      <c r="C146" s="4">
        <f t="shared" ref="C146:C153" si="65">(R136-R125)/R125</f>
        <v>-2.4378231716114723E-2</v>
      </c>
      <c r="D146" s="4">
        <f t="shared" ref="D146:D153" si="66">(S135-S124)/S124</f>
        <v>0</v>
      </c>
      <c r="E146" s="4">
        <f t="shared" ref="E146:E153" si="67">(AL136-AL125)/AL125</f>
        <v>-4.5557086757292323E-2</v>
      </c>
    </row>
    <row r="147" spans="1:5" x14ac:dyDescent="0.35">
      <c r="B147" t="s">
        <v>7</v>
      </c>
      <c r="C147" s="4">
        <f t="shared" si="65"/>
        <v>-3.020022111712329E-2</v>
      </c>
      <c r="D147" s="4">
        <f t="shared" si="66"/>
        <v>-2.5694305598373903E-2</v>
      </c>
      <c r="E147" s="4">
        <f t="shared" si="67"/>
        <v>-5.3767440384080184E-2</v>
      </c>
    </row>
    <row r="148" spans="1:5" x14ac:dyDescent="0.35">
      <c r="B148" t="s">
        <v>30</v>
      </c>
      <c r="C148" s="4">
        <f t="shared" si="65"/>
        <v>-3.2180481006877794E-2</v>
      </c>
      <c r="D148" s="4">
        <f t="shared" si="66"/>
        <v>-3.1715690569554714E-2</v>
      </c>
      <c r="E148" s="4">
        <f t="shared" si="67"/>
        <v>-6.4523022093970928E-2</v>
      </c>
    </row>
    <row r="149" spans="1:5" x14ac:dyDescent="0.35">
      <c r="B149" t="s">
        <v>9</v>
      </c>
      <c r="C149" s="4">
        <f t="shared" si="65"/>
        <v>-2.8758478293403146E-2</v>
      </c>
      <c r="D149" s="4">
        <f t="shared" si="66"/>
        <v>-3.4061323565903558E-2</v>
      </c>
      <c r="E149" s="4">
        <f t="shared" si="67"/>
        <v>-5.3788751359471997E-2</v>
      </c>
    </row>
    <row r="150" spans="1:5" x14ac:dyDescent="0.35">
      <c r="B150" t="s">
        <v>10</v>
      </c>
      <c r="C150" s="4">
        <f t="shared" si="65"/>
        <v>-2.0896821527715347E-2</v>
      </c>
      <c r="D150" s="4">
        <f t="shared" si="66"/>
        <v>-3.0227513422543806E-2</v>
      </c>
      <c r="E150" s="4">
        <f t="shared" si="67"/>
        <v>-3.7525164117494743E-2</v>
      </c>
    </row>
    <row r="151" spans="1:5" x14ac:dyDescent="0.35">
      <c r="B151" t="s">
        <v>29</v>
      </c>
      <c r="C151" s="4">
        <f t="shared" si="65"/>
        <v>-3.3569961289110078E-2</v>
      </c>
      <c r="D151" s="4">
        <f t="shared" si="66"/>
        <v>-2.1988957931744088E-2</v>
      </c>
      <c r="E151" s="4">
        <f t="shared" si="67"/>
        <v>-6.3441609361738829E-2</v>
      </c>
    </row>
    <row r="152" spans="1:5" x14ac:dyDescent="0.35">
      <c r="B152" t="s">
        <v>36</v>
      </c>
      <c r="C152" s="4">
        <f t="shared" si="65"/>
        <v>-3.113338006598396E-2</v>
      </c>
      <c r="D152" s="4">
        <f t="shared" si="66"/>
        <v>-3.5388823762658055E-2</v>
      </c>
      <c r="E152" s="4">
        <f t="shared" si="67"/>
        <v>-5.8845339067912152E-2</v>
      </c>
    </row>
    <row r="153" spans="1:5" x14ac:dyDescent="0.35">
      <c r="B153" t="s">
        <v>33</v>
      </c>
      <c r="C153" s="4">
        <f t="shared" si="65"/>
        <v>-2.4078104118935763E-2</v>
      </c>
      <c r="D153" s="4">
        <f t="shared" si="66"/>
        <v>-3.2876407198498353E-2</v>
      </c>
      <c r="E153" s="4">
        <f t="shared" si="67"/>
        <v>-4.0036755871964404E-2</v>
      </c>
    </row>
    <row r="154" spans="1:5" x14ac:dyDescent="0.35">
      <c r="C154" s="5"/>
      <c r="D154" s="5"/>
      <c r="E154" s="5"/>
    </row>
    <row r="155" spans="1:5" x14ac:dyDescent="0.35">
      <c r="A155" s="12" t="s">
        <v>83</v>
      </c>
      <c r="B155" t="s">
        <v>14</v>
      </c>
      <c r="C155" s="7" t="s">
        <v>15</v>
      </c>
      <c r="D155" s="7" t="s">
        <v>16</v>
      </c>
      <c r="E155" s="7" t="s">
        <v>17</v>
      </c>
    </row>
    <row r="156" spans="1:5" x14ac:dyDescent="0.35">
      <c r="A156" t="s">
        <v>84</v>
      </c>
      <c r="B156" t="s">
        <v>7</v>
      </c>
      <c r="C156" s="4">
        <f>R137/R126-1</f>
        <v>-3.0200221117123283E-2</v>
      </c>
      <c r="D156" s="4">
        <f>AB137/AB126-1</f>
        <v>-4.3326126644460672E-2</v>
      </c>
      <c r="E156" s="4">
        <f>AL137/AL126-1</f>
        <v>-5.3767440384080212E-2</v>
      </c>
    </row>
    <row r="157" spans="1:5" x14ac:dyDescent="0.35">
      <c r="B157" t="s">
        <v>8</v>
      </c>
      <c r="C157" s="4">
        <f>R138/R127-1</f>
        <v>-3.2180481006877759E-2</v>
      </c>
      <c r="D157" s="4">
        <f>AB138/AB127-1</f>
        <v>-4.9798747058222292E-2</v>
      </c>
      <c r="E157" s="4">
        <f>AL138/AL127-1</f>
        <v>-6.4523022093970983E-2</v>
      </c>
    </row>
    <row r="158" spans="1:5" x14ac:dyDescent="0.35">
      <c r="B158" t="s">
        <v>9</v>
      </c>
      <c r="C158" s="4">
        <f>R139/R128-1</f>
        <v>-2.8758478293403167E-2</v>
      </c>
      <c r="D158" s="4">
        <f>AB139/AB128-1</f>
        <v>-4.2106427323756135E-2</v>
      </c>
      <c r="E158" s="4">
        <f>AL139/AL128-1</f>
        <v>-5.3788751359472031E-2</v>
      </c>
    </row>
    <row r="159" spans="1:5" x14ac:dyDescent="0.35">
      <c r="B159" t="s">
        <v>10</v>
      </c>
      <c r="C159" s="4">
        <f>R140/R129-1</f>
        <v>-2.0896821527715326E-2</v>
      </c>
      <c r="D159" s="4">
        <f>AB140/AB129-1</f>
        <v>-3.0319981055360934E-2</v>
      </c>
      <c r="E159" s="4">
        <f>AL140/AL129-1</f>
        <v>-3.7525164117494736E-2</v>
      </c>
    </row>
    <row r="160" spans="1:5" x14ac:dyDescent="0.35">
      <c r="B160" t="s">
        <v>12</v>
      </c>
      <c r="C160" s="4">
        <f>R141/R130-1</f>
        <v>-3.3569961289110051E-2</v>
      </c>
      <c r="D160" s="4">
        <f>AB141/AB130-1</f>
        <v>-5.0038254692146955E-2</v>
      </c>
      <c r="E160" s="4">
        <f>AL141/AL130-1</f>
        <v>-6.3441609361738815E-2</v>
      </c>
    </row>
    <row r="161" spans="1:58" x14ac:dyDescent="0.35">
      <c r="B161" t="s">
        <v>11</v>
      </c>
      <c r="C161" s="4">
        <f>R143/R132-1</f>
        <v>-2.4078104118935739E-2</v>
      </c>
      <c r="D161" s="4">
        <f>AB143/AB132-1</f>
        <v>-3.2529468987485433E-2</v>
      </c>
      <c r="E161" s="4">
        <f>AL143/AL132-1</f>
        <v>-4.0036755871964425E-2</v>
      </c>
    </row>
    <row r="162" spans="1:58" x14ac:dyDescent="0.35">
      <c r="C162" s="4"/>
      <c r="D162" s="4"/>
      <c r="E162" s="4"/>
    </row>
    <row r="163" spans="1:58" x14ac:dyDescent="0.35">
      <c r="A163" s="12" t="s">
        <v>41</v>
      </c>
      <c r="C163" s="4"/>
      <c r="D163" s="4"/>
      <c r="E163" s="4"/>
    </row>
    <row r="164" spans="1:58" x14ac:dyDescent="0.35">
      <c r="A164" t="s">
        <v>38</v>
      </c>
      <c r="B164" t="s">
        <v>40</v>
      </c>
      <c r="C164" s="6">
        <f>[1]Capital!B3</f>
        <v>5224351.5990000004</v>
      </c>
      <c r="D164" s="6">
        <f>[1]Capital!C3</f>
        <v>5280149.53</v>
      </c>
      <c r="E164" s="6">
        <f>[1]Capital!D3</f>
        <v>5335094.1789999995</v>
      </c>
      <c r="F164" s="6">
        <f>[1]Capital!E3</f>
        <v>5390889.2199999997</v>
      </c>
      <c r="G164" s="6">
        <f>[1]Capital!F3</f>
        <v>5448459.0700000003</v>
      </c>
      <c r="H164" s="6">
        <f>[1]Capital!G3</f>
        <v>5508335.5499999998</v>
      </c>
      <c r="I164" s="6">
        <f>[1]Capital!H3</f>
        <v>5570657.8329999996</v>
      </c>
      <c r="J164" s="6">
        <f>[1]Capital!I3</f>
        <v>5635522.898</v>
      </c>
      <c r="K164" s="6">
        <f>[1]Capital!J3</f>
        <v>5703015.2209999999</v>
      </c>
      <c r="L164" s="6">
        <f>[1]Capital!K3</f>
        <v>5773210.8269999996</v>
      </c>
      <c r="M164" s="6">
        <f>[1]Capital!L3</f>
        <v>5846515.6229999997</v>
      </c>
      <c r="N164" s="6">
        <f>[1]Capital!M3</f>
        <v>5922876.7920000004</v>
      </c>
      <c r="O164" s="6">
        <f>[1]Capital!N3</f>
        <v>6002259.6210000003</v>
      </c>
      <c r="P164" s="6">
        <f>[1]Capital!O3</f>
        <v>6084646.0650000004</v>
      </c>
      <c r="Q164" s="6">
        <f>[1]Capital!P3</f>
        <v>6170024.1579999998</v>
      </c>
      <c r="R164" s="6">
        <f>[1]Capital!Q3</f>
        <v>6258384.4230000004</v>
      </c>
      <c r="S164" s="6">
        <f>[1]Capital!R3</f>
        <v>6349719.7350000003</v>
      </c>
      <c r="T164" s="6">
        <f>[1]Capital!S3</f>
        <v>6444026.0690000001</v>
      </c>
      <c r="U164" s="6">
        <f>[1]Capital!T3</f>
        <v>6541302.9409999996</v>
      </c>
      <c r="V164" s="6">
        <f>[1]Capital!U3</f>
        <v>6641553.2539999997</v>
      </c>
      <c r="W164" s="6">
        <f>[1]Capital!V3</f>
        <v>6744527.1299999999</v>
      </c>
      <c r="X164" s="6">
        <f>[1]Capital!W3</f>
        <v>6850310.8569999998</v>
      </c>
      <c r="Y164" s="6">
        <f>[1]Capital!X3</f>
        <v>6958970.0999999996</v>
      </c>
      <c r="Z164" s="6">
        <f>[1]Capital!Y3</f>
        <v>7070550.5690000001</v>
      </c>
      <c r="AA164" s="6">
        <f>[1]Capital!Z3</f>
        <v>7185086.0970000001</v>
      </c>
      <c r="AB164" s="6">
        <f>[1]Capital!AA3</f>
        <v>7301857.2309999997</v>
      </c>
      <c r="AC164" s="6">
        <f>[1]Capital!AB3</f>
        <v>7420755.2580000004</v>
      </c>
      <c r="AD164" s="6">
        <f>[1]Capital!AC3</f>
        <v>7541706.909</v>
      </c>
      <c r="AE164" s="6">
        <f>[1]Capital!AD3</f>
        <v>7664651.5839999998</v>
      </c>
      <c r="AF164" s="6">
        <f>[1]Capital!AE3</f>
        <v>7789541.5669999998</v>
      </c>
      <c r="AG164" s="6">
        <f>[1]Capital!AF3</f>
        <v>7916340.358</v>
      </c>
      <c r="AH164" s="6">
        <f>[1]Capital!AG3</f>
        <v>8045019.2980000004</v>
      </c>
      <c r="AI164" s="6">
        <f>[1]Capital!AH3</f>
        <v>8175553.7939999998</v>
      </c>
      <c r="AJ164" s="6">
        <f>[1]Capital!AI3</f>
        <v>8307919.9970000004</v>
      </c>
      <c r="AK164" s="6">
        <f>[1]Capital!AJ3</f>
        <v>8442092.3540000003</v>
      </c>
      <c r="AL164" s="6">
        <f>[1]Capital!AK3</f>
        <v>8578042.1370000001</v>
      </c>
      <c r="AM164" s="6">
        <f>[1]Capital!AL3</f>
        <v>8715553.2880000006</v>
      </c>
      <c r="AN164" s="6">
        <f>[1]Capital!AM3</f>
        <v>8854459.3699999992</v>
      </c>
      <c r="AO164" s="6">
        <f>[1]Capital!AN3</f>
        <v>8994630.3460000008</v>
      </c>
      <c r="AP164" s="6">
        <f>[1]Capital!AO3</f>
        <v>9135960.2379999999</v>
      </c>
      <c r="AQ164" s="6">
        <f>[1]Capital!AP3</f>
        <v>9278360.8829999994</v>
      </c>
      <c r="AR164" s="6">
        <f>[1]Capital!AQ3</f>
        <v>9421758.4719999991</v>
      </c>
      <c r="AS164" s="6">
        <f>[1]Capital!AR3</f>
        <v>9566091.1209999993</v>
      </c>
      <c r="AT164" s="6">
        <f>[1]Capital!AS3</f>
        <v>9711306.8560000006</v>
      </c>
      <c r="AU164" s="6">
        <f>[1]Capital!AT3</f>
        <v>9857361.9010000005</v>
      </c>
      <c r="AV164" s="6">
        <f>[1]Capital!AU3</f>
        <v>10004219.300000001</v>
      </c>
      <c r="AW164" s="6">
        <f>[1]Capital!AV3</f>
        <v>10151864.630000001</v>
      </c>
      <c r="AX164" s="6">
        <f>[1]Capital!AW3</f>
        <v>10300283.74</v>
      </c>
      <c r="AY164" s="6">
        <f>[1]Capital!AX3</f>
        <v>10449463.73</v>
      </c>
      <c r="AZ164" s="6">
        <f>[1]Capital!AY3</f>
        <v>10599394.17</v>
      </c>
      <c r="BA164" s="6">
        <f>[1]Capital!AZ3</f>
        <v>10750068.02</v>
      </c>
      <c r="BB164" s="6">
        <f>[1]Capital!BA3</f>
        <v>10901482.26</v>
      </c>
      <c r="BC164" s="6">
        <f>[1]Capital!BB3</f>
        <v>11053638.539999999</v>
      </c>
      <c r="BD164" s="6">
        <f>[1]Capital!BC3</f>
        <v>11206543.699999999</v>
      </c>
      <c r="BE164" s="6">
        <f>[1]Capital!BD3</f>
        <v>11360210.210000001</v>
      </c>
      <c r="BF164" s="6">
        <f>[1]Capital!BE3</f>
        <v>11514656.51</v>
      </c>
    </row>
    <row r="165" spans="1:58" x14ac:dyDescent="0.35">
      <c r="B165" t="s">
        <v>7</v>
      </c>
      <c r="C165" s="5">
        <f>[1]Capital!B5+[1]Capital!B7</f>
        <v>49062.141071999999</v>
      </c>
      <c r="D165" s="5">
        <f>[1]Capital!C5+[1]Capital!C7</f>
        <v>49561.371219000001</v>
      </c>
      <c r="E165" s="5">
        <f>[1]Capital!D5+[1]Capital!D7</f>
        <v>50030.047105999998</v>
      </c>
      <c r="F165" s="5">
        <f>[1]Capital!E5+[1]Capital!E7</f>
        <v>50489.561592999999</v>
      </c>
      <c r="G165" s="5">
        <f>[1]Capital!F5+[1]Capital!F7</f>
        <v>50953.483893000004</v>
      </c>
      <c r="H165" s="5">
        <f>[1]Capital!G5+[1]Capital!G7</f>
        <v>51431.215705999995</v>
      </c>
      <c r="I165" s="5">
        <f>[1]Capital!H5+[1]Capital!H7</f>
        <v>51927.763365999999</v>
      </c>
      <c r="J165" s="5">
        <f>[1]Capital!I5+[1]Capital!I7</f>
        <v>52446.8413</v>
      </c>
      <c r="K165" s="5">
        <f>[1]Capital!J5+[1]Capital!J7</f>
        <v>52991.224927999996</v>
      </c>
      <c r="L165" s="5">
        <f>[1]Capital!K5+[1]Capital!K7</f>
        <v>53562.885423</v>
      </c>
      <c r="M165" s="5">
        <f>[1]Capital!L5+[1]Capital!L7</f>
        <v>54166.329405000004</v>
      </c>
      <c r="N165" s="5">
        <f>[1]Capital!M5+[1]Capital!M7</f>
        <v>54801.421575</v>
      </c>
      <c r="O165" s="5">
        <f>[1]Capital!N5+[1]Capital!N7</f>
        <v>55467.695010000003</v>
      </c>
      <c r="P165" s="5">
        <f>[1]Capital!O5+[1]Capital!O7</f>
        <v>56164.529101</v>
      </c>
      <c r="Q165" s="5">
        <f>[1]Capital!P5+[1]Capital!P7</f>
        <v>56891.160755999997</v>
      </c>
      <c r="R165" s="5">
        <f>[1]Capital!Q5+[1]Capital!Q7</f>
        <v>57646.730984999995</v>
      </c>
      <c r="S165" s="5">
        <f>[1]Capital!R5+[1]Capital!R7</f>
        <v>58430.343666999994</v>
      </c>
      <c r="T165" s="5">
        <f>[1]Capital!S5+[1]Capital!S7</f>
        <v>59241.115234000004</v>
      </c>
      <c r="U165" s="5">
        <f>[1]Capital!T5+[1]Capital!T7</f>
        <v>60078.207565000004</v>
      </c>
      <c r="V165" s="5">
        <f>[1]Capital!U5+[1]Capital!U7</f>
        <v>60940.845527000005</v>
      </c>
      <c r="W165" s="5">
        <f>[1]Capital!V5+[1]Capital!V7</f>
        <v>61825.926869000003</v>
      </c>
      <c r="X165" s="5">
        <f>[1]Capital!W5+[1]Capital!W7</f>
        <v>62733.468625999994</v>
      </c>
      <c r="Y165" s="5">
        <f>[1]Capital!X5+[1]Capital!X7</f>
        <v>63663.474727000001</v>
      </c>
      <c r="Z165" s="5">
        <f>[1]Capital!Y5+[1]Capital!Y7</f>
        <v>64615.865553999996</v>
      </c>
      <c r="AA165" s="5">
        <f>[1]Capital!Z5+[1]Capital!Z7</f>
        <v>65590.527484999999</v>
      </c>
      <c r="AB165" s="5">
        <f>[1]Capital!AA5+[1]Capital!AA7</f>
        <v>66580.365540999992</v>
      </c>
      <c r="AC165" s="5">
        <f>[1]Capital!AB5+[1]Capital!AB7</f>
        <v>67583.815708999988</v>
      </c>
      <c r="AD165" s="5">
        <f>[1]Capital!AC5+[1]Capital!AC7</f>
        <v>68599.938458999997</v>
      </c>
      <c r="AE165" s="5">
        <f>[1]Capital!AD5+[1]Capital!AD7</f>
        <v>69628.131674999997</v>
      </c>
      <c r="AF165" s="5">
        <f>[1]Capital!AE5+[1]Capital!AE7</f>
        <v>70668.099312999999</v>
      </c>
      <c r="AG165" s="5">
        <f>[1]Capital!AF5+[1]Capital!AF7</f>
        <v>71719.801619999998</v>
      </c>
      <c r="AH165" s="5">
        <f>[1]Capital!AG5+[1]Capital!AG7</f>
        <v>72783.387883999996</v>
      </c>
      <c r="AI165" s="5">
        <f>[1]Capital!AH5+[1]Capital!AH7</f>
        <v>73859.129434999995</v>
      </c>
      <c r="AJ165" s="5">
        <f>[1]Capital!AI5+[1]Capital!AI7</f>
        <v>74947.363467999996</v>
      </c>
      <c r="AK165" s="5">
        <f>[1]Capital!AJ5+[1]Capital!AJ7</f>
        <v>76048.451589000004</v>
      </c>
      <c r="AL165" s="5">
        <f>[1]Capital!AK5+[1]Capital!AK7</f>
        <v>77162.752687</v>
      </c>
      <c r="AM165" s="5">
        <f>[1]Capital!AL5+[1]Capital!AL7</f>
        <v>78288.903151000006</v>
      </c>
      <c r="AN165" s="5">
        <f>[1]Capital!AM5+[1]Capital!AM7</f>
        <v>79425.960778000008</v>
      </c>
      <c r="AO165" s="5">
        <f>[1]Capital!AN5+[1]Capital!AN7</f>
        <v>80573.356324000008</v>
      </c>
      <c r="AP165" s="5">
        <f>[1]Capital!AO5+[1]Capital!AO7</f>
        <v>81730.798248000006</v>
      </c>
      <c r="AQ165" s="5">
        <f>[1]Capital!AP5+[1]Capital!AP7</f>
        <v>82898.214429000014</v>
      </c>
      <c r="AR165" s="5">
        <f>[1]Capital!AQ5+[1]Capital!AQ7</f>
        <v>84075.709024000011</v>
      </c>
      <c r="AS165" s="5">
        <f>[1]Capital!AR5+[1]Capital!AR7</f>
        <v>85263.523304000002</v>
      </c>
      <c r="AT165" s="5">
        <f>[1]Capital!AS5+[1]Capital!AS7</f>
        <v>86461.998647999993</v>
      </c>
      <c r="AU165" s="5">
        <f>[1]Capital!AT5+[1]Capital!AT7</f>
        <v>87671.543640999997</v>
      </c>
      <c r="AV165" s="5">
        <f>[1]Capital!AU5+[1]Capital!AU7</f>
        <v>88892.606677999996</v>
      </c>
      <c r="AW165" s="5">
        <f>[1]Capital!AV5+[1]Capital!AV7</f>
        <v>90125.810173999998</v>
      </c>
      <c r="AX165" s="5">
        <f>[1]Capital!AW5+[1]Capital!AW7</f>
        <v>91371.739484999998</v>
      </c>
      <c r="AY165" s="5">
        <f>[1]Capital!AX5+[1]Capital!AX7</f>
        <v>92630.939171000005</v>
      </c>
      <c r="AZ165" s="5">
        <f>[1]Capital!AY5+[1]Capital!AY7</f>
        <v>93903.918057000003</v>
      </c>
      <c r="BA165" s="5">
        <f>[1]Capital!AZ5+[1]Capital!AZ7</f>
        <v>95191.154076999999</v>
      </c>
      <c r="BB165" s="5">
        <f>[1]Capital!BA5+[1]Capital!BA7</f>
        <v>96493.099400999999</v>
      </c>
      <c r="BC165" s="5">
        <f>[1]Capital!BB5+[1]Capital!BB7</f>
        <v>97810.186149000001</v>
      </c>
      <c r="BD165" s="5">
        <f>[1]Capital!BC5+[1]Capital!BC7</f>
        <v>99142.832141000006</v>
      </c>
      <c r="BE165" s="5">
        <f>[1]Capital!BD5+[1]Capital!BD7</f>
        <v>100491.445901</v>
      </c>
      <c r="BF165" s="5">
        <f>[1]Capital!BE5+[1]Capital!BE7</f>
        <v>101856.430832</v>
      </c>
    </row>
    <row r="166" spans="1:58" x14ac:dyDescent="0.35">
      <c r="B166" t="s">
        <v>30</v>
      </c>
      <c r="C166" s="5">
        <f>[1]Capital!B9+[1]Capital!B11+[1]Capital!B13+[1]Capital!B15+[1]Capital!B17+[1]Capital!B19+[1]Capital!B21+[1]Capital!B23+[1]Capital!B25+[1]Capital!B27+[1]Capital!B41</f>
        <v>2595738.3102220003</v>
      </c>
      <c r="D166" s="5">
        <f>[1]Capital!C9+[1]Capital!C11+[1]Capital!C13+[1]Capital!C15+[1]Capital!C17+[1]Capital!C19+[1]Capital!C21+[1]Capital!C23+[1]Capital!C25+[1]Capital!C27+[1]Capital!C41</f>
        <v>2623297.6740389997</v>
      </c>
      <c r="E166" s="5">
        <f>[1]Capital!D9+[1]Capital!D11+[1]Capital!D13+[1]Capital!D15+[1]Capital!D17+[1]Capital!D19+[1]Capital!D21+[1]Capital!D23+[1]Capital!D25+[1]Capital!D27+[1]Capital!D41</f>
        <v>2650481.764895</v>
      </c>
      <c r="F166" s="5">
        <f>[1]Capital!E9+[1]Capital!E11+[1]Capital!E13+[1]Capital!E15+[1]Capital!E17+[1]Capital!E19+[1]Capital!E21+[1]Capital!E23+[1]Capital!E25+[1]Capital!E27+[1]Capital!E41</f>
        <v>2678181.284548</v>
      </c>
      <c r="G166" s="5">
        <f>[1]Capital!F9+[1]Capital!F11+[1]Capital!F13+[1]Capital!F15+[1]Capital!F17+[1]Capital!F19+[1]Capital!F21+[1]Capital!F23+[1]Capital!F25+[1]Capital!F27+[1]Capital!F41</f>
        <v>2706847.3073570002</v>
      </c>
      <c r="H166" s="5">
        <f>[1]Capital!G9+[1]Capital!G11+[1]Capital!G13+[1]Capital!G15+[1]Capital!G17+[1]Capital!G19+[1]Capital!G21+[1]Capital!G23+[1]Capital!G25+[1]Capital!G27+[1]Capital!G41</f>
        <v>2736717.7888670005</v>
      </c>
      <c r="I166" s="5">
        <f>[1]Capital!H9+[1]Capital!H11+[1]Capital!H13+[1]Capital!H15+[1]Capital!H17+[1]Capital!H19+[1]Capital!H21+[1]Capital!H23+[1]Capital!H25+[1]Capital!H27+[1]Capital!H41</f>
        <v>2767843.2438409999</v>
      </c>
      <c r="J166" s="5">
        <f>[1]Capital!I9+[1]Capital!I11+[1]Capital!I13+[1]Capital!I15+[1]Capital!I17+[1]Capital!I19+[1]Capital!I21+[1]Capital!I23+[1]Capital!I25+[1]Capital!I27+[1]Capital!I41</f>
        <v>2800248.2962130001</v>
      </c>
      <c r="K166" s="5">
        <f>[1]Capital!J9+[1]Capital!J11+[1]Capital!J13+[1]Capital!J15+[1]Capital!J17+[1]Capital!J19+[1]Capital!J21+[1]Capital!J23+[1]Capital!J25+[1]Capital!J27+[1]Capital!J41</f>
        <v>2833955.8523379997</v>
      </c>
      <c r="L166" s="5">
        <f>[1]Capital!K9+[1]Capital!K11+[1]Capital!K13+[1]Capital!K15+[1]Capital!K17+[1]Capital!K19+[1]Capital!K21+[1]Capital!K23+[1]Capital!K25+[1]Capital!K27+[1]Capital!K41</f>
        <v>2868993.057759</v>
      </c>
      <c r="M166" s="5">
        <f>[1]Capital!L9+[1]Capital!L11+[1]Capital!L13+[1]Capital!L15+[1]Capital!L17+[1]Capital!L19+[1]Capital!L21+[1]Capital!L23+[1]Capital!L25+[1]Capital!L27+[1]Capital!L41</f>
        <v>2905540.1074949997</v>
      </c>
      <c r="N166" s="5">
        <f>[1]Capital!M9+[1]Capital!M11+[1]Capital!M13+[1]Capital!M15+[1]Capital!M17+[1]Capital!M19+[1]Capital!M21+[1]Capital!M23+[1]Capital!M25+[1]Capital!M27+[1]Capital!M41</f>
        <v>2943592.9435100001</v>
      </c>
      <c r="O166" s="5">
        <f>[1]Capital!N9+[1]Capital!N11+[1]Capital!N13+[1]Capital!N15+[1]Capital!N17+[1]Capital!N19+[1]Capital!N21+[1]Capital!N23+[1]Capital!N25+[1]Capital!N27+[1]Capital!N41</f>
        <v>2983153.6600179998</v>
      </c>
      <c r="P166" s="5">
        <f>[1]Capital!O9+[1]Capital!O11+[1]Capital!O13+[1]Capital!O15+[1]Capital!O17+[1]Capital!O19+[1]Capital!O21+[1]Capital!O23+[1]Capital!O25+[1]Capital!O27+[1]Capital!O41</f>
        <v>3024232.8647710001</v>
      </c>
      <c r="Q166" s="5">
        <f>[1]Capital!P9+[1]Capital!P11+[1]Capital!P13+[1]Capital!P15+[1]Capital!P17+[1]Capital!P19+[1]Capital!P21+[1]Capital!P23+[1]Capital!P25+[1]Capital!P27+[1]Capital!P41</f>
        <v>3066846.0471489998</v>
      </c>
      <c r="R166" s="5">
        <f>[1]Capital!Q9+[1]Capital!Q11+[1]Capital!Q13+[1]Capital!Q15+[1]Capital!Q17+[1]Capital!Q19+[1]Capital!Q21+[1]Capital!Q23+[1]Capital!Q25+[1]Capital!Q27+[1]Capital!Q41</f>
        <v>3111011.6201559999</v>
      </c>
      <c r="S166" s="5">
        <f>[1]Capital!R9+[1]Capital!R11+[1]Capital!R13+[1]Capital!R15+[1]Capital!R17+[1]Capital!R19+[1]Capital!R21+[1]Capital!R23+[1]Capital!R25+[1]Capital!R27+[1]Capital!R41</f>
        <v>3156750.1728030001</v>
      </c>
      <c r="T166" s="5">
        <f>[1]Capital!S9+[1]Capital!S11+[1]Capital!S13+[1]Capital!S15+[1]Capital!S17+[1]Capital!S19+[1]Capital!S21+[1]Capital!S23+[1]Capital!S25+[1]Capital!S27+[1]Capital!S41</f>
        <v>3204084.2169199996</v>
      </c>
      <c r="U166" s="5">
        <f>[1]Capital!T9+[1]Capital!T11+[1]Capital!T13+[1]Capital!T15+[1]Capital!T17+[1]Capital!T19+[1]Capital!T21+[1]Capital!T23+[1]Capital!T25+[1]Capital!T27+[1]Capital!T41</f>
        <v>3253037.936822</v>
      </c>
      <c r="V166" s="5">
        <f>[1]Capital!U9+[1]Capital!U11+[1]Capital!U13+[1]Capital!U15+[1]Capital!U17+[1]Capital!U19+[1]Capital!U21+[1]Capital!U23+[1]Capital!U25+[1]Capital!U27+[1]Capital!U41</f>
        <v>3303636.769351</v>
      </c>
      <c r="W166" s="5">
        <f>[1]Capital!V9+[1]Capital!V11+[1]Capital!V13+[1]Capital!V15+[1]Capital!V17+[1]Capital!V19+[1]Capital!V21+[1]Capital!V23+[1]Capital!V25+[1]Capital!V27+[1]Capital!V41</f>
        <v>3355794.6265109996</v>
      </c>
      <c r="X166" s="5">
        <f>[1]Capital!W9+[1]Capital!W11+[1]Capital!W13+[1]Capital!W15+[1]Capital!W17+[1]Capital!W19+[1]Capital!W21+[1]Capital!W23+[1]Capital!W25+[1]Capital!W27+[1]Capital!W41</f>
        <v>3409564.2796900002</v>
      </c>
      <c r="Y166" s="5">
        <f>[1]Capital!X9+[1]Capital!X11+[1]Capital!X13+[1]Capital!X15+[1]Capital!X17+[1]Capital!X19+[1]Capital!X21+[1]Capital!X23+[1]Capital!X25+[1]Capital!X27+[1]Capital!X41</f>
        <v>3464993.5960859996</v>
      </c>
      <c r="Z166" s="5">
        <f>[1]Capital!Y9+[1]Capital!Y11+[1]Capital!Y13+[1]Capital!Y15+[1]Capital!Y17+[1]Capital!Y19+[1]Capital!Y21+[1]Capital!Y23+[1]Capital!Y25+[1]Capital!Y27+[1]Capital!Y41</f>
        <v>3522122.2474700003</v>
      </c>
      <c r="AA166" s="5">
        <f>[1]Capital!Z9+[1]Capital!Z11+[1]Capital!Z13+[1]Capital!Z15+[1]Capital!Z17+[1]Capital!Z19+[1]Capital!Z21+[1]Capital!Z23+[1]Capital!Z25+[1]Capital!Z27+[1]Capital!Z41</f>
        <v>3580983.3626729995</v>
      </c>
      <c r="AB166" s="5">
        <f>[1]Capital!AA9+[1]Capital!AA11+[1]Capital!AA13+[1]Capital!AA15+[1]Capital!AA17+[1]Capital!AA19+[1]Capital!AA21+[1]Capital!AA23+[1]Capital!AA25+[1]Capital!AA27+[1]Capital!AA41</f>
        <v>3641276.9213720001</v>
      </c>
      <c r="AC166" s="5">
        <f>[1]Capital!AB9+[1]Capital!AB11+[1]Capital!AB13+[1]Capital!AB15+[1]Capital!AB17+[1]Capital!AB19+[1]Capital!AB21+[1]Capital!AB23+[1]Capital!AB25+[1]Capital!AB27+[1]Capital!AB41</f>
        <v>3702945.3041739995</v>
      </c>
      <c r="AD166" s="5">
        <f>[1]Capital!AC9+[1]Capital!AC11+[1]Capital!AC13+[1]Capital!AC15+[1]Capital!AC17+[1]Capital!AC19+[1]Capital!AC21+[1]Capital!AC23+[1]Capital!AC25+[1]Capital!AC27+[1]Capital!AC41</f>
        <v>3765948.5817870004</v>
      </c>
      <c r="AE166" s="5">
        <f>[1]Capital!AD9+[1]Capital!AD11+[1]Capital!AD13+[1]Capital!AD15+[1]Capital!AD17+[1]Capital!AD19+[1]Capital!AD21+[1]Capital!AD23+[1]Capital!AD25+[1]Capital!AD27+[1]Capital!AD41</f>
        <v>3830252.1037719995</v>
      </c>
      <c r="AF166" s="5">
        <f>[1]Capital!AE9+[1]Capital!AE11+[1]Capital!AE13+[1]Capital!AE15+[1]Capital!AE17+[1]Capital!AE19+[1]Capital!AE21+[1]Capital!AE23+[1]Capital!AE25+[1]Capital!AE27+[1]Capital!AE41</f>
        <v>3895824.5873970003</v>
      </c>
      <c r="AG166" s="5">
        <f>[1]Capital!AF9+[1]Capital!AF11+[1]Capital!AF13+[1]Capital!AF15+[1]Capital!AF17+[1]Capital!AF19+[1]Capital!AF21+[1]Capital!AF23+[1]Capital!AF25+[1]Capital!AF27+[1]Capital!AF41</f>
        <v>3962636.8371640001</v>
      </c>
      <c r="AH166" s="5">
        <f>[1]Capital!AG9+[1]Capital!AG11+[1]Capital!AG13+[1]Capital!AG15+[1]Capital!AG17+[1]Capital!AG19+[1]Capital!AG21+[1]Capital!AG23+[1]Capital!AG25+[1]Capital!AG27+[1]Capital!AG41</f>
        <v>4030660.3597950004</v>
      </c>
      <c r="AI166" s="5">
        <f>[1]Capital!AH9+[1]Capital!AH11+[1]Capital!AH13+[1]Capital!AH15+[1]Capital!AH17+[1]Capital!AH19+[1]Capital!AH21+[1]Capital!AH23+[1]Capital!AH25+[1]Capital!AH27+[1]Capital!AH41</f>
        <v>4099865.9472149997</v>
      </c>
      <c r="AJ166" s="5">
        <f>[1]Capital!AI9+[1]Capital!AI11+[1]Capital!AI13+[1]Capital!AI15+[1]Capital!AI17+[1]Capital!AI19+[1]Capital!AI21+[1]Capital!AI23+[1]Capital!AI25+[1]Capital!AI27+[1]Capital!AI41</f>
        <v>4170222.4585890002</v>
      </c>
      <c r="AK166" s="5">
        <f>[1]Capital!AJ9+[1]Capital!AJ11+[1]Capital!AJ13+[1]Capital!AJ15+[1]Capital!AJ17+[1]Capital!AJ19+[1]Capital!AJ21+[1]Capital!AJ23+[1]Capital!AJ25+[1]Capital!AJ27+[1]Capital!AJ41</f>
        <v>4241695.9245309997</v>
      </c>
      <c r="AL166" s="5">
        <f>[1]Capital!AK9+[1]Capital!AK11+[1]Capital!AK13+[1]Capital!AK15+[1]Capital!AK17+[1]Capital!AK19+[1]Capital!AK21+[1]Capital!AK23+[1]Capital!AK25+[1]Capital!AK27+[1]Capital!AK41</f>
        <v>4314249.0692639994</v>
      </c>
      <c r="AM166" s="5">
        <f>[1]Capital!AL9+[1]Capital!AL11+[1]Capital!AL13+[1]Capital!AL15+[1]Capital!AL17+[1]Capital!AL19+[1]Capital!AL21+[1]Capital!AL23+[1]Capital!AL25+[1]Capital!AL27+[1]Capital!AL41</f>
        <v>4387760.0373430001</v>
      </c>
      <c r="AN166" s="5">
        <f>[1]Capital!AM9+[1]Capital!AM11+[1]Capital!AM13+[1]Capital!AM15+[1]Capital!AM17+[1]Capital!AM19+[1]Capital!AM21+[1]Capital!AM23+[1]Capital!AM25+[1]Capital!AM27+[1]Capital!AM41</f>
        <v>4462121.0432249997</v>
      </c>
      <c r="AO166" s="5">
        <f>[1]Capital!AN9+[1]Capital!AN11+[1]Capital!AN13+[1]Capital!AN15+[1]Capital!AN17+[1]Capital!AN19+[1]Capital!AN21+[1]Capital!AN23+[1]Capital!AN25+[1]Capital!AN27+[1]Capital!AN41</f>
        <v>4537236.8943330003</v>
      </c>
      <c r="AP166" s="5">
        <f>[1]Capital!AO9+[1]Capital!AO11+[1]Capital!AO13+[1]Capital!AO15+[1]Capital!AO17+[1]Capital!AO19+[1]Capital!AO21+[1]Capital!AO23+[1]Capital!AO25+[1]Capital!AO27+[1]Capital!AO41</f>
        <v>4613021.4872859996</v>
      </c>
      <c r="AQ166" s="5">
        <f>[1]Capital!AP9+[1]Capital!AP11+[1]Capital!AP13+[1]Capital!AP15+[1]Capital!AP17+[1]Capital!AP19+[1]Capital!AP21+[1]Capital!AP23+[1]Capital!AP25+[1]Capital!AP27+[1]Capital!AP41</f>
        <v>4689395.7966459999</v>
      </c>
      <c r="AR166" s="5">
        <f>[1]Capital!AQ9+[1]Capital!AQ11+[1]Capital!AQ13+[1]Capital!AQ15+[1]Capital!AQ17+[1]Capital!AQ19+[1]Capital!AQ21+[1]Capital!AQ23+[1]Capital!AQ25+[1]Capital!AQ27+[1]Capital!AQ41</f>
        <v>4766286.7781139994</v>
      </c>
      <c r="AS166" s="5">
        <f>[1]Capital!AR9+[1]Capital!AR11+[1]Capital!AR13+[1]Capital!AR15+[1]Capital!AR17+[1]Capital!AR19+[1]Capital!AR21+[1]Capital!AR23+[1]Capital!AR25+[1]Capital!AR27+[1]Capital!AR41</f>
        <v>4843626.7150450004</v>
      </c>
      <c r="AT166" s="5">
        <f>[1]Capital!AS9+[1]Capital!AS11+[1]Capital!AS13+[1]Capital!AS15+[1]Capital!AS17+[1]Capital!AS19+[1]Capital!AS21+[1]Capital!AS23+[1]Capital!AS25+[1]Capital!AS27+[1]Capital!AS41</f>
        <v>4921352.7528999997</v>
      </c>
      <c r="AU166" s="5">
        <f>[1]Capital!AT9+[1]Capital!AT11+[1]Capital!AT13+[1]Capital!AT15+[1]Capital!AT17+[1]Capital!AT19+[1]Capital!AT21+[1]Capital!AT23+[1]Capital!AT25+[1]Capital!AT27+[1]Capital!AT41</f>
        <v>4999406.5401999997</v>
      </c>
      <c r="AV166" s="5">
        <f>[1]Capital!AU9+[1]Capital!AU11+[1]Capital!AU13+[1]Capital!AU15+[1]Capital!AU17+[1]Capital!AU19+[1]Capital!AU21+[1]Capital!AU23+[1]Capital!AU25+[1]Capital!AU27+[1]Capital!AU41</f>
        <v>5077733.9858100004</v>
      </c>
      <c r="AW166" s="5">
        <f>[1]Capital!AV9+[1]Capital!AV11+[1]Capital!AV13+[1]Capital!AV15+[1]Capital!AV17+[1]Capital!AV19+[1]Capital!AV21+[1]Capital!AV23+[1]Capital!AV25+[1]Capital!AV27+[1]Capital!AV41</f>
        <v>5156292.5558900004</v>
      </c>
      <c r="AX166" s="5">
        <f>[1]Capital!AW9+[1]Capital!AW11+[1]Capital!AW13+[1]Capital!AW15+[1]Capital!AW17+[1]Capital!AW19+[1]Capital!AW21+[1]Capital!AW23+[1]Capital!AW25+[1]Capital!AW27+[1]Capital!AW41</f>
        <v>5235042.2222499996</v>
      </c>
      <c r="AY166" s="5">
        <f>[1]Capital!AX9+[1]Capital!AX11+[1]Capital!AX13+[1]Capital!AX15+[1]Capital!AX17+[1]Capital!AX19+[1]Capital!AX21+[1]Capital!AX23+[1]Capital!AX25+[1]Capital!AX27+[1]Capital!AX41</f>
        <v>5313945.7692800006</v>
      </c>
      <c r="AZ166" s="5">
        <f>[1]Capital!AY9+[1]Capital!AY11+[1]Capital!AY13+[1]Capital!AY15+[1]Capital!AY17+[1]Capital!AY19+[1]Capital!AY21+[1]Capital!AY23+[1]Capital!AY25+[1]Capital!AY27+[1]Capital!AY41</f>
        <v>5392969.3748399997</v>
      </c>
      <c r="BA166" s="5">
        <f>[1]Capital!AZ9+[1]Capital!AZ11+[1]Capital!AZ13+[1]Capital!AZ15+[1]Capital!AZ17+[1]Capital!AZ19+[1]Capital!AZ21+[1]Capital!AZ23+[1]Capital!AZ25+[1]Capital!AZ27+[1]Capital!AZ41</f>
        <v>5472083.1352000004</v>
      </c>
      <c r="BB166" s="5">
        <f>[1]Capital!BA9+[1]Capital!BA11+[1]Capital!BA13+[1]Capital!BA15+[1]Capital!BA17+[1]Capital!BA19+[1]Capital!BA21+[1]Capital!BA23+[1]Capital!BA25+[1]Capital!BA27+[1]Capital!BA41</f>
        <v>5551261.5174099999</v>
      </c>
      <c r="BC166" s="5">
        <f>[1]Capital!BB9+[1]Capital!BB11+[1]Capital!BB13+[1]Capital!BB15+[1]Capital!BB17+[1]Capital!BB19+[1]Capital!BB21+[1]Capital!BB23+[1]Capital!BB25+[1]Capital!BB27+[1]Capital!BB41</f>
        <v>5630483.7558900006</v>
      </c>
      <c r="BD166" s="5">
        <f>[1]Capital!BC9+[1]Capital!BC11+[1]Capital!BC13+[1]Capital!BC15+[1]Capital!BC17+[1]Capital!BC19+[1]Capital!BC21+[1]Capital!BC23+[1]Capital!BC25+[1]Capital!BC27+[1]Capital!BC41</f>
        <v>5709734.1882100003</v>
      </c>
      <c r="BE166" s="5">
        <f>[1]Capital!BD9+[1]Capital!BD11+[1]Capital!BD13+[1]Capital!BD15+[1]Capital!BD17+[1]Capital!BD19+[1]Capital!BD21+[1]Capital!BD23+[1]Capital!BD25+[1]Capital!BD27+[1]Capital!BD41</f>
        <v>5789002.5284700003</v>
      </c>
      <c r="BF166" s="5">
        <f>[1]Capital!BE9+[1]Capital!BE11+[1]Capital!BE13+[1]Capital!BE15+[1]Capital!BE17+[1]Capital!BE19+[1]Capital!BE21+[1]Capital!BE23+[1]Capital!BE25+[1]Capital!BE27+[1]Capital!BE41</f>
        <v>5868284.0541300001</v>
      </c>
    </row>
    <row r="167" spans="1:58" x14ac:dyDescent="0.35">
      <c r="B167" t="s">
        <v>9</v>
      </c>
      <c r="C167" s="5">
        <f>[1]Capital!B29+[1]Capital!B31+[1]Capital!B33+[1]Capital!B35</f>
        <v>88561.469265999986</v>
      </c>
      <c r="D167" s="5">
        <f>[1]Capital!C29+[1]Capital!C31+[1]Capital!C33+[1]Capital!C35</f>
        <v>89431.989254</v>
      </c>
      <c r="E167" s="5">
        <f>[1]Capital!D29+[1]Capital!D31+[1]Capital!D33+[1]Capital!D35</f>
        <v>90274.238987000004</v>
      </c>
      <c r="F167" s="5">
        <f>[1]Capital!E29+[1]Capital!E31+[1]Capital!E33+[1]Capital!E35</f>
        <v>91137.672906000007</v>
      </c>
      <c r="G167" s="5">
        <f>[1]Capital!F29+[1]Capital!F31+[1]Capital!F33+[1]Capital!F35</f>
        <v>92041.874139000007</v>
      </c>
      <c r="H167" s="5">
        <f>[1]Capital!G29+[1]Capital!G31+[1]Capital!G33+[1]Capital!G35</f>
        <v>92995.216721000004</v>
      </c>
      <c r="I167" s="5">
        <f>[1]Capital!H29+[1]Capital!H31+[1]Capital!H33+[1]Capital!H35</f>
        <v>93997.379049999989</v>
      </c>
      <c r="J167" s="5">
        <f>[1]Capital!I29+[1]Capital!I31+[1]Capital!I33+[1]Capital!I35</f>
        <v>95048.015518</v>
      </c>
      <c r="K167" s="5">
        <f>[1]Capital!J29+[1]Capital!J31+[1]Capital!J33+[1]Capital!J35</f>
        <v>96146.650683</v>
      </c>
      <c r="L167" s="5">
        <f>[1]Capital!K29+[1]Capital!K31+[1]Capital!K33+[1]Capital!K35</f>
        <v>97292.559047000002</v>
      </c>
      <c r="M167" s="5">
        <f>[1]Capital!L29+[1]Capital!L31+[1]Capital!L33+[1]Capital!L35</f>
        <v>98491.943485000011</v>
      </c>
      <c r="N167" s="5">
        <f>[1]Capital!M29+[1]Capital!M31+[1]Capital!M33+[1]Capital!M35</f>
        <v>99739.813339000015</v>
      </c>
      <c r="O167" s="5">
        <f>[1]Capital!N29+[1]Capital!N31+[1]Capital!N33+[1]Capital!N35</f>
        <v>101032.97229800001</v>
      </c>
      <c r="P167" s="5">
        <f>[1]Capital!O29+[1]Capital!O31+[1]Capital!O33+[1]Capital!O35</f>
        <v>102369.081093</v>
      </c>
      <c r="Q167" s="5">
        <f>[1]Capital!P29+[1]Capital!P31+[1]Capital!P33+[1]Capital!P35</f>
        <v>103746.165085</v>
      </c>
      <c r="R167" s="5">
        <f>[1]Capital!Q29+[1]Capital!Q31+[1]Capital!Q33+[1]Capital!Q35</f>
        <v>105162.48192000001</v>
      </c>
      <c r="S167" s="5">
        <f>[1]Capital!R29+[1]Capital!R31+[1]Capital!R33+[1]Capital!R35</f>
        <v>106616.51195100001</v>
      </c>
      <c r="T167" s="5">
        <f>[1]Capital!S29+[1]Capital!S31+[1]Capital!S33+[1]Capital!S35</f>
        <v>108106.974946</v>
      </c>
      <c r="U167" s="5">
        <f>[1]Capital!T29+[1]Capital!T31+[1]Capital!T33+[1]Capital!T35</f>
        <v>109632.840344</v>
      </c>
      <c r="V167" s="5">
        <f>[1]Capital!U29+[1]Capital!U31+[1]Capital!U33+[1]Capital!U35</f>
        <v>111193.323924</v>
      </c>
      <c r="W167" s="5">
        <f>[1]Capital!V29+[1]Capital!V31+[1]Capital!V33+[1]Capital!V35</f>
        <v>112782.475393</v>
      </c>
      <c r="X167" s="5">
        <f>[1]Capital!W29+[1]Capital!W31+[1]Capital!W33+[1]Capital!W35</f>
        <v>114402.764855</v>
      </c>
      <c r="Y167" s="5">
        <f>[1]Capital!X29+[1]Capital!X31+[1]Capital!X33+[1]Capital!X35</f>
        <v>116055.39603399999</v>
      </c>
      <c r="Z167" s="5">
        <f>[1]Capital!Y29+[1]Capital!Y31+[1]Capital!Y33+[1]Capital!Y35</f>
        <v>117741.036634</v>
      </c>
      <c r="AA167" s="5">
        <f>[1]Capital!Z29+[1]Capital!Z31+[1]Capital!Z33+[1]Capital!Z35</f>
        <v>119460.212715</v>
      </c>
      <c r="AB167" s="5">
        <f>[1]Capital!AA29+[1]Capital!AA31+[1]Capital!AA33+[1]Capital!AA35</f>
        <v>121197.76171999998</v>
      </c>
      <c r="AC167" s="5">
        <f>[1]Capital!AB29+[1]Capital!AB31+[1]Capital!AB33+[1]Capital!AB35</f>
        <v>122954.888466</v>
      </c>
      <c r="AD167" s="5">
        <f>[1]Capital!AC29+[1]Capital!AC31+[1]Capital!AC33+[1]Capital!AC35</f>
        <v>124732.37982</v>
      </c>
      <c r="AE167" s="5">
        <f>[1]Capital!AD29+[1]Capital!AD31+[1]Capital!AD33+[1]Capital!AD35</f>
        <v>126530.842722</v>
      </c>
      <c r="AF167" s="5">
        <f>[1]Capital!AE29+[1]Capital!AE31+[1]Capital!AE33+[1]Capital!AE35</f>
        <v>128350.97984800002</v>
      </c>
      <c r="AG167" s="5">
        <f>[1]Capital!AF29+[1]Capital!AF31+[1]Capital!AF33+[1]Capital!AF35</f>
        <v>130193.64120500001</v>
      </c>
      <c r="AH167" s="5">
        <f>[1]Capital!AG29+[1]Capital!AG31+[1]Capital!AG33+[1]Capital!AG35</f>
        <v>132059.78650700001</v>
      </c>
      <c r="AI167" s="5">
        <f>[1]Capital!AH29+[1]Capital!AH31+[1]Capital!AH33+[1]Capital!AH35</f>
        <v>133950.424291</v>
      </c>
      <c r="AJ167" s="5">
        <f>[1]Capital!AI29+[1]Capital!AI31+[1]Capital!AI33+[1]Capital!AI35</f>
        <v>135866.55513699999</v>
      </c>
      <c r="AK167" s="5">
        <f>[1]Capital!AJ29+[1]Capital!AJ31+[1]Capital!AJ33+[1]Capital!AJ35</f>
        <v>137809.12887700001</v>
      </c>
      <c r="AL167" s="5">
        <f>[1]Capital!AK29+[1]Capital!AK31+[1]Capital!AK33+[1]Capital!AK35</f>
        <v>139779.01777400001</v>
      </c>
      <c r="AM167" s="5">
        <f>[1]Capital!AL29+[1]Capital!AL31+[1]Capital!AL33+[1]Capital!AL35</f>
        <v>141773.16262799999</v>
      </c>
      <c r="AN167" s="5">
        <f>[1]Capital!AM29+[1]Capital!AM31+[1]Capital!AM33+[1]Capital!AM35</f>
        <v>143790.35304099999</v>
      </c>
      <c r="AO167" s="5">
        <f>[1]Capital!AN29+[1]Capital!AN31+[1]Capital!AN33+[1]Capital!AN35</f>
        <v>145830.237299</v>
      </c>
      <c r="AP167" s="5">
        <f>[1]Capital!AO29+[1]Capital!AO31+[1]Capital!AO33+[1]Capital!AO35</f>
        <v>147892.85354899999</v>
      </c>
      <c r="AQ167" s="5">
        <f>[1]Capital!AP29+[1]Capital!AP31+[1]Capital!AP33+[1]Capital!AP35</f>
        <v>149978.45168699999</v>
      </c>
      <c r="AR167" s="5">
        <f>[1]Capital!AQ29+[1]Capital!AQ31+[1]Capital!AQ33+[1]Capital!AQ35</f>
        <v>152087.41657</v>
      </c>
      <c r="AS167" s="5">
        <f>[1]Capital!AR29+[1]Capital!AR31+[1]Capital!AR33+[1]Capital!AR35</f>
        <v>154220.22324299999</v>
      </c>
      <c r="AT167" s="5">
        <f>[1]Capital!AS29+[1]Capital!AS31+[1]Capital!AS33+[1]Capital!AS35</f>
        <v>156377.40310499998</v>
      </c>
      <c r="AU167" s="5">
        <f>[1]Capital!AT29+[1]Capital!AT31+[1]Capital!AT33+[1]Capital!AT35</f>
        <v>158559.516466</v>
      </c>
      <c r="AV167" s="5">
        <f>[1]Capital!AU29+[1]Capital!AU31+[1]Capital!AU33+[1]Capital!AU35</f>
        <v>160767.131009</v>
      </c>
      <c r="AW167" s="5">
        <f>[1]Capital!AV29+[1]Capital!AV31+[1]Capital!AV33+[1]Capital!AV35</f>
        <v>163001.15846300003</v>
      </c>
      <c r="AX167" s="5">
        <f>[1]Capital!AW29+[1]Capital!AW31+[1]Capital!AW33+[1]Capital!AW35</f>
        <v>165262.31564300001</v>
      </c>
      <c r="AY167" s="5">
        <f>[1]Capital!AX29+[1]Capital!AX31+[1]Capital!AX33+[1]Capital!AX35</f>
        <v>167551.21300400002</v>
      </c>
      <c r="AZ167" s="5">
        <f>[1]Capital!AY29+[1]Capital!AY31+[1]Capital!AY33+[1]Capital!AY35</f>
        <v>169868.39968199999</v>
      </c>
      <c r="BA167" s="5">
        <f>[1]Capital!AZ29+[1]Capital!AZ31+[1]Capital!AZ33+[1]Capital!AZ35</f>
        <v>172214.3849</v>
      </c>
      <c r="BB167" s="5">
        <f>[1]Capital!BA29+[1]Capital!BA31+[1]Capital!BA33+[1]Capital!BA35</f>
        <v>174589.65138400003</v>
      </c>
      <c r="BC167" s="5">
        <f>[1]Capital!BB29+[1]Capital!BB31+[1]Capital!BB33+[1]Capital!BB35</f>
        <v>176994.66623500001</v>
      </c>
      <c r="BD167" s="5">
        <f>[1]Capital!BC29+[1]Capital!BC31+[1]Capital!BC33+[1]Capital!BC35</f>
        <v>179429.890419</v>
      </c>
      <c r="BE167" s="5">
        <f>[1]Capital!BD29+[1]Capital!BD31+[1]Capital!BD33+[1]Capital!BD35</f>
        <v>181895.78680000003</v>
      </c>
      <c r="BF167" s="5">
        <f>[1]Capital!BE29+[1]Capital!BE31+[1]Capital!BE33+[1]Capital!BE35</f>
        <v>184392.82652999999</v>
      </c>
    </row>
    <row r="168" spans="1:58" x14ac:dyDescent="0.35">
      <c r="B168" t="s">
        <v>10</v>
      </c>
      <c r="C168" s="5">
        <f>[1]Capital!B37+[1]Capital!B39</f>
        <v>2425814.7522</v>
      </c>
      <c r="D168" s="5">
        <f>[1]Capital!C37+[1]Capital!C39</f>
        <v>2452012.8252999997</v>
      </c>
      <c r="E168" s="5">
        <f>[1]Capital!D37+[1]Capital!D39</f>
        <v>2477839.1444000001</v>
      </c>
      <c r="F168" s="5">
        <f>[1]Capital!E37+[1]Capital!E39</f>
        <v>2504018.0436</v>
      </c>
      <c r="G168" s="5">
        <f>[1]Capital!F37+[1]Capital!F39</f>
        <v>2530977.3130000001</v>
      </c>
      <c r="H168" s="5">
        <f>[1]Capital!G37+[1]Capital!G39</f>
        <v>2558982.9375999998</v>
      </c>
      <c r="I168" s="5">
        <f>[1]Capital!H37+[1]Capital!H39</f>
        <v>2588112.6838000002</v>
      </c>
      <c r="J168" s="5">
        <f>[1]Capital!I37+[1]Capital!I39</f>
        <v>2618430.2892</v>
      </c>
      <c r="K168" s="5">
        <f>[1]Capital!J37+[1]Capital!J39</f>
        <v>2649990.8473</v>
      </c>
      <c r="L168" s="5">
        <f>[1]Capital!K37+[1]Capital!K39</f>
        <v>2682839.0315999999</v>
      </c>
      <c r="M168" s="5">
        <f>[1]Capital!L37+[1]Capital!L39</f>
        <v>2717184.1909999996</v>
      </c>
      <c r="N168" s="5">
        <f>[1]Capital!M37+[1]Capital!M39</f>
        <v>2752983.0411</v>
      </c>
      <c r="O168" s="5">
        <f>[1]Capital!N37+[1]Capital!N39</f>
        <v>2790203.1513</v>
      </c>
      <c r="P168" s="5">
        <f>[1]Capital!O37+[1]Capital!O39</f>
        <v>2828819.5221000002</v>
      </c>
      <c r="Q168" s="5">
        <f>[1]Capital!P37+[1]Capital!P39</f>
        <v>2868808.1312000002</v>
      </c>
      <c r="R168" s="5">
        <f>[1]Capital!Q37+[1]Capital!Q39</f>
        <v>2910144.3848999999</v>
      </c>
      <c r="S168" s="5">
        <f>[1]Capital!R37+[1]Capital!R39</f>
        <v>2952803.6587999999</v>
      </c>
      <c r="T168" s="5">
        <f>[1]Capital!S37+[1]Capital!S39</f>
        <v>2996762.2091000001</v>
      </c>
      <c r="U168" s="5">
        <f>[1]Capital!T37+[1]Capital!T39</f>
        <v>3041997.8117</v>
      </c>
      <c r="V168" s="5">
        <f>[1]Capital!U37+[1]Capital!U39</f>
        <v>3088489.9857000001</v>
      </c>
      <c r="W168" s="5">
        <f>[1]Capital!V37+[1]Capital!V39</f>
        <v>3136087.1790999998</v>
      </c>
      <c r="X168" s="5">
        <f>[1]Capital!W37+[1]Capital!W39</f>
        <v>3184819.7163999998</v>
      </c>
      <c r="Y168" s="5">
        <f>[1]Capital!X37+[1]Capital!X39</f>
        <v>3234703.5861</v>
      </c>
      <c r="Z168" s="5">
        <f>[1]Capital!Y37+[1]Capital!Y39</f>
        <v>3285743.8388999999</v>
      </c>
      <c r="AA168" s="5">
        <f>[1]Capital!Z37+[1]Capital!Z39</f>
        <v>3337940.4257999999</v>
      </c>
      <c r="AB168" s="5">
        <f>[1]Capital!AA37+[1]Capital!AA39</f>
        <v>3390903.7544</v>
      </c>
      <c r="AC168" s="5">
        <f>[1]Capital!AB37+[1]Capital!AB39</f>
        <v>3444583.5731000002</v>
      </c>
      <c r="AD168" s="5">
        <f>[1]Capital!AC37+[1]Capital!AC39</f>
        <v>3498946.4235999999</v>
      </c>
      <c r="AE168" s="5">
        <f>[1]Capital!AD37+[1]Capital!AD39</f>
        <v>3553965.9323999998</v>
      </c>
      <c r="AF168" s="5">
        <f>[1]Capital!AE37+[1]Capital!AE39</f>
        <v>3609624.6853</v>
      </c>
      <c r="AG168" s="5">
        <f>[1]Capital!AF37+[1]Capital!AF39</f>
        <v>3665913.8446</v>
      </c>
      <c r="AH168" s="5">
        <f>[1]Capital!AG37+[1]Capital!AG39</f>
        <v>3722831.2844000002</v>
      </c>
      <c r="AI168" s="5">
        <f>[1]Capital!AH37+[1]Capital!AH39</f>
        <v>3780379.3928999999</v>
      </c>
      <c r="AJ168" s="5">
        <f>[1]Capital!AI37+[1]Capital!AI39</f>
        <v>3838563.1265000002</v>
      </c>
      <c r="AK168" s="5">
        <f>[1]Capital!AJ37+[1]Capital!AJ39</f>
        <v>3897388.5674000001</v>
      </c>
      <c r="AL168" s="5">
        <f>[1]Capital!AK37+[1]Capital!AK39</f>
        <v>3956862.0186999999</v>
      </c>
      <c r="AM168" s="5">
        <f>[1]Capital!AL37+[1]Capital!AL39</f>
        <v>4016894.6073000003</v>
      </c>
      <c r="AN168" s="5">
        <f>[1]Capital!AM37+[1]Capital!AM39</f>
        <v>4077430.1255000001</v>
      </c>
      <c r="AO168" s="5">
        <f>[1]Capital!AN37+[1]Capital!AN39</f>
        <v>4138434.4901000001</v>
      </c>
      <c r="AP168" s="5">
        <f>[1]Capital!AO37+[1]Capital!AO39</f>
        <v>4199887.6869000001</v>
      </c>
      <c r="AQ168" s="5">
        <f>[1]Capital!AP37+[1]Capital!AP39</f>
        <v>4261779.9062999999</v>
      </c>
      <c r="AR168" s="5">
        <f>[1]Capital!AQ37+[1]Capital!AQ39</f>
        <v>4324109.3441000003</v>
      </c>
      <c r="AS168" s="5">
        <f>[1]Capital!AR37+[1]Capital!AR39</f>
        <v>4386880.5490000006</v>
      </c>
      <c r="AT168" s="5">
        <f>[1]Capital!AS37+[1]Capital!AS39</f>
        <v>4450102.9658000004</v>
      </c>
      <c r="AU168" s="5">
        <f>[1]Capital!AT37+[1]Capital!AT39</f>
        <v>4513789.6506000003</v>
      </c>
      <c r="AV168" s="5">
        <f>[1]Capital!AU37+[1]Capital!AU39</f>
        <v>4577956.1966000004</v>
      </c>
      <c r="AW168" s="5">
        <f>[1]Capital!AV37+[1]Capital!AV39</f>
        <v>4642628.5092000002</v>
      </c>
      <c r="AX168" s="5">
        <f>[1]Capital!AW37+[1]Capital!AW39</f>
        <v>4707830.5344000002</v>
      </c>
      <c r="AY168" s="5">
        <f>[1]Capital!AX37+[1]Capital!AX39</f>
        <v>4773584.8744999999</v>
      </c>
      <c r="AZ168" s="5">
        <f>[1]Capital!AY37+[1]Capital!AY39</f>
        <v>4839913.3673</v>
      </c>
      <c r="BA168" s="5">
        <f>[1]Capital!AZ37+[1]Capital!AZ39</f>
        <v>4906837.3893999998</v>
      </c>
      <c r="BB168" s="5">
        <f>[1]Capital!BA37+[1]Capital!BA39</f>
        <v>4974378.0776000004</v>
      </c>
      <c r="BC168" s="5">
        <f>[1]Capital!BB37+[1]Capital!BB39</f>
        <v>5042556.5310000004</v>
      </c>
      <c r="BD168" s="5">
        <f>[1]Capital!BC37+[1]Capital!BC39</f>
        <v>5111393.9818000002</v>
      </c>
      <c r="BE168" s="5">
        <f>[1]Capital!BD37+[1]Capital!BD39</f>
        <v>5180911.9560000002</v>
      </c>
      <c r="BF168" s="5">
        <f>[1]Capital!BE37+[1]Capital!BE39</f>
        <v>5251132.3775000004</v>
      </c>
    </row>
    <row r="169" spans="1:58" x14ac:dyDescent="0.35">
      <c r="B169" t="s">
        <v>29</v>
      </c>
      <c r="C169" s="5">
        <f>[1]Capital!B43+[1]Capital!B47</f>
        <v>22930.647962399999</v>
      </c>
      <c r="D169" s="5">
        <f>[1]Capital!C43+[1]Capital!C47</f>
        <v>23156.218558200002</v>
      </c>
      <c r="E169" s="5">
        <f>[1]Capital!D43+[1]Capital!D47</f>
        <v>23361.5704697</v>
      </c>
      <c r="F169" s="5">
        <f>[1]Capital!E43+[1]Capital!E47</f>
        <v>23556.605817</v>
      </c>
      <c r="G169" s="5">
        <f>[1]Capital!F43+[1]Capital!F47</f>
        <v>23747.143447999999</v>
      </c>
      <c r="H169" s="5">
        <f>[1]Capital!G43+[1]Capital!G47</f>
        <v>23937.322714999998</v>
      </c>
      <c r="I169" s="5">
        <f>[1]Capital!H43+[1]Capital!H47</f>
        <v>24129.542426300002</v>
      </c>
      <c r="J169" s="5">
        <f>[1]Capital!I43+[1]Capital!I47</f>
        <v>24325.8269206</v>
      </c>
      <c r="K169" s="5">
        <f>[1]Capital!J43+[1]Capital!J47</f>
        <v>24527.800916100001</v>
      </c>
      <c r="L169" s="5">
        <f>[1]Capital!K43+[1]Capital!K47</f>
        <v>24736.677186000001</v>
      </c>
      <c r="M169" s="5">
        <f>[1]Capital!L43+[1]Capital!L47</f>
        <v>24954.732933599997</v>
      </c>
      <c r="N169" s="5">
        <f>[1]Capital!M43+[1]Capital!M47</f>
        <v>25181.980843599998</v>
      </c>
      <c r="O169" s="5">
        <f>[1]Capital!N43+[1]Capital!N47</f>
        <v>25418.446390099998</v>
      </c>
      <c r="P169" s="5">
        <f>[1]Capital!O43+[1]Capital!O47</f>
        <v>25664.1501799</v>
      </c>
      <c r="Q169" s="5">
        <f>[1]Capital!P43+[1]Capital!P47</f>
        <v>25919.057605400001</v>
      </c>
      <c r="R169" s="5">
        <f>[1]Capital!Q43+[1]Capital!Q47</f>
        <v>26183.074298200001</v>
      </c>
      <c r="S169" s="5">
        <f>[1]Capital!R43+[1]Capital!R47</f>
        <v>26456.058195599999</v>
      </c>
      <c r="T169" s="5">
        <f>[1]Capital!S43+[1]Capital!S47</f>
        <v>26737.834069999997</v>
      </c>
      <c r="U169" s="5">
        <f>[1]Capital!T43+[1]Capital!T47</f>
        <v>27028.206306100001</v>
      </c>
      <c r="V169" s="5">
        <f>[1]Capital!U43+[1]Capital!U47</f>
        <v>27326.969543700001</v>
      </c>
      <c r="W169" s="5">
        <f>[1]Capital!V43+[1]Capital!V47</f>
        <v>27632.8854575</v>
      </c>
      <c r="X169" s="5">
        <f>[1]Capital!W43+[1]Capital!W47</f>
        <v>27946.195416800001</v>
      </c>
      <c r="Y169" s="5">
        <f>[1]Capital!X43+[1]Capital!X47</f>
        <v>28266.970671999999</v>
      </c>
      <c r="Z169" s="5">
        <f>[1]Capital!Y43+[1]Capital!Y47</f>
        <v>28595.170820200001</v>
      </c>
      <c r="AA169" s="5">
        <f>[1]Capital!Z43+[1]Capital!Z47</f>
        <v>28930.7204695</v>
      </c>
      <c r="AB169" s="5">
        <f>[1]Capital!AA43+[1]Capital!AA47</f>
        <v>29270.558792899999</v>
      </c>
      <c r="AC169" s="5">
        <f>[1]Capital!AB43+[1]Capital!AB47</f>
        <v>29614.482046900001</v>
      </c>
      <c r="AD169" s="5">
        <f>[1]Capital!AC43+[1]Capital!AC47</f>
        <v>29962.3620338</v>
      </c>
      <c r="AE169" s="5">
        <f>[1]Capital!AD43+[1]Capital!AD47</f>
        <v>30314.064915899999</v>
      </c>
      <c r="AF169" s="5">
        <f>[1]Capital!AE43+[1]Capital!AE47</f>
        <v>30669.494618100001</v>
      </c>
      <c r="AG169" s="5">
        <f>[1]Capital!AF43+[1]Capital!AF47</f>
        <v>31028.609202</v>
      </c>
      <c r="AH169" s="5">
        <f>[1]Capital!AG43+[1]Capital!AG47</f>
        <v>31391.418668400001</v>
      </c>
      <c r="AI169" s="5">
        <f>[1]Capital!AH43+[1]Capital!AH47</f>
        <v>31757.9743303</v>
      </c>
      <c r="AJ169" s="5">
        <f>[1]Capital!AI43+[1]Capital!AI47</f>
        <v>32128.358559299999</v>
      </c>
      <c r="AK169" s="5">
        <f>[1]Capital!AJ43+[1]Capital!AJ47</f>
        <v>32502.675317999998</v>
      </c>
      <c r="AL169" s="5">
        <f>[1]Capital!AK43+[1]Capital!AK47</f>
        <v>32881.042145699997</v>
      </c>
      <c r="AM169" s="5">
        <f>[1]Capital!AL43+[1]Capital!AL47</f>
        <v>33262.861129600002</v>
      </c>
      <c r="AN169" s="5">
        <f>[1]Capital!AM43+[1]Capital!AM47</f>
        <v>33647.841360400002</v>
      </c>
      <c r="AO169" s="5">
        <f>[1]Capital!AN43+[1]Capital!AN47</f>
        <v>34035.869003800006</v>
      </c>
      <c r="AP169" s="5">
        <f>[1]Capital!AO43+[1]Capital!AO47</f>
        <v>34426.917266000004</v>
      </c>
      <c r="AQ169" s="5">
        <f>[1]Capital!AP43+[1]Capital!AP47</f>
        <v>34821.008387500005</v>
      </c>
      <c r="AR169" s="5">
        <f>[1]Capital!AQ43+[1]Capital!AQ47</f>
        <v>35218.197028900002</v>
      </c>
      <c r="AS169" s="5">
        <f>[1]Capital!AR43+[1]Capital!AR47</f>
        <v>35618.561174900002</v>
      </c>
      <c r="AT169" s="5">
        <f>[1]Capital!AS43+[1]Capital!AS47</f>
        <v>36022.195331900002</v>
      </c>
      <c r="AU169" s="5">
        <f>[1]Capital!AT43+[1]Capital!AT47</f>
        <v>36429.2049797</v>
      </c>
      <c r="AV169" s="5">
        <f>[1]Capital!AU43+[1]Capital!AU47</f>
        <v>36839.702844799998</v>
      </c>
      <c r="AW169" s="5">
        <f>[1]Capital!AV43+[1]Capital!AV47</f>
        <v>37253.872810199995</v>
      </c>
      <c r="AX169" s="5">
        <f>[1]Capital!AW43+[1]Capital!AW47</f>
        <v>37671.875343700005</v>
      </c>
      <c r="AY169" s="5">
        <f>[1]Capital!AX43+[1]Capital!AX47</f>
        <v>38093.8572164</v>
      </c>
      <c r="AZ169" s="5">
        <f>[1]Capital!AY43+[1]Capital!AY47</f>
        <v>38519.957544199999</v>
      </c>
      <c r="BA169" s="5">
        <f>[1]Capital!AZ43+[1]Capital!AZ47</f>
        <v>38950.309426899999</v>
      </c>
      <c r="BB169" s="5">
        <f>[1]Capital!BA43+[1]Capital!BA47</f>
        <v>39385.040409299996</v>
      </c>
      <c r="BC169" s="5">
        <f>[1]Capital!BB43+[1]Capital!BB47</f>
        <v>39824.272739299995</v>
      </c>
      <c r="BD169" s="5">
        <f>[1]Capital!BC43+[1]Capital!BC47</f>
        <v>40268.124033699998</v>
      </c>
      <c r="BE169" s="5">
        <f>[1]Capital!BD43+[1]Capital!BD47</f>
        <v>40716.708099999996</v>
      </c>
      <c r="BF169" s="5">
        <f>[1]Capital!BE43+[1]Capital!BE47</f>
        <v>41170.135787800005</v>
      </c>
    </row>
    <row r="170" spans="1:58" x14ac:dyDescent="0.35">
      <c r="B170" t="s">
        <v>36</v>
      </c>
      <c r="C170" s="5">
        <f>[1]Capital!B45+[1]Capital!B49</f>
        <v>1942.1812265000001</v>
      </c>
      <c r="D170" s="5">
        <f>[1]Capital!C45+[1]Capital!C49</f>
        <v>1961.3769245000001</v>
      </c>
      <c r="E170" s="5">
        <f>[1]Capital!D45+[1]Capital!D49</f>
        <v>1978.7521434</v>
      </c>
      <c r="F170" s="5">
        <f>[1]Capital!E45+[1]Capital!E49</f>
        <v>1995.0510654</v>
      </c>
      <c r="G170" s="5">
        <f>[1]Capital!F45+[1]Capital!F49</f>
        <v>2010.7604597</v>
      </c>
      <c r="H170" s="5">
        <f>[1]Capital!G45+[1]Capital!G49</f>
        <v>2026.2556109</v>
      </c>
      <c r="I170" s="5">
        <f>[1]Capital!H45+[1]Capital!H49</f>
        <v>2041.775693</v>
      </c>
      <c r="J170" s="5">
        <f>[1]Capital!I45+[1]Capital!I49</f>
        <v>2057.5227666000001</v>
      </c>
      <c r="K170" s="5">
        <f>[1]Capital!J45+[1]Capital!J49</f>
        <v>2073.6593058999997</v>
      </c>
      <c r="L170" s="5">
        <f>[1]Capital!K45+[1]Capital!K49</f>
        <v>2090.3098220000002</v>
      </c>
      <c r="M170" s="5">
        <f>[1]Capital!L45+[1]Capital!L49</f>
        <v>2107.6732040000002</v>
      </c>
      <c r="N170" s="5">
        <f>[1]Capital!M45+[1]Capital!M49</f>
        <v>2125.7689789000001</v>
      </c>
      <c r="O170" s="5">
        <f>[1]Capital!N45+[1]Capital!N49</f>
        <v>2144.6149762999999</v>
      </c>
      <c r="P170" s="5">
        <f>[1]Capital!O45+[1]Capital!O49</f>
        <v>2164.2252170000002</v>
      </c>
      <c r="Q170" s="5">
        <f>[1]Capital!P45+[1]Capital!P49</f>
        <v>2184.6066453000003</v>
      </c>
      <c r="R170" s="5">
        <f>[1]Capital!Q45+[1]Capital!Q49</f>
        <v>2205.7592402</v>
      </c>
      <c r="S170" s="5">
        <f>[1]Capital!R45+[1]Capital!R49</f>
        <v>2227.6772506000002</v>
      </c>
      <c r="T170" s="5">
        <f>[1]Capital!S45+[1]Capital!S49</f>
        <v>2250.3505424</v>
      </c>
      <c r="U170" s="5">
        <f>[1]Capital!T45+[1]Capital!T49</f>
        <v>2273.7657945999999</v>
      </c>
      <c r="V170" s="5">
        <f>[1]Capital!U45+[1]Capital!U49</f>
        <v>2297.9074842999999</v>
      </c>
      <c r="W170" s="5">
        <f>[1]Capital!V45+[1]Capital!V49</f>
        <v>2322.6791735000002</v>
      </c>
      <c r="X170" s="5">
        <f>[1]Capital!W45+[1]Capital!W49</f>
        <v>2348.0966226999999</v>
      </c>
      <c r="Y170" s="5">
        <f>[1]Capital!X45+[1]Capital!X49</f>
        <v>2374.1610327999997</v>
      </c>
      <c r="Z170" s="5">
        <f>[1]Capital!Y45+[1]Capital!Y49</f>
        <v>2400.8649246999998</v>
      </c>
      <c r="AA170" s="5">
        <f>[1]Capital!Z45+[1]Capital!Z49</f>
        <v>2428.1979121999998</v>
      </c>
      <c r="AB170" s="5">
        <f>[1]Capital!AA45+[1]Capital!AA49</f>
        <v>2455.9190758</v>
      </c>
      <c r="AC170" s="5">
        <f>[1]Capital!AB45+[1]Capital!AB49</f>
        <v>2484.0054673999998</v>
      </c>
      <c r="AD170" s="5">
        <f>[1]Capital!AC45+[1]Capital!AC49</f>
        <v>2512.4374121000001</v>
      </c>
      <c r="AE170" s="5">
        <f>[1]Capital!AD45+[1]Capital!AD49</f>
        <v>2541.1952418999999</v>
      </c>
      <c r="AF170" s="5">
        <f>[1]Capital!AE45+[1]Capital!AE49</f>
        <v>2570.2630221999998</v>
      </c>
      <c r="AG170" s="5">
        <f>[1]Capital!AF45+[1]Capital!AF49</f>
        <v>2599.6298042999997</v>
      </c>
      <c r="AH170" s="5">
        <f>[1]Capital!AG45+[1]Capital!AG49</f>
        <v>2629.2894097000003</v>
      </c>
      <c r="AI170" s="5">
        <f>[1]Capital!AH45+[1]Capital!AH49</f>
        <v>2659.2396175000003</v>
      </c>
      <c r="AJ170" s="5">
        <f>[1]Capital!AI45+[1]Capital!AI49</f>
        <v>2689.4813042999999</v>
      </c>
      <c r="AK170" s="5">
        <f>[1]Capital!AJ45+[1]Capital!AJ49</f>
        <v>2720.0176683</v>
      </c>
      <c r="AL170" s="5">
        <f>[1]Capital!AK45+[1]Capital!AK49</f>
        <v>2750.8535519000002</v>
      </c>
      <c r="AM170" s="5">
        <f>[1]Capital!AL45+[1]Capital!AL49</f>
        <v>2781.9392032999999</v>
      </c>
      <c r="AN170" s="5">
        <f>[1]Capital!AM45+[1]Capital!AM49</f>
        <v>2813.2487343000003</v>
      </c>
      <c r="AO170" s="5">
        <f>[1]Capital!AN45+[1]Capital!AN49</f>
        <v>2844.7697002</v>
      </c>
      <c r="AP170" s="5">
        <f>[1]Capital!AO45+[1]Capital!AO49</f>
        <v>2876.4966378999998</v>
      </c>
      <c r="AQ170" s="5">
        <f>[1]Capital!AP45+[1]Capital!AP49</f>
        <v>2908.4284235999999</v>
      </c>
      <c r="AR170" s="5">
        <f>[1]Capital!AQ45+[1]Capital!AQ49</f>
        <v>2940.5671189000004</v>
      </c>
      <c r="AS170" s="5">
        <f>[1]Capital!AR45+[1]Capital!AR49</f>
        <v>2972.9172622000001</v>
      </c>
      <c r="AT170" s="5">
        <f>[1]Capital!AS45+[1]Capital!AS49</f>
        <v>3005.4853052999997</v>
      </c>
      <c r="AU170" s="5">
        <f>[1]Capital!AT45+[1]Capital!AT49</f>
        <v>3038.2791043999996</v>
      </c>
      <c r="AV170" s="5">
        <f>[1]Capital!AU45+[1]Capital!AU49</f>
        <v>3071.3075291999999</v>
      </c>
      <c r="AW170" s="5">
        <f>[1]Capital!AV45+[1]Capital!AV49</f>
        <v>3104.5852678000001</v>
      </c>
      <c r="AX170" s="5">
        <f>[1]Capital!AW45+[1]Capital!AW49</f>
        <v>3138.1254543000005</v>
      </c>
      <c r="AY170" s="5">
        <f>[1]Capital!AX45+[1]Capital!AX49</f>
        <v>3171.9403914999998</v>
      </c>
      <c r="AZ170" s="5">
        <f>[1]Capital!AY45+[1]Capital!AY49</f>
        <v>3206.0419238000004</v>
      </c>
      <c r="BA170" s="5">
        <f>[1]Capital!AZ45+[1]Capital!AZ49</f>
        <v>3240.4415064999998</v>
      </c>
      <c r="BB170" s="5">
        <f>[1]Capital!BA45+[1]Capital!BA49</f>
        <v>3275.1501935000001</v>
      </c>
      <c r="BC170" s="5">
        <f>[1]Capital!BB45+[1]Capital!BB49</f>
        <v>3310.1786377000003</v>
      </c>
      <c r="BD170" s="5">
        <f>[1]Capital!BC45+[1]Capital!BC49</f>
        <v>3345.537104</v>
      </c>
      <c r="BE170" s="5">
        <f>[1]Capital!BD45+[1]Capital!BD49</f>
        <v>3381.2355140999998</v>
      </c>
      <c r="BF170" s="5">
        <f>[1]Capital!BE45+[1]Capital!BE49</f>
        <v>3417.2834927000004</v>
      </c>
    </row>
    <row r="171" spans="1:58" x14ac:dyDescent="0.35">
      <c r="B171" t="s">
        <v>33</v>
      </c>
      <c r="C171" s="5">
        <f>[1]Capital!B51+[1]Capital!B53+[1]Capital!B55+[1]Capital!B57+[1]Capital!B59+[1]Capital!B61+[1]Capital!B63+[1]Capital!B65+[1]Capital!B67</f>
        <v>40302.096894729999</v>
      </c>
      <c r="D171" s="5">
        <f>[1]Capital!C51+[1]Capital!C53+[1]Capital!C55+[1]Capital!C57+[1]Capital!C59+[1]Capital!C61+[1]Capital!C63+[1]Capital!C65+[1]Capital!C67</f>
        <v>40728.074364870001</v>
      </c>
      <c r="E171" s="5">
        <f>[1]Capital!D51+[1]Capital!D53+[1]Capital!D55+[1]Capital!D57+[1]Capital!D59+[1]Capital!D61+[1]Capital!D63+[1]Capital!D65+[1]Capital!D67</f>
        <v>41128.661247470001</v>
      </c>
      <c r="F171" s="5">
        <f>[1]Capital!E51+[1]Capital!E53+[1]Capital!E55+[1]Capital!E57+[1]Capital!E59+[1]Capital!E61+[1]Capital!E63+[1]Capital!E65+[1]Capital!E67</f>
        <v>41511.000384890009</v>
      </c>
      <c r="G171" s="5">
        <f>[1]Capital!F51+[1]Capital!F53+[1]Capital!F55+[1]Capital!F57+[1]Capital!F59+[1]Capital!F61+[1]Capital!F63+[1]Capital!F65+[1]Capital!F67</f>
        <v>41881.186880009998</v>
      </c>
      <c r="H171" s="5">
        <f>[1]Capital!G51+[1]Capital!G53+[1]Capital!G55+[1]Capital!G57+[1]Capital!G59+[1]Capital!G61+[1]Capital!G63+[1]Capital!G65+[1]Capital!G67</f>
        <v>42244.812465700001</v>
      </c>
      <c r="I171" s="5">
        <f>[1]Capital!H51+[1]Capital!H53+[1]Capital!H55+[1]Capital!H57+[1]Capital!H59+[1]Capital!H61+[1]Capital!H63+[1]Capital!H65+[1]Capital!H67</f>
        <v>42605.444919329995</v>
      </c>
      <c r="J171" s="5">
        <f>[1]Capital!I51+[1]Capital!I53+[1]Capital!I55+[1]Capital!I57+[1]Capital!I59+[1]Capital!I61+[1]Capital!I63+[1]Capital!I65+[1]Capital!I67</f>
        <v>42966.106922660001</v>
      </c>
      <c r="K171" s="5">
        <f>[1]Capital!J51+[1]Capital!J53+[1]Capital!J55+[1]Capital!J57+[1]Capital!J59+[1]Capital!J61+[1]Capital!J63+[1]Capital!J65+[1]Capital!J67</f>
        <v>43329.185233840006</v>
      </c>
      <c r="L171" s="5">
        <f>[1]Capital!K51+[1]Capital!K53+[1]Capital!K55+[1]Capital!K57+[1]Capital!K59+[1]Capital!K61+[1]Capital!K63+[1]Capital!K65+[1]Capital!K67</f>
        <v>43696.306065920005</v>
      </c>
      <c r="M171" s="5">
        <f>[1]Capital!L51+[1]Capital!L53+[1]Capital!L55+[1]Capital!L57+[1]Capital!L59+[1]Capital!L61+[1]Capital!L63+[1]Capital!L65+[1]Capital!L67</f>
        <v>44070.646208960003</v>
      </c>
      <c r="N171" s="5">
        <f>[1]Capital!M51+[1]Capital!M53+[1]Capital!M55+[1]Capital!M57+[1]Capital!M59+[1]Capital!M61+[1]Capital!M63+[1]Capital!M65+[1]Capital!M67</f>
        <v>44451.823041490003</v>
      </c>
      <c r="O171" s="5">
        <f>[1]Capital!N51+[1]Capital!N53+[1]Capital!N55+[1]Capital!N57+[1]Capital!N59+[1]Capital!N61+[1]Capital!N63+[1]Capital!N65+[1]Capital!N67</f>
        <v>44839.081742949995</v>
      </c>
      <c r="P171" s="5">
        <f>[1]Capital!O51+[1]Capital!O53+[1]Capital!O55+[1]Capital!O57+[1]Capital!O59+[1]Capital!O61+[1]Capital!O63+[1]Capital!O65+[1]Capital!O67</f>
        <v>45231.693182030001</v>
      </c>
      <c r="Q171" s="5">
        <f>[1]Capital!P51+[1]Capital!P53+[1]Capital!P55+[1]Capital!P57+[1]Capital!P59+[1]Capital!P61+[1]Capital!P63+[1]Capital!P65+[1]Capital!P67</f>
        <v>45628.989359300002</v>
      </c>
      <c r="R171" s="5">
        <f>[1]Capital!Q51+[1]Capital!Q53+[1]Capital!Q55+[1]Capital!Q57+[1]Capital!Q59+[1]Capital!Q61+[1]Capital!Q63+[1]Capital!Q65+[1]Capital!Q67</f>
        <v>46030.370994489989</v>
      </c>
      <c r="S171" s="5">
        <f>[1]Capital!R51+[1]Capital!R53+[1]Capital!R55+[1]Capital!R57+[1]Capital!R59+[1]Capital!R61+[1]Capital!R63+[1]Capital!R65+[1]Capital!R67</f>
        <v>46435.312885119994</v>
      </c>
      <c r="T171" s="5">
        <f>[1]Capital!S51+[1]Capital!S53+[1]Capital!S55+[1]Capital!S57+[1]Capital!S59+[1]Capital!S61+[1]Capital!S63+[1]Capital!S65+[1]Capital!S67</f>
        <v>46843.368015420005</v>
      </c>
      <c r="U171" s="5">
        <f>[1]Capital!T51+[1]Capital!T53+[1]Capital!T55+[1]Capital!T57+[1]Capital!T59+[1]Capital!T61+[1]Capital!T63+[1]Capital!T65+[1]Capital!T67</f>
        <v>47254.172524710004</v>
      </c>
      <c r="V171" s="5">
        <f>[1]Capital!U51+[1]Capital!U53+[1]Capital!U55+[1]Capital!U57+[1]Capital!U59+[1]Capital!U61+[1]Capital!U63+[1]Capital!U65+[1]Capital!U67</f>
        <v>47667.452078139991</v>
      </c>
      <c r="W171" s="5">
        <f>[1]Capital!V51+[1]Capital!V53+[1]Capital!V55+[1]Capital!V57+[1]Capital!V59+[1]Capital!V61+[1]Capital!V63+[1]Capital!V65+[1]Capital!V67</f>
        <v>48081.357964910007</v>
      </c>
      <c r="X171" s="5">
        <f>[1]Capital!W51+[1]Capital!W53+[1]Capital!W55+[1]Capital!W57+[1]Capital!W59+[1]Capital!W61+[1]Capital!W63+[1]Capital!W65+[1]Capital!W67</f>
        <v>48496.335614650001</v>
      </c>
      <c r="Y171" s="5">
        <f>[1]Capital!X51+[1]Capital!X53+[1]Capital!X55+[1]Capital!X57+[1]Capital!X59+[1]Capital!X61+[1]Capital!X63+[1]Capital!X65+[1]Capital!X67</f>
        <v>48912.915626469992</v>
      </c>
      <c r="Z171" s="5">
        <f>[1]Capital!Y51+[1]Capital!Y53+[1]Capital!Y55+[1]Capital!Y57+[1]Capital!Y59+[1]Capital!Y61+[1]Capital!Y63+[1]Capital!Y65+[1]Capital!Y67</f>
        <v>49331.544007390003</v>
      </c>
      <c r="AA171" s="5">
        <f>[1]Capital!Z51+[1]Capital!Z53+[1]Capital!Z55+[1]Capital!Z57+[1]Capital!Z59+[1]Capital!Z61+[1]Capital!Z63+[1]Capital!Z65+[1]Capital!Z67</f>
        <v>49752.650186600004</v>
      </c>
      <c r="AB171" s="5">
        <f>[1]Capital!AA51+[1]Capital!AA53+[1]Capital!AA55+[1]Capital!AA57+[1]Capital!AA59+[1]Capital!AA61+[1]Capital!AA63+[1]Capital!AA65+[1]Capital!AA67</f>
        <v>50171.949637230005</v>
      </c>
      <c r="AC171" s="5">
        <f>[1]Capital!AB51+[1]Capital!AB53+[1]Capital!AB55+[1]Capital!AB57+[1]Capital!AB59+[1]Capital!AB61+[1]Capital!AB63+[1]Capital!AB65+[1]Capital!AB67</f>
        <v>50589.189559920007</v>
      </c>
      <c r="AD171" s="5">
        <f>[1]Capital!AC51+[1]Capital!AC53+[1]Capital!AC55+[1]Capital!AC57+[1]Capital!AC59+[1]Capital!AC61+[1]Capital!AC63+[1]Capital!AC65+[1]Capital!AC67</f>
        <v>51004.78497216</v>
      </c>
      <c r="AE171" s="5">
        <f>[1]Capital!AD51+[1]Capital!AD53+[1]Capital!AD55+[1]Capital!AD57+[1]Capital!AD59+[1]Capital!AD61+[1]Capital!AD63+[1]Capital!AD65+[1]Capital!AD67</f>
        <v>51419.313317560001</v>
      </c>
      <c r="AF171" s="5">
        <f>[1]Capital!AE51+[1]Capital!AE53+[1]Capital!AE55+[1]Capital!AE57+[1]Capital!AE59+[1]Capital!AE61+[1]Capital!AE63+[1]Capital!AE65+[1]Capital!AE67</f>
        <v>51833.457761480007</v>
      </c>
      <c r="AG171" s="5">
        <f>[1]Capital!AF51+[1]Capital!AF53+[1]Capital!AF55+[1]Capital!AF57+[1]Capital!AF59+[1]Capital!AF61+[1]Capital!AF63+[1]Capital!AF65+[1]Capital!AF67</f>
        <v>52247.994338110009</v>
      </c>
      <c r="AH171" s="5">
        <f>[1]Capital!AG51+[1]Capital!AG53+[1]Capital!AG55+[1]Capital!AG57+[1]Capital!AG59+[1]Capital!AG61+[1]Capital!AG63+[1]Capital!AG65+[1]Capital!AG67</f>
        <v>52663.771683049999</v>
      </c>
      <c r="AI171" s="5">
        <f>[1]Capital!AH51+[1]Capital!AH53+[1]Capital!AH55+[1]Capital!AH57+[1]Capital!AH59+[1]Capital!AH61+[1]Capital!AH63+[1]Capital!AH65+[1]Capital!AH67</f>
        <v>53081.685675249995</v>
      </c>
      <c r="AJ171" s="5">
        <f>[1]Capital!AI51+[1]Capital!AI53+[1]Capital!AI55+[1]Capital!AI57+[1]Capital!AI59+[1]Capital!AI61+[1]Capital!AI63+[1]Capital!AI65+[1]Capital!AI67</f>
        <v>53502.653313789997</v>
      </c>
      <c r="AK171" s="5">
        <f>[1]Capital!AJ51+[1]Capital!AJ53+[1]Capital!AJ55+[1]Capital!AJ57+[1]Capital!AJ59+[1]Capital!AJ61+[1]Capital!AJ63+[1]Capital!AJ65+[1]Capital!AJ67</f>
        <v>53927.588701200002</v>
      </c>
      <c r="AL171" s="5">
        <f>[1]Capital!AK51+[1]Capital!AK53+[1]Capital!AK55+[1]Capital!AK57+[1]Capital!AK59+[1]Capital!AK61+[1]Capital!AK63+[1]Capital!AK65+[1]Capital!AK67</f>
        <v>54357.382637830007</v>
      </c>
      <c r="AM171" s="5">
        <f>[1]Capital!AL51+[1]Capital!AL53+[1]Capital!AL55+[1]Capital!AL57+[1]Capital!AL59+[1]Capital!AL61+[1]Capital!AL63+[1]Capital!AL65+[1]Capital!AL67</f>
        <v>54791.776680810006</v>
      </c>
      <c r="AN171" s="5">
        <f>[1]Capital!AM51+[1]Capital!AM53+[1]Capital!AM55+[1]Capital!AM57+[1]Capital!AM59+[1]Capital!AM61+[1]Capital!AM63+[1]Capital!AM65+[1]Capital!AM67</f>
        <v>55230.796868420002</v>
      </c>
      <c r="AO171" s="5">
        <f>[1]Capital!AN51+[1]Capital!AN53+[1]Capital!AN55+[1]Capital!AN57+[1]Capital!AN59+[1]Capital!AN61+[1]Capital!AN63+[1]Capital!AN65+[1]Capital!AN67</f>
        <v>55674.730428680014</v>
      </c>
      <c r="AP171" s="5">
        <f>[1]Capital!AO51+[1]Capital!AO53+[1]Capital!AO55+[1]Capital!AO57+[1]Capital!AO59+[1]Capital!AO61+[1]Capital!AO63+[1]Capital!AO65+[1]Capital!AO67</f>
        <v>56123.998405299993</v>
      </c>
      <c r="AQ171" s="5">
        <f>[1]Capital!AP51+[1]Capital!AP53+[1]Capital!AP55+[1]Capital!AP57+[1]Capital!AP59+[1]Capital!AP61+[1]Capital!AP63+[1]Capital!AP65+[1]Capital!AP67</f>
        <v>56579.077800539992</v>
      </c>
      <c r="AR171" s="5">
        <f>[1]Capital!AQ51+[1]Capital!AQ53+[1]Capital!AQ55+[1]Capital!AQ57+[1]Capital!AQ59+[1]Capital!AQ61+[1]Capital!AQ63+[1]Capital!AQ65+[1]Capital!AQ67</f>
        <v>57040.46070761</v>
      </c>
      <c r="AS171" s="5">
        <f>[1]Capital!AR51+[1]Capital!AR53+[1]Capital!AR55+[1]Capital!AR57+[1]Capital!AR59+[1]Capital!AR61+[1]Capital!AR63+[1]Capital!AR65+[1]Capital!AR67</f>
        <v>57508.631896980005</v>
      </c>
      <c r="AT171" s="5">
        <f>[1]Capital!AS51+[1]Capital!AS53+[1]Capital!AS55+[1]Capital!AS57+[1]Capital!AS59+[1]Capital!AS61+[1]Capital!AS63+[1]Capital!AS65+[1]Capital!AS67</f>
        <v>57984.055379780009</v>
      </c>
      <c r="AU171" s="5">
        <f>[1]Capital!AT51+[1]Capital!AT53+[1]Capital!AT55+[1]Capital!AT57+[1]Capital!AT59+[1]Capital!AT61+[1]Capital!AT63+[1]Capital!AT65+[1]Capital!AT67</f>
        <v>58467.165709160014</v>
      </c>
      <c r="AV171" s="5">
        <f>[1]Capital!AU51+[1]Capital!AU53+[1]Capital!AU55+[1]Capital!AU57+[1]Capital!AU59+[1]Capital!AU61+[1]Capital!AU63+[1]Capital!AU65+[1]Capital!AU67</f>
        <v>58958.367429229998</v>
      </c>
      <c r="AW171" s="5">
        <f>[1]Capital!AV51+[1]Capital!AV53+[1]Capital!AV55+[1]Capital!AV57+[1]Capital!AV59+[1]Capital!AV61+[1]Capital!AV63+[1]Capital!AV65+[1]Capital!AV67</f>
        <v>59458.142983219994</v>
      </c>
      <c r="AX171" s="5">
        <f>[1]Capital!AW51+[1]Capital!AW53+[1]Capital!AW55+[1]Capital!AW57+[1]Capital!AW59+[1]Capital!AW61+[1]Capital!AW63+[1]Capital!AW65+[1]Capital!AW67</f>
        <v>59966.931791129995</v>
      </c>
      <c r="AY171" s="5">
        <f>[1]Capital!AX51+[1]Capital!AX53+[1]Capital!AX55+[1]Capital!AX57+[1]Capital!AX59+[1]Capital!AX61+[1]Capital!AX63+[1]Capital!AX65+[1]Capital!AX67</f>
        <v>60485.132746590003</v>
      </c>
      <c r="AZ171" s="5">
        <f>[1]Capital!AY51+[1]Capital!AY53+[1]Capital!AY55+[1]Capital!AY57+[1]Capital!AY59+[1]Capital!AY61+[1]Capital!AY63+[1]Capital!AY65+[1]Capital!AY67</f>
        <v>61013.112108219997</v>
      </c>
      <c r="BA171" s="5">
        <f>[1]Capital!AZ51+[1]Capital!AZ53+[1]Capital!AZ55+[1]Capital!AZ57+[1]Capital!AZ59+[1]Capital!AZ61+[1]Capital!AZ63+[1]Capital!AZ65+[1]Capital!AZ67</f>
        <v>61551.206710699997</v>
      </c>
      <c r="BB171" s="5">
        <f>[1]Capital!BA51+[1]Capital!BA53+[1]Capital!BA55+[1]Capital!BA57+[1]Capital!BA59+[1]Capital!BA61+[1]Capital!BA63+[1]Capital!BA65+[1]Capital!BA67</f>
        <v>62099.725562300002</v>
      </c>
      <c r="BC171" s="5">
        <f>[1]Capital!BB51+[1]Capital!BB53+[1]Capital!BB55+[1]Capital!BB57+[1]Capital!BB59+[1]Capital!BB61+[1]Capital!BB63+[1]Capital!BB65+[1]Capital!BB67</f>
        <v>62658.952115100001</v>
      </c>
      <c r="BD171" s="5">
        <f>[1]Capital!BC51+[1]Capital!BC53+[1]Capital!BC55+[1]Capital!BC57+[1]Capital!BC59+[1]Capital!BC61+[1]Capital!BC63+[1]Capital!BC65+[1]Capital!BC67</f>
        <v>63229.147480899999</v>
      </c>
      <c r="BE171" s="5">
        <f>[1]Capital!BD51+[1]Capital!BD53+[1]Capital!BD55+[1]Capital!BD57+[1]Capital!BD59+[1]Capital!BD61+[1]Capital!BD63+[1]Capital!BD65+[1]Capital!BD67</f>
        <v>63810.554487500012</v>
      </c>
      <c r="BF171" s="5">
        <f>[1]Capital!BE51+[1]Capital!BE53+[1]Capital!BE55+[1]Capital!BE57+[1]Capital!BE59+[1]Capital!BE61+[1]Capital!BE63+[1]Capital!BE65+[1]Capital!BE67</f>
        <v>64403.402028799988</v>
      </c>
    </row>
    <row r="172" spans="1:58" x14ac:dyDescent="0.35"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</row>
    <row r="173" spans="1:58" x14ac:dyDescent="0.35">
      <c r="A173" s="12" t="s">
        <v>41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</row>
    <row r="174" spans="1:58" x14ac:dyDescent="0.35">
      <c r="A174" t="s">
        <v>39</v>
      </c>
      <c r="B174" t="s">
        <v>40</v>
      </c>
      <c r="C174" s="5">
        <f>[1]Capital!B2</f>
        <v>5223925.4060000004</v>
      </c>
      <c r="D174" s="5">
        <f>[1]Capital!C2</f>
        <v>5278693.6030000001</v>
      </c>
      <c r="E174" s="5">
        <f>[1]Capital!D2</f>
        <v>5331928.483</v>
      </c>
      <c r="F174" s="5">
        <f>[1]Capital!E2</f>
        <v>5385296.2869999995</v>
      </c>
      <c r="G174" s="5">
        <f>[1]Capital!F2</f>
        <v>5439704.6160000004</v>
      </c>
      <c r="H174" s="5">
        <f>[1]Capital!G2</f>
        <v>5495679.4220000003</v>
      </c>
      <c r="I174" s="5">
        <f>[1]Capital!H2</f>
        <v>5553355.7489999998</v>
      </c>
      <c r="J174" s="5">
        <f>[1]Capital!I2</f>
        <v>5612833.0480000004</v>
      </c>
      <c r="K174" s="5">
        <f>[1]Capital!J2</f>
        <v>5674202.0149999997</v>
      </c>
      <c r="L174" s="5">
        <f>[1]Capital!K2</f>
        <v>5737547.2529999996</v>
      </c>
      <c r="M174" s="5">
        <f>[1]Capital!L2</f>
        <v>5803278.642</v>
      </c>
      <c r="N174" s="5">
        <f>[1]Capital!M2</f>
        <v>5871331.5710000005</v>
      </c>
      <c r="O174" s="5">
        <f>[1]Capital!N2</f>
        <v>5941673.8320000004</v>
      </c>
      <c r="P174" s="5">
        <f>[1]Capital!O2</f>
        <v>6014297.4579999996</v>
      </c>
      <c r="Q174" s="5">
        <f>[1]Capital!P2</f>
        <v>6089205.0209999997</v>
      </c>
      <c r="R174" s="5">
        <f>[1]Capital!Q2</f>
        <v>6166404.3880000003</v>
      </c>
      <c r="S174" s="5">
        <f>[1]Capital!R2</f>
        <v>6245881.6349999998</v>
      </c>
      <c r="T174" s="5">
        <f>[1]Capital!S2</f>
        <v>6327640.7949999999</v>
      </c>
      <c r="U174" s="5">
        <f>[1]Capital!T2</f>
        <v>6411696.4040000001</v>
      </c>
      <c r="V174" s="5">
        <f>[1]Capital!U2</f>
        <v>6498069.6950000003</v>
      </c>
      <c r="W174" s="5">
        <f>[1]Capital!V2</f>
        <v>6586540.7309999997</v>
      </c>
      <c r="X174" s="5">
        <f>[1]Capital!W2</f>
        <v>6677214.784</v>
      </c>
      <c r="Y174" s="5">
        <f>[1]Capital!X2</f>
        <v>6770177.0970000001</v>
      </c>
      <c r="Z174" s="5">
        <f>[1]Capital!Y2</f>
        <v>6865492.977</v>
      </c>
      <c r="AA174" s="5">
        <f>[1]Capital!Z2</f>
        <v>6963215.6310000001</v>
      </c>
      <c r="AB174" s="5">
        <f>[1]Capital!AA2</f>
        <v>7062681.1909999996</v>
      </c>
      <c r="AC174" s="5">
        <f>[1]Capital!AB2</f>
        <v>7163821.4550000001</v>
      </c>
      <c r="AD174" s="5">
        <f>[1]Capital!AC2</f>
        <v>7266596.5860000001</v>
      </c>
      <c r="AE174" s="5">
        <f>[1]Capital!AD2</f>
        <v>7370975.716</v>
      </c>
      <c r="AF174" s="5">
        <f>[1]Capital!AE2</f>
        <v>7476938.4189999998</v>
      </c>
      <c r="AG174" s="5">
        <f>[1]Capital!AF2</f>
        <v>7584473.9469999997</v>
      </c>
      <c r="AH174" s="5">
        <f>[1]Capital!AG2</f>
        <v>7693584.7529999996</v>
      </c>
      <c r="AI174" s="5">
        <f>[1]Capital!AH2</f>
        <v>7804273.7850000001</v>
      </c>
      <c r="AJ174" s="5">
        <f>[1]Capital!AI2</f>
        <v>7916543.4390000002</v>
      </c>
      <c r="AK174" s="5">
        <f>[1]Capital!AJ2</f>
        <v>8030394.0650000004</v>
      </c>
      <c r="AL174" s="5">
        <f>[1]Capital!AK2</f>
        <v>8145822.9589999998</v>
      </c>
      <c r="AM174" s="5">
        <f>[1]Capital!AL2</f>
        <v>8262707.9740000004</v>
      </c>
      <c r="AN174" s="5">
        <f>[1]Capital!AM2</f>
        <v>8380943.9450000003</v>
      </c>
      <c r="AO174" s="5">
        <f>[1]Capital!AN2</f>
        <v>8500447.773</v>
      </c>
      <c r="AP174" s="5">
        <f>[1]Capital!AO2</f>
        <v>8621152.4399999995</v>
      </c>
      <c r="AQ174" s="5">
        <f>[1]Capital!AP2</f>
        <v>8743003.6640000008</v>
      </c>
      <c r="AR174" s="5">
        <f>[1]Capital!AQ2</f>
        <v>8865966.9059999995</v>
      </c>
      <c r="AS174" s="5">
        <f>[1]Capital!AR2</f>
        <v>8990011.6940000001</v>
      </c>
      <c r="AT174" s="5">
        <f>[1]Capital!AS2</f>
        <v>9115112.8489999995</v>
      </c>
      <c r="AU174" s="5">
        <f>[1]Capital!AT2</f>
        <v>9241249.9450000003</v>
      </c>
      <c r="AV174" s="5">
        <f>[1]Capital!AU2</f>
        <v>9368406.5429999996</v>
      </c>
      <c r="AW174" s="5">
        <f>[1]Capital!AV2</f>
        <v>9496616.4269999992</v>
      </c>
      <c r="AX174" s="5">
        <f>[1]Capital!AW2</f>
        <v>9625894.8080000002</v>
      </c>
      <c r="AY174" s="5">
        <f>[1]Capital!AX2</f>
        <v>9756249.2070000004</v>
      </c>
      <c r="AZ174" s="5">
        <f>[1]Capital!AY2</f>
        <v>9887683.7579999994</v>
      </c>
      <c r="BA174" s="5">
        <f>[1]Capital!AZ2</f>
        <v>10020201.539999999</v>
      </c>
      <c r="BB174" s="5">
        <f>[1]Capital!BA2</f>
        <v>10153825.99</v>
      </c>
      <c r="BC174" s="5">
        <f>[1]Capital!BB2</f>
        <v>10288571.07</v>
      </c>
      <c r="BD174" s="5">
        <f>[1]Capital!BC2</f>
        <v>10424448.470000001</v>
      </c>
      <c r="BE174" s="5">
        <f>[1]Capital!BD2</f>
        <v>10561470.09</v>
      </c>
      <c r="BF174" s="5">
        <f>[1]Capital!BE2</f>
        <v>10699649.48</v>
      </c>
    </row>
    <row r="175" spans="1:58" x14ac:dyDescent="0.35">
      <c r="B175" t="s">
        <v>7</v>
      </c>
      <c r="C175" s="5">
        <f>[1]Capital!B4+[1]Capital!B6</f>
        <v>49056.826955999997</v>
      </c>
      <c r="D175" s="5">
        <f>[1]Capital!C4+[1]Capital!C6</f>
        <v>49543.491712000003</v>
      </c>
      <c r="E175" s="5">
        <f>[1]Capital!D4+[1]Capital!D6</f>
        <v>49991.727297999998</v>
      </c>
      <c r="F175" s="5">
        <f>[1]Capital!E4+[1]Capital!E6</f>
        <v>50422.789770999996</v>
      </c>
      <c r="G175" s="5">
        <f>[1]Capital!F4+[1]Capital!F6</f>
        <v>50850.372368000004</v>
      </c>
      <c r="H175" s="5">
        <f>[1]Capital!G4+[1]Capital!G6</f>
        <v>51284.156605000004</v>
      </c>
      <c r="I175" s="5">
        <f>[1]Capital!H4+[1]Capital!H6</f>
        <v>51729.469338000003</v>
      </c>
      <c r="J175" s="5">
        <f>[1]Capital!I4+[1]Capital!I6</f>
        <v>52190.463089000004</v>
      </c>
      <c r="K175" s="5">
        <f>[1]Capital!J4+[1]Capital!J6</f>
        <v>52670.428171</v>
      </c>
      <c r="L175" s="5">
        <f>[1]Capital!K4+[1]Capital!K6</f>
        <v>53171.901958000002</v>
      </c>
      <c r="M175" s="5">
        <f>[1]Capital!L4+[1]Capital!L6</f>
        <v>53699.878298000003</v>
      </c>
      <c r="N175" s="5">
        <f>[1]Capital!M4+[1]Capital!M6</f>
        <v>54254.473919999997</v>
      </c>
      <c r="O175" s="5">
        <f>[1]Capital!N4+[1]Capital!N6</f>
        <v>54835.642372000002</v>
      </c>
      <c r="P175" s="5">
        <f>[1]Capital!O4+[1]Capital!O6</f>
        <v>55443.252810999998</v>
      </c>
      <c r="Q175" s="5">
        <f>[1]Capital!P4+[1]Capital!P6</f>
        <v>56077.061482999998</v>
      </c>
      <c r="R175" s="5">
        <f>[1]Capital!Q4+[1]Capital!Q6</f>
        <v>56736.738422000002</v>
      </c>
      <c r="S175" s="5">
        <f>[1]Capital!R4+[1]Capital!R6</f>
        <v>57421.589397000003</v>
      </c>
      <c r="T175" s="5">
        <f>[1]Capital!S4+[1]Capital!S6</f>
        <v>58131.106931000002</v>
      </c>
      <c r="U175" s="5">
        <f>[1]Capital!T4+[1]Capital!T6</f>
        <v>58864.884787000003</v>
      </c>
      <c r="V175" s="5">
        <f>[1]Capital!U4+[1]Capital!U6</f>
        <v>59622.587836999999</v>
      </c>
      <c r="W175" s="5">
        <f>[1]Capital!V4+[1]Capital!V6</f>
        <v>60401.635855</v>
      </c>
      <c r="X175" s="5">
        <f>[1]Capital!W4+[1]Capital!W6</f>
        <v>61202.428931000002</v>
      </c>
      <c r="Y175" s="5">
        <f>[1]Capital!X4+[1]Capital!X6</f>
        <v>62025.329669999999</v>
      </c>
      <c r="Z175" s="5">
        <f>[1]Capital!Y4+[1]Capital!Y6</f>
        <v>62870.586159000006</v>
      </c>
      <c r="AA175" s="5">
        <f>[1]Capital!Z4+[1]Capital!Z6</f>
        <v>63738.377744999998</v>
      </c>
      <c r="AB175" s="5">
        <f>[1]Capital!AA4+[1]Capital!AA6</f>
        <v>64622.184297</v>
      </c>
      <c r="AC175" s="5">
        <f>[1]Capital!AB4+[1]Capital!AB6</f>
        <v>65520.866130000002</v>
      </c>
      <c r="AD175" s="5">
        <f>[1]Capital!AC4+[1]Capital!AC6</f>
        <v>66433.776775999999</v>
      </c>
      <c r="AE175" s="5">
        <f>[1]Capital!AD4+[1]Capital!AD6</f>
        <v>67360.529435000004</v>
      </c>
      <c r="AF175" s="5">
        <f>[1]Capital!AE4+[1]Capital!AE6</f>
        <v>68300.982976999992</v>
      </c>
      <c r="AG175" s="5">
        <f>[1]Capital!AF4+[1]Capital!AF6</f>
        <v>69255.20543799999</v>
      </c>
      <c r="AH175" s="5">
        <f>[1]Capital!AG4+[1]Capital!AG6</f>
        <v>70223.495195999989</v>
      </c>
      <c r="AI175" s="5">
        <f>[1]Capital!AH4+[1]Capital!AH6</f>
        <v>71206.200324000005</v>
      </c>
      <c r="AJ175" s="5">
        <f>[1]Capital!AI4+[1]Capital!AI6</f>
        <v>72203.696605999998</v>
      </c>
      <c r="AK175" s="5">
        <f>[1]Capital!AJ4+[1]Capital!AJ6</f>
        <v>73216.361007</v>
      </c>
      <c r="AL175" s="5">
        <f>[1]Capital!AK4+[1]Capital!AK6</f>
        <v>74244.552844000005</v>
      </c>
      <c r="AM175" s="5">
        <f>[1]Capital!AL4+[1]Capital!AL6</f>
        <v>75287.682579999993</v>
      </c>
      <c r="AN175" s="5">
        <f>[1]Capital!AM4+[1]Capital!AM6</f>
        <v>76345.129816000001</v>
      </c>
      <c r="AO175" s="5">
        <f>[1]Capital!AN4+[1]Capital!AN6</f>
        <v>77416.455045999988</v>
      </c>
      <c r="AP175" s="5">
        <f>[1]Capital!AO4+[1]Capital!AO6</f>
        <v>78501.392860000007</v>
      </c>
      <c r="AQ175" s="5">
        <f>[1]Capital!AP4+[1]Capital!AP6</f>
        <v>79599.831247000009</v>
      </c>
      <c r="AR175" s="5">
        <f>[1]Capital!AQ4+[1]Capital!AQ6</f>
        <v>80711.901923000012</v>
      </c>
      <c r="AS175" s="5">
        <f>[1]Capital!AR4+[1]Capital!AR6</f>
        <v>81837.773618000007</v>
      </c>
      <c r="AT175" s="5">
        <f>[1]Capital!AS4+[1]Capital!AS6</f>
        <v>82977.664604000005</v>
      </c>
      <c r="AU175" s="5">
        <f>[1]Capital!AT4+[1]Capital!AT6</f>
        <v>84131.830679000006</v>
      </c>
      <c r="AV175" s="5">
        <f>[1]Capital!AU4+[1]Capital!AU6</f>
        <v>85300.549994000001</v>
      </c>
      <c r="AW175" s="5">
        <f>[1]Capital!AV4+[1]Capital!AV6</f>
        <v>86484.651851000002</v>
      </c>
      <c r="AX175" s="5">
        <f>[1]Capital!AW4+[1]Capital!AW6</f>
        <v>87684.698880999989</v>
      </c>
      <c r="AY175" s="5">
        <f>[1]Capital!AX4+[1]Capital!AX6</f>
        <v>88901.122260999997</v>
      </c>
      <c r="AZ175" s="5">
        <f>[1]Capital!AY4+[1]Capital!AY6</f>
        <v>90134.271993000002</v>
      </c>
      <c r="BA175" s="5">
        <f>[1]Capital!AZ4+[1]Capital!AZ6</f>
        <v>91384.44215599999</v>
      </c>
      <c r="BB175" s="5">
        <f>[1]Capital!BA4+[1]Capital!BA6</f>
        <v>92652.137905000011</v>
      </c>
      <c r="BC175" s="5">
        <f>[1]Capital!BB4+[1]Capital!BB6</f>
        <v>93937.689899000005</v>
      </c>
      <c r="BD175" s="5">
        <f>[1]Capital!BC4+[1]Capital!BC6</f>
        <v>95241.352234999998</v>
      </c>
      <c r="BE175" s="5">
        <f>[1]Capital!BD4+[1]Capital!BD6</f>
        <v>96563.338271000001</v>
      </c>
      <c r="BF175" s="5">
        <f>[1]Capital!BE4+[1]Capital!BE6</f>
        <v>97903.839735000001</v>
      </c>
    </row>
    <row r="176" spans="1:58" x14ac:dyDescent="0.35">
      <c r="B176" t="s">
        <v>30</v>
      </c>
      <c r="C176" s="5">
        <f>[1]Capital!B8+[1]Capital!B10+[1]Capital!B13+[1]Capital!B14+[1]Capital!B16+[1]Capital!B18+[1]Capital!B20+[1]Capital!B22+[1]Capital!B24+[1]Capital!B26+[1]Capital!B40</f>
        <v>2595509.0682390002</v>
      </c>
      <c r="D176" s="5">
        <f>[1]Capital!C8+[1]Capital!C10+[1]Capital!C13+[1]Capital!C14+[1]Capital!C16+[1]Capital!C18+[1]Capital!C20+[1]Capital!C22+[1]Capital!C24+[1]Capital!C26+[1]Capital!C40</f>
        <v>2622514.2506610001</v>
      </c>
      <c r="E176" s="5">
        <f>[1]Capital!D8+[1]Capital!D10+[1]Capital!D13+[1]Capital!D14+[1]Capital!D16+[1]Capital!D18+[1]Capital!D20+[1]Capital!D22+[1]Capital!D24+[1]Capital!D26+[1]Capital!D40</f>
        <v>2648777.9195270003</v>
      </c>
      <c r="F176" s="5">
        <f>[1]Capital!E8+[1]Capital!E10+[1]Capital!E13+[1]Capital!E14+[1]Capital!E16+[1]Capital!E18+[1]Capital!E20+[1]Capital!E22+[1]Capital!E24+[1]Capital!E26+[1]Capital!E40</f>
        <v>2675168.8237980003</v>
      </c>
      <c r="G176" s="5">
        <f>[1]Capital!F8+[1]Capital!F10+[1]Capital!F13+[1]Capital!F14+[1]Capital!F16+[1]Capital!F18+[1]Capital!F20+[1]Capital!F22+[1]Capital!F24+[1]Capital!F26+[1]Capital!F40</f>
        <v>2702126.5780080003</v>
      </c>
      <c r="H176" s="5">
        <f>[1]Capital!G8+[1]Capital!G10+[1]Capital!G13+[1]Capital!G14+[1]Capital!G16+[1]Capital!G18+[1]Capital!G20+[1]Capital!G22+[1]Capital!G24+[1]Capital!G26+[1]Capital!G40</f>
        <v>2729882.8154339995</v>
      </c>
      <c r="I176" s="5">
        <f>[1]Capital!H8+[1]Capital!H10+[1]Capital!H13+[1]Capital!H14+[1]Capital!H16+[1]Capital!H18+[1]Capital!H20+[1]Capital!H22+[1]Capital!H24+[1]Capital!H26+[1]Capital!H40</f>
        <v>2758481.7553079999</v>
      </c>
      <c r="J176" s="5">
        <f>[1]Capital!I8+[1]Capital!I10+[1]Capital!I13+[1]Capital!I14+[1]Capital!I16+[1]Capital!I18+[1]Capital!I20+[1]Capital!I22+[1]Capital!I24+[1]Capital!I26+[1]Capital!I40</f>
        <v>2787944.4165940001</v>
      </c>
      <c r="K176" s="5">
        <f>[1]Capital!J8+[1]Capital!J10+[1]Capital!J13+[1]Capital!J14+[1]Capital!J16+[1]Capital!J18+[1]Capital!J20+[1]Capital!J22+[1]Capital!J24+[1]Capital!J26+[1]Capital!J40</f>
        <v>2818291.432364</v>
      </c>
      <c r="L176" s="5">
        <f>[1]Capital!K8+[1]Capital!K10+[1]Capital!K13+[1]Capital!K14+[1]Capital!K16+[1]Capital!K18+[1]Capital!K20+[1]Capital!K22+[1]Capital!K24+[1]Capital!K26+[1]Capital!K40</f>
        <v>2849548.4896160001</v>
      </c>
      <c r="M176" s="5">
        <f>[1]Capital!L8+[1]Capital!L10+[1]Capital!L13+[1]Capital!L14+[1]Capital!L16+[1]Capital!L18+[1]Capital!L20+[1]Capital!L22+[1]Capital!L24+[1]Capital!L26+[1]Capital!L40</f>
        <v>2881891.503093</v>
      </c>
      <c r="N176" s="5">
        <f>[1]Capital!M8+[1]Capital!M10+[1]Capital!M13+[1]Capital!M14+[1]Capital!M16+[1]Capital!M18+[1]Capital!M20+[1]Capital!M22+[1]Capital!M24+[1]Capital!M26+[1]Capital!M40</f>
        <v>2915303.5908829998</v>
      </c>
      <c r="O176" s="5">
        <f>[1]Capital!N8+[1]Capital!N10+[1]Capital!N13+[1]Capital!N14+[1]Capital!N16+[1]Capital!N18+[1]Capital!N20+[1]Capital!N22+[1]Capital!N24+[1]Capital!N26+[1]Capital!N40</f>
        <v>2949781.7224039999</v>
      </c>
      <c r="P176" s="5">
        <f>[1]Capital!O8+[1]Capital!O10+[1]Capital!O13+[1]Capital!O14+[1]Capital!O16+[1]Capital!O18+[1]Capital!O20+[1]Capital!O22+[1]Capital!O24+[1]Capital!O26+[1]Capital!O40</f>
        <v>2985335.519299</v>
      </c>
      <c r="Q176" s="5">
        <f>[1]Capital!P8+[1]Capital!P10+[1]Capital!P13+[1]Capital!P14+[1]Capital!P16+[1]Capital!P18+[1]Capital!P20+[1]Capital!P22+[1]Capital!P24+[1]Capital!P26+[1]Capital!P40</f>
        <v>3021982.0117870001</v>
      </c>
      <c r="R176" s="5">
        <f>[1]Capital!Q8+[1]Capital!Q10+[1]Capital!Q13+[1]Capital!Q14+[1]Capital!Q16+[1]Capital!Q18+[1]Capital!Q20+[1]Capital!Q22+[1]Capital!Q24+[1]Capital!Q26+[1]Capital!Q40</f>
        <v>3059742.866254</v>
      </c>
      <c r="S176" s="5">
        <f>[1]Capital!R8+[1]Capital!R10+[1]Capital!R13+[1]Capital!R14+[1]Capital!R16+[1]Capital!R18+[1]Capital!R20+[1]Capital!R22+[1]Capital!R24+[1]Capital!R26+[1]Capital!R40</f>
        <v>3098629.204903</v>
      </c>
      <c r="T176" s="5">
        <f>[1]Capital!S8+[1]Capital!S10+[1]Capital!S13+[1]Capital!S14+[1]Capital!S16+[1]Capital!S18+[1]Capital!S20+[1]Capital!S22+[1]Capital!S24+[1]Capital!S26+[1]Capital!S40</f>
        <v>3138662.5234389999</v>
      </c>
      <c r="U176" s="5">
        <f>[1]Capital!T8+[1]Capital!T10+[1]Capital!T13+[1]Capital!T14+[1]Capital!T16+[1]Capital!T18+[1]Capital!T20+[1]Capital!T22+[1]Capital!T24+[1]Capital!T26+[1]Capital!T40</f>
        <v>3179870.1891910001</v>
      </c>
      <c r="V176" s="5">
        <f>[1]Capital!U8+[1]Capital!U10+[1]Capital!U13+[1]Capital!U14+[1]Capital!U16+[1]Capital!U18+[1]Capital!U20+[1]Capital!U22+[1]Capital!U24+[1]Capital!U26+[1]Capital!U40</f>
        <v>3222283.123567</v>
      </c>
      <c r="W176" s="5">
        <f>[1]Capital!V8+[1]Capital!V10+[1]Capital!V13+[1]Capital!V14+[1]Capital!V16+[1]Capital!V18+[1]Capital!V20+[1]Capital!V22+[1]Capital!V24+[1]Capital!V26+[1]Capital!V40</f>
        <v>3265827.6622989997</v>
      </c>
      <c r="X176" s="5">
        <f>[1]Capital!W8+[1]Capital!W10+[1]Capital!W13+[1]Capital!W14+[1]Capital!W16+[1]Capital!W18+[1]Capital!W20+[1]Capital!W22+[1]Capital!W24+[1]Capital!W26+[1]Capital!W40</f>
        <v>3310563.647353</v>
      </c>
      <c r="Y176" s="5">
        <f>[1]Capital!X8+[1]Capital!X10+[1]Capital!X13+[1]Capital!X14+[1]Capital!X16+[1]Capital!X18+[1]Capital!X20+[1]Capital!X22+[1]Capital!X24+[1]Capital!X26+[1]Capital!X40</f>
        <v>3356547.1271600001</v>
      </c>
      <c r="Z176" s="5">
        <f>[1]Capital!Y8+[1]Capital!Y10+[1]Capital!Y13+[1]Capital!Y14+[1]Capital!Y16+[1]Capital!Y18+[1]Capital!Y20+[1]Capital!Y22+[1]Capital!Y24+[1]Capital!Y26+[1]Capital!Y40</f>
        <v>3403826.7137020002</v>
      </c>
      <c r="AA176" s="5">
        <f>[1]Capital!Z8+[1]Capital!Z10+[1]Capital!Z13+[1]Capital!Z14+[1]Capital!Z16+[1]Capital!Z18+[1]Capital!Z20+[1]Capital!Z22+[1]Capital!Z24+[1]Capital!Z26+[1]Capital!Z40</f>
        <v>3452445.1149579999</v>
      </c>
      <c r="AB176" s="5">
        <f>[1]Capital!AA8+[1]Capital!AA10+[1]Capital!AA13+[1]Capital!AA14+[1]Capital!AA16+[1]Capital!AA18+[1]Capital!AA20+[1]Capital!AA22+[1]Capital!AA24+[1]Capital!AA26+[1]Capital!AA40</f>
        <v>3502132.7349940003</v>
      </c>
      <c r="AC176" s="5">
        <f>[1]Capital!AB8+[1]Capital!AB10+[1]Capital!AB13+[1]Capital!AB14+[1]Capital!AB16+[1]Capital!AB18+[1]Capital!AB20+[1]Capital!AB22+[1]Capital!AB24+[1]Capital!AB26+[1]Capital!AB40</f>
        <v>3552854.9639999997</v>
      </c>
      <c r="AD176" s="5">
        <f>[1]Capital!AC8+[1]Capital!AC10+[1]Capital!AC13+[1]Capital!AC14+[1]Capital!AC16+[1]Capital!AC18+[1]Capital!AC20+[1]Capital!AC22+[1]Capital!AC24+[1]Capital!AC26+[1]Capital!AC40</f>
        <v>3604592.3174829995</v>
      </c>
      <c r="AE176" s="5">
        <f>[1]Capital!AD8+[1]Capital!AD10+[1]Capital!AD13+[1]Capital!AD14+[1]Capital!AD16+[1]Capital!AD18+[1]Capital!AD20+[1]Capital!AD22+[1]Capital!AD24+[1]Capital!AD26+[1]Capital!AD40</f>
        <v>3657329.6964230002</v>
      </c>
      <c r="AF176" s="5">
        <f>[1]Capital!AE8+[1]Capital!AE10+[1]Capital!AE13+[1]Capital!AE14+[1]Capital!AE16+[1]Capital!AE18+[1]Capital!AE20+[1]Capital!AE22+[1]Capital!AE24+[1]Capital!AE26+[1]Capital!AE40</f>
        <v>3711055.1030979995</v>
      </c>
      <c r="AG176" s="5">
        <f>[1]Capital!AF8+[1]Capital!AF10+[1]Capital!AF13+[1]Capital!AF14+[1]Capital!AF16+[1]Capital!AF18+[1]Capital!AF20+[1]Capital!AF22+[1]Capital!AF24+[1]Capital!AF26+[1]Capital!AF40</f>
        <v>3765758.7714890004</v>
      </c>
      <c r="AH176" s="5">
        <f>[1]Capital!AG8+[1]Capital!AG10+[1]Capital!AG13+[1]Capital!AG14+[1]Capital!AG16+[1]Capital!AG18+[1]Capital!AG20+[1]Capital!AG22+[1]Capital!AG24+[1]Capital!AG26+[1]Capital!AG40</f>
        <v>3821435.3811720004</v>
      </c>
      <c r="AI176" s="5">
        <f>[1]Capital!AH8+[1]Capital!AH10+[1]Capital!AH13+[1]Capital!AH14+[1]Capital!AH16+[1]Capital!AH18+[1]Capital!AH20+[1]Capital!AH22+[1]Capital!AH24+[1]Capital!AH26+[1]Capital!AH40</f>
        <v>3878077.814706</v>
      </c>
      <c r="AJ176" s="5">
        <f>[1]Capital!AI8+[1]Capital!AI10+[1]Capital!AI13+[1]Capital!AI14+[1]Capital!AI16+[1]Capital!AI18+[1]Capital!AI20+[1]Capital!AI22+[1]Capital!AI24+[1]Capital!AI26+[1]Capital!AI40</f>
        <v>3935677.0636749999</v>
      </c>
      <c r="AK176" s="5">
        <f>[1]Capital!AJ8+[1]Capital!AJ10+[1]Capital!AJ13+[1]Capital!AJ14+[1]Capital!AJ16+[1]Capital!AJ18+[1]Capital!AJ20+[1]Capital!AJ22+[1]Capital!AJ24+[1]Capital!AJ26+[1]Capital!AJ40</f>
        <v>3994221.7797270003</v>
      </c>
      <c r="AL176" s="5">
        <f>[1]Capital!AK8+[1]Capital!AK10+[1]Capital!AK13+[1]Capital!AK14+[1]Capital!AK16+[1]Capital!AK18+[1]Capital!AK20+[1]Capital!AK22+[1]Capital!AK24+[1]Capital!AK26+[1]Capital!AK40</f>
        <v>4053697.9596399995</v>
      </c>
      <c r="AM176" s="5">
        <f>[1]Capital!AL8+[1]Capital!AL10+[1]Capital!AL13+[1]Capital!AL14+[1]Capital!AL16+[1]Capital!AL18+[1]Capital!AL20+[1]Capital!AL22+[1]Capital!AL24+[1]Capital!AL26+[1]Capital!AL40</f>
        <v>4114044.036938</v>
      </c>
      <c r="AN176" s="5">
        <f>[1]Capital!AM8+[1]Capital!AM10+[1]Capital!AM13+[1]Capital!AM14+[1]Capital!AM16+[1]Capital!AM18+[1]Capital!AM20+[1]Capital!AM22+[1]Capital!AM24+[1]Capital!AM26+[1]Capital!AM40</f>
        <v>4175195.8106479999</v>
      </c>
      <c r="AO176" s="5">
        <f>[1]Capital!AN8+[1]Capital!AN10+[1]Capital!AN13+[1]Capital!AN14+[1]Capital!AN16+[1]Capital!AN18+[1]Capital!AN20+[1]Capital!AN22+[1]Capital!AN24+[1]Capital!AN26+[1]Capital!AN40</f>
        <v>4237094.5806799997</v>
      </c>
      <c r="AP176" s="5">
        <f>[1]Capital!AO8+[1]Capital!AO10+[1]Capital!AO13+[1]Capital!AO14+[1]Capital!AO16+[1]Capital!AO18+[1]Capital!AO20+[1]Capital!AO22+[1]Capital!AO24+[1]Capital!AO26+[1]Capital!AO40</f>
        <v>4299686.9499240005</v>
      </c>
      <c r="AQ176" s="5">
        <f>[1]Capital!AP8+[1]Capital!AP10+[1]Capital!AP13+[1]Capital!AP14+[1]Capital!AP16+[1]Capital!AP18+[1]Capital!AP20+[1]Capital!AP22+[1]Capital!AP24+[1]Capital!AP26+[1]Capital!AP40</f>
        <v>4362924.2411000002</v>
      </c>
      <c r="AR176" s="5">
        <f>[1]Capital!AQ8+[1]Capital!AQ10+[1]Capital!AQ13+[1]Capital!AQ14+[1]Capital!AQ16+[1]Capital!AQ18+[1]Capital!AQ20+[1]Capital!AQ22+[1]Capital!AQ24+[1]Capital!AQ26+[1]Capital!AQ40</f>
        <v>4426766.8526879996</v>
      </c>
      <c r="AS176" s="5">
        <f>[1]Capital!AR8+[1]Capital!AR10+[1]Capital!AR13+[1]Capital!AR14+[1]Capital!AR16+[1]Capital!AR18+[1]Capital!AR20+[1]Capital!AR22+[1]Capital!AR24+[1]Capital!AR26+[1]Capital!AR40</f>
        <v>4491176.4730759999</v>
      </c>
      <c r="AT176" s="5">
        <f>[1]Capital!AS8+[1]Capital!AS10+[1]Capital!AS13+[1]Capital!AS14+[1]Capital!AS16+[1]Capital!AS18+[1]Capital!AS20+[1]Capital!AS22+[1]Capital!AS24+[1]Capital!AS26+[1]Capital!AS40</f>
        <v>4556117.1563979993</v>
      </c>
      <c r="AU176" s="5">
        <f>[1]Capital!AT8+[1]Capital!AT10+[1]Capital!AT13+[1]Capital!AT14+[1]Capital!AT16+[1]Capital!AT18+[1]Capital!AT20+[1]Capital!AT22+[1]Capital!AT24+[1]Capital!AT26+[1]Capital!AT40</f>
        <v>4621555.4501829995</v>
      </c>
      <c r="AV176" s="5">
        <f>[1]Capital!AU8+[1]Capital!AU10+[1]Capital!AU13+[1]Capital!AU14+[1]Capital!AU16+[1]Capital!AU18+[1]Capital!AU20+[1]Capital!AU22+[1]Capital!AU24+[1]Capital!AU26+[1]Capital!AU40</f>
        <v>4687460.3235759996</v>
      </c>
      <c r="AW176" s="5">
        <f>[1]Capital!AV8+[1]Capital!AV10+[1]Capital!AV13+[1]Capital!AV14+[1]Capital!AV16+[1]Capital!AV18+[1]Capital!AV20+[1]Capital!AV22+[1]Capital!AV24+[1]Capital!AV26+[1]Capital!AV40</f>
        <v>4753826.4907009993</v>
      </c>
      <c r="AX176" s="5">
        <f>[1]Capital!AW8+[1]Capital!AW10+[1]Capital!AW13+[1]Capital!AW14+[1]Capital!AW16+[1]Capital!AW18+[1]Capital!AW20+[1]Capital!AW22+[1]Capital!AW24+[1]Capital!AW26+[1]Capital!AW40</f>
        <v>4820640.7066919999</v>
      </c>
      <c r="AY176" s="5">
        <f>[1]Capital!AX8+[1]Capital!AX10+[1]Capital!AX13+[1]Capital!AX14+[1]Capital!AX16+[1]Capital!AX18+[1]Capital!AX20+[1]Capital!AX22+[1]Capital!AX24+[1]Capital!AX26+[1]Capital!AX40</f>
        <v>4887887.1097100005</v>
      </c>
      <c r="AZ176" s="5">
        <f>[1]Capital!AY8+[1]Capital!AY10+[1]Capital!AY13+[1]Capital!AY14+[1]Capital!AY16+[1]Capital!AY18+[1]Capital!AY20+[1]Capital!AY22+[1]Capital!AY24+[1]Capital!AY26+[1]Capital!AY40</f>
        <v>4955549.3628500002</v>
      </c>
      <c r="BA176" s="5">
        <f>[1]Capital!AZ8+[1]Capital!AZ10+[1]Capital!AZ13+[1]Capital!AZ14+[1]Capital!AZ16+[1]Capital!AZ18+[1]Capital!AZ20+[1]Capital!AZ22+[1]Capital!AZ24+[1]Capital!AZ26+[1]Capital!AZ40</f>
        <v>5023611.8873800002</v>
      </c>
      <c r="BB176" s="5">
        <f>[1]Capital!BA8+[1]Capital!BA10+[1]Capital!BA13+[1]Capital!BA14+[1]Capital!BA16+[1]Capital!BA18+[1]Capital!BA20+[1]Capital!BA22+[1]Capital!BA24+[1]Capital!BA26+[1]Capital!BA40</f>
        <v>5092071.2467900002</v>
      </c>
      <c r="BC176" s="5">
        <f>[1]Capital!BB8+[1]Capital!BB10+[1]Capital!BB13+[1]Capital!BB14+[1]Capital!BB16+[1]Capital!BB18+[1]Capital!BB20+[1]Capital!BB22+[1]Capital!BB24+[1]Capital!BB26+[1]Capital!BB40</f>
        <v>5160920.4379899995</v>
      </c>
      <c r="BD176" s="5">
        <f>[1]Capital!BC8+[1]Capital!BC10+[1]Capital!BC13+[1]Capital!BC14+[1]Capital!BC16+[1]Capital!BC18+[1]Capital!BC20+[1]Capital!BC22+[1]Capital!BC24+[1]Capital!BC26+[1]Capital!BC40</f>
        <v>5230152.6460500006</v>
      </c>
      <c r="BE176" s="5">
        <f>[1]Capital!BD8+[1]Capital!BD10+[1]Capital!BD13+[1]Capital!BD14+[1]Capital!BD16+[1]Capital!BD18+[1]Capital!BD20+[1]Capital!BD22+[1]Capital!BD24+[1]Capital!BD26+[1]Capital!BD40</f>
        <v>5299762.58177</v>
      </c>
      <c r="BF176" s="5">
        <f>[1]Capital!BE8+[1]Capital!BE10+[1]Capital!BE13+[1]Capital!BE14+[1]Capital!BE16+[1]Capital!BE18+[1]Capital!BE20+[1]Capital!BE22+[1]Capital!BE24+[1]Capital!BE26+[1]Capital!BE40</f>
        <v>5369747.2063299995</v>
      </c>
    </row>
    <row r="177" spans="1:58" x14ac:dyDescent="0.35">
      <c r="B177" t="s">
        <v>9</v>
      </c>
      <c r="C177" s="5">
        <f>[1]Capital!B28+[1]Capital!B30+[1]Capital!B32+[1]Capital!B34</f>
        <v>88548.199165999991</v>
      </c>
      <c r="D177" s="5">
        <f>[1]Capital!C28+[1]Capital!C30+[1]Capital!C32+[1]Capital!C34</f>
        <v>89388.495672000005</v>
      </c>
      <c r="E177" s="5">
        <f>[1]Capital!D28+[1]Capital!D30+[1]Capital!D32+[1]Capital!D34</f>
        <v>90183.162392999991</v>
      </c>
      <c r="F177" s="5">
        <f>[1]Capital!E28+[1]Capital!E30+[1]Capital!E32+[1]Capital!E34</f>
        <v>90981.897844000006</v>
      </c>
      <c r="G177" s="5">
        <f>[1]Capital!F28+[1]Capital!F30+[1]Capital!F32+[1]Capital!F34</f>
        <v>91804.861378000001</v>
      </c>
      <c r="H177" s="5">
        <f>[1]Capital!G28+[1]Capital!G30+[1]Capital!G32+[1]Capital!G34</f>
        <v>92661.150171999994</v>
      </c>
      <c r="I177" s="5">
        <f>[1]Capital!H28+[1]Capital!H30+[1]Capital!H32+[1]Capital!H34</f>
        <v>93551.090909999999</v>
      </c>
      <c r="J177" s="5">
        <f>[1]Capital!I28+[1]Capital!I30+[1]Capital!I32+[1]Capital!I34</f>
        <v>94475.107881000004</v>
      </c>
      <c r="K177" s="5">
        <f>[1]Capital!J28+[1]Capital!J30+[1]Capital!J32+[1]Capital!J34</f>
        <v>95433.520650999999</v>
      </c>
      <c r="L177" s="5">
        <f>[1]Capital!K28+[1]Capital!K30+[1]Capital!K32+[1]Capital!K34</f>
        <v>96426.381787999999</v>
      </c>
      <c r="M177" s="5">
        <f>[1]Capital!L28+[1]Capital!L30+[1]Capital!L32+[1]Capital!L34</f>
        <v>97460.425832000008</v>
      </c>
      <c r="N177" s="5">
        <f>[1]Capital!M28+[1]Capital!M30+[1]Capital!M32+[1]Capital!M34</f>
        <v>98530.666212000011</v>
      </c>
      <c r="O177" s="5">
        <f>[1]Capital!N28+[1]Capital!N30+[1]Capital!N32+[1]Capital!N34</f>
        <v>99634.352084999991</v>
      </c>
      <c r="P177" s="5">
        <f>[1]Capital!O28+[1]Capital!O30+[1]Capital!O32+[1]Capital!O34</f>
        <v>100769.733504</v>
      </c>
      <c r="Q177" s="5">
        <f>[1]Capital!P28+[1]Capital!P30+[1]Capital!P32+[1]Capital!P34</f>
        <v>101935.44792399999</v>
      </c>
      <c r="R177" s="5">
        <f>[1]Capital!Q28+[1]Capital!Q30+[1]Capital!Q32+[1]Capital!Q34</f>
        <v>103130.343599</v>
      </c>
      <c r="S177" s="5">
        <f>[1]Capital!R28+[1]Capital!R30+[1]Capital!R32+[1]Capital!R34</f>
        <v>104352.64974800001</v>
      </c>
      <c r="T177" s="5">
        <f>[1]Capital!S28+[1]Capital!S30+[1]Capital!S32+[1]Capital!S34</f>
        <v>105601.32694100001</v>
      </c>
      <c r="U177" s="5">
        <f>[1]Capital!T28+[1]Capital!T30+[1]Capital!T32+[1]Capital!T34</f>
        <v>106875.743808</v>
      </c>
      <c r="V177" s="5">
        <f>[1]Capital!U28+[1]Capital!U30+[1]Capital!U32+[1]Capital!U34</f>
        <v>108175.53595999999</v>
      </c>
      <c r="W177" s="5">
        <f>[1]Capital!V28+[1]Capital!V30+[1]Capital!V32+[1]Capital!V34</f>
        <v>109495.440336</v>
      </c>
      <c r="X177" s="5">
        <f>[1]Capital!W28+[1]Capital!W30+[1]Capital!W32+[1]Capital!W34</f>
        <v>110838.156666</v>
      </c>
      <c r="Y177" s="5">
        <f>[1]Capital!X28+[1]Capital!X30+[1]Capital!X32+[1]Capital!X34</f>
        <v>112205.136163</v>
      </c>
      <c r="Z177" s="5">
        <f>[1]Capital!Y28+[1]Capital!Y30+[1]Capital!Y32+[1]Capital!Y34</f>
        <v>113597.273998</v>
      </c>
      <c r="AA177" s="5">
        <f>[1]Capital!Z28+[1]Capital!Z30+[1]Capital!Z32+[1]Capital!Z34</f>
        <v>115015.28891600002</v>
      </c>
      <c r="AB177" s="5">
        <f>[1]Capital!AA28+[1]Capital!AA30+[1]Capital!AA32+[1]Capital!AA34</f>
        <v>116445.20962199999</v>
      </c>
      <c r="AC177" s="5">
        <f>[1]Capital!AB28+[1]Capital!AB30+[1]Capital!AB32+[1]Capital!AB34</f>
        <v>117888.71357399999</v>
      </c>
      <c r="AD177" s="5">
        <f>[1]Capital!AC28+[1]Capital!AC30+[1]Capital!AC32+[1]Capital!AC34</f>
        <v>119346.83415499999</v>
      </c>
      <c r="AE177" s="5">
        <f>[1]Capital!AD28+[1]Capital!AD30+[1]Capital!AD32+[1]Capital!AD34</f>
        <v>120820.31774100001</v>
      </c>
      <c r="AF177" s="5">
        <f>[1]Capital!AE28+[1]Capital!AE30+[1]Capital!AE32+[1]Capital!AE34</f>
        <v>122309.942853</v>
      </c>
      <c r="AG177" s="5">
        <f>[1]Capital!AF28+[1]Capital!AF30+[1]Capital!AF32+[1]Capital!AF34</f>
        <v>123816.594557</v>
      </c>
      <c r="AH177" s="5">
        <f>[1]Capital!AG28+[1]Capital!AG30+[1]Capital!AG32+[1]Capital!AG34</f>
        <v>125341.423497</v>
      </c>
      <c r="AI177" s="5">
        <f>[1]Capital!AH28+[1]Capital!AH30+[1]Capital!AH32+[1]Capital!AH34</f>
        <v>126885.49658599999</v>
      </c>
      <c r="AJ177" s="5">
        <f>[1]Capital!AI28+[1]Capital!AI30+[1]Capital!AI32+[1]Capital!AI34</f>
        <v>128449.820947</v>
      </c>
      <c r="AK177" s="5">
        <f>[1]Capital!AJ28+[1]Capital!AJ30+[1]Capital!AJ32+[1]Capital!AJ34</f>
        <v>130035.337153</v>
      </c>
      <c r="AL177" s="5">
        <f>[1]Capital!AK28+[1]Capital!AK30+[1]Capital!AK32+[1]Capital!AK34</f>
        <v>131642.90699700001</v>
      </c>
      <c r="AM177" s="5">
        <f>[1]Capital!AL28+[1]Capital!AL30+[1]Capital!AL32+[1]Capital!AL34</f>
        <v>133271.39554100001</v>
      </c>
      <c r="AN177" s="5">
        <f>[1]Capital!AM28+[1]Capital!AM30+[1]Capital!AM32+[1]Capital!AM34</f>
        <v>134920.30638700002</v>
      </c>
      <c r="AO177" s="5">
        <f>[1]Capital!AN28+[1]Capital!AN30+[1]Capital!AN32+[1]Capital!AN34</f>
        <v>136589.51959399998</v>
      </c>
      <c r="AP177" s="5">
        <f>[1]Capital!AO28+[1]Capital!AO30+[1]Capital!AO32+[1]Capital!AO34</f>
        <v>138279.12156500001</v>
      </c>
      <c r="AQ177" s="5">
        <f>[1]Capital!AP28+[1]Capital!AP30+[1]Capital!AP32+[1]Capital!AP34</f>
        <v>139989.33141700001</v>
      </c>
      <c r="AR177" s="5">
        <f>[1]Capital!AQ28+[1]Capital!AQ30+[1]Capital!AQ32+[1]Capital!AQ34</f>
        <v>141720.720367</v>
      </c>
      <c r="AS177" s="5">
        <f>[1]Capital!AR28+[1]Capital!AR30+[1]Capital!AR32+[1]Capital!AR34</f>
        <v>143473.761187</v>
      </c>
      <c r="AT177" s="5">
        <f>[1]Capital!AS28+[1]Capital!AS30+[1]Capital!AS32+[1]Capital!AS34</f>
        <v>145248.90313399999</v>
      </c>
      <c r="AU177" s="5">
        <f>[1]Capital!AT28+[1]Capital!AT30+[1]Capital!AT32+[1]Capital!AT34</f>
        <v>147046.59176399998</v>
      </c>
      <c r="AV177" s="5">
        <f>[1]Capital!AU28+[1]Capital!AU30+[1]Capital!AU32+[1]Capital!AU34</f>
        <v>148867.26668199999</v>
      </c>
      <c r="AW177" s="5">
        <f>[1]Capital!AV28+[1]Capital!AV30+[1]Capital!AV32+[1]Capital!AV34</f>
        <v>150712.54766000001</v>
      </c>
      <c r="AX177" s="5">
        <f>[1]Capital!AW28+[1]Capital!AW30+[1]Capital!AW32+[1]Capital!AW34</f>
        <v>152583.31793700001</v>
      </c>
      <c r="AY177" s="5">
        <f>[1]Capital!AX28+[1]Capital!AX30+[1]Capital!AX32+[1]Capital!AX34</f>
        <v>154480.13915200002</v>
      </c>
      <c r="AZ177" s="5">
        <f>[1]Capital!AY28+[1]Capital!AY30+[1]Capital!AY32+[1]Capital!AY34</f>
        <v>156403.43115300001</v>
      </c>
      <c r="BA177" s="5">
        <f>[1]Capital!AZ28+[1]Capital!AZ30+[1]Capital!AZ32+[1]Capital!AZ34</f>
        <v>158353.54165900001</v>
      </c>
      <c r="BB177" s="5">
        <f>[1]Capital!BA28+[1]Capital!BA30+[1]Capital!BA32+[1]Capital!BA34</f>
        <v>160331.32763400002</v>
      </c>
      <c r="BC177" s="5">
        <f>[1]Capital!BB28+[1]Capital!BB30+[1]Capital!BB32+[1]Capital!BB34</f>
        <v>162337.27265200001</v>
      </c>
      <c r="BD177" s="5">
        <f>[1]Capital!BC28+[1]Capital!BC30+[1]Capital!BC32+[1]Capital!BC34</f>
        <v>164371.70828600001</v>
      </c>
      <c r="BE177" s="5">
        <f>[1]Capital!BD28+[1]Capital!BD30+[1]Capital!BD32+[1]Capital!BD34</f>
        <v>166434.91018300003</v>
      </c>
      <c r="BF177" s="5">
        <f>[1]Capital!BE28+[1]Capital!BE30+[1]Capital!BE32+[1]Capital!BE34</f>
        <v>168527.13674500003</v>
      </c>
    </row>
    <row r="178" spans="1:58" x14ac:dyDescent="0.35">
      <c r="B178" t="s">
        <v>10</v>
      </c>
      <c r="C178" s="5">
        <f>[1]Capital!B36+[1]Capital!B38</f>
        <v>2425642.7186000003</v>
      </c>
      <c r="D178" s="5">
        <f>[1]Capital!C36+[1]Capital!C38</f>
        <v>2451426.0773</v>
      </c>
      <c r="E178" s="5">
        <f>[1]Capital!D36+[1]Capital!D38</f>
        <v>2476562.2119999998</v>
      </c>
      <c r="F178" s="5">
        <f>[1]Capital!E36+[1]Capital!E38</f>
        <v>2501759.8667000001</v>
      </c>
      <c r="G178" s="5">
        <f>[1]Capital!F36+[1]Capital!F38</f>
        <v>2527440.2590999999</v>
      </c>
      <c r="H178" s="5">
        <f>[1]Capital!G36+[1]Capital!G38</f>
        <v>2553868.1107000001</v>
      </c>
      <c r="I178" s="5">
        <f>[1]Capital!H36+[1]Capital!H38</f>
        <v>2581121.6897</v>
      </c>
      <c r="J178" s="5">
        <f>[1]Capital!I36+[1]Capital!I38</f>
        <v>2609268.8108999999</v>
      </c>
      <c r="K178" s="5">
        <f>[1]Capital!J36+[1]Capital!J38</f>
        <v>2638370.8302000002</v>
      </c>
      <c r="L178" s="5">
        <f>[1]Capital!K36+[1]Capital!K38</f>
        <v>2668480.0518</v>
      </c>
      <c r="M178" s="5">
        <f>[1]Capital!L36+[1]Capital!L38</f>
        <v>2699812.0014999998</v>
      </c>
      <c r="N178" s="5">
        <f>[1]Capital!M36+[1]Capital!M38</f>
        <v>2732323.4188999999</v>
      </c>
      <c r="O178" s="5">
        <f>[1]Capital!N36+[1]Capital!N38</f>
        <v>2765987.6887999997</v>
      </c>
      <c r="P178" s="5">
        <f>[1]Capital!O36+[1]Capital!O38</f>
        <v>2800788.8221</v>
      </c>
      <c r="Q178" s="5">
        <f>[1]Capital!P36+[1]Capital!P38</f>
        <v>2836713.7568999999</v>
      </c>
      <c r="R178" s="5">
        <f>[1]Capital!Q36+[1]Capital!Q38</f>
        <v>2873750.0904000001</v>
      </c>
      <c r="S178" s="5">
        <f>[1]Capital!R36+[1]Capital!R38</f>
        <v>2911875.7020999999</v>
      </c>
      <c r="T178" s="5">
        <f>[1]Capital!S36+[1]Capital!S38</f>
        <v>2951074.9635000001</v>
      </c>
      <c r="U178" s="5">
        <f>[1]Capital!T36+[1]Capital!T38</f>
        <v>2991336.2504000003</v>
      </c>
      <c r="V178" s="5">
        <f>[1]Capital!U36+[1]Capital!U38</f>
        <v>3032650.6515000002</v>
      </c>
      <c r="W178" s="5">
        <f>[1]Capital!V36+[1]Capital!V38</f>
        <v>3074882.3725999999</v>
      </c>
      <c r="X178" s="5">
        <f>[1]Capital!W36+[1]Capital!W38</f>
        <v>3118072.7014000001</v>
      </c>
      <c r="Y178" s="5">
        <f>[1]Capital!X36+[1]Capital!X38</f>
        <v>3162248.0925000003</v>
      </c>
      <c r="Z178" s="5">
        <f>[1]Capital!Y36+[1]Capital!Y38</f>
        <v>3207423.3986999998</v>
      </c>
      <c r="AA178" s="5">
        <f>[1]Capital!Z36+[1]Capital!Z38</f>
        <v>3253607.6120000002</v>
      </c>
      <c r="AB178" s="5">
        <f>[1]Capital!AA36+[1]Capital!AA38</f>
        <v>3300433.8387000002</v>
      </c>
      <c r="AC178" s="5">
        <f>[1]Capital!AB36+[1]Capital!AB38</f>
        <v>3347868.0115</v>
      </c>
      <c r="AD178" s="5">
        <f>[1]Capital!AC36+[1]Capital!AC38</f>
        <v>3395888.8391000004</v>
      </c>
      <c r="AE178" s="5">
        <f>[1]Capital!AD36+[1]Capital!AD38</f>
        <v>3444479.5652000001</v>
      </c>
      <c r="AF178" s="5">
        <f>[1]Capital!AE36+[1]Capital!AE38</f>
        <v>3493630.4024</v>
      </c>
      <c r="AG178" s="5">
        <f>[1]Capital!AF36+[1]Capital!AF38</f>
        <v>3543338.5773999998</v>
      </c>
      <c r="AH178" s="5">
        <f>[1]Capital!AG36+[1]Capital!AG38</f>
        <v>3593609.3843</v>
      </c>
      <c r="AI178" s="5">
        <f>[1]Capital!AH36+[1]Capital!AH38</f>
        <v>3644450.4181000004</v>
      </c>
      <c r="AJ178" s="5">
        <f>[1]Capital!AI36+[1]Capital!AI38</f>
        <v>3695870.6302</v>
      </c>
      <c r="AK178" s="5">
        <f>[1]Capital!AJ36+[1]Capital!AJ38</f>
        <v>3747879.3377999999</v>
      </c>
      <c r="AL178" s="5">
        <f>[1]Capital!AK36+[1]Capital!AK38</f>
        <v>3800485.571</v>
      </c>
      <c r="AM178" s="5">
        <f>[1]Capital!AL36+[1]Capital!AL38</f>
        <v>3853630.3646999998</v>
      </c>
      <c r="AN178" s="5">
        <f>[1]Capital!AM36+[1]Capital!AM38</f>
        <v>3907273.6392999999</v>
      </c>
      <c r="AO178" s="5">
        <f>[1]Capital!AN36+[1]Capital!AN38</f>
        <v>3961391.1225000001</v>
      </c>
      <c r="AP178" s="5">
        <f>[1]Capital!AO36+[1]Capital!AO38</f>
        <v>4015968.8437999999</v>
      </c>
      <c r="AQ178" s="5">
        <f>[1]Capital!AP36+[1]Capital!AP38</f>
        <v>4071000.5197999999</v>
      </c>
      <c r="AR178" s="5">
        <f>[1]Capital!AQ36+[1]Capital!AQ38</f>
        <v>4126489.7750000004</v>
      </c>
      <c r="AS178" s="5">
        <f>[1]Capital!AR36+[1]Capital!AR38</f>
        <v>4182443.1475999998</v>
      </c>
      <c r="AT178" s="5">
        <f>[1]Capital!AS36+[1]Capital!AS38</f>
        <v>4238870.1133000003</v>
      </c>
      <c r="AU178" s="5">
        <f>[1]Capital!AT36+[1]Capital!AT38</f>
        <v>4295782.4139</v>
      </c>
      <c r="AV178" s="5">
        <f>[1]Capital!AU36+[1]Capital!AU38</f>
        <v>4353193.3848000001</v>
      </c>
      <c r="AW178" s="5">
        <f>[1]Capital!AV36+[1]Capital!AV38</f>
        <v>4411138.534</v>
      </c>
      <c r="AX178" s="5">
        <f>[1]Capital!AW36+[1]Capital!AW38</f>
        <v>4469644.0788000003</v>
      </c>
      <c r="AY178" s="5">
        <f>[1]Capital!AX36+[1]Capital!AX38</f>
        <v>4528731.8278000001</v>
      </c>
      <c r="AZ178" s="5">
        <f>[1]Capital!AY36+[1]Capital!AY38</f>
        <v>4588421.0274</v>
      </c>
      <c r="BA178" s="5">
        <f>[1]Capital!AZ36+[1]Capital!AZ38</f>
        <v>4648729.3421</v>
      </c>
      <c r="BB178" s="5">
        <f>[1]Capital!BA36+[1]Capital!BA38</f>
        <v>4709681.7110000001</v>
      </c>
      <c r="BC178" s="5">
        <f>[1]Capital!BB36+[1]Capital!BB38</f>
        <v>4771297.9155000001</v>
      </c>
      <c r="BD178" s="5">
        <f>[1]Capital!BC36+[1]Capital!BC38</f>
        <v>4833595.6116000004</v>
      </c>
      <c r="BE178" s="5">
        <f>[1]Capital!BD36+[1]Capital!BD38</f>
        <v>4896591.3333999999</v>
      </c>
      <c r="BF178" s="5">
        <f>[1]Capital!BE36+[1]Capital!BE38</f>
        <v>4960301.0757999998</v>
      </c>
    </row>
    <row r="179" spans="1:58" x14ac:dyDescent="0.35">
      <c r="B179" t="s">
        <v>29</v>
      </c>
      <c r="C179" s="5">
        <f>[1]Capital!B42+[1]Capital!B46</f>
        <v>22927.995517699997</v>
      </c>
      <c r="D179" s="5">
        <f>[1]Capital!C42+[1]Capital!C46</f>
        <v>23146.9969619</v>
      </c>
      <c r="E179" s="5">
        <f>[1]Capital!D42+[1]Capital!D46</f>
        <v>23341.505327999999</v>
      </c>
      <c r="F179" s="5">
        <f>[1]Capital!E42+[1]Capital!E46</f>
        <v>23521.3277571</v>
      </c>
      <c r="G179" s="5">
        <f>[1]Capital!F42+[1]Capital!F46</f>
        <v>23692.301944300001</v>
      </c>
      <c r="H179" s="5">
        <f>[1]Capital!G42+[1]Capital!G46</f>
        <v>23858.643819099998</v>
      </c>
      <c r="I179" s="5">
        <f>[1]Capital!H42+[1]Capital!H46</f>
        <v>24022.8264753</v>
      </c>
      <c r="J179" s="5">
        <f>[1]Capital!I42+[1]Capital!I46</f>
        <v>24187.015310700001</v>
      </c>
      <c r="K179" s="5">
        <f>[1]Capital!J42+[1]Capital!J46</f>
        <v>24353.034410699998</v>
      </c>
      <c r="L179" s="5">
        <f>[1]Capital!K42+[1]Capital!K46</f>
        <v>24522.344367400001</v>
      </c>
      <c r="M179" s="5">
        <f>[1]Capital!L42+[1]Capital!L46</f>
        <v>24697.416954699998</v>
      </c>
      <c r="N179" s="5">
        <f>[1]Capital!M42+[1]Capital!M46</f>
        <v>24878.360225500001</v>
      </c>
      <c r="O179" s="5">
        <f>[1]Capital!N42+[1]Capital!N46</f>
        <v>25065.381641600001</v>
      </c>
      <c r="P179" s="5">
        <f>[1]Capital!O42+[1]Capital!O46</f>
        <v>25258.719026199997</v>
      </c>
      <c r="Q179" s="5">
        <f>[1]Capital!P42+[1]Capital!P46</f>
        <v>25458.556427700001</v>
      </c>
      <c r="R179" s="5">
        <f>[1]Capital!Q42+[1]Capital!Q46</f>
        <v>25665.004360400002</v>
      </c>
      <c r="S179" s="5">
        <f>[1]Capital!R42+[1]Capital!R46</f>
        <v>25877.949995400002</v>
      </c>
      <c r="T179" s="5">
        <f>[1]Capital!S42+[1]Capital!S46</f>
        <v>26097.3253816</v>
      </c>
      <c r="U179" s="5">
        <f>[1]Capital!T42+[1]Capital!T46</f>
        <v>26323.075856200001</v>
      </c>
      <c r="V179" s="5">
        <f>[1]Capital!U42+[1]Capital!U46</f>
        <v>26555.145374699998</v>
      </c>
      <c r="W179" s="5">
        <f>[1]Capital!V42+[1]Capital!V46</f>
        <v>26792.5102616</v>
      </c>
      <c r="X179" s="5">
        <f>[1]Capital!W42+[1]Capital!W46</f>
        <v>27035.529705100002</v>
      </c>
      <c r="Y179" s="5">
        <f>[1]Capital!X42+[1]Capital!X46</f>
        <v>27284.396669799997</v>
      </c>
      <c r="Z179" s="5">
        <f>[1]Capital!Y42+[1]Capital!Y46</f>
        <v>27539.189767699998</v>
      </c>
      <c r="AA179" s="5">
        <f>[1]Capital!Z42+[1]Capital!Z46</f>
        <v>27799.943825999999</v>
      </c>
      <c r="AB179" s="5">
        <f>[1]Capital!AA42+[1]Capital!AA46</f>
        <v>28063.928791800001</v>
      </c>
      <c r="AC179" s="5">
        <f>[1]Capital!AB42+[1]Capital!AB46</f>
        <v>28331.1072838</v>
      </c>
      <c r="AD179" s="5">
        <f>[1]Capital!AC42+[1]Capital!AC46</f>
        <v>28601.468524</v>
      </c>
      <c r="AE179" s="5">
        <f>[1]Capital!AD42+[1]Capital!AD46</f>
        <v>28874.971268099998</v>
      </c>
      <c r="AF179" s="5">
        <f>[1]Capital!AE42+[1]Capital!AE46</f>
        <v>29151.5946749</v>
      </c>
      <c r="AG179" s="5">
        <f>[1]Capital!AF42+[1]Capital!AF46</f>
        <v>29431.356405899998</v>
      </c>
      <c r="AH179" s="5">
        <f>[1]Capital!AG42+[1]Capital!AG46</f>
        <v>29714.347752199999</v>
      </c>
      <c r="AI179" s="5">
        <f>[1]Capital!AH42+[1]Capital!AH46</f>
        <v>30000.671368700001</v>
      </c>
      <c r="AJ179" s="5">
        <f>[1]Capital!AI42+[1]Capital!AI46</f>
        <v>30290.442458799997</v>
      </c>
      <c r="AK179" s="5">
        <f>[1]Capital!AJ42+[1]Capital!AJ46</f>
        <v>30583.786273400001</v>
      </c>
      <c r="AL179" s="5">
        <f>[1]Capital!AK42+[1]Capital!AK46</f>
        <v>30880.833424199998</v>
      </c>
      <c r="AM179" s="5">
        <f>[1]Capital!AL42+[1]Capital!AL46</f>
        <v>31181.373818200002</v>
      </c>
      <c r="AN179" s="5">
        <f>[1]Capital!AM42+[1]Capital!AM46</f>
        <v>31485.292685799999</v>
      </c>
      <c r="AO179" s="5">
        <f>[1]Capital!AN42+[1]Capital!AN46</f>
        <v>31792.548153400003</v>
      </c>
      <c r="AP179" s="5">
        <f>[1]Capital!AO42+[1]Capital!AO46</f>
        <v>32103.142106399999</v>
      </c>
      <c r="AQ179" s="5">
        <f>[1]Capital!AP42+[1]Capital!AP46</f>
        <v>32417.105391900001</v>
      </c>
      <c r="AR179" s="5">
        <f>[1]Capital!AQ42+[1]Capital!AQ46</f>
        <v>32734.5391848</v>
      </c>
      <c r="AS179" s="5">
        <f>[1]Capital!AR42+[1]Capital!AR46</f>
        <v>33055.5328085</v>
      </c>
      <c r="AT179" s="5">
        <f>[1]Capital!AS42+[1]Capital!AS46</f>
        <v>33380.172878999998</v>
      </c>
      <c r="AU179" s="5">
        <f>[1]Capital!AT42+[1]Capital!AT46</f>
        <v>33708.546887700002</v>
      </c>
      <c r="AV179" s="5">
        <f>[1]Capital!AU42+[1]Capital!AU46</f>
        <v>34040.7424885</v>
      </c>
      <c r="AW179" s="5">
        <f>[1]Capital!AV42+[1]Capital!AV46</f>
        <v>34377.069571400003</v>
      </c>
      <c r="AX179" s="5">
        <f>[1]Capital!AW42+[1]Capital!AW46</f>
        <v>34717.718689900001</v>
      </c>
      <c r="AY179" s="5">
        <f>[1]Capital!AX42+[1]Capital!AX46</f>
        <v>35062.816617600001</v>
      </c>
      <c r="AZ179" s="5">
        <f>[1]Capital!AY42+[1]Capital!AY46</f>
        <v>35412.459105200003</v>
      </c>
      <c r="BA179" s="5">
        <f>[1]Capital!AZ42+[1]Capital!AZ46</f>
        <v>35766.723735899999</v>
      </c>
      <c r="BB179" s="5">
        <f>[1]Capital!BA42+[1]Capital!BA46</f>
        <v>36125.778414299995</v>
      </c>
      <c r="BC179" s="5">
        <f>[1]Capital!BB42+[1]Capital!BB46</f>
        <v>36489.723887600005</v>
      </c>
      <c r="BD179" s="5">
        <f>[1]Capital!BC42+[1]Capital!BC46</f>
        <v>36858.625089900001</v>
      </c>
      <c r="BE179" s="5">
        <f>[1]Capital!BD42+[1]Capital!BD46</f>
        <v>37232.529249499996</v>
      </c>
      <c r="BF179" s="5">
        <f>[1]Capital!BE42+[1]Capital!BE46</f>
        <v>37611.473718399997</v>
      </c>
    </row>
    <row r="180" spans="1:58" x14ac:dyDescent="0.35">
      <c r="B180" t="s">
        <v>36</v>
      </c>
      <c r="C180" s="5">
        <f>[1]Capital!B44+[1]Capital!B48</f>
        <v>1941.9812532000001</v>
      </c>
      <c r="D180" s="5">
        <f>[1]Capital!C44+[1]Capital!C48</f>
        <v>1960.6913645</v>
      </c>
      <c r="E180" s="5">
        <f>[1]Capital!D44+[1]Capital!D48</f>
        <v>1977.2668106000001</v>
      </c>
      <c r="F180" s="5">
        <f>[1]Capital!E44+[1]Capital!E48</f>
        <v>1992.4400825999999</v>
      </c>
      <c r="G180" s="5">
        <f>[1]Capital!F44+[1]Capital!F48</f>
        <v>2006.6945409999998</v>
      </c>
      <c r="H180" s="5">
        <f>[1]Capital!G44+[1]Capital!G48</f>
        <v>2020.407138</v>
      </c>
      <c r="I180" s="5">
        <f>[1]Capital!H44+[1]Capital!H48</f>
        <v>2033.8202928999999</v>
      </c>
      <c r="J180" s="5">
        <f>[1]Capital!I44+[1]Capital!I48</f>
        <v>2047.1440709000001</v>
      </c>
      <c r="K180" s="5">
        <f>[1]Capital!J44+[1]Capital!J48</f>
        <v>2060.5522448000002</v>
      </c>
      <c r="L180" s="5">
        <f>[1]Capital!K44+[1]Capital!K48</f>
        <v>2074.1830144999999</v>
      </c>
      <c r="M180" s="5">
        <f>[1]Capital!L44+[1]Capital!L48</f>
        <v>2088.2475343999999</v>
      </c>
      <c r="N180" s="5">
        <f>[1]Capital!M44+[1]Capital!M48</f>
        <v>2102.7724975000001</v>
      </c>
      <c r="O180" s="5">
        <f>[1]Capital!N44+[1]Capital!N48</f>
        <v>2117.7900122000001</v>
      </c>
      <c r="P180" s="5">
        <f>[1]Capital!O44+[1]Capital!O48</f>
        <v>2133.330993</v>
      </c>
      <c r="Q180" s="5">
        <f>[1]Capital!P44+[1]Capital!P48</f>
        <v>2149.4194545999999</v>
      </c>
      <c r="R180" s="5">
        <f>[1]Capital!Q44+[1]Capital!Q48</f>
        <v>2166.0717186000002</v>
      </c>
      <c r="S180" s="5">
        <f>[1]Capital!R44+[1]Capital!R48</f>
        <v>2183.2857945999999</v>
      </c>
      <c r="T180" s="5">
        <f>[1]Capital!S44+[1]Capital!S48</f>
        <v>2201.0613930999998</v>
      </c>
      <c r="U180" s="5">
        <f>[1]Capital!T44+[1]Capital!T48</f>
        <v>2219.3974915999997</v>
      </c>
      <c r="V180" s="5">
        <f>[1]Capital!U44+[1]Capital!U48</f>
        <v>2238.2914937</v>
      </c>
      <c r="W180" s="5">
        <f>[1]Capital!V44+[1]Capital!V48</f>
        <v>2257.6648865000002</v>
      </c>
      <c r="X180" s="5">
        <f>[1]Capital!W44+[1]Capital!W48</f>
        <v>2277.5439581999999</v>
      </c>
      <c r="Y180" s="5">
        <f>[1]Capital!X44+[1]Capital!X48</f>
        <v>2297.9408812000001</v>
      </c>
      <c r="Z180" s="5">
        <f>[1]Capital!Y44+[1]Capital!Y48</f>
        <v>2318.8589518999997</v>
      </c>
      <c r="AA180" s="5">
        <f>[1]Capital!Z44+[1]Capital!Z48</f>
        <v>2340.2978831</v>
      </c>
      <c r="AB180" s="5">
        <f>[1]Capital!AA44+[1]Capital!AA48</f>
        <v>2362.0436191999997</v>
      </c>
      <c r="AC180" s="5">
        <f>[1]Capital!AB44+[1]Capital!AB48</f>
        <v>2384.0870574</v>
      </c>
      <c r="AD180" s="5">
        <f>[1]Capital!AC44+[1]Capital!AC48</f>
        <v>2406.418936</v>
      </c>
      <c r="AE180" s="5">
        <f>[1]Capital!AD44+[1]Capital!AD48</f>
        <v>2429.0282056999999</v>
      </c>
      <c r="AF180" s="5">
        <f>[1]Capital!AE44+[1]Capital!AE48</f>
        <v>2451.9061772</v>
      </c>
      <c r="AG180" s="5">
        <f>[1]Capital!AF44+[1]Capital!AF48</f>
        <v>2475.0478902999998</v>
      </c>
      <c r="AH180" s="5">
        <f>[1]Capital!AG44+[1]Capital!AG48</f>
        <v>2498.4545956000002</v>
      </c>
      <c r="AI180" s="5">
        <f>[1]Capital!AH44+[1]Capital!AH48</f>
        <v>2522.1290855000002</v>
      </c>
      <c r="AJ180" s="5">
        <f>[1]Capital!AI44+[1]Capital!AI48</f>
        <v>2546.0757517000002</v>
      </c>
      <c r="AK180" s="5">
        <f>[1]Capital!AJ44+[1]Capital!AJ48</f>
        <v>2570.3002978000004</v>
      </c>
      <c r="AL180" s="5">
        <f>[1]Capital!AK44+[1]Capital!AK48</f>
        <v>2594.8093186999999</v>
      </c>
      <c r="AM180" s="5">
        <f>[1]Capital!AL44+[1]Capital!AL48</f>
        <v>2619.5821167999998</v>
      </c>
      <c r="AN180" s="5">
        <f>[1]Capital!AM44+[1]Capital!AM48</f>
        <v>2644.6059203</v>
      </c>
      <c r="AO180" s="5">
        <f>[1]Capital!AN44+[1]Capital!AN48</f>
        <v>2669.8740300999998</v>
      </c>
      <c r="AP180" s="5">
        <f>[1]Capital!AO44+[1]Capital!AO48</f>
        <v>2695.3836285000002</v>
      </c>
      <c r="AQ180" s="5">
        <f>[1]Capital!AP44+[1]Capital!AP48</f>
        <v>2721.1346948</v>
      </c>
      <c r="AR180" s="5">
        <f>[1]Capital!AQ44+[1]Capital!AQ48</f>
        <v>2747.1329597999998</v>
      </c>
      <c r="AS180" s="5">
        <f>[1]Capital!AR44+[1]Capital!AR48</f>
        <v>2773.3838641000002</v>
      </c>
      <c r="AT180" s="5">
        <f>[1]Capital!AS44+[1]Capital!AS48</f>
        <v>2799.8932277000004</v>
      </c>
      <c r="AU180" s="5">
        <f>[1]Capital!AT44+[1]Capital!AT48</f>
        <v>2826.6673972000003</v>
      </c>
      <c r="AV180" s="5">
        <f>[1]Capital!AU44+[1]Capital!AU48</f>
        <v>2853.7130909000002</v>
      </c>
      <c r="AW180" s="5">
        <f>[1]Capital!AV44+[1]Capital!AV48</f>
        <v>2881.0536420000003</v>
      </c>
      <c r="AX180" s="5">
        <f>[1]Capital!AW44+[1]Capital!AW48</f>
        <v>2908.7037485000001</v>
      </c>
      <c r="AY180" s="5">
        <f>[1]Capital!AX44+[1]Capital!AX48</f>
        <v>2936.6738055999999</v>
      </c>
      <c r="AZ180" s="5">
        <f>[1]Capital!AY44+[1]Capital!AY48</f>
        <v>2964.9721337999999</v>
      </c>
      <c r="BA180" s="5">
        <f>[1]Capital!AZ44+[1]Capital!AZ48</f>
        <v>2993.6057864999998</v>
      </c>
      <c r="BB180" s="5">
        <f>[1]Capital!BA44+[1]Capital!BA48</f>
        <v>3022.5883002999999</v>
      </c>
      <c r="BC180" s="5">
        <f>[1]Capital!BB44+[1]Capital!BB48</f>
        <v>3051.9282167000001</v>
      </c>
      <c r="BD180" s="5">
        <f>[1]Capital!BC44+[1]Capital!BC48</f>
        <v>3081.6315078000002</v>
      </c>
      <c r="BE180" s="5">
        <f>[1]Capital!BD44+[1]Capital!BD48</f>
        <v>3111.7028144999999</v>
      </c>
      <c r="BF180" s="5">
        <f>[1]Capital!BE44+[1]Capital!BE48</f>
        <v>3142.1459581999998</v>
      </c>
    </row>
    <row r="181" spans="1:58" x14ac:dyDescent="0.35">
      <c r="B181" t="s">
        <v>33</v>
      </c>
      <c r="C181" s="5">
        <f>[1]Capital!B50+[1]Capital!B52+[1]Capital!B54+[1]Capital!B56+[1]Capital!B58+[1]Capital!B60+[1]Capital!B62+[1]Capital!B64+[1]Capital!B66</f>
        <v>40300.067704339999</v>
      </c>
      <c r="D181" s="5">
        <f>[1]Capital!C50+[1]Capital!C52+[1]Capital!C54+[1]Capital!C56+[1]Capital!C58+[1]Capital!C60+[1]Capital!C62+[1]Capital!C64+[1]Capital!C66</f>
        <v>40718.531263780002</v>
      </c>
      <c r="E181" s="5">
        <f>[1]Capital!D50+[1]Capital!D52+[1]Capital!D54+[1]Capital!D56+[1]Capital!D58+[1]Capital!D60+[1]Capital!D62+[1]Capital!D64+[1]Capital!D66</f>
        <v>41105.33526575</v>
      </c>
      <c r="F181" s="5">
        <f>[1]Capital!E50+[1]Capital!E52+[1]Capital!E54+[1]Capital!E56+[1]Capital!E58+[1]Capital!E60+[1]Capital!E62+[1]Capital!E64+[1]Capital!E66</f>
        <v>41467.80142417</v>
      </c>
      <c r="G181" s="5">
        <f>[1]Capital!F50+[1]Capital!F52+[1]Capital!F54+[1]Capital!F56+[1]Capital!F58+[1]Capital!F60+[1]Capital!F62+[1]Capital!F64+[1]Capital!F66</f>
        <v>41812.532384059996</v>
      </c>
      <c r="H181" s="5">
        <f>[1]Capital!G50+[1]Capital!G52+[1]Capital!G54+[1]Capital!G56+[1]Capital!G58+[1]Capital!G60+[1]Capital!G62+[1]Capital!G64+[1]Capital!G66</f>
        <v>42145.736453080004</v>
      </c>
      <c r="I181" s="5">
        <f>[1]Capital!H50+[1]Capital!H52+[1]Capital!H54+[1]Capital!H56+[1]Capital!H58+[1]Capital!H60+[1]Capital!H62+[1]Capital!H64+[1]Capital!H66</f>
        <v>42471.592208070011</v>
      </c>
      <c r="J181" s="5">
        <f>[1]Capital!I50+[1]Capital!I52+[1]Capital!I54+[1]Capital!I56+[1]Capital!I58+[1]Capital!I60+[1]Capital!I62+[1]Capital!I64+[1]Capital!I66</f>
        <v>42793.740176110005</v>
      </c>
      <c r="K181" s="5">
        <f>[1]Capital!J50+[1]Capital!J52+[1]Capital!J54+[1]Capital!J56+[1]Capital!J58+[1]Capital!J60+[1]Capital!J62+[1]Capital!J64+[1]Capital!J66</f>
        <v>43115.250812719998</v>
      </c>
      <c r="L181" s="5">
        <f>[1]Capital!K50+[1]Capital!K52+[1]Capital!K54+[1]Capital!K56+[1]Capital!K58+[1]Capital!K60+[1]Capital!K62+[1]Capital!K64+[1]Capital!K66</f>
        <v>43438.518895500005</v>
      </c>
      <c r="M181" s="5">
        <f>[1]Capital!L50+[1]Capital!L52+[1]Capital!L54+[1]Capital!L56+[1]Capital!L58+[1]Capital!L60+[1]Capital!L62+[1]Capital!L64+[1]Capital!L66</f>
        <v>43767.561046849994</v>
      </c>
      <c r="N181" s="5">
        <f>[1]Capital!M50+[1]Capital!M52+[1]Capital!M54+[1]Capital!M56+[1]Capital!M58+[1]Capital!M60+[1]Capital!M62+[1]Capital!M64+[1]Capital!M66</f>
        <v>44102.695940780002</v>
      </c>
      <c r="O181" s="5">
        <f>[1]Capital!N50+[1]Capital!N52+[1]Capital!N54+[1]Capital!N56+[1]Capital!N58+[1]Capital!N60+[1]Capital!N62+[1]Capital!N64+[1]Capital!N66</f>
        <v>44443.921067300005</v>
      </c>
      <c r="P181" s="5">
        <f>[1]Capital!O50+[1]Capital!O52+[1]Capital!O54+[1]Capital!O56+[1]Capital!O58+[1]Capital!O60+[1]Capital!O62+[1]Capital!O64+[1]Capital!O66</f>
        <v>44791.234014809997</v>
      </c>
      <c r="Q181" s="5">
        <f>[1]Capital!P50+[1]Capital!P52+[1]Capital!P54+[1]Capital!P56+[1]Capital!P58+[1]Capital!P60+[1]Capital!P62+[1]Capital!P64+[1]Capital!P66</f>
        <v>45144.605196100005</v>
      </c>
      <c r="R181" s="5">
        <f>[1]Capital!Q50+[1]Capital!Q52+[1]Capital!Q54+[1]Capital!Q56+[1]Capital!Q58+[1]Capital!Q60+[1]Capital!Q62+[1]Capital!Q64+[1]Capital!Q66</f>
        <v>45503.960324020001</v>
      </c>
      <c r="S181" s="5">
        <f>[1]Capital!R50+[1]Capital!R52+[1]Capital!R54+[1]Capital!R56+[1]Capital!R58+[1]Capital!R60+[1]Capital!R62+[1]Capital!R64+[1]Capital!R66</f>
        <v>45869.001095619999</v>
      </c>
      <c r="T181" s="5">
        <f>[1]Capital!S50+[1]Capital!S52+[1]Capital!S54+[1]Capital!S56+[1]Capital!S58+[1]Capital!S60+[1]Capital!S62+[1]Capital!S64+[1]Capital!S66</f>
        <v>46239.511248689989</v>
      </c>
      <c r="U181" s="5">
        <f>[1]Capital!T50+[1]Capital!T52+[1]Capital!T54+[1]Capital!T56+[1]Capital!T58+[1]Capital!T60+[1]Capital!T62+[1]Capital!T64+[1]Capital!T66</f>
        <v>46615.356274879996</v>
      </c>
      <c r="V181" s="5">
        <f>[1]Capital!U50+[1]Capital!U52+[1]Capital!U54+[1]Capital!U56+[1]Capital!U58+[1]Capital!U60+[1]Capital!U62+[1]Capital!U64+[1]Capital!U66</f>
        <v>46996.483104349987</v>
      </c>
      <c r="W181" s="5">
        <f>[1]Capital!V50+[1]Capital!V52+[1]Capital!V54+[1]Capital!V56+[1]Capital!V58+[1]Capital!V60+[1]Capital!V62+[1]Capital!V64+[1]Capital!V66</f>
        <v>47381.290965680004</v>
      </c>
      <c r="X181" s="5">
        <f>[1]Capital!W50+[1]Capital!W52+[1]Capital!W54+[1]Capital!W56+[1]Capital!W58+[1]Capital!W60+[1]Capital!W62+[1]Capital!W64+[1]Capital!W66</f>
        <v>47770.400983749998</v>
      </c>
      <c r="Y181" s="5">
        <f>[1]Capital!X50+[1]Capital!X52+[1]Capital!X54+[1]Capital!X56+[1]Capital!X58+[1]Capital!X60+[1]Capital!X62+[1]Capital!X64+[1]Capital!X66</f>
        <v>48164.500180589988</v>
      </c>
      <c r="Z181" s="5">
        <f>[1]Capital!Y50+[1]Capital!Y52+[1]Capital!Y54+[1]Capital!Y56+[1]Capital!Y58+[1]Capital!Y60+[1]Capital!Y62+[1]Capital!Y64+[1]Capital!Y66</f>
        <v>48564.168090289997</v>
      </c>
      <c r="AA181" s="5">
        <f>[1]Capital!Z50+[1]Capital!Z52+[1]Capital!Z54+[1]Capital!Z56+[1]Capital!Z58+[1]Capital!Z60+[1]Capital!Z62+[1]Capital!Z64+[1]Capital!Z66</f>
        <v>48969.938530420004</v>
      </c>
      <c r="AB181" s="5">
        <f>[1]Capital!AA50+[1]Capital!AA52+[1]Capital!AA54+[1]Capital!AA56+[1]Capital!AA58+[1]Capital!AA60+[1]Capital!AA62+[1]Capital!AA64+[1]Capital!AA66</f>
        <v>49377.715689909994</v>
      </c>
      <c r="AC181" s="5">
        <f>[1]Capital!AB50+[1]Capital!AB52+[1]Capital!AB54+[1]Capital!AB56+[1]Capital!AB58+[1]Capital!AB60+[1]Capital!AB62+[1]Capital!AB64+[1]Capital!AB66</f>
        <v>49787.375416909992</v>
      </c>
      <c r="AD181" s="5">
        <f>[1]Capital!AC50+[1]Capital!AC52+[1]Capital!AC54+[1]Capital!AC56+[1]Capital!AC58+[1]Capital!AC60+[1]Capital!AC62+[1]Capital!AC64+[1]Capital!AC66</f>
        <v>50199.396432069996</v>
      </c>
      <c r="AE181" s="5">
        <f>[1]Capital!AD50+[1]Capital!AD52+[1]Capital!AD54+[1]Capital!AD56+[1]Capital!AD58+[1]Capital!AD60+[1]Capital!AD62+[1]Capital!AD64+[1]Capital!AD66</f>
        <v>50614.379915599995</v>
      </c>
      <c r="AF181" s="5">
        <f>[1]Capital!AE50+[1]Capital!AE52+[1]Capital!AE54+[1]Capital!AE56+[1]Capital!AE58+[1]Capital!AE60+[1]Capital!AE62+[1]Capital!AE64+[1]Capital!AE66</f>
        <v>51033.002494230001</v>
      </c>
      <c r="AG181" s="5">
        <f>[1]Capital!AF50+[1]Capital!AF52+[1]Capital!AF54+[1]Capital!AF56+[1]Capital!AF58+[1]Capital!AF60+[1]Capital!AF62+[1]Capital!AF64+[1]Capital!AF66</f>
        <v>51456.011189559991</v>
      </c>
      <c r="AH181" s="5">
        <f>[1]Capital!AG50+[1]Capital!AG52+[1]Capital!AG54+[1]Capital!AG56+[1]Capital!AG58+[1]Capital!AG60+[1]Capital!AG62+[1]Capital!AG64+[1]Capital!AG66</f>
        <v>51884.248929680005</v>
      </c>
      <c r="AI181" s="5">
        <f>[1]Capital!AH50+[1]Capital!AH52+[1]Capital!AH54+[1]Capital!AH56+[1]Capital!AH58+[1]Capital!AH60+[1]Capital!AH62+[1]Capital!AH64+[1]Capital!AH66</f>
        <v>52318.575166860006</v>
      </c>
      <c r="AJ181" s="5">
        <f>[1]Capital!AI50+[1]Capital!AI52+[1]Capital!AI54+[1]Capital!AI56+[1]Capital!AI58+[1]Capital!AI60+[1]Capital!AI62+[1]Capital!AI64+[1]Capital!AI66</f>
        <v>52759.84942554999</v>
      </c>
      <c r="AK181" s="5">
        <f>[1]Capital!AJ50+[1]Capital!AJ52+[1]Capital!AJ54+[1]Capital!AJ56+[1]Capital!AJ58+[1]Capital!AJ60+[1]Capital!AJ62+[1]Capital!AJ64+[1]Capital!AJ66</f>
        <v>53208.914922040007</v>
      </c>
      <c r="AL181" s="5">
        <f>[1]Capital!AK50+[1]Capital!AK52+[1]Capital!AK54+[1]Capital!AK56+[1]Capital!AK58+[1]Capital!AK60+[1]Capital!AK62+[1]Capital!AK64+[1]Capital!AK66</f>
        <v>53666.585325029999</v>
      </c>
      <c r="AM181" s="5">
        <f>[1]Capital!AL50+[1]Capital!AL52+[1]Capital!AL54+[1]Capital!AL56+[1]Capital!AL58+[1]Capital!AL60+[1]Capital!AL62+[1]Capital!AL64+[1]Capital!AL66</f>
        <v>54132.884068600004</v>
      </c>
      <c r="AN181" s="5">
        <f>[1]Capital!AM50+[1]Capital!AM52+[1]Capital!AM54+[1]Capital!AM56+[1]Capital!AM58+[1]Capital!AM60+[1]Capital!AM62+[1]Capital!AM64+[1]Capital!AM66</f>
        <v>54607.953890290002</v>
      </c>
      <c r="AO181" s="5">
        <f>[1]Capital!AN50+[1]Capital!AN52+[1]Capital!AN54+[1]Capital!AN56+[1]Capital!AN58+[1]Capital!AN60+[1]Capital!AN62+[1]Capital!AN64+[1]Capital!AN66</f>
        <v>55092.101687820003</v>
      </c>
      <c r="AP181" s="5">
        <f>[1]Capital!AO50+[1]Capital!AO52+[1]Capital!AO54+[1]Capital!AO56+[1]Capital!AO58+[1]Capital!AO60+[1]Capital!AO62+[1]Capital!AO64+[1]Capital!AO66</f>
        <v>55585.711021530005</v>
      </c>
      <c r="AQ181" s="5">
        <f>[1]Capital!AP50+[1]Capital!AP52+[1]Capital!AP54+[1]Capital!AP56+[1]Capital!AP58+[1]Capital!AP60+[1]Capital!AP62+[1]Capital!AP64+[1]Capital!AP66</f>
        <v>56089.1941286</v>
      </c>
      <c r="AR181" s="5">
        <f>[1]Capital!AQ50+[1]Capital!AQ52+[1]Capital!AQ54+[1]Capital!AQ56+[1]Capital!AQ58+[1]Capital!AQ60+[1]Capital!AQ62+[1]Capital!AQ64+[1]Capital!AQ66</f>
        <v>56603.021816180015</v>
      </c>
      <c r="AS181" s="5">
        <f>[1]Capital!AR50+[1]Capital!AR52+[1]Capital!AR54+[1]Capital!AR56+[1]Capital!AR58+[1]Capital!AR60+[1]Capital!AR62+[1]Capital!AR64+[1]Capital!AR66</f>
        <v>57127.634291800008</v>
      </c>
      <c r="AT181" s="5">
        <f>[1]Capital!AS50+[1]Capital!AS52+[1]Capital!AS54+[1]Capital!AS56+[1]Capital!AS58+[1]Capital!AS60+[1]Capital!AS62+[1]Capital!AS64+[1]Capital!AS66</f>
        <v>57663.442115530008</v>
      </c>
      <c r="AU181" s="5">
        <f>[1]Capital!AT50+[1]Capital!AT52+[1]Capital!AT54+[1]Capital!AT56+[1]Capital!AT58+[1]Capital!AT60+[1]Capital!AT62+[1]Capital!AT64+[1]Capital!AT66</f>
        <v>58210.824926379995</v>
      </c>
      <c r="AV181" s="5">
        <f>[1]Capital!AU50+[1]Capital!AU52+[1]Capital!AU54+[1]Capital!AU56+[1]Capital!AU58+[1]Capital!AU60+[1]Capital!AU62+[1]Capital!AU64+[1]Capital!AU66</f>
        <v>58770.131459420008</v>
      </c>
      <c r="AW181" s="5">
        <f>[1]Capital!AV50+[1]Capital!AV52+[1]Capital!AV54+[1]Capital!AV56+[1]Capital!AV58+[1]Capital!AV60+[1]Capital!AV62+[1]Capital!AV64+[1]Capital!AV66</f>
        <v>59341.952171029989</v>
      </c>
      <c r="AX181" s="5">
        <f>[1]Capital!AW50+[1]Capital!AW52+[1]Capital!AW54+[1]Capital!AW56+[1]Capital!AW58+[1]Capital!AW60+[1]Capital!AW62+[1]Capital!AW64+[1]Capital!AW66</f>
        <v>59926.740274130003</v>
      </c>
      <c r="AY181" s="5">
        <f>[1]Capital!AX50+[1]Capital!AX52+[1]Capital!AX54+[1]Capital!AX56+[1]Capital!AX58+[1]Capital!AX60+[1]Capital!AX62+[1]Capital!AX64+[1]Capital!AX66</f>
        <v>60524.843243259995</v>
      </c>
      <c r="AZ181" s="5">
        <f>[1]Capital!AY50+[1]Capital!AY52+[1]Capital!AY54+[1]Capital!AY56+[1]Capital!AY58+[1]Capital!AY60+[1]Capital!AY62+[1]Capital!AY64+[1]Capital!AY66</f>
        <v>61136.528304899992</v>
      </c>
      <c r="BA181" s="5">
        <f>[1]Capital!AZ50+[1]Capital!AZ52+[1]Capital!AZ54+[1]Capital!AZ56+[1]Capital!AZ58+[1]Capital!AZ60+[1]Capital!AZ62+[1]Capital!AZ64+[1]Capital!AZ66</f>
        <v>61762.004064899993</v>
      </c>
      <c r="BB181" s="5">
        <f>[1]Capital!BA50+[1]Capital!BA52+[1]Capital!BA54+[1]Capital!BA56+[1]Capital!BA58+[1]Capital!BA60+[1]Capital!BA62+[1]Capital!BA64+[1]Capital!BA66</f>
        <v>62401.542003400005</v>
      </c>
      <c r="BC181" s="5">
        <f>[1]Capital!BB50+[1]Capital!BB52+[1]Capital!BB54+[1]Capital!BB56+[1]Capital!BB58+[1]Capital!BB60+[1]Capital!BB62+[1]Capital!BB64+[1]Capital!BB66</f>
        <v>63055.334280600007</v>
      </c>
      <c r="BD181" s="5">
        <f>[1]Capital!BC50+[1]Capital!BC52+[1]Capital!BC54+[1]Capital!BC56+[1]Capital!BC58+[1]Capital!BC60+[1]Capital!BC62+[1]Capital!BC64+[1]Capital!BC66</f>
        <v>63723.521968200002</v>
      </c>
      <c r="BE181" s="5">
        <f>[1]Capital!BD50+[1]Capital!BD52+[1]Capital!BD54+[1]Capital!BD56+[1]Capital!BD58+[1]Capital!BD60+[1]Capital!BD62+[1]Capital!BD64+[1]Capital!BD66</f>
        <v>64406.210009999995</v>
      </c>
      <c r="BF181" s="5">
        <f>[1]Capital!BE50+[1]Capital!BE52+[1]Capital!BE54+[1]Capital!BE56+[1]Capital!BE58+[1]Capital!BE60+[1]Capital!BE62+[1]Capital!BE64+[1]Capital!BE66</f>
        <v>65103.4808558</v>
      </c>
    </row>
    <row r="182" spans="1:58" x14ac:dyDescent="0.35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</row>
    <row r="183" spans="1:58" x14ac:dyDescent="0.35">
      <c r="C183" s="2">
        <v>42005</v>
      </c>
      <c r="D183" s="2">
        <v>42370</v>
      </c>
      <c r="E183" s="2">
        <v>42736</v>
      </c>
      <c r="F183" s="2">
        <v>43101</v>
      </c>
      <c r="G183" s="2">
        <v>43466</v>
      </c>
      <c r="H183" s="2">
        <v>43831</v>
      </c>
      <c r="I183" s="2">
        <v>44197</v>
      </c>
      <c r="J183" s="2">
        <v>44562</v>
      </c>
      <c r="K183" s="2">
        <v>44927</v>
      </c>
      <c r="L183" s="2">
        <v>45292</v>
      </c>
      <c r="M183" s="2">
        <v>45658</v>
      </c>
      <c r="N183" s="2">
        <v>46023</v>
      </c>
      <c r="O183" s="2">
        <v>46388</v>
      </c>
      <c r="P183" s="2">
        <v>46753</v>
      </c>
      <c r="Q183" s="2">
        <v>47119</v>
      </c>
      <c r="R183" s="2">
        <v>47484</v>
      </c>
      <c r="S183" s="2">
        <v>47849</v>
      </c>
      <c r="T183" s="2">
        <v>48214</v>
      </c>
      <c r="U183" s="2">
        <v>48580</v>
      </c>
      <c r="V183" s="2">
        <v>48945</v>
      </c>
      <c r="W183" s="2">
        <v>49310</v>
      </c>
      <c r="X183" s="2">
        <v>49675</v>
      </c>
      <c r="Y183" s="2">
        <v>50041</v>
      </c>
      <c r="Z183" s="2">
        <v>50406</v>
      </c>
      <c r="AA183" s="2">
        <v>50771</v>
      </c>
      <c r="AB183" s="2">
        <v>51136</v>
      </c>
      <c r="AC183" s="2">
        <v>51502</v>
      </c>
      <c r="AD183" s="2">
        <v>51867</v>
      </c>
      <c r="AE183" s="2">
        <v>52232</v>
      </c>
      <c r="AF183" s="2">
        <v>52597</v>
      </c>
      <c r="AG183" s="2">
        <v>52963</v>
      </c>
      <c r="AH183" s="2">
        <v>53328</v>
      </c>
      <c r="AI183" s="2">
        <v>53693</v>
      </c>
      <c r="AJ183" s="2">
        <v>54058</v>
      </c>
      <c r="AK183" s="2">
        <v>54424</v>
      </c>
      <c r="AL183" s="2">
        <v>54789</v>
      </c>
      <c r="AM183" s="2">
        <v>54790</v>
      </c>
      <c r="AN183" s="2">
        <v>54791</v>
      </c>
      <c r="AO183" s="2">
        <v>54792</v>
      </c>
      <c r="AP183" s="2">
        <v>54793</v>
      </c>
      <c r="AQ183" s="2">
        <v>54794</v>
      </c>
      <c r="AR183" s="2">
        <v>54795</v>
      </c>
      <c r="AS183" s="2">
        <v>54796</v>
      </c>
      <c r="AT183" s="2">
        <v>54797</v>
      </c>
      <c r="AU183" s="2">
        <v>54798</v>
      </c>
      <c r="AV183" s="2">
        <v>54799</v>
      </c>
      <c r="AW183" s="2">
        <v>54800</v>
      </c>
      <c r="AX183" s="2">
        <v>54801</v>
      </c>
      <c r="AY183" s="2">
        <v>54802</v>
      </c>
      <c r="AZ183" s="2">
        <v>54803</v>
      </c>
      <c r="BA183" s="2">
        <v>54804</v>
      </c>
      <c r="BB183" s="2">
        <v>54805</v>
      </c>
      <c r="BC183" s="2">
        <v>54806</v>
      </c>
      <c r="BD183" s="2">
        <v>54807</v>
      </c>
      <c r="BE183" s="2">
        <v>54808</v>
      </c>
      <c r="BF183" s="2">
        <v>54809</v>
      </c>
    </row>
    <row r="184" spans="1:58" x14ac:dyDescent="0.35">
      <c r="A184" s="12" t="s">
        <v>42</v>
      </c>
      <c r="B184" t="s">
        <v>40</v>
      </c>
      <c r="C184" s="9">
        <f t="shared" ref="C184:AL184" si="68">C174/C136/(C164/C125)-1</f>
        <v>1.2493114421865403E-3</v>
      </c>
      <c r="D184" s="9">
        <f t="shared" si="68"/>
        <v>2.5990381905141025E-3</v>
      </c>
      <c r="E184" s="9">
        <f t="shared" si="68"/>
        <v>3.9271632197397377E-3</v>
      </c>
      <c r="F184" s="9">
        <f t="shared" si="68"/>
        <v>5.1846182705457267E-3</v>
      </c>
      <c r="G184" s="9">
        <f t="shared" si="68"/>
        <v>6.330757732364134E-3</v>
      </c>
      <c r="H184" s="9">
        <f t="shared" si="68"/>
        <v>7.3408661964924349E-3</v>
      </c>
      <c r="I184" s="9">
        <f t="shared" si="68"/>
        <v>8.2196460233696644E-3</v>
      </c>
      <c r="J184" s="9">
        <f t="shared" si="68"/>
        <v>8.9462544835694491E-3</v>
      </c>
      <c r="K184" s="9">
        <f t="shared" si="68"/>
        <v>9.5178764876688859E-3</v>
      </c>
      <c r="L184" s="9">
        <f t="shared" si="68"/>
        <v>9.9364525077099142E-3</v>
      </c>
      <c r="M184" s="9">
        <f t="shared" si="68"/>
        <v>1.0204506913179534E-2</v>
      </c>
      <c r="N184" s="9">
        <f t="shared" si="68"/>
        <v>1.0395549502723478E-2</v>
      </c>
      <c r="O184" s="9">
        <f t="shared" si="68"/>
        <v>1.0459597838684775E-2</v>
      </c>
      <c r="P184" s="9">
        <f t="shared" si="68"/>
        <v>1.0398000366485416E-2</v>
      </c>
      <c r="Q184" s="9">
        <f t="shared" si="68"/>
        <v>1.0216542249848359E-2</v>
      </c>
      <c r="R184" s="9">
        <f t="shared" si="68"/>
        <v>9.9230487562504965E-3</v>
      </c>
      <c r="S184" s="9">
        <f t="shared" si="68"/>
        <v>9.58747053583342E-3</v>
      </c>
      <c r="T184" s="9">
        <f t="shared" si="68"/>
        <v>9.1649542983265331E-3</v>
      </c>
      <c r="U184" s="9">
        <f t="shared" si="68"/>
        <v>8.6592386772044172E-3</v>
      </c>
      <c r="V184" s="9">
        <f t="shared" si="68"/>
        <v>8.0778246011898869E-3</v>
      </c>
      <c r="W184" s="9">
        <f t="shared" si="68"/>
        <v>7.4314479345212181E-3</v>
      </c>
      <c r="X184" s="9">
        <f t="shared" si="68"/>
        <v>6.724766556117201E-3</v>
      </c>
      <c r="Y184" s="9">
        <f t="shared" si="68"/>
        <v>5.9690481797358697E-3</v>
      </c>
      <c r="Z184" s="9">
        <f t="shared" si="68"/>
        <v>5.1740350812459202E-3</v>
      </c>
      <c r="AA184" s="9">
        <f t="shared" si="68"/>
        <v>4.3486974359625563E-3</v>
      </c>
      <c r="AB184" s="9">
        <f t="shared" si="68"/>
        <v>3.5063243374957587E-3</v>
      </c>
      <c r="AC184" s="9">
        <f t="shared" si="68"/>
        <v>2.6251261826399919E-3</v>
      </c>
      <c r="AD184" s="9">
        <f t="shared" si="68"/>
        <v>1.7336100716740521E-3</v>
      </c>
      <c r="AE184" s="9">
        <f t="shared" si="68"/>
        <v>8.4097026787177676E-4</v>
      </c>
      <c r="AF184" s="9">
        <f t="shared" si="68"/>
        <v>-4.5791698880970344E-5</v>
      </c>
      <c r="AG184" s="9">
        <f t="shared" si="68"/>
        <v>-9.2118781965311314E-4</v>
      </c>
      <c r="AH184" s="9">
        <f t="shared" si="68"/>
        <v>-1.7918239296218497E-3</v>
      </c>
      <c r="AI184" s="9">
        <f t="shared" si="68"/>
        <v>-2.6445321029685553E-3</v>
      </c>
      <c r="AJ184" s="9">
        <f t="shared" si="68"/>
        <v>-3.4752908058528487E-3</v>
      </c>
      <c r="AK184" s="9">
        <f t="shared" si="68"/>
        <v>-4.2812300297840888E-3</v>
      </c>
      <c r="AL184" s="9">
        <f t="shared" si="68"/>
        <v>-5.0601313541625004E-3</v>
      </c>
      <c r="AM184" s="9">
        <f t="shared" ref="AM184:BC184" si="69">AM174/AM136/(AM164/AM125)-1</f>
        <v>-5.8992229529853946E-3</v>
      </c>
      <c r="AN184" s="9">
        <f t="shared" si="69"/>
        <v>-6.7178177117201976E-3</v>
      </c>
      <c r="AO184" s="9">
        <f t="shared" si="69"/>
        <v>-7.504788014593311E-3</v>
      </c>
      <c r="AP184" s="9">
        <f t="shared" si="69"/>
        <v>-8.2538787567749683E-3</v>
      </c>
      <c r="AQ184" s="9">
        <f t="shared" si="69"/>
        <v>-8.960834707355092E-3</v>
      </c>
      <c r="AR184" s="9">
        <f t="shared" si="69"/>
        <v>-9.6361670412244971E-3</v>
      </c>
      <c r="AS184" s="9">
        <f t="shared" si="69"/>
        <v>-1.0266083473874033E-2</v>
      </c>
      <c r="AT184" s="9">
        <f t="shared" si="69"/>
        <v>-1.084778538824116E-2</v>
      </c>
      <c r="AU184" s="9">
        <f t="shared" si="69"/>
        <v>-1.1379825747727335E-2</v>
      </c>
      <c r="AV184" s="9">
        <f t="shared" si="69"/>
        <v>-1.1861564687998261E-2</v>
      </c>
      <c r="AW184" s="9">
        <f t="shared" si="69"/>
        <v>-1.2335834602424711E-2</v>
      </c>
      <c r="AX184" s="9">
        <f t="shared" si="69"/>
        <v>-1.2765772594694691E-2</v>
      </c>
      <c r="AY184" s="9">
        <f t="shared" si="69"/>
        <v>-1.3147064444791079E-2</v>
      </c>
      <c r="AZ184" s="9">
        <f t="shared" si="69"/>
        <v>-1.3477971378925813E-2</v>
      </c>
      <c r="BA184" s="9">
        <f t="shared" si="69"/>
        <v>-1.375791466423637E-2</v>
      </c>
      <c r="BB184" s="9">
        <f t="shared" si="69"/>
        <v>-1.4012188463040864E-2</v>
      </c>
      <c r="BC184" s="9">
        <f t="shared" si="69"/>
        <v>-1.4219645514420232E-2</v>
      </c>
      <c r="BD184" s="9">
        <f t="shared" ref="BD184:BF184" si="70">BD174/BD136/(BD164/BD125)-1</f>
        <v>-1.4378400242055722E-2</v>
      </c>
      <c r="BE184" s="9">
        <f t="shared" si="70"/>
        <v>-1.4488244085086643E-2</v>
      </c>
      <c r="BF184" s="9">
        <f t="shared" si="70"/>
        <v>-1.45498076894367E-2</v>
      </c>
    </row>
    <row r="185" spans="1:58" x14ac:dyDescent="0.35">
      <c r="A185" t="s">
        <v>85</v>
      </c>
      <c r="B185" t="s">
        <v>7</v>
      </c>
      <c r="C185" s="9">
        <f t="shared" ref="C185:AL185" si="71">C175/C137/(C165/C126)-1</f>
        <v>1.4781414025233364E-3</v>
      </c>
      <c r="D185" s="9">
        <f t="shared" si="71"/>
        <v>3.1777378906541198E-3</v>
      </c>
      <c r="E185" s="9">
        <f t="shared" si="71"/>
        <v>4.8671079399480455E-3</v>
      </c>
      <c r="F185" s="9">
        <f t="shared" si="71"/>
        <v>6.4919173823305698E-3</v>
      </c>
      <c r="G185" s="9">
        <f t="shared" si="71"/>
        <v>8.000653995522411E-3</v>
      </c>
      <c r="H185" s="9">
        <f t="shared" si="71"/>
        <v>9.3595001769313235E-3</v>
      </c>
      <c r="I185" s="9">
        <f t="shared" si="71"/>
        <v>1.0575749884420338E-2</v>
      </c>
      <c r="J185" s="9">
        <f t="shared" si="71"/>
        <v>1.1617788090380277E-2</v>
      </c>
      <c r="K185" s="9">
        <f t="shared" si="71"/>
        <v>1.2475145316220626E-2</v>
      </c>
      <c r="L185" s="9">
        <f t="shared" si="71"/>
        <v>1.3145367070018121E-2</v>
      </c>
      <c r="M185" s="9">
        <f t="shared" si="71"/>
        <v>1.365609870485196E-2</v>
      </c>
      <c r="N185" s="9">
        <f t="shared" si="71"/>
        <v>1.4106403012039026E-2</v>
      </c>
      <c r="O185" s="9">
        <f t="shared" si="71"/>
        <v>1.4443744937103098E-2</v>
      </c>
      <c r="P185" s="9">
        <f t="shared" si="71"/>
        <v>1.4674656565274447E-2</v>
      </c>
      <c r="Q185" s="9">
        <f t="shared" si="71"/>
        <v>1.4810323303558137E-2</v>
      </c>
      <c r="R185" s="9">
        <f t="shared" si="71"/>
        <v>1.4863424782529444E-2</v>
      </c>
      <c r="S185" s="9">
        <f t="shared" si="71"/>
        <v>1.4924822260105497E-2</v>
      </c>
      <c r="T185" s="9">
        <f t="shared" si="71"/>
        <v>1.4940358972964196E-2</v>
      </c>
      <c r="U185" s="9">
        <f t="shared" si="71"/>
        <v>1.4917050914894592E-2</v>
      </c>
      <c r="V185" s="9">
        <f t="shared" si="71"/>
        <v>1.4865299561131806E-2</v>
      </c>
      <c r="W185" s="9">
        <f t="shared" si="71"/>
        <v>1.479542227728925E-2</v>
      </c>
      <c r="X185" s="9">
        <f t="shared" si="71"/>
        <v>1.4720480177872197E-2</v>
      </c>
      <c r="Y185" s="9">
        <f t="shared" si="71"/>
        <v>1.4648316986564103E-2</v>
      </c>
      <c r="Z185" s="9">
        <f t="shared" si="71"/>
        <v>1.4589730012693369E-2</v>
      </c>
      <c r="AA185" s="9">
        <f t="shared" si="71"/>
        <v>1.4554258920579821E-2</v>
      </c>
      <c r="AB185" s="9">
        <f t="shared" si="71"/>
        <v>1.4545536996375175E-2</v>
      </c>
      <c r="AC185" s="9">
        <f t="shared" si="71"/>
        <v>1.4554145241296945E-2</v>
      </c>
      <c r="AD185" s="9">
        <f t="shared" si="71"/>
        <v>1.460320737387244E-2</v>
      </c>
      <c r="AE185" s="9">
        <f t="shared" si="71"/>
        <v>1.4700046537023725E-2</v>
      </c>
      <c r="AF185" s="9">
        <f t="shared" si="71"/>
        <v>1.4849513178718299E-2</v>
      </c>
      <c r="AG185" s="9">
        <f t="shared" si="71"/>
        <v>1.5054601919973543E-2</v>
      </c>
      <c r="AH185" s="9">
        <f t="shared" si="71"/>
        <v>1.5302575536465524E-2</v>
      </c>
      <c r="AI185" s="9">
        <f t="shared" si="71"/>
        <v>1.5606305066517612E-2</v>
      </c>
      <c r="AJ185" s="9">
        <f t="shared" si="71"/>
        <v>1.5966710732651768E-2</v>
      </c>
      <c r="AK185" s="9">
        <f t="shared" si="71"/>
        <v>1.6383331993341743E-2</v>
      </c>
      <c r="AL185" s="9">
        <f t="shared" si="71"/>
        <v>1.6854923659445076E-2</v>
      </c>
      <c r="AM185" s="9">
        <f t="shared" ref="AM185:BC185" si="72">AM175/AM137/(AM165/AM126)-1</f>
        <v>1.7259055112978761E-2</v>
      </c>
      <c r="AN185" s="9">
        <f t="shared" si="72"/>
        <v>1.770096880623373E-2</v>
      </c>
      <c r="AO185" s="9">
        <f t="shared" si="72"/>
        <v>1.8189418027982462E-2</v>
      </c>
      <c r="AP185" s="9">
        <f t="shared" si="72"/>
        <v>1.8727998691271841E-2</v>
      </c>
      <c r="AQ185" s="9">
        <f t="shared" si="72"/>
        <v>1.9318429147979987E-2</v>
      </c>
      <c r="AR185" s="9">
        <f t="shared" si="72"/>
        <v>1.994306142200597E-2</v>
      </c>
      <c r="AS185" s="9">
        <f t="shared" si="72"/>
        <v>2.0616486633930009E-2</v>
      </c>
      <c r="AT185" s="9">
        <f t="shared" si="72"/>
        <v>2.133873707800471E-2</v>
      </c>
      <c r="AU185" s="9">
        <f t="shared" si="72"/>
        <v>2.2108358024539587E-2</v>
      </c>
      <c r="AV185" s="9">
        <f t="shared" si="72"/>
        <v>2.2923102348056057E-2</v>
      </c>
      <c r="AW185" s="9">
        <f t="shared" si="72"/>
        <v>2.3722821890135748E-2</v>
      </c>
      <c r="AX185" s="9">
        <f t="shared" si="72"/>
        <v>2.455343424166867E-2</v>
      </c>
      <c r="AY185" s="9">
        <f t="shared" si="72"/>
        <v>2.541778202448941E-2</v>
      </c>
      <c r="AZ185" s="9">
        <f t="shared" si="72"/>
        <v>2.6316047608701432E-2</v>
      </c>
      <c r="BA185" s="9">
        <f t="shared" si="72"/>
        <v>2.7247382383369212E-2</v>
      </c>
      <c r="BB185" s="9">
        <f t="shared" si="72"/>
        <v>2.817613890020132E-2</v>
      </c>
      <c r="BC185" s="9">
        <f t="shared" si="72"/>
        <v>2.9129458162288513E-2</v>
      </c>
      <c r="BD185" s="9">
        <f t="shared" ref="BD185:BF185" si="73">BD175/BD137/(BD165/BD126)-1</f>
        <v>3.0108520524004589E-2</v>
      </c>
      <c r="BE185" s="9">
        <f t="shared" si="73"/>
        <v>3.1112776371435613E-2</v>
      </c>
      <c r="BF185" s="9">
        <f t="shared" si="73"/>
        <v>3.2140934987173075E-2</v>
      </c>
    </row>
    <row r="186" spans="1:58" x14ac:dyDescent="0.35">
      <c r="B186" t="s">
        <v>30</v>
      </c>
      <c r="C186" s="9">
        <f t="shared" ref="C186:AL186" si="74">C176/C138/(C166/C127)-1</f>
        <v>1.8876381298098543E-3</v>
      </c>
      <c r="D186" s="9">
        <f t="shared" si="74"/>
        <v>3.8134219599128549E-3</v>
      </c>
      <c r="E186" s="9">
        <f t="shared" si="74"/>
        <v>5.6488295353733786E-3</v>
      </c>
      <c r="F186" s="9">
        <f t="shared" si="74"/>
        <v>7.368021522775825E-3</v>
      </c>
      <c r="G186" s="9">
        <f t="shared" si="74"/>
        <v>8.936036596457253E-3</v>
      </c>
      <c r="H186" s="9">
        <f t="shared" si="74"/>
        <v>1.0335951940158239E-2</v>
      </c>
      <c r="I186" s="9">
        <f t="shared" si="74"/>
        <v>1.1587853668119097E-2</v>
      </c>
      <c r="J186" s="9">
        <f t="shared" si="74"/>
        <v>1.2668251515596252E-2</v>
      </c>
      <c r="K186" s="9">
        <f t="shared" si="74"/>
        <v>1.3578933389199355E-2</v>
      </c>
      <c r="L186" s="9">
        <f t="shared" si="74"/>
        <v>1.4325008615063028E-2</v>
      </c>
      <c r="M186" s="9">
        <f t="shared" si="74"/>
        <v>1.4913807013449132E-2</v>
      </c>
      <c r="N186" s="9">
        <f t="shared" si="74"/>
        <v>1.5447281869001461E-2</v>
      </c>
      <c r="O186" s="9">
        <f t="shared" si="74"/>
        <v>1.5841761567791934E-2</v>
      </c>
      <c r="P186" s="9">
        <f t="shared" si="74"/>
        <v>1.6098392942661244E-2</v>
      </c>
      <c r="Q186" s="9">
        <f t="shared" si="74"/>
        <v>1.6222818852604792E-2</v>
      </c>
      <c r="R186" s="9">
        <f t="shared" si="74"/>
        <v>1.6222768153243416E-2</v>
      </c>
      <c r="S186" s="9">
        <f t="shared" si="74"/>
        <v>1.6201522482806485E-2</v>
      </c>
      <c r="T186" s="9">
        <f t="shared" si="74"/>
        <v>1.6077329137846208E-2</v>
      </c>
      <c r="U186" s="9">
        <f t="shared" si="74"/>
        <v>1.5853433286628693E-2</v>
      </c>
      <c r="V186" s="9">
        <f t="shared" si="74"/>
        <v>1.5537097725032201E-2</v>
      </c>
      <c r="W186" s="9">
        <f t="shared" si="74"/>
        <v>1.5136381606277949E-2</v>
      </c>
      <c r="X186" s="9">
        <f t="shared" si="74"/>
        <v>1.4661651371624229E-2</v>
      </c>
      <c r="Y186" s="9">
        <f t="shared" si="74"/>
        <v>1.4120630555533698E-2</v>
      </c>
      <c r="Z186" s="9">
        <f t="shared" si="74"/>
        <v>1.3523265619507452E-2</v>
      </c>
      <c r="AA186" s="9">
        <f t="shared" si="74"/>
        <v>1.2878682332867708E-2</v>
      </c>
      <c r="AB186" s="9">
        <f t="shared" si="74"/>
        <v>1.2192919572456384E-2</v>
      </c>
      <c r="AC186" s="9">
        <f t="shared" si="74"/>
        <v>1.1447352271390931E-2</v>
      </c>
      <c r="AD186" s="9">
        <f t="shared" si="74"/>
        <v>1.0677785696428632E-2</v>
      </c>
      <c r="AE186" s="9">
        <f t="shared" si="74"/>
        <v>9.8939070201520263E-3</v>
      </c>
      <c r="AF186" s="9">
        <f t="shared" si="74"/>
        <v>9.1031981884133195E-3</v>
      </c>
      <c r="AG186" s="9">
        <f t="shared" si="74"/>
        <v>8.3117315621128451E-3</v>
      </c>
      <c r="AH186" s="9">
        <f t="shared" si="74"/>
        <v>7.507479186576127E-3</v>
      </c>
      <c r="AI186" s="9">
        <f t="shared" si="74"/>
        <v>6.7110956636968755E-3</v>
      </c>
      <c r="AJ186" s="9">
        <f t="shared" si="74"/>
        <v>5.927627455462936E-3</v>
      </c>
      <c r="AK186" s="9">
        <f t="shared" si="74"/>
        <v>5.1610398253014722E-3</v>
      </c>
      <c r="AL186" s="9">
        <f t="shared" si="74"/>
        <v>4.4147188180749808E-3</v>
      </c>
      <c r="AM186" s="9">
        <f t="shared" ref="AM186:BC186" si="75">AM176/AM138/(AM166/AM127)-1</f>
        <v>3.5504554267948851E-3</v>
      </c>
      <c r="AN186" s="9">
        <f t="shared" si="75"/>
        <v>2.707669399097945E-3</v>
      </c>
      <c r="AO186" s="9">
        <f t="shared" si="75"/>
        <v>1.898472016472974E-3</v>
      </c>
      <c r="AP186" s="9">
        <f t="shared" si="75"/>
        <v>1.1299092308245662E-3</v>
      </c>
      <c r="AQ186" s="9">
        <f t="shared" si="75"/>
        <v>4.0688500126395688E-4</v>
      </c>
      <c r="AR186" s="9">
        <f t="shared" si="75"/>
        <v>-2.8804429523576758E-4</v>
      </c>
      <c r="AS186" s="9">
        <f t="shared" si="75"/>
        <v>-9.3233260263270168E-4</v>
      </c>
      <c r="AT186" s="9">
        <f t="shared" si="75"/>
        <v>-1.522353801792331E-3</v>
      </c>
      <c r="AU186" s="9">
        <f t="shared" si="75"/>
        <v>-2.0558122637657217E-3</v>
      </c>
      <c r="AV186" s="9">
        <f t="shared" si="75"/>
        <v>-2.5312160568955466E-3</v>
      </c>
      <c r="AW186" s="9">
        <f t="shared" si="75"/>
        <v>-3.0144549526559539E-3</v>
      </c>
      <c r="AX186" s="9">
        <f t="shared" si="75"/>
        <v>-3.4426858695205675E-3</v>
      </c>
      <c r="AY186" s="9">
        <f t="shared" si="75"/>
        <v>-3.8106128430864805E-3</v>
      </c>
      <c r="AZ186" s="9">
        <f t="shared" si="75"/>
        <v>-4.1157533615292508E-3</v>
      </c>
      <c r="BA186" s="9">
        <f t="shared" si="75"/>
        <v>-4.3569539611071351E-3</v>
      </c>
      <c r="BB186" s="9">
        <f t="shared" si="75"/>
        <v>-4.5732121729192832E-3</v>
      </c>
      <c r="BC186" s="9">
        <f t="shared" si="75"/>
        <v>-4.7280694127838085E-3</v>
      </c>
      <c r="BD186" s="9">
        <f t="shared" ref="BD186:BF186" si="76">BD176/BD138/(BD166/BD127)-1</f>
        <v>-4.8192145688793486E-3</v>
      </c>
      <c r="BE186" s="9">
        <f t="shared" si="76"/>
        <v>-4.8461576992726574E-3</v>
      </c>
      <c r="BF186" s="9">
        <f t="shared" si="76"/>
        <v>-4.8093643320589186E-3</v>
      </c>
    </row>
    <row r="187" spans="1:58" x14ac:dyDescent="0.35">
      <c r="B187" t="s">
        <v>9</v>
      </c>
      <c r="C187" s="9">
        <f t="shared" ref="C187:AL187" si="77">C177/C139/(C167/C128)-1</f>
        <v>1.761575188609088E-3</v>
      </c>
      <c r="D187" s="9">
        <f t="shared" si="77"/>
        <v>3.4851728406475324E-3</v>
      </c>
      <c r="E187" s="9">
        <f t="shared" si="77"/>
        <v>5.0573913459466269E-3</v>
      </c>
      <c r="F187" s="9">
        <f t="shared" si="77"/>
        <v>6.4628494593721442E-3</v>
      </c>
      <c r="G187" s="9">
        <f t="shared" si="77"/>
        <v>7.6725539933530928E-3</v>
      </c>
      <c r="H187" s="9">
        <f t="shared" si="77"/>
        <v>8.6735872002943193E-3</v>
      </c>
      <c r="I187" s="9">
        <f t="shared" si="77"/>
        <v>9.4901039648485064E-3</v>
      </c>
      <c r="J187" s="9">
        <f t="shared" si="77"/>
        <v>1.0103521085884859E-2</v>
      </c>
      <c r="K187" s="9">
        <f t="shared" si="77"/>
        <v>1.0523255386538866E-2</v>
      </c>
      <c r="L187" s="9">
        <f t="shared" si="77"/>
        <v>1.076295673562E-2</v>
      </c>
      <c r="M187" s="9">
        <f t="shared" si="77"/>
        <v>1.0839413370524298E-2</v>
      </c>
      <c r="N187" s="9">
        <f t="shared" si="77"/>
        <v>1.0860189221573835E-2</v>
      </c>
      <c r="O187" s="9">
        <f t="shared" si="77"/>
        <v>1.0746899652597453E-2</v>
      </c>
      <c r="P187" s="9">
        <f t="shared" si="77"/>
        <v>1.0509378726001994E-2</v>
      </c>
      <c r="Q187" s="9">
        <f t="shared" si="77"/>
        <v>1.0160587643119667E-2</v>
      </c>
      <c r="R187" s="9">
        <f t="shared" si="77"/>
        <v>9.7140436588685208E-3</v>
      </c>
      <c r="S187" s="9">
        <f t="shared" si="77"/>
        <v>9.2741558479476627E-3</v>
      </c>
      <c r="T187" s="9">
        <f t="shared" si="77"/>
        <v>8.7601745734871006E-3</v>
      </c>
      <c r="U187" s="9">
        <f t="shared" si="77"/>
        <v>8.1792056087812703E-3</v>
      </c>
      <c r="V187" s="9">
        <f t="shared" si="77"/>
        <v>7.5410821853596488E-3</v>
      </c>
      <c r="W187" s="9">
        <f t="shared" si="77"/>
        <v>6.8541550073757396E-3</v>
      </c>
      <c r="X187" s="9">
        <f t="shared" si="77"/>
        <v>6.1310781382579727E-3</v>
      </c>
      <c r="Y187" s="9">
        <f t="shared" si="77"/>
        <v>5.3786493519103473E-3</v>
      </c>
      <c r="Z187" s="9">
        <f t="shared" si="77"/>
        <v>4.6056960190976604E-3</v>
      </c>
      <c r="AA187" s="9">
        <f t="shared" si="77"/>
        <v>3.8197414184870659E-3</v>
      </c>
      <c r="AB187" s="9">
        <f t="shared" si="77"/>
        <v>3.0204055797604656E-3</v>
      </c>
      <c r="AC187" s="9">
        <f t="shared" si="77"/>
        <v>2.1937377167335903E-3</v>
      </c>
      <c r="AD187" s="9">
        <f t="shared" si="77"/>
        <v>1.3726874621859952E-3</v>
      </c>
      <c r="AE187" s="9">
        <f t="shared" si="77"/>
        <v>5.6331610728288517E-4</v>
      </c>
      <c r="AF187" s="9">
        <f t="shared" si="77"/>
        <v>-2.3066439040808628E-4</v>
      </c>
      <c r="AG187" s="9">
        <f t="shared" si="77"/>
        <v>-1.0069105063786887E-3</v>
      </c>
      <c r="AH187" s="9">
        <f t="shared" si="77"/>
        <v>-1.7808055084476138E-3</v>
      </c>
      <c r="AI187" s="9">
        <f t="shared" si="77"/>
        <v>-2.5347049508633868E-3</v>
      </c>
      <c r="AJ187" s="9">
        <f t="shared" si="77"/>
        <v>-3.2674620372836749E-3</v>
      </c>
      <c r="AK187" s="9">
        <f t="shared" si="77"/>
        <v>-3.9789175009845579E-3</v>
      </c>
      <c r="AL187" s="9">
        <f t="shared" si="77"/>
        <v>-4.6693611699032411E-3</v>
      </c>
      <c r="AM187" s="9">
        <f t="shared" ref="AM187:BC187" si="78">AM177/AM139/(AM167/AM128)-1</f>
        <v>-5.4798936322669745E-3</v>
      </c>
      <c r="AN187" s="9">
        <f t="shared" si="78"/>
        <v>-6.2666933507061762E-3</v>
      </c>
      <c r="AO187" s="9">
        <f t="shared" si="78"/>
        <v>-7.0226303818208269E-3</v>
      </c>
      <c r="AP187" s="9">
        <f t="shared" si="78"/>
        <v>-7.745221882884068E-3</v>
      </c>
      <c r="AQ187" s="9">
        <f t="shared" si="78"/>
        <v>-8.4334904507576969E-3</v>
      </c>
      <c r="AR187" s="9">
        <f t="shared" si="78"/>
        <v>-9.1081307027724989E-3</v>
      </c>
      <c r="AS187" s="9">
        <f t="shared" si="78"/>
        <v>-9.7486317465265149E-3</v>
      </c>
      <c r="AT187" s="9">
        <f t="shared" si="78"/>
        <v>-1.035454070895514E-2</v>
      </c>
      <c r="AU187" s="9">
        <f t="shared" si="78"/>
        <v>-1.0926487154932607E-2</v>
      </c>
      <c r="AV187" s="9">
        <f t="shared" si="78"/>
        <v>-1.1465601603990239E-2</v>
      </c>
      <c r="AW187" s="9">
        <f t="shared" si="78"/>
        <v>-1.2039594993045744E-2</v>
      </c>
      <c r="AX187" s="9">
        <f t="shared" si="78"/>
        <v>-1.2583979293236847E-2</v>
      </c>
      <c r="AY187" s="9">
        <f t="shared" si="78"/>
        <v>-1.3096062256379604E-2</v>
      </c>
      <c r="AZ187" s="9">
        <f t="shared" si="78"/>
        <v>-1.3575573022733489E-2</v>
      </c>
      <c r="BA187" s="9">
        <f t="shared" si="78"/>
        <v>-1.4023054476367425E-2</v>
      </c>
      <c r="BB187" s="9">
        <f t="shared" si="78"/>
        <v>-1.4478582285348485E-2</v>
      </c>
      <c r="BC187" s="9">
        <f t="shared" si="78"/>
        <v>-1.490430441572399E-2</v>
      </c>
      <c r="BD187" s="9">
        <f t="shared" ref="BD187:BF187" si="79">BD177/BD139/(BD167/BD128)-1</f>
        <v>-1.5299019831537364E-2</v>
      </c>
      <c r="BE187" s="9">
        <f t="shared" si="79"/>
        <v>-1.5663039943664248E-2</v>
      </c>
      <c r="BF187" s="9">
        <f t="shared" si="79"/>
        <v>-1.5997251358198517E-2</v>
      </c>
    </row>
    <row r="188" spans="1:58" x14ac:dyDescent="0.35">
      <c r="B188" t="s">
        <v>10</v>
      </c>
      <c r="C188" s="9">
        <f t="shared" ref="C188:AL188" si="80">C178/C140/(C168/C129)-1</f>
        <v>9.836347149714264E-4</v>
      </c>
      <c r="D188" s="9">
        <f t="shared" si="80"/>
        <v>2.0776312886563453E-3</v>
      </c>
      <c r="E188" s="9">
        <f t="shared" si="80"/>
        <v>3.1891422057779284E-3</v>
      </c>
      <c r="F188" s="9">
        <f t="shared" si="80"/>
        <v>4.2625681984149733E-3</v>
      </c>
      <c r="G188" s="9">
        <f t="shared" si="80"/>
        <v>5.2549074073628965E-3</v>
      </c>
      <c r="H188" s="9">
        <f t="shared" si="80"/>
        <v>6.1384390122543042E-3</v>
      </c>
      <c r="I188" s="9">
        <f t="shared" si="80"/>
        <v>6.9112567355218424E-3</v>
      </c>
      <c r="J188" s="9">
        <f t="shared" si="80"/>
        <v>7.5545495832374243E-3</v>
      </c>
      <c r="K188" s="9">
        <f t="shared" si="80"/>
        <v>8.065100832589378E-3</v>
      </c>
      <c r="L188" s="9">
        <f t="shared" si="80"/>
        <v>8.4448640011307585E-3</v>
      </c>
      <c r="M188" s="9">
        <f t="shared" si="80"/>
        <v>8.6943945236659381E-3</v>
      </c>
      <c r="N188" s="9">
        <f t="shared" si="80"/>
        <v>8.8742254516120944E-3</v>
      </c>
      <c r="O188" s="9">
        <f t="shared" si="80"/>
        <v>8.9489728114271472E-3</v>
      </c>
      <c r="P188" s="9">
        <f t="shared" si="80"/>
        <v>8.9195832948554266E-3</v>
      </c>
      <c r="Q188" s="9">
        <f t="shared" si="80"/>
        <v>8.7909340006224745E-3</v>
      </c>
      <c r="R188" s="9">
        <f t="shared" si="80"/>
        <v>8.5698951939676693E-3</v>
      </c>
      <c r="S188" s="9">
        <f t="shared" si="80"/>
        <v>8.3109976008994835E-3</v>
      </c>
      <c r="T188" s="9">
        <f t="shared" si="80"/>
        <v>7.985068943629603E-3</v>
      </c>
      <c r="U188" s="9">
        <f t="shared" si="80"/>
        <v>7.5956425115188964E-3</v>
      </c>
      <c r="V188" s="9">
        <f t="shared" si="80"/>
        <v>7.1497374012385873E-3</v>
      </c>
      <c r="W188" s="9">
        <f t="shared" si="80"/>
        <v>6.6586548717311178E-3</v>
      </c>
      <c r="X188" s="9">
        <f t="shared" si="80"/>
        <v>6.1233755285949876E-3</v>
      </c>
      <c r="Y188" s="9">
        <f t="shared" si="80"/>
        <v>5.5561520944917842E-3</v>
      </c>
      <c r="Z188" s="9">
        <f t="shared" si="80"/>
        <v>4.9656272398026502E-3</v>
      </c>
      <c r="AA188" s="9">
        <f t="shared" si="80"/>
        <v>4.3595768152122627E-3</v>
      </c>
      <c r="AB188" s="9">
        <f t="shared" si="80"/>
        <v>3.7536125304042933E-3</v>
      </c>
      <c r="AC188" s="9">
        <f t="shared" si="80"/>
        <v>3.1220366253663645E-3</v>
      </c>
      <c r="AD188" s="9">
        <f t="shared" si="80"/>
        <v>2.4895453486037944E-3</v>
      </c>
      <c r="AE188" s="9">
        <f t="shared" si="80"/>
        <v>1.863829643534487E-3</v>
      </c>
      <c r="AF188" s="9">
        <f t="shared" si="80"/>
        <v>1.2503960465253261E-3</v>
      </c>
      <c r="AG188" s="9">
        <f t="shared" si="80"/>
        <v>6.5314573060248904E-4</v>
      </c>
      <c r="AH188" s="9">
        <f t="shared" si="80"/>
        <v>6.6446424062505116E-5</v>
      </c>
      <c r="AI188" s="9">
        <f t="shared" si="80"/>
        <v>-5.0116285208923195E-4</v>
      </c>
      <c r="AJ188" s="9">
        <f t="shared" si="80"/>
        <v>-1.0475127864048028E-3</v>
      </c>
      <c r="AK188" s="9">
        <f t="shared" si="80"/>
        <v>-1.5715706568292243E-3</v>
      </c>
      <c r="AL188" s="9">
        <f t="shared" si="80"/>
        <v>-2.072941987139254E-3</v>
      </c>
      <c r="AM188" s="9">
        <f t="shared" ref="AM188:BC188" si="81">AM178/AM140/(AM168/AM129)-1</f>
        <v>-2.61811362966613E-3</v>
      </c>
      <c r="AN188" s="9">
        <f t="shared" si="81"/>
        <v>-3.1533902350949772E-3</v>
      </c>
      <c r="AO188" s="9">
        <f t="shared" si="81"/>
        <v>-3.6694433295682005E-3</v>
      </c>
      <c r="AP188" s="9">
        <f t="shared" si="81"/>
        <v>-4.1614783791072973E-3</v>
      </c>
      <c r="AQ188" s="9">
        <f t="shared" si="81"/>
        <v>-4.6265311285502708E-3</v>
      </c>
      <c r="AR188" s="9">
        <f t="shared" si="81"/>
        <v>-5.0730868952704178E-3</v>
      </c>
      <c r="AS188" s="9">
        <f t="shared" si="81"/>
        <v>-5.492012810890512E-3</v>
      </c>
      <c r="AT188" s="9">
        <f t="shared" si="81"/>
        <v>-5.8816965223490447E-3</v>
      </c>
      <c r="AU188" s="9">
        <f t="shared" si="81"/>
        <v>-6.2417771113610909E-3</v>
      </c>
      <c r="AV188" s="9">
        <f t="shared" si="81"/>
        <v>-6.5726354083487371E-3</v>
      </c>
      <c r="AW188" s="9">
        <f t="shared" si="81"/>
        <v>-6.9079069492855583E-3</v>
      </c>
      <c r="AX188" s="9">
        <f t="shared" si="81"/>
        <v>-7.2224648374888956E-3</v>
      </c>
      <c r="AY188" s="9">
        <f t="shared" si="81"/>
        <v>-7.5129341254767112E-3</v>
      </c>
      <c r="AZ188" s="9">
        <f t="shared" si="81"/>
        <v>-7.7781948770713205E-3</v>
      </c>
      <c r="BA188" s="9">
        <f t="shared" si="81"/>
        <v>-8.0180380142629293E-3</v>
      </c>
      <c r="BB188" s="9">
        <f t="shared" si="81"/>
        <v>-8.2519186861989002E-3</v>
      </c>
      <c r="BC188" s="9">
        <f t="shared" si="81"/>
        <v>-8.4651289695438781E-3</v>
      </c>
      <c r="BD188" s="9">
        <f t="shared" ref="BD188:BF188" si="82">BD178/BD140/(BD168/BD129)-1</f>
        <v>-8.6557537018590036E-3</v>
      </c>
      <c r="BE188" s="9">
        <f t="shared" si="82"/>
        <v>-8.8233414756864192E-3</v>
      </c>
      <c r="BF188" s="9">
        <f t="shared" si="82"/>
        <v>-8.9681190484811601E-3</v>
      </c>
    </row>
    <row r="189" spans="1:58" x14ac:dyDescent="0.35">
      <c r="B189" t="s">
        <v>29</v>
      </c>
      <c r="C189" s="9">
        <f t="shared" ref="C189:AL189" si="83">(C179+C180)/(C141+C142)/((C169+C170)/(C130+C131))-1</f>
        <v>1.6928525407144956E-3</v>
      </c>
      <c r="D189" s="9">
        <f t="shared" si="83"/>
        <v>3.5930300439619423E-3</v>
      </c>
      <c r="E189" s="9">
        <f t="shared" si="83"/>
        <v>5.3752288911363966E-3</v>
      </c>
      <c r="F189" s="9">
        <f t="shared" si="83"/>
        <v>7.0351996430852992E-3</v>
      </c>
      <c r="G189" s="9">
        <f t="shared" si="83"/>
        <v>8.5468126569578917E-3</v>
      </c>
      <c r="H189" s="9">
        <f t="shared" si="83"/>
        <v>9.8923156960464276E-3</v>
      </c>
      <c r="I189" s="9">
        <f t="shared" si="83"/>
        <v>1.109253265965493E-2</v>
      </c>
      <c r="J189" s="9">
        <f t="shared" si="83"/>
        <v>1.2104374325827338E-2</v>
      </c>
      <c r="K189" s="9">
        <f t="shared" si="83"/>
        <v>1.2912384391636111E-2</v>
      </c>
      <c r="L189" s="9">
        <f t="shared" si="83"/>
        <v>1.3509204804813324E-2</v>
      </c>
      <c r="M189" s="9">
        <f t="shared" si="83"/>
        <v>1.3924613700404764E-2</v>
      </c>
      <c r="N189" s="9">
        <f t="shared" si="83"/>
        <v>1.4259097154167177E-2</v>
      </c>
      <c r="O189" s="9">
        <f t="shared" si="83"/>
        <v>1.4434556912537699E-2</v>
      </c>
      <c r="P189" s="9">
        <f t="shared" si="83"/>
        <v>1.4458432524520948E-2</v>
      </c>
      <c r="Q189" s="9">
        <f t="shared" si="83"/>
        <v>1.43484095223394E-2</v>
      </c>
      <c r="R189" s="9">
        <f t="shared" si="83"/>
        <v>1.4124143094790931E-2</v>
      </c>
      <c r="S189" s="9">
        <f t="shared" si="83"/>
        <v>1.3897139803887848E-2</v>
      </c>
      <c r="T189" s="9">
        <f t="shared" si="83"/>
        <v>1.3590035018756774E-2</v>
      </c>
      <c r="U189" s="9">
        <f t="shared" si="83"/>
        <v>1.320661494085118E-2</v>
      </c>
      <c r="V189" s="9">
        <f t="shared" si="83"/>
        <v>1.2755791043431497E-2</v>
      </c>
      <c r="W189" s="9">
        <f t="shared" si="83"/>
        <v>1.2240427957246336E-2</v>
      </c>
      <c r="X189" s="9">
        <f t="shared" si="83"/>
        <v>1.1682985418144831E-2</v>
      </c>
      <c r="Y189" s="9">
        <f t="shared" si="83"/>
        <v>1.1085973726502996E-2</v>
      </c>
      <c r="Z189" s="9">
        <f t="shared" si="83"/>
        <v>1.0458464757843844E-2</v>
      </c>
      <c r="AA189" s="9">
        <f t="shared" si="83"/>
        <v>9.8093081867147713E-3</v>
      </c>
      <c r="AB189" s="9">
        <f t="shared" si="83"/>
        <v>9.1240689640572636E-3</v>
      </c>
      <c r="AC189" s="9">
        <f t="shared" si="83"/>
        <v>8.4133346277479593E-3</v>
      </c>
      <c r="AD189" s="9">
        <f t="shared" si="83"/>
        <v>7.7045229629233436E-3</v>
      </c>
      <c r="AE189" s="9">
        <f t="shared" si="83"/>
        <v>7.0050959060319329E-3</v>
      </c>
      <c r="AF189" s="9">
        <f t="shared" si="83"/>
        <v>6.3198087948259651E-3</v>
      </c>
      <c r="AG189" s="9">
        <f t="shared" si="83"/>
        <v>5.6528542757547928E-3</v>
      </c>
      <c r="AH189" s="9">
        <f t="shared" si="83"/>
        <v>4.9895966181245921E-3</v>
      </c>
      <c r="AI189" s="9">
        <f t="shared" si="83"/>
        <v>4.3487108027919774E-3</v>
      </c>
      <c r="AJ189" s="9">
        <f t="shared" si="83"/>
        <v>3.7332164144010527E-3</v>
      </c>
      <c r="AK189" s="9">
        <f t="shared" si="83"/>
        <v>3.1446374940866662E-3</v>
      </c>
      <c r="AL189" s="9">
        <f t="shared" si="83"/>
        <v>2.5837939452471037E-3</v>
      </c>
      <c r="AM189" s="9">
        <f t="shared" ref="AM189:BC189" si="84">(AM179+AM180)/(AM141+AM142)/((AM169+AM170)/(AM130+AM131))-1</f>
        <v>1.8973452097261756E-3</v>
      </c>
      <c r="AN189" s="9">
        <f t="shared" si="84"/>
        <v>1.2352112336817545E-3</v>
      </c>
      <c r="AO189" s="9">
        <f t="shared" si="84"/>
        <v>6.098103208358463E-4</v>
      </c>
      <c r="AP189" s="9">
        <f t="shared" si="84"/>
        <v>2.3623371032011065E-5</v>
      </c>
      <c r="AQ189" s="9">
        <f t="shared" si="84"/>
        <v>-5.2302176070295747E-4</v>
      </c>
      <c r="AR189" s="9">
        <f t="shared" si="84"/>
        <v>-1.0527389817753807E-3</v>
      </c>
      <c r="AS189" s="9">
        <f t="shared" si="84"/>
        <v>-1.5450377626531342E-3</v>
      </c>
      <c r="AT189" s="9">
        <f t="shared" si="84"/>
        <v>-1.9989240892739346E-3</v>
      </c>
      <c r="AU189" s="9">
        <f t="shared" si="84"/>
        <v>-2.4149962725220631E-3</v>
      </c>
      <c r="AV189" s="9">
        <f t="shared" si="84"/>
        <v>-2.7939740808478053E-3</v>
      </c>
      <c r="AW189" s="9">
        <f t="shared" si="84"/>
        <v>-3.2066549781040177E-3</v>
      </c>
      <c r="AX189" s="9">
        <f t="shared" si="84"/>
        <v>-3.5862880074779557E-3</v>
      </c>
      <c r="AY189" s="9">
        <f t="shared" si="84"/>
        <v>-3.9270286638192209E-3</v>
      </c>
      <c r="AZ189" s="9">
        <f t="shared" si="84"/>
        <v>-4.2279635262545412E-3</v>
      </c>
      <c r="BA189" s="9">
        <f t="shared" si="84"/>
        <v>-4.4895792128204492E-3</v>
      </c>
      <c r="BB189" s="9">
        <f t="shared" si="84"/>
        <v>-4.7550116193941783E-3</v>
      </c>
      <c r="BC189" s="9">
        <f t="shared" si="84"/>
        <v>-4.9857738743347424E-3</v>
      </c>
      <c r="BD189" s="9">
        <f t="shared" ref="BD189:BF189" si="85">(BD179+BD180)/(BD141+BD142)/((BD169+BD170)/(BD130+BD131))-1</f>
        <v>-5.1798696779750131E-3</v>
      </c>
      <c r="BE189" s="9">
        <f t="shared" si="85"/>
        <v>-5.3380946222452152E-3</v>
      </c>
      <c r="BF189" s="9">
        <f t="shared" si="85"/>
        <v>-5.4619223593691535E-3</v>
      </c>
    </row>
    <row r="190" spans="1:58" x14ac:dyDescent="0.35">
      <c r="B190" t="s">
        <v>33</v>
      </c>
      <c r="C190" s="9">
        <f t="shared" ref="C190:AL190" si="86">C181/C143/(C171/C132)-1</f>
        <v>7.4384198346177932E-4</v>
      </c>
      <c r="D190" s="9">
        <f t="shared" si="86"/>
        <v>2.6151099902333996E-3</v>
      </c>
      <c r="E190" s="9">
        <f t="shared" si="86"/>
        <v>4.3528994054813364E-3</v>
      </c>
      <c r="F190" s="9">
        <f t="shared" si="86"/>
        <v>5.9188364758129275E-3</v>
      </c>
      <c r="G190" s="9">
        <f t="shared" si="86"/>
        <v>7.3024068661518005E-3</v>
      </c>
      <c r="H190" s="9">
        <f t="shared" si="86"/>
        <v>8.5052896230795039E-3</v>
      </c>
      <c r="I190" s="9">
        <f t="shared" si="86"/>
        <v>9.5553849445531025E-3</v>
      </c>
      <c r="J190" s="9">
        <f t="shared" si="86"/>
        <v>1.0459349801145379E-2</v>
      </c>
      <c r="K190" s="9">
        <f t="shared" si="86"/>
        <v>1.1203746416924787E-2</v>
      </c>
      <c r="L190" s="9">
        <f t="shared" si="86"/>
        <v>1.1779179109322246E-2</v>
      </c>
      <c r="M190" s="9">
        <f t="shared" si="86"/>
        <v>1.2172061215016461E-2</v>
      </c>
      <c r="N190" s="9">
        <f t="shared" si="86"/>
        <v>1.2478763599342857E-2</v>
      </c>
      <c r="O190" s="9">
        <f t="shared" si="86"/>
        <v>1.26814242339226E-2</v>
      </c>
      <c r="P190" s="9">
        <f t="shared" si="86"/>
        <v>1.2803370747216158E-2</v>
      </c>
      <c r="Q190" s="9">
        <f t="shared" si="86"/>
        <v>1.2882101909714727E-2</v>
      </c>
      <c r="R190" s="9">
        <f t="shared" si="86"/>
        <v>1.2953848605510743E-2</v>
      </c>
      <c r="S190" s="9">
        <f t="shared" si="86"/>
        <v>1.3111656993721077E-2</v>
      </c>
      <c r="T190" s="9">
        <f t="shared" si="86"/>
        <v>1.3328492500741529E-2</v>
      </c>
      <c r="U190" s="9">
        <f t="shared" si="86"/>
        <v>1.3601535587292712E-2</v>
      </c>
      <c r="V190" s="9">
        <f t="shared" si="86"/>
        <v>1.3932018589926765E-2</v>
      </c>
      <c r="W190" s="9">
        <f t="shared" si="86"/>
        <v>1.4319689494142862E-2</v>
      </c>
      <c r="X190" s="9">
        <f t="shared" si="86"/>
        <v>1.4771400187510109E-2</v>
      </c>
      <c r="Y190" s="9">
        <f t="shared" si="86"/>
        <v>1.5287962459454407E-2</v>
      </c>
      <c r="Z190" s="9">
        <f t="shared" si="86"/>
        <v>1.5873810000843758E-2</v>
      </c>
      <c r="AA190" s="9">
        <f t="shared" si="86"/>
        <v>1.6533705071528404E-2</v>
      </c>
      <c r="AB190" s="9">
        <f t="shared" si="86"/>
        <v>1.7260711910498161E-2</v>
      </c>
      <c r="AC190" s="9">
        <f t="shared" si="86"/>
        <v>1.8048199379672392E-2</v>
      </c>
      <c r="AD190" s="9">
        <f t="shared" si="86"/>
        <v>1.8906929626381519E-2</v>
      </c>
      <c r="AE190" s="9">
        <f t="shared" si="86"/>
        <v>1.9841890778063309E-2</v>
      </c>
      <c r="AF190" s="9">
        <f t="shared" si="86"/>
        <v>2.0855082378647971E-2</v>
      </c>
      <c r="AG190" s="9">
        <f t="shared" si="86"/>
        <v>2.1946971821082961E-2</v>
      </c>
      <c r="AH190" s="9">
        <f t="shared" si="86"/>
        <v>2.310498468343547E-2</v>
      </c>
      <c r="AI190" s="9">
        <f t="shared" si="86"/>
        <v>2.4335879226118351E-2</v>
      </c>
      <c r="AJ190" s="9">
        <f t="shared" si="86"/>
        <v>2.5640853195029401E-2</v>
      </c>
      <c r="AK190" s="9">
        <f t="shared" si="86"/>
        <v>2.7019011109325808E-2</v>
      </c>
      <c r="AL190" s="9">
        <f t="shared" si="86"/>
        <v>2.846808994176464E-2</v>
      </c>
      <c r="AM190" s="9">
        <f t="shared" ref="AM190:BC190" si="87">AM181/AM143/(AM171/AM132)-1</f>
        <v>2.9882240293873874E-2</v>
      </c>
      <c r="AN190" s="9">
        <f t="shared" si="87"/>
        <v>3.1324028851229313E-2</v>
      </c>
      <c r="AO190" s="9">
        <f t="shared" si="87"/>
        <v>3.2811457007942524E-2</v>
      </c>
      <c r="AP190" s="9">
        <f t="shared" si="87"/>
        <v>3.4350429550546124E-2</v>
      </c>
      <c r="AQ190" s="9">
        <f t="shared" si="87"/>
        <v>3.5941481759211857E-2</v>
      </c>
      <c r="AR190" s="9">
        <f t="shared" si="87"/>
        <v>3.7567917210016288E-2</v>
      </c>
      <c r="AS190" s="9">
        <f t="shared" si="87"/>
        <v>3.9235528300130662E-2</v>
      </c>
      <c r="AT190" s="9">
        <f t="shared" si="87"/>
        <v>4.0943991595365103E-2</v>
      </c>
      <c r="AU190" s="9">
        <f t="shared" si="87"/>
        <v>4.2691146620751574E-2</v>
      </c>
      <c r="AV190" s="9">
        <f t="shared" si="87"/>
        <v>4.4475378104124719E-2</v>
      </c>
      <c r="AW190" s="9">
        <f t="shared" si="87"/>
        <v>4.6251787215335183E-2</v>
      </c>
      <c r="AX190" s="9">
        <f t="shared" si="87"/>
        <v>4.8049241015890143E-2</v>
      </c>
      <c r="AY190" s="9">
        <f t="shared" si="87"/>
        <v>4.9879497639833126E-2</v>
      </c>
      <c r="AZ190" s="9">
        <f t="shared" si="87"/>
        <v>5.1747753586962375E-2</v>
      </c>
      <c r="BA190" s="9">
        <f t="shared" si="87"/>
        <v>5.3655271443771246E-2</v>
      </c>
      <c r="BB190" s="9">
        <f t="shared" si="87"/>
        <v>5.55741689420024E-2</v>
      </c>
      <c r="BC190" s="9">
        <f t="shared" si="87"/>
        <v>5.7517514957535099E-2</v>
      </c>
      <c r="BD190" s="9">
        <f t="shared" ref="BD190:BF190" si="88">BD181/BD143/(BD171/BD132)-1</f>
        <v>5.9488411325108848E-2</v>
      </c>
      <c r="BE190" s="9">
        <f t="shared" si="88"/>
        <v>6.1486807052291148E-2</v>
      </c>
      <c r="BF190" s="9">
        <f t="shared" si="88"/>
        <v>6.3511094769056253E-2</v>
      </c>
    </row>
    <row r="192" spans="1:58" x14ac:dyDescent="0.35">
      <c r="A192" s="12" t="s">
        <v>86</v>
      </c>
      <c r="B192" t="s">
        <v>27</v>
      </c>
      <c r="C192" s="5">
        <f>[1]Results!F1434</f>
        <v>27354.733520000002</v>
      </c>
      <c r="D192" s="5">
        <f>[1]Results!G1434</f>
        <v>27147.44313</v>
      </c>
      <c r="E192" s="5">
        <f>[1]Results!H1434</f>
        <v>26980.34518</v>
      </c>
      <c r="F192" s="5">
        <f>[1]Results!I1434</f>
        <v>26875.222119999999</v>
      </c>
      <c r="G192" s="5">
        <f>[1]Results!J1434</f>
        <v>26829.34966</v>
      </c>
      <c r="H192" s="5">
        <f>[1]Results!K1434</f>
        <v>26833.81439</v>
      </c>
      <c r="I192" s="5">
        <f>[1]Results!L1434</f>
        <v>26867.899649999999</v>
      </c>
      <c r="J192" s="5">
        <f>[1]Results!M1434</f>
        <v>26924.19269</v>
      </c>
      <c r="K192" s="5">
        <f>[1]Results!N1434</f>
        <v>26996.847979999999</v>
      </c>
      <c r="L192" s="5">
        <f>[1]Results!O1434</f>
        <v>27081.073339999999</v>
      </c>
      <c r="M192" s="5">
        <f>[1]Results!P1434</f>
        <v>27190.28181</v>
      </c>
      <c r="N192" s="5">
        <f>[1]Results!Q1434</f>
        <v>27299.998009999999</v>
      </c>
      <c r="O192" s="5">
        <f>[1]Results!R1434</f>
        <v>27407.49972</v>
      </c>
      <c r="P192" s="5">
        <f>[1]Results!S1434</f>
        <v>27511.721839999998</v>
      </c>
      <c r="Q192" s="5">
        <f>[1]Results!T1434</f>
        <v>27612.23371</v>
      </c>
      <c r="R192" s="5">
        <f>[1]Results!U1434</f>
        <v>27708.965390000001</v>
      </c>
      <c r="S192" s="5">
        <f>[1]Results!V1434</f>
        <v>27801.307349999999</v>
      </c>
      <c r="T192" s="5">
        <f>[1]Results!W1434</f>
        <v>27889.76845</v>
      </c>
      <c r="U192" s="5">
        <f>[1]Results!X1434</f>
        <v>27974.96414</v>
      </c>
      <c r="V192" s="5">
        <f>[1]Results!Y1434</f>
        <v>28057.501319999999</v>
      </c>
      <c r="W192" s="5">
        <f>[1]Results!Z1434</f>
        <v>28126.529920000001</v>
      </c>
      <c r="X192" s="5">
        <f>[1]Results!AA1434</f>
        <v>28196.077379999999</v>
      </c>
      <c r="Y192" s="5">
        <f>[1]Results!AB1434</f>
        <v>28266.918689999999</v>
      </c>
      <c r="Z192" s="5">
        <f>[1]Results!AC1434</f>
        <v>28339.099330000001</v>
      </c>
      <c r="AA192" s="5">
        <f>[1]Results!AD1434</f>
        <v>28412.509979999999</v>
      </c>
      <c r="AB192" s="5">
        <f>[1]Results!AE1434</f>
        <v>28456.042990000002</v>
      </c>
      <c r="AC192" s="5">
        <f>[1]Results!AF1434</f>
        <v>28492.010310000001</v>
      </c>
      <c r="AD192" s="5">
        <f>[1]Results!AG1434</f>
        <v>28523.86507</v>
      </c>
      <c r="AE192" s="5">
        <f>[1]Results!AH1434</f>
        <v>28553.72208</v>
      </c>
      <c r="AF192" s="5">
        <f>[1]Results!AI1434</f>
        <v>28583.059410000002</v>
      </c>
      <c r="AG192" s="5">
        <f>[1]Results!AJ1434</f>
        <v>28612.90884</v>
      </c>
      <c r="AH192" s="5">
        <f>[1]Results!AK1434</f>
        <v>28644.076710000001</v>
      </c>
      <c r="AI192" s="5">
        <f>[1]Results!AL1434</f>
        <v>28676.914700000001</v>
      </c>
      <c r="AJ192" s="5">
        <f>[1]Results!AM1434</f>
        <v>28711.54232</v>
      </c>
      <c r="AK192" s="5">
        <f>[1]Results!AN1434</f>
        <v>28747.923579999999</v>
      </c>
      <c r="AL192" s="5">
        <f>[1]Results!AO1434</f>
        <v>28785.924950000001</v>
      </c>
      <c r="AM192" s="5">
        <f>[1]Results!AP1434</f>
        <v>28819.916000000001</v>
      </c>
      <c r="AN192" s="5">
        <f>[1]Results!AQ1434</f>
        <v>28850.696390000001</v>
      </c>
      <c r="AO192" s="5">
        <f>[1]Results!AR1434</f>
        <v>28879.201120000002</v>
      </c>
      <c r="AP192" s="5">
        <f>[1]Results!AS1434</f>
        <v>28906.235290000001</v>
      </c>
      <c r="AQ192" s="5">
        <f>[1]Results!AT1434</f>
        <v>28932.433789999999</v>
      </c>
      <c r="AR192" s="5">
        <f>[1]Results!AU1434</f>
        <v>28958.43046</v>
      </c>
      <c r="AS192" s="5">
        <f>[1]Results!AV1434</f>
        <v>28984.525900000001</v>
      </c>
      <c r="AT192" s="5">
        <f>[1]Results!AW1434</f>
        <v>29010.88435</v>
      </c>
      <c r="AU192" s="5">
        <f>[1]Results!AX1434</f>
        <v>29037.573919999999</v>
      </c>
      <c r="AV192" s="5">
        <f>[1]Results!AY1434</f>
        <v>29064.594150000001</v>
      </c>
      <c r="AW192" s="5">
        <f>[1]Results!AZ1434</f>
        <v>29092.928240000001</v>
      </c>
      <c r="AX192" s="5">
        <f>[1]Results!BA1434</f>
        <v>29122.333579999999</v>
      </c>
      <c r="AY192" s="5">
        <f>[1]Results!BB1434</f>
        <v>29152.49857</v>
      </c>
      <c r="AZ192" s="5">
        <f>[1]Results!BC1434</f>
        <v>29183.139299999999</v>
      </c>
      <c r="BA192" s="5">
        <f>[1]Results!BD1434</f>
        <v>29214.02188</v>
      </c>
      <c r="BB192" s="5">
        <f>[1]Results!BE1434</f>
        <v>29245.256829999998</v>
      </c>
      <c r="BC192" s="5">
        <f>[1]Results!BF1434</f>
        <v>29276.674879999999</v>
      </c>
      <c r="BD192" s="5">
        <f>[1]Results!BG1434</f>
        <v>29308.12269</v>
      </c>
      <c r="BE192" s="5">
        <f>[1]Results!BH1434</f>
        <v>29339.488560000002</v>
      </c>
      <c r="BF192" s="5">
        <f>[1]Results!BI1434</f>
        <v>29370.70147</v>
      </c>
    </row>
    <row r="193" spans="1:58" x14ac:dyDescent="0.35">
      <c r="A193" t="s">
        <v>39</v>
      </c>
      <c r="B193" t="s">
        <v>7</v>
      </c>
      <c r="C193" s="5">
        <f>[1]Results!F1435</f>
        <v>759.82560709999996</v>
      </c>
      <c r="D193" s="5">
        <f>[1]Results!G1435</f>
        <v>748.66465500000004</v>
      </c>
      <c r="E193" s="5">
        <f>[1]Results!H1435</f>
        <v>738.91135010000005</v>
      </c>
      <c r="F193" s="5">
        <f>[1]Results!I1435</f>
        <v>731.59887990000004</v>
      </c>
      <c r="G193" s="5">
        <f>[1]Results!J1435</f>
        <v>726.79436940000005</v>
      </c>
      <c r="H193" s="5">
        <f>[1]Results!K1435</f>
        <v>724.23163969999996</v>
      </c>
      <c r="I193" s="5">
        <f>[1]Results!L1435</f>
        <v>723.25627440000005</v>
      </c>
      <c r="J193" s="5">
        <f>[1]Results!M1435</f>
        <v>723.47979769999995</v>
      </c>
      <c r="K193" s="5">
        <f>[1]Results!N1435</f>
        <v>724.57901300000003</v>
      </c>
      <c r="L193" s="5">
        <f>[1]Results!O1435</f>
        <v>726.28857779999998</v>
      </c>
      <c r="M193" s="5">
        <f>[1]Results!P1435</f>
        <v>728.81586170000003</v>
      </c>
      <c r="N193" s="5">
        <f>[1]Results!Q1435</f>
        <v>731.51592059999996</v>
      </c>
      <c r="O193" s="5">
        <f>[1]Results!R1435</f>
        <v>734.22329490000004</v>
      </c>
      <c r="P193" s="5">
        <f>[1]Results!S1435</f>
        <v>736.85078329999999</v>
      </c>
      <c r="Q193" s="5">
        <f>[1]Results!T1435</f>
        <v>739.35159780000004</v>
      </c>
      <c r="R193" s="5">
        <f>[1]Results!U1435</f>
        <v>741.70489320000001</v>
      </c>
      <c r="S193" s="5">
        <f>[1]Results!V1435</f>
        <v>743.87378799999999</v>
      </c>
      <c r="T193" s="5">
        <f>[1]Results!W1435</f>
        <v>745.87534010000002</v>
      </c>
      <c r="U193" s="5">
        <f>[1]Results!X1435</f>
        <v>747.7314963</v>
      </c>
      <c r="V193" s="5">
        <f>[1]Results!Y1435</f>
        <v>749.46474269999999</v>
      </c>
      <c r="W193" s="5">
        <f>[1]Results!Z1435</f>
        <v>750.82194600000003</v>
      </c>
      <c r="X193" s="5">
        <f>[1]Results!AA1435</f>
        <v>752.11369009999999</v>
      </c>
      <c r="Y193" s="5">
        <f>[1]Results!AB1435</f>
        <v>753.39275139999995</v>
      </c>
      <c r="Z193" s="5">
        <f>[1]Results!AC1435</f>
        <v>754.67952760000003</v>
      </c>
      <c r="AA193" s="5">
        <f>[1]Results!AD1435</f>
        <v>755.9820886</v>
      </c>
      <c r="AB193" s="5">
        <f>[1]Results!AE1435</f>
        <v>756.56162229999995</v>
      </c>
      <c r="AC193" s="5">
        <f>[1]Results!AF1435</f>
        <v>756.86577910000005</v>
      </c>
      <c r="AD193" s="5">
        <f>[1]Results!AG1435</f>
        <v>757.00776529999996</v>
      </c>
      <c r="AE193" s="5">
        <f>[1]Results!AH1435</f>
        <v>757.06564949999995</v>
      </c>
      <c r="AF193" s="5">
        <f>[1]Results!AI1435</f>
        <v>757.09814259999996</v>
      </c>
      <c r="AG193" s="5">
        <f>[1]Results!AJ1435</f>
        <v>757.14806090000002</v>
      </c>
      <c r="AH193" s="5">
        <f>[1]Results!AK1435</f>
        <v>757.25016500000004</v>
      </c>
      <c r="AI193" s="5">
        <f>[1]Results!AL1435</f>
        <v>757.41990559999999</v>
      </c>
      <c r="AJ193" s="5">
        <f>[1]Results!AM1435</f>
        <v>757.66371430000004</v>
      </c>
      <c r="AK193" s="5">
        <f>[1]Results!AN1435</f>
        <v>757.98180149999996</v>
      </c>
      <c r="AL193" s="5">
        <f>[1]Results!AO1435</f>
        <v>758.37038930000006</v>
      </c>
      <c r="AM193" s="5">
        <f>[1]Results!AP1435</f>
        <v>758.7171462</v>
      </c>
      <c r="AN193" s="5">
        <f>[1]Results!AQ1435</f>
        <v>759.01080909999996</v>
      </c>
      <c r="AO193" s="5">
        <f>[1]Results!AR1435</f>
        <v>759.26188709999997</v>
      </c>
      <c r="AP193" s="5">
        <f>[1]Results!AS1435</f>
        <v>759.48750580000001</v>
      </c>
      <c r="AQ193" s="5">
        <f>[1]Results!AT1435</f>
        <v>759.70513359999995</v>
      </c>
      <c r="AR193" s="5">
        <f>[1]Results!AU1435</f>
        <v>759.9369921</v>
      </c>
      <c r="AS193" s="5">
        <f>[1]Results!AV1435</f>
        <v>760.19258339999999</v>
      </c>
      <c r="AT193" s="5">
        <f>[1]Results!AW1435</f>
        <v>760.47756930000003</v>
      </c>
      <c r="AU193" s="5">
        <f>[1]Results!AX1435</f>
        <v>760.79442930000005</v>
      </c>
      <c r="AV193" s="5">
        <f>[1]Results!AY1435</f>
        <v>761.14310680000006</v>
      </c>
      <c r="AW193" s="5">
        <f>[1]Results!AZ1435</f>
        <v>761.55693489999999</v>
      </c>
      <c r="AX193" s="5">
        <f>[1]Results!BA1435</f>
        <v>762.02681429999996</v>
      </c>
      <c r="AY193" s="5">
        <f>[1]Results!BB1435</f>
        <v>762.54152680000004</v>
      </c>
      <c r="AZ193" s="5">
        <f>[1]Results!BC1435</f>
        <v>763.09055839999996</v>
      </c>
      <c r="BA193" s="5">
        <f>[1]Results!BD1435</f>
        <v>763.66481699999997</v>
      </c>
      <c r="BB193" s="5">
        <f>[1]Results!BE1435</f>
        <v>764.27017620000004</v>
      </c>
      <c r="BC193" s="5">
        <f>[1]Results!BF1435</f>
        <v>764.89779550000003</v>
      </c>
      <c r="BD193" s="5">
        <f>[1]Results!BG1435</f>
        <v>765.5403556</v>
      </c>
      <c r="BE193" s="5">
        <f>[1]Results!BH1435</f>
        <v>766.19244270000002</v>
      </c>
      <c r="BF193" s="5">
        <f>[1]Results!BI1435</f>
        <v>766.85027360000004</v>
      </c>
    </row>
    <row r="194" spans="1:58" x14ac:dyDescent="0.35">
      <c r="B194" t="s">
        <v>8</v>
      </c>
      <c r="C194" s="5">
        <f>[1]Results!F1438</f>
        <v>4363.0357560000002</v>
      </c>
      <c r="D194" s="5">
        <f>[1]Results!G1438</f>
        <v>4309.9971429999996</v>
      </c>
      <c r="E194" s="5">
        <f>[1]Results!H1438</f>
        <v>4271.280272</v>
      </c>
      <c r="F194" s="5">
        <f>[1]Results!I1438</f>
        <v>4247.30854</v>
      </c>
      <c r="G194" s="5">
        <f>[1]Results!J1438</f>
        <v>4235.7084850000001</v>
      </c>
      <c r="H194" s="5">
        <f>[1]Results!K1438</f>
        <v>4233.7889729999997</v>
      </c>
      <c r="I194" s="5">
        <f>[1]Results!L1438</f>
        <v>4237.6847070000003</v>
      </c>
      <c r="J194" s="5">
        <f>[1]Results!M1438</f>
        <v>4245.5550899999998</v>
      </c>
      <c r="K194" s="5">
        <f>[1]Results!N1438</f>
        <v>4256.11942</v>
      </c>
      <c r="L194" s="5">
        <f>[1]Results!O1438</f>
        <v>4268.4654270000001</v>
      </c>
      <c r="M194" s="5">
        <f>[1]Results!P1438</f>
        <v>4284.255314</v>
      </c>
      <c r="N194" s="5">
        <f>[1]Results!Q1438</f>
        <v>4300.2895390000003</v>
      </c>
      <c r="O194" s="5">
        <f>[1]Results!R1438</f>
        <v>4316.0722079999996</v>
      </c>
      <c r="P194" s="5">
        <f>[1]Results!S1438</f>
        <v>4331.4106179999999</v>
      </c>
      <c r="Q194" s="5">
        <f>[1]Results!T1438</f>
        <v>4346.2429089999996</v>
      </c>
      <c r="R194" s="5">
        <f>[1]Results!U1438</f>
        <v>4360.577808</v>
      </c>
      <c r="S194" s="5">
        <f>[1]Results!V1438</f>
        <v>4374.2737379999999</v>
      </c>
      <c r="T194" s="5">
        <f>[1]Results!W1438</f>
        <v>4387.4689500000004</v>
      </c>
      <c r="U194" s="5">
        <f>[1]Results!X1438</f>
        <v>4400.306259</v>
      </c>
      <c r="V194" s="5">
        <f>[1]Results!Y1438</f>
        <v>4412.9183540000004</v>
      </c>
      <c r="W194" s="5">
        <f>[1]Results!Z1438</f>
        <v>4423.9052830000001</v>
      </c>
      <c r="X194" s="5">
        <f>[1]Results!AA1438</f>
        <v>4435.0146109999996</v>
      </c>
      <c r="Y194" s="5">
        <f>[1]Results!AB1438</f>
        <v>4446.4770490000001</v>
      </c>
      <c r="Z194" s="5">
        <f>[1]Results!AC1438</f>
        <v>4458.3709449999997</v>
      </c>
      <c r="AA194" s="5">
        <f>[1]Results!AD1438</f>
        <v>4470.7181810000002</v>
      </c>
      <c r="AB194" s="5">
        <f>[1]Results!AE1438</f>
        <v>4479.4107610000001</v>
      </c>
      <c r="AC194" s="5">
        <f>[1]Results!AF1438</f>
        <v>4487.0033480000002</v>
      </c>
      <c r="AD194" s="5">
        <f>[1]Results!AG1438</f>
        <v>4494.0016820000001</v>
      </c>
      <c r="AE194" s="5">
        <f>[1]Results!AH1438</f>
        <v>4500.7285849999998</v>
      </c>
      <c r="AF194" s="5">
        <f>[1]Results!AI1438</f>
        <v>4507.4073179999996</v>
      </c>
      <c r="AG194" s="5">
        <f>[1]Results!AJ1438</f>
        <v>4514.1890050000002</v>
      </c>
      <c r="AH194" s="5">
        <f>[1]Results!AK1438</f>
        <v>4521.2016460000004</v>
      </c>
      <c r="AI194" s="5">
        <f>[1]Results!AL1438</f>
        <v>4528.4824410000001</v>
      </c>
      <c r="AJ194" s="5">
        <f>[1]Results!AM1438</f>
        <v>4536.0336719999996</v>
      </c>
      <c r="AK194" s="5">
        <f>[1]Results!AN1438</f>
        <v>4543.8334279999999</v>
      </c>
      <c r="AL194" s="5">
        <f>[1]Results!AO1438</f>
        <v>4551.8439440000002</v>
      </c>
      <c r="AM194" s="5">
        <f>[1]Results!AP1438</f>
        <v>4559.4364919999998</v>
      </c>
      <c r="AN194" s="5">
        <f>[1]Results!AQ1438</f>
        <v>4566.5418019999997</v>
      </c>
      <c r="AO194" s="5">
        <f>[1]Results!AR1438</f>
        <v>4573.1870779999999</v>
      </c>
      <c r="AP194" s="5">
        <f>[1]Results!AS1438</f>
        <v>4579.4284340000004</v>
      </c>
      <c r="AQ194" s="5">
        <f>[1]Results!AT1438</f>
        <v>4585.3242989999999</v>
      </c>
      <c r="AR194" s="5">
        <f>[1]Results!AU1438</f>
        <v>4590.9665670000004</v>
      </c>
      <c r="AS194" s="5">
        <f>[1]Results!AV1438</f>
        <v>4596.3817630000003</v>
      </c>
      <c r="AT194" s="5">
        <f>[1]Results!AW1438</f>
        <v>4601.5845769999996</v>
      </c>
      <c r="AU194" s="5">
        <f>[1]Results!AX1438</f>
        <v>4606.5809509999999</v>
      </c>
      <c r="AV194" s="5">
        <f>[1]Results!AY1438</f>
        <v>4611.3703219999998</v>
      </c>
      <c r="AW194" s="5">
        <f>[1]Results!AZ1438</f>
        <v>4616.1492150000004</v>
      </c>
      <c r="AX194" s="5">
        <f>[1]Results!BA1438</f>
        <v>4620.8722710000002</v>
      </c>
      <c r="AY194" s="5">
        <f>[1]Results!BB1438</f>
        <v>4625.4887689999996</v>
      </c>
      <c r="AZ194" s="5">
        <f>[1]Results!BC1438</f>
        <v>4629.9560119999996</v>
      </c>
      <c r="BA194" s="5">
        <f>[1]Results!BD1438</f>
        <v>4634.2420689999999</v>
      </c>
      <c r="BB194" s="5">
        <f>[1]Results!BE1438</f>
        <v>4638.402685</v>
      </c>
      <c r="BC194" s="5">
        <f>[1]Results!BF1438</f>
        <v>4642.4071299999996</v>
      </c>
      <c r="BD194" s="5">
        <f>[1]Results!BG1438</f>
        <v>4646.2336379999997</v>
      </c>
      <c r="BE194" s="5">
        <f>[1]Results!BH1438</f>
        <v>4649.8712420000002</v>
      </c>
      <c r="BF194" s="5">
        <f>[1]Results!BI1438</f>
        <v>4653.3182040000002</v>
      </c>
    </row>
    <row r="195" spans="1:58" x14ac:dyDescent="0.35">
      <c r="B195" t="s">
        <v>28</v>
      </c>
      <c r="C195" s="5">
        <f>[1]Results!F1450</f>
        <v>867.53051070000004</v>
      </c>
      <c r="D195" s="5">
        <f>[1]Results!G1450</f>
        <v>857.15660349999996</v>
      </c>
      <c r="E195" s="5">
        <f>[1]Results!H1450</f>
        <v>849.23356120000005</v>
      </c>
      <c r="F195" s="5">
        <f>[1]Results!I1450</f>
        <v>843.96580940000001</v>
      </c>
      <c r="G195" s="5">
        <f>[1]Results!J1450</f>
        <v>840.93567670000004</v>
      </c>
      <c r="H195" s="5">
        <f>[1]Results!K1450</f>
        <v>839.67095800000004</v>
      </c>
      <c r="I195" s="5">
        <f>[1]Results!L1450</f>
        <v>839.44314210000005</v>
      </c>
      <c r="J195" s="5">
        <f>[1]Results!M1450</f>
        <v>839.95176030000005</v>
      </c>
      <c r="K195" s="5">
        <f>[1]Results!N1450</f>
        <v>840.97381700000005</v>
      </c>
      <c r="L195" s="5">
        <f>[1]Results!O1450</f>
        <v>842.33296199999995</v>
      </c>
      <c r="M195" s="5">
        <f>[1]Results!P1450</f>
        <v>844.3768278</v>
      </c>
      <c r="N195" s="5">
        <f>[1]Results!Q1450</f>
        <v>846.38181789999999</v>
      </c>
      <c r="O195" s="5">
        <f>[1]Results!R1450</f>
        <v>848.25689590000002</v>
      </c>
      <c r="P195" s="5">
        <f>[1]Results!S1450</f>
        <v>849.97163929999999</v>
      </c>
      <c r="Q195" s="5">
        <f>[1]Results!T1450</f>
        <v>851.51666729999999</v>
      </c>
      <c r="R195" s="5">
        <f>[1]Results!U1450</f>
        <v>852.89438800000005</v>
      </c>
      <c r="S195" s="5">
        <f>[1]Results!V1450</f>
        <v>854.07945229999996</v>
      </c>
      <c r="T195" s="5">
        <f>[1]Results!W1450</f>
        <v>855.10035289999996</v>
      </c>
      <c r="U195" s="5">
        <f>[1]Results!X1450</f>
        <v>855.98633280000001</v>
      </c>
      <c r="V195" s="5">
        <f>[1]Results!Y1450</f>
        <v>856.76440439999999</v>
      </c>
      <c r="W195" s="5">
        <f>[1]Results!Z1450</f>
        <v>857.14045020000003</v>
      </c>
      <c r="X195" s="5">
        <f>[1]Results!AA1450</f>
        <v>857.51360539999996</v>
      </c>
      <c r="Y195" s="5">
        <f>[1]Results!AB1450</f>
        <v>857.91764000000001</v>
      </c>
      <c r="Z195" s="5">
        <f>[1]Results!AC1450</f>
        <v>858.35805070000004</v>
      </c>
      <c r="AA195" s="5">
        <f>[1]Results!AD1450</f>
        <v>858.83499659999995</v>
      </c>
      <c r="AB195" s="5">
        <f>[1]Results!AE1450</f>
        <v>858.48856000000001</v>
      </c>
      <c r="AC195" s="5">
        <f>[1]Results!AF1450</f>
        <v>857.94585400000005</v>
      </c>
      <c r="AD195" s="5">
        <f>[1]Results!AG1450</f>
        <v>857.31779240000003</v>
      </c>
      <c r="AE195" s="5">
        <f>[1]Results!AH1450</f>
        <v>856.66668930000003</v>
      </c>
      <c r="AF195" s="5">
        <f>[1]Results!AI1450</f>
        <v>856.03496419999999</v>
      </c>
      <c r="AG195" s="5">
        <f>[1]Results!AJ1450</f>
        <v>855.45191560000001</v>
      </c>
      <c r="AH195" s="5">
        <f>[1]Results!AK1450</f>
        <v>854.94262849999996</v>
      </c>
      <c r="AI195" s="5">
        <f>[1]Results!AL1450</f>
        <v>854.51497619999998</v>
      </c>
      <c r="AJ195" s="5">
        <f>[1]Results!AM1450</f>
        <v>854.17039590000002</v>
      </c>
      <c r="AK195" s="5">
        <f>[1]Results!AN1450</f>
        <v>853.90601819999995</v>
      </c>
      <c r="AL195" s="5">
        <f>[1]Results!AO1450</f>
        <v>853.71625489999997</v>
      </c>
      <c r="AM195" s="5">
        <f>[1]Results!AP1450</f>
        <v>853.46649060000004</v>
      </c>
      <c r="AN195" s="5">
        <f>[1]Results!AQ1450</f>
        <v>853.16510419999997</v>
      </c>
      <c r="AO195" s="5">
        <f>[1]Results!AR1450</f>
        <v>852.83201340000005</v>
      </c>
      <c r="AP195" s="5">
        <f>[1]Results!AS1450</f>
        <v>852.48621449999996</v>
      </c>
      <c r="AQ195" s="5">
        <f>[1]Results!AT1450</f>
        <v>852.14317240000003</v>
      </c>
      <c r="AR195" s="5">
        <f>[1]Results!AU1450</f>
        <v>851.82219929999997</v>
      </c>
      <c r="AS195" s="5">
        <f>[1]Results!AV1450</f>
        <v>851.52864279999994</v>
      </c>
      <c r="AT195" s="5">
        <f>[1]Results!AW1450</f>
        <v>851.26481450000006</v>
      </c>
      <c r="AU195" s="5">
        <f>[1]Results!AX1450</f>
        <v>851.03089450000004</v>
      </c>
      <c r="AV195" s="5">
        <f>[1]Results!AY1450</f>
        <v>850.82548259999999</v>
      </c>
      <c r="AW195" s="5">
        <f>[1]Results!AZ1450</f>
        <v>850.68501379999998</v>
      </c>
      <c r="AX195" s="5">
        <f>[1]Results!BA1450</f>
        <v>850.59635730000002</v>
      </c>
      <c r="AY195" s="5">
        <f>[1]Results!BB1450</f>
        <v>850.54629379999994</v>
      </c>
      <c r="AZ195" s="5">
        <f>[1]Results!BC1450</f>
        <v>850.52406810000002</v>
      </c>
      <c r="BA195" s="5">
        <f>[1]Results!BD1450</f>
        <v>850.52141080000001</v>
      </c>
      <c r="BB195" s="5">
        <f>[1]Results!BE1450</f>
        <v>850.54649240000003</v>
      </c>
      <c r="BC195" s="5">
        <f>[1]Results!BF1450</f>
        <v>850.59068769999999</v>
      </c>
      <c r="BD195" s="5">
        <f>[1]Results!BG1450</f>
        <v>850.64720829999999</v>
      </c>
      <c r="BE195" s="5">
        <f>[1]Results!BH1450</f>
        <v>850.71146420000002</v>
      </c>
      <c r="BF195" s="5">
        <f>[1]Results!BI1450</f>
        <v>850.78062910000006</v>
      </c>
    </row>
    <row r="196" spans="1:58" x14ac:dyDescent="0.35">
      <c r="B196" t="s">
        <v>10</v>
      </c>
      <c r="C196" s="5">
        <f>[1]Results!F1455</f>
        <v>21259.450089999998</v>
      </c>
      <c r="D196" s="5">
        <f>[1]Results!G1455</f>
        <v>21127.915140000001</v>
      </c>
      <c r="E196" s="5">
        <f>[1]Results!H1455</f>
        <v>21018.48186</v>
      </c>
      <c r="F196" s="5">
        <f>[1]Results!I1455</f>
        <v>20951.075959999998</v>
      </c>
      <c r="G196" s="5">
        <f>[1]Results!J1455</f>
        <v>20925.628390000002</v>
      </c>
      <c r="H196" s="5">
        <f>[1]Results!K1455</f>
        <v>20936.637220000001</v>
      </c>
      <c r="I196" s="5">
        <f>[1]Results!L1455</f>
        <v>20968.67872</v>
      </c>
      <c r="J196" s="5">
        <f>[1]Results!M1455</f>
        <v>21016.895369999998</v>
      </c>
      <c r="K196" s="5">
        <f>[1]Results!N1455</f>
        <v>21077.294679999999</v>
      </c>
      <c r="L196" s="5">
        <f>[1]Results!O1455</f>
        <v>21146.464540000001</v>
      </c>
      <c r="M196" s="5">
        <f>[1]Results!P1455</f>
        <v>21235.574140000001</v>
      </c>
      <c r="N196" s="5">
        <f>[1]Results!Q1455</f>
        <v>21324.79567</v>
      </c>
      <c r="O196" s="5">
        <f>[1]Results!R1455</f>
        <v>21412.178929999998</v>
      </c>
      <c r="P196" s="5">
        <f>[1]Results!S1455</f>
        <v>21496.976030000002</v>
      </c>
      <c r="Q196" s="5">
        <f>[1]Results!T1455</f>
        <v>21578.876919999999</v>
      </c>
      <c r="R196" s="5">
        <f>[1]Results!U1455</f>
        <v>21657.822039999999</v>
      </c>
      <c r="S196" s="5">
        <f>[1]Results!V1455</f>
        <v>21733.409179999999</v>
      </c>
      <c r="T196" s="5">
        <f>[1]Results!W1455</f>
        <v>21805.961569999999</v>
      </c>
      <c r="U196" s="5">
        <f>[1]Results!X1455</f>
        <v>21875.897799999999</v>
      </c>
      <c r="V196" s="5">
        <f>[1]Results!Y1455</f>
        <v>21943.639599999999</v>
      </c>
      <c r="W196" s="5">
        <f>[1]Results!Z1455</f>
        <v>22000.31308</v>
      </c>
      <c r="X196" s="5">
        <f>[1]Results!AA1455</f>
        <v>22057.449379999998</v>
      </c>
      <c r="Y196" s="5">
        <f>[1]Results!AB1455</f>
        <v>22115.499830000001</v>
      </c>
      <c r="Z196" s="5">
        <f>[1]Results!AC1455</f>
        <v>22174.404689999999</v>
      </c>
      <c r="AA196" s="5">
        <f>[1]Results!AD1455</f>
        <v>22234.0245</v>
      </c>
      <c r="AB196" s="5">
        <f>[1]Results!AE1455</f>
        <v>22269.043229999999</v>
      </c>
      <c r="AC196" s="5">
        <f>[1]Results!AF1455</f>
        <v>22298.084790000001</v>
      </c>
      <c r="AD196" s="5">
        <f>[1]Results!AG1455</f>
        <v>22323.856199999998</v>
      </c>
      <c r="AE196" s="5">
        <f>[1]Results!AH1455</f>
        <v>22348.00171</v>
      </c>
      <c r="AF196" s="5">
        <f>[1]Results!AI1455</f>
        <v>22371.670969999999</v>
      </c>
      <c r="AG196" s="5">
        <f>[1]Results!AJ1455</f>
        <v>22395.670099999999</v>
      </c>
      <c r="AH196" s="5">
        <f>[1]Results!AK1455</f>
        <v>22420.615549999999</v>
      </c>
      <c r="AI196" s="5">
        <f>[1]Results!AL1455</f>
        <v>22446.797879999998</v>
      </c>
      <c r="AJ196" s="5">
        <f>[1]Results!AM1455</f>
        <v>22474.32648</v>
      </c>
      <c r="AK196" s="5">
        <f>[1]Results!AN1455</f>
        <v>22503.190360000001</v>
      </c>
      <c r="AL196" s="5">
        <f>[1]Results!AO1455</f>
        <v>22533.303800000002</v>
      </c>
      <c r="AM196" s="5">
        <f>[1]Results!AP1455</f>
        <v>22559.925139999999</v>
      </c>
      <c r="AN196" s="5">
        <f>[1]Results!AQ1455</f>
        <v>22583.925179999998</v>
      </c>
      <c r="AO196" s="5">
        <f>[1]Results!AR1455</f>
        <v>22606.179110000001</v>
      </c>
      <c r="AP196" s="5">
        <f>[1]Results!AS1455</f>
        <v>22627.398089999999</v>
      </c>
      <c r="AQ196" s="5">
        <f>[1]Results!AT1455</f>
        <v>22648.124589999999</v>
      </c>
      <c r="AR196" s="5">
        <f>[1]Results!AU1455</f>
        <v>22668.85773</v>
      </c>
      <c r="AS196" s="5">
        <f>[1]Results!AV1455</f>
        <v>22689.856589999999</v>
      </c>
      <c r="AT196" s="5">
        <f>[1]Results!AW1455</f>
        <v>22711.262940000001</v>
      </c>
      <c r="AU196" s="5">
        <f>[1]Results!AX1455</f>
        <v>22733.136709999999</v>
      </c>
      <c r="AV196" s="5">
        <f>[1]Results!AY1455</f>
        <v>22755.479940000001</v>
      </c>
      <c r="AW196" s="5">
        <f>[1]Results!AZ1455</f>
        <v>22779.006430000001</v>
      </c>
      <c r="AX196" s="5">
        <f>[1]Results!BA1455</f>
        <v>22803.541959999999</v>
      </c>
      <c r="AY196" s="5">
        <f>[1]Results!BB1455</f>
        <v>22828.851460000002</v>
      </c>
      <c r="AZ196" s="5">
        <f>[1]Results!BC1455</f>
        <v>22854.71631</v>
      </c>
      <c r="BA196" s="5">
        <f>[1]Results!BD1455</f>
        <v>22880.952959999999</v>
      </c>
      <c r="BB196" s="5">
        <f>[1]Results!BE1455</f>
        <v>22907.601719999999</v>
      </c>
      <c r="BC196" s="5">
        <f>[1]Results!BF1455</f>
        <v>22934.542119999998</v>
      </c>
      <c r="BD196" s="5">
        <f>[1]Results!BG1455</f>
        <v>22961.657439999999</v>
      </c>
      <c r="BE196" s="5">
        <f>[1]Results!BH1455</f>
        <v>22988.857520000001</v>
      </c>
      <c r="BF196" s="5">
        <f>[1]Results!BI1455</f>
        <v>23016.080109999999</v>
      </c>
    </row>
    <row r="197" spans="1:58" x14ac:dyDescent="0.35">
      <c r="B197" t="s">
        <v>29</v>
      </c>
      <c r="C197" s="5">
        <f>C202-C198</f>
        <v>10.5765654255</v>
      </c>
      <c r="D197" s="5">
        <f t="shared" ref="D197:AL197" si="89">D202-D198</f>
        <v>10.393527485700002</v>
      </c>
      <c r="E197" s="5">
        <f t="shared" si="89"/>
        <v>10.237618552299999</v>
      </c>
      <c r="F197" s="5">
        <f t="shared" si="89"/>
        <v>10.1161179731</v>
      </c>
      <c r="G197" s="5">
        <f t="shared" si="89"/>
        <v>10.025329067600001</v>
      </c>
      <c r="H197" s="5">
        <f t="shared" si="89"/>
        <v>9.9603032436000003</v>
      </c>
      <c r="I197" s="5">
        <f t="shared" si="89"/>
        <v>9.9124543157999998</v>
      </c>
      <c r="J197" s="5">
        <f t="shared" si="89"/>
        <v>9.8778907683999986</v>
      </c>
      <c r="K197" s="5">
        <f t="shared" si="89"/>
        <v>9.8533886949000014</v>
      </c>
      <c r="L197" s="5">
        <f t="shared" si="89"/>
        <v>9.8362030209000011</v>
      </c>
      <c r="M197" s="5">
        <f t="shared" si="89"/>
        <v>9.8295047449999995</v>
      </c>
      <c r="N197" s="5">
        <f t="shared" si="89"/>
        <v>9.8243132738000014</v>
      </c>
      <c r="O197" s="5">
        <f t="shared" si="89"/>
        <v>9.8194370732999996</v>
      </c>
      <c r="P197" s="5">
        <f t="shared" si="89"/>
        <v>9.8144383220999991</v>
      </c>
      <c r="Q197" s="5">
        <f t="shared" si="89"/>
        <v>9.8090621625000018</v>
      </c>
      <c r="R197" s="5">
        <f t="shared" si="89"/>
        <v>9.8031384717999988</v>
      </c>
      <c r="S197" s="5">
        <f t="shared" si="89"/>
        <v>9.7960109950999996</v>
      </c>
      <c r="T197" s="5">
        <f t="shared" si="89"/>
        <v>9.7878594369999981</v>
      </c>
      <c r="U197" s="5">
        <f t="shared" si="89"/>
        <v>9.7788770751000023</v>
      </c>
      <c r="V197" s="5">
        <f t="shared" si="89"/>
        <v>9.7692290768000021</v>
      </c>
      <c r="W197" s="5">
        <f t="shared" si="89"/>
        <v>9.7555706276000009</v>
      </c>
      <c r="X197" s="5">
        <f t="shared" si="89"/>
        <v>9.7423195804000002</v>
      </c>
      <c r="Y197" s="5">
        <f t="shared" si="89"/>
        <v>9.7296551229000006</v>
      </c>
      <c r="Z197" s="5">
        <f t="shared" si="89"/>
        <v>9.717471119799999</v>
      </c>
      <c r="AA197" s="5">
        <f t="shared" si="89"/>
        <v>9.7056743565999994</v>
      </c>
      <c r="AB197" s="5">
        <f t="shared" si="89"/>
        <v>9.6848497588000004</v>
      </c>
      <c r="AC197" s="5">
        <f t="shared" si="89"/>
        <v>9.6622980481999985</v>
      </c>
      <c r="AD197" s="5">
        <f t="shared" si="89"/>
        <v>9.6391167123999999</v>
      </c>
      <c r="AE197" s="5">
        <f t="shared" si="89"/>
        <v>9.6157787172000013</v>
      </c>
      <c r="AF197" s="5">
        <f t="shared" si="89"/>
        <v>9.5925829045999986</v>
      </c>
      <c r="AG197" s="5">
        <f t="shared" si="89"/>
        <v>9.5697412237000012</v>
      </c>
      <c r="AH197" s="5">
        <f t="shared" si="89"/>
        <v>9.5475056348000003</v>
      </c>
      <c r="AI197" s="5">
        <f t="shared" si="89"/>
        <v>9.5259422568000005</v>
      </c>
      <c r="AJ197" s="5">
        <f t="shared" si="89"/>
        <v>9.5050814383000031</v>
      </c>
      <c r="AK197" s="5">
        <f t="shared" si="89"/>
        <v>9.4849306544999994</v>
      </c>
      <c r="AL197" s="5">
        <f t="shared" si="89"/>
        <v>9.4654792619999988</v>
      </c>
      <c r="AM197" s="5">
        <f t="shared" ref="AM197:BC197" si="90">AM202-AM198</f>
        <v>9.4455833980999984</v>
      </c>
      <c r="AN197" s="5">
        <f t="shared" si="90"/>
        <v>9.4253603004999995</v>
      </c>
      <c r="AO197" s="5">
        <f t="shared" si="90"/>
        <v>9.4050060516999991</v>
      </c>
      <c r="AP197" s="5">
        <f t="shared" si="90"/>
        <v>9.3846883175000002</v>
      </c>
      <c r="AQ197" s="5">
        <f t="shared" si="90"/>
        <v>9.3645342410000012</v>
      </c>
      <c r="AR197" s="5">
        <f t="shared" si="90"/>
        <v>9.3447560882999987</v>
      </c>
      <c r="AS197" s="5">
        <f t="shared" si="90"/>
        <v>9.3253724062999996</v>
      </c>
      <c r="AT197" s="5">
        <f t="shared" si="90"/>
        <v>9.3063832437000009</v>
      </c>
      <c r="AU197" s="5">
        <f t="shared" si="90"/>
        <v>9.2877813975999999</v>
      </c>
      <c r="AV197" s="5">
        <f t="shared" si="90"/>
        <v>9.2695535610000004</v>
      </c>
      <c r="AW197" s="5">
        <f t="shared" si="90"/>
        <v>9.2522148587999986</v>
      </c>
      <c r="AX197" s="5">
        <f t="shared" si="90"/>
        <v>9.2355774527000012</v>
      </c>
      <c r="AY197" s="5">
        <f t="shared" si="90"/>
        <v>9.2194679760000007</v>
      </c>
      <c r="AZ197" s="5">
        <f t="shared" si="90"/>
        <v>9.2037617066999999</v>
      </c>
      <c r="BA197" s="5">
        <f t="shared" si="90"/>
        <v>9.1883719622999998</v>
      </c>
      <c r="BB197" s="5">
        <f t="shared" si="90"/>
        <v>9.1734588055999993</v>
      </c>
      <c r="BC197" s="5">
        <f t="shared" si="90"/>
        <v>9.1589044946000016</v>
      </c>
      <c r="BD197" s="5">
        <f t="shared" ref="BD197:BF197" si="91">BD202-BD198</f>
        <v>9.1446147984999993</v>
      </c>
      <c r="BE197" s="5">
        <f t="shared" si="91"/>
        <v>9.1305276283999994</v>
      </c>
      <c r="BF197" s="5">
        <f t="shared" si="91"/>
        <v>9.1166042970000003</v>
      </c>
    </row>
    <row r="198" spans="1:58" x14ac:dyDescent="0.35">
      <c r="B198" t="s">
        <v>36</v>
      </c>
      <c r="C198" s="5">
        <f>C200+C201</f>
        <v>7.3995173445000004</v>
      </c>
      <c r="D198" s="5">
        <f t="shared" ref="D198:AL198" si="92">D200+D201</f>
        <v>7.2732627942999999</v>
      </c>
      <c r="E198" s="5">
        <f t="shared" si="92"/>
        <v>7.1588573976999994</v>
      </c>
      <c r="F198" s="5">
        <f t="shared" si="92"/>
        <v>7.0639467869000008</v>
      </c>
      <c r="G198" s="5">
        <f t="shared" si="92"/>
        <v>6.9896467123999999</v>
      </c>
      <c r="H198" s="5">
        <f t="shared" si="92"/>
        <v>6.9344451564000007</v>
      </c>
      <c r="I198" s="5">
        <f t="shared" si="92"/>
        <v>6.8933282741999999</v>
      </c>
      <c r="J198" s="5">
        <f t="shared" si="92"/>
        <v>6.8634632916000005</v>
      </c>
      <c r="K198" s="5">
        <f t="shared" si="92"/>
        <v>6.8421643551000004</v>
      </c>
      <c r="L198" s="5">
        <f t="shared" si="92"/>
        <v>6.8270968291000003</v>
      </c>
      <c r="M198" s="5">
        <f t="shared" si="92"/>
        <v>6.8196957549999997</v>
      </c>
      <c r="N198" s="5">
        <f t="shared" si="92"/>
        <v>6.8141210261999996</v>
      </c>
      <c r="O198" s="5">
        <f t="shared" si="92"/>
        <v>6.8094680966999999</v>
      </c>
      <c r="P198" s="5">
        <f t="shared" si="92"/>
        <v>6.8052478379000005</v>
      </c>
      <c r="Q198" s="5">
        <f t="shared" si="92"/>
        <v>6.8011295274999997</v>
      </c>
      <c r="R198" s="5">
        <f t="shared" si="92"/>
        <v>6.7968863582000001</v>
      </c>
      <c r="S198" s="5">
        <f t="shared" si="92"/>
        <v>6.7920400449000002</v>
      </c>
      <c r="T198" s="5">
        <f t="shared" si="92"/>
        <v>6.7866380929999996</v>
      </c>
      <c r="U198" s="5">
        <f t="shared" si="92"/>
        <v>6.7807364749000003</v>
      </c>
      <c r="V198" s="5">
        <f t="shared" si="92"/>
        <v>6.7743855231999994</v>
      </c>
      <c r="W198" s="5">
        <f t="shared" si="92"/>
        <v>6.7654899223999996</v>
      </c>
      <c r="X198" s="5">
        <f t="shared" si="92"/>
        <v>6.7567212896000006</v>
      </c>
      <c r="Y198" s="5">
        <f t="shared" si="92"/>
        <v>6.7481202571000001</v>
      </c>
      <c r="Z198" s="5">
        <f t="shared" si="92"/>
        <v>6.7396251802000009</v>
      </c>
      <c r="AA198" s="5">
        <f t="shared" si="92"/>
        <v>6.7311909133999999</v>
      </c>
      <c r="AB198" s="5">
        <f t="shared" si="92"/>
        <v>6.7170314712000003</v>
      </c>
      <c r="AC198" s="5">
        <f t="shared" si="92"/>
        <v>6.7016092617999998</v>
      </c>
      <c r="AD198" s="5">
        <f t="shared" si="92"/>
        <v>6.6854682176000004</v>
      </c>
      <c r="AE198" s="5">
        <f t="shared" si="92"/>
        <v>6.6688951828</v>
      </c>
      <c r="AF198" s="5">
        <f t="shared" si="92"/>
        <v>6.6521065854000003</v>
      </c>
      <c r="AG198" s="5">
        <f t="shared" si="92"/>
        <v>6.6352767663000005</v>
      </c>
      <c r="AH198" s="5">
        <f t="shared" si="92"/>
        <v>6.6186007451999993</v>
      </c>
      <c r="AI198" s="5">
        <f t="shared" si="92"/>
        <v>6.6021564732</v>
      </c>
      <c r="AJ198" s="5">
        <f t="shared" si="92"/>
        <v>6.5859960716999995</v>
      </c>
      <c r="AK198" s="5">
        <f t="shared" si="92"/>
        <v>6.5701513155000004</v>
      </c>
      <c r="AL198" s="5">
        <f t="shared" si="92"/>
        <v>6.554637348</v>
      </c>
      <c r="AM198" s="5">
        <f t="shared" ref="AM198:BC198" si="93">AM200+AM201</f>
        <v>6.5387373818999999</v>
      </c>
      <c r="AN198" s="5">
        <f t="shared" si="93"/>
        <v>6.5225324494999999</v>
      </c>
      <c r="AO198" s="5">
        <f t="shared" si="93"/>
        <v>6.5061465983</v>
      </c>
      <c r="AP198" s="5">
        <f t="shared" si="93"/>
        <v>6.4896916625000003</v>
      </c>
      <c r="AQ198" s="5">
        <f t="shared" si="93"/>
        <v>6.4732592389999999</v>
      </c>
      <c r="AR198" s="5">
        <f t="shared" si="93"/>
        <v>6.4569911617000004</v>
      </c>
      <c r="AS198" s="5">
        <f t="shared" si="93"/>
        <v>6.4409139636999999</v>
      </c>
      <c r="AT198" s="5">
        <f t="shared" si="93"/>
        <v>6.4250443662999999</v>
      </c>
      <c r="AU198" s="5">
        <f t="shared" si="93"/>
        <v>6.4093917424000004</v>
      </c>
      <c r="AV198" s="5">
        <f t="shared" si="93"/>
        <v>6.3939581289999996</v>
      </c>
      <c r="AW198" s="5">
        <f t="shared" si="93"/>
        <v>6.3790537511999998</v>
      </c>
      <c r="AX198" s="5">
        <f t="shared" si="93"/>
        <v>6.3645665972999996</v>
      </c>
      <c r="AY198" s="5">
        <f t="shared" si="93"/>
        <v>6.3504034239999996</v>
      </c>
      <c r="AZ198" s="5">
        <f t="shared" si="93"/>
        <v>6.3364967232999998</v>
      </c>
      <c r="BA198" s="5">
        <f t="shared" si="93"/>
        <v>6.3227971877</v>
      </c>
      <c r="BB198" s="5">
        <f t="shared" si="93"/>
        <v>6.3093951344000008</v>
      </c>
      <c r="BC198" s="5">
        <f t="shared" si="93"/>
        <v>6.2962155054000002</v>
      </c>
      <c r="BD198" s="5">
        <f t="shared" ref="BD198:BF198" si="94">BD200+BD201</f>
        <v>6.2832022015</v>
      </c>
      <c r="BE198" s="5">
        <f t="shared" si="94"/>
        <v>6.2703172016000002</v>
      </c>
      <c r="BF198" s="5">
        <f t="shared" si="94"/>
        <v>6.2575348430000002</v>
      </c>
    </row>
    <row r="199" spans="1:58" x14ac:dyDescent="0.35">
      <c r="B199" t="s">
        <v>11</v>
      </c>
      <c r="C199" s="5">
        <f>[1]Results!F1463</f>
        <v>86.915472100000002</v>
      </c>
      <c r="D199" s="5">
        <f>[1]Results!G1463</f>
        <v>86.042794499999999</v>
      </c>
      <c r="E199" s="5">
        <f>[1]Results!H1463</f>
        <v>85.04166189</v>
      </c>
      <c r="F199" s="5">
        <f>[1]Results!I1463</f>
        <v>84.092865399999994</v>
      </c>
      <c r="G199" s="5">
        <f>[1]Results!J1463</f>
        <v>83.267760969999998</v>
      </c>
      <c r="H199" s="5">
        <f>[1]Results!K1463</f>
        <v>82.590852960000007</v>
      </c>
      <c r="I199" s="5">
        <f>[1]Results!L1463</f>
        <v>82.031024239999994</v>
      </c>
      <c r="J199" s="5">
        <f>[1]Results!M1463</f>
        <v>81.569324879999996</v>
      </c>
      <c r="K199" s="5">
        <f>[1]Results!N1463</f>
        <v>81.185498730000006</v>
      </c>
      <c r="L199" s="5">
        <f>[1]Results!O1463</f>
        <v>80.858524689999996</v>
      </c>
      <c r="M199" s="5">
        <f>[1]Results!P1463</f>
        <v>80.610471669999995</v>
      </c>
      <c r="N199" s="5">
        <f>[1]Results!Q1463</f>
        <v>80.37663474</v>
      </c>
      <c r="O199" s="5">
        <f>[1]Results!R1463</f>
        <v>80.139484319999994</v>
      </c>
      <c r="P199" s="5">
        <f>[1]Results!S1463</f>
        <v>79.893081199999997</v>
      </c>
      <c r="Q199" s="5">
        <f>[1]Results!T1463</f>
        <v>79.63543104</v>
      </c>
      <c r="R199" s="5">
        <f>[1]Results!U1463</f>
        <v>79.366234719999994</v>
      </c>
      <c r="S199" s="5">
        <f>[1]Results!V1463</f>
        <v>79.08314197</v>
      </c>
      <c r="T199" s="5">
        <f>[1]Results!W1463</f>
        <v>78.78774627</v>
      </c>
      <c r="U199" s="5">
        <f>[1]Results!X1463</f>
        <v>78.482642400000003</v>
      </c>
      <c r="V199" s="5">
        <f>[1]Results!Y1463</f>
        <v>78.170600530000002</v>
      </c>
      <c r="W199" s="5">
        <f>[1]Results!Z1463</f>
        <v>77.828093280000004</v>
      </c>
      <c r="X199" s="5">
        <f>[1]Results!AA1463</f>
        <v>77.487049670000005</v>
      </c>
      <c r="Y199" s="5">
        <f>[1]Results!AB1463</f>
        <v>77.15364271</v>
      </c>
      <c r="Z199" s="5">
        <f>[1]Results!AC1463</f>
        <v>76.829023230000004</v>
      </c>
      <c r="AA199" s="5">
        <f>[1]Results!AD1463</f>
        <v>76.513353370000004</v>
      </c>
      <c r="AB199" s="5">
        <f>[1]Results!AE1463</f>
        <v>76.136934490000002</v>
      </c>
      <c r="AC199" s="5">
        <f>[1]Results!AF1463</f>
        <v>75.746632590000004</v>
      </c>
      <c r="AD199" s="5">
        <f>[1]Results!AG1463</f>
        <v>75.357050380000004</v>
      </c>
      <c r="AE199" s="5">
        <f>[1]Results!AH1463</f>
        <v>74.974776039999995</v>
      </c>
      <c r="AF199" s="5">
        <f>[1]Results!AI1463</f>
        <v>74.60333378</v>
      </c>
      <c r="AG199" s="5">
        <f>[1]Results!AJ1463</f>
        <v>74.244748229999999</v>
      </c>
      <c r="AH199" s="5">
        <f>[1]Results!AK1463</f>
        <v>73.900616990000003</v>
      </c>
      <c r="AI199" s="5">
        <f>[1]Results!AL1463</f>
        <v>73.571403810000007</v>
      </c>
      <c r="AJ199" s="5">
        <f>[1]Results!AM1463</f>
        <v>73.256984349999996</v>
      </c>
      <c r="AK199" s="5">
        <f>[1]Results!AN1463</f>
        <v>72.956890880000003</v>
      </c>
      <c r="AL199" s="5">
        <f>[1]Results!AO1463</f>
        <v>72.670446010000006</v>
      </c>
      <c r="AM199" s="5">
        <f>[1]Results!AP1463</f>
        <v>72.386410060000003</v>
      </c>
      <c r="AN199" s="5">
        <f>[1]Results!AQ1463</f>
        <v>72.105595370000003</v>
      </c>
      <c r="AO199" s="5">
        <f>[1]Results!AR1463</f>
        <v>71.829876400000003</v>
      </c>
      <c r="AP199" s="5">
        <f>[1]Results!AS1463</f>
        <v>71.560663439999999</v>
      </c>
      <c r="AQ199" s="5">
        <f>[1]Results!AT1463</f>
        <v>71.298797359999995</v>
      </c>
      <c r="AR199" s="5">
        <f>[1]Results!AU1463</f>
        <v>71.045219029999998</v>
      </c>
      <c r="AS199" s="5">
        <f>[1]Results!AV1463</f>
        <v>70.800043590000001</v>
      </c>
      <c r="AT199" s="5">
        <f>[1]Results!AW1463</f>
        <v>70.563022320000002</v>
      </c>
      <c r="AU199" s="5">
        <f>[1]Results!AX1463</f>
        <v>70.333756140000006</v>
      </c>
      <c r="AV199" s="5">
        <f>[1]Results!AY1463</f>
        <v>70.111789360000003</v>
      </c>
      <c r="AW199" s="5">
        <f>[1]Results!AZ1463</f>
        <v>69.899377889999997</v>
      </c>
      <c r="AX199" s="5">
        <f>[1]Results!BA1463</f>
        <v>69.696039630000001</v>
      </c>
      <c r="AY199" s="5">
        <f>[1]Results!BB1463</f>
        <v>69.50065008</v>
      </c>
      <c r="AZ199" s="5">
        <f>[1]Results!BC1463</f>
        <v>69.312095850000006</v>
      </c>
      <c r="BA199" s="5">
        <f>[1]Results!BD1463</f>
        <v>69.129453440000006</v>
      </c>
      <c r="BB199" s="5">
        <f>[1]Results!BE1463</f>
        <v>68.952903489999997</v>
      </c>
      <c r="BC199" s="5">
        <f>[1]Results!BF1463</f>
        <v>68.782018320000006</v>
      </c>
      <c r="BD199" s="5">
        <f>[1]Results!BG1463</f>
        <v>68.616229189999999</v>
      </c>
      <c r="BE199" s="5">
        <f>[1]Results!BH1463</f>
        <v>68.455046870000004</v>
      </c>
      <c r="BF199" s="5">
        <f>[1]Results!BI1463</f>
        <v>68.298116710000002</v>
      </c>
    </row>
    <row r="200" spans="1:58" x14ac:dyDescent="0.35">
      <c r="B200" t="s">
        <v>35</v>
      </c>
      <c r="C200" s="5">
        <f>[1]Results!F1460</f>
        <v>6.6801074180000004</v>
      </c>
      <c r="D200" s="5">
        <f>[1]Results!G1460</f>
        <v>6.564900948</v>
      </c>
      <c r="E200" s="5">
        <f>[1]Results!H1460</f>
        <v>6.4598409529999996</v>
      </c>
      <c r="F200" s="5">
        <f>[1]Results!I1460</f>
        <v>6.3720511450000004</v>
      </c>
      <c r="G200" s="5">
        <f>[1]Results!J1460</f>
        <v>6.3029966850000001</v>
      </c>
      <c r="H200" s="5">
        <f>[1]Results!K1460</f>
        <v>6.2515042000000003</v>
      </c>
      <c r="I200" s="5">
        <f>[1]Results!L1460</f>
        <v>6.2131268229999996</v>
      </c>
      <c r="J200" s="5">
        <f>[1]Results!M1460</f>
        <v>6.1852391840000003</v>
      </c>
      <c r="K200" s="5">
        <f>[1]Results!N1460</f>
        <v>6.1653171130000004</v>
      </c>
      <c r="L200" s="5">
        <f>[1]Results!O1460</f>
        <v>6.1511751410000004</v>
      </c>
      <c r="M200" s="5">
        <f>[1]Results!P1460</f>
        <v>6.1439580109999996</v>
      </c>
      <c r="N200" s="5">
        <f>[1]Results!Q1460</f>
        <v>6.1384808279999996</v>
      </c>
      <c r="O200" s="5">
        <f>[1]Results!R1460</f>
        <v>6.1339479289999996</v>
      </c>
      <c r="P200" s="5">
        <f>[1]Results!S1460</f>
        <v>6.1298999470000002</v>
      </c>
      <c r="Q200" s="5">
        <f>[1]Results!T1460</f>
        <v>6.1260190659999996</v>
      </c>
      <c r="R200" s="5">
        <f>[1]Results!U1460</f>
        <v>6.1220860730000002</v>
      </c>
      <c r="S200" s="5">
        <f>[1]Results!V1460</f>
        <v>6.1176649410000001</v>
      </c>
      <c r="T200" s="5">
        <f>[1]Results!W1460</f>
        <v>6.1127900459999998</v>
      </c>
      <c r="U200" s="5">
        <f>[1]Results!X1460</f>
        <v>6.1075000570000002</v>
      </c>
      <c r="V200" s="5">
        <f>[1]Results!Y1460</f>
        <v>6.1018290769999997</v>
      </c>
      <c r="W200" s="5">
        <f>[1]Results!Z1460</f>
        <v>6.0939383659999997</v>
      </c>
      <c r="X200" s="5">
        <f>[1]Results!AA1460</f>
        <v>6.0861623500000004</v>
      </c>
      <c r="Y200" s="5">
        <f>[1]Results!AB1460</f>
        <v>6.0785083059999998</v>
      </c>
      <c r="Z200" s="5">
        <f>[1]Results!AC1460</f>
        <v>6.0709180500000004</v>
      </c>
      <c r="AA200" s="5">
        <f>[1]Results!AD1460</f>
        <v>6.0633526030000002</v>
      </c>
      <c r="AB200" s="5">
        <f>[1]Results!AE1460</f>
        <v>6.0507559259999999</v>
      </c>
      <c r="AC200" s="5">
        <f>[1]Results!AF1460</f>
        <v>6.0370521459999997</v>
      </c>
      <c r="AD200" s="5">
        <f>[1]Results!AG1460</f>
        <v>6.02266865</v>
      </c>
      <c r="AE200" s="5">
        <f>[1]Results!AH1460</f>
        <v>6.007844263</v>
      </c>
      <c r="AF200" s="5">
        <f>[1]Results!AI1460</f>
        <v>5.9927689930000003</v>
      </c>
      <c r="AG200" s="5">
        <f>[1]Results!AJ1460</f>
        <v>5.9776012840000003</v>
      </c>
      <c r="AH200" s="5">
        <f>[1]Results!AK1460</f>
        <v>5.9625191529999997</v>
      </c>
      <c r="AI200" s="5">
        <f>[1]Results!AL1460</f>
        <v>5.9475964670000003</v>
      </c>
      <c r="AJ200" s="5">
        <f>[1]Results!AM1460</f>
        <v>5.9328844529999998</v>
      </c>
      <c r="AK200" s="5">
        <f>[1]Results!AN1460</f>
        <v>5.9184157060000002</v>
      </c>
      <c r="AL200" s="5">
        <f>[1]Results!AO1460</f>
        <v>5.9042074329999998</v>
      </c>
      <c r="AM200" s="5">
        <f>[1]Results!AP1460</f>
        <v>5.8896384990000001</v>
      </c>
      <c r="AN200" s="5">
        <f>[1]Results!AQ1460</f>
        <v>5.8747810810000001</v>
      </c>
      <c r="AO200" s="5">
        <f>[1]Results!AR1460</f>
        <v>5.8597413239999998</v>
      </c>
      <c r="AP200" s="5">
        <f>[1]Results!AS1460</f>
        <v>5.8446163550000003</v>
      </c>
      <c r="AQ200" s="5">
        <f>[1]Results!AT1460</f>
        <v>5.829487587</v>
      </c>
      <c r="AR200" s="5">
        <f>[1]Results!AU1460</f>
        <v>5.8144821220000003</v>
      </c>
      <c r="AS200" s="5">
        <f>[1]Results!AV1460</f>
        <v>5.7996252549999996</v>
      </c>
      <c r="AT200" s="5">
        <f>[1]Results!AW1460</f>
        <v>5.7849348779999996</v>
      </c>
      <c r="AU200" s="5">
        <f>[1]Results!AX1460</f>
        <v>5.7704223160000003</v>
      </c>
      <c r="AV200" s="5">
        <f>[1]Results!AY1460</f>
        <v>5.7560919339999996</v>
      </c>
      <c r="AW200" s="5">
        <f>[1]Results!AZ1460</f>
        <v>5.742218662</v>
      </c>
      <c r="AX200" s="5">
        <f>[1]Results!BA1460</f>
        <v>5.7287021429999996</v>
      </c>
      <c r="AY200" s="5">
        <f>[1]Results!BB1460</f>
        <v>5.7154625619999999</v>
      </c>
      <c r="AZ200" s="5">
        <f>[1]Results!BC1460</f>
        <v>5.7024428199999999</v>
      </c>
      <c r="BA200" s="5">
        <f>[1]Results!BD1460</f>
        <v>5.6896010810000002</v>
      </c>
      <c r="BB200" s="5">
        <f>[1]Results!BE1460</f>
        <v>5.6770178830000004</v>
      </c>
      <c r="BC200" s="5">
        <f>[1]Results!BF1460</f>
        <v>5.6646257090000001</v>
      </c>
      <c r="BD200" s="5">
        <f>[1]Results!BG1460</f>
        <v>5.6523754300000002</v>
      </c>
      <c r="BE200" s="5">
        <f>[1]Results!BH1460</f>
        <v>5.640233866</v>
      </c>
      <c r="BF200" s="5">
        <f>[1]Results!BI1460</f>
        <v>5.6281784080000001</v>
      </c>
    </row>
    <row r="201" spans="1:58" x14ac:dyDescent="0.35">
      <c r="B201" t="s">
        <v>34</v>
      </c>
      <c r="C201" s="5">
        <f>[1]Results!F1462</f>
        <v>0.71940992650000002</v>
      </c>
      <c r="D201" s="5">
        <f>[1]Results!G1462</f>
        <v>0.70836184629999999</v>
      </c>
      <c r="E201" s="5">
        <f>[1]Results!H1462</f>
        <v>0.69901644470000002</v>
      </c>
      <c r="F201" s="5">
        <f>[1]Results!I1462</f>
        <v>0.69189564189999997</v>
      </c>
      <c r="G201" s="5">
        <f>[1]Results!J1462</f>
        <v>0.68665002740000003</v>
      </c>
      <c r="H201" s="5">
        <f>[1]Results!K1462</f>
        <v>0.68294095639999997</v>
      </c>
      <c r="I201" s="5">
        <f>[1]Results!L1462</f>
        <v>0.68020145119999997</v>
      </c>
      <c r="J201" s="5">
        <f>[1]Results!M1462</f>
        <v>0.67822410759999996</v>
      </c>
      <c r="K201" s="5">
        <f>[1]Results!N1462</f>
        <v>0.67684724210000002</v>
      </c>
      <c r="L201" s="5">
        <f>[1]Results!O1462</f>
        <v>0.67592168809999997</v>
      </c>
      <c r="M201" s="5">
        <f>[1]Results!P1462</f>
        <v>0.67573774399999997</v>
      </c>
      <c r="N201" s="5">
        <f>[1]Results!Q1462</f>
        <v>0.67564019819999999</v>
      </c>
      <c r="O201" s="5">
        <f>[1]Results!R1462</f>
        <v>0.67552016770000001</v>
      </c>
      <c r="P201" s="5">
        <f>[1]Results!S1462</f>
        <v>0.67534789090000003</v>
      </c>
      <c r="Q201" s="5">
        <f>[1]Results!T1462</f>
        <v>0.67511046149999998</v>
      </c>
      <c r="R201" s="5">
        <f>[1]Results!U1462</f>
        <v>0.67480028520000002</v>
      </c>
      <c r="S201" s="5">
        <f>[1]Results!V1462</f>
        <v>0.67437510389999999</v>
      </c>
      <c r="T201" s="5">
        <f>[1]Results!W1462</f>
        <v>0.67384804700000001</v>
      </c>
      <c r="U201" s="5">
        <f>[1]Results!X1462</f>
        <v>0.67323641789999999</v>
      </c>
      <c r="V201" s="5">
        <f>[1]Results!Y1462</f>
        <v>0.67255644619999999</v>
      </c>
      <c r="W201" s="5">
        <f>[1]Results!Z1462</f>
        <v>0.67155155639999997</v>
      </c>
      <c r="X201" s="5">
        <f>[1]Results!AA1462</f>
        <v>0.67055893960000001</v>
      </c>
      <c r="Y201" s="5">
        <f>[1]Results!AB1462</f>
        <v>0.66961195110000005</v>
      </c>
      <c r="Z201" s="5">
        <f>[1]Results!AC1462</f>
        <v>0.66870713020000005</v>
      </c>
      <c r="AA201" s="5">
        <f>[1]Results!AD1462</f>
        <v>0.66783831039999997</v>
      </c>
      <c r="AB201" s="5">
        <f>[1]Results!AE1462</f>
        <v>0.66627554519999999</v>
      </c>
      <c r="AC201" s="5">
        <f>[1]Results!AF1462</f>
        <v>0.66455711579999999</v>
      </c>
      <c r="AD201" s="5">
        <f>[1]Results!AG1462</f>
        <v>0.66279956760000003</v>
      </c>
      <c r="AE201" s="5">
        <f>[1]Results!AH1462</f>
        <v>0.66105091979999997</v>
      </c>
      <c r="AF201" s="5">
        <f>[1]Results!AI1462</f>
        <v>0.65933759240000001</v>
      </c>
      <c r="AG201" s="5">
        <f>[1]Results!AJ1462</f>
        <v>0.65767548229999995</v>
      </c>
      <c r="AH201" s="5">
        <f>[1]Results!AK1462</f>
        <v>0.65608159219999995</v>
      </c>
      <c r="AI201" s="5">
        <f>[1]Results!AL1462</f>
        <v>0.65456000619999999</v>
      </c>
      <c r="AJ201" s="5">
        <f>[1]Results!AM1462</f>
        <v>0.65311161870000001</v>
      </c>
      <c r="AK201" s="5">
        <f>[1]Results!AN1462</f>
        <v>0.65173560949999998</v>
      </c>
      <c r="AL201" s="5">
        <f>[1]Results!AO1462</f>
        <v>0.65042991500000003</v>
      </c>
      <c r="AM201" s="5">
        <f>[1]Results!AP1462</f>
        <v>0.64909888289999995</v>
      </c>
      <c r="AN201" s="5">
        <f>[1]Results!AQ1462</f>
        <v>0.64775136850000004</v>
      </c>
      <c r="AO201" s="5">
        <f>[1]Results!AR1462</f>
        <v>0.64640527430000005</v>
      </c>
      <c r="AP201" s="5">
        <f>[1]Results!AS1462</f>
        <v>0.64507530749999997</v>
      </c>
      <c r="AQ201" s="5">
        <f>[1]Results!AT1462</f>
        <v>0.64377165199999997</v>
      </c>
      <c r="AR201" s="5">
        <f>[1]Results!AU1462</f>
        <v>0.64250903969999995</v>
      </c>
      <c r="AS201" s="5">
        <f>[1]Results!AV1462</f>
        <v>0.64128870869999999</v>
      </c>
      <c r="AT201" s="5">
        <f>[1]Results!AW1462</f>
        <v>0.64010948830000003</v>
      </c>
      <c r="AU201" s="5">
        <f>[1]Results!AX1462</f>
        <v>0.63896942639999998</v>
      </c>
      <c r="AV201" s="5">
        <f>[1]Results!AY1462</f>
        <v>0.63786619499999997</v>
      </c>
      <c r="AW201" s="5">
        <f>[1]Results!AZ1462</f>
        <v>0.63683508919999998</v>
      </c>
      <c r="AX201" s="5">
        <f>[1]Results!BA1462</f>
        <v>0.63586445430000005</v>
      </c>
      <c r="AY201" s="5">
        <f>[1]Results!BB1462</f>
        <v>0.63494086199999999</v>
      </c>
      <c r="AZ201" s="5">
        <f>[1]Results!BC1462</f>
        <v>0.6340539033</v>
      </c>
      <c r="BA201" s="5">
        <f>[1]Results!BD1462</f>
        <v>0.63319610670000004</v>
      </c>
      <c r="BB201" s="5">
        <f>[1]Results!BE1462</f>
        <v>0.63237725140000001</v>
      </c>
      <c r="BC201" s="5">
        <f>[1]Results!BF1462</f>
        <v>0.63158979640000001</v>
      </c>
      <c r="BD201" s="5">
        <f>[1]Results!BG1462</f>
        <v>0.63082677149999999</v>
      </c>
      <c r="BE201" s="5">
        <f>[1]Results!BH1462</f>
        <v>0.63008333559999996</v>
      </c>
      <c r="BF201" s="5">
        <f>[1]Results!BI1462</f>
        <v>0.62935643500000005</v>
      </c>
    </row>
    <row r="202" spans="1:58" x14ac:dyDescent="0.35">
      <c r="B202" t="s">
        <v>37</v>
      </c>
      <c r="C202" s="5">
        <f>[1]Results!F1458</f>
        <v>17.976082770000001</v>
      </c>
      <c r="D202" s="5">
        <f>[1]Results!G1458</f>
        <v>17.666790280000001</v>
      </c>
      <c r="E202" s="5">
        <f>[1]Results!H1458</f>
        <v>17.396475949999999</v>
      </c>
      <c r="F202" s="5">
        <f>[1]Results!I1458</f>
        <v>17.18006476</v>
      </c>
      <c r="G202" s="5">
        <f>[1]Results!J1458</f>
        <v>17.01497578</v>
      </c>
      <c r="H202" s="5">
        <f>[1]Results!K1458</f>
        <v>16.894748400000001</v>
      </c>
      <c r="I202" s="5">
        <f>[1]Results!L1458</f>
        <v>16.80578259</v>
      </c>
      <c r="J202" s="5">
        <f>[1]Results!M1458</f>
        <v>16.741354059999999</v>
      </c>
      <c r="K202" s="5">
        <f>[1]Results!N1458</f>
        <v>16.695553050000001</v>
      </c>
      <c r="L202" s="5">
        <f>[1]Results!O1458</f>
        <v>16.663299850000001</v>
      </c>
      <c r="M202" s="5">
        <f>[1]Results!P1458</f>
        <v>16.649200499999999</v>
      </c>
      <c r="N202" s="5">
        <f>[1]Results!Q1458</f>
        <v>16.6384343</v>
      </c>
      <c r="O202" s="5">
        <f>[1]Results!R1458</f>
        <v>16.628905169999999</v>
      </c>
      <c r="P202" s="5">
        <f>[1]Results!S1458</f>
        <v>16.619686160000001</v>
      </c>
      <c r="Q202" s="5">
        <f>[1]Results!T1458</f>
        <v>16.610191690000001</v>
      </c>
      <c r="R202" s="5">
        <f>[1]Results!U1458</f>
        <v>16.600024829999999</v>
      </c>
      <c r="S202" s="5">
        <f>[1]Results!V1458</f>
        <v>16.58805104</v>
      </c>
      <c r="T202" s="5">
        <f>[1]Results!W1458</f>
        <v>16.574497529999999</v>
      </c>
      <c r="U202" s="5">
        <f>[1]Results!X1458</f>
        <v>16.559613550000002</v>
      </c>
      <c r="V202" s="5">
        <f>[1]Results!Y1458</f>
        <v>16.543614600000002</v>
      </c>
      <c r="W202" s="5">
        <f>[1]Results!Z1458</f>
        <v>16.521060550000001</v>
      </c>
      <c r="X202" s="5">
        <f>[1]Results!AA1458</f>
        <v>16.499040870000002</v>
      </c>
      <c r="Y202" s="5">
        <f>[1]Results!AB1458</f>
        <v>16.477775380000001</v>
      </c>
      <c r="Z202" s="5">
        <f>[1]Results!AC1458</f>
        <v>16.4570963</v>
      </c>
      <c r="AA202" s="5">
        <f>[1]Results!AD1458</f>
        <v>16.436865269999998</v>
      </c>
      <c r="AB202" s="5">
        <f>[1]Results!AE1458</f>
        <v>16.401881230000001</v>
      </c>
      <c r="AC202" s="5">
        <f>[1]Results!AF1458</f>
        <v>16.363907309999998</v>
      </c>
      <c r="AD202" s="5">
        <f>[1]Results!AG1458</f>
        <v>16.32458493</v>
      </c>
      <c r="AE202" s="5">
        <f>[1]Results!AH1458</f>
        <v>16.284673900000001</v>
      </c>
      <c r="AF202" s="5">
        <f>[1]Results!AI1458</f>
        <v>16.244689489999999</v>
      </c>
      <c r="AG202" s="5">
        <f>[1]Results!AJ1458</f>
        <v>16.205017990000002</v>
      </c>
      <c r="AH202" s="5">
        <f>[1]Results!AK1458</f>
        <v>16.166106379999999</v>
      </c>
      <c r="AI202" s="5">
        <f>[1]Results!AL1458</f>
        <v>16.128098730000001</v>
      </c>
      <c r="AJ202" s="5">
        <f>[1]Results!AM1458</f>
        <v>16.091077510000002</v>
      </c>
      <c r="AK202" s="5">
        <f>[1]Results!AN1458</f>
        <v>16.05508197</v>
      </c>
      <c r="AL202" s="5">
        <f>[1]Results!AO1458</f>
        <v>16.020116609999999</v>
      </c>
      <c r="AM202" s="5">
        <f>[1]Results!AP1458</f>
        <v>15.984320779999999</v>
      </c>
      <c r="AN202" s="5">
        <f>[1]Results!AQ1458</f>
        <v>15.947892749999999</v>
      </c>
      <c r="AO202" s="5">
        <f>[1]Results!AR1458</f>
        <v>15.91115265</v>
      </c>
      <c r="AP202" s="5">
        <f>[1]Results!AS1458</f>
        <v>15.874379980000001</v>
      </c>
      <c r="AQ202" s="5">
        <f>[1]Results!AT1458</f>
        <v>15.83779348</v>
      </c>
      <c r="AR202" s="5">
        <f>[1]Results!AU1458</f>
        <v>15.80174725</v>
      </c>
      <c r="AS202" s="5">
        <f>[1]Results!AV1458</f>
        <v>15.76628637</v>
      </c>
      <c r="AT202" s="5">
        <f>[1]Results!AW1458</f>
        <v>15.731427610000001</v>
      </c>
      <c r="AU202" s="5">
        <f>[1]Results!AX1458</f>
        <v>15.69717314</v>
      </c>
      <c r="AV202" s="5">
        <f>[1]Results!AY1458</f>
        <v>15.66351169</v>
      </c>
      <c r="AW202" s="5">
        <f>[1]Results!AZ1458</f>
        <v>15.631268609999999</v>
      </c>
      <c r="AX202" s="5">
        <f>[1]Results!BA1458</f>
        <v>15.600144050000001</v>
      </c>
      <c r="AY202" s="5">
        <f>[1]Results!BB1458</f>
        <v>15.5698714</v>
      </c>
      <c r="AZ202" s="5">
        <f>[1]Results!BC1458</f>
        <v>15.54025843</v>
      </c>
      <c r="BA202" s="5">
        <f>[1]Results!BD1458</f>
        <v>15.511169150000001</v>
      </c>
      <c r="BB202" s="5">
        <f>[1]Results!BE1458</f>
        <v>15.48285394</v>
      </c>
      <c r="BC202" s="5">
        <f>[1]Results!BF1458</f>
        <v>15.455120000000001</v>
      </c>
      <c r="BD202" s="5">
        <f>[1]Results!BG1458</f>
        <v>15.427816999999999</v>
      </c>
      <c r="BE202" s="5">
        <f>[1]Results!BH1458</f>
        <v>15.40084483</v>
      </c>
      <c r="BF202" s="5">
        <f>[1]Results!BI1458</f>
        <v>15.37413914</v>
      </c>
    </row>
    <row r="203" spans="1:58" x14ac:dyDescent="0.35"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</row>
    <row r="204" spans="1:58" x14ac:dyDescent="0.35">
      <c r="A204" s="12" t="s">
        <v>86</v>
      </c>
      <c r="B204" t="s">
        <v>27</v>
      </c>
      <c r="C204" s="3">
        <f>[1]Results!F1473</f>
        <v>27371.846880000001</v>
      </c>
      <c r="D204" s="3">
        <f>[1]Results!G1473</f>
        <v>27193.444930000001</v>
      </c>
      <c r="E204" s="3">
        <f>[1]Results!H1473</f>
        <v>27062.409899999999</v>
      </c>
      <c r="F204" s="3">
        <f>[1]Results!I1473</f>
        <v>26997.492699999999</v>
      </c>
      <c r="G204" s="3">
        <f>[1]Results!J1473</f>
        <v>26993.829969999999</v>
      </c>
      <c r="H204" s="3">
        <f>[1]Results!K1473</f>
        <v>27041.048610000002</v>
      </c>
      <c r="I204" s="3">
        <f>[1]Results!L1473</f>
        <v>27117.617760000001</v>
      </c>
      <c r="J204" s="3">
        <f>[1]Results!M1473</f>
        <v>27215.462520000001</v>
      </c>
      <c r="K204" s="3">
        <f>[1]Results!N1473</f>
        <v>27328.342809999998</v>
      </c>
      <c r="L204" s="3">
        <f>[1]Results!O1473</f>
        <v>27451.267110000001</v>
      </c>
      <c r="M204" s="3">
        <f>[1]Results!P1473</f>
        <v>27597.784530000001</v>
      </c>
      <c r="N204" s="3">
        <f>[1]Results!Q1473</f>
        <v>27744.024819999999</v>
      </c>
      <c r="O204" s="3">
        <f>[1]Results!R1473</f>
        <v>27887.086380000001</v>
      </c>
      <c r="P204" s="3">
        <f>[1]Results!S1473</f>
        <v>28025.737939999999</v>
      </c>
      <c r="Q204" s="3">
        <f>[1]Results!T1473</f>
        <v>28159.43894</v>
      </c>
      <c r="R204" s="3">
        <f>[1]Results!U1473</f>
        <v>28288.066790000001</v>
      </c>
      <c r="S204" s="3">
        <f>[1]Results!V1473</f>
        <v>28411.79365</v>
      </c>
      <c r="T204" s="3">
        <f>[1]Results!W1473</f>
        <v>28530.994009999999</v>
      </c>
      <c r="U204" s="3">
        <f>[1]Results!X1473</f>
        <v>28646.164659999999</v>
      </c>
      <c r="V204" s="3">
        <f>[1]Results!Y1473</f>
        <v>28757.85917</v>
      </c>
      <c r="W204" s="3">
        <f>[1]Results!Z1473</f>
        <v>28854.9823</v>
      </c>
      <c r="X204" s="3">
        <f>[1]Results!AA1473</f>
        <v>28951.841209999999</v>
      </c>
      <c r="Y204" s="3">
        <f>[1]Results!AB1473</f>
        <v>29049.308929999999</v>
      </c>
      <c r="Z204" s="3">
        <f>[1]Results!AC1473</f>
        <v>29147.534149999999</v>
      </c>
      <c r="AA204" s="3">
        <f>[1]Results!AD1473</f>
        <v>29246.51053</v>
      </c>
      <c r="AB204" s="3">
        <f>[1]Results!AE1473</f>
        <v>29314.42713</v>
      </c>
      <c r="AC204" s="3">
        <f>[1]Results!AF1473</f>
        <v>29373.822230000002</v>
      </c>
      <c r="AD204" s="3">
        <f>[1]Results!AG1473</f>
        <v>29428.354640000001</v>
      </c>
      <c r="AE204" s="3">
        <f>[1]Results!AH1473</f>
        <v>29480.33337</v>
      </c>
      <c r="AF204" s="3">
        <f>[1]Results!AI1473</f>
        <v>29531.400450000001</v>
      </c>
      <c r="AG204" s="3">
        <f>[1]Results!AJ1473</f>
        <v>29582.71314</v>
      </c>
      <c r="AH204" s="3">
        <f>[1]Results!AK1473</f>
        <v>29635.02823</v>
      </c>
      <c r="AI204" s="3">
        <f>[1]Results!AL1473</f>
        <v>29688.77477</v>
      </c>
      <c r="AJ204" s="3">
        <f>[1]Results!AM1473</f>
        <v>29744.126850000001</v>
      </c>
      <c r="AK204" s="3">
        <f>[1]Results!AN1473</f>
        <v>29801.074420000001</v>
      </c>
      <c r="AL204" s="3">
        <f>[1]Results!AO1473</f>
        <v>29859.486280000001</v>
      </c>
      <c r="AM204" s="3">
        <f>[1]Results!AP1473</f>
        <v>29912.404279999999</v>
      </c>
      <c r="AN204" s="3">
        <f>[1]Results!AQ1473</f>
        <v>29960.816610000002</v>
      </c>
      <c r="AO204" s="3">
        <f>[1]Results!AR1473</f>
        <v>30005.92699</v>
      </c>
      <c r="AP204" s="3">
        <f>[1]Results!AS1473</f>
        <v>30048.7768</v>
      </c>
      <c r="AQ204" s="3">
        <f>[1]Results!AT1473</f>
        <v>30090.18951</v>
      </c>
      <c r="AR204" s="3">
        <f>[1]Results!AU1473</f>
        <v>30130.78023</v>
      </c>
      <c r="AS204" s="3">
        <f>[1]Results!AV1473</f>
        <v>30170.978999999999</v>
      </c>
      <c r="AT204" s="3">
        <f>[1]Results!AW1473</f>
        <v>30211.059000000001</v>
      </c>
      <c r="AU204" s="3">
        <f>[1]Results!AX1473</f>
        <v>30251.1672</v>
      </c>
      <c r="AV204" s="3">
        <f>[1]Results!AY1473</f>
        <v>30291.355080000001</v>
      </c>
      <c r="AW204" s="3">
        <f>[1]Results!AZ1473</f>
        <v>30332.151819999999</v>
      </c>
      <c r="AX204" s="3">
        <f>[1]Results!BA1473</f>
        <v>30373.401529999999</v>
      </c>
      <c r="AY204" s="3">
        <f>[1]Results!BB1473</f>
        <v>30414.912550000001</v>
      </c>
      <c r="AZ204" s="3">
        <f>[1]Results!BC1473</f>
        <v>30456.50577</v>
      </c>
      <c r="BA204" s="3">
        <f>[1]Results!BD1473</f>
        <v>30498.03081</v>
      </c>
      <c r="BB204" s="3">
        <f>[1]Results!BE1473</f>
        <v>30539.37184</v>
      </c>
      <c r="BC204" s="3">
        <f>[1]Results!BF1473</f>
        <v>30580.44832</v>
      </c>
      <c r="BD204" s="3">
        <f>[1]Results!BG1473</f>
        <v>30621.212619999998</v>
      </c>
      <c r="BE204" s="3">
        <f>[1]Results!BH1473</f>
        <v>30661.645769999999</v>
      </c>
      <c r="BF204" s="3">
        <f>[1]Results!BI1473</f>
        <v>30701.7523</v>
      </c>
    </row>
    <row r="205" spans="1:58" x14ac:dyDescent="0.35">
      <c r="A205" t="s">
        <v>38</v>
      </c>
      <c r="B205" t="s">
        <v>7</v>
      </c>
      <c r="C205" s="3">
        <f>[1]Results!F1474</f>
        <v>760.53305030000001</v>
      </c>
      <c r="D205" s="3">
        <f>[1]Results!G1474</f>
        <v>750.54522069999996</v>
      </c>
      <c r="E205" s="3">
        <f>[1]Results!H1474</f>
        <v>742.22681169999998</v>
      </c>
      <c r="F205" s="3">
        <f>[1]Results!I1474</f>
        <v>736.48848499999997</v>
      </c>
      <c r="G205" s="3">
        <f>[1]Results!J1474</f>
        <v>733.31712470000002</v>
      </c>
      <c r="H205" s="3">
        <f>[1]Results!K1474</f>
        <v>732.39420749999999</v>
      </c>
      <c r="I205" s="3">
        <f>[1]Results!L1474</f>
        <v>733.03839200000004</v>
      </c>
      <c r="J205" s="3">
        <f>[1]Results!M1474</f>
        <v>734.83560350000005</v>
      </c>
      <c r="K205" s="3">
        <f>[1]Results!N1474</f>
        <v>737.44502109999996</v>
      </c>
      <c r="L205" s="3">
        <f>[1]Results!O1474</f>
        <v>740.58999689999996</v>
      </c>
      <c r="M205" s="3">
        <f>[1]Results!P1474</f>
        <v>744.48575579999999</v>
      </c>
      <c r="N205" s="3">
        <f>[1]Results!Q1474</f>
        <v>748.51497959999995</v>
      </c>
      <c r="O205" s="3">
        <f>[1]Results!R1474</f>
        <v>752.50449119999996</v>
      </c>
      <c r="P205" s="3">
        <f>[1]Results!S1474</f>
        <v>756.36099460000003</v>
      </c>
      <c r="Q205" s="3">
        <f>[1]Results!T1474</f>
        <v>760.03414480000004</v>
      </c>
      <c r="R205" s="3">
        <f>[1]Results!U1474</f>
        <v>763.50177080000003</v>
      </c>
      <c r="S205" s="3">
        <f>[1]Results!V1474</f>
        <v>766.76102879999996</v>
      </c>
      <c r="T205" s="3">
        <f>[1]Results!W1474</f>
        <v>769.82181209999999</v>
      </c>
      <c r="U205" s="3">
        <f>[1]Results!X1474</f>
        <v>772.7015993</v>
      </c>
      <c r="V205" s="3">
        <f>[1]Results!Y1474</f>
        <v>775.42164270000001</v>
      </c>
      <c r="W205" s="3">
        <f>[1]Results!Z1474</f>
        <v>777.71956109999996</v>
      </c>
      <c r="X205" s="3">
        <f>[1]Results!AA1474</f>
        <v>779.91938100000004</v>
      </c>
      <c r="Y205" s="3">
        <f>[1]Results!AB1474</f>
        <v>782.07815949999997</v>
      </c>
      <c r="Z205" s="3">
        <f>[1]Results!AC1474</f>
        <v>784.22098319999998</v>
      </c>
      <c r="AA205" s="3">
        <f>[1]Results!AD1474</f>
        <v>786.3607293</v>
      </c>
      <c r="AB205" s="3">
        <f>[1]Results!AE1474</f>
        <v>787.72995209999999</v>
      </c>
      <c r="AC205" s="3">
        <f>[1]Results!AF1474</f>
        <v>788.78917239999998</v>
      </c>
      <c r="AD205" s="3">
        <f>[1]Results!AG1474</f>
        <v>789.66145059999997</v>
      </c>
      <c r="AE205" s="3">
        <f>[1]Results!AH1474</f>
        <v>790.43342740000003</v>
      </c>
      <c r="AF205" s="3">
        <f>[1]Results!AI1474</f>
        <v>791.17095600000005</v>
      </c>
      <c r="AG205" s="3">
        <f>[1]Results!AJ1474</f>
        <v>791.92243540000004</v>
      </c>
      <c r="AH205" s="3">
        <f>[1]Results!AK1474</f>
        <v>792.72071870000002</v>
      </c>
      <c r="AI205" s="3">
        <f>[1]Results!AL1474</f>
        <v>793.58553819999997</v>
      </c>
      <c r="AJ205" s="3">
        <f>[1]Results!AM1474</f>
        <v>794.52629760000002</v>
      </c>
      <c r="AK205" s="3">
        <f>[1]Results!AN1474</f>
        <v>795.54489530000001</v>
      </c>
      <c r="AL205" s="3">
        <f>[1]Results!AO1474</f>
        <v>796.63824850000003</v>
      </c>
      <c r="AM205" s="3">
        <f>[1]Results!AP1474</f>
        <v>797.63639069999999</v>
      </c>
      <c r="AN205" s="3">
        <f>[1]Results!AQ1474</f>
        <v>798.54186770000001</v>
      </c>
      <c r="AO205" s="3">
        <f>[1]Results!AR1474</f>
        <v>799.37796709999998</v>
      </c>
      <c r="AP205" s="3">
        <f>[1]Results!AS1474</f>
        <v>800.17176770000003</v>
      </c>
      <c r="AQ205" s="3">
        <f>[1]Results!AT1474</f>
        <v>800.94834549999996</v>
      </c>
      <c r="AR205" s="3">
        <f>[1]Results!AU1474</f>
        <v>801.72835780000003</v>
      </c>
      <c r="AS205" s="3">
        <f>[1]Results!AV1474</f>
        <v>802.52714619999995</v>
      </c>
      <c r="AT205" s="3">
        <f>[1]Results!AW1474</f>
        <v>803.35478049999995</v>
      </c>
      <c r="AU205" s="3">
        <f>[1]Results!AX1474</f>
        <v>804.21669029999998</v>
      </c>
      <c r="AV205" s="3">
        <f>[1]Results!AY1474</f>
        <v>805.11458240000002</v>
      </c>
      <c r="AW205" s="3">
        <f>[1]Results!AZ1474</f>
        <v>806.06064000000003</v>
      </c>
      <c r="AX205" s="3">
        <f>[1]Results!BA1474</f>
        <v>807.05123300000002</v>
      </c>
      <c r="AY205" s="3">
        <f>[1]Results!BB1474</f>
        <v>808.08013010000002</v>
      </c>
      <c r="AZ205" s="3">
        <f>[1]Results!BC1474</f>
        <v>809.14054999999996</v>
      </c>
      <c r="BA205" s="3">
        <f>[1]Results!BD1474</f>
        <v>810.22609030000001</v>
      </c>
      <c r="BB205" s="3">
        <f>[1]Results!BE1474</f>
        <v>811.33119499999998</v>
      </c>
      <c r="BC205" s="3">
        <f>[1]Results!BF1474</f>
        <v>812.45135379999999</v>
      </c>
      <c r="BD205" s="3">
        <f>[1]Results!BG1474</f>
        <v>813.58312290000003</v>
      </c>
      <c r="BE205" s="3">
        <f>[1]Results!BH1474</f>
        <v>814.72403389999999</v>
      </c>
      <c r="BF205" s="3">
        <f>[1]Results!BI1474</f>
        <v>815.87243960000001</v>
      </c>
    </row>
    <row r="206" spans="1:58" x14ac:dyDescent="0.35">
      <c r="B206" t="s">
        <v>30</v>
      </c>
      <c r="C206" s="3">
        <f>[1]Results!F1477</f>
        <v>4367.1201659999997</v>
      </c>
      <c r="D206" s="3">
        <f>[1]Results!G1477</f>
        <v>4320.7281149999999</v>
      </c>
      <c r="E206" s="3">
        <f>[1]Results!H1477</f>
        <v>4290.0737900000004</v>
      </c>
      <c r="F206" s="3">
        <f>[1]Results!I1477</f>
        <v>4274.9539109999996</v>
      </c>
      <c r="G206" s="3">
        <f>[1]Results!J1477</f>
        <v>4272.5785489999998</v>
      </c>
      <c r="H206" s="3">
        <f>[1]Results!K1477</f>
        <v>4279.9891710000002</v>
      </c>
      <c r="I206" s="3">
        <f>[1]Results!L1477</f>
        <v>4293.1935320000002</v>
      </c>
      <c r="J206" s="3">
        <f>[1]Results!M1477</f>
        <v>4310.2425599999997</v>
      </c>
      <c r="K206" s="3">
        <f>[1]Results!N1477</f>
        <v>4329.7994189999999</v>
      </c>
      <c r="L206" s="3">
        <f>[1]Results!O1477</f>
        <v>4350.9303300000001</v>
      </c>
      <c r="M206" s="3">
        <f>[1]Results!P1477</f>
        <v>4375.3473279999998</v>
      </c>
      <c r="N206" s="3">
        <f>[1]Results!Q1477</f>
        <v>4400.0067769999996</v>
      </c>
      <c r="O206" s="3">
        <f>[1]Results!R1477</f>
        <v>4424.3603110000004</v>
      </c>
      <c r="P206" s="3">
        <f>[1]Results!S1477</f>
        <v>4448.1753289999997</v>
      </c>
      <c r="Q206" s="3">
        <f>[1]Results!T1477</f>
        <v>4471.3655170000002</v>
      </c>
      <c r="R206" s="3">
        <f>[1]Results!U1477</f>
        <v>4493.9278100000001</v>
      </c>
      <c r="S206" s="3">
        <f>[1]Results!V1477</f>
        <v>4515.9116869999998</v>
      </c>
      <c r="T206" s="3">
        <f>[1]Results!W1477</f>
        <v>4537.3997980000004</v>
      </c>
      <c r="U206" s="3">
        <f>[1]Results!X1477</f>
        <v>4558.4934670000002</v>
      </c>
      <c r="V206" s="3">
        <f>[1]Results!Y1477</f>
        <v>4579.3013099999998</v>
      </c>
      <c r="W206" s="3">
        <f>[1]Results!Z1477</f>
        <v>4598.3516460000001</v>
      </c>
      <c r="X206" s="3">
        <f>[1]Results!AA1477</f>
        <v>4617.4499310000001</v>
      </c>
      <c r="Y206" s="3">
        <f>[1]Results!AB1477</f>
        <v>4636.8327330000002</v>
      </c>
      <c r="Z206" s="3">
        <f>[1]Results!AC1477</f>
        <v>4656.5858749999998</v>
      </c>
      <c r="AA206" s="3">
        <f>[1]Results!AD1477</f>
        <v>4676.7386560000004</v>
      </c>
      <c r="AB206" s="3">
        <f>[1]Results!AE1477</f>
        <v>4692.9905799999997</v>
      </c>
      <c r="AC206" s="3">
        <f>[1]Results!AF1477</f>
        <v>4707.9423699999998</v>
      </c>
      <c r="AD206" s="3">
        <f>[1]Results!AG1477</f>
        <v>4722.1340959999998</v>
      </c>
      <c r="AE206" s="3">
        <f>[1]Results!AH1477</f>
        <v>4735.9159449999997</v>
      </c>
      <c r="AF206" s="3">
        <f>[1]Results!AI1477</f>
        <v>4749.5305840000001</v>
      </c>
      <c r="AG206" s="3">
        <f>[1]Results!AJ1477</f>
        <v>4763.1407319999998</v>
      </c>
      <c r="AH206" s="3">
        <f>[1]Results!AK1477</f>
        <v>4776.844384</v>
      </c>
      <c r="AI206" s="3">
        <f>[1]Results!AL1477</f>
        <v>4790.6871430000001</v>
      </c>
      <c r="AJ206" s="3">
        <f>[1]Results!AM1477</f>
        <v>4804.6736650000003</v>
      </c>
      <c r="AK206" s="3">
        <f>[1]Results!AN1477</f>
        <v>4818.7784970000002</v>
      </c>
      <c r="AL206" s="3">
        <f>[1]Results!AO1477</f>
        <v>4832.9559300000001</v>
      </c>
      <c r="AM206" s="3">
        <f>[1]Results!AP1477</f>
        <v>4846.2297939999999</v>
      </c>
      <c r="AN206" s="3">
        <f>[1]Results!AQ1477</f>
        <v>4858.6032169999999</v>
      </c>
      <c r="AO206" s="3">
        <f>[1]Results!AR1477</f>
        <v>4870.1688359999998</v>
      </c>
      <c r="AP206" s="3">
        <f>[1]Results!AS1477</f>
        <v>4881.0314150000004</v>
      </c>
      <c r="AQ206" s="3">
        <f>[1]Results!AT1477</f>
        <v>4891.283754</v>
      </c>
      <c r="AR206" s="3">
        <f>[1]Results!AU1477</f>
        <v>4900.9995019999997</v>
      </c>
      <c r="AS206" s="3">
        <f>[1]Results!AV1477</f>
        <v>4910.2323729999998</v>
      </c>
      <c r="AT206" s="3">
        <f>[1]Results!AW1477</f>
        <v>4919.0181679999996</v>
      </c>
      <c r="AU206" s="3">
        <f>[1]Results!AX1477</f>
        <v>4927.3780839999999</v>
      </c>
      <c r="AV206" s="3">
        <f>[1]Results!AY1477</f>
        <v>4935.322467</v>
      </c>
      <c r="AW206" s="3">
        <f>[1]Results!AZ1477</f>
        <v>4942.9288290000004</v>
      </c>
      <c r="AX206" s="3">
        <f>[1]Results!BA1477</f>
        <v>4950.1912469999997</v>
      </c>
      <c r="AY206" s="3">
        <f>[1]Results!BB1477</f>
        <v>4957.0959819999998</v>
      </c>
      <c r="AZ206" s="3">
        <f>[1]Results!BC1477</f>
        <v>4963.6304090000003</v>
      </c>
      <c r="BA206" s="3">
        <f>[1]Results!BD1477</f>
        <v>4969.7867249999999</v>
      </c>
      <c r="BB206" s="3">
        <f>[1]Results!BE1477</f>
        <v>4975.5635089999996</v>
      </c>
      <c r="BC206" s="3">
        <f>[1]Results!BF1477</f>
        <v>4980.96612</v>
      </c>
      <c r="BD206" s="3">
        <f>[1]Results!BG1477</f>
        <v>4986.006394</v>
      </c>
      <c r="BE206" s="3">
        <f>[1]Results!BH1477</f>
        <v>4990.7019300000002</v>
      </c>
      <c r="BF206" s="3">
        <f>[1]Results!BI1477</f>
        <v>4995.0751460000001</v>
      </c>
    </row>
    <row r="207" spans="1:58" x14ac:dyDescent="0.35">
      <c r="B207" t="s">
        <v>28</v>
      </c>
      <c r="C207" s="3">
        <f>[1]Results!F1489</f>
        <v>868.26537059999998</v>
      </c>
      <c r="D207" s="3">
        <f>[1]Results!G1489</f>
        <v>859.07777039999996</v>
      </c>
      <c r="E207" s="3">
        <f>[1]Results!H1489</f>
        <v>852.58063360000006</v>
      </c>
      <c r="F207" s="3">
        <f>[1]Results!I1489</f>
        <v>848.85428890000003</v>
      </c>
      <c r="G207" s="3">
        <f>[1]Results!J1489</f>
        <v>847.40081039999995</v>
      </c>
      <c r="H207" s="3">
        <f>[1]Results!K1489</f>
        <v>847.69745020000005</v>
      </c>
      <c r="I207" s="3">
        <f>[1]Results!L1489</f>
        <v>848.99193549999995</v>
      </c>
      <c r="J207" s="3">
        <f>[1]Results!M1489</f>
        <v>850.96319140000003</v>
      </c>
      <c r="K207" s="3">
        <f>[1]Results!N1489</f>
        <v>853.37766739999995</v>
      </c>
      <c r="L207" s="3">
        <f>[1]Results!O1489</f>
        <v>856.05541389999996</v>
      </c>
      <c r="M207" s="3">
        <f>[1]Results!P1489</f>
        <v>859.35435910000001</v>
      </c>
      <c r="N207" s="3">
        <f>[1]Results!Q1489</f>
        <v>862.5812287</v>
      </c>
      <c r="O207" s="3">
        <f>[1]Results!R1489</f>
        <v>865.63605399999994</v>
      </c>
      <c r="P207" s="3">
        <f>[1]Results!S1489</f>
        <v>868.48270609999997</v>
      </c>
      <c r="Q207" s="3">
        <f>[1]Results!T1489</f>
        <v>871.10974380000005</v>
      </c>
      <c r="R207" s="3">
        <f>[1]Results!U1489</f>
        <v>873.52024989999995</v>
      </c>
      <c r="S207" s="3">
        <f>[1]Results!V1489</f>
        <v>875.72740220000003</v>
      </c>
      <c r="T207" s="3">
        <f>[1]Results!W1489</f>
        <v>877.75115400000004</v>
      </c>
      <c r="U207" s="3">
        <f>[1]Results!X1489</f>
        <v>879.61536260000003</v>
      </c>
      <c r="V207" s="3">
        <f>[1]Results!Y1489</f>
        <v>881.34544849999997</v>
      </c>
      <c r="W207" s="3">
        <f>[1]Results!Z1489</f>
        <v>882.63782570000001</v>
      </c>
      <c r="X207" s="3">
        <f>[1]Results!AA1489</f>
        <v>883.90579119999995</v>
      </c>
      <c r="Y207" s="3">
        <f>[1]Results!AB1489</f>
        <v>885.18699289999995</v>
      </c>
      <c r="Z207" s="3">
        <f>[1]Results!AC1489</f>
        <v>886.49097210000002</v>
      </c>
      <c r="AA207" s="3">
        <f>[1]Results!AD1489</f>
        <v>887.8218822</v>
      </c>
      <c r="AB207" s="3">
        <f>[1]Results!AE1489</f>
        <v>888.28965770000002</v>
      </c>
      <c r="AC207" s="3">
        <f>[1]Results!AF1489</f>
        <v>888.5345939</v>
      </c>
      <c r="AD207" s="3">
        <f>[1]Results!AG1489</f>
        <v>888.67770210000003</v>
      </c>
      <c r="AE207" s="3">
        <f>[1]Results!AH1489</f>
        <v>888.7892938</v>
      </c>
      <c r="AF207" s="3">
        <f>[1]Results!AI1489</f>
        <v>888.91774859999998</v>
      </c>
      <c r="AG207" s="3">
        <f>[1]Results!AJ1489</f>
        <v>889.09651829999996</v>
      </c>
      <c r="AH207" s="3">
        <f>[1]Results!AK1489</f>
        <v>889.34689430000003</v>
      </c>
      <c r="AI207" s="3">
        <f>[1]Results!AL1489</f>
        <v>889.68020309999997</v>
      </c>
      <c r="AJ207" s="3">
        <f>[1]Results!AM1489</f>
        <v>890.10001050000005</v>
      </c>
      <c r="AK207" s="3">
        <f>[1]Results!AN1489</f>
        <v>890.60427600000003</v>
      </c>
      <c r="AL207" s="3">
        <f>[1]Results!AO1489</f>
        <v>891.18728060000001</v>
      </c>
      <c r="AM207" s="3">
        <f>[1]Results!AP1489</f>
        <v>891.65213489999996</v>
      </c>
      <c r="AN207" s="3">
        <f>[1]Results!AQ1489</f>
        <v>892.02503490000004</v>
      </c>
      <c r="AO207" s="3">
        <f>[1]Results!AR1489</f>
        <v>892.34100839999996</v>
      </c>
      <c r="AP207" s="3">
        <f>[1]Results!AS1489</f>
        <v>892.62951899999996</v>
      </c>
      <c r="AQ207" s="3">
        <f>[1]Results!AT1489</f>
        <v>892.91292499999997</v>
      </c>
      <c r="AR207" s="3">
        <f>[1]Results!AU1489</f>
        <v>893.20714580000003</v>
      </c>
      <c r="AS207" s="3">
        <f>[1]Results!AV1489</f>
        <v>893.52259670000001</v>
      </c>
      <c r="AT207" s="3">
        <f>[1]Results!AW1489</f>
        <v>893.86513739999998</v>
      </c>
      <c r="AU207" s="3">
        <f>[1]Results!AX1489</f>
        <v>894.23702579999997</v>
      </c>
      <c r="AV207" s="3">
        <f>[1]Results!AY1489</f>
        <v>894.63784269999996</v>
      </c>
      <c r="AW207" s="3">
        <f>[1]Results!AZ1489</f>
        <v>895.08057719999999</v>
      </c>
      <c r="AX207" s="3">
        <f>[1]Results!BA1489</f>
        <v>895.55906340000001</v>
      </c>
      <c r="AY207" s="3">
        <f>[1]Results!BB1489</f>
        <v>896.06601239999998</v>
      </c>
      <c r="AZ207" s="3">
        <f>[1]Results!BC1489</f>
        <v>896.59467849999999</v>
      </c>
      <c r="BA207" s="3">
        <f>[1]Results!BD1489</f>
        <v>897.13931049999997</v>
      </c>
      <c r="BB207" s="3">
        <f>[1]Results!BE1489</f>
        <v>897.69527889999995</v>
      </c>
      <c r="BC207" s="3">
        <f>[1]Results!BF1489</f>
        <v>898.25906850000001</v>
      </c>
      <c r="BD207" s="3">
        <f>[1]Results!BG1489</f>
        <v>898.82819129999996</v>
      </c>
      <c r="BE207" s="3">
        <f>[1]Results!BH1489</f>
        <v>899.40105089999997</v>
      </c>
      <c r="BF207" s="3">
        <f>[1]Results!BI1489</f>
        <v>899.9767812</v>
      </c>
    </row>
    <row r="208" spans="1:58" x14ac:dyDescent="0.35">
      <c r="B208" t="s">
        <v>10</v>
      </c>
      <c r="C208" s="3">
        <f>[1]Results!F1494</f>
        <v>21270.980510000001</v>
      </c>
      <c r="D208" s="3">
        <f>[1]Results!G1494</f>
        <v>21159.176220000001</v>
      </c>
      <c r="E208" s="3">
        <f>[1]Results!H1494</f>
        <v>21074.68635</v>
      </c>
      <c r="F208" s="3">
        <f>[1]Results!I1494</f>
        <v>21035.307349999999</v>
      </c>
      <c r="G208" s="3">
        <f>[1]Results!J1494</f>
        <v>21039.423299999999</v>
      </c>
      <c r="H208" s="3">
        <f>[1]Results!K1494</f>
        <v>21080.450120000001</v>
      </c>
      <c r="I208" s="3">
        <f>[1]Results!L1494</f>
        <v>21142.329689999999</v>
      </c>
      <c r="J208" s="3">
        <f>[1]Results!M1494</f>
        <v>21219.697980000001</v>
      </c>
      <c r="K208" s="3">
        <f>[1]Results!N1494</f>
        <v>21308.253809999998</v>
      </c>
      <c r="L208" s="3">
        <f>[1]Results!O1494</f>
        <v>21404.423989999999</v>
      </c>
      <c r="M208" s="3">
        <f>[1]Results!P1494</f>
        <v>21519.446980000001</v>
      </c>
      <c r="N208" s="3">
        <f>[1]Results!Q1494</f>
        <v>21633.883709999998</v>
      </c>
      <c r="O208" s="3">
        <f>[1]Results!R1494</f>
        <v>21745.67412</v>
      </c>
      <c r="P208" s="3">
        <f>[1]Results!S1494</f>
        <v>21853.95551</v>
      </c>
      <c r="Q208" s="3">
        <f>[1]Results!T1494</f>
        <v>21958.336469999998</v>
      </c>
      <c r="R208" s="3">
        <f>[1]Results!U1494</f>
        <v>22058.715090000002</v>
      </c>
      <c r="S208" s="3">
        <f>[1]Results!V1494</f>
        <v>22155.201150000001</v>
      </c>
      <c r="T208" s="3">
        <f>[1]Results!W1494</f>
        <v>22248.053779999998</v>
      </c>
      <c r="U208" s="3">
        <f>[1]Results!X1494</f>
        <v>22337.624220000002</v>
      </c>
      <c r="V208" s="3">
        <f>[1]Results!Y1494</f>
        <v>22424.307949999999</v>
      </c>
      <c r="W208" s="3">
        <f>[1]Results!Z1494</f>
        <v>22499.077740000001</v>
      </c>
      <c r="X208" s="3">
        <f>[1]Results!AA1494</f>
        <v>22573.657719999999</v>
      </c>
      <c r="Y208" s="3">
        <f>[1]Results!AB1494</f>
        <v>22648.583180000001</v>
      </c>
      <c r="Z208" s="3">
        <f>[1]Results!AC1494</f>
        <v>22723.881219999999</v>
      </c>
      <c r="AA208" s="3">
        <f>[1]Results!AD1494</f>
        <v>22799.49886</v>
      </c>
      <c r="AB208" s="3">
        <f>[1]Results!AE1494</f>
        <v>22849.671490000001</v>
      </c>
      <c r="AC208" s="3">
        <f>[1]Results!AF1494</f>
        <v>22893.175630000002</v>
      </c>
      <c r="AD208" s="3">
        <f>[1]Results!AG1494</f>
        <v>22932.86879</v>
      </c>
      <c r="AE208" s="3">
        <f>[1]Results!AH1494</f>
        <v>22970.544709999998</v>
      </c>
      <c r="AF208" s="3">
        <f>[1]Results!AI1494</f>
        <v>23007.48387</v>
      </c>
      <c r="AG208" s="3">
        <f>[1]Results!AJ1494</f>
        <v>23044.596079999999</v>
      </c>
      <c r="AH208" s="3">
        <f>[1]Results!AK1494</f>
        <v>23082.484260000001</v>
      </c>
      <c r="AI208" s="3">
        <f>[1]Results!AL1494</f>
        <v>23121.499879999999</v>
      </c>
      <c r="AJ208" s="3">
        <f>[1]Results!AM1494</f>
        <v>23161.799129999999</v>
      </c>
      <c r="AK208" s="3">
        <f>[1]Results!AN1494</f>
        <v>23203.39774</v>
      </c>
      <c r="AL208" s="3">
        <f>[1]Results!AO1494</f>
        <v>23246.219550000002</v>
      </c>
      <c r="AM208" s="3">
        <f>[1]Results!AP1494</f>
        <v>23284.668590000001</v>
      </c>
      <c r="AN208" s="3">
        <f>[1]Results!AQ1494</f>
        <v>23319.699540000001</v>
      </c>
      <c r="AO208" s="3">
        <f>[1]Results!AR1494</f>
        <v>23352.36147</v>
      </c>
      <c r="AP208" s="3">
        <f>[1]Results!AS1494</f>
        <v>23383.531510000001</v>
      </c>
      <c r="AQ208" s="3">
        <f>[1]Results!AT1494</f>
        <v>23413.891019999999</v>
      </c>
      <c r="AR208" s="3">
        <f>[1]Results!AU1494</f>
        <v>23443.94382</v>
      </c>
      <c r="AS208" s="3">
        <f>[1]Results!AV1494</f>
        <v>23474.040079999999</v>
      </c>
      <c r="AT208" s="3">
        <f>[1]Results!AW1494</f>
        <v>23504.40121</v>
      </c>
      <c r="AU208" s="3">
        <f>[1]Results!AX1494</f>
        <v>23535.14558</v>
      </c>
      <c r="AV208" s="3">
        <f>[1]Results!AY1494</f>
        <v>23566.31338</v>
      </c>
      <c r="AW208" s="3">
        <f>[1]Results!AZ1494</f>
        <v>23598.32994</v>
      </c>
      <c r="AX208" s="3">
        <f>[1]Results!BA1494</f>
        <v>23631.055489999999</v>
      </c>
      <c r="AY208" s="3">
        <f>[1]Results!BB1494</f>
        <v>23664.326120000002</v>
      </c>
      <c r="AZ208" s="3">
        <f>[1]Results!BC1494</f>
        <v>23697.989369999999</v>
      </c>
      <c r="BA208" s="3">
        <f>[1]Results!BD1494</f>
        <v>23731.915249999998</v>
      </c>
      <c r="BB208" s="3">
        <f>[1]Results!BE1494</f>
        <v>23765.999940000002</v>
      </c>
      <c r="BC208" s="3">
        <f>[1]Results!BF1494</f>
        <v>23800.16591</v>
      </c>
      <c r="BD208" s="3">
        <f>[1]Results!BG1494</f>
        <v>23834.359919999999</v>
      </c>
      <c r="BE208" s="3">
        <f>[1]Results!BH1494</f>
        <v>23868.5497</v>
      </c>
      <c r="BF208" s="3">
        <f>[1]Results!BI1494</f>
        <v>23902.720020000001</v>
      </c>
    </row>
    <row r="209" spans="1:58" x14ac:dyDescent="0.35">
      <c r="B209" t="s">
        <v>29</v>
      </c>
      <c r="C209" s="3">
        <f>C214-C210</f>
        <v>10.587678502699999</v>
      </c>
      <c r="D209" s="3">
        <f t="shared" ref="D209:AL209" si="95">D214-D210</f>
        <v>10.4236974183</v>
      </c>
      <c r="E209" s="3">
        <f t="shared" si="95"/>
        <v>10.290479408200001</v>
      </c>
      <c r="F209" s="3">
        <f t="shared" si="95"/>
        <v>10.193187936699999</v>
      </c>
      <c r="G209" s="3">
        <f t="shared" si="95"/>
        <v>10.1270098297</v>
      </c>
      <c r="H209" s="3">
        <f t="shared" si="95"/>
        <v>10.0864257235</v>
      </c>
      <c r="I209" s="3">
        <f t="shared" si="95"/>
        <v>10.062712887499998</v>
      </c>
      <c r="J209" s="3">
        <f t="shared" si="95"/>
        <v>10.051692508999999</v>
      </c>
      <c r="K209" s="3">
        <f t="shared" si="95"/>
        <v>10.049892166199999</v>
      </c>
      <c r="L209" s="3">
        <f t="shared" si="95"/>
        <v>10.054359360199999</v>
      </c>
      <c r="M209" s="3">
        <f t="shared" si="95"/>
        <v>10.068403420900001</v>
      </c>
      <c r="N209" s="3">
        <f t="shared" si="95"/>
        <v>10.083447240400002</v>
      </c>
      <c r="O209" s="3">
        <f t="shared" si="95"/>
        <v>10.098082637000001</v>
      </c>
      <c r="P209" s="3">
        <f t="shared" si="95"/>
        <v>10.111753077199999</v>
      </c>
      <c r="Q209" s="3">
        <f t="shared" si="95"/>
        <v>10.124208754400001</v>
      </c>
      <c r="R209" s="3">
        <f t="shared" si="95"/>
        <v>10.1353622112</v>
      </c>
      <c r="S209" s="3">
        <f t="shared" si="95"/>
        <v>10.1452206432</v>
      </c>
      <c r="T209" s="3">
        <f t="shared" si="95"/>
        <v>10.1538455076</v>
      </c>
      <c r="U209" s="3">
        <f t="shared" si="95"/>
        <v>10.1613288924</v>
      </c>
      <c r="V209" s="3">
        <f t="shared" si="95"/>
        <v>10.1677808084</v>
      </c>
      <c r="W209" s="3">
        <f t="shared" si="95"/>
        <v>10.169641366499999</v>
      </c>
      <c r="X209" s="3">
        <f t="shared" si="95"/>
        <v>10.171556279700003</v>
      </c>
      <c r="Y209" s="3">
        <f t="shared" si="95"/>
        <v>10.173718062199999</v>
      </c>
      <c r="Z209" s="3">
        <f t="shared" si="95"/>
        <v>10.1760374594</v>
      </c>
      <c r="AA209" s="3">
        <f t="shared" si="95"/>
        <v>10.178449145000002</v>
      </c>
      <c r="AB209" s="3">
        <f t="shared" si="95"/>
        <v>10.170950040800001</v>
      </c>
      <c r="AC209" s="3">
        <f t="shared" si="95"/>
        <v>10.161150212400001</v>
      </c>
      <c r="AD209" s="3">
        <f t="shared" si="95"/>
        <v>10.150311689700001</v>
      </c>
      <c r="AE209" s="3">
        <f t="shared" si="95"/>
        <v>10.139018481500003</v>
      </c>
      <c r="AF209" s="3">
        <f t="shared" si="95"/>
        <v>10.127643713299999</v>
      </c>
      <c r="AG209" s="3">
        <f t="shared" si="95"/>
        <v>10.116454594299999</v>
      </c>
      <c r="AH209" s="3">
        <f t="shared" si="95"/>
        <v>10.105642222299998</v>
      </c>
      <c r="AI209" s="3">
        <f t="shared" si="95"/>
        <v>10.095331010300001</v>
      </c>
      <c r="AJ209" s="3">
        <f t="shared" si="95"/>
        <v>10.085595392000002</v>
      </c>
      <c r="AK209" s="3">
        <f t="shared" si="95"/>
        <v>10.0764711137</v>
      </c>
      <c r="AL209" s="3">
        <f t="shared" si="95"/>
        <v>10.067963862999999</v>
      </c>
      <c r="AM209" s="3">
        <f t="shared" ref="AM209:BC209" si="96">AM214-AM210</f>
        <v>10.057951068199998</v>
      </c>
      <c r="AN209" s="3">
        <f t="shared" si="96"/>
        <v>10.046890665600001</v>
      </c>
      <c r="AO209" s="3">
        <f t="shared" si="96"/>
        <v>10.035256690000001</v>
      </c>
      <c r="AP209" s="3">
        <f t="shared" si="96"/>
        <v>10.023386947300001</v>
      </c>
      <c r="AQ209" s="3">
        <f t="shared" si="96"/>
        <v>10.0115030664</v>
      </c>
      <c r="AR209" s="3">
        <f t="shared" si="96"/>
        <v>9.9997446516999986</v>
      </c>
      <c r="AS209" s="3">
        <f t="shared" si="96"/>
        <v>9.9881946763999991</v>
      </c>
      <c r="AT209" s="3">
        <f t="shared" si="96"/>
        <v>9.9768966838999997</v>
      </c>
      <c r="AU209" s="3">
        <f t="shared" si="96"/>
        <v>9.9658667388000008</v>
      </c>
      <c r="AV209" s="3">
        <f t="shared" si="96"/>
        <v>9.9551051503999997</v>
      </c>
      <c r="AW209" s="3">
        <f t="shared" si="96"/>
        <v>9.9447767036999988</v>
      </c>
      <c r="AX209" s="3">
        <f t="shared" si="96"/>
        <v>9.9348362833999992</v>
      </c>
      <c r="AY209" s="3">
        <f t="shared" si="96"/>
        <v>9.9252345663999986</v>
      </c>
      <c r="AZ209" s="3">
        <f t="shared" si="96"/>
        <v>9.9159293025999986</v>
      </c>
      <c r="BA209" s="3">
        <f t="shared" si="96"/>
        <v>9.9068841474999978</v>
      </c>
      <c r="BB209" s="3">
        <f t="shared" si="96"/>
        <v>9.8980674650000005</v>
      </c>
      <c r="BC209" s="3">
        <f t="shared" si="96"/>
        <v>9.8894520851000003</v>
      </c>
      <c r="BD209" s="3">
        <f t="shared" ref="BD209:BF209" si="97">BD214-BD210</f>
        <v>9.8810155186000017</v>
      </c>
      <c r="BE209" s="3">
        <f t="shared" si="97"/>
        <v>9.8727400213000003</v>
      </c>
      <c r="BF209" s="3">
        <f t="shared" si="97"/>
        <v>9.8646123878000012</v>
      </c>
    </row>
    <row r="210" spans="1:58" x14ac:dyDescent="0.35">
      <c r="B210" t="s">
        <v>36</v>
      </c>
      <c r="C210" s="3">
        <f>C212+C213</f>
        <v>7.4064825973000001</v>
      </c>
      <c r="D210" s="3">
        <f t="shared" ref="D210:AL210" si="98">D212+D213</f>
        <v>7.2913914217000002</v>
      </c>
      <c r="E210" s="3">
        <f t="shared" si="98"/>
        <v>7.1902714618000001</v>
      </c>
      <c r="F210" s="3">
        <f t="shared" si="98"/>
        <v>7.1097334633000004</v>
      </c>
      <c r="G210" s="3">
        <f t="shared" si="98"/>
        <v>7.0502996003000007</v>
      </c>
      <c r="H210" s="3">
        <f t="shared" si="98"/>
        <v>7.0101080265000002</v>
      </c>
      <c r="I210" s="3">
        <f t="shared" si="98"/>
        <v>6.9839937425</v>
      </c>
      <c r="J210" s="3">
        <f t="shared" si="98"/>
        <v>6.9689405710000001</v>
      </c>
      <c r="K210" s="3">
        <f t="shared" si="98"/>
        <v>6.9621350438</v>
      </c>
      <c r="L210" s="3">
        <f t="shared" si="98"/>
        <v>6.9611541997999993</v>
      </c>
      <c r="M210" s="3">
        <f t="shared" si="98"/>
        <v>6.9674732090999996</v>
      </c>
      <c r="N210" s="3">
        <f t="shared" si="98"/>
        <v>6.9754356295999997</v>
      </c>
      <c r="O210" s="3">
        <f t="shared" si="98"/>
        <v>6.9839780730000003</v>
      </c>
      <c r="P210" s="3">
        <f t="shared" si="98"/>
        <v>6.9925198927999999</v>
      </c>
      <c r="Q210" s="3">
        <f t="shared" si="98"/>
        <v>7.0006978155999997</v>
      </c>
      <c r="R210" s="3">
        <f t="shared" si="98"/>
        <v>7.0082873487999997</v>
      </c>
      <c r="S210" s="3">
        <f t="shared" si="98"/>
        <v>7.0151609367999992</v>
      </c>
      <c r="T210" s="3">
        <f t="shared" si="98"/>
        <v>7.0212586023999997</v>
      </c>
      <c r="U210" s="3">
        <f t="shared" si="98"/>
        <v>7.0265667275999997</v>
      </c>
      <c r="V210" s="3">
        <f t="shared" si="98"/>
        <v>7.0311030515999997</v>
      </c>
      <c r="W210" s="3">
        <f t="shared" si="98"/>
        <v>7.0326416935000005</v>
      </c>
      <c r="X210" s="3">
        <f t="shared" si="98"/>
        <v>7.0340081402999992</v>
      </c>
      <c r="Y210" s="3">
        <f t="shared" si="98"/>
        <v>7.0352527777999994</v>
      </c>
      <c r="Z210" s="3">
        <f t="shared" si="98"/>
        <v>7.0363285005999998</v>
      </c>
      <c r="AA210" s="3">
        <f t="shared" si="98"/>
        <v>7.0372111349999997</v>
      </c>
      <c r="AB210" s="3">
        <f t="shared" si="98"/>
        <v>7.0317461092000002</v>
      </c>
      <c r="AC210" s="3">
        <f t="shared" si="98"/>
        <v>7.0246158275999999</v>
      </c>
      <c r="AD210" s="3">
        <f t="shared" si="98"/>
        <v>7.0164622603</v>
      </c>
      <c r="AE210" s="3">
        <f t="shared" si="98"/>
        <v>7.0076381384999999</v>
      </c>
      <c r="AF210" s="3">
        <f t="shared" si="98"/>
        <v>6.9984062567</v>
      </c>
      <c r="AG210" s="3">
        <f t="shared" si="98"/>
        <v>6.9889759756999998</v>
      </c>
      <c r="AH210" s="3">
        <f t="shared" si="98"/>
        <v>6.9795101977000007</v>
      </c>
      <c r="AI210" s="3">
        <f t="shared" si="98"/>
        <v>6.9701285597</v>
      </c>
      <c r="AJ210" s="3">
        <f t="shared" si="98"/>
        <v>6.9609136180000002</v>
      </c>
      <c r="AK210" s="3">
        <f t="shared" si="98"/>
        <v>6.9519173663</v>
      </c>
      <c r="AL210" s="3">
        <f t="shared" si="98"/>
        <v>6.9431677769999993</v>
      </c>
      <c r="AM210" s="3">
        <f t="shared" ref="AM210:BC210" si="99">AM212+AM213</f>
        <v>6.9333740018000007</v>
      </c>
      <c r="AN210" s="3">
        <f t="shared" si="99"/>
        <v>6.9228370043999998</v>
      </c>
      <c r="AO210" s="3">
        <f t="shared" si="99"/>
        <v>6.9118376499999998</v>
      </c>
      <c r="AP210" s="3">
        <f t="shared" si="99"/>
        <v>6.9005824026999996</v>
      </c>
      <c r="AQ210" s="3">
        <f t="shared" si="99"/>
        <v>6.8892182035999996</v>
      </c>
      <c r="AR210" s="3">
        <f t="shared" si="99"/>
        <v>6.8778490882999996</v>
      </c>
      <c r="AS210" s="3">
        <f t="shared" si="99"/>
        <v>6.8665472236000005</v>
      </c>
      <c r="AT210" s="3">
        <f t="shared" si="99"/>
        <v>6.8553601161</v>
      </c>
      <c r="AU210" s="3">
        <f t="shared" si="99"/>
        <v>6.8443159411999996</v>
      </c>
      <c r="AV210" s="3">
        <f t="shared" si="99"/>
        <v>6.8334285995999995</v>
      </c>
      <c r="AW210" s="3">
        <f t="shared" si="99"/>
        <v>6.8228068663000006</v>
      </c>
      <c r="AX210" s="3">
        <f t="shared" si="99"/>
        <v>6.8124239066000003</v>
      </c>
      <c r="AY210" s="3">
        <f t="shared" si="99"/>
        <v>6.8022494536</v>
      </c>
      <c r="AZ210" s="3">
        <f t="shared" si="99"/>
        <v>6.7922558074000001</v>
      </c>
      <c r="BA210" s="3">
        <f t="shared" si="99"/>
        <v>6.7824181225000002</v>
      </c>
      <c r="BB210" s="3">
        <f t="shared" si="99"/>
        <v>6.7727143849999996</v>
      </c>
      <c r="BC210" s="3">
        <f t="shared" si="99"/>
        <v>6.7631255449000003</v>
      </c>
      <c r="BD210" s="3">
        <f t="shared" ref="BD210:BF210" si="100">BD212+BD213</f>
        <v>6.7536356114</v>
      </c>
      <c r="BE210" s="3">
        <f t="shared" si="100"/>
        <v>6.7442315986999999</v>
      </c>
      <c r="BF210" s="3">
        <f t="shared" si="100"/>
        <v>6.7349032621999996</v>
      </c>
    </row>
    <row r="211" spans="1:58" x14ac:dyDescent="0.35">
      <c r="B211" t="s">
        <v>33</v>
      </c>
      <c r="C211" s="3">
        <f>[1]Results!F1502</f>
        <v>86.953616359999998</v>
      </c>
      <c r="D211" s="3">
        <f>[1]Results!G1502</f>
        <v>86.202505889999998</v>
      </c>
      <c r="E211" s="3">
        <f>[1]Results!H1502</f>
        <v>85.361558239999994</v>
      </c>
      <c r="F211" s="3">
        <f>[1]Results!I1502</f>
        <v>84.585737069999993</v>
      </c>
      <c r="G211" s="3">
        <f>[1]Results!J1502</f>
        <v>83.932876809999996</v>
      </c>
      <c r="H211" s="3">
        <f>[1]Results!K1502</f>
        <v>83.421130919999996</v>
      </c>
      <c r="I211" s="3">
        <f>[1]Results!L1502</f>
        <v>83.017500859999998</v>
      </c>
      <c r="J211" s="3">
        <f>[1]Results!M1502</f>
        <v>82.702548410000006</v>
      </c>
      <c r="K211" s="3">
        <f>[1]Results!N1502</f>
        <v>82.454866730000006</v>
      </c>
      <c r="L211" s="3">
        <f>[1]Results!O1502</f>
        <v>82.251870159999996</v>
      </c>
      <c r="M211" s="3">
        <f>[1]Results!P1502</f>
        <v>82.114235260000001</v>
      </c>
      <c r="N211" s="3">
        <f>[1]Results!Q1502</f>
        <v>81.979240349999998</v>
      </c>
      <c r="O211" s="3">
        <f>[1]Results!R1502</f>
        <v>81.829340680000001</v>
      </c>
      <c r="P211" s="3">
        <f>[1]Results!S1502</f>
        <v>81.659127609999999</v>
      </c>
      <c r="Q211" s="3">
        <f>[1]Results!T1502</f>
        <v>81.468156300000004</v>
      </c>
      <c r="R211" s="3">
        <f>[1]Results!U1502</f>
        <v>81.258220429999994</v>
      </c>
      <c r="S211" s="3">
        <f>[1]Results!V1502</f>
        <v>81.03199481</v>
      </c>
      <c r="T211" s="3">
        <f>[1]Results!W1502</f>
        <v>80.79235765</v>
      </c>
      <c r="U211" s="3">
        <f>[1]Results!X1502</f>
        <v>80.542114310000002</v>
      </c>
      <c r="V211" s="3">
        <f>[1]Results!Y1502</f>
        <v>80.283928259999996</v>
      </c>
      <c r="W211" s="3">
        <f>[1]Results!Z1502</f>
        <v>79.993247159999996</v>
      </c>
      <c r="X211" s="3">
        <f>[1]Results!AA1502</f>
        <v>79.702822560000001</v>
      </c>
      <c r="Y211" s="3">
        <f>[1]Results!AB1502</f>
        <v>79.418898600000006</v>
      </c>
      <c r="Z211" s="3">
        <f>[1]Results!AC1502</f>
        <v>79.142740939999996</v>
      </c>
      <c r="AA211" s="3">
        <f>[1]Results!AD1502</f>
        <v>78.874743570000007</v>
      </c>
      <c r="AB211" s="3">
        <f>[1]Results!AE1502</f>
        <v>78.542756299999994</v>
      </c>
      <c r="AC211" s="3">
        <f>[1]Results!AF1502</f>
        <v>78.194698430000003</v>
      </c>
      <c r="AD211" s="3">
        <f>[1]Results!AG1502</f>
        <v>77.845825079999997</v>
      </c>
      <c r="AE211" s="3">
        <f>[1]Results!AH1502</f>
        <v>77.503334629999998</v>
      </c>
      <c r="AF211" s="3">
        <f>[1]Results!AI1502</f>
        <v>77.171244439999995</v>
      </c>
      <c r="AG211" s="3">
        <f>[1]Results!AJ1502</f>
        <v>76.851950149999993</v>
      </c>
      <c r="AH211" s="3">
        <f>[1]Results!AK1502</f>
        <v>76.546828550000001</v>
      </c>
      <c r="AI211" s="3">
        <f>[1]Results!AL1502</f>
        <v>76.256545689999996</v>
      </c>
      <c r="AJ211" s="3">
        <f>[1]Results!AM1502</f>
        <v>75.981235650000002</v>
      </c>
      <c r="AK211" s="3">
        <f>[1]Results!AN1502</f>
        <v>75.720627210000004</v>
      </c>
      <c r="AL211" s="3">
        <f>[1]Results!AO1502</f>
        <v>75.474146009999998</v>
      </c>
      <c r="AM211" s="3">
        <f>[1]Results!AP1502</f>
        <v>75.22604681</v>
      </c>
      <c r="AN211" s="3">
        <f>[1]Results!AQ1502</f>
        <v>74.977225110000006</v>
      </c>
      <c r="AO211" s="3">
        <f>[1]Results!AR1502</f>
        <v>74.730613559999995</v>
      </c>
      <c r="AP211" s="3">
        <f>[1]Results!AS1502</f>
        <v>74.488611719999994</v>
      </c>
      <c r="AQ211" s="3">
        <f>[1]Results!AT1502</f>
        <v>74.25274383</v>
      </c>
      <c r="AR211" s="3">
        <f>[1]Results!AU1502</f>
        <v>74.023804659999996</v>
      </c>
      <c r="AS211" s="3">
        <f>[1]Results!AV1502</f>
        <v>73.80206527</v>
      </c>
      <c r="AT211" s="3">
        <f>[1]Results!AW1502</f>
        <v>73.587444899999994</v>
      </c>
      <c r="AU211" s="3">
        <f>[1]Results!AX1502</f>
        <v>73.379639409999996</v>
      </c>
      <c r="AV211" s="3">
        <f>[1]Results!AY1502</f>
        <v>73.178273110000006</v>
      </c>
      <c r="AW211" s="3">
        <f>[1]Results!AZ1502</f>
        <v>72.984246029999994</v>
      </c>
      <c r="AX211" s="3">
        <f>[1]Results!BA1502</f>
        <v>72.797241260000007</v>
      </c>
      <c r="AY211" s="3">
        <f>[1]Results!BB1502</f>
        <v>72.616822119999995</v>
      </c>
      <c r="AZ211" s="3">
        <f>[1]Results!BC1502</f>
        <v>72.442577749999998</v>
      </c>
      <c r="BA211" s="3">
        <f>[1]Results!BD1502</f>
        <v>72.274130760000006</v>
      </c>
      <c r="BB211" s="3">
        <f>[1]Results!BE1502</f>
        <v>72.111136560000006</v>
      </c>
      <c r="BC211" s="3">
        <f>[1]Results!BF1502</f>
        <v>71.953291010000001</v>
      </c>
      <c r="BD211" s="3">
        <f>[1]Results!BG1502</f>
        <v>71.800340689999999</v>
      </c>
      <c r="BE211" s="3">
        <f>[1]Results!BH1502</f>
        <v>71.652089950000004</v>
      </c>
      <c r="BF211" s="3">
        <f>[1]Results!BI1502</f>
        <v>71.508402459999999</v>
      </c>
    </row>
    <row r="212" spans="1:58" x14ac:dyDescent="0.35">
      <c r="B212" t="s">
        <v>35</v>
      </c>
      <c r="C212" s="3">
        <f>[1]Results!F1499</f>
        <v>6.6863688420000003</v>
      </c>
      <c r="D212" s="3">
        <f>[1]Results!G1499</f>
        <v>6.580923275</v>
      </c>
      <c r="E212" s="3">
        <f>[1]Results!H1499</f>
        <v>6.4874267080000001</v>
      </c>
      <c r="F212" s="3">
        <f>[1]Results!I1499</f>
        <v>6.4121652390000001</v>
      </c>
      <c r="G212" s="3">
        <f>[1]Results!J1499</f>
        <v>6.3561131690000003</v>
      </c>
      <c r="H212" s="3">
        <f>[1]Results!K1499</f>
        <v>6.3177982620000002</v>
      </c>
      <c r="I212" s="3">
        <f>[1]Results!L1499</f>
        <v>6.2926361819999999</v>
      </c>
      <c r="J212" s="3">
        <f>[1]Results!M1499</f>
        <v>6.2778401769999999</v>
      </c>
      <c r="K212" s="3">
        <f>[1]Results!N1499</f>
        <v>6.2707742910000004</v>
      </c>
      <c r="L212" s="3">
        <f>[1]Results!O1499</f>
        <v>6.2691762769999997</v>
      </c>
      <c r="M212" s="3">
        <f>[1]Results!P1499</f>
        <v>6.2742381969999999</v>
      </c>
      <c r="N212" s="3">
        <f>[1]Results!Q1499</f>
        <v>6.2809473029999996</v>
      </c>
      <c r="O212" s="3">
        <f>[1]Results!R1499</f>
        <v>6.2883705010000002</v>
      </c>
      <c r="P212" s="3">
        <f>[1]Results!S1499</f>
        <v>6.295961309</v>
      </c>
      <c r="Q212" s="3">
        <f>[1]Results!T1499</f>
        <v>6.3033552569999998</v>
      </c>
      <c r="R212" s="3">
        <f>[1]Results!U1499</f>
        <v>6.3103123669999999</v>
      </c>
      <c r="S212" s="3">
        <f>[1]Results!V1499</f>
        <v>6.3166857399999996</v>
      </c>
      <c r="T212" s="3">
        <f>[1]Results!W1499</f>
        <v>6.3223970319999996</v>
      </c>
      <c r="U212" s="3">
        <f>[1]Results!X1499</f>
        <v>6.3274166149999997</v>
      </c>
      <c r="V212" s="3">
        <f>[1]Results!Y1499</f>
        <v>6.3317482189999996</v>
      </c>
      <c r="W212" s="3">
        <f>[1]Results!Z1499</f>
        <v>6.3334379580000002</v>
      </c>
      <c r="X212" s="3">
        <f>[1]Results!AA1499</f>
        <v>6.3349603739999996</v>
      </c>
      <c r="Y212" s="3">
        <f>[1]Results!AB1499</f>
        <v>6.3363323429999996</v>
      </c>
      <c r="Z212" s="3">
        <f>[1]Results!AC1499</f>
        <v>6.337509925</v>
      </c>
      <c r="AA212" s="3">
        <f>[1]Results!AD1499</f>
        <v>6.3384735049999996</v>
      </c>
      <c r="AB212" s="3">
        <f>[1]Results!AE1499</f>
        <v>6.3338386519999998</v>
      </c>
      <c r="AC212" s="3">
        <f>[1]Results!AF1499</f>
        <v>6.3277302889999998</v>
      </c>
      <c r="AD212" s="3">
        <f>[1]Results!AG1499</f>
        <v>6.3206620969999996</v>
      </c>
      <c r="AE212" s="3">
        <f>[1]Results!AH1499</f>
        <v>6.312930562</v>
      </c>
      <c r="AF212" s="3">
        <f>[1]Results!AI1499</f>
        <v>6.304766495</v>
      </c>
      <c r="AG212" s="3">
        <f>[1]Results!AJ1499</f>
        <v>6.296358755</v>
      </c>
      <c r="AH212" s="3">
        <f>[1]Results!AK1499</f>
        <v>6.2878568890000004</v>
      </c>
      <c r="AI212" s="3">
        <f>[1]Results!AL1499</f>
        <v>6.2793729069999999</v>
      </c>
      <c r="AJ212" s="3">
        <f>[1]Results!AM1499</f>
        <v>6.2709853080000002</v>
      </c>
      <c r="AK212" s="3">
        <f>[1]Results!AN1499</f>
        <v>6.2627446170000001</v>
      </c>
      <c r="AL212" s="3">
        <f>[1]Results!AO1499</f>
        <v>6.2546794229999998</v>
      </c>
      <c r="AM212" s="3">
        <f>[1]Results!AP1499</f>
        <v>6.2456619140000003</v>
      </c>
      <c r="AN212" s="3">
        <f>[1]Results!AQ1499</f>
        <v>6.2359658360000001</v>
      </c>
      <c r="AO212" s="3">
        <f>[1]Results!AR1499</f>
        <v>6.2258350130000002</v>
      </c>
      <c r="AP212" s="3">
        <f>[1]Results!AS1499</f>
        <v>6.2154487989999998</v>
      </c>
      <c r="AQ212" s="3">
        <f>[1]Results!AT1499</f>
        <v>6.2049372299999996</v>
      </c>
      <c r="AR212" s="3">
        <f>[1]Results!AU1499</f>
        <v>6.194394988</v>
      </c>
      <c r="AS212" s="3">
        <f>[1]Results!AV1499</f>
        <v>6.1838900060000004</v>
      </c>
      <c r="AT212" s="3">
        <f>[1]Results!AW1499</f>
        <v>6.1734688860000002</v>
      </c>
      <c r="AU212" s="3">
        <f>[1]Results!AX1499</f>
        <v>6.16316094</v>
      </c>
      <c r="AV212" s="3">
        <f>[1]Results!AY1499</f>
        <v>6.1529817539999998</v>
      </c>
      <c r="AW212" s="3">
        <f>[1]Results!AZ1499</f>
        <v>6.1430279490000004</v>
      </c>
      <c r="AX212" s="3">
        <f>[1]Results!BA1499</f>
        <v>6.133274825</v>
      </c>
      <c r="AY212" s="3">
        <f>[1]Results!BB1499</f>
        <v>6.1236948470000003</v>
      </c>
      <c r="AZ212" s="3">
        <f>[1]Results!BC1499</f>
        <v>6.1142626949999999</v>
      </c>
      <c r="BA212" s="3">
        <f>[1]Results!BD1499</f>
        <v>6.104955747</v>
      </c>
      <c r="BB212" s="3">
        <f>[1]Results!BE1499</f>
        <v>6.0957541749999997</v>
      </c>
      <c r="BC212" s="3">
        <f>[1]Results!BF1499</f>
        <v>6.0866410330000003</v>
      </c>
      <c r="BD212" s="3">
        <f>[1]Results!BG1499</f>
        <v>6.0776022430000003</v>
      </c>
      <c r="BE212" s="3">
        <f>[1]Results!BH1499</f>
        <v>6.068626439</v>
      </c>
      <c r="BF212" s="3">
        <f>[1]Results!BI1499</f>
        <v>6.0597046450000001</v>
      </c>
    </row>
    <row r="213" spans="1:58" x14ac:dyDescent="0.35">
      <c r="B213" t="s">
        <v>34</v>
      </c>
      <c r="C213" s="3">
        <f>[1]Results!F1501</f>
        <v>0.72011375529999999</v>
      </c>
      <c r="D213" s="3">
        <f>[1]Results!G1501</f>
        <v>0.71046814670000003</v>
      </c>
      <c r="E213" s="3">
        <f>[1]Results!H1501</f>
        <v>0.7028447538</v>
      </c>
      <c r="F213" s="3">
        <f>[1]Results!I1501</f>
        <v>0.69756822429999998</v>
      </c>
      <c r="G213" s="3">
        <f>[1]Results!J1501</f>
        <v>0.69418643130000002</v>
      </c>
      <c r="H213" s="3">
        <f>[1]Results!K1501</f>
        <v>0.69230976450000004</v>
      </c>
      <c r="I213" s="3">
        <f>[1]Results!L1501</f>
        <v>0.69135756049999997</v>
      </c>
      <c r="J213" s="3">
        <f>[1]Results!M1501</f>
        <v>0.69110039400000001</v>
      </c>
      <c r="K213" s="3">
        <f>[1]Results!N1501</f>
        <v>0.69136075279999998</v>
      </c>
      <c r="L213" s="3">
        <f>[1]Results!O1501</f>
        <v>0.69197792280000003</v>
      </c>
      <c r="M213" s="3">
        <f>[1]Results!P1501</f>
        <v>0.69323501210000005</v>
      </c>
      <c r="N213" s="3">
        <f>[1]Results!Q1501</f>
        <v>0.69448832660000004</v>
      </c>
      <c r="O213" s="3">
        <f>[1]Results!R1501</f>
        <v>0.69560757200000001</v>
      </c>
      <c r="P213" s="3">
        <f>[1]Results!S1501</f>
        <v>0.69655858380000002</v>
      </c>
      <c r="Q213" s="3">
        <f>[1]Results!T1501</f>
        <v>0.69734255860000005</v>
      </c>
      <c r="R213" s="3">
        <f>[1]Results!U1501</f>
        <v>0.69797498179999995</v>
      </c>
      <c r="S213" s="3">
        <f>[1]Results!V1501</f>
        <v>0.69847519680000003</v>
      </c>
      <c r="T213" s="3">
        <f>[1]Results!W1501</f>
        <v>0.69886157039999997</v>
      </c>
      <c r="U213" s="3">
        <f>[1]Results!X1501</f>
        <v>0.69915011260000004</v>
      </c>
      <c r="V213" s="3">
        <f>[1]Results!Y1501</f>
        <v>0.69935483259999998</v>
      </c>
      <c r="W213" s="3">
        <f>[1]Results!Z1501</f>
        <v>0.69920373550000003</v>
      </c>
      <c r="X213" s="3">
        <f>[1]Results!AA1501</f>
        <v>0.69904776629999998</v>
      </c>
      <c r="Y213" s="3">
        <f>[1]Results!AB1501</f>
        <v>0.69892043479999999</v>
      </c>
      <c r="Z213" s="3">
        <f>[1]Results!AC1501</f>
        <v>0.69881857560000005</v>
      </c>
      <c r="AA213" s="3">
        <f>[1]Results!AD1501</f>
        <v>0.69873763</v>
      </c>
      <c r="AB213" s="3">
        <f>[1]Results!AE1501</f>
        <v>0.69790745720000003</v>
      </c>
      <c r="AC213" s="3">
        <f>[1]Results!AF1501</f>
        <v>0.69688553860000002</v>
      </c>
      <c r="AD213" s="3">
        <f>[1]Results!AG1501</f>
        <v>0.69580016330000005</v>
      </c>
      <c r="AE213" s="3">
        <f>[1]Results!AH1501</f>
        <v>0.69470757650000003</v>
      </c>
      <c r="AF213" s="3">
        <f>[1]Results!AI1501</f>
        <v>0.69363976169999997</v>
      </c>
      <c r="AG213" s="3">
        <f>[1]Results!AJ1501</f>
        <v>0.69261722069999998</v>
      </c>
      <c r="AH213" s="3">
        <f>[1]Results!AK1501</f>
        <v>0.69165330869999997</v>
      </c>
      <c r="AI213" s="3">
        <f>[1]Results!AL1501</f>
        <v>0.69075565269999994</v>
      </c>
      <c r="AJ213" s="3">
        <f>[1]Results!AM1501</f>
        <v>0.68992830999999999</v>
      </c>
      <c r="AK213" s="3">
        <f>[1]Results!AN1501</f>
        <v>0.68917274930000005</v>
      </c>
      <c r="AL213" s="3">
        <f>[1]Results!AO1501</f>
        <v>0.68848835399999997</v>
      </c>
      <c r="AM213" s="3">
        <f>[1]Results!AP1501</f>
        <v>0.68771208780000004</v>
      </c>
      <c r="AN213" s="3">
        <f>[1]Results!AQ1501</f>
        <v>0.68687116839999995</v>
      </c>
      <c r="AO213" s="3">
        <f>[1]Results!AR1501</f>
        <v>0.68600263699999997</v>
      </c>
      <c r="AP213" s="3">
        <f>[1]Results!AS1501</f>
        <v>0.68513360369999998</v>
      </c>
      <c r="AQ213" s="3">
        <f>[1]Results!AT1501</f>
        <v>0.68428097359999995</v>
      </c>
      <c r="AR213" s="3">
        <f>[1]Results!AU1501</f>
        <v>0.68345410029999998</v>
      </c>
      <c r="AS213" s="3">
        <f>[1]Results!AV1501</f>
        <v>0.68265721759999998</v>
      </c>
      <c r="AT213" s="3">
        <f>[1]Results!AW1501</f>
        <v>0.68189123009999997</v>
      </c>
      <c r="AU213" s="3">
        <f>[1]Results!AX1501</f>
        <v>0.68115500120000005</v>
      </c>
      <c r="AV213" s="3">
        <f>[1]Results!AY1501</f>
        <v>0.68044684560000002</v>
      </c>
      <c r="AW213" s="3">
        <f>[1]Results!AZ1501</f>
        <v>0.67977891729999995</v>
      </c>
      <c r="AX213" s="3">
        <f>[1]Results!BA1501</f>
        <v>0.67914908159999998</v>
      </c>
      <c r="AY213" s="3">
        <f>[1]Results!BB1501</f>
        <v>0.6785546066</v>
      </c>
      <c r="AZ213" s="3">
        <f>[1]Results!BC1501</f>
        <v>0.67799311240000004</v>
      </c>
      <c r="BA213" s="3">
        <f>[1]Results!BD1501</f>
        <v>0.67746237549999999</v>
      </c>
      <c r="BB213" s="3">
        <f>[1]Results!BE1501</f>
        <v>0.67696020999999995</v>
      </c>
      <c r="BC213" s="3">
        <f>[1]Results!BF1501</f>
        <v>0.67648451190000003</v>
      </c>
      <c r="BD213" s="3">
        <f>[1]Results!BG1501</f>
        <v>0.67603336839999995</v>
      </c>
      <c r="BE213" s="3">
        <f>[1]Results!BH1501</f>
        <v>0.67560515970000001</v>
      </c>
      <c r="BF213" s="3">
        <f>[1]Results!BI1501</f>
        <v>0.67519861719999996</v>
      </c>
    </row>
    <row r="214" spans="1:58" x14ac:dyDescent="0.35">
      <c r="B214" t="s">
        <v>37</v>
      </c>
      <c r="C214" s="3">
        <f>[1]Results!F1497</f>
        <v>17.994161099999999</v>
      </c>
      <c r="D214" s="3">
        <f>[1]Results!G1497</f>
        <v>17.71508884</v>
      </c>
      <c r="E214" s="3">
        <f>[1]Results!H1497</f>
        <v>17.480750870000001</v>
      </c>
      <c r="F214" s="3">
        <f>[1]Results!I1497</f>
        <v>17.302921399999999</v>
      </c>
      <c r="G214" s="3">
        <f>[1]Results!J1497</f>
        <v>17.177309430000001</v>
      </c>
      <c r="H214" s="3">
        <f>[1]Results!K1497</f>
        <v>17.096533749999999</v>
      </c>
      <c r="I214" s="3">
        <f>[1]Results!L1497</f>
        <v>17.046706629999999</v>
      </c>
      <c r="J214" s="3">
        <f>[1]Results!M1497</f>
        <v>17.02063308</v>
      </c>
      <c r="K214" s="3">
        <f>[1]Results!N1497</f>
        <v>17.012027209999999</v>
      </c>
      <c r="L214" s="3">
        <f>[1]Results!O1497</f>
        <v>17.015513559999999</v>
      </c>
      <c r="M214" s="3">
        <f>[1]Results!P1497</f>
        <v>17.035876630000001</v>
      </c>
      <c r="N214" s="3">
        <f>[1]Results!Q1497</f>
        <v>17.058882870000001</v>
      </c>
      <c r="O214" s="3">
        <f>[1]Results!R1497</f>
        <v>17.08206071</v>
      </c>
      <c r="P214" s="3">
        <f>[1]Results!S1497</f>
        <v>17.10427297</v>
      </c>
      <c r="Q214" s="3">
        <f>[1]Results!T1497</f>
        <v>17.12490657</v>
      </c>
      <c r="R214" s="3">
        <f>[1]Results!U1497</f>
        <v>17.14364956</v>
      </c>
      <c r="S214" s="3">
        <f>[1]Results!V1497</f>
        <v>17.160381579999999</v>
      </c>
      <c r="T214" s="3">
        <f>[1]Results!W1497</f>
        <v>17.175104109999999</v>
      </c>
      <c r="U214" s="3">
        <f>[1]Results!X1497</f>
        <v>17.187895619999999</v>
      </c>
      <c r="V214" s="3">
        <f>[1]Results!Y1497</f>
        <v>17.198883859999999</v>
      </c>
      <c r="W214" s="3">
        <f>[1]Results!Z1497</f>
        <v>17.202283059999999</v>
      </c>
      <c r="X214" s="3">
        <f>[1]Results!AA1497</f>
        <v>17.205564420000002</v>
      </c>
      <c r="Y214" s="3">
        <f>[1]Results!AB1497</f>
        <v>17.208970839999999</v>
      </c>
      <c r="Z214" s="3">
        <f>[1]Results!AC1497</f>
        <v>17.21236596</v>
      </c>
      <c r="AA214" s="3">
        <f>[1]Results!AD1497</f>
        <v>17.215660280000002</v>
      </c>
      <c r="AB214" s="3">
        <f>[1]Results!AE1497</f>
        <v>17.202696150000001</v>
      </c>
      <c r="AC214" s="3">
        <f>[1]Results!AF1497</f>
        <v>17.185766040000001</v>
      </c>
      <c r="AD214" s="3">
        <f>[1]Results!AG1497</f>
        <v>17.16677395</v>
      </c>
      <c r="AE214" s="3">
        <f>[1]Results!AH1497</f>
        <v>17.146656620000002</v>
      </c>
      <c r="AF214" s="3">
        <f>[1]Results!AI1497</f>
        <v>17.12604997</v>
      </c>
      <c r="AG214" s="3">
        <f>[1]Results!AJ1497</f>
        <v>17.105430569999999</v>
      </c>
      <c r="AH214" s="3">
        <f>[1]Results!AK1497</f>
        <v>17.08515242</v>
      </c>
      <c r="AI214" s="3">
        <f>[1]Results!AL1497</f>
        <v>17.065459570000002</v>
      </c>
      <c r="AJ214" s="3">
        <f>[1]Results!AM1497</f>
        <v>17.046509010000001</v>
      </c>
      <c r="AK214" s="3">
        <f>[1]Results!AN1497</f>
        <v>17.02838848</v>
      </c>
      <c r="AL214" s="3">
        <f>[1]Results!AO1497</f>
        <v>17.011131639999999</v>
      </c>
      <c r="AM214" s="3">
        <f>[1]Results!AP1497</f>
        <v>16.991325069999998</v>
      </c>
      <c r="AN214" s="3">
        <f>[1]Results!AQ1497</f>
        <v>16.969727670000001</v>
      </c>
      <c r="AO214" s="3">
        <f>[1]Results!AR1497</f>
        <v>16.94709434</v>
      </c>
      <c r="AP214" s="3">
        <f>[1]Results!AS1497</f>
        <v>16.92396935</v>
      </c>
      <c r="AQ214" s="3">
        <f>[1]Results!AT1497</f>
        <v>16.900721269999998</v>
      </c>
      <c r="AR214" s="3">
        <f>[1]Results!AU1497</f>
        <v>16.877593739999998</v>
      </c>
      <c r="AS214" s="3">
        <f>[1]Results!AV1497</f>
        <v>16.8547419</v>
      </c>
      <c r="AT214" s="3">
        <f>[1]Results!AW1497</f>
        <v>16.8322568</v>
      </c>
      <c r="AU214" s="3">
        <f>[1]Results!AX1497</f>
        <v>16.81018268</v>
      </c>
      <c r="AV214" s="3">
        <f>[1]Results!AY1497</f>
        <v>16.788533749999999</v>
      </c>
      <c r="AW214" s="3">
        <f>[1]Results!AZ1497</f>
        <v>16.767583569999999</v>
      </c>
      <c r="AX214" s="3">
        <f>[1]Results!BA1497</f>
        <v>16.747260189999999</v>
      </c>
      <c r="AY214" s="3">
        <f>[1]Results!BB1497</f>
        <v>16.727484019999999</v>
      </c>
      <c r="AZ214" s="3">
        <f>[1]Results!BC1497</f>
        <v>16.708185109999999</v>
      </c>
      <c r="BA214" s="3">
        <f>[1]Results!BD1497</f>
        <v>16.689302269999999</v>
      </c>
      <c r="BB214" s="3">
        <f>[1]Results!BE1497</f>
        <v>16.670781850000001</v>
      </c>
      <c r="BC214" s="3">
        <f>[1]Results!BF1497</f>
        <v>16.65257763</v>
      </c>
      <c r="BD214" s="3">
        <f>[1]Results!BG1497</f>
        <v>16.634651130000002</v>
      </c>
      <c r="BE214" s="3">
        <f>[1]Results!BH1497</f>
        <v>16.616971620000001</v>
      </c>
      <c r="BF214" s="3">
        <f>[1]Results!BI1497</f>
        <v>16.599515650000001</v>
      </c>
    </row>
    <row r="216" spans="1:58" x14ac:dyDescent="0.35">
      <c r="A216" s="12" t="s">
        <v>86</v>
      </c>
      <c r="B216" t="s">
        <v>27</v>
      </c>
      <c r="C216" s="5">
        <f t="shared" ref="C216:AL216" si="101">C192-C204</f>
        <v>-17.113359999999375</v>
      </c>
      <c r="D216" s="5">
        <f t="shared" si="101"/>
        <v>-46.001800000001822</v>
      </c>
      <c r="E216" s="5">
        <f t="shared" si="101"/>
        <v>-82.064719999998488</v>
      </c>
      <c r="F216" s="5">
        <f t="shared" si="101"/>
        <v>-122.27058000000034</v>
      </c>
      <c r="G216" s="5">
        <f t="shared" si="101"/>
        <v>-164.48030999999901</v>
      </c>
      <c r="H216" s="5">
        <f t="shared" si="101"/>
        <v>-207.2342200000021</v>
      </c>
      <c r="I216" s="5">
        <f t="shared" si="101"/>
        <v>-249.71811000000162</v>
      </c>
      <c r="J216" s="5">
        <f t="shared" si="101"/>
        <v>-291.26983000000109</v>
      </c>
      <c r="K216" s="5">
        <f t="shared" si="101"/>
        <v>-331.49482999999964</v>
      </c>
      <c r="L216" s="5">
        <f t="shared" si="101"/>
        <v>-370.19377000000168</v>
      </c>
      <c r="M216" s="5">
        <f t="shared" si="101"/>
        <v>-407.50272000000041</v>
      </c>
      <c r="N216" s="5">
        <f t="shared" si="101"/>
        <v>-444.02680999999939</v>
      </c>
      <c r="O216" s="5">
        <f t="shared" si="101"/>
        <v>-479.58666000000085</v>
      </c>
      <c r="P216" s="5">
        <f t="shared" si="101"/>
        <v>-514.01610000000073</v>
      </c>
      <c r="Q216" s="5">
        <f t="shared" si="101"/>
        <v>-547.20522999999957</v>
      </c>
      <c r="R216" s="5">
        <f t="shared" si="101"/>
        <v>-579.10139999999956</v>
      </c>
      <c r="S216" s="5">
        <f t="shared" si="101"/>
        <v>-610.48630000000048</v>
      </c>
      <c r="T216" s="5">
        <f t="shared" si="101"/>
        <v>-641.22555999999895</v>
      </c>
      <c r="U216" s="5">
        <f t="shared" si="101"/>
        <v>-671.20051999999851</v>
      </c>
      <c r="V216" s="5">
        <f t="shared" si="101"/>
        <v>-700.35785000000033</v>
      </c>
      <c r="W216" s="5">
        <f t="shared" si="101"/>
        <v>-728.45237999999881</v>
      </c>
      <c r="X216" s="5">
        <f t="shared" si="101"/>
        <v>-755.76382999999987</v>
      </c>
      <c r="Y216" s="5">
        <f t="shared" si="101"/>
        <v>-782.39024000000063</v>
      </c>
      <c r="Z216" s="5">
        <f t="shared" si="101"/>
        <v>-808.43481999999858</v>
      </c>
      <c r="AA216" s="5">
        <f t="shared" si="101"/>
        <v>-834.00055000000066</v>
      </c>
      <c r="AB216" s="5">
        <f t="shared" si="101"/>
        <v>-858.3841399999983</v>
      </c>
      <c r="AC216" s="5">
        <f t="shared" si="101"/>
        <v>-881.8119200000001</v>
      </c>
      <c r="AD216" s="5">
        <f t="shared" si="101"/>
        <v>-904.48957000000155</v>
      </c>
      <c r="AE216" s="5">
        <f t="shared" si="101"/>
        <v>-926.61129000000074</v>
      </c>
      <c r="AF216" s="5">
        <f t="shared" si="101"/>
        <v>-948.34103999999934</v>
      </c>
      <c r="AG216" s="5">
        <f t="shared" si="101"/>
        <v>-969.80429999999978</v>
      </c>
      <c r="AH216" s="5">
        <f t="shared" si="101"/>
        <v>-990.95151999999871</v>
      </c>
      <c r="AI216" s="5">
        <f t="shared" si="101"/>
        <v>-1011.8600699999988</v>
      </c>
      <c r="AJ216" s="5">
        <f t="shared" si="101"/>
        <v>-1032.5845300000001</v>
      </c>
      <c r="AK216" s="5">
        <f t="shared" si="101"/>
        <v>-1053.1508400000021</v>
      </c>
      <c r="AL216" s="5">
        <f t="shared" si="101"/>
        <v>-1073.5613300000005</v>
      </c>
      <c r="AM216" s="5">
        <f t="shared" ref="AM216:BC216" si="102">AM192-AM204</f>
        <v>-1092.4882799999978</v>
      </c>
      <c r="AN216" s="5">
        <f t="shared" si="102"/>
        <v>-1110.1202200000007</v>
      </c>
      <c r="AO216" s="5">
        <f t="shared" si="102"/>
        <v>-1126.7258699999984</v>
      </c>
      <c r="AP216" s="5">
        <f t="shared" si="102"/>
        <v>-1142.5415099999991</v>
      </c>
      <c r="AQ216" s="5">
        <f t="shared" si="102"/>
        <v>-1157.755720000001</v>
      </c>
      <c r="AR216" s="5">
        <f t="shared" si="102"/>
        <v>-1172.3497700000007</v>
      </c>
      <c r="AS216" s="5">
        <f t="shared" si="102"/>
        <v>-1186.4530999999988</v>
      </c>
      <c r="AT216" s="5">
        <f t="shared" si="102"/>
        <v>-1200.1746500000008</v>
      </c>
      <c r="AU216" s="5">
        <f t="shared" si="102"/>
        <v>-1213.593280000001</v>
      </c>
      <c r="AV216" s="5">
        <f t="shared" si="102"/>
        <v>-1226.7609300000004</v>
      </c>
      <c r="AW216" s="5">
        <f t="shared" si="102"/>
        <v>-1239.223579999998</v>
      </c>
      <c r="AX216" s="5">
        <f t="shared" si="102"/>
        <v>-1251.0679500000006</v>
      </c>
      <c r="AY216" s="5">
        <f t="shared" si="102"/>
        <v>-1262.4139800000012</v>
      </c>
      <c r="AZ216" s="5">
        <f t="shared" si="102"/>
        <v>-1273.3664700000008</v>
      </c>
      <c r="BA216" s="5">
        <f t="shared" si="102"/>
        <v>-1284.00893</v>
      </c>
      <c r="BB216" s="5">
        <f t="shared" si="102"/>
        <v>-1294.1150100000013</v>
      </c>
      <c r="BC216" s="5">
        <f t="shared" si="102"/>
        <v>-1303.7734400000008</v>
      </c>
      <c r="BD216" s="5">
        <f t="shared" ref="BD216:BF216" si="103">BD192-BD204</f>
        <v>-1313.0899299999983</v>
      </c>
      <c r="BE216" s="5">
        <f t="shared" si="103"/>
        <v>-1322.1572099999976</v>
      </c>
      <c r="BF216" s="5">
        <f t="shared" si="103"/>
        <v>-1331.0508300000001</v>
      </c>
    </row>
    <row r="217" spans="1:58" x14ac:dyDescent="0.35">
      <c r="A217" t="s">
        <v>87</v>
      </c>
      <c r="B217" t="s">
        <v>7</v>
      </c>
      <c r="C217" s="5">
        <f t="shared" ref="C217:AL217" si="104">C193-C205</f>
        <v>-0.707443200000057</v>
      </c>
      <c r="D217" s="5">
        <f t="shared" si="104"/>
        <v>-1.8805656999999201</v>
      </c>
      <c r="E217" s="5">
        <f t="shared" si="104"/>
        <v>-3.3154615999999351</v>
      </c>
      <c r="F217" s="5">
        <f t="shared" si="104"/>
        <v>-4.8896050999999261</v>
      </c>
      <c r="G217" s="5">
        <f t="shared" si="104"/>
        <v>-6.5227552999999716</v>
      </c>
      <c r="H217" s="5">
        <f t="shared" si="104"/>
        <v>-8.1625678000000335</v>
      </c>
      <c r="I217" s="5">
        <f t="shared" si="104"/>
        <v>-9.7821175999999923</v>
      </c>
      <c r="J217" s="5">
        <f t="shared" si="104"/>
        <v>-11.355805800000098</v>
      </c>
      <c r="K217" s="5">
        <f t="shared" si="104"/>
        <v>-12.866008099999931</v>
      </c>
      <c r="L217" s="5">
        <f t="shared" si="104"/>
        <v>-14.301419099999976</v>
      </c>
      <c r="M217" s="5">
        <f t="shared" si="104"/>
        <v>-15.669894099999965</v>
      </c>
      <c r="N217" s="5">
        <f t="shared" si="104"/>
        <v>-16.999058999999988</v>
      </c>
      <c r="O217" s="5">
        <f t="shared" si="104"/>
        <v>-18.28119629999992</v>
      </c>
      <c r="P217" s="5">
        <f t="shared" si="104"/>
        <v>-19.510211300000037</v>
      </c>
      <c r="Q217" s="5">
        <f t="shared" si="104"/>
        <v>-20.682547</v>
      </c>
      <c r="R217" s="5">
        <f t="shared" si="104"/>
        <v>-21.796877600000016</v>
      </c>
      <c r="S217" s="5">
        <f t="shared" si="104"/>
        <v>-22.887240799999972</v>
      </c>
      <c r="T217" s="5">
        <f t="shared" si="104"/>
        <v>-23.946471999999972</v>
      </c>
      <c r="U217" s="5">
        <f t="shared" si="104"/>
        <v>-24.970102999999995</v>
      </c>
      <c r="V217" s="5">
        <f t="shared" si="104"/>
        <v>-25.956900000000019</v>
      </c>
      <c r="W217" s="5">
        <f t="shared" si="104"/>
        <v>-26.897615099999939</v>
      </c>
      <c r="X217" s="5">
        <f t="shared" si="104"/>
        <v>-27.805690900000059</v>
      </c>
      <c r="Y217" s="5">
        <f t="shared" si="104"/>
        <v>-28.685408100000018</v>
      </c>
      <c r="Z217" s="5">
        <f t="shared" si="104"/>
        <v>-29.541455599999949</v>
      </c>
      <c r="AA217" s="5">
        <f t="shared" si="104"/>
        <v>-30.378640700000005</v>
      </c>
      <c r="AB217" s="5">
        <f t="shared" si="104"/>
        <v>-31.168329800000038</v>
      </c>
      <c r="AC217" s="5">
        <f t="shared" si="104"/>
        <v>-31.92339329999993</v>
      </c>
      <c r="AD217" s="5">
        <f t="shared" si="104"/>
        <v>-32.653685300000006</v>
      </c>
      <c r="AE217" s="5">
        <f t="shared" si="104"/>
        <v>-33.367777900000078</v>
      </c>
      <c r="AF217" s="5">
        <f t="shared" si="104"/>
        <v>-34.072813400000086</v>
      </c>
      <c r="AG217" s="5">
        <f t="shared" si="104"/>
        <v>-34.774374500000022</v>
      </c>
      <c r="AH217" s="5">
        <f t="shared" si="104"/>
        <v>-35.470553699999982</v>
      </c>
      <c r="AI217" s="5">
        <f t="shared" si="104"/>
        <v>-36.165632599999981</v>
      </c>
      <c r="AJ217" s="5">
        <f t="shared" si="104"/>
        <v>-36.862583299999983</v>
      </c>
      <c r="AK217" s="5">
        <f t="shared" si="104"/>
        <v>-37.563093800000047</v>
      </c>
      <c r="AL217" s="5">
        <f t="shared" si="104"/>
        <v>-38.267859199999975</v>
      </c>
      <c r="AM217" s="5">
        <f t="shared" ref="AM217:BC217" si="105">AM193-AM205</f>
        <v>-38.919244499999991</v>
      </c>
      <c r="AN217" s="5">
        <f t="shared" si="105"/>
        <v>-39.531058600000051</v>
      </c>
      <c r="AO217" s="5">
        <f t="shared" si="105"/>
        <v>-40.116080000000011</v>
      </c>
      <c r="AP217" s="5">
        <f t="shared" si="105"/>
        <v>-40.684261900000024</v>
      </c>
      <c r="AQ217" s="5">
        <f t="shared" si="105"/>
        <v>-41.243211900000006</v>
      </c>
      <c r="AR217" s="5">
        <f t="shared" si="105"/>
        <v>-41.791365700000028</v>
      </c>
      <c r="AS217" s="5">
        <f t="shared" si="105"/>
        <v>-42.334562799999958</v>
      </c>
      <c r="AT217" s="5">
        <f t="shared" si="105"/>
        <v>-42.87721119999992</v>
      </c>
      <c r="AU217" s="5">
        <f t="shared" si="105"/>
        <v>-43.422260999999935</v>
      </c>
      <c r="AV217" s="5">
        <f t="shared" si="105"/>
        <v>-43.971475599999962</v>
      </c>
      <c r="AW217" s="5">
        <f t="shared" si="105"/>
        <v>-44.503705100000047</v>
      </c>
      <c r="AX217" s="5">
        <f t="shared" si="105"/>
        <v>-45.024418700000069</v>
      </c>
      <c r="AY217" s="5">
        <f t="shared" si="105"/>
        <v>-45.538603299999977</v>
      </c>
      <c r="AZ217" s="5">
        <f t="shared" si="105"/>
        <v>-46.049991599999998</v>
      </c>
      <c r="BA217" s="5">
        <f t="shared" si="105"/>
        <v>-46.561273300000039</v>
      </c>
      <c r="BB217" s="5">
        <f t="shared" si="105"/>
        <v>-47.061018799999943</v>
      </c>
      <c r="BC217" s="5">
        <f t="shared" si="105"/>
        <v>-47.553558299999963</v>
      </c>
      <c r="BD217" s="5">
        <f t="shared" ref="BD217:BF217" si="106">BD193-BD205</f>
        <v>-48.042767300000037</v>
      </c>
      <c r="BE217" s="5">
        <f t="shared" si="106"/>
        <v>-48.53159119999998</v>
      </c>
      <c r="BF217" s="5">
        <f t="shared" si="106"/>
        <v>-49.02216599999997</v>
      </c>
    </row>
    <row r="218" spans="1:58" x14ac:dyDescent="0.35">
      <c r="B218" t="s">
        <v>30</v>
      </c>
      <c r="C218" s="5">
        <f t="shared" ref="C218:AL218" si="107">C194-C206</f>
        <v>-4.0844099999994796</v>
      </c>
      <c r="D218" s="5">
        <f t="shared" si="107"/>
        <v>-10.730972000000293</v>
      </c>
      <c r="E218" s="5">
        <f t="shared" si="107"/>
        <v>-18.793518000000404</v>
      </c>
      <c r="F218" s="5">
        <f t="shared" si="107"/>
        <v>-27.645370999999614</v>
      </c>
      <c r="G218" s="5">
        <f t="shared" si="107"/>
        <v>-36.870063999999729</v>
      </c>
      <c r="H218" s="5">
        <f t="shared" si="107"/>
        <v>-46.200198000000455</v>
      </c>
      <c r="I218" s="5">
        <f t="shared" si="107"/>
        <v>-55.508824999999888</v>
      </c>
      <c r="J218" s="5">
        <f t="shared" si="107"/>
        <v>-64.687469999999848</v>
      </c>
      <c r="K218" s="5">
        <f t="shared" si="107"/>
        <v>-73.679998999999953</v>
      </c>
      <c r="L218" s="5">
        <f t="shared" si="107"/>
        <v>-82.464903000000049</v>
      </c>
      <c r="M218" s="5">
        <f t="shared" si="107"/>
        <v>-91.092013999999836</v>
      </c>
      <c r="N218" s="5">
        <f t="shared" si="107"/>
        <v>-99.71723799999927</v>
      </c>
      <c r="O218" s="5">
        <f t="shared" si="107"/>
        <v>-108.28810300000077</v>
      </c>
      <c r="P218" s="5">
        <f t="shared" si="107"/>
        <v>-116.76471099999981</v>
      </c>
      <c r="Q218" s="5">
        <f t="shared" si="107"/>
        <v>-125.12260800000058</v>
      </c>
      <c r="R218" s="5">
        <f t="shared" si="107"/>
        <v>-133.35000200000013</v>
      </c>
      <c r="S218" s="5">
        <f t="shared" si="107"/>
        <v>-141.63794899999994</v>
      </c>
      <c r="T218" s="5">
        <f t="shared" si="107"/>
        <v>-149.93084799999997</v>
      </c>
      <c r="U218" s="5">
        <f t="shared" si="107"/>
        <v>-158.18720800000028</v>
      </c>
      <c r="V218" s="5">
        <f t="shared" si="107"/>
        <v>-166.38295599999947</v>
      </c>
      <c r="W218" s="5">
        <f t="shared" si="107"/>
        <v>-174.44636300000002</v>
      </c>
      <c r="X218" s="5">
        <f t="shared" si="107"/>
        <v>-182.4353200000005</v>
      </c>
      <c r="Y218" s="5">
        <f t="shared" si="107"/>
        <v>-190.35568400000011</v>
      </c>
      <c r="Z218" s="5">
        <f t="shared" si="107"/>
        <v>-198.21493000000009</v>
      </c>
      <c r="AA218" s="5">
        <f t="shared" si="107"/>
        <v>-206.02047500000026</v>
      </c>
      <c r="AB218" s="5">
        <f t="shared" si="107"/>
        <v>-213.57981899999959</v>
      </c>
      <c r="AC218" s="5">
        <f t="shared" si="107"/>
        <v>-220.93902199999957</v>
      </c>
      <c r="AD218" s="5">
        <f t="shared" si="107"/>
        <v>-228.1324139999997</v>
      </c>
      <c r="AE218" s="5">
        <f t="shared" si="107"/>
        <v>-235.1873599999999</v>
      </c>
      <c r="AF218" s="5">
        <f t="shared" si="107"/>
        <v>-242.12326600000051</v>
      </c>
      <c r="AG218" s="5">
        <f t="shared" si="107"/>
        <v>-248.95172699999966</v>
      </c>
      <c r="AH218" s="5">
        <f t="shared" si="107"/>
        <v>-255.64273799999955</v>
      </c>
      <c r="AI218" s="5">
        <f t="shared" si="107"/>
        <v>-262.204702</v>
      </c>
      <c r="AJ218" s="5">
        <f t="shared" si="107"/>
        <v>-268.63999300000069</v>
      </c>
      <c r="AK218" s="5">
        <f t="shared" si="107"/>
        <v>-274.94506900000033</v>
      </c>
      <c r="AL218" s="5">
        <f t="shared" si="107"/>
        <v>-281.11198599999989</v>
      </c>
      <c r="AM218" s="5">
        <f t="shared" ref="AM218:BC218" si="108">AM194-AM206</f>
        <v>-286.79330200000004</v>
      </c>
      <c r="AN218" s="5">
        <f t="shared" si="108"/>
        <v>-292.06141500000012</v>
      </c>
      <c r="AO218" s="5">
        <f t="shared" si="108"/>
        <v>-296.9817579999999</v>
      </c>
      <c r="AP218" s="5">
        <f t="shared" si="108"/>
        <v>-301.602981</v>
      </c>
      <c r="AQ218" s="5">
        <f t="shared" si="108"/>
        <v>-305.95945500000016</v>
      </c>
      <c r="AR218" s="5">
        <f t="shared" si="108"/>
        <v>-310.03293499999927</v>
      </c>
      <c r="AS218" s="5">
        <f t="shared" si="108"/>
        <v>-313.85060999999951</v>
      </c>
      <c r="AT218" s="5">
        <f t="shared" si="108"/>
        <v>-317.43359099999998</v>
      </c>
      <c r="AU218" s="5">
        <f t="shared" si="108"/>
        <v>-320.79713300000003</v>
      </c>
      <c r="AV218" s="5">
        <f t="shared" si="108"/>
        <v>-323.9521450000002</v>
      </c>
      <c r="AW218" s="5">
        <f t="shared" si="108"/>
        <v>-326.77961400000004</v>
      </c>
      <c r="AX218" s="5">
        <f t="shared" si="108"/>
        <v>-329.31897599999957</v>
      </c>
      <c r="AY218" s="5">
        <f t="shared" si="108"/>
        <v>-331.60721300000023</v>
      </c>
      <c r="AZ218" s="5">
        <f t="shared" si="108"/>
        <v>-333.67439700000068</v>
      </c>
      <c r="BA218" s="5">
        <f t="shared" si="108"/>
        <v>-335.54465600000003</v>
      </c>
      <c r="BB218" s="5">
        <f t="shared" si="108"/>
        <v>-337.16082399999959</v>
      </c>
      <c r="BC218" s="5">
        <f t="shared" si="108"/>
        <v>-338.55899000000045</v>
      </c>
      <c r="BD218" s="5">
        <f t="shared" ref="BD218:BF218" si="109">BD194-BD206</f>
        <v>-339.7727560000003</v>
      </c>
      <c r="BE218" s="5">
        <f t="shared" si="109"/>
        <v>-340.83068800000001</v>
      </c>
      <c r="BF218" s="5">
        <f t="shared" si="109"/>
        <v>-341.75694199999998</v>
      </c>
    </row>
    <row r="219" spans="1:58" x14ac:dyDescent="0.35">
      <c r="B219" t="s">
        <v>28</v>
      </c>
      <c r="C219" s="5">
        <f t="shared" ref="C219:AL219" si="110">C195-C207</f>
        <v>-0.73485989999994672</v>
      </c>
      <c r="D219" s="5">
        <f t="shared" si="110"/>
        <v>-1.9211669000000029</v>
      </c>
      <c r="E219" s="5">
        <f t="shared" si="110"/>
        <v>-3.3470724000000018</v>
      </c>
      <c r="F219" s="5">
        <f t="shared" si="110"/>
        <v>-4.8884795000000167</v>
      </c>
      <c r="G219" s="5">
        <f t="shared" si="110"/>
        <v>-6.4651336999999103</v>
      </c>
      <c r="H219" s="5">
        <f t="shared" si="110"/>
        <v>-8.026492200000007</v>
      </c>
      <c r="I219" s="5">
        <f t="shared" si="110"/>
        <v>-9.5487933999999086</v>
      </c>
      <c r="J219" s="5">
        <f t="shared" si="110"/>
        <v>-11.011431099999982</v>
      </c>
      <c r="K219" s="5">
        <f t="shared" si="110"/>
        <v>-12.403850399999897</v>
      </c>
      <c r="L219" s="5">
        <f t="shared" si="110"/>
        <v>-13.72245190000001</v>
      </c>
      <c r="M219" s="5">
        <f t="shared" si="110"/>
        <v>-14.97753130000001</v>
      </c>
      <c r="N219" s="5">
        <f t="shared" si="110"/>
        <v>-16.19941080000001</v>
      </c>
      <c r="O219" s="5">
        <f t="shared" si="110"/>
        <v>-17.379158099999927</v>
      </c>
      <c r="P219" s="5">
        <f t="shared" si="110"/>
        <v>-18.511066799999981</v>
      </c>
      <c r="Q219" s="5">
        <f t="shared" si="110"/>
        <v>-19.593076500000052</v>
      </c>
      <c r="R219" s="5">
        <f t="shared" si="110"/>
        <v>-20.625861899999904</v>
      </c>
      <c r="S219" s="5">
        <f t="shared" si="110"/>
        <v>-21.647949900000071</v>
      </c>
      <c r="T219" s="5">
        <f t="shared" si="110"/>
        <v>-22.650801100000081</v>
      </c>
      <c r="U219" s="5">
        <f t="shared" si="110"/>
        <v>-23.629029800000012</v>
      </c>
      <c r="V219" s="5">
        <f t="shared" si="110"/>
        <v>-24.581044099999986</v>
      </c>
      <c r="W219" s="5">
        <f t="shared" si="110"/>
        <v>-25.497375499999976</v>
      </c>
      <c r="X219" s="5">
        <f t="shared" si="110"/>
        <v>-26.392185799999993</v>
      </c>
      <c r="Y219" s="5">
        <f t="shared" si="110"/>
        <v>-27.269352899999944</v>
      </c>
      <c r="Z219" s="5">
        <f t="shared" si="110"/>
        <v>-28.132921399999987</v>
      </c>
      <c r="AA219" s="5">
        <f t="shared" si="110"/>
        <v>-28.986885600000051</v>
      </c>
      <c r="AB219" s="5">
        <f t="shared" si="110"/>
        <v>-29.801097700000014</v>
      </c>
      <c r="AC219" s="5">
        <f t="shared" si="110"/>
        <v>-30.58873989999995</v>
      </c>
      <c r="AD219" s="5">
        <f t="shared" si="110"/>
        <v>-31.359909700000003</v>
      </c>
      <c r="AE219" s="5">
        <f t="shared" si="110"/>
        <v>-32.122604499999966</v>
      </c>
      <c r="AF219" s="5">
        <f t="shared" si="110"/>
        <v>-32.882784399999991</v>
      </c>
      <c r="AG219" s="5">
        <f t="shared" si="110"/>
        <v>-33.64460269999995</v>
      </c>
      <c r="AH219" s="5">
        <f t="shared" si="110"/>
        <v>-34.404265800000076</v>
      </c>
      <c r="AI219" s="5">
        <f t="shared" si="110"/>
        <v>-35.165226899999993</v>
      </c>
      <c r="AJ219" s="5">
        <f t="shared" si="110"/>
        <v>-35.929614600000036</v>
      </c>
      <c r="AK219" s="5">
        <f t="shared" si="110"/>
        <v>-36.698257800000079</v>
      </c>
      <c r="AL219" s="5">
        <f t="shared" si="110"/>
        <v>-37.471025700000041</v>
      </c>
      <c r="AM219" s="5">
        <f t="shared" ref="AM219:BC219" si="111">AM195-AM207</f>
        <v>-38.185644299999922</v>
      </c>
      <c r="AN219" s="5">
        <f t="shared" si="111"/>
        <v>-38.859930700000064</v>
      </c>
      <c r="AO219" s="5">
        <f t="shared" si="111"/>
        <v>-39.508994999999913</v>
      </c>
      <c r="AP219" s="5">
        <f t="shared" si="111"/>
        <v>-40.143304499999999</v>
      </c>
      <c r="AQ219" s="5">
        <f t="shared" si="111"/>
        <v>-40.769752599999947</v>
      </c>
      <c r="AR219" s="5">
        <f t="shared" si="111"/>
        <v>-41.384946500000069</v>
      </c>
      <c r="AS219" s="5">
        <f t="shared" si="111"/>
        <v>-41.993953900000065</v>
      </c>
      <c r="AT219" s="5">
        <f t="shared" si="111"/>
        <v>-42.600322899999924</v>
      </c>
      <c r="AU219" s="5">
        <f t="shared" si="111"/>
        <v>-43.206131299999925</v>
      </c>
      <c r="AV219" s="5">
        <f t="shared" si="111"/>
        <v>-43.812360099999978</v>
      </c>
      <c r="AW219" s="5">
        <f t="shared" si="111"/>
        <v>-44.395563400000015</v>
      </c>
      <c r="AX219" s="5">
        <f t="shared" si="111"/>
        <v>-44.962706099999991</v>
      </c>
      <c r="AY219" s="5">
        <f t="shared" si="111"/>
        <v>-45.519718600000033</v>
      </c>
      <c r="AZ219" s="5">
        <f t="shared" si="111"/>
        <v>-46.070610399999964</v>
      </c>
      <c r="BA219" s="5">
        <f t="shared" si="111"/>
        <v>-46.617899699999953</v>
      </c>
      <c r="BB219" s="5">
        <f t="shared" si="111"/>
        <v>-47.148786499999915</v>
      </c>
      <c r="BC219" s="5">
        <f t="shared" si="111"/>
        <v>-47.668380800000023</v>
      </c>
      <c r="BD219" s="5">
        <f t="shared" ref="BD219:BF219" si="112">BD195-BD207</f>
        <v>-48.180982999999969</v>
      </c>
      <c r="BE219" s="5">
        <f t="shared" si="112"/>
        <v>-48.68958669999995</v>
      </c>
      <c r="BF219" s="5">
        <f t="shared" si="112"/>
        <v>-49.196152099999949</v>
      </c>
    </row>
    <row r="220" spans="1:58" x14ac:dyDescent="0.35">
      <c r="B220" t="s">
        <v>10</v>
      </c>
      <c r="C220" s="5">
        <f t="shared" ref="C220:AL220" si="113">C196-C208</f>
        <v>-11.530420000002778</v>
      </c>
      <c r="D220" s="5">
        <f t="shared" si="113"/>
        <v>-31.26108000000022</v>
      </c>
      <c r="E220" s="5">
        <f t="shared" si="113"/>
        <v>-56.204490000000078</v>
      </c>
      <c r="F220" s="5">
        <f t="shared" si="113"/>
        <v>-84.231390000000829</v>
      </c>
      <c r="G220" s="5">
        <f t="shared" si="113"/>
        <v>-113.79490999999689</v>
      </c>
      <c r="H220" s="5">
        <f t="shared" si="113"/>
        <v>-143.81290000000081</v>
      </c>
      <c r="I220" s="5">
        <f t="shared" si="113"/>
        <v>-173.65096999999878</v>
      </c>
      <c r="J220" s="5">
        <f t="shared" si="113"/>
        <v>-202.80261000000246</v>
      </c>
      <c r="K220" s="5">
        <f t="shared" si="113"/>
        <v>-230.95912999999928</v>
      </c>
      <c r="L220" s="5">
        <f t="shared" si="113"/>
        <v>-257.95944999999847</v>
      </c>
      <c r="M220" s="5">
        <f t="shared" si="113"/>
        <v>-283.87284</v>
      </c>
      <c r="N220" s="5">
        <f t="shared" si="113"/>
        <v>-309.08803999999873</v>
      </c>
      <c r="O220" s="5">
        <f t="shared" si="113"/>
        <v>-333.49519000000146</v>
      </c>
      <c r="P220" s="5">
        <f t="shared" si="113"/>
        <v>-356.97947999999815</v>
      </c>
      <c r="Q220" s="5">
        <f t="shared" si="113"/>
        <v>-379.45954999999958</v>
      </c>
      <c r="R220" s="5">
        <f t="shared" si="113"/>
        <v>-400.8930500000024</v>
      </c>
      <c r="S220" s="5">
        <f t="shared" si="113"/>
        <v>-421.79197000000204</v>
      </c>
      <c r="T220" s="5">
        <f t="shared" si="113"/>
        <v>-442.09220999999889</v>
      </c>
      <c r="U220" s="5">
        <f t="shared" si="113"/>
        <v>-461.72642000000269</v>
      </c>
      <c r="V220" s="5">
        <f t="shared" si="113"/>
        <v>-480.66834999999992</v>
      </c>
      <c r="W220" s="5">
        <f t="shared" si="113"/>
        <v>-498.76466000000073</v>
      </c>
      <c r="X220" s="5">
        <f t="shared" si="113"/>
        <v>-516.20834000000104</v>
      </c>
      <c r="Y220" s="5">
        <f t="shared" si="113"/>
        <v>-533.08335000000079</v>
      </c>
      <c r="Z220" s="5">
        <f t="shared" si="113"/>
        <v>-549.47652999999991</v>
      </c>
      <c r="AA220" s="5">
        <f t="shared" si="113"/>
        <v>-565.47436000000016</v>
      </c>
      <c r="AB220" s="5">
        <f t="shared" si="113"/>
        <v>-580.62826000000132</v>
      </c>
      <c r="AC220" s="5">
        <f t="shared" si="113"/>
        <v>-595.09084000000075</v>
      </c>
      <c r="AD220" s="5">
        <f t="shared" si="113"/>
        <v>-609.01259000000209</v>
      </c>
      <c r="AE220" s="5">
        <f t="shared" si="113"/>
        <v>-622.54299999999785</v>
      </c>
      <c r="AF220" s="5">
        <f t="shared" si="113"/>
        <v>-635.81290000000081</v>
      </c>
      <c r="AG220" s="5">
        <f t="shared" si="113"/>
        <v>-648.92597999999998</v>
      </c>
      <c r="AH220" s="5">
        <f t="shared" si="113"/>
        <v>-661.86871000000247</v>
      </c>
      <c r="AI220" s="5">
        <f t="shared" si="113"/>
        <v>-674.70200000000114</v>
      </c>
      <c r="AJ220" s="5">
        <f t="shared" si="113"/>
        <v>-687.4726499999997</v>
      </c>
      <c r="AK220" s="5">
        <f t="shared" si="113"/>
        <v>-700.20737999999983</v>
      </c>
      <c r="AL220" s="5">
        <f t="shared" si="113"/>
        <v>-712.91575000000012</v>
      </c>
      <c r="AM220" s="5">
        <f t="shared" ref="AM220:BC220" si="114">AM196-AM208</f>
        <v>-724.74345000000176</v>
      </c>
      <c r="AN220" s="5">
        <f t="shared" si="114"/>
        <v>-735.77436000000307</v>
      </c>
      <c r="AO220" s="5">
        <f t="shared" si="114"/>
        <v>-746.18235999999888</v>
      </c>
      <c r="AP220" s="5">
        <f t="shared" si="114"/>
        <v>-756.13342000000193</v>
      </c>
      <c r="AQ220" s="5">
        <f t="shared" si="114"/>
        <v>-765.76642999999967</v>
      </c>
      <c r="AR220" s="5">
        <f t="shared" si="114"/>
        <v>-775.08609000000069</v>
      </c>
      <c r="AS220" s="5">
        <f t="shared" si="114"/>
        <v>-784.18348999999944</v>
      </c>
      <c r="AT220" s="5">
        <f t="shared" si="114"/>
        <v>-793.13826999999947</v>
      </c>
      <c r="AU220" s="5">
        <f t="shared" si="114"/>
        <v>-802.00887000000148</v>
      </c>
      <c r="AV220" s="5">
        <f t="shared" si="114"/>
        <v>-810.83343999999852</v>
      </c>
      <c r="AW220" s="5">
        <f t="shared" si="114"/>
        <v>-819.32350999999835</v>
      </c>
      <c r="AX220" s="5">
        <f t="shared" si="114"/>
        <v>-827.51353000000017</v>
      </c>
      <c r="AY220" s="5">
        <f t="shared" si="114"/>
        <v>-835.47465999999986</v>
      </c>
      <c r="AZ220" s="5">
        <f t="shared" si="114"/>
        <v>-843.27305999999953</v>
      </c>
      <c r="BA220" s="5">
        <f t="shared" si="114"/>
        <v>-850.96228999999948</v>
      </c>
      <c r="BB220" s="5">
        <f t="shared" si="114"/>
        <v>-858.39822000000277</v>
      </c>
      <c r="BC220" s="5">
        <f t="shared" si="114"/>
        <v>-865.62379000000146</v>
      </c>
      <c r="BD220" s="5">
        <f t="shared" ref="BD220:BF220" si="115">BD196-BD208</f>
        <v>-872.70247999999992</v>
      </c>
      <c r="BE220" s="5">
        <f t="shared" si="115"/>
        <v>-879.69217999999819</v>
      </c>
      <c r="BF220" s="5">
        <f t="shared" si="115"/>
        <v>-886.63991000000169</v>
      </c>
    </row>
    <row r="221" spans="1:58" x14ac:dyDescent="0.35">
      <c r="B221" t="s">
        <v>31</v>
      </c>
      <c r="C221" s="5">
        <f>C197-C209</f>
        <v>-1.1113077199999211E-2</v>
      </c>
      <c r="D221" s="5">
        <f t="shared" ref="D221:AL221" si="116">D197-D209</f>
        <v>-3.0169932599998006E-2</v>
      </c>
      <c r="E221" s="5">
        <f t="shared" si="116"/>
        <v>-5.2860855900002335E-2</v>
      </c>
      <c r="F221" s="5">
        <f t="shared" si="116"/>
        <v>-7.7069963599999625E-2</v>
      </c>
      <c r="G221" s="5">
        <f t="shared" si="116"/>
        <v>-0.1016807620999991</v>
      </c>
      <c r="H221" s="5">
        <f t="shared" si="116"/>
        <v>-0.12612247989999936</v>
      </c>
      <c r="I221" s="5">
        <f t="shared" si="116"/>
        <v>-0.15025857169999846</v>
      </c>
      <c r="J221" s="5">
        <f t="shared" si="116"/>
        <v>-0.17380174060000009</v>
      </c>
      <c r="K221" s="5">
        <f t="shared" si="116"/>
        <v>-0.19650347129999801</v>
      </c>
      <c r="L221" s="5">
        <f t="shared" si="116"/>
        <v>-0.21815633929999834</v>
      </c>
      <c r="M221" s="5">
        <f t="shared" si="116"/>
        <v>-0.23889867590000158</v>
      </c>
      <c r="N221" s="5">
        <f t="shared" si="116"/>
        <v>-0.25913396660000032</v>
      </c>
      <c r="O221" s="5">
        <f t="shared" si="116"/>
        <v>-0.27864556370000138</v>
      </c>
      <c r="P221" s="5">
        <f t="shared" si="116"/>
        <v>-0.29731475510000038</v>
      </c>
      <c r="Q221" s="5">
        <f t="shared" si="116"/>
        <v>-0.31514659189999961</v>
      </c>
      <c r="R221" s="5">
        <f t="shared" si="116"/>
        <v>-0.33222373940000161</v>
      </c>
      <c r="S221" s="5">
        <f t="shared" si="116"/>
        <v>-0.34920964810000044</v>
      </c>
      <c r="T221" s="5">
        <f t="shared" si="116"/>
        <v>-0.36598607060000177</v>
      </c>
      <c r="U221" s="5">
        <f t="shared" si="116"/>
        <v>-0.382451817299998</v>
      </c>
      <c r="V221" s="5">
        <f t="shared" si="116"/>
        <v>-0.39855173159999779</v>
      </c>
      <c r="W221" s="5">
        <f t="shared" si="116"/>
        <v>-0.41407073889999779</v>
      </c>
      <c r="X221" s="5">
        <f t="shared" si="116"/>
        <v>-0.4292366993000023</v>
      </c>
      <c r="Y221" s="5">
        <f t="shared" si="116"/>
        <v>-0.4440629392999984</v>
      </c>
      <c r="Z221" s="5">
        <f t="shared" si="116"/>
        <v>-0.45856633960000082</v>
      </c>
      <c r="AA221" s="5">
        <f t="shared" si="116"/>
        <v>-0.47277478840000242</v>
      </c>
      <c r="AB221" s="5">
        <f t="shared" si="116"/>
        <v>-0.48610028200000066</v>
      </c>
      <c r="AC221" s="5">
        <f t="shared" si="116"/>
        <v>-0.49885216420000233</v>
      </c>
      <c r="AD221" s="5">
        <f t="shared" si="116"/>
        <v>-0.51119497730000063</v>
      </c>
      <c r="AE221" s="5">
        <f t="shared" si="116"/>
        <v>-0.5232397643000013</v>
      </c>
      <c r="AF221" s="5">
        <f t="shared" si="116"/>
        <v>-0.53506080870000083</v>
      </c>
      <c r="AG221" s="5">
        <f t="shared" si="116"/>
        <v>-0.54671337059999736</v>
      </c>
      <c r="AH221" s="5">
        <f t="shared" si="116"/>
        <v>-0.55813658749999817</v>
      </c>
      <c r="AI221" s="5">
        <f t="shared" si="116"/>
        <v>-0.56938875350000018</v>
      </c>
      <c r="AJ221" s="5">
        <f t="shared" si="116"/>
        <v>-0.58051395369999881</v>
      </c>
      <c r="AK221" s="5">
        <f t="shared" si="116"/>
        <v>-0.59154045920000087</v>
      </c>
      <c r="AL221" s="5">
        <f t="shared" si="116"/>
        <v>-0.60248460100000045</v>
      </c>
      <c r="AM221" s="5">
        <f t="shared" ref="AM221:BC221" si="117">AM197-AM209</f>
        <v>-0.61236767009999937</v>
      </c>
      <c r="AN221" s="5">
        <f t="shared" si="117"/>
        <v>-0.6215303651000017</v>
      </c>
      <c r="AO221" s="5">
        <f t="shared" si="117"/>
        <v>-0.6302506383000015</v>
      </c>
      <c r="AP221" s="5">
        <f t="shared" si="117"/>
        <v>-0.63869862980000036</v>
      </c>
      <c r="AQ221" s="5">
        <f t="shared" si="117"/>
        <v>-0.64696882539999834</v>
      </c>
      <c r="AR221" s="5">
        <f t="shared" si="117"/>
        <v>-0.65498856339999989</v>
      </c>
      <c r="AS221" s="5">
        <f t="shared" si="117"/>
        <v>-0.6628222700999995</v>
      </c>
      <c r="AT221" s="5">
        <f t="shared" si="117"/>
        <v>-0.67051344019999881</v>
      </c>
      <c r="AU221" s="5">
        <f t="shared" si="117"/>
        <v>-0.67808534120000097</v>
      </c>
      <c r="AV221" s="5">
        <f t="shared" si="117"/>
        <v>-0.68555158939999927</v>
      </c>
      <c r="AW221" s="5">
        <f t="shared" si="117"/>
        <v>-0.69256184490000017</v>
      </c>
      <c r="AX221" s="5">
        <f t="shared" si="117"/>
        <v>-0.69925883069999806</v>
      </c>
      <c r="AY221" s="5">
        <f t="shared" si="117"/>
        <v>-0.7057665903999979</v>
      </c>
      <c r="AZ221" s="5">
        <f t="shared" si="117"/>
        <v>-0.71216759589999867</v>
      </c>
      <c r="BA221" s="5">
        <f t="shared" si="117"/>
        <v>-0.71851218519999804</v>
      </c>
      <c r="BB221" s="5">
        <f t="shared" si="117"/>
        <v>-0.72460865940000119</v>
      </c>
      <c r="BC221" s="5">
        <f t="shared" si="117"/>
        <v>-0.73054759049999873</v>
      </c>
      <c r="BD221" s="5">
        <f t="shared" ref="BD221:BF221" si="118">BD197-BD209</f>
        <v>-0.73640072010000246</v>
      </c>
      <c r="BE221" s="5">
        <f t="shared" si="118"/>
        <v>-0.74221239290000085</v>
      </c>
      <c r="BF221" s="5">
        <f t="shared" si="118"/>
        <v>-0.74800809080000086</v>
      </c>
    </row>
    <row r="222" spans="1:58" x14ac:dyDescent="0.35">
      <c r="B222" t="s">
        <v>36</v>
      </c>
      <c r="C222" s="5">
        <f>C198-C210</f>
        <v>-6.9652527999997105E-3</v>
      </c>
      <c r="D222" s="5">
        <f t="shared" ref="D222:AL222" si="119">D198-D210</f>
        <v>-1.8128627400000319E-2</v>
      </c>
      <c r="E222" s="5">
        <f t="shared" si="119"/>
        <v>-3.1414064100000694E-2</v>
      </c>
      <c r="F222" s="5">
        <f t="shared" si="119"/>
        <v>-4.5786676399999671E-2</v>
      </c>
      <c r="G222" s="5">
        <f t="shared" si="119"/>
        <v>-6.0652887900000785E-2</v>
      </c>
      <c r="H222" s="5">
        <f t="shared" si="119"/>
        <v>-7.5662870099999502E-2</v>
      </c>
      <c r="I222" s="5">
        <f t="shared" si="119"/>
        <v>-9.0665468300000107E-2</v>
      </c>
      <c r="J222" s="5">
        <f t="shared" si="119"/>
        <v>-0.10547727939999962</v>
      </c>
      <c r="K222" s="5">
        <f t="shared" si="119"/>
        <v>-0.11997068869999961</v>
      </c>
      <c r="L222" s="5">
        <f t="shared" si="119"/>
        <v>-0.13405737069999901</v>
      </c>
      <c r="M222" s="5">
        <f t="shared" si="119"/>
        <v>-0.14777745409999987</v>
      </c>
      <c r="N222" s="5">
        <f t="shared" si="119"/>
        <v>-0.16131460340000014</v>
      </c>
      <c r="O222" s="5">
        <f t="shared" si="119"/>
        <v>-0.17450997630000042</v>
      </c>
      <c r="P222" s="5">
        <f t="shared" si="119"/>
        <v>-0.18727205489999932</v>
      </c>
      <c r="Q222" s="5">
        <f t="shared" si="119"/>
        <v>-0.19956828810000005</v>
      </c>
      <c r="R222" s="5">
        <f t="shared" si="119"/>
        <v>-0.21140099059999962</v>
      </c>
      <c r="S222" s="5">
        <f t="shared" si="119"/>
        <v>-0.22312089189999895</v>
      </c>
      <c r="T222" s="5">
        <f t="shared" si="119"/>
        <v>-0.23462050940000001</v>
      </c>
      <c r="U222" s="5">
        <f t="shared" si="119"/>
        <v>-0.24583025269999936</v>
      </c>
      <c r="V222" s="5">
        <f t="shared" si="119"/>
        <v>-0.25671752840000028</v>
      </c>
      <c r="W222" s="5">
        <f t="shared" si="119"/>
        <v>-0.26715177110000088</v>
      </c>
      <c r="X222" s="5">
        <f t="shared" si="119"/>
        <v>-0.27728685069999859</v>
      </c>
      <c r="Y222" s="5">
        <f t="shared" si="119"/>
        <v>-0.28713252069999928</v>
      </c>
      <c r="Z222" s="5">
        <f t="shared" si="119"/>
        <v>-0.29670332039999892</v>
      </c>
      <c r="AA222" s="5">
        <f t="shared" si="119"/>
        <v>-0.30602022159999986</v>
      </c>
      <c r="AB222" s="5">
        <f t="shared" si="119"/>
        <v>-0.31471463799999988</v>
      </c>
      <c r="AC222" s="5">
        <f t="shared" si="119"/>
        <v>-0.32300656580000009</v>
      </c>
      <c r="AD222" s="5">
        <f t="shared" si="119"/>
        <v>-0.33099404269999955</v>
      </c>
      <c r="AE222" s="5">
        <f t="shared" si="119"/>
        <v>-0.3387429556999999</v>
      </c>
      <c r="AF222" s="5">
        <f t="shared" si="119"/>
        <v>-0.34629967129999972</v>
      </c>
      <c r="AG222" s="5">
        <f t="shared" si="119"/>
        <v>-0.35369920939999933</v>
      </c>
      <c r="AH222" s="5">
        <f t="shared" si="119"/>
        <v>-0.36090945250000139</v>
      </c>
      <c r="AI222" s="5">
        <f t="shared" si="119"/>
        <v>-0.36797208650000002</v>
      </c>
      <c r="AJ222" s="5">
        <f t="shared" si="119"/>
        <v>-0.37491754630000074</v>
      </c>
      <c r="AK222" s="5">
        <f t="shared" si="119"/>
        <v>-0.38176605079999959</v>
      </c>
      <c r="AL222" s="5">
        <f t="shared" si="119"/>
        <v>-0.38853042899999934</v>
      </c>
      <c r="AM222" s="5">
        <f t="shared" ref="AM222:BC222" si="120">AM198-AM210</f>
        <v>-0.39463661990000087</v>
      </c>
      <c r="AN222" s="5">
        <f t="shared" si="120"/>
        <v>-0.40030455489999994</v>
      </c>
      <c r="AO222" s="5">
        <f t="shared" si="120"/>
        <v>-0.40569105169999986</v>
      </c>
      <c r="AP222" s="5">
        <f t="shared" si="120"/>
        <v>-0.41089074019999927</v>
      </c>
      <c r="AQ222" s="5">
        <f t="shared" si="120"/>
        <v>-0.4159589645999997</v>
      </c>
      <c r="AR222" s="5">
        <f t="shared" si="120"/>
        <v>-0.42085792659999921</v>
      </c>
      <c r="AS222" s="5">
        <f t="shared" si="120"/>
        <v>-0.42563325990000056</v>
      </c>
      <c r="AT222" s="5">
        <f t="shared" si="120"/>
        <v>-0.43031574980000009</v>
      </c>
      <c r="AU222" s="5">
        <f t="shared" si="120"/>
        <v>-0.43492419879999922</v>
      </c>
      <c r="AV222" s="5">
        <f t="shared" si="120"/>
        <v>-0.43947047059999989</v>
      </c>
      <c r="AW222" s="5">
        <f t="shared" si="120"/>
        <v>-0.44375311510000071</v>
      </c>
      <c r="AX222" s="5">
        <f t="shared" si="120"/>
        <v>-0.44785730930000067</v>
      </c>
      <c r="AY222" s="5">
        <f t="shared" si="120"/>
        <v>-0.45184602960000042</v>
      </c>
      <c r="AZ222" s="5">
        <f t="shared" si="120"/>
        <v>-0.45575908410000032</v>
      </c>
      <c r="BA222" s="5">
        <f t="shared" si="120"/>
        <v>-0.45962093480000021</v>
      </c>
      <c r="BB222" s="5">
        <f t="shared" si="120"/>
        <v>-0.46331925059999879</v>
      </c>
      <c r="BC222" s="5">
        <f t="shared" si="120"/>
        <v>-0.4669100395000001</v>
      </c>
      <c r="BD222" s="5">
        <f t="shared" ref="BD222:BF222" si="121">BD198-BD210</f>
        <v>-0.47043340990000004</v>
      </c>
      <c r="BE222" s="5">
        <f t="shared" si="121"/>
        <v>-0.47391439709999972</v>
      </c>
      <c r="BF222" s="5">
        <f t="shared" si="121"/>
        <v>-0.47736841919999939</v>
      </c>
    </row>
    <row r="223" spans="1:58" x14ac:dyDescent="0.35">
      <c r="B223" t="s">
        <v>11</v>
      </c>
      <c r="C223" s="5">
        <f>C199-C211</f>
        <v>-3.8144259999995711E-2</v>
      </c>
      <c r="D223" s="5">
        <f t="shared" ref="D223:AL223" si="122">D199-D211</f>
        <v>-0.15971138999999823</v>
      </c>
      <c r="E223" s="5">
        <f t="shared" si="122"/>
        <v>-0.31989634999999339</v>
      </c>
      <c r="F223" s="5">
        <f t="shared" si="122"/>
        <v>-0.49287166999999954</v>
      </c>
      <c r="G223" s="5">
        <f t="shared" si="122"/>
        <v>-0.66511583999999857</v>
      </c>
      <c r="H223" s="5">
        <f t="shared" si="122"/>
        <v>-0.83027795999998943</v>
      </c>
      <c r="I223" s="5">
        <f t="shared" si="122"/>
        <v>-0.9864766200000048</v>
      </c>
      <c r="J223" s="5">
        <f t="shared" si="122"/>
        <v>-1.1332235300000093</v>
      </c>
      <c r="K223" s="5">
        <f t="shared" si="122"/>
        <v>-1.2693680000000001</v>
      </c>
      <c r="L223" s="5">
        <f t="shared" si="122"/>
        <v>-1.3933454699999999</v>
      </c>
      <c r="M223" s="5">
        <f t="shared" si="122"/>
        <v>-1.5037635900000055</v>
      </c>
      <c r="N223" s="5">
        <f t="shared" si="122"/>
        <v>-1.6026056099999977</v>
      </c>
      <c r="O223" s="5">
        <f t="shared" si="122"/>
        <v>-1.6898563600000074</v>
      </c>
      <c r="P223" s="5">
        <f t="shared" si="122"/>
        <v>-1.7660464100000013</v>
      </c>
      <c r="Q223" s="5">
        <f t="shared" si="122"/>
        <v>-1.8327252600000037</v>
      </c>
      <c r="R223" s="5">
        <f t="shared" si="122"/>
        <v>-1.8919857100000002</v>
      </c>
      <c r="S223" s="5">
        <f t="shared" si="122"/>
        <v>-1.9488528400000007</v>
      </c>
      <c r="T223" s="5">
        <f t="shared" si="122"/>
        <v>-2.0046113800000001</v>
      </c>
      <c r="U223" s="5">
        <f t="shared" si="122"/>
        <v>-2.0594719099999992</v>
      </c>
      <c r="V223" s="5">
        <f t="shared" si="122"/>
        <v>-2.1133277299999946</v>
      </c>
      <c r="W223" s="5">
        <f t="shared" si="122"/>
        <v>-2.1651538799999912</v>
      </c>
      <c r="X223" s="5">
        <f t="shared" si="122"/>
        <v>-2.2157728899999967</v>
      </c>
      <c r="Y223" s="5">
        <f t="shared" si="122"/>
        <v>-2.2652558900000059</v>
      </c>
      <c r="Z223" s="5">
        <f t="shared" si="122"/>
        <v>-2.3137177099999917</v>
      </c>
      <c r="AA223" s="5">
        <f t="shared" si="122"/>
        <v>-2.3613902000000024</v>
      </c>
      <c r="AB223" s="5">
        <f t="shared" si="122"/>
        <v>-2.405821809999992</v>
      </c>
      <c r="AC223" s="5">
        <f t="shared" si="122"/>
        <v>-2.4480658399999982</v>
      </c>
      <c r="AD223" s="5">
        <f t="shared" si="122"/>
        <v>-2.4887746999999933</v>
      </c>
      <c r="AE223" s="5">
        <f t="shared" si="122"/>
        <v>-2.5285585900000029</v>
      </c>
      <c r="AF223" s="5">
        <f t="shared" si="122"/>
        <v>-2.5679106599999955</v>
      </c>
      <c r="AG223" s="5">
        <f t="shared" si="122"/>
        <v>-2.6072019199999943</v>
      </c>
      <c r="AH223" s="5">
        <f t="shared" si="122"/>
        <v>-2.6462115599999976</v>
      </c>
      <c r="AI223" s="5">
        <f t="shared" si="122"/>
        <v>-2.6851418799999891</v>
      </c>
      <c r="AJ223" s="5">
        <f t="shared" si="122"/>
        <v>-2.7242513000000059</v>
      </c>
      <c r="AK223" s="5">
        <f t="shared" si="122"/>
        <v>-2.7637363300000004</v>
      </c>
      <c r="AL223" s="5">
        <f t="shared" si="122"/>
        <v>-2.8036999999999921</v>
      </c>
      <c r="AM223" s="5">
        <f t="shared" ref="AM223:BC223" si="123">AM199-AM211</f>
        <v>-2.8396367499999968</v>
      </c>
      <c r="AN223" s="5">
        <f t="shared" si="123"/>
        <v>-2.871629740000003</v>
      </c>
      <c r="AO223" s="5">
        <f t="shared" si="123"/>
        <v>-2.9007371599999914</v>
      </c>
      <c r="AP223" s="5">
        <f t="shared" si="123"/>
        <v>-2.9279482799999954</v>
      </c>
      <c r="AQ223" s="5">
        <f t="shared" si="123"/>
        <v>-2.9539464700000053</v>
      </c>
      <c r="AR223" s="5">
        <f t="shared" si="123"/>
        <v>-2.9785856299999978</v>
      </c>
      <c r="AS223" s="5">
        <f t="shared" si="123"/>
        <v>-3.0020216799999986</v>
      </c>
      <c r="AT223" s="5">
        <f t="shared" si="123"/>
        <v>-3.0244225799999924</v>
      </c>
      <c r="AU223" s="5">
        <f t="shared" si="123"/>
        <v>-3.0458832699999903</v>
      </c>
      <c r="AV223" s="5">
        <f t="shared" si="123"/>
        <v>-3.0664837500000033</v>
      </c>
      <c r="AW223" s="5">
        <f t="shared" si="123"/>
        <v>-3.0848681399999975</v>
      </c>
      <c r="AX223" s="5">
        <f t="shared" si="123"/>
        <v>-3.1012016300000056</v>
      </c>
      <c r="AY223" s="5">
        <f t="shared" si="123"/>
        <v>-3.116172039999995</v>
      </c>
      <c r="AZ223" s="5">
        <f t="shared" si="123"/>
        <v>-3.1304818999999924</v>
      </c>
      <c r="BA223" s="5">
        <f t="shared" si="123"/>
        <v>-3.1446773199999996</v>
      </c>
      <c r="BB223" s="5">
        <f t="shared" si="123"/>
        <v>-3.1582330700000085</v>
      </c>
      <c r="BC223" s="5">
        <f t="shared" si="123"/>
        <v>-3.171272689999995</v>
      </c>
      <c r="BD223" s="5">
        <f t="shared" ref="BD223:BF223" si="124">BD199-BD211</f>
        <v>-3.1841115000000002</v>
      </c>
      <c r="BE223" s="5">
        <f t="shared" si="124"/>
        <v>-3.1970430800000003</v>
      </c>
      <c r="BF223" s="5">
        <f t="shared" si="124"/>
        <v>-3.2102857499999971</v>
      </c>
    </row>
    <row r="225" spans="1:58" x14ac:dyDescent="0.35">
      <c r="A225" s="12" t="s">
        <v>86</v>
      </c>
      <c r="B225" t="s">
        <v>14</v>
      </c>
      <c r="C225" s="7" t="s">
        <v>15</v>
      </c>
      <c r="D225" s="7" t="s">
        <v>16</v>
      </c>
      <c r="E225" s="7" t="s">
        <v>17</v>
      </c>
    </row>
    <row r="226" spans="1:58" x14ac:dyDescent="0.35">
      <c r="A226" t="s">
        <v>87</v>
      </c>
      <c r="B226" t="s">
        <v>27</v>
      </c>
      <c r="C226" s="6">
        <f t="shared" ref="C226:C232" si="125">R216</f>
        <v>-579.10139999999956</v>
      </c>
      <c r="D226" s="6">
        <f t="shared" ref="D226:D232" si="126">AB216</f>
        <v>-858.3841399999983</v>
      </c>
      <c r="E226" s="6">
        <f>AL216</f>
        <v>-1073.5613300000005</v>
      </c>
    </row>
    <row r="227" spans="1:58" x14ac:dyDescent="0.35">
      <c r="B227" t="s">
        <v>7</v>
      </c>
      <c r="C227" s="6">
        <f t="shared" si="125"/>
        <v>-21.796877600000016</v>
      </c>
      <c r="D227" s="6">
        <f t="shared" si="126"/>
        <v>-31.168329800000038</v>
      </c>
      <c r="E227" s="6">
        <f t="shared" ref="E227:E231" si="127">AL217</f>
        <v>-38.267859199999975</v>
      </c>
    </row>
    <row r="228" spans="1:58" x14ac:dyDescent="0.35">
      <c r="B228" t="s">
        <v>30</v>
      </c>
      <c r="C228" s="6">
        <f t="shared" si="125"/>
        <v>-133.35000200000013</v>
      </c>
      <c r="D228" s="6">
        <f t="shared" si="126"/>
        <v>-213.57981899999959</v>
      </c>
      <c r="E228" s="6">
        <f t="shared" si="127"/>
        <v>-281.11198599999989</v>
      </c>
    </row>
    <row r="229" spans="1:58" x14ac:dyDescent="0.35">
      <c r="B229" t="s">
        <v>28</v>
      </c>
      <c r="C229" s="6">
        <f t="shared" si="125"/>
        <v>-20.625861899999904</v>
      </c>
      <c r="D229" s="6">
        <f t="shared" si="126"/>
        <v>-29.801097700000014</v>
      </c>
      <c r="E229" s="6">
        <f t="shared" si="127"/>
        <v>-37.471025700000041</v>
      </c>
    </row>
    <row r="230" spans="1:58" x14ac:dyDescent="0.35">
      <c r="B230" t="s">
        <v>10</v>
      </c>
      <c r="C230" s="6">
        <f t="shared" si="125"/>
        <v>-400.8930500000024</v>
      </c>
      <c r="D230" s="6">
        <f t="shared" si="126"/>
        <v>-580.62826000000132</v>
      </c>
      <c r="E230" s="6">
        <f t="shared" si="127"/>
        <v>-712.91575000000012</v>
      </c>
    </row>
    <row r="231" spans="1:58" x14ac:dyDescent="0.35">
      <c r="B231" t="s">
        <v>29</v>
      </c>
      <c r="C231" s="1">
        <f t="shared" si="125"/>
        <v>-0.33222373940000161</v>
      </c>
      <c r="D231" s="1">
        <f t="shared" si="126"/>
        <v>-0.48610028200000066</v>
      </c>
      <c r="E231" s="1">
        <f t="shared" si="127"/>
        <v>-0.60248460100000045</v>
      </c>
    </row>
    <row r="232" spans="1:58" x14ac:dyDescent="0.35">
      <c r="B232" t="s">
        <v>32</v>
      </c>
      <c r="C232" s="1">
        <f t="shared" si="125"/>
        <v>-0.21140099059999962</v>
      </c>
      <c r="D232" s="1">
        <f t="shared" si="126"/>
        <v>-0.31471463799999988</v>
      </c>
      <c r="E232" s="1">
        <f t="shared" ref="E232" si="128">AL222</f>
        <v>-0.38853042899999934</v>
      </c>
    </row>
    <row r="233" spans="1:58" x14ac:dyDescent="0.35">
      <c r="B233" t="s">
        <v>33</v>
      </c>
      <c r="C233" s="1">
        <f t="shared" ref="C233" si="129">R223</f>
        <v>-1.8919857100000002</v>
      </c>
      <c r="D233" s="1">
        <f t="shared" ref="D233" si="130">AB223</f>
        <v>-2.405821809999992</v>
      </c>
      <c r="E233" s="1">
        <f t="shared" ref="E233" si="131">AL223</f>
        <v>-2.8036999999999921</v>
      </c>
    </row>
    <row r="235" spans="1:58" x14ac:dyDescent="0.35">
      <c r="A235" s="12" t="s">
        <v>43</v>
      </c>
      <c r="B235" t="s">
        <v>26</v>
      </c>
      <c r="C235" s="5">
        <f>C236+C237+C238+C239</f>
        <v>97.882596857999999</v>
      </c>
      <c r="D235" s="5">
        <f t="shared" ref="D235:AL235" si="132">D236+D237+D238+D239</f>
        <v>96.697658848000003</v>
      </c>
      <c r="E235" s="5">
        <f t="shared" si="132"/>
        <v>97.071663073999986</v>
      </c>
      <c r="F235" s="5">
        <f t="shared" si="132"/>
        <v>97.840272936999995</v>
      </c>
      <c r="G235" s="5">
        <f t="shared" si="132"/>
        <v>98.828824580999992</v>
      </c>
      <c r="H235" s="5">
        <f t="shared" si="132"/>
        <v>100.001638122</v>
      </c>
      <c r="I235" s="5">
        <f t="shared" si="132"/>
        <v>101.272340618</v>
      </c>
      <c r="J235" s="5">
        <f t="shared" si="132"/>
        <v>102.65144148499999</v>
      </c>
      <c r="K235" s="5">
        <f t="shared" si="132"/>
        <v>104.123336077</v>
      </c>
      <c r="L235" s="5">
        <f t="shared" si="132"/>
        <v>105.669643865</v>
      </c>
      <c r="M235" s="5">
        <f t="shared" si="132"/>
        <v>107.37965579000002</v>
      </c>
      <c r="N235" s="5">
        <f t="shared" si="132"/>
        <v>109.065167315</v>
      </c>
      <c r="O235" s="5">
        <f t="shared" si="132"/>
        <v>110.765023529</v>
      </c>
      <c r="P235" s="5">
        <f t="shared" si="132"/>
        <v>112.48029715999999</v>
      </c>
      <c r="Q235" s="5">
        <f t="shared" si="132"/>
        <v>114.20700345500001</v>
      </c>
      <c r="R235" s="5">
        <f t="shared" si="132"/>
        <v>115.94183979200001</v>
      </c>
      <c r="S235" s="5">
        <f t="shared" si="132"/>
        <v>117.675214404</v>
      </c>
      <c r="T235" s="5">
        <f t="shared" si="132"/>
        <v>119.411742946</v>
      </c>
      <c r="U235" s="5">
        <f t="shared" si="132"/>
        <v>121.15301406099999</v>
      </c>
      <c r="V235" s="5">
        <f t="shared" si="132"/>
        <v>122.90066264399999</v>
      </c>
      <c r="W235" s="5">
        <f t="shared" si="132"/>
        <v>124.57851628600001</v>
      </c>
      <c r="X235" s="5">
        <f t="shared" si="132"/>
        <v>126.312090122</v>
      </c>
      <c r="Y235" s="5">
        <f t="shared" si="132"/>
        <v>128.07107758799998</v>
      </c>
      <c r="Z235" s="5">
        <f t="shared" si="132"/>
        <v>129.85178426800002</v>
      </c>
      <c r="AA235" s="5">
        <f t="shared" si="132"/>
        <v>131.65522607199998</v>
      </c>
      <c r="AB235" s="5">
        <f t="shared" si="132"/>
        <v>133.25866813800002</v>
      </c>
      <c r="AC235" s="5">
        <f t="shared" si="132"/>
        <v>134.91303762499999</v>
      </c>
      <c r="AD235" s="5">
        <f t="shared" si="132"/>
        <v>136.58382478499999</v>
      </c>
      <c r="AE235" s="5">
        <f t="shared" si="132"/>
        <v>138.270133695</v>
      </c>
      <c r="AF235" s="5">
        <f t="shared" si="132"/>
        <v>139.97645053400001</v>
      </c>
      <c r="AG235" s="5">
        <f t="shared" si="132"/>
        <v>141.70734378099999</v>
      </c>
      <c r="AH235" s="5">
        <f t="shared" si="132"/>
        <v>143.46804856699998</v>
      </c>
      <c r="AI235" s="5">
        <f t="shared" si="132"/>
        <v>145.26025844200001</v>
      </c>
      <c r="AJ235" s="5">
        <f t="shared" si="132"/>
        <v>147.08555581600001</v>
      </c>
      <c r="AK235" s="5">
        <f t="shared" si="132"/>
        <v>148.94494396100001</v>
      </c>
      <c r="AL235" s="5">
        <f t="shared" si="132"/>
        <v>150.83889687600001</v>
      </c>
      <c r="AM235" s="5">
        <f t="shared" ref="AM235:BC235" si="133">AM236+AM237+AM238+AM239</f>
        <v>152.727190552</v>
      </c>
      <c r="AN235" s="5">
        <f t="shared" si="133"/>
        <v>154.63110448800001</v>
      </c>
      <c r="AO235" s="5">
        <f t="shared" si="133"/>
        <v>156.55633606200001</v>
      </c>
      <c r="AP235" s="5">
        <f t="shared" si="133"/>
        <v>158.505463539</v>
      </c>
      <c r="AQ235" s="5">
        <f t="shared" si="133"/>
        <v>160.480188497</v>
      </c>
      <c r="AR235" s="5">
        <f t="shared" si="133"/>
        <v>162.483847561</v>
      </c>
      <c r="AS235" s="5">
        <f t="shared" si="133"/>
        <v>164.51607613799999</v>
      </c>
      <c r="AT235" s="5">
        <f t="shared" si="133"/>
        <v>166.57715839700001</v>
      </c>
      <c r="AU235" s="5">
        <f t="shared" si="133"/>
        <v>168.66728300599999</v>
      </c>
      <c r="AV235" s="5">
        <f t="shared" si="133"/>
        <v>170.78645641</v>
      </c>
      <c r="AW235" s="5">
        <f t="shared" si="133"/>
        <v>172.94626699300002</v>
      </c>
      <c r="AX235" s="5">
        <f t="shared" si="133"/>
        <v>175.13971901299999</v>
      </c>
      <c r="AY235" s="5">
        <f t="shared" si="133"/>
        <v>177.36486452100002</v>
      </c>
      <c r="AZ235" s="5">
        <f t="shared" si="133"/>
        <v>179.62071226200001</v>
      </c>
      <c r="BA235" s="5">
        <f t="shared" si="133"/>
        <v>181.90650469600001</v>
      </c>
      <c r="BB235" s="5">
        <f t="shared" si="133"/>
        <v>184.22587205299999</v>
      </c>
      <c r="BC235" s="5">
        <f t="shared" si="133"/>
        <v>186.57592791899998</v>
      </c>
      <c r="BD235" s="5">
        <f t="shared" ref="BD235:BF235" si="134">BD236+BD237+BD238+BD239</f>
        <v>188.95584999499999</v>
      </c>
      <c r="BE235" s="5">
        <f t="shared" si="134"/>
        <v>191.36534118500001</v>
      </c>
      <c r="BF235" s="5">
        <f t="shared" si="134"/>
        <v>193.80432442899999</v>
      </c>
    </row>
    <row r="236" spans="1:58" x14ac:dyDescent="0.35">
      <c r="A236" t="s">
        <v>39</v>
      </c>
      <c r="B236" t="s">
        <v>7</v>
      </c>
      <c r="C236" s="5">
        <f>[1]Results!F378</f>
        <v>4.8896465080000002</v>
      </c>
      <c r="D236" s="5">
        <f>[1]Results!G378</f>
        <v>4.8268116980000002</v>
      </c>
      <c r="E236" s="5">
        <f>[1]Results!H378</f>
        <v>4.8263093140000004</v>
      </c>
      <c r="F236" s="5">
        <f>[1]Results!I378</f>
        <v>4.8464419269999999</v>
      </c>
      <c r="G236" s="5">
        <f>[1]Results!J378</f>
        <v>4.8807543610000002</v>
      </c>
      <c r="H236" s="5">
        <f>[1]Results!K378</f>
        <v>4.927472002</v>
      </c>
      <c r="I236" s="5">
        <f>[1]Results!L378</f>
        <v>4.9821699779999999</v>
      </c>
      <c r="J236" s="5">
        <f>[1]Results!M378</f>
        <v>5.0443363449999996</v>
      </c>
      <c r="K236" s="5">
        <f>[1]Results!N378</f>
        <v>5.1127811469999997</v>
      </c>
      <c r="L236" s="5">
        <f>[1]Results!O378</f>
        <v>5.1863099049999999</v>
      </c>
      <c r="M236" s="5">
        <f>[1]Results!P378</f>
        <v>5.2685710200000004</v>
      </c>
      <c r="N236" s="5">
        <f>[1]Results!Q378</f>
        <v>5.3515982749999997</v>
      </c>
      <c r="O236" s="5">
        <f>[1]Results!R378</f>
        <v>5.4361689289999999</v>
      </c>
      <c r="P236" s="5">
        <f>[1]Results!S378</f>
        <v>5.5220643999999997</v>
      </c>
      <c r="Q236" s="5">
        <f>[1]Results!T378</f>
        <v>5.6089639050000004</v>
      </c>
      <c r="R236" s="5">
        <f>[1]Results!U378</f>
        <v>5.6966226420000003</v>
      </c>
      <c r="S236" s="5">
        <f>[1]Results!V378</f>
        <v>5.7844865739999998</v>
      </c>
      <c r="T236" s="5">
        <f>[1]Results!W378</f>
        <v>5.8727444560000004</v>
      </c>
      <c r="U236" s="5">
        <f>[1]Results!X378</f>
        <v>5.9614165010000004</v>
      </c>
      <c r="V236" s="5">
        <f>[1]Results!Y378</f>
        <v>6.0505274939999998</v>
      </c>
      <c r="W236" s="5">
        <f>[1]Results!Z378</f>
        <v>6.1366533160000003</v>
      </c>
      <c r="X236" s="5">
        <f>[1]Results!AA378</f>
        <v>6.2248005620000004</v>
      </c>
      <c r="Y236" s="5">
        <f>[1]Results!AB378</f>
        <v>6.3141645879999997</v>
      </c>
      <c r="Z236" s="5">
        <f>[1]Results!AC378</f>
        <v>6.4046174379999998</v>
      </c>
      <c r="AA236" s="5">
        <f>[1]Results!AD378</f>
        <v>6.4961735819999999</v>
      </c>
      <c r="AB236" s="5">
        <f>[1]Results!AE378</f>
        <v>6.5788979379999999</v>
      </c>
      <c r="AC236" s="5">
        <f>[1]Results!AF378</f>
        <v>6.6624150249999996</v>
      </c>
      <c r="AD236" s="5">
        <f>[1]Results!AG378</f>
        <v>6.7460896149999998</v>
      </c>
      <c r="AE236" s="5">
        <f>[1]Results!AH378</f>
        <v>6.8301266050000002</v>
      </c>
      <c r="AF236" s="5">
        <f>[1]Results!AI378</f>
        <v>6.9148670939999999</v>
      </c>
      <c r="AG236" s="5">
        <f>[1]Results!AJ378</f>
        <v>7.0006175209999997</v>
      </c>
      <c r="AH236" s="5">
        <f>[1]Results!AK378</f>
        <v>7.0877020870000003</v>
      </c>
      <c r="AI236" s="5">
        <f>[1]Results!AL378</f>
        <v>7.1762327619999997</v>
      </c>
      <c r="AJ236" s="5">
        <f>[1]Results!AM378</f>
        <v>7.2663154460000001</v>
      </c>
      <c r="AK236" s="5">
        <f>[1]Results!AN378</f>
        <v>7.3580207010000001</v>
      </c>
      <c r="AL236" s="5">
        <f>[1]Results!AO378</f>
        <v>7.4513891560000003</v>
      </c>
      <c r="AM236" s="5">
        <f>[1]Results!AP378</f>
        <v>7.5448099019999999</v>
      </c>
      <c r="AN236" s="5">
        <f>[1]Results!AQ378</f>
        <v>7.6387327379999999</v>
      </c>
      <c r="AO236" s="5">
        <f>[1]Results!AR378</f>
        <v>7.733457832</v>
      </c>
      <c r="AP236" s="5">
        <f>[1]Results!AS378</f>
        <v>7.8292014190000003</v>
      </c>
      <c r="AQ236" s="5">
        <f>[1]Results!AT378</f>
        <v>7.9261337169999999</v>
      </c>
      <c r="AR236" s="5">
        <f>[1]Results!AU378</f>
        <v>8.0245091710000001</v>
      </c>
      <c r="AS236" s="5">
        <f>[1]Results!AV378</f>
        <v>8.1243481880000008</v>
      </c>
      <c r="AT236" s="5">
        <f>[1]Results!AW378</f>
        <v>8.2257095570000001</v>
      </c>
      <c r="AU236" s="5">
        <f>[1]Results!AX378</f>
        <v>8.3286357160000009</v>
      </c>
      <c r="AV236" s="5">
        <f>[1]Results!AY378</f>
        <v>8.4331495099999998</v>
      </c>
      <c r="AW236" s="5">
        <f>[1]Results!AZ378</f>
        <v>8.5398755130000001</v>
      </c>
      <c r="AX236" s="5">
        <f>[1]Results!BA378</f>
        <v>8.6484495629999998</v>
      </c>
      <c r="AY236" s="5">
        <f>[1]Results!BB378</f>
        <v>8.7587836909999996</v>
      </c>
      <c r="AZ236" s="5">
        <f>[1]Results!BC378</f>
        <v>8.8708307719999997</v>
      </c>
      <c r="BA236" s="5">
        <f>[1]Results!BD378</f>
        <v>8.9845501159999994</v>
      </c>
      <c r="BB236" s="5">
        <f>[1]Results!BE378</f>
        <v>9.1001568329999998</v>
      </c>
      <c r="BC236" s="5">
        <f>[1]Results!BF378</f>
        <v>9.2174523589999993</v>
      </c>
      <c r="BD236" s="5">
        <f>[1]Results!BG378</f>
        <v>9.3363914650000002</v>
      </c>
      <c r="BE236" s="5">
        <f>[1]Results!BH378</f>
        <v>9.4569568250000007</v>
      </c>
      <c r="BF236" s="5">
        <f>[1]Results!BI378</f>
        <v>9.5791402090000002</v>
      </c>
    </row>
    <row r="237" spans="1:58" x14ac:dyDescent="0.35">
      <c r="B237" t="s">
        <v>8</v>
      </c>
      <c r="C237" s="5">
        <f>[1]Results!F390</f>
        <v>44.144980099999998</v>
      </c>
      <c r="D237" s="5">
        <f>[1]Results!G390</f>
        <v>43.278728979999997</v>
      </c>
      <c r="E237" s="5">
        <f>[1]Results!H390</f>
        <v>43.398578909999998</v>
      </c>
      <c r="F237" s="5">
        <f>[1]Results!I390</f>
        <v>43.735031960000001</v>
      </c>
      <c r="G237" s="5">
        <f>[1]Results!J390</f>
        <v>44.176166700000003</v>
      </c>
      <c r="H237" s="5">
        <f>[1]Results!K390</f>
        <v>44.700927710000002</v>
      </c>
      <c r="I237" s="5">
        <f>[1]Results!L390</f>
        <v>45.267573390000003</v>
      </c>
      <c r="J237" s="5">
        <f>[1]Results!M390</f>
        <v>45.882476109999999</v>
      </c>
      <c r="K237" s="5">
        <f>[1]Results!N390</f>
        <v>46.538301320000002</v>
      </c>
      <c r="L237" s="5">
        <f>[1]Results!O390</f>
        <v>47.22640234</v>
      </c>
      <c r="M237" s="5">
        <f>[1]Results!P390</f>
        <v>47.988707220000002</v>
      </c>
      <c r="N237" s="5">
        <f>[1]Results!Q390</f>
        <v>48.733104949999998</v>
      </c>
      <c r="O237" s="5">
        <f>[1]Results!R390</f>
        <v>49.482003059999997</v>
      </c>
      <c r="P237" s="5">
        <f>[1]Results!S390</f>
        <v>50.236352959999998</v>
      </c>
      <c r="Q237" s="5">
        <f>[1]Results!T390</f>
        <v>50.994347500000003</v>
      </c>
      <c r="R237" s="5">
        <f>[1]Results!U390</f>
        <v>51.754476830000002</v>
      </c>
      <c r="S237" s="5">
        <f>[1]Results!V390</f>
        <v>52.510119940000003</v>
      </c>
      <c r="T237" s="5">
        <f>[1]Results!W390</f>
        <v>53.265517039999999</v>
      </c>
      <c r="U237" s="5">
        <f>[1]Results!X390</f>
        <v>54.021788170000001</v>
      </c>
      <c r="V237" s="5">
        <f>[1]Results!Y390</f>
        <v>54.779895580000002</v>
      </c>
      <c r="W237" s="5">
        <f>[1]Results!Z390</f>
        <v>55.504551280000001</v>
      </c>
      <c r="X237" s="5">
        <f>[1]Results!AA390</f>
        <v>56.25591403</v>
      </c>
      <c r="Y237" s="5">
        <f>[1]Results!AB390</f>
        <v>57.018366129999997</v>
      </c>
      <c r="Z237" s="5">
        <f>[1]Results!AC390</f>
        <v>57.790299660000002</v>
      </c>
      <c r="AA237" s="5">
        <f>[1]Results!AD390</f>
        <v>58.572431109999997</v>
      </c>
      <c r="AB237" s="5">
        <f>[1]Results!AE390</f>
        <v>59.261639440000003</v>
      </c>
      <c r="AC237" s="5">
        <f>[1]Results!AF390</f>
        <v>59.979592660000002</v>
      </c>
      <c r="AD237" s="5">
        <f>[1]Results!AG390</f>
        <v>60.706541399999999</v>
      </c>
      <c r="AE237" s="5">
        <f>[1]Results!AH390</f>
        <v>61.44144137</v>
      </c>
      <c r="AF237" s="5">
        <f>[1]Results!AI390</f>
        <v>62.186092369999997</v>
      </c>
      <c r="AG237" s="5">
        <f>[1]Results!AJ390</f>
        <v>62.942404230000001</v>
      </c>
      <c r="AH237" s="5">
        <f>[1]Results!AK390</f>
        <v>63.713209759999998</v>
      </c>
      <c r="AI237" s="5">
        <f>[1]Results!AL390</f>
        <v>64.498665740000007</v>
      </c>
      <c r="AJ237" s="5">
        <f>[1]Results!AM390</f>
        <v>65.29934394</v>
      </c>
      <c r="AK237" s="5">
        <f>[1]Results!AN390</f>
        <v>66.115606889999995</v>
      </c>
      <c r="AL237" s="5">
        <f>[1]Results!AO390</f>
        <v>66.947571710000005</v>
      </c>
      <c r="AM237" s="5">
        <f>[1]Results!AP390</f>
        <v>67.781740159999998</v>
      </c>
      <c r="AN237" s="5">
        <f>[1]Results!AQ390</f>
        <v>68.624064349999998</v>
      </c>
      <c r="AO237" s="5">
        <f>[1]Results!AR390</f>
        <v>69.476313509999997</v>
      </c>
      <c r="AP237" s="5">
        <f>[1]Results!AS390</f>
        <v>70.339261739999998</v>
      </c>
      <c r="AQ237" s="5">
        <f>[1]Results!AT390</f>
        <v>71.213367969999993</v>
      </c>
      <c r="AR237" s="5">
        <f>[1]Results!AU390</f>
        <v>72.100740560000006</v>
      </c>
      <c r="AS237" s="5">
        <f>[1]Results!AV390</f>
        <v>73.000222379999997</v>
      </c>
      <c r="AT237" s="5">
        <f>[1]Results!AW390</f>
        <v>73.911667989999998</v>
      </c>
      <c r="AU237" s="5">
        <f>[1]Results!AX390</f>
        <v>74.835009679999999</v>
      </c>
      <c r="AV237" s="5">
        <f>[1]Results!AY390</f>
        <v>75.770136600000001</v>
      </c>
      <c r="AW237" s="5">
        <f>[1]Results!AZ390</f>
        <v>76.725248390000004</v>
      </c>
      <c r="AX237" s="5">
        <f>[1]Results!BA390</f>
        <v>77.694353550000002</v>
      </c>
      <c r="AY237" s="5">
        <f>[1]Results!BB390</f>
        <v>78.676210249999997</v>
      </c>
      <c r="AZ237" s="5">
        <f>[1]Results!BC390</f>
        <v>79.670317139999995</v>
      </c>
      <c r="BA237" s="5">
        <f>[1]Results!BD390</f>
        <v>80.676316189999994</v>
      </c>
      <c r="BB237" s="5">
        <f>[1]Results!BE390</f>
        <v>81.697765820000001</v>
      </c>
      <c r="BC237" s="5">
        <f>[1]Results!BF390</f>
        <v>82.731655959999998</v>
      </c>
      <c r="BD237" s="5">
        <f>[1]Results!BG390</f>
        <v>83.777411740000005</v>
      </c>
      <c r="BE237" s="5">
        <f>[1]Results!BH390</f>
        <v>84.834885049999997</v>
      </c>
      <c r="BF237" s="5">
        <f>[1]Results!BI390</f>
        <v>85.904052109999995</v>
      </c>
    </row>
    <row r="238" spans="1:58" x14ac:dyDescent="0.35">
      <c r="B238" t="s">
        <v>28</v>
      </c>
      <c r="C238" s="5">
        <f>[1]Results!F366</f>
        <v>26.340995079999999</v>
      </c>
      <c r="D238" s="5">
        <f>[1]Results!G366</f>
        <v>26.086152469999998</v>
      </c>
      <c r="E238" s="5">
        <f>[1]Results!H366</f>
        <v>26.218188550000001</v>
      </c>
      <c r="F238" s="5">
        <f>[1]Results!I366</f>
        <v>26.446809869999999</v>
      </c>
      <c r="G238" s="5">
        <f>[1]Results!J366</f>
        <v>26.72311831</v>
      </c>
      <c r="H238" s="5">
        <f>[1]Results!K366</f>
        <v>27.03536021</v>
      </c>
      <c r="I238" s="5">
        <f>[1]Results!L366</f>
        <v>27.361769320000001</v>
      </c>
      <c r="J238" s="5">
        <f>[1]Results!M366</f>
        <v>27.706366670000001</v>
      </c>
      <c r="K238" s="5">
        <f>[1]Results!N366</f>
        <v>28.06714431</v>
      </c>
      <c r="L238" s="5">
        <f>[1]Results!O366</f>
        <v>28.44114862</v>
      </c>
      <c r="M238" s="5">
        <f>[1]Results!P366</f>
        <v>28.851811829999999</v>
      </c>
      <c r="N238" s="5">
        <f>[1]Results!Q366</f>
        <v>29.252816790000001</v>
      </c>
      <c r="O238" s="5">
        <f>[1]Results!R366</f>
        <v>29.654830570000001</v>
      </c>
      <c r="P238" s="5">
        <f>[1]Results!S366</f>
        <v>30.059090149999999</v>
      </c>
      <c r="Q238" s="5">
        <f>[1]Results!T366</f>
        <v>30.465296760000001</v>
      </c>
      <c r="R238" s="5">
        <f>[1]Results!U366</f>
        <v>30.873152279999999</v>
      </c>
      <c r="S238" s="5">
        <f>[1]Results!V366</f>
        <v>31.280240620000001</v>
      </c>
      <c r="T238" s="5">
        <f>[1]Results!W366</f>
        <v>31.688481599999999</v>
      </c>
      <c r="U238" s="5">
        <f>[1]Results!X366</f>
        <v>32.098541599999997</v>
      </c>
      <c r="V238" s="5">
        <f>[1]Results!Y366</f>
        <v>32.510934409999997</v>
      </c>
      <c r="W238" s="5">
        <f>[1]Results!Z366</f>
        <v>32.906922690000002</v>
      </c>
      <c r="X238" s="5">
        <f>[1]Results!AA366</f>
        <v>33.317553080000003</v>
      </c>
      <c r="Y238" s="5">
        <f>[1]Results!AB366</f>
        <v>33.735356639999999</v>
      </c>
      <c r="Z238" s="5">
        <f>[1]Results!AC366</f>
        <v>34.159098360000002</v>
      </c>
      <c r="AA238" s="5">
        <f>[1]Results!AD366</f>
        <v>34.588777020000002</v>
      </c>
      <c r="AB238" s="5">
        <f>[1]Results!AE366</f>
        <v>34.96947677</v>
      </c>
      <c r="AC238" s="5">
        <f>[1]Results!AF366</f>
        <v>35.363512839999999</v>
      </c>
      <c r="AD238" s="5">
        <f>[1]Results!AG366</f>
        <v>35.76254058</v>
      </c>
      <c r="AE238" s="5">
        <f>[1]Results!AH366</f>
        <v>36.166037250000002</v>
      </c>
      <c r="AF238" s="5">
        <f>[1]Results!AI366</f>
        <v>36.57487141</v>
      </c>
      <c r="AG238" s="5">
        <f>[1]Results!AJ366</f>
        <v>36.989967739999997</v>
      </c>
      <c r="AH238" s="5">
        <f>[1]Results!AK366</f>
        <v>37.412566980000001</v>
      </c>
      <c r="AI238" s="5">
        <f>[1]Results!AL366</f>
        <v>37.84276423</v>
      </c>
      <c r="AJ238" s="5">
        <f>[1]Results!AM366</f>
        <v>38.280765160000001</v>
      </c>
      <c r="AK238" s="5">
        <f>[1]Results!AN366</f>
        <v>38.726679660000002</v>
      </c>
      <c r="AL238" s="5">
        <f>[1]Results!AO366</f>
        <v>39.180525979999999</v>
      </c>
      <c r="AM238" s="5">
        <f>[1]Results!AP366</f>
        <v>39.63374014</v>
      </c>
      <c r="AN238" s="5">
        <f>[1]Results!AQ366</f>
        <v>40.090324430000003</v>
      </c>
      <c r="AO238" s="5">
        <f>[1]Results!AR366</f>
        <v>40.551685749999997</v>
      </c>
      <c r="AP238" s="5">
        <f>[1]Results!AS366</f>
        <v>41.018545770000003</v>
      </c>
      <c r="AQ238" s="5">
        <f>[1]Results!AT366</f>
        <v>41.491413430000001</v>
      </c>
      <c r="AR238" s="5">
        <f>[1]Results!AU366</f>
        <v>41.971422390000001</v>
      </c>
      <c r="AS238" s="5">
        <f>[1]Results!AV366</f>
        <v>42.458327359999998</v>
      </c>
      <c r="AT238" s="5">
        <f>[1]Results!AW366</f>
        <v>42.952218199999997</v>
      </c>
      <c r="AU238" s="5">
        <f>[1]Results!AX366</f>
        <v>43.453178350000002</v>
      </c>
      <c r="AV238" s="5">
        <f>[1]Results!AY366</f>
        <v>43.961244690000001</v>
      </c>
      <c r="AW238" s="5">
        <f>[1]Results!AZ366</f>
        <v>44.480112400000003</v>
      </c>
      <c r="AX238" s="5">
        <f>[1]Results!BA366</f>
        <v>45.007271860000003</v>
      </c>
      <c r="AY238" s="5">
        <f>[1]Results!BB366</f>
        <v>45.54212656</v>
      </c>
      <c r="AZ238" s="5">
        <f>[1]Results!BC366</f>
        <v>46.08443544</v>
      </c>
      <c r="BA238" s="5">
        <f>[1]Results!BD366</f>
        <v>46.634049310000002</v>
      </c>
      <c r="BB238" s="5">
        <f>[1]Results!BE366</f>
        <v>47.192444729999998</v>
      </c>
      <c r="BC238" s="5">
        <f>[1]Results!BF366</f>
        <v>47.758430990000001</v>
      </c>
      <c r="BD238" s="5">
        <f>[1]Results!BG366</f>
        <v>48.331759669999997</v>
      </c>
      <c r="BE238" s="5">
        <f>[1]Results!BH366</f>
        <v>48.912373340000002</v>
      </c>
      <c r="BF238" s="5">
        <f>[1]Results!BI366</f>
        <v>49.500278389999998</v>
      </c>
    </row>
    <row r="239" spans="1:58" x14ac:dyDescent="0.35">
      <c r="B239" t="s">
        <v>10</v>
      </c>
      <c r="C239" s="5">
        <f>[1]Results!F402</f>
        <v>22.50697517</v>
      </c>
      <c r="D239" s="5">
        <f>[1]Results!G402</f>
        <v>22.505965700000001</v>
      </c>
      <c r="E239" s="5">
        <f>[1]Results!H402</f>
        <v>22.628586299999998</v>
      </c>
      <c r="F239" s="5">
        <f>[1]Results!I402</f>
        <v>22.811989180000001</v>
      </c>
      <c r="G239" s="5">
        <f>[1]Results!J402</f>
        <v>23.048785209999998</v>
      </c>
      <c r="H239" s="5">
        <f>[1]Results!K402</f>
        <v>23.337878199999999</v>
      </c>
      <c r="I239" s="5">
        <f>[1]Results!L402</f>
        <v>23.66082793</v>
      </c>
      <c r="J239" s="5">
        <f>[1]Results!M402</f>
        <v>24.018262360000001</v>
      </c>
      <c r="K239" s="5">
        <f>[1]Results!N402</f>
        <v>24.405109299999999</v>
      </c>
      <c r="L239" s="5">
        <f>[1]Results!O402</f>
        <v>24.815783</v>
      </c>
      <c r="M239" s="5">
        <f>[1]Results!P402</f>
        <v>25.27056572</v>
      </c>
      <c r="N239" s="5">
        <f>[1]Results!Q402</f>
        <v>25.727647300000001</v>
      </c>
      <c r="O239" s="5">
        <f>[1]Results!R402</f>
        <v>26.192020970000002</v>
      </c>
      <c r="P239" s="5">
        <f>[1]Results!S402</f>
        <v>26.662789650000001</v>
      </c>
      <c r="Q239" s="5">
        <f>[1]Results!T402</f>
        <v>27.138395289999998</v>
      </c>
      <c r="R239" s="5">
        <f>[1]Results!U402</f>
        <v>27.617588040000001</v>
      </c>
      <c r="S239" s="5">
        <f>[1]Results!V402</f>
        <v>28.10036727</v>
      </c>
      <c r="T239" s="5">
        <f>[1]Results!W402</f>
        <v>28.584999849999999</v>
      </c>
      <c r="U239" s="5">
        <f>[1]Results!X402</f>
        <v>29.07126779</v>
      </c>
      <c r="V239" s="5">
        <f>[1]Results!Y402</f>
        <v>29.559305160000001</v>
      </c>
      <c r="W239" s="5">
        <f>[1]Results!Z402</f>
        <v>30.030389</v>
      </c>
      <c r="X239" s="5">
        <f>[1]Results!AA402</f>
        <v>30.513822449999999</v>
      </c>
      <c r="Y239" s="5">
        <f>[1]Results!AB402</f>
        <v>31.003190230000001</v>
      </c>
      <c r="Z239" s="5">
        <f>[1]Results!AC402</f>
        <v>31.49776881</v>
      </c>
      <c r="AA239" s="5">
        <f>[1]Results!AD402</f>
        <v>31.997844359999998</v>
      </c>
      <c r="AB239" s="5">
        <f>[1]Results!AE402</f>
        <v>32.448653989999997</v>
      </c>
      <c r="AC239" s="5">
        <f>[1]Results!AF402</f>
        <v>32.9075171</v>
      </c>
      <c r="AD239" s="5">
        <f>[1]Results!AG402</f>
        <v>33.368653190000003</v>
      </c>
      <c r="AE239" s="5">
        <f>[1]Results!AH402</f>
        <v>33.83252847</v>
      </c>
      <c r="AF239" s="5">
        <f>[1]Results!AI402</f>
        <v>34.300619660000002</v>
      </c>
      <c r="AG239" s="5">
        <f>[1]Results!AJ402</f>
        <v>34.774354289999998</v>
      </c>
      <c r="AH239" s="5">
        <f>[1]Results!AK402</f>
        <v>35.254569740000001</v>
      </c>
      <c r="AI239" s="5">
        <f>[1]Results!AL402</f>
        <v>35.742595710000003</v>
      </c>
      <c r="AJ239" s="5">
        <f>[1]Results!AM402</f>
        <v>36.239131270000001</v>
      </c>
      <c r="AK239" s="5">
        <f>[1]Results!AN402</f>
        <v>36.744636710000002</v>
      </c>
      <c r="AL239" s="5">
        <f>[1]Results!AO402</f>
        <v>37.259410029999998</v>
      </c>
      <c r="AM239" s="5">
        <f>[1]Results!AP402</f>
        <v>37.76690035</v>
      </c>
      <c r="AN239" s="5">
        <f>[1]Results!AQ402</f>
        <v>38.277982969999996</v>
      </c>
      <c r="AO239" s="5">
        <f>[1]Results!AR402</f>
        <v>38.794878969999999</v>
      </c>
      <c r="AP239" s="5">
        <f>[1]Results!AS402</f>
        <v>39.318454610000003</v>
      </c>
      <c r="AQ239" s="5">
        <f>[1]Results!AT402</f>
        <v>39.84927338</v>
      </c>
      <c r="AR239" s="5">
        <f>[1]Results!AU402</f>
        <v>40.38717544</v>
      </c>
      <c r="AS239" s="5">
        <f>[1]Results!AV402</f>
        <v>40.933178210000001</v>
      </c>
      <c r="AT239" s="5">
        <f>[1]Results!AW402</f>
        <v>41.487562650000001</v>
      </c>
      <c r="AU239" s="5">
        <f>[1]Results!AX402</f>
        <v>42.050459259999997</v>
      </c>
      <c r="AV239" s="5">
        <f>[1]Results!AY402</f>
        <v>42.621925609999998</v>
      </c>
      <c r="AW239" s="5">
        <f>[1]Results!AZ402</f>
        <v>43.201030690000003</v>
      </c>
      <c r="AX239" s="5">
        <f>[1]Results!BA402</f>
        <v>43.789644039999999</v>
      </c>
      <c r="AY239" s="5">
        <f>[1]Results!BB402</f>
        <v>44.38774402</v>
      </c>
      <c r="AZ239" s="5">
        <f>[1]Results!BC402</f>
        <v>44.995128909999998</v>
      </c>
      <c r="BA239" s="5">
        <f>[1]Results!BD402</f>
        <v>45.611589080000002</v>
      </c>
      <c r="BB239" s="5">
        <f>[1]Results!BE402</f>
        <v>46.235504669999997</v>
      </c>
      <c r="BC239" s="5">
        <f>[1]Results!BF402</f>
        <v>46.868388609999997</v>
      </c>
      <c r="BD239" s="5">
        <f>[1]Results!BG402</f>
        <v>47.510287120000001</v>
      </c>
      <c r="BE239" s="5">
        <f>[1]Results!BH402</f>
        <v>48.161125970000001</v>
      </c>
      <c r="BF239" s="5">
        <f>[1]Results!BI402</f>
        <v>48.820853720000002</v>
      </c>
    </row>
    <row r="240" spans="1:58" x14ac:dyDescent="0.35">
      <c r="B240" t="s">
        <v>44</v>
      </c>
      <c r="C240" s="5">
        <f>[1]Results!F353</f>
        <v>64.301440170000006</v>
      </c>
      <c r="D240" s="5">
        <f>[1]Results!G353</f>
        <v>64.265913170000005</v>
      </c>
      <c r="E240" s="5">
        <f>[1]Results!H353</f>
        <v>63.93796511</v>
      </c>
      <c r="F240" s="5">
        <f>[1]Results!I353</f>
        <v>63.578523250000003</v>
      </c>
      <c r="G240" s="5">
        <f>[1]Results!J353</f>
        <v>63.275338130000002</v>
      </c>
      <c r="H240" s="5">
        <f>[1]Results!K353</f>
        <v>63.045923700000003</v>
      </c>
      <c r="I240" s="5">
        <f>[1]Results!L353</f>
        <v>62.86278128</v>
      </c>
      <c r="J240" s="5">
        <f>[1]Results!M353</f>
        <v>62.726596890000003</v>
      </c>
      <c r="K240" s="5">
        <f>[1]Results!N353</f>
        <v>62.63310637</v>
      </c>
      <c r="L240" s="5">
        <f>[1]Results!O353</f>
        <v>62.574986410000001</v>
      </c>
      <c r="M240" s="5">
        <f>[1]Results!P353</f>
        <v>62.573893220000002</v>
      </c>
      <c r="N240" s="5">
        <f>[1]Results!Q353</f>
        <v>62.57721978</v>
      </c>
      <c r="O240" s="5">
        <f>[1]Results!R353</f>
        <v>62.589960380000001</v>
      </c>
      <c r="P240" s="5">
        <f>[1]Results!S353</f>
        <v>62.61284216</v>
      </c>
      <c r="Q240" s="5">
        <f>[1]Results!T353</f>
        <v>62.64464779</v>
      </c>
      <c r="R240" s="5">
        <f>[1]Results!U353</f>
        <v>62.683549839999998</v>
      </c>
      <c r="S240" s="5">
        <f>[1]Results!V353</f>
        <v>62.724347690000002</v>
      </c>
      <c r="T240" s="5">
        <f>[1]Results!W353</f>
        <v>62.767952800000003</v>
      </c>
      <c r="U240" s="5">
        <f>[1]Results!X353</f>
        <v>62.814326029999997</v>
      </c>
      <c r="V240" s="5">
        <f>[1]Results!Y353</f>
        <v>62.863060359999999</v>
      </c>
      <c r="W240" s="5">
        <f>[1]Results!Z353</f>
        <v>62.894838649999997</v>
      </c>
      <c r="X240" s="5">
        <f>[1]Results!AA353</f>
        <v>62.937369750000002</v>
      </c>
      <c r="Y240" s="5">
        <f>[1]Results!AB353</f>
        <v>62.985190320000001</v>
      </c>
      <c r="Z240" s="5">
        <f>[1]Results!AC353</f>
        <v>63.03562668</v>
      </c>
      <c r="AA240" s="5">
        <f>[1]Results!AD353</f>
        <v>63.087358180000003</v>
      </c>
      <c r="AB240" s="5">
        <f>[1]Results!AE353</f>
        <v>63.088691150000002</v>
      </c>
      <c r="AC240" s="5">
        <f>[1]Results!AF353</f>
        <v>63.093231770000003</v>
      </c>
      <c r="AD240" s="5">
        <f>[1]Results!AG353</f>
        <v>63.098130619999999</v>
      </c>
      <c r="AE240" s="5">
        <f>[1]Results!AH353</f>
        <v>63.102216509999998</v>
      </c>
      <c r="AF240" s="5">
        <f>[1]Results!AI353</f>
        <v>63.105188259999998</v>
      </c>
      <c r="AG240" s="5">
        <f>[1]Results!AJ353</f>
        <v>63.106907130000003</v>
      </c>
      <c r="AH240" s="5">
        <f>[1]Results!AK353</f>
        <v>63.108415909999998</v>
      </c>
      <c r="AI240" s="5">
        <f>[1]Results!AL353</f>
        <v>63.10953679</v>
      </c>
      <c r="AJ240" s="5">
        <f>[1]Results!AM353</f>
        <v>63.110398920000002</v>
      </c>
      <c r="AK240" s="5">
        <f>[1]Results!AN353</f>
        <v>63.111241020000001</v>
      </c>
      <c r="AL240" s="5">
        <f>[1]Results!AO353</f>
        <v>63.112326299999999</v>
      </c>
      <c r="AM240" s="5">
        <f>[1]Results!AP353</f>
        <v>63.110736930000002</v>
      </c>
      <c r="AN240" s="5">
        <f>[1]Results!AQ353</f>
        <v>63.107536140000001</v>
      </c>
      <c r="AO240" s="5">
        <f>[1]Results!AR353</f>
        <v>63.103451370000002</v>
      </c>
      <c r="AP240" s="5">
        <f>[1]Results!AS353</f>
        <v>63.09904075</v>
      </c>
      <c r="AQ240" s="5">
        <f>[1]Results!AT353</f>
        <v>63.09477339</v>
      </c>
      <c r="AR240" s="5">
        <f>[1]Results!AU353</f>
        <v>63.09225155</v>
      </c>
      <c r="AS240" s="5">
        <f>[1]Results!AV353</f>
        <v>63.091139239999997</v>
      </c>
      <c r="AT240" s="5">
        <f>[1]Results!AW353</f>
        <v>63.091419979999998</v>
      </c>
      <c r="AU240" s="5">
        <f>[1]Results!AX353</f>
        <v>63.093189850000002</v>
      </c>
      <c r="AV240" s="5">
        <f>[1]Results!AY353</f>
        <v>63.096565320000003</v>
      </c>
      <c r="AW240" s="5">
        <f>[1]Results!AZ353</f>
        <v>63.106465020000002</v>
      </c>
      <c r="AX240" s="5">
        <f>[1]Results!BA353</f>
        <v>63.12028901</v>
      </c>
      <c r="AY240" s="5">
        <f>[1]Results!BB353</f>
        <v>63.136884000000002</v>
      </c>
      <c r="AZ240" s="5">
        <f>[1]Results!BC353</f>
        <v>63.155744830000003</v>
      </c>
      <c r="BA240" s="5">
        <f>[1]Results!BD353</f>
        <v>63.176646050000002</v>
      </c>
      <c r="BB240" s="5">
        <f>[1]Results!BE353</f>
        <v>63.201877080000003</v>
      </c>
      <c r="BC240" s="5">
        <f>[1]Results!BF353</f>
        <v>63.229993049999997</v>
      </c>
      <c r="BD240" s="5">
        <f>[1]Results!BG353</f>
        <v>63.26032395</v>
      </c>
      <c r="BE240" s="5">
        <f>[1]Results!BH353</f>
        <v>63.292547689999999</v>
      </c>
      <c r="BF240" s="5">
        <f>[1]Results!BI353</f>
        <v>63.326493800000001</v>
      </c>
    </row>
    <row r="241" spans="1:58" x14ac:dyDescent="0.35">
      <c r="B241" t="s">
        <v>45</v>
      </c>
      <c r="C241" s="5">
        <f>[1]Results!F354</f>
        <v>42.52087745</v>
      </c>
      <c r="D241" s="5">
        <f>[1]Results!G354</f>
        <v>42.794201180000002</v>
      </c>
      <c r="E241" s="5">
        <f>[1]Results!H354</f>
        <v>42.65300671</v>
      </c>
      <c r="F241" s="5">
        <f>[1]Results!I354</f>
        <v>42.394391149999997</v>
      </c>
      <c r="G241" s="5">
        <f>[1]Results!J354</f>
        <v>42.130737229999994</v>
      </c>
      <c r="H241" s="5">
        <f>[1]Results!K354</f>
        <v>41.895572940000001</v>
      </c>
      <c r="I241" s="5">
        <f>[1]Results!L354</f>
        <v>41.674314079999995</v>
      </c>
      <c r="J241" s="5">
        <f>[1]Results!M354</f>
        <v>41.474478020000006</v>
      </c>
      <c r="K241" s="5">
        <f>[1]Results!N354</f>
        <v>41.2965844</v>
      </c>
      <c r="L241" s="5">
        <f>[1]Results!O354</f>
        <v>41.1368863</v>
      </c>
      <c r="M241" s="5">
        <f>[1]Results!P354</f>
        <v>41.015519310000002</v>
      </c>
      <c r="N241" s="5">
        <f>[1]Results!Q354</f>
        <v>40.887002799999998</v>
      </c>
      <c r="O241" s="5">
        <f>[1]Results!R354</f>
        <v>40.75845417</v>
      </c>
      <c r="P241" s="5">
        <f>[1]Results!S354</f>
        <v>40.632446619999996</v>
      </c>
      <c r="Q241" s="5">
        <f>[1]Results!T354</f>
        <v>40.509311029999999</v>
      </c>
      <c r="R241" s="5">
        <f>[1]Results!U354</f>
        <v>40.388502630000005</v>
      </c>
      <c r="S241" s="5">
        <f>[1]Results!V354</f>
        <v>40.266006329999996</v>
      </c>
      <c r="T241" s="5">
        <f>[1]Results!W354</f>
        <v>40.143668149999996</v>
      </c>
      <c r="U241" s="5">
        <f>[1]Results!X354</f>
        <v>40.022214380000001</v>
      </c>
      <c r="V241" s="5">
        <f>[1]Results!Y354</f>
        <v>39.901881509999996</v>
      </c>
      <c r="W241" s="5">
        <f>[1]Results!Z354</f>
        <v>39.767012810000004</v>
      </c>
      <c r="X241" s="5">
        <f>[1]Results!AA354</f>
        <v>39.642416340000004</v>
      </c>
      <c r="Y241" s="5">
        <f>[1]Results!AB354</f>
        <v>39.522967810000004</v>
      </c>
      <c r="Z241" s="5">
        <f>[1]Results!AC354</f>
        <v>39.406234959999999</v>
      </c>
      <c r="AA241" s="5">
        <f>[1]Results!AD354</f>
        <v>39.291107060000002</v>
      </c>
      <c r="AB241" s="5">
        <f>[1]Results!AE354</f>
        <v>39.134816479999998</v>
      </c>
      <c r="AC241" s="5">
        <f>[1]Results!AF354</f>
        <v>38.985741049999994</v>
      </c>
      <c r="AD241" s="5">
        <f>[1]Results!AG354</f>
        <v>38.840697609999999</v>
      </c>
      <c r="AE241" s="5">
        <f>[1]Results!AH354</f>
        <v>38.698019100000003</v>
      </c>
      <c r="AF241" s="5">
        <f>[1]Results!AI354</f>
        <v>38.556874260000001</v>
      </c>
      <c r="AG241" s="5">
        <f>[1]Results!AJ354</f>
        <v>38.416624249999998</v>
      </c>
      <c r="AH241" s="5">
        <f>[1]Results!AK354</f>
        <v>38.277845219999996</v>
      </c>
      <c r="AI241" s="5">
        <f>[1]Results!AL354</f>
        <v>38.139975299999996</v>
      </c>
      <c r="AJ241" s="5">
        <f>[1]Results!AM354</f>
        <v>38.002827200000006</v>
      </c>
      <c r="AK241" s="5">
        <f>[1]Results!AN354</f>
        <v>37.866375560000002</v>
      </c>
      <c r="AL241" s="5">
        <f>[1]Results!AO354</f>
        <v>37.730658890000001</v>
      </c>
      <c r="AM241" s="5">
        <f>[1]Results!AP354</f>
        <v>37.59431172</v>
      </c>
      <c r="AN241" s="5">
        <f>[1]Results!AQ354</f>
        <v>37.457993630000004</v>
      </c>
      <c r="AO241" s="5">
        <f>[1]Results!AR354</f>
        <v>37.322086259999999</v>
      </c>
      <c r="AP241" s="5">
        <f>[1]Results!AS354</f>
        <v>37.186800009999999</v>
      </c>
      <c r="AQ241" s="5">
        <f>[1]Results!AT354</f>
        <v>37.052260700000005</v>
      </c>
      <c r="AR241" s="5">
        <f>[1]Results!AU354</f>
        <v>36.919718329999995</v>
      </c>
      <c r="AS241" s="5">
        <f>[1]Results!AV354</f>
        <v>36.78854707</v>
      </c>
      <c r="AT241" s="5">
        <f>[1]Results!AW354</f>
        <v>36.658498460000004</v>
      </c>
      <c r="AU241" s="5">
        <f>[1]Results!AX354</f>
        <v>36.529488649999998</v>
      </c>
      <c r="AV241" s="5">
        <f>[1]Results!AY354</f>
        <v>36.401499860000001</v>
      </c>
      <c r="AW241" s="5">
        <f>[1]Results!AZ354</f>
        <v>36.279081600000005</v>
      </c>
      <c r="AX241" s="5">
        <f>[1]Results!BA354</f>
        <v>36.159548710000003</v>
      </c>
      <c r="AY241" s="5">
        <f>[1]Results!BB354</f>
        <v>36.04172329</v>
      </c>
      <c r="AZ241" s="5">
        <f>[1]Results!BC354</f>
        <v>35.925110060000002</v>
      </c>
      <c r="BA241" s="5">
        <f>[1]Results!BD354</f>
        <v>35.809514139999997</v>
      </c>
      <c r="BB241" s="5">
        <f>[1]Results!BE354</f>
        <v>35.697202099999998</v>
      </c>
      <c r="BC241" s="5">
        <f>[1]Results!BF354</f>
        <v>35.586758140000001</v>
      </c>
      <c r="BD241" s="5">
        <f>[1]Results!BG354</f>
        <v>35.47756605</v>
      </c>
      <c r="BE241" s="5">
        <f>[1]Results!BH354</f>
        <v>35.369366840000005</v>
      </c>
      <c r="BF241" s="5">
        <f>[1]Results!BI354</f>
        <v>35.262056610000002</v>
      </c>
    </row>
    <row r="242" spans="1:58" x14ac:dyDescent="0.35">
      <c r="B242" t="s">
        <v>46</v>
      </c>
      <c r="C242" s="5">
        <f>[1]Results!F362</f>
        <v>21.78056273</v>
      </c>
      <c r="D242" s="5">
        <f>[1]Results!G362</f>
        <v>21.471712</v>
      </c>
      <c r="E242" s="5">
        <f>[1]Results!H362</f>
        <v>21.28495839</v>
      </c>
      <c r="F242" s="5">
        <f>[1]Results!I362</f>
        <v>21.184132100000003</v>
      </c>
      <c r="G242" s="5">
        <f>[1]Results!J362</f>
        <v>21.144600899999997</v>
      </c>
      <c r="H242" s="5">
        <f>[1]Results!K362</f>
        <v>21.150350760000002</v>
      </c>
      <c r="I242" s="5">
        <f>[1]Results!L362</f>
        <v>21.188467199999998</v>
      </c>
      <c r="J242" s="5">
        <f>[1]Results!M362</f>
        <v>21.25211886</v>
      </c>
      <c r="K242" s="5">
        <f>[1]Results!N362</f>
        <v>21.33652197</v>
      </c>
      <c r="L242" s="5">
        <f>[1]Results!O362</f>
        <v>21.4381001</v>
      </c>
      <c r="M242" s="5">
        <f>[1]Results!P362</f>
        <v>21.55837391</v>
      </c>
      <c r="N242" s="5">
        <f>[1]Results!Q362</f>
        <v>21.690216979999999</v>
      </c>
      <c r="O242" s="5">
        <f>[1]Results!R362</f>
        <v>21.8315062</v>
      </c>
      <c r="P242" s="5">
        <f>[1]Results!S362</f>
        <v>21.98039554</v>
      </c>
      <c r="Q242" s="5">
        <f>[1]Results!T362</f>
        <v>22.135336769999999</v>
      </c>
      <c r="R242" s="5">
        <f>[1]Results!U362</f>
        <v>22.29504721</v>
      </c>
      <c r="S242" s="5">
        <f>[1]Results!V362</f>
        <v>22.458341369999999</v>
      </c>
      <c r="T242" s="5">
        <f>[1]Results!W362</f>
        <v>22.62428465</v>
      </c>
      <c r="U242" s="5">
        <f>[1]Results!X362</f>
        <v>22.792111649999999</v>
      </c>
      <c r="V242" s="5">
        <f>[1]Results!Y362</f>
        <v>22.961178850000003</v>
      </c>
      <c r="W242" s="5">
        <f>[1]Results!Z362</f>
        <v>23.12782584</v>
      </c>
      <c r="X242" s="5">
        <f>[1]Results!AA362</f>
        <v>23.294953420000002</v>
      </c>
      <c r="Y242" s="5">
        <f>[1]Results!AB362</f>
        <v>23.46222251</v>
      </c>
      <c r="Z242" s="5">
        <f>[1]Results!AC362</f>
        <v>23.62939171</v>
      </c>
      <c r="AA242" s="5">
        <f>[1]Results!AD362</f>
        <v>23.796251120000001</v>
      </c>
      <c r="AB242" s="5">
        <f>[1]Results!AE362</f>
        <v>23.953874670000001</v>
      </c>
      <c r="AC242" s="5">
        <f>[1]Results!AF362</f>
        <v>24.107490719999998</v>
      </c>
      <c r="AD242" s="5">
        <f>[1]Results!AG362</f>
        <v>24.257433010000003</v>
      </c>
      <c r="AE242" s="5">
        <f>[1]Results!AH362</f>
        <v>24.404197410000002</v>
      </c>
      <c r="AF242" s="5">
        <f>[1]Results!AI362</f>
        <v>24.548314000000001</v>
      </c>
      <c r="AG242" s="5">
        <f>[1]Results!AJ362</f>
        <v>24.690282879999998</v>
      </c>
      <c r="AH242" s="5">
        <f>[1]Results!AK362</f>
        <v>24.830570690000002</v>
      </c>
      <c r="AI242" s="5">
        <f>[1]Results!AL362</f>
        <v>24.969561489999997</v>
      </c>
      <c r="AJ242" s="5">
        <f>[1]Results!AM362</f>
        <v>25.107571719999999</v>
      </c>
      <c r="AK242" s="5">
        <f>[1]Results!AN362</f>
        <v>25.24486546</v>
      </c>
      <c r="AL242" s="5">
        <f>[1]Results!AO362</f>
        <v>25.381667409999999</v>
      </c>
      <c r="AM242" s="5">
        <f>[1]Results!AP362</f>
        <v>25.516425219999999</v>
      </c>
      <c r="AN242" s="5">
        <f>[1]Results!AQ362</f>
        <v>25.649542499999999</v>
      </c>
      <c r="AO242" s="5">
        <f>[1]Results!AR362</f>
        <v>25.781365109999999</v>
      </c>
      <c r="AP242" s="5">
        <f>[1]Results!AS362</f>
        <v>25.912240739999998</v>
      </c>
      <c r="AQ242" s="5">
        <f>[1]Results!AT362</f>
        <v>26.042512690000002</v>
      </c>
      <c r="AR242" s="5">
        <f>[1]Results!AU362</f>
        <v>26.172533219999998</v>
      </c>
      <c r="AS242" s="5">
        <f>[1]Results!AV362</f>
        <v>26.30259217</v>
      </c>
      <c r="AT242" s="5">
        <f>[1]Results!AW362</f>
        <v>26.43292151</v>
      </c>
      <c r="AU242" s="5">
        <f>[1]Results!AX362</f>
        <v>26.563701200000001</v>
      </c>
      <c r="AV242" s="5">
        <f>[1]Results!AY362</f>
        <v>26.695065460000002</v>
      </c>
      <c r="AW242" s="5">
        <f>[1]Results!AZ362</f>
        <v>26.82738342</v>
      </c>
      <c r="AX242" s="5">
        <f>[1]Results!BA362</f>
        <v>26.96074029</v>
      </c>
      <c r="AY242" s="5">
        <f>[1]Results!BB362</f>
        <v>27.095160710000002</v>
      </c>
      <c r="AZ242" s="5">
        <f>[1]Results!BC362</f>
        <v>27.230634769999998</v>
      </c>
      <c r="BA242" s="5">
        <f>[1]Results!BD362</f>
        <v>27.367131920000002</v>
      </c>
      <c r="BB242" s="5">
        <f>[1]Results!BE362</f>
        <v>27.50467497</v>
      </c>
      <c r="BC242" s="5">
        <f>[1]Results!BF362</f>
        <v>27.64323491</v>
      </c>
      <c r="BD242" s="5">
        <f>[1]Results!BG362</f>
        <v>27.7827579</v>
      </c>
      <c r="BE242" s="5">
        <f>[1]Results!BH362</f>
        <v>27.923180850000001</v>
      </c>
      <c r="BF242" s="5">
        <f>[1]Results!BI362</f>
        <v>28.06443719</v>
      </c>
    </row>
    <row r="244" spans="1:58" x14ac:dyDescent="0.35">
      <c r="A244" s="12" t="s">
        <v>43</v>
      </c>
      <c r="B244" t="s">
        <v>26</v>
      </c>
      <c r="C244" s="5">
        <f>C245+C246+C247+C248</f>
        <v>98.023964313000008</v>
      </c>
      <c r="D244" s="5">
        <f t="shared" ref="D244:AL244" si="135">D245+D246+D247+D248</f>
        <v>97.016198177999996</v>
      </c>
      <c r="E244" s="5">
        <f t="shared" si="135"/>
        <v>97.587457561999997</v>
      </c>
      <c r="F244" s="5">
        <f t="shared" si="135"/>
        <v>98.567686890000004</v>
      </c>
      <c r="G244" s="5">
        <f t="shared" si="135"/>
        <v>99.776520220999998</v>
      </c>
      <c r="H244" s="5">
        <f t="shared" si="135"/>
        <v>101.174078747</v>
      </c>
      <c r="I244" s="5">
        <f t="shared" si="135"/>
        <v>102.67217132000002</v>
      </c>
      <c r="J244" s="5">
        <f t="shared" si="135"/>
        <v>104.278266508</v>
      </c>
      <c r="K244" s="5">
        <f t="shared" si="135"/>
        <v>105.97518035200001</v>
      </c>
      <c r="L244" s="5">
        <f t="shared" si="135"/>
        <v>107.74361143500001</v>
      </c>
      <c r="M244" s="5">
        <f t="shared" si="135"/>
        <v>109.67465281600001</v>
      </c>
      <c r="N244" s="5">
        <f t="shared" si="135"/>
        <v>111.583919636</v>
      </c>
      <c r="O244" s="5">
        <f t="shared" si="135"/>
        <v>113.506013381</v>
      </c>
      <c r="P244" s="5">
        <f t="shared" si="135"/>
        <v>115.44102386899999</v>
      </c>
      <c r="Q244" s="5">
        <f t="shared" si="135"/>
        <v>117.38462666400001</v>
      </c>
      <c r="R244" s="5">
        <f t="shared" si="135"/>
        <v>119.333403559</v>
      </c>
      <c r="S244" s="5">
        <f t="shared" si="135"/>
        <v>121.285566178</v>
      </c>
      <c r="T244" s="5">
        <f t="shared" si="135"/>
        <v>123.240805345</v>
      </c>
      <c r="U244" s="5">
        <f t="shared" si="135"/>
        <v>125.199990684</v>
      </c>
      <c r="V244" s="5">
        <f t="shared" si="135"/>
        <v>127.164872374</v>
      </c>
      <c r="W244" s="5">
        <f t="shared" si="135"/>
        <v>129.0566954</v>
      </c>
      <c r="X244" s="5">
        <f t="shared" si="135"/>
        <v>131.00589744300001</v>
      </c>
      <c r="Y244" s="5">
        <f t="shared" si="135"/>
        <v>132.981315212</v>
      </c>
      <c r="Z244" s="5">
        <f t="shared" si="135"/>
        <v>134.979667285</v>
      </c>
      <c r="AA244" s="5">
        <f t="shared" si="135"/>
        <v>137.002580118</v>
      </c>
      <c r="AB244" s="5">
        <f t="shared" si="135"/>
        <v>138.81808119999999</v>
      </c>
      <c r="AC244" s="5">
        <f t="shared" si="135"/>
        <v>140.68555805299999</v>
      </c>
      <c r="AD244" s="5">
        <f t="shared" si="135"/>
        <v>142.57077760599998</v>
      </c>
      <c r="AE244" s="5">
        <f t="shared" si="135"/>
        <v>144.47346412200002</v>
      </c>
      <c r="AF244" s="5">
        <f t="shared" si="135"/>
        <v>146.39873408400001</v>
      </c>
      <c r="AG244" s="5">
        <f t="shared" si="135"/>
        <v>148.35171808600001</v>
      </c>
      <c r="AH244" s="5">
        <f t="shared" si="135"/>
        <v>150.33654146500001</v>
      </c>
      <c r="AI244" s="5">
        <f t="shared" si="135"/>
        <v>152.356216295</v>
      </c>
      <c r="AJ244" s="5">
        <f t="shared" si="135"/>
        <v>154.412746903</v>
      </c>
      <c r="AK244" s="5">
        <f t="shared" si="135"/>
        <v>156.50729946299998</v>
      </c>
      <c r="AL244" s="5">
        <f t="shared" si="135"/>
        <v>158.640381569</v>
      </c>
      <c r="AM244" s="5">
        <f t="shared" ref="AM244:BC244" si="136">AM245+AM246+AM247+AM248</f>
        <v>160.755360489</v>
      </c>
      <c r="AN244" s="5">
        <f t="shared" si="136"/>
        <v>162.88365495599999</v>
      </c>
      <c r="AO244" s="5">
        <f t="shared" si="136"/>
        <v>165.03305932799998</v>
      </c>
      <c r="AP244" s="5">
        <f t="shared" si="136"/>
        <v>167.20688802499998</v>
      </c>
      <c r="AQ244" s="5">
        <f t="shared" si="136"/>
        <v>169.407395683</v>
      </c>
      <c r="AR244" s="5">
        <f t="shared" si="136"/>
        <v>171.63633610400001</v>
      </c>
      <c r="AS244" s="5">
        <f t="shared" si="136"/>
        <v>173.89503216399999</v>
      </c>
      <c r="AT244" s="5">
        <f t="shared" si="136"/>
        <v>176.184397918</v>
      </c>
      <c r="AU244" s="5">
        <f t="shared" si="136"/>
        <v>178.50498414100002</v>
      </c>
      <c r="AV244" s="5">
        <f t="shared" si="136"/>
        <v>180.85704142700001</v>
      </c>
      <c r="AW244" s="5">
        <f t="shared" si="136"/>
        <v>183.24573664600001</v>
      </c>
      <c r="AX244" s="5">
        <f t="shared" si="136"/>
        <v>185.66805045699999</v>
      </c>
      <c r="AY244" s="5">
        <f t="shared" si="136"/>
        <v>188.12303422900001</v>
      </c>
      <c r="AZ244" s="5">
        <f t="shared" si="136"/>
        <v>190.61014201699999</v>
      </c>
      <c r="BA244" s="5">
        <f t="shared" si="136"/>
        <v>193.12897638700002</v>
      </c>
      <c r="BB244" s="5">
        <f t="shared" si="136"/>
        <v>195.679276399</v>
      </c>
      <c r="BC244" s="5">
        <f t="shared" si="136"/>
        <v>198.26093422399998</v>
      </c>
      <c r="BD244" s="5">
        <f t="shared" ref="BD244:BF244" si="137">BD245+BD246+BD247+BD248</f>
        <v>200.87400359700001</v>
      </c>
      <c r="BE244" s="5">
        <f t="shared" si="137"/>
        <v>203.51869667</v>
      </c>
      <c r="BF244" s="5">
        <f t="shared" si="137"/>
        <v>206.19537244</v>
      </c>
    </row>
    <row r="245" spans="1:58" x14ac:dyDescent="0.35">
      <c r="A245" t="s">
        <v>38</v>
      </c>
      <c r="B245" t="s">
        <v>7</v>
      </c>
      <c r="C245" s="5">
        <f>[1]Results!F439</f>
        <v>4.8967256030000001</v>
      </c>
      <c r="D245" s="5">
        <f>[1]Results!G439</f>
        <v>4.8428077380000003</v>
      </c>
      <c r="E245" s="5">
        <f>[1]Results!H439</f>
        <v>4.8523252719999999</v>
      </c>
      <c r="F245" s="5">
        <f>[1]Results!I439</f>
        <v>4.8832952799999996</v>
      </c>
      <c r="G245" s="5">
        <f>[1]Results!J439</f>
        <v>4.9289803409999999</v>
      </c>
      <c r="H245" s="5">
        <f>[1]Results!K439</f>
        <v>4.9873756670000002</v>
      </c>
      <c r="I245" s="5">
        <f>[1]Results!L439</f>
        <v>5.0539488199999996</v>
      </c>
      <c r="J245" s="5">
        <f>[1]Results!M439</f>
        <v>5.1279952980000001</v>
      </c>
      <c r="K245" s="5">
        <f>[1]Results!N439</f>
        <v>5.2082088520000003</v>
      </c>
      <c r="L245" s="5">
        <f>[1]Results!O439</f>
        <v>5.2933135849999999</v>
      </c>
      <c r="M245" s="5">
        <f>[1]Results!P439</f>
        <v>5.3870407360000003</v>
      </c>
      <c r="N245" s="5">
        <f>[1]Results!Q439</f>
        <v>5.4816453259999998</v>
      </c>
      <c r="O245" s="5">
        <f>[1]Results!R439</f>
        <v>5.5776574510000003</v>
      </c>
      <c r="P245" s="5">
        <f>[1]Results!S439</f>
        <v>5.6747938089999996</v>
      </c>
      <c r="Q245" s="5">
        <f>[1]Results!T439</f>
        <v>5.7727000740000003</v>
      </c>
      <c r="R245" s="5">
        <f>[1]Results!U439</f>
        <v>5.8711086789999998</v>
      </c>
      <c r="S245" s="5">
        <f>[1]Results!V439</f>
        <v>5.9698535379999997</v>
      </c>
      <c r="T245" s="5">
        <f>[1]Results!W439</f>
        <v>6.0688533949999997</v>
      </c>
      <c r="U245" s="5">
        <f>[1]Results!X439</f>
        <v>6.1680909440000002</v>
      </c>
      <c r="V245" s="5">
        <f>[1]Results!Y439</f>
        <v>6.2675951139999997</v>
      </c>
      <c r="W245" s="5">
        <f>[1]Results!Z439</f>
        <v>6.3638245800000002</v>
      </c>
      <c r="X245" s="5">
        <f>[1]Results!AA439</f>
        <v>6.4619958129999997</v>
      </c>
      <c r="Y245" s="5">
        <f>[1]Results!AB439</f>
        <v>6.5612843019999998</v>
      </c>
      <c r="Z245" s="5">
        <f>[1]Results!AC439</f>
        <v>6.6615890149999997</v>
      </c>
      <c r="AA245" s="5">
        <f>[1]Results!AD439</f>
        <v>6.7629603080000003</v>
      </c>
      <c r="AB245" s="5">
        <f>[1]Results!AE439</f>
        <v>6.85505706</v>
      </c>
      <c r="AC245" s="5">
        <f>[1]Results!AF439</f>
        <v>6.9478262429999997</v>
      </c>
      <c r="AD245" s="5">
        <f>[1]Results!AG439</f>
        <v>7.0407090759999997</v>
      </c>
      <c r="AE245" s="5">
        <f>[1]Results!AH439</f>
        <v>7.133959012</v>
      </c>
      <c r="AF245" s="5">
        <f>[1]Results!AI439</f>
        <v>7.2279628139999996</v>
      </c>
      <c r="AG245" s="5">
        <f>[1]Results!AJ439</f>
        <v>7.3230680460000004</v>
      </c>
      <c r="AH245" s="5">
        <f>[1]Results!AK439</f>
        <v>7.4195469650000003</v>
      </c>
      <c r="AI245" s="5">
        <f>[1]Results!AL439</f>
        <v>7.5175982250000004</v>
      </c>
      <c r="AJ245" s="5">
        <f>[1]Results!AM439</f>
        <v>7.6173580230000004</v>
      </c>
      <c r="AK245" s="5">
        <f>[1]Results!AN439</f>
        <v>7.7189137130000001</v>
      </c>
      <c r="AL245" s="5">
        <f>[1]Results!AO439</f>
        <v>7.8223165190000001</v>
      </c>
      <c r="AM245" s="5">
        <f>[1]Results!AP439</f>
        <v>7.9250764990000002</v>
      </c>
      <c r="AN245" s="5">
        <f>[1]Results!AQ439</f>
        <v>8.0282418060000005</v>
      </c>
      <c r="AO245" s="5">
        <f>[1]Results!AR439</f>
        <v>8.1322195179999994</v>
      </c>
      <c r="AP245" s="5">
        <f>[1]Results!AS439</f>
        <v>8.2372662450000007</v>
      </c>
      <c r="AQ245" s="5">
        <f>[1]Results!AT439</f>
        <v>8.3435888229999993</v>
      </c>
      <c r="AR245" s="5">
        <f>[1]Results!AU439</f>
        <v>8.4513578640000002</v>
      </c>
      <c r="AS245" s="5">
        <f>[1]Results!AV439</f>
        <v>8.5607072940000002</v>
      </c>
      <c r="AT245" s="5">
        <f>[1]Results!AW439</f>
        <v>8.6717353979999992</v>
      </c>
      <c r="AU245" s="5">
        <f>[1]Results!AX439</f>
        <v>8.7845088909999998</v>
      </c>
      <c r="AV245" s="5">
        <f>[1]Results!AY439</f>
        <v>8.8990684069999997</v>
      </c>
      <c r="AW245" s="5">
        <f>[1]Results!AZ439</f>
        <v>9.0156624959999991</v>
      </c>
      <c r="AX245" s="5">
        <f>[1]Results!BA439</f>
        <v>9.1342031069999994</v>
      </c>
      <c r="AY245" s="5">
        <f>[1]Results!BB439</f>
        <v>9.2546523090000008</v>
      </c>
      <c r="AZ245" s="5">
        <f>[1]Results!BC439</f>
        <v>9.3769823670000001</v>
      </c>
      <c r="BA245" s="5">
        <f>[1]Results!BD439</f>
        <v>9.5011700670000003</v>
      </c>
      <c r="BB245" s="5">
        <f>[1]Results!BE439</f>
        <v>9.6271977890000002</v>
      </c>
      <c r="BC245" s="5">
        <f>[1]Results!BF439</f>
        <v>9.7550549039999996</v>
      </c>
      <c r="BD245" s="5">
        <f>[1]Results!BG439</f>
        <v>9.8847383369999999</v>
      </c>
      <c r="BE245" s="5">
        <f>[1]Results!BH439</f>
        <v>10.01625235</v>
      </c>
      <c r="BF245" s="5">
        <f>[1]Results!BI439</f>
        <v>10.14960784</v>
      </c>
    </row>
    <row r="246" spans="1:58" x14ac:dyDescent="0.35">
      <c r="B246" t="s">
        <v>30</v>
      </c>
      <c r="C246" s="5">
        <f>[1]Results!F451</f>
        <v>44.244008669999999</v>
      </c>
      <c r="D246" s="5">
        <f>[1]Results!G451</f>
        <v>43.493058120000001</v>
      </c>
      <c r="E246" s="5">
        <f>[1]Results!H451</f>
        <v>43.736490889999999</v>
      </c>
      <c r="F246" s="5">
        <f>[1]Results!I451</f>
        <v>44.202693080000003</v>
      </c>
      <c r="G246" s="5">
        <f>[1]Results!J451</f>
        <v>44.777375120000002</v>
      </c>
      <c r="H246" s="5">
        <f>[1]Results!K451</f>
        <v>45.437861259999998</v>
      </c>
      <c r="I246" s="5">
        <f>[1]Results!L451</f>
        <v>46.142190980000002</v>
      </c>
      <c r="J246" s="5">
        <f>[1]Results!M451</f>
        <v>46.895167659999998</v>
      </c>
      <c r="K246" s="5">
        <f>[1]Results!N451</f>
        <v>47.688840910000003</v>
      </c>
      <c r="L246" s="5">
        <f>[1]Results!O451</f>
        <v>48.514244980000001</v>
      </c>
      <c r="M246" s="5">
        <f>[1]Results!P451</f>
        <v>49.41465951</v>
      </c>
      <c r="N246" s="5">
        <f>[1]Results!Q451</f>
        <v>50.301175000000001</v>
      </c>
      <c r="O246" s="5">
        <f>[1]Results!R451</f>
        <v>51.19261616</v>
      </c>
      <c r="P246" s="5">
        <f>[1]Results!S451</f>
        <v>52.089338130000002</v>
      </c>
      <c r="Q246" s="5">
        <f>[1]Results!T451</f>
        <v>52.989416800000001</v>
      </c>
      <c r="R246" s="5">
        <f>[1]Results!U451</f>
        <v>53.891348170000001</v>
      </c>
      <c r="S246" s="5">
        <f>[1]Results!V451</f>
        <v>54.7944113</v>
      </c>
      <c r="T246" s="5">
        <f>[1]Results!W451</f>
        <v>55.698610219999999</v>
      </c>
      <c r="U246" s="5">
        <f>[1]Results!X451</f>
        <v>56.604539350000003</v>
      </c>
      <c r="V246" s="5">
        <f>[1]Results!Y451</f>
        <v>57.5132409</v>
      </c>
      <c r="W246" s="5">
        <f>[1]Results!Z451</f>
        <v>58.387674539999999</v>
      </c>
      <c r="X246" s="5">
        <f>[1]Results!AA451</f>
        <v>59.291204110000002</v>
      </c>
      <c r="Y246" s="5">
        <f>[1]Results!AB451</f>
        <v>60.207619880000003</v>
      </c>
      <c r="Z246" s="5">
        <f>[1]Results!AC451</f>
        <v>61.135500030000003</v>
      </c>
      <c r="AA246" s="5">
        <f>[1]Results!AD451</f>
        <v>62.075865489999998</v>
      </c>
      <c r="AB246" s="5">
        <f>[1]Results!AE451</f>
        <v>62.919226209999998</v>
      </c>
      <c r="AC246" s="5">
        <f>[1]Results!AF451</f>
        <v>63.792365599999997</v>
      </c>
      <c r="AD246" s="5">
        <f>[1]Results!AG451</f>
        <v>64.676238679999997</v>
      </c>
      <c r="AE246" s="5">
        <f>[1]Results!AH451</f>
        <v>65.570133690000006</v>
      </c>
      <c r="AF246" s="5">
        <f>[1]Results!AI451</f>
        <v>66.476138849999998</v>
      </c>
      <c r="AG246" s="5">
        <f>[1]Results!AJ451</f>
        <v>67.396421500000002</v>
      </c>
      <c r="AH246" s="5">
        <f>[1]Results!AK451</f>
        <v>68.332734060000007</v>
      </c>
      <c r="AI246" s="5">
        <f>[1]Results!AL451</f>
        <v>69.286346800000004</v>
      </c>
      <c r="AJ246" s="5">
        <f>[1]Results!AM451</f>
        <v>70.25807709</v>
      </c>
      <c r="AK246" s="5">
        <f>[1]Results!AN451</f>
        <v>71.248351549999995</v>
      </c>
      <c r="AL246" s="5">
        <f>[1]Results!AO451</f>
        <v>72.257279109999999</v>
      </c>
      <c r="AM246" s="5">
        <f>[1]Results!AP451</f>
        <v>73.257921159999995</v>
      </c>
      <c r="AN246" s="5">
        <f>[1]Results!AQ451</f>
        <v>74.265883410000001</v>
      </c>
      <c r="AO246" s="5">
        <f>[1]Results!AR451</f>
        <v>75.284463239999994</v>
      </c>
      <c r="AP246" s="5">
        <f>[1]Results!AS451</f>
        <v>76.314782159999993</v>
      </c>
      <c r="AQ246" s="5">
        <f>[1]Results!AT451</f>
        <v>77.35750496</v>
      </c>
      <c r="AR246" s="5">
        <f>[1]Results!AU451</f>
        <v>78.413117080000006</v>
      </c>
      <c r="AS246" s="5">
        <f>[1]Results!AV451</f>
        <v>79.481961319999996</v>
      </c>
      <c r="AT246" s="5">
        <f>[1]Results!AW451</f>
        <v>80.564245400000004</v>
      </c>
      <c r="AU246" s="5">
        <f>[1]Results!AX451</f>
        <v>81.660055740000004</v>
      </c>
      <c r="AV246" s="5">
        <f>[1]Results!AY451</f>
        <v>82.769377910000003</v>
      </c>
      <c r="AW246" s="5">
        <f>[1]Results!AZ451</f>
        <v>83.894560319999997</v>
      </c>
      <c r="AX246" s="5">
        <f>[1]Results!BA451</f>
        <v>85.034015049999994</v>
      </c>
      <c r="AY246" s="5">
        <f>[1]Results!BB451</f>
        <v>86.187254809999999</v>
      </c>
      <c r="AZ246" s="5">
        <f>[1]Results!BC451</f>
        <v>87.354002449999996</v>
      </c>
      <c r="BA246" s="5">
        <f>[1]Results!BD451</f>
        <v>88.534060080000003</v>
      </c>
      <c r="BB246" s="5">
        <f>[1]Results!BE451</f>
        <v>89.727301890000007</v>
      </c>
      <c r="BC246" s="5">
        <f>[1]Results!BF451</f>
        <v>90.93368169</v>
      </c>
      <c r="BD246" s="5">
        <f>[1]Results!BG451</f>
        <v>92.153237279999999</v>
      </c>
      <c r="BE246" s="5">
        <f>[1]Results!BH451</f>
        <v>93.386089580000004</v>
      </c>
      <c r="BF246" s="5">
        <f>[1]Results!BI451</f>
        <v>94.632437719999999</v>
      </c>
    </row>
    <row r="247" spans="1:58" x14ac:dyDescent="0.35">
      <c r="B247" t="s">
        <v>28</v>
      </c>
      <c r="C247" s="5">
        <f>[1]Results!F427</f>
        <v>26.37987115</v>
      </c>
      <c r="D247" s="5">
        <f>[1]Results!G427</f>
        <v>26.171750150000001</v>
      </c>
      <c r="E247" s="5">
        <f>[1]Results!H427</f>
        <v>26.354263069999998</v>
      </c>
      <c r="F247" s="5">
        <f>[1]Results!I427</f>
        <v>26.63574217</v>
      </c>
      <c r="G247" s="5">
        <f>[1]Results!J427</f>
        <v>26.96616298</v>
      </c>
      <c r="H247" s="5">
        <f>[1]Results!K427</f>
        <v>27.333013879999999</v>
      </c>
      <c r="I247" s="5">
        <f>[1]Results!L427</f>
        <v>27.714403440000002</v>
      </c>
      <c r="J247" s="5">
        <f>[1]Results!M427</f>
        <v>28.113680819999999</v>
      </c>
      <c r="K247" s="5">
        <f>[1]Results!N427</f>
        <v>28.52857062</v>
      </c>
      <c r="L247" s="5">
        <f>[1]Results!O427</f>
        <v>28.955994400000002</v>
      </c>
      <c r="M247" s="5">
        <f>[1]Results!P427</f>
        <v>29.419906390000001</v>
      </c>
      <c r="N247" s="5">
        <f>[1]Results!Q427</f>
        <v>29.87541693</v>
      </c>
      <c r="O247" s="5">
        <f>[1]Results!R427</f>
        <v>30.331742819999999</v>
      </c>
      <c r="P247" s="5">
        <f>[1]Results!S427</f>
        <v>30.78985217</v>
      </c>
      <c r="Q247" s="5">
        <f>[1]Results!T427</f>
        <v>31.24940016</v>
      </c>
      <c r="R247" s="5">
        <f>[1]Results!U427</f>
        <v>31.710110969999999</v>
      </c>
      <c r="S247" s="5">
        <f>[1]Results!V427</f>
        <v>32.171992189999997</v>
      </c>
      <c r="T247" s="5">
        <f>[1]Results!W427</f>
        <v>32.635303899999997</v>
      </c>
      <c r="U247" s="5">
        <f>[1]Results!X427</f>
        <v>33.100485810000002</v>
      </c>
      <c r="V247" s="5">
        <f>[1]Results!Y427</f>
        <v>33.568090310000002</v>
      </c>
      <c r="W247" s="5">
        <f>[1]Results!Z427</f>
        <v>34.018758009999999</v>
      </c>
      <c r="X247" s="5">
        <f>[1]Results!AA427</f>
        <v>34.484743479999999</v>
      </c>
      <c r="Y247" s="5">
        <f>[1]Results!AB427</f>
        <v>34.95842657</v>
      </c>
      <c r="Z247" s="5">
        <f>[1]Results!AC427</f>
        <v>35.438684639999998</v>
      </c>
      <c r="AA247" s="5">
        <f>[1]Results!AD427</f>
        <v>35.925664679999997</v>
      </c>
      <c r="AB247" s="5">
        <f>[1]Results!AE427</f>
        <v>36.362112490000001</v>
      </c>
      <c r="AC247" s="5">
        <f>[1]Results!AF427</f>
        <v>36.812163130000002</v>
      </c>
      <c r="AD247" s="5">
        <f>[1]Results!AG427</f>
        <v>37.267895899999999</v>
      </c>
      <c r="AE247" s="5">
        <f>[1]Results!AH427</f>
        <v>37.729013530000003</v>
      </c>
      <c r="AF247" s="5">
        <f>[1]Results!AI427</f>
        <v>38.196557560000002</v>
      </c>
      <c r="AG247" s="5">
        <f>[1]Results!AJ427</f>
        <v>38.671588219999997</v>
      </c>
      <c r="AH247" s="5">
        <f>[1]Results!AK427</f>
        <v>39.154920580000002</v>
      </c>
      <c r="AI247" s="5">
        <f>[1]Results!AL427</f>
        <v>39.647103629999997</v>
      </c>
      <c r="AJ247" s="5">
        <f>[1]Results!AM427</f>
        <v>40.148459690000003</v>
      </c>
      <c r="AK247" s="5">
        <f>[1]Results!AN427</f>
        <v>40.659138149999997</v>
      </c>
      <c r="AL247" s="5">
        <f>[1]Results!AO427</f>
        <v>41.179166879999997</v>
      </c>
      <c r="AM247" s="5">
        <f>[1]Results!AP427</f>
        <v>41.694571359999998</v>
      </c>
      <c r="AN247" s="5">
        <f>[1]Results!AQ427</f>
        <v>42.213206339999999</v>
      </c>
      <c r="AO247" s="5">
        <f>[1]Results!AR427</f>
        <v>42.737239180000003</v>
      </c>
      <c r="AP247" s="5">
        <f>[1]Results!AS427</f>
        <v>43.267631860000002</v>
      </c>
      <c r="AQ247" s="5">
        <f>[1]Results!AT427</f>
        <v>43.805033080000001</v>
      </c>
      <c r="AR247" s="5">
        <f>[1]Results!AU427</f>
        <v>44.349940619999998</v>
      </c>
      <c r="AS247" s="5">
        <f>[1]Results!AV427</f>
        <v>44.902726629999997</v>
      </c>
      <c r="AT247" s="5">
        <f>[1]Results!AW427</f>
        <v>45.463647389999998</v>
      </c>
      <c r="AU247" s="5">
        <f>[1]Results!AX427</f>
        <v>46.032858920000002</v>
      </c>
      <c r="AV247" s="5">
        <f>[1]Results!AY427</f>
        <v>46.610437810000001</v>
      </c>
      <c r="AW247" s="5">
        <f>[1]Results!AZ427</f>
        <v>47.197668030000003</v>
      </c>
      <c r="AX247" s="5">
        <f>[1]Results!BA427</f>
        <v>47.793809940000003</v>
      </c>
      <c r="AY247" s="5">
        <f>[1]Results!BB427</f>
        <v>48.398628070000001</v>
      </c>
      <c r="AZ247" s="5">
        <f>[1]Results!BC427</f>
        <v>49.011998560000002</v>
      </c>
      <c r="BA247" s="5">
        <f>[1]Results!BD427</f>
        <v>49.633838990000001</v>
      </c>
      <c r="BB247" s="5">
        <f>[1]Results!BE427</f>
        <v>50.264100190000001</v>
      </c>
      <c r="BC247" s="5">
        <f>[1]Results!BF427</f>
        <v>50.90276712</v>
      </c>
      <c r="BD247" s="5">
        <f>[1]Results!BG427</f>
        <v>51.549858690000001</v>
      </c>
      <c r="BE247" s="5">
        <f>[1]Results!BH427</f>
        <v>52.205425400000003</v>
      </c>
      <c r="BF247" s="5">
        <f>[1]Results!BI427</f>
        <v>52.869545420000001</v>
      </c>
    </row>
    <row r="248" spans="1:58" x14ac:dyDescent="0.35">
      <c r="B248" t="s">
        <v>10</v>
      </c>
      <c r="C248" s="5">
        <f>[1]Results!F463</f>
        <v>22.503358890000001</v>
      </c>
      <c r="D248" s="5">
        <f>[1]Results!G463</f>
        <v>22.50858217</v>
      </c>
      <c r="E248" s="5">
        <f>[1]Results!H463</f>
        <v>22.644378329999999</v>
      </c>
      <c r="F248" s="5">
        <f>[1]Results!I463</f>
        <v>22.845956359999999</v>
      </c>
      <c r="G248" s="5">
        <f>[1]Results!J463</f>
        <v>23.104001780000001</v>
      </c>
      <c r="H248" s="5">
        <f>[1]Results!K463</f>
        <v>23.41582794</v>
      </c>
      <c r="I248" s="5">
        <f>[1]Results!L463</f>
        <v>23.761628080000001</v>
      </c>
      <c r="J248" s="5">
        <f>[1]Results!M463</f>
        <v>24.141422729999999</v>
      </c>
      <c r="K248" s="5">
        <f>[1]Results!N463</f>
        <v>24.549559970000001</v>
      </c>
      <c r="L248" s="5">
        <f>[1]Results!O463</f>
        <v>24.980058469999999</v>
      </c>
      <c r="M248" s="5">
        <f>[1]Results!P463</f>
        <v>25.453046180000001</v>
      </c>
      <c r="N248" s="5">
        <f>[1]Results!Q463</f>
        <v>25.925682380000001</v>
      </c>
      <c r="O248" s="5">
        <f>[1]Results!R463</f>
        <v>26.40399695</v>
      </c>
      <c r="P248" s="5">
        <f>[1]Results!S463</f>
        <v>26.88703976</v>
      </c>
      <c r="Q248" s="5">
        <f>[1]Results!T463</f>
        <v>27.373109629999998</v>
      </c>
      <c r="R248" s="5">
        <f>[1]Results!U463</f>
        <v>27.860835739999999</v>
      </c>
      <c r="S248" s="5">
        <f>[1]Results!V463</f>
        <v>28.34930915</v>
      </c>
      <c r="T248" s="5">
        <f>[1]Results!W463</f>
        <v>28.838037830000001</v>
      </c>
      <c r="U248" s="5">
        <f>[1]Results!X463</f>
        <v>29.326874579999998</v>
      </c>
      <c r="V248" s="5">
        <f>[1]Results!Y463</f>
        <v>29.815946050000001</v>
      </c>
      <c r="W248" s="5">
        <f>[1]Results!Z463</f>
        <v>30.286438270000001</v>
      </c>
      <c r="X248" s="5">
        <f>[1]Results!AA463</f>
        <v>30.767954039999999</v>
      </c>
      <c r="Y248" s="5">
        <f>[1]Results!AB463</f>
        <v>31.253984460000002</v>
      </c>
      <c r="Z248" s="5">
        <f>[1]Results!AC463</f>
        <v>31.7438936</v>
      </c>
      <c r="AA248" s="5">
        <f>[1]Results!AD463</f>
        <v>32.238089639999998</v>
      </c>
      <c r="AB248" s="5">
        <f>[1]Results!AE463</f>
        <v>32.681685440000003</v>
      </c>
      <c r="AC248" s="5">
        <f>[1]Results!AF463</f>
        <v>33.133203080000001</v>
      </c>
      <c r="AD248" s="5">
        <f>[1]Results!AG463</f>
        <v>33.585933949999998</v>
      </c>
      <c r="AE248" s="5">
        <f>[1]Results!AH463</f>
        <v>34.040357890000003</v>
      </c>
      <c r="AF248" s="5">
        <f>[1]Results!AI463</f>
        <v>34.498074860000003</v>
      </c>
      <c r="AG248" s="5">
        <f>[1]Results!AJ463</f>
        <v>34.960640320000003</v>
      </c>
      <c r="AH248" s="5">
        <f>[1]Results!AK463</f>
        <v>35.429339859999999</v>
      </c>
      <c r="AI248" s="5">
        <f>[1]Results!AL463</f>
        <v>35.905167640000002</v>
      </c>
      <c r="AJ248" s="5">
        <f>[1]Results!AM463</f>
        <v>36.388852100000001</v>
      </c>
      <c r="AK248" s="5">
        <f>[1]Results!AN463</f>
        <v>36.880896049999997</v>
      </c>
      <c r="AL248" s="5">
        <f>[1]Results!AO463</f>
        <v>37.381619059999998</v>
      </c>
      <c r="AM248" s="5">
        <f>[1]Results!AP463</f>
        <v>37.877791469999998</v>
      </c>
      <c r="AN248" s="5">
        <f>[1]Results!AQ463</f>
        <v>38.376323399999997</v>
      </c>
      <c r="AO248" s="5">
        <f>[1]Results!AR463</f>
        <v>38.879137389999997</v>
      </c>
      <c r="AP248" s="5">
        <f>[1]Results!AS463</f>
        <v>39.387207760000003</v>
      </c>
      <c r="AQ248" s="5">
        <f>[1]Results!AT463</f>
        <v>39.901268819999999</v>
      </c>
      <c r="AR248" s="5">
        <f>[1]Results!AU463</f>
        <v>40.421920540000002</v>
      </c>
      <c r="AS248" s="5">
        <f>[1]Results!AV463</f>
        <v>40.949636920000003</v>
      </c>
      <c r="AT248" s="5">
        <f>[1]Results!AW463</f>
        <v>41.484769729999996</v>
      </c>
      <c r="AU248" s="5">
        <f>[1]Results!AX463</f>
        <v>42.02756059</v>
      </c>
      <c r="AV248" s="5">
        <f>[1]Results!AY463</f>
        <v>42.578157300000001</v>
      </c>
      <c r="AW248" s="5">
        <f>[1]Results!AZ463</f>
        <v>43.137845800000001</v>
      </c>
      <c r="AX248" s="5">
        <f>[1]Results!BA463</f>
        <v>43.706022359999999</v>
      </c>
      <c r="AY248" s="5">
        <f>[1]Results!BB463</f>
        <v>44.282499039999998</v>
      </c>
      <c r="AZ248" s="5">
        <f>[1]Results!BC463</f>
        <v>44.86715864</v>
      </c>
      <c r="BA248" s="5">
        <f>[1]Results!BD463</f>
        <v>45.459907250000001</v>
      </c>
      <c r="BB248" s="5">
        <f>[1]Results!BE463</f>
        <v>46.060676530000002</v>
      </c>
      <c r="BC248" s="5">
        <f>[1]Results!BF463</f>
        <v>46.669430509999998</v>
      </c>
      <c r="BD248" s="5">
        <f>[1]Results!BG463</f>
        <v>47.286169289999997</v>
      </c>
      <c r="BE248" s="5">
        <f>[1]Results!BH463</f>
        <v>47.910929340000003</v>
      </c>
      <c r="BF248" s="5">
        <f>[1]Results!BI463</f>
        <v>48.543781459999998</v>
      </c>
    </row>
    <row r="249" spans="1:58" x14ac:dyDescent="0.35">
      <c r="B249" t="s">
        <v>25</v>
      </c>
      <c r="C249" s="5">
        <f>[1]Results!F414</f>
        <v>64.301440170000006</v>
      </c>
      <c r="D249" s="5">
        <f>[1]Results!G414</f>
        <v>64.379189030000006</v>
      </c>
      <c r="E249" s="5">
        <f>[1]Results!H414</f>
        <v>64.157349830000001</v>
      </c>
      <c r="F249" s="5">
        <f>[1]Results!I414</f>
        <v>63.899233590000001</v>
      </c>
      <c r="G249" s="5">
        <f>[1]Results!J414</f>
        <v>63.695062870000001</v>
      </c>
      <c r="H249" s="5">
        <f>[1]Results!K414</f>
        <v>63.56460414</v>
      </c>
      <c r="I249" s="5">
        <f>[1]Results!L414</f>
        <v>63.484673549999997</v>
      </c>
      <c r="J249" s="5">
        <f>[1]Results!M414</f>
        <v>63.451191870000002</v>
      </c>
      <c r="K249" s="5">
        <f>[1]Results!N414</f>
        <v>63.454294179999998</v>
      </c>
      <c r="L249" s="5">
        <f>[1]Results!O414</f>
        <v>63.481009759999999</v>
      </c>
      <c r="M249" s="5">
        <f>[1]Results!P414</f>
        <v>63.55388834</v>
      </c>
      <c r="N249" s="5">
        <f>[1]Results!Q414</f>
        <v>63.622740610000001</v>
      </c>
      <c r="O249" s="5">
        <f>[1]Results!R414</f>
        <v>63.689226560000002</v>
      </c>
      <c r="P249" s="5">
        <f>[1]Results!S414</f>
        <v>63.754814590000002</v>
      </c>
      <c r="Q249" s="5">
        <f>[1]Results!T414</f>
        <v>63.821719260000002</v>
      </c>
      <c r="R249" s="5">
        <f>[1]Results!U414</f>
        <v>63.891840250000001</v>
      </c>
      <c r="S249" s="5">
        <f>[1]Results!V414</f>
        <v>63.96613</v>
      </c>
      <c r="T249" s="5">
        <f>[1]Results!W414</f>
        <v>64.044604680000006</v>
      </c>
      <c r="U249" s="5">
        <f>[1]Results!X414</f>
        <v>64.126615810000004</v>
      </c>
      <c r="V249" s="5">
        <f>[1]Results!Y414</f>
        <v>64.211186850000004</v>
      </c>
      <c r="W249" s="5">
        <f>[1]Results!Z414</f>
        <v>64.277716229999996</v>
      </c>
      <c r="X249" s="5">
        <f>[1]Results!AA414</f>
        <v>64.354334140000006</v>
      </c>
      <c r="Y249" s="5">
        <f>[1]Results!AB414</f>
        <v>64.435128500000005</v>
      </c>
      <c r="Z249" s="5">
        <f>[1]Results!AC414</f>
        <v>64.517253060000002</v>
      </c>
      <c r="AA249" s="5">
        <f>[1]Results!AD414</f>
        <v>64.59947477</v>
      </c>
      <c r="AB249" s="5">
        <f>[1]Results!AE414</f>
        <v>64.627800399999998</v>
      </c>
      <c r="AC249" s="5">
        <f>[1]Results!AF414</f>
        <v>64.656553130000006</v>
      </c>
      <c r="AD249" s="5">
        <f>[1]Results!AG414</f>
        <v>64.683873869999999</v>
      </c>
      <c r="AE249" s="5">
        <f>[1]Results!AH414</f>
        <v>64.709007790000001</v>
      </c>
      <c r="AF249" s="5">
        <f>[1]Results!AI414</f>
        <v>64.731862430000007</v>
      </c>
      <c r="AG249" s="5">
        <f>[1]Results!AJ414</f>
        <v>64.752730220000004</v>
      </c>
      <c r="AH249" s="5">
        <f>[1]Results!AK414</f>
        <v>64.77207654</v>
      </c>
      <c r="AI249" s="5">
        <f>[1]Results!AL414</f>
        <v>64.790212710000006</v>
      </c>
      <c r="AJ249" s="5">
        <f>[1]Results!AM414</f>
        <v>64.807680669999996</v>
      </c>
      <c r="AK249" s="5">
        <f>[1]Results!AN414</f>
        <v>64.825091060000005</v>
      </c>
      <c r="AL249" s="5">
        <f>[1]Results!AO414</f>
        <v>64.843013229999997</v>
      </c>
      <c r="AM249" s="5">
        <f>[1]Results!AP414</f>
        <v>64.850382699999997</v>
      </c>
      <c r="AN249" s="5">
        <f>[1]Results!AQ414</f>
        <v>64.852994629999998</v>
      </c>
      <c r="AO249" s="5">
        <f>[1]Results!AR414</f>
        <v>64.853498009999996</v>
      </c>
      <c r="AP249" s="5">
        <f>[1]Results!AS414</f>
        <v>64.853027420000004</v>
      </c>
      <c r="AQ249" s="5">
        <f>[1]Results!AT414</f>
        <v>64.852000029999999</v>
      </c>
      <c r="AR249" s="5">
        <f>[1]Results!AU414</f>
        <v>64.850496010000001</v>
      </c>
      <c r="AS249" s="5">
        <f>[1]Results!AV414</f>
        <v>64.848431599999998</v>
      </c>
      <c r="AT249" s="5">
        <f>[1]Results!AW414</f>
        <v>64.845651459999999</v>
      </c>
      <c r="AU249" s="5">
        <f>[1]Results!AX414</f>
        <v>64.841991699999994</v>
      </c>
      <c r="AV249" s="5">
        <f>[1]Results!AY414</f>
        <v>64.83760255</v>
      </c>
      <c r="AW249" s="5">
        <f>[1]Results!AZ414</f>
        <v>64.834268690000002</v>
      </c>
      <c r="AX249" s="5">
        <f>[1]Results!BA414</f>
        <v>64.832666489999994</v>
      </c>
      <c r="AY249" s="5">
        <f>[1]Results!BB414</f>
        <v>64.83359274</v>
      </c>
      <c r="AZ249" s="5">
        <f>[1]Results!BC414</f>
        <v>64.837680449999993</v>
      </c>
      <c r="BA249" s="5">
        <f>[1]Results!BD414</f>
        <v>64.845334649999998</v>
      </c>
      <c r="BB249" s="5">
        <f>[1]Results!BE414</f>
        <v>64.856764060000003</v>
      </c>
      <c r="BC249" s="5">
        <f>[1]Results!BF414</f>
        <v>64.872038489999994</v>
      </c>
      <c r="BD249" s="5">
        <f>[1]Results!BG414</f>
        <v>64.89114112</v>
      </c>
      <c r="BE249" s="5">
        <f>[1]Results!BH414</f>
        <v>64.914006610000001</v>
      </c>
      <c r="BF249" s="5">
        <f>[1]Results!BI414</f>
        <v>64.940545330000006</v>
      </c>
    </row>
    <row r="250" spans="1:58" x14ac:dyDescent="0.35">
      <c r="B250" t="s">
        <v>47</v>
      </c>
      <c r="C250" s="5">
        <f>[1]Results!F415</f>
        <v>42.52087745</v>
      </c>
      <c r="D250" s="5">
        <f>[1]Results!G415</f>
        <v>42.903991070000004</v>
      </c>
      <c r="E250" s="5">
        <f>[1]Results!H415</f>
        <v>42.861843229999998</v>
      </c>
      <c r="F250" s="5">
        <f>[1]Results!I415</f>
        <v>42.694294790000001</v>
      </c>
      <c r="G250" s="5">
        <f>[1]Results!J415</f>
        <v>42.516656939999997</v>
      </c>
      <c r="H250" s="5">
        <f>[1]Results!K415</f>
        <v>42.365186090000002</v>
      </c>
      <c r="I250" s="5">
        <f>[1]Results!L415</f>
        <v>42.230041960000001</v>
      </c>
      <c r="J250" s="5">
        <f>[1]Results!M415</f>
        <v>42.114396929999998</v>
      </c>
      <c r="K250" s="5">
        <f>[1]Results!N415</f>
        <v>42.013557069999997</v>
      </c>
      <c r="L250" s="5">
        <f>[1]Results!O415</f>
        <v>41.918473560000002</v>
      </c>
      <c r="M250" s="5">
        <f>[1]Results!P415</f>
        <v>41.850462130000004</v>
      </c>
      <c r="N250" s="5">
        <f>[1]Results!Q415</f>
        <v>41.766609950000003</v>
      </c>
      <c r="O250" s="5">
        <f>[1]Results!R415</f>
        <v>41.670895380000005</v>
      </c>
      <c r="P250" s="5">
        <f>[1]Results!S415</f>
        <v>41.56683314</v>
      </c>
      <c r="Q250" s="5">
        <f>[1]Results!T415</f>
        <v>41.45837118</v>
      </c>
      <c r="R250" s="5">
        <f>[1]Results!U415</f>
        <v>41.348854549999999</v>
      </c>
      <c r="S250" s="5">
        <f>[1]Results!V415</f>
        <v>41.240437110000002</v>
      </c>
      <c r="T250" s="5">
        <f>[1]Results!W415</f>
        <v>41.134137039999999</v>
      </c>
      <c r="U250" s="5">
        <f>[1]Results!X415</f>
        <v>41.030145520000005</v>
      </c>
      <c r="V250" s="5">
        <f>[1]Results!Y415</f>
        <v>40.928190719999996</v>
      </c>
      <c r="W250" s="5">
        <f>[1]Results!Z415</f>
        <v>40.811399520000002</v>
      </c>
      <c r="X250" s="5">
        <f>[1]Results!AA415</f>
        <v>40.705018000000003</v>
      </c>
      <c r="Y250" s="5">
        <f>[1]Results!AB415</f>
        <v>40.603465970000002</v>
      </c>
      <c r="Z250" s="5">
        <f>[1]Results!AC415</f>
        <v>40.504115290000001</v>
      </c>
      <c r="AA250" s="5">
        <f>[1]Results!AD415</f>
        <v>40.405907520000007</v>
      </c>
      <c r="AB250" s="5">
        <f>[1]Results!AE415</f>
        <v>40.263813640000002</v>
      </c>
      <c r="AC250" s="5">
        <f>[1]Results!AF415</f>
        <v>40.126942840000005</v>
      </c>
      <c r="AD250" s="5">
        <f>[1]Results!AG415</f>
        <v>39.993052149999997</v>
      </c>
      <c r="AE250" s="5">
        <f>[1]Results!AH415</f>
        <v>39.860815259999995</v>
      </c>
      <c r="AF250" s="5">
        <f>[1]Results!AI415</f>
        <v>39.729527189999999</v>
      </c>
      <c r="AG250" s="5">
        <f>[1]Results!AJ415</f>
        <v>39.598898729999995</v>
      </c>
      <c r="AH250" s="5">
        <f>[1]Results!AK415</f>
        <v>39.468876299999998</v>
      </c>
      <c r="AI250" s="5">
        <f>[1]Results!AL415</f>
        <v>39.339323189999995</v>
      </c>
      <c r="AJ250" s="5">
        <f>[1]Results!AM415</f>
        <v>39.210399539999997</v>
      </c>
      <c r="AK250" s="5">
        <f>[1]Results!AN415</f>
        <v>39.082390310000001</v>
      </c>
      <c r="AL250" s="5">
        <f>[1]Results!AO415</f>
        <v>38.955584170000002</v>
      </c>
      <c r="AM250" s="5">
        <f>[1]Results!AP415</f>
        <v>38.820655729999999</v>
      </c>
      <c r="AN250" s="5">
        <f>[1]Results!AQ415</f>
        <v>38.683035889999999</v>
      </c>
      <c r="AO250" s="5">
        <f>[1]Results!AR415</f>
        <v>38.54499646</v>
      </c>
      <c r="AP250" s="5">
        <f>[1]Results!AS415</f>
        <v>38.407266719999996</v>
      </c>
      <c r="AQ250" s="5">
        <f>[1]Results!AT415</f>
        <v>38.269854559999999</v>
      </c>
      <c r="AR250" s="5">
        <f>[1]Results!AU415</f>
        <v>38.132454490000001</v>
      </c>
      <c r="AS250" s="5">
        <f>[1]Results!AV415</f>
        <v>37.994640259999997</v>
      </c>
      <c r="AT250" s="5">
        <f>[1]Results!AW415</f>
        <v>37.855967310000004</v>
      </c>
      <c r="AU250" s="5">
        <f>[1]Results!AX415</f>
        <v>37.716037710000002</v>
      </c>
      <c r="AV250" s="5">
        <f>[1]Results!AY415</f>
        <v>37.574819420000004</v>
      </c>
      <c r="AW250" s="5">
        <f>[1]Results!AZ415</f>
        <v>37.433793090000002</v>
      </c>
      <c r="AX250" s="5">
        <f>[1]Results!BA415</f>
        <v>37.293548770000001</v>
      </c>
      <c r="AY250" s="5">
        <f>[1]Results!BB415</f>
        <v>37.154830629999999</v>
      </c>
      <c r="AZ250" s="5">
        <f>[1]Results!BC415</f>
        <v>37.01824749</v>
      </c>
      <c r="BA250" s="5">
        <f>[1]Results!BD415</f>
        <v>36.884201279999999</v>
      </c>
      <c r="BB250" s="5">
        <f>[1]Results!BE415</f>
        <v>36.752912500000001</v>
      </c>
      <c r="BC250" s="5">
        <f>[1]Results!BF415</f>
        <v>36.624472920000002</v>
      </c>
      <c r="BD250" s="5">
        <f>[1]Results!BG415</f>
        <v>36.498894970000002</v>
      </c>
      <c r="BE250" s="5">
        <f>[1]Results!BH415</f>
        <v>36.376148219999997</v>
      </c>
      <c r="BF250" s="5">
        <f>[1]Results!BI415</f>
        <v>36.25618291</v>
      </c>
    </row>
    <row r="251" spans="1:58" x14ac:dyDescent="0.35">
      <c r="B251" t="s">
        <v>48</v>
      </c>
      <c r="C251" s="5">
        <f>[1]Results!F423</f>
        <v>21.78056273</v>
      </c>
      <c r="D251" s="5">
        <f>[1]Results!G423</f>
        <v>21.475197959999999</v>
      </c>
      <c r="E251" s="5">
        <f>[1]Results!H423</f>
        <v>21.29550661</v>
      </c>
      <c r="F251" s="5">
        <f>[1]Results!I423</f>
        <v>21.204938800000001</v>
      </c>
      <c r="G251" s="5">
        <f>[1]Results!J423</f>
        <v>21.17840593</v>
      </c>
      <c r="H251" s="5">
        <f>[1]Results!K423</f>
        <v>21.199418050000002</v>
      </c>
      <c r="I251" s="5">
        <f>[1]Results!L423</f>
        <v>21.254631589999999</v>
      </c>
      <c r="J251" s="5">
        <f>[1]Results!M423</f>
        <v>21.336794949999998</v>
      </c>
      <c r="K251" s="5">
        <f>[1]Results!N423</f>
        <v>21.440737110000001</v>
      </c>
      <c r="L251" s="5">
        <f>[1]Results!O423</f>
        <v>21.5625362</v>
      </c>
      <c r="M251" s="5">
        <f>[1]Results!P423</f>
        <v>21.70342621</v>
      </c>
      <c r="N251" s="5">
        <f>[1]Results!Q423</f>
        <v>21.856130660000002</v>
      </c>
      <c r="O251" s="5">
        <f>[1]Results!R423</f>
        <v>22.018331180000001</v>
      </c>
      <c r="P251" s="5">
        <f>[1]Results!S423</f>
        <v>22.187981449999999</v>
      </c>
      <c r="Q251" s="5">
        <f>[1]Results!T423</f>
        <v>22.363348070000001</v>
      </c>
      <c r="R251" s="5">
        <f>[1]Results!U423</f>
        <v>22.542985699999999</v>
      </c>
      <c r="S251" s="5">
        <f>[1]Results!V423</f>
        <v>22.725692890000001</v>
      </c>
      <c r="T251" s="5">
        <f>[1]Results!W423</f>
        <v>22.91046764</v>
      </c>
      <c r="U251" s="5">
        <f>[1]Results!X423</f>
        <v>23.096470289999999</v>
      </c>
      <c r="V251" s="5">
        <f>[1]Results!Y423</f>
        <v>23.282996129999997</v>
      </c>
      <c r="W251" s="5">
        <f>[1]Results!Z423</f>
        <v>23.466316719999998</v>
      </c>
      <c r="X251" s="5">
        <f>[1]Results!AA423</f>
        <v>23.649316129999999</v>
      </c>
      <c r="Y251" s="5">
        <f>[1]Results!AB423</f>
        <v>23.831662530000003</v>
      </c>
      <c r="Z251" s="5">
        <f>[1]Results!AC423</f>
        <v>24.01313777</v>
      </c>
      <c r="AA251" s="5">
        <f>[1]Results!AD423</f>
        <v>24.193567250000001</v>
      </c>
      <c r="AB251" s="5">
        <f>[1]Results!AE423</f>
        <v>24.363986760000003</v>
      </c>
      <c r="AC251" s="5">
        <f>[1]Results!AF423</f>
        <v>24.529610290000001</v>
      </c>
      <c r="AD251" s="5">
        <f>[1]Results!AG423</f>
        <v>24.690821719999999</v>
      </c>
      <c r="AE251" s="5">
        <f>[1]Results!AH423</f>
        <v>24.848192530000002</v>
      </c>
      <c r="AF251" s="5">
        <f>[1]Results!AI423</f>
        <v>25.002335239999997</v>
      </c>
      <c r="AG251" s="5">
        <f>[1]Results!AJ423</f>
        <v>25.153831499999999</v>
      </c>
      <c r="AH251" s="5">
        <f>[1]Results!AK423</f>
        <v>25.303200239999999</v>
      </c>
      <c r="AI251" s="5">
        <f>[1]Results!AL423</f>
        <v>25.45088952</v>
      </c>
      <c r="AJ251" s="5">
        <f>[1]Results!AM423</f>
        <v>25.597281129999999</v>
      </c>
      <c r="AK251" s="5">
        <f>[1]Results!AN423</f>
        <v>25.742700750000001</v>
      </c>
      <c r="AL251" s="5">
        <f>[1]Results!AO423</f>
        <v>25.887429059999999</v>
      </c>
      <c r="AM251" s="5">
        <f>[1]Results!AP423</f>
        <v>26.029726969999999</v>
      </c>
      <c r="AN251" s="5">
        <f>[1]Results!AQ423</f>
        <v>26.169958739999998</v>
      </c>
      <c r="AO251" s="5">
        <f>[1]Results!AR423</f>
        <v>26.308501549999999</v>
      </c>
      <c r="AP251" s="5">
        <f>[1]Results!AS423</f>
        <v>26.445760710000002</v>
      </c>
      <c r="AQ251" s="5">
        <f>[1]Results!AT423</f>
        <v>26.58214547</v>
      </c>
      <c r="AR251" s="5">
        <f>[1]Results!AU423</f>
        <v>26.71804152</v>
      </c>
      <c r="AS251" s="5">
        <f>[1]Results!AV423</f>
        <v>26.853791340000001</v>
      </c>
      <c r="AT251" s="5">
        <f>[1]Results!AW423</f>
        <v>26.989684149999999</v>
      </c>
      <c r="AU251" s="5">
        <f>[1]Results!AX423</f>
        <v>27.125953980000002</v>
      </c>
      <c r="AV251" s="5">
        <f>[1]Results!AY423</f>
        <v>27.262783129999999</v>
      </c>
      <c r="AW251" s="5">
        <f>[1]Results!AZ423</f>
        <v>27.4004756</v>
      </c>
      <c r="AX251" s="5">
        <f>[1]Results!BA423</f>
        <v>27.53911772</v>
      </c>
      <c r="AY251" s="5">
        <f>[1]Results!BB423</f>
        <v>27.678762110000001</v>
      </c>
      <c r="AZ251" s="5">
        <f>[1]Results!BC423</f>
        <v>27.819432969999998</v>
      </c>
      <c r="BA251" s="5">
        <f>[1]Results!BD423</f>
        <v>27.961133359999998</v>
      </c>
      <c r="BB251" s="5">
        <f>[1]Results!BE423</f>
        <v>28.103851559999999</v>
      </c>
      <c r="BC251" s="5">
        <f>[1]Results!BF423</f>
        <v>28.247565569999999</v>
      </c>
      <c r="BD251" s="5">
        <f>[1]Results!BG423</f>
        <v>28.392246159999999</v>
      </c>
      <c r="BE251" s="5">
        <f>[1]Results!BH423</f>
        <v>28.53785839</v>
      </c>
      <c r="BF251" s="5">
        <f>[1]Results!BI423</f>
        <v>28.68436243</v>
      </c>
    </row>
    <row r="253" spans="1:58" x14ac:dyDescent="0.35">
      <c r="A253" s="12" t="s">
        <v>43</v>
      </c>
      <c r="C253" s="2">
        <v>42005</v>
      </c>
      <c r="D253" s="2">
        <v>42370</v>
      </c>
      <c r="E253" s="2">
        <v>42736</v>
      </c>
      <c r="F253" s="2">
        <v>43101</v>
      </c>
      <c r="G253" s="2">
        <v>43466</v>
      </c>
      <c r="H253" s="2">
        <v>43831</v>
      </c>
      <c r="I253" s="2">
        <v>44197</v>
      </c>
      <c r="J253" s="2">
        <v>44562</v>
      </c>
      <c r="K253" s="2">
        <v>44927</v>
      </c>
      <c r="L253" s="2">
        <v>45292</v>
      </c>
      <c r="M253" s="2">
        <v>45658</v>
      </c>
      <c r="N253" s="2">
        <v>46023</v>
      </c>
      <c r="O253" s="2">
        <v>46388</v>
      </c>
      <c r="P253" s="2">
        <v>46753</v>
      </c>
      <c r="Q253" s="2">
        <v>47119</v>
      </c>
      <c r="R253" s="2">
        <v>47484</v>
      </c>
      <c r="S253" s="2">
        <v>47849</v>
      </c>
      <c r="T253" s="2">
        <v>48214</v>
      </c>
      <c r="U253" s="2">
        <v>48580</v>
      </c>
      <c r="V253" s="2">
        <v>48945</v>
      </c>
      <c r="W253" s="2">
        <v>49310</v>
      </c>
      <c r="X253" s="2">
        <v>49675</v>
      </c>
      <c r="Y253" s="2">
        <v>50041</v>
      </c>
      <c r="Z253" s="2">
        <v>50406</v>
      </c>
      <c r="AA253" s="2">
        <v>50771</v>
      </c>
      <c r="AB253" s="2">
        <v>51136</v>
      </c>
      <c r="AC253" s="2">
        <v>51502</v>
      </c>
      <c r="AD253" s="2">
        <v>51867</v>
      </c>
      <c r="AE253" s="2">
        <v>52232</v>
      </c>
      <c r="AF253" s="2">
        <v>52597</v>
      </c>
      <c r="AG253" s="2">
        <v>52963</v>
      </c>
      <c r="AH253" s="2">
        <v>53328</v>
      </c>
      <c r="AI253" s="2">
        <v>53693</v>
      </c>
      <c r="AJ253" s="2">
        <v>54058</v>
      </c>
      <c r="AK253" s="2">
        <v>54424</v>
      </c>
      <c r="AL253" s="2">
        <v>54789</v>
      </c>
      <c r="AM253" s="2">
        <v>54790</v>
      </c>
      <c r="AN253" s="2">
        <v>54791</v>
      </c>
      <c r="AO253" s="2">
        <v>54792</v>
      </c>
      <c r="AP253" s="2">
        <v>54793</v>
      </c>
      <c r="AQ253" s="2">
        <v>54794</v>
      </c>
      <c r="AR253" s="2">
        <v>54795</v>
      </c>
      <c r="AS253" s="2">
        <v>54796</v>
      </c>
      <c r="AT253" s="2">
        <v>54797</v>
      </c>
      <c r="AU253" s="2">
        <v>54798</v>
      </c>
      <c r="AV253" s="2">
        <v>54799</v>
      </c>
      <c r="AW253" s="2">
        <v>54800</v>
      </c>
      <c r="AX253" s="2">
        <v>54801</v>
      </c>
      <c r="AY253" s="2">
        <v>54802</v>
      </c>
      <c r="AZ253" s="2">
        <v>54803</v>
      </c>
      <c r="BA253" s="2">
        <v>54804</v>
      </c>
      <c r="BB253" s="2">
        <v>54805</v>
      </c>
      <c r="BC253" s="2">
        <v>54806</v>
      </c>
      <c r="BD253" s="2">
        <v>54807</v>
      </c>
      <c r="BE253" s="2">
        <v>54808</v>
      </c>
      <c r="BF253" s="2">
        <v>54809</v>
      </c>
    </row>
    <row r="254" spans="1:58" x14ac:dyDescent="0.35">
      <c r="A254" t="s">
        <v>39</v>
      </c>
      <c r="B254" t="s">
        <v>26</v>
      </c>
      <c r="C254" s="9">
        <f t="shared" ref="C254:AL254" si="138">(C235/C136)/(C244/C125)-1</f>
        <v>-1.1309373558732183E-4</v>
      </c>
      <c r="D254" s="9">
        <f t="shared" si="138"/>
        <v>-4.1723682448513433E-4</v>
      </c>
      <c r="E254" s="9">
        <f t="shared" si="138"/>
        <v>-7.8614684120326128E-4</v>
      </c>
      <c r="F254" s="9">
        <f t="shared" si="138"/>
        <v>-1.1972487389375619E-3</v>
      </c>
      <c r="G254" s="9">
        <f t="shared" si="138"/>
        <v>-1.6233881682859996E-3</v>
      </c>
      <c r="H254" s="9">
        <f t="shared" si="138"/>
        <v>-2.0396064962112659E-3</v>
      </c>
      <c r="I254" s="9">
        <f t="shared" si="138"/>
        <v>-2.428013436467702E-3</v>
      </c>
      <c r="J254" s="9">
        <f t="shared" si="138"/>
        <v>-2.7790905786559961E-3</v>
      </c>
      <c r="K254" s="9">
        <f t="shared" si="138"/>
        <v>-3.0860783995451113E-3</v>
      </c>
      <c r="L254" s="9">
        <f t="shared" si="138"/>
        <v>-3.3471678171189678E-3</v>
      </c>
      <c r="M254" s="9">
        <f t="shared" si="138"/>
        <v>-3.5655549803160769E-3</v>
      </c>
      <c r="N254" s="9">
        <f t="shared" si="138"/>
        <v>-3.741652678085905E-3</v>
      </c>
      <c r="O254" s="9">
        <f t="shared" si="138"/>
        <v>-3.8867982924034594E-3</v>
      </c>
      <c r="P254" s="9">
        <f t="shared" si="138"/>
        <v>-4.0003625751661165E-3</v>
      </c>
      <c r="Q254" s="9">
        <f t="shared" si="138"/>
        <v>-4.0850376754553164E-3</v>
      </c>
      <c r="R254" s="9">
        <f t="shared" si="138"/>
        <v>-4.1436928857742084E-3</v>
      </c>
      <c r="S254" s="9">
        <f t="shared" si="138"/>
        <v>-4.1804742491168279E-3</v>
      </c>
      <c r="T254" s="9">
        <f t="shared" si="138"/>
        <v>-4.2045415205096415E-3</v>
      </c>
      <c r="U254" s="9">
        <f t="shared" si="138"/>
        <v>-4.2147026019716538E-3</v>
      </c>
      <c r="V254" s="9">
        <f t="shared" si="138"/>
        <v>-4.2130731504407271E-3</v>
      </c>
      <c r="W254" s="9">
        <f t="shared" si="138"/>
        <v>-4.1997258443789987E-3</v>
      </c>
      <c r="X254" s="9">
        <f t="shared" si="138"/>
        <v>-4.182483674992632E-3</v>
      </c>
      <c r="Y254" s="9">
        <f t="shared" si="138"/>
        <v>-4.1590074606200345E-3</v>
      </c>
      <c r="Z254" s="9">
        <f t="shared" si="138"/>
        <v>-4.1307206235731142E-3</v>
      </c>
      <c r="AA254" s="9">
        <f t="shared" si="138"/>
        <v>-4.0993634222022957E-3</v>
      </c>
      <c r="AB254" s="9">
        <f t="shared" si="138"/>
        <v>-4.059760767478604E-3</v>
      </c>
      <c r="AC254" s="9">
        <f t="shared" si="138"/>
        <v>-4.0298046387017283E-3</v>
      </c>
      <c r="AD254" s="9">
        <f t="shared" si="138"/>
        <v>-3.9994061561047234E-3</v>
      </c>
      <c r="AE254" s="9">
        <f t="shared" si="138"/>
        <v>-3.9691062494751073E-3</v>
      </c>
      <c r="AF254" s="9">
        <f t="shared" si="138"/>
        <v>-3.9391670120509925E-3</v>
      </c>
      <c r="AG254" s="9">
        <f t="shared" si="138"/>
        <v>-3.9101371442910038E-3</v>
      </c>
      <c r="AH254" s="9">
        <f t="shared" si="138"/>
        <v>-3.8835623863149316E-3</v>
      </c>
      <c r="AI254" s="9">
        <f t="shared" si="138"/>
        <v>-3.8579100246601827E-3</v>
      </c>
      <c r="AJ254" s="9">
        <f t="shared" si="138"/>
        <v>-3.834136287762635E-3</v>
      </c>
      <c r="AK254" s="9">
        <f t="shared" si="138"/>
        <v>-3.8124652765975098E-3</v>
      </c>
      <c r="AL254" s="9">
        <f t="shared" si="138"/>
        <v>-3.7928734904427719E-3</v>
      </c>
      <c r="AM254" s="9">
        <f t="shared" ref="AM254:BC254" si="139">(AM235/AM136)/(AM244/AM125)-1</f>
        <v>-3.7831774229517556E-3</v>
      </c>
      <c r="AN254" s="9">
        <f t="shared" si="139"/>
        <v>-3.7665708812576471E-3</v>
      </c>
      <c r="AO254" s="9">
        <f t="shared" si="139"/>
        <v>-3.7470165540663958E-3</v>
      </c>
      <c r="AP254" s="9">
        <f t="shared" si="139"/>
        <v>-3.7244794013295834E-3</v>
      </c>
      <c r="AQ254" s="9">
        <f t="shared" si="139"/>
        <v>-3.699203120449579E-3</v>
      </c>
      <c r="AR254" s="9">
        <f t="shared" si="139"/>
        <v>-3.6737051453423764E-3</v>
      </c>
      <c r="AS254" s="9">
        <f t="shared" si="139"/>
        <v>-3.6455216380681943E-3</v>
      </c>
      <c r="AT254" s="9">
        <f t="shared" si="139"/>
        <v>-3.6159710349148444E-3</v>
      </c>
      <c r="AU254" s="9">
        <f t="shared" si="139"/>
        <v>-3.5856906212577977E-3</v>
      </c>
      <c r="AV254" s="9">
        <f t="shared" si="139"/>
        <v>-3.5551377853355604E-3</v>
      </c>
      <c r="AW254" s="9">
        <f t="shared" si="139"/>
        <v>-3.5315997701367285E-3</v>
      </c>
      <c r="AX254" s="9">
        <f t="shared" si="139"/>
        <v>-3.5035584748789317E-3</v>
      </c>
      <c r="AY254" s="9">
        <f t="shared" si="139"/>
        <v>-3.4727665237949124E-3</v>
      </c>
      <c r="AZ254" s="9">
        <f t="shared" si="139"/>
        <v>-3.4394943118141175E-3</v>
      </c>
      <c r="BA254" s="9">
        <f t="shared" si="139"/>
        <v>-3.4041443367979207E-3</v>
      </c>
      <c r="BB254" s="9">
        <f t="shared" si="139"/>
        <v>-3.371804561582703E-3</v>
      </c>
      <c r="BC254" s="9">
        <f t="shared" si="139"/>
        <v>-3.3358940885324095E-3</v>
      </c>
      <c r="BD254" s="9">
        <f t="shared" ref="BD254:BF254" si="140">(BD235/BD136)/(BD244/BD125)-1</f>
        <v>-3.2977903914520601E-3</v>
      </c>
      <c r="BE254" s="9">
        <f t="shared" si="140"/>
        <v>-3.2579631005381637E-3</v>
      </c>
      <c r="BF254" s="9">
        <f t="shared" si="140"/>
        <v>-3.2169039998727333E-3</v>
      </c>
    </row>
    <row r="255" spans="1:58" x14ac:dyDescent="0.35">
      <c r="B255" t="s">
        <v>7</v>
      </c>
      <c r="C255" s="9">
        <f t="shared" ref="C255:AL255" si="141">(C236/C137)/(C245/C126)-1</f>
        <v>1.3865415472547049E-4</v>
      </c>
      <c r="D255" s="9">
        <f t="shared" si="141"/>
        <v>2.2502692454251516E-4</v>
      </c>
      <c r="E255" s="9">
        <f t="shared" si="141"/>
        <v>2.4559218284547768E-4</v>
      </c>
      <c r="F255" s="9">
        <f t="shared" si="141"/>
        <v>2.1888065571529225E-4</v>
      </c>
      <c r="G255" s="9">
        <f t="shared" si="141"/>
        <v>1.6217307120558466E-4</v>
      </c>
      <c r="H255" s="9">
        <f t="shared" si="141"/>
        <v>9.5632289768721179E-5</v>
      </c>
      <c r="I255" s="9">
        <f t="shared" si="141"/>
        <v>4.1832201353564358E-5</v>
      </c>
      <c r="J255" s="9">
        <f t="shared" si="141"/>
        <v>2.4463682910536022E-6</v>
      </c>
      <c r="K255" s="9">
        <f t="shared" si="141"/>
        <v>-2.2352535095748749E-5</v>
      </c>
      <c r="L255" s="9">
        <f t="shared" si="141"/>
        <v>-3.5981893095060613E-5</v>
      </c>
      <c r="M255" s="9">
        <f t="shared" si="141"/>
        <v>-2.4587166755019041E-5</v>
      </c>
      <c r="N255" s="9">
        <f t="shared" si="141"/>
        <v>2.847259819804826E-5</v>
      </c>
      <c r="O255" s="9">
        <f t="shared" si="141"/>
        <v>1.0651719041332441E-4</v>
      </c>
      <c r="P255" s="9">
        <f t="shared" si="141"/>
        <v>2.1097140210302179E-4</v>
      </c>
      <c r="Q255" s="9">
        <f t="shared" si="141"/>
        <v>3.4101276232978428E-4</v>
      </c>
      <c r="R255" s="9">
        <f t="shared" si="141"/>
        <v>4.9575737797002972E-4</v>
      </c>
      <c r="S255" s="9">
        <f t="shared" si="141"/>
        <v>6.8697394714978266E-4</v>
      </c>
      <c r="T255" s="9">
        <f t="shared" si="141"/>
        <v>8.9751844669239134E-4</v>
      </c>
      <c r="U255" s="9">
        <f t="shared" si="141"/>
        <v>1.1287061651952257E-3</v>
      </c>
      <c r="V255" s="9">
        <f t="shared" si="141"/>
        <v>1.3787295004419331E-3</v>
      </c>
      <c r="W255" s="9">
        <f t="shared" si="141"/>
        <v>1.6449914805025667E-3</v>
      </c>
      <c r="X255" s="9">
        <f t="shared" si="141"/>
        <v>1.9264408981680692E-3</v>
      </c>
      <c r="Y255" s="9">
        <f t="shared" si="141"/>
        <v>2.2217849161128012E-3</v>
      </c>
      <c r="Z255" s="9">
        <f t="shared" si="141"/>
        <v>2.5302292617790378E-3</v>
      </c>
      <c r="AA255" s="9">
        <f t="shared" si="141"/>
        <v>2.8504613060764683E-3</v>
      </c>
      <c r="AB255" s="9">
        <f t="shared" si="141"/>
        <v>3.178374006895579E-3</v>
      </c>
      <c r="AC255" s="9">
        <f t="shared" si="141"/>
        <v>3.50846887870504E-3</v>
      </c>
      <c r="AD255" s="9">
        <f t="shared" si="141"/>
        <v>3.845139719877988E-3</v>
      </c>
      <c r="AE255" s="9">
        <f t="shared" si="141"/>
        <v>4.188109146570973E-3</v>
      </c>
      <c r="AF255" s="9">
        <f t="shared" si="141"/>
        <v>4.5372183155407697E-3</v>
      </c>
      <c r="AG255" s="9">
        <f t="shared" si="141"/>
        <v>4.891894475522518E-3</v>
      </c>
      <c r="AH255" s="9">
        <f t="shared" si="141"/>
        <v>5.2483755070185101E-3</v>
      </c>
      <c r="AI255" s="9">
        <f t="shared" si="141"/>
        <v>5.6090343723844693E-3</v>
      </c>
      <c r="AJ255" s="9">
        <f t="shared" si="141"/>
        <v>5.9729066912794782E-3</v>
      </c>
      <c r="AK255" s="9">
        <f t="shared" si="141"/>
        <v>6.3396621354523397E-3</v>
      </c>
      <c r="AL255" s="9">
        <f t="shared" si="141"/>
        <v>6.7090491272645547E-3</v>
      </c>
      <c r="AM255" s="9">
        <f t="shared" ref="AM255:BC255" si="142">(AM236/AM137)/(AM245/AM126)-1</f>
        <v>7.0538226117533576E-3</v>
      </c>
      <c r="AN255" s="9">
        <f t="shared" si="142"/>
        <v>7.4005824743845761E-3</v>
      </c>
      <c r="AO255" s="9">
        <f t="shared" si="142"/>
        <v>7.7466929320497702E-3</v>
      </c>
      <c r="AP255" s="9">
        <f t="shared" si="142"/>
        <v>8.0938915229855635E-3</v>
      </c>
      <c r="AQ255" s="9">
        <f t="shared" si="142"/>
        <v>8.4431181912640874E-3</v>
      </c>
      <c r="AR255" s="9">
        <f t="shared" si="142"/>
        <v>8.7902379191278079E-3</v>
      </c>
      <c r="AS255" s="9">
        <f t="shared" si="142"/>
        <v>9.1388549876276759E-3</v>
      </c>
      <c r="AT255" s="9">
        <f t="shared" si="142"/>
        <v>9.4881379822713274E-3</v>
      </c>
      <c r="AU255" s="9">
        <f t="shared" si="142"/>
        <v>9.8378256063529346E-3</v>
      </c>
      <c r="AV255" s="9">
        <f t="shared" si="142"/>
        <v>1.018764368792846E-2</v>
      </c>
      <c r="AW255" s="9">
        <f t="shared" si="142"/>
        <v>1.0523505568952096E-2</v>
      </c>
      <c r="AX255" s="9">
        <f t="shared" si="142"/>
        <v>1.0858306204759804E-2</v>
      </c>
      <c r="AY255" s="9">
        <f t="shared" si="142"/>
        <v>1.1191387707619072E-2</v>
      </c>
      <c r="AZ255" s="9">
        <f t="shared" si="142"/>
        <v>1.1523722730261143E-2</v>
      </c>
      <c r="BA255" s="9">
        <f t="shared" si="142"/>
        <v>1.1855773404840786E-2</v>
      </c>
      <c r="BB255" s="9">
        <f t="shared" si="142"/>
        <v>1.2178982194736454E-2</v>
      </c>
      <c r="BC255" s="9">
        <f t="shared" si="142"/>
        <v>1.2500864934969602E-2</v>
      </c>
      <c r="BD255" s="9">
        <f t="shared" ref="BD255:BF255" si="143">(BD236/BD137)/(BD245/BD126)-1</f>
        <v>1.2820826248693074E-2</v>
      </c>
      <c r="BE255" s="9">
        <f t="shared" si="143"/>
        <v>1.3139249851913615E-2</v>
      </c>
      <c r="BF255" s="9">
        <f t="shared" si="143"/>
        <v>1.3456235998975385E-2</v>
      </c>
    </row>
    <row r="256" spans="1:58" x14ac:dyDescent="0.35">
      <c r="B256" t="s">
        <v>30</v>
      </c>
      <c r="C256" s="9">
        <f t="shared" ref="C256:AL256" si="144">(C237/C138)/(C246/C127)-1</f>
        <v>-2.6653247546237768E-4</v>
      </c>
      <c r="D256" s="9">
        <f t="shared" si="144"/>
        <v>-8.3487190815667578E-4</v>
      </c>
      <c r="E256" s="9">
        <f t="shared" si="144"/>
        <v>-1.4790090009209056E-3</v>
      </c>
      <c r="F256" s="9">
        <f t="shared" si="144"/>
        <v>-2.1674774459782276E-3</v>
      </c>
      <c r="G256" s="9">
        <f t="shared" si="144"/>
        <v>-2.8715681675861582E-3</v>
      </c>
      <c r="H256" s="9">
        <f t="shared" si="144"/>
        <v>-3.5615601784375617E-3</v>
      </c>
      <c r="I256" s="9">
        <f t="shared" si="144"/>
        <v>-4.2186629052161084E-3</v>
      </c>
      <c r="J256" s="9">
        <f t="shared" si="144"/>
        <v>-4.8274702740129793E-3</v>
      </c>
      <c r="K256" s="9">
        <f t="shared" si="144"/>
        <v>-5.3769587553808007E-3</v>
      </c>
      <c r="L256" s="9">
        <f t="shared" si="144"/>
        <v>-5.8631667409095867E-3</v>
      </c>
      <c r="M256" s="9">
        <f t="shared" si="144"/>
        <v>-6.2854422085588668E-3</v>
      </c>
      <c r="N256" s="9">
        <f t="shared" si="144"/>
        <v>-6.661428225525623E-3</v>
      </c>
      <c r="O256" s="9">
        <f t="shared" si="144"/>
        <v>-6.9942710897636928E-3</v>
      </c>
      <c r="P256" s="9">
        <f t="shared" si="144"/>
        <v>-7.2792288593974686E-3</v>
      </c>
      <c r="Q256" s="9">
        <f t="shared" si="144"/>
        <v>-7.5195917765892295E-3</v>
      </c>
      <c r="R256" s="9">
        <f t="shared" si="144"/>
        <v>-7.7194062571557254E-3</v>
      </c>
      <c r="S256" s="9">
        <f t="shared" si="144"/>
        <v>-7.8960259667243404E-3</v>
      </c>
      <c r="T256" s="9">
        <f t="shared" si="144"/>
        <v>-8.0544113204478185E-3</v>
      </c>
      <c r="U256" s="9">
        <f t="shared" si="144"/>
        <v>-8.1899956924046391E-3</v>
      </c>
      <c r="V256" s="9">
        <f t="shared" si="144"/>
        <v>-8.3058613414801474E-3</v>
      </c>
      <c r="W256" s="9">
        <f t="shared" si="144"/>
        <v>-8.4059292089940785E-3</v>
      </c>
      <c r="X256" s="9">
        <f t="shared" si="144"/>
        <v>-8.4922743123687638E-3</v>
      </c>
      <c r="Y256" s="9">
        <f t="shared" si="144"/>
        <v>-8.5687262933333841E-3</v>
      </c>
      <c r="Z256" s="9">
        <f t="shared" si="144"/>
        <v>-8.6381928252139417E-3</v>
      </c>
      <c r="AA256" s="9">
        <f t="shared" si="144"/>
        <v>-8.7038538288726208E-3</v>
      </c>
      <c r="AB256" s="9">
        <f t="shared" si="144"/>
        <v>-8.7694238443903894E-3</v>
      </c>
      <c r="AC256" s="9">
        <f t="shared" si="144"/>
        <v>-8.8305565275964559E-3</v>
      </c>
      <c r="AD256" s="9">
        <f t="shared" si="144"/>
        <v>-8.8903853295804192E-3</v>
      </c>
      <c r="AE256" s="9">
        <f t="shared" si="144"/>
        <v>-8.9528301439379954E-3</v>
      </c>
      <c r="AF256" s="9">
        <f t="shared" si="144"/>
        <v>-9.0196222525478209E-3</v>
      </c>
      <c r="AG256" s="9">
        <f t="shared" si="144"/>
        <v>-9.0925665818304413E-3</v>
      </c>
      <c r="AH256" s="9">
        <f t="shared" si="144"/>
        <v>-9.1711355845217613E-3</v>
      </c>
      <c r="AI256" s="9">
        <f t="shared" si="144"/>
        <v>-9.2568906712112708E-3</v>
      </c>
      <c r="AJ256" s="9">
        <f t="shared" si="144"/>
        <v>-9.3526965389042482E-3</v>
      </c>
      <c r="AK256" s="9">
        <f t="shared" si="144"/>
        <v>-9.4596496932271013E-3</v>
      </c>
      <c r="AL256" s="9">
        <f t="shared" si="144"/>
        <v>-9.578359072324738E-3</v>
      </c>
      <c r="AM256" s="9">
        <f t="shared" ref="AM256:BC256" si="145">(AM237/AM138)/(AM246/AM127)-1</f>
        <v>-9.6897631104737592E-3</v>
      </c>
      <c r="AN256" s="9">
        <f t="shared" si="145"/>
        <v>-9.7931633532721829E-3</v>
      </c>
      <c r="AO256" s="9">
        <f t="shared" si="145"/>
        <v>-9.9014634474597907E-3</v>
      </c>
      <c r="AP256" s="9">
        <f t="shared" si="145"/>
        <v>-1.0015912556926243E-2</v>
      </c>
      <c r="AQ256" s="9">
        <f t="shared" si="145"/>
        <v>-1.013729447827294E-2</v>
      </c>
      <c r="AR256" s="9">
        <f t="shared" si="145"/>
        <v>-1.0263895304931436E-2</v>
      </c>
      <c r="AS256" s="9">
        <f t="shared" si="145"/>
        <v>-1.0396875995676846E-2</v>
      </c>
      <c r="AT256" s="9">
        <f t="shared" si="145"/>
        <v>-1.0539142432360871E-2</v>
      </c>
      <c r="AU256" s="9">
        <f t="shared" si="145"/>
        <v>-1.0691623925825011E-2</v>
      </c>
      <c r="AV256" s="9">
        <f t="shared" si="145"/>
        <v>-1.0854834337100217E-2</v>
      </c>
      <c r="AW256" s="9">
        <f t="shared" si="145"/>
        <v>-1.1019824109700038E-2</v>
      </c>
      <c r="AX256" s="9">
        <f t="shared" si="145"/>
        <v>-1.1186293339078945E-2</v>
      </c>
      <c r="AY256" s="9">
        <f t="shared" si="145"/>
        <v>-1.1359844982302136E-2</v>
      </c>
      <c r="AZ256" s="9">
        <f t="shared" si="145"/>
        <v>-1.1540801189677818E-2</v>
      </c>
      <c r="BA256" s="9">
        <f t="shared" si="145"/>
        <v>-1.1729229608339331E-2</v>
      </c>
      <c r="BB256" s="9">
        <f t="shared" si="145"/>
        <v>-1.191999495087448E-2</v>
      </c>
      <c r="BC256" s="9">
        <f t="shared" si="145"/>
        <v>-1.2113059777997703E-2</v>
      </c>
      <c r="BD256" s="9">
        <f t="shared" ref="BD256:BF256" si="146">(BD237/BD138)/(BD246/BD127)-1</f>
        <v>-1.2311832144523582E-2</v>
      </c>
      <c r="BE256" s="9">
        <f t="shared" si="146"/>
        <v>-1.2516530398450798E-2</v>
      </c>
      <c r="BF256" s="9">
        <f t="shared" si="146"/>
        <v>-1.272715870204677E-2</v>
      </c>
    </row>
    <row r="257" spans="1:58" x14ac:dyDescent="0.35">
      <c r="B257" t="s">
        <v>28</v>
      </c>
      <c r="C257" s="9">
        <f t="shared" ref="C257:AL257" si="147">(C238/C139)/(C247/C128)-1</f>
        <v>4.3518287531174593E-4</v>
      </c>
      <c r="D257" s="9">
        <f t="shared" si="147"/>
        <v>6.8982751911250695E-4</v>
      </c>
      <c r="E257" s="9">
        <f t="shared" si="147"/>
        <v>8.7776908931602726E-4</v>
      </c>
      <c r="F257" s="9">
        <f t="shared" si="147"/>
        <v>1.0348169971650112E-3</v>
      </c>
      <c r="G257" s="9">
        <f t="shared" si="147"/>
        <v>1.1685145759341431E-3</v>
      </c>
      <c r="H257" s="9">
        <f t="shared" si="147"/>
        <v>1.2861554993852664E-3</v>
      </c>
      <c r="I257" s="9">
        <f t="shared" si="147"/>
        <v>1.4000214211817852E-3</v>
      </c>
      <c r="J257" s="9">
        <f t="shared" si="147"/>
        <v>1.5056640700443769E-3</v>
      </c>
      <c r="K257" s="9">
        <f t="shared" si="147"/>
        <v>1.6079011025211809E-3</v>
      </c>
      <c r="L257" s="9">
        <f t="shared" si="147"/>
        <v>1.709333960074888E-3</v>
      </c>
      <c r="M257" s="9">
        <f t="shared" si="147"/>
        <v>1.812333813799416E-3</v>
      </c>
      <c r="N257" s="9">
        <f t="shared" si="147"/>
        <v>1.9405216609826859E-3</v>
      </c>
      <c r="O257" s="9">
        <f t="shared" si="147"/>
        <v>2.0618511776595572E-3</v>
      </c>
      <c r="P257" s="9">
        <f t="shared" si="147"/>
        <v>2.1835518222659278E-3</v>
      </c>
      <c r="Q257" s="9">
        <f t="shared" si="147"/>
        <v>2.3074634756514723E-3</v>
      </c>
      <c r="R257" s="9">
        <f t="shared" si="147"/>
        <v>2.4344249140115792E-3</v>
      </c>
      <c r="S257" s="9">
        <f t="shared" si="147"/>
        <v>2.5874684680000648E-3</v>
      </c>
      <c r="T257" s="9">
        <f t="shared" si="147"/>
        <v>2.7346822951601624E-3</v>
      </c>
      <c r="U257" s="9">
        <f t="shared" si="147"/>
        <v>2.8828022296087941E-3</v>
      </c>
      <c r="V257" s="9">
        <f t="shared" si="147"/>
        <v>3.0330370095288384E-3</v>
      </c>
      <c r="W257" s="9">
        <f t="shared" si="147"/>
        <v>3.1848654827122402E-3</v>
      </c>
      <c r="X257" s="9">
        <f t="shared" si="147"/>
        <v>3.339450193702076E-3</v>
      </c>
      <c r="Y257" s="9">
        <f t="shared" si="147"/>
        <v>3.496096089170786E-3</v>
      </c>
      <c r="Z257" s="9">
        <f t="shared" si="147"/>
        <v>3.6548475077426978E-3</v>
      </c>
      <c r="AA257" s="9">
        <f t="shared" si="147"/>
        <v>3.8153582571833766E-3</v>
      </c>
      <c r="AB257" s="9">
        <f t="shared" si="147"/>
        <v>3.9747004789481011E-3</v>
      </c>
      <c r="AC257" s="9">
        <f t="shared" si="147"/>
        <v>4.1285550450831376E-3</v>
      </c>
      <c r="AD257" s="9">
        <f t="shared" si="147"/>
        <v>4.2862969914108096E-3</v>
      </c>
      <c r="AE257" s="9">
        <f t="shared" si="147"/>
        <v>4.4457332481502299E-3</v>
      </c>
      <c r="AF257" s="9">
        <f t="shared" si="147"/>
        <v>4.606123723890132E-3</v>
      </c>
      <c r="AG257" s="9">
        <f t="shared" si="147"/>
        <v>4.7669613974095082E-3</v>
      </c>
      <c r="AH257" s="9">
        <f t="shared" si="147"/>
        <v>4.923598190626155E-3</v>
      </c>
      <c r="AI257" s="9">
        <f t="shared" si="147"/>
        <v>5.0815250565003911E-3</v>
      </c>
      <c r="AJ257" s="9">
        <f t="shared" si="147"/>
        <v>5.239206363272686E-3</v>
      </c>
      <c r="AK257" s="9">
        <f t="shared" si="147"/>
        <v>5.3961665362598499E-3</v>
      </c>
      <c r="AL257" s="9">
        <f t="shared" si="147"/>
        <v>5.5521509221090337E-3</v>
      </c>
      <c r="AM257" s="9">
        <f t="shared" ref="AM257:BC257" si="148">(AM238/AM139)/(AM247/AM128)-1</f>
        <v>5.6716188343968188E-3</v>
      </c>
      <c r="AN257" s="9">
        <f t="shared" si="148"/>
        <v>5.8043454714071796E-3</v>
      </c>
      <c r="AO257" s="9">
        <f t="shared" si="148"/>
        <v>5.939831953625907E-3</v>
      </c>
      <c r="AP257" s="9">
        <f t="shared" si="148"/>
        <v>6.0762777780813959E-3</v>
      </c>
      <c r="AQ257" s="9">
        <f t="shared" si="148"/>
        <v>6.2131606185127364E-3</v>
      </c>
      <c r="AR257" s="9">
        <f t="shared" si="148"/>
        <v>6.3448797683656188E-3</v>
      </c>
      <c r="AS257" s="9">
        <f t="shared" si="148"/>
        <v>6.4784088538325513E-3</v>
      </c>
      <c r="AT257" s="9">
        <f t="shared" si="148"/>
        <v>6.6119784829870021E-3</v>
      </c>
      <c r="AU257" s="9">
        <f t="shared" si="148"/>
        <v>6.7450932347943304E-3</v>
      </c>
      <c r="AV257" s="9">
        <f t="shared" si="148"/>
        <v>6.8774889633906877E-3</v>
      </c>
      <c r="AW257" s="9">
        <f t="shared" si="148"/>
        <v>6.992309826995724E-3</v>
      </c>
      <c r="AX257" s="9">
        <f t="shared" si="148"/>
        <v>7.1124973335539021E-3</v>
      </c>
      <c r="AY257" s="9">
        <f t="shared" si="148"/>
        <v>7.2332661325194003E-3</v>
      </c>
      <c r="AZ257" s="9">
        <f t="shared" si="148"/>
        <v>7.3537249469848298E-3</v>
      </c>
      <c r="BA257" s="9">
        <f t="shared" si="148"/>
        <v>7.4735754734962523E-3</v>
      </c>
      <c r="BB257" s="9">
        <f t="shared" si="148"/>
        <v>7.5827865798796523E-3</v>
      </c>
      <c r="BC257" s="9">
        <f t="shared" si="148"/>
        <v>7.6947917918526176E-3</v>
      </c>
      <c r="BD257" s="9">
        <f t="shared" ref="BD257:BF257" si="149">(BD238/BD139)/(BD247/BD128)-1</f>
        <v>7.8066542739465561E-3</v>
      </c>
      <c r="BE257" s="9">
        <f t="shared" si="149"/>
        <v>7.9177731979529486E-3</v>
      </c>
      <c r="BF257" s="9">
        <f t="shared" si="149"/>
        <v>8.0279080147205306E-3</v>
      </c>
    </row>
    <row r="258" spans="1:58" x14ac:dyDescent="0.35">
      <c r="B258" t="s">
        <v>10</v>
      </c>
      <c r="C258" s="9">
        <f t="shared" ref="C258:AL258" si="150">(C239/C140)/(C248/C129)-1</f>
        <v>1.2154964144508451E-3</v>
      </c>
      <c r="D258" s="9">
        <f t="shared" si="150"/>
        <v>2.2009656217127915E-3</v>
      </c>
      <c r="E258" s="9">
        <f t="shared" si="150"/>
        <v>3.0064156114721907E-3</v>
      </c>
      <c r="F258" s="9">
        <f t="shared" si="150"/>
        <v>3.6745740187051901E-3</v>
      </c>
      <c r="G258" s="9">
        <f t="shared" si="150"/>
        <v>4.2558877516851723E-3</v>
      </c>
      <c r="H258" s="9">
        <f t="shared" si="150"/>
        <v>4.7974331337192755E-3</v>
      </c>
      <c r="I258" s="9">
        <f t="shared" si="150"/>
        <v>5.3554583364756603E-3</v>
      </c>
      <c r="J258" s="9">
        <f t="shared" si="150"/>
        <v>5.9339947464447373E-3</v>
      </c>
      <c r="K258" s="9">
        <f t="shared" si="150"/>
        <v>6.5472387121270348E-3</v>
      </c>
      <c r="L258" s="9">
        <f t="shared" si="150"/>
        <v>7.2037782014962026E-3</v>
      </c>
      <c r="M258" s="9">
        <f t="shared" si="150"/>
        <v>7.9067689225316151E-3</v>
      </c>
      <c r="N258" s="9">
        <f t="shared" si="150"/>
        <v>8.7378939624898067E-3</v>
      </c>
      <c r="O258" s="9">
        <f t="shared" si="150"/>
        <v>9.6111088193244765E-3</v>
      </c>
      <c r="P258" s="9">
        <f t="shared" si="150"/>
        <v>1.0517932475333724E-2</v>
      </c>
      <c r="Q258" s="9">
        <f t="shared" si="150"/>
        <v>1.1456445117038472E-2</v>
      </c>
      <c r="R258" s="9">
        <f t="shared" si="150"/>
        <v>1.2425667158977083E-2</v>
      </c>
      <c r="S258" s="9">
        <f t="shared" si="150"/>
        <v>1.3504679070414083E-2</v>
      </c>
      <c r="T258" s="9">
        <f t="shared" si="150"/>
        <v>1.4608807207096453E-2</v>
      </c>
      <c r="U258" s="9">
        <f t="shared" si="150"/>
        <v>1.5729658642174238E-2</v>
      </c>
      <c r="V258" s="9">
        <f t="shared" si="150"/>
        <v>1.686543258111084E-2</v>
      </c>
      <c r="W258" s="9">
        <f t="shared" si="150"/>
        <v>1.8016007992255334E-2</v>
      </c>
      <c r="X258" s="9">
        <f t="shared" si="150"/>
        <v>1.9172864554048763E-2</v>
      </c>
      <c r="Y258" s="9">
        <f t="shared" si="150"/>
        <v>2.0342252750672474E-2</v>
      </c>
      <c r="Z258" s="9">
        <f t="shared" si="150"/>
        <v>2.1523150009024716E-2</v>
      </c>
      <c r="AA258" s="9">
        <f t="shared" si="150"/>
        <v>2.2713653582055127E-2</v>
      </c>
      <c r="AB258" s="9">
        <f t="shared" si="150"/>
        <v>2.3914737870580405E-2</v>
      </c>
      <c r="AC258" s="9">
        <f t="shared" si="150"/>
        <v>2.5070800749514621E-2</v>
      </c>
      <c r="AD258" s="9">
        <f t="shared" si="150"/>
        <v>2.6230523269007211E-2</v>
      </c>
      <c r="AE258" s="9">
        <f t="shared" si="150"/>
        <v>2.7397923998336182E-2</v>
      </c>
      <c r="AF258" s="9">
        <f t="shared" si="150"/>
        <v>2.857247025533316E-2</v>
      </c>
      <c r="AG258" s="9">
        <f t="shared" si="150"/>
        <v>2.9752518224523072E-2</v>
      </c>
      <c r="AH258" s="9">
        <f t="shared" si="150"/>
        <v>3.0916998957630115E-2</v>
      </c>
      <c r="AI258" s="9">
        <f t="shared" si="150"/>
        <v>3.2083331718460784E-2</v>
      </c>
      <c r="AJ258" s="9">
        <f t="shared" si="150"/>
        <v>3.3251825334719154E-2</v>
      </c>
      <c r="AK258" s="9">
        <f t="shared" si="150"/>
        <v>3.4421500941980154E-2</v>
      </c>
      <c r="AL258" s="9">
        <f t="shared" si="150"/>
        <v>3.55915136617595E-2</v>
      </c>
      <c r="AM258" s="9">
        <f t="shared" ref="AM258:BC258" si="151">(AM239/AM140)/(AM248/AM129)-1</f>
        <v>3.6593668930351209E-2</v>
      </c>
      <c r="AN258" s="9">
        <f t="shared" si="151"/>
        <v>3.7592241549609495E-2</v>
      </c>
      <c r="AO258" s="9">
        <f t="shared" si="151"/>
        <v>3.8603044922092211E-2</v>
      </c>
      <c r="AP258" s="9">
        <f t="shared" si="151"/>
        <v>3.9626903456809526E-2</v>
      </c>
      <c r="AQ258" s="9">
        <f t="shared" si="151"/>
        <v>4.0661819173833713E-2</v>
      </c>
      <c r="AR258" s="9">
        <f t="shared" si="151"/>
        <v>4.1678282703876635E-2</v>
      </c>
      <c r="AS258" s="9">
        <f t="shared" si="151"/>
        <v>4.2700181344323296E-2</v>
      </c>
      <c r="AT258" s="9">
        <f t="shared" si="151"/>
        <v>4.3727816357398197E-2</v>
      </c>
      <c r="AU258" s="9">
        <f t="shared" si="151"/>
        <v>4.4759518044944269E-2</v>
      </c>
      <c r="AV258" s="9">
        <f t="shared" si="151"/>
        <v>4.5793638595706287E-2</v>
      </c>
      <c r="AW258" s="9">
        <f t="shared" si="151"/>
        <v>4.6739023612287989E-2</v>
      </c>
      <c r="AX258" s="9">
        <f t="shared" si="151"/>
        <v>4.7683134194192567E-2</v>
      </c>
      <c r="AY258" s="9">
        <f t="shared" si="151"/>
        <v>4.8633797776979737E-2</v>
      </c>
      <c r="AZ258" s="9">
        <f t="shared" si="151"/>
        <v>4.959082741249965E-2</v>
      </c>
      <c r="BA258" s="9">
        <f t="shared" si="151"/>
        <v>5.0552685446785484E-2</v>
      </c>
      <c r="BB258" s="9">
        <f t="shared" si="151"/>
        <v>5.1462750643988642E-2</v>
      </c>
      <c r="BC258" s="9">
        <f t="shared" si="151"/>
        <v>5.2373139119336054E-2</v>
      </c>
      <c r="BD258" s="9">
        <f t="shared" ref="BD258:BF258" si="152">(BD239/BD140)/(BD248/BD129)-1</f>
        <v>5.3287805772545216E-2</v>
      </c>
      <c r="BE258" s="9">
        <f t="shared" si="152"/>
        <v>5.4205931312707234E-2</v>
      </c>
      <c r="BF258" s="9">
        <f t="shared" si="152"/>
        <v>5.5125988946252757E-2</v>
      </c>
    </row>
    <row r="259" spans="1:58" x14ac:dyDescent="0.35">
      <c r="B259" t="s">
        <v>25</v>
      </c>
      <c r="C259" s="9">
        <f t="shared" ref="C259:AL259" si="153">(C240/C59)/(C249/C58)-1</f>
        <v>4.0662506641053753E-4</v>
      </c>
      <c r="D259" s="9">
        <f t="shared" si="153"/>
        <v>-4.8489791671002536E-4</v>
      </c>
      <c r="E259" s="9">
        <f t="shared" si="153"/>
        <v>-9.4433450322117807E-4</v>
      </c>
      <c r="F259" s="9">
        <f t="shared" si="153"/>
        <v>-1.1151210572583059E-3</v>
      </c>
      <c r="G259" s="9">
        <f t="shared" si="153"/>
        <v>-1.1130334493468785E-3</v>
      </c>
      <c r="H259" s="9">
        <f t="shared" si="153"/>
        <v>-1.031935094189862E-3</v>
      </c>
      <c r="I259" s="9">
        <f t="shared" si="153"/>
        <v>-9.7897225215715089E-4</v>
      </c>
      <c r="J259" s="9">
        <f t="shared" si="153"/>
        <v>-9.1355363621847818E-4</v>
      </c>
      <c r="K259" s="9">
        <f t="shared" si="153"/>
        <v>-7.7422379052927148E-4</v>
      </c>
      <c r="L259" s="9">
        <f t="shared" si="153"/>
        <v>-4.9253537440685502E-4</v>
      </c>
      <c r="M259" s="9">
        <f t="shared" si="153"/>
        <v>-9.6536935835223048E-5</v>
      </c>
      <c r="N259" s="9">
        <f t="shared" si="153"/>
        <v>3.8320569826577611E-4</v>
      </c>
      <c r="O259" s="9">
        <f t="shared" si="153"/>
        <v>9.9167551195633585E-4</v>
      </c>
      <c r="P259" s="9">
        <f t="shared" si="153"/>
        <v>1.7066456305279143E-3</v>
      </c>
      <c r="Q259" s="9">
        <f t="shared" si="153"/>
        <v>2.4649030694647855E-3</v>
      </c>
      <c r="R259" s="9">
        <f t="shared" si="153"/>
        <v>3.2011730330230304E-3</v>
      </c>
      <c r="S259" s="9">
        <f t="shared" si="153"/>
        <v>3.8334857918320697E-3</v>
      </c>
      <c r="T259" s="9">
        <f t="shared" si="153"/>
        <v>4.3775258552203322E-3</v>
      </c>
      <c r="U259" s="9">
        <f t="shared" si="153"/>
        <v>4.8411482842583009E-3</v>
      </c>
      <c r="V259" s="9">
        <f t="shared" si="153"/>
        <v>5.2324635492217997E-3</v>
      </c>
      <c r="W259" s="9">
        <f t="shared" si="153"/>
        <v>5.57075800582707E-3</v>
      </c>
      <c r="X259" s="9">
        <f t="shared" si="153"/>
        <v>5.8522214561060881E-3</v>
      </c>
      <c r="Y259" s="9">
        <f t="shared" si="153"/>
        <v>6.0893665735159974E-3</v>
      </c>
      <c r="Z259" s="9">
        <f t="shared" si="153"/>
        <v>6.2910666964204331E-3</v>
      </c>
      <c r="AA259" s="9">
        <f t="shared" si="153"/>
        <v>6.4623552508924487E-3</v>
      </c>
      <c r="AB259" s="9">
        <f t="shared" si="153"/>
        <v>6.6386644937850292E-3</v>
      </c>
      <c r="AC259" s="9">
        <f t="shared" si="153"/>
        <v>6.8069080041048835E-3</v>
      </c>
      <c r="AD259" s="9">
        <f t="shared" si="153"/>
        <v>6.9581002147292015E-3</v>
      </c>
      <c r="AE259" s="9">
        <f t="shared" si="153"/>
        <v>7.0943539900452102E-3</v>
      </c>
      <c r="AF259" s="9">
        <f t="shared" si="153"/>
        <v>7.2205480688982693E-3</v>
      </c>
      <c r="AG259" s="9">
        <f t="shared" si="153"/>
        <v>7.336804941016517E-3</v>
      </c>
      <c r="AH259" s="9">
        <f t="shared" si="153"/>
        <v>7.4543971194249714E-3</v>
      </c>
      <c r="AI259" s="9">
        <f t="shared" si="153"/>
        <v>7.5697994643550981E-3</v>
      </c>
      <c r="AJ259" s="9">
        <f t="shared" si="153"/>
        <v>7.6809048692743076E-3</v>
      </c>
      <c r="AK259" s="9">
        <f t="shared" si="153"/>
        <v>7.7856879245381538E-3</v>
      </c>
      <c r="AL259" s="9">
        <f t="shared" si="153"/>
        <v>7.8824233368126606E-3</v>
      </c>
      <c r="AM259" s="9">
        <f t="shared" ref="AM259:BC259" si="154">(AM240/AM59)/(AM249/AM58)-1</f>
        <v>8.0702540598363015E-3</v>
      </c>
      <c r="AN259" s="9">
        <f t="shared" si="154"/>
        <v>8.2719840043228299E-3</v>
      </c>
      <c r="AO259" s="9">
        <f t="shared" si="154"/>
        <v>8.4642462850506028E-3</v>
      </c>
      <c r="AP259" s="9">
        <f t="shared" si="154"/>
        <v>8.6466544338392737E-3</v>
      </c>
      <c r="AQ259" s="9">
        <f t="shared" si="154"/>
        <v>8.8279942581965809E-3</v>
      </c>
      <c r="AR259" s="9">
        <f t="shared" si="154"/>
        <v>9.034456571036964E-3</v>
      </c>
      <c r="AS259" s="9">
        <f t="shared" si="154"/>
        <v>9.2667659852463391E-3</v>
      </c>
      <c r="AT259" s="9">
        <f t="shared" si="154"/>
        <v>9.5319921635186322E-3</v>
      </c>
      <c r="AU259" s="9">
        <f t="shared" si="154"/>
        <v>9.8383336625629259E-3</v>
      </c>
      <c r="AV259" s="9">
        <f t="shared" si="154"/>
        <v>1.0188474788149549E-2</v>
      </c>
      <c r="AW259" s="9">
        <f t="shared" si="154"/>
        <v>1.0620389415351372E-2</v>
      </c>
      <c r="AX259" s="9">
        <f t="shared" si="154"/>
        <v>1.1082411513977597E-2</v>
      </c>
      <c r="AY259" s="9">
        <f t="shared" si="154"/>
        <v>1.1547642136732428E-2</v>
      </c>
      <c r="AZ259" s="9">
        <f t="shared" si="154"/>
        <v>1.2002303219386112E-2</v>
      </c>
      <c r="BA259" s="9">
        <f t="shared" si="154"/>
        <v>1.2439992009883216E-2</v>
      </c>
      <c r="BB259" s="9">
        <f t="shared" si="154"/>
        <v>1.2887960732021142E-2</v>
      </c>
      <c r="BC259" s="9">
        <f t="shared" si="154"/>
        <v>1.3323321200833016E-2</v>
      </c>
      <c r="BD259" s="9">
        <f t="shared" ref="BD259:BF259" si="155">(BD240/BD59)/(BD249/BD58)-1</f>
        <v>1.3738946580467148E-2</v>
      </c>
      <c r="BE259" s="9">
        <f t="shared" si="155"/>
        <v>1.41339915452523E-2</v>
      </c>
      <c r="BF259" s="9">
        <f t="shared" si="155"/>
        <v>1.4509810290176839E-2</v>
      </c>
    </row>
    <row r="260" spans="1:58" x14ac:dyDescent="0.35">
      <c r="B260" t="s">
        <v>47</v>
      </c>
      <c r="C260" s="9">
        <f t="shared" ref="C260:AL260" si="156">(C241/C59)/(C250/C58)-1</f>
        <v>4.0662506641053753E-4</v>
      </c>
      <c r="D260" s="9">
        <f t="shared" si="156"/>
        <v>-1.2853750250727547E-3</v>
      </c>
      <c r="E260" s="9">
        <f t="shared" si="156"/>
        <v>-2.4007814385978987E-3</v>
      </c>
      <c r="F260" s="9">
        <f t="shared" si="156"/>
        <v>-3.1284311937580522E-3</v>
      </c>
      <c r="G260" s="9">
        <f t="shared" si="156"/>
        <v>-3.6140558552004709E-3</v>
      </c>
      <c r="H260" s="9">
        <f t="shared" si="156"/>
        <v>-3.977945144854389E-3</v>
      </c>
      <c r="I260" s="9">
        <f t="shared" si="156"/>
        <v>-4.372517850134261E-3</v>
      </c>
      <c r="J260" s="9">
        <f t="shared" si="156"/>
        <v>-4.7287289857580461E-3</v>
      </c>
      <c r="K260" s="9">
        <f t="shared" si="156"/>
        <v>-4.9489204283122978E-3</v>
      </c>
      <c r="L260" s="9">
        <f t="shared" si="156"/>
        <v>-4.9267285234300129E-3</v>
      </c>
      <c r="M260" s="9">
        <f t="shared" si="156"/>
        <v>-4.6977656011557567E-3</v>
      </c>
      <c r="N260" s="9">
        <f t="shared" si="156"/>
        <v>-4.3228273719871924E-3</v>
      </c>
      <c r="O260" s="9">
        <f t="shared" si="156"/>
        <v>-3.7309560774275718E-3</v>
      </c>
      <c r="P260" s="9">
        <f t="shared" si="156"/>
        <v>-2.9517868586746987E-3</v>
      </c>
      <c r="Q260" s="9">
        <f t="shared" si="156"/>
        <v>-2.0786241881417533E-3</v>
      </c>
      <c r="R260" s="9">
        <f t="shared" si="156"/>
        <v>-1.2101632378558325E-3</v>
      </c>
      <c r="S260" s="9">
        <f t="shared" si="156"/>
        <v>-4.8135621318112776E-4</v>
      </c>
      <c r="T260" s="9">
        <f t="shared" si="156"/>
        <v>1.2949340749757177E-4</v>
      </c>
      <c r="U260" s="9">
        <f t="shared" si="156"/>
        <v>6.3360662622158337E-4</v>
      </c>
      <c r="V260" s="9">
        <f t="shared" si="156"/>
        <v>1.0424879373824858E-3</v>
      </c>
      <c r="W260" s="9">
        <f t="shared" si="156"/>
        <v>1.3814623009151816E-3</v>
      </c>
      <c r="X260" s="9">
        <f t="shared" si="156"/>
        <v>1.6489927216980504E-3</v>
      </c>
      <c r="Y260" s="9">
        <f t="shared" si="156"/>
        <v>1.8604981956218403E-3</v>
      </c>
      <c r="Z260" s="9">
        <f t="shared" si="156"/>
        <v>2.0264894752608509E-3</v>
      </c>
      <c r="AA260" s="9">
        <f t="shared" si="156"/>
        <v>2.1519622882708589E-3</v>
      </c>
      <c r="AB260" s="9">
        <f t="shared" si="156"/>
        <v>2.2818344182389261E-3</v>
      </c>
      <c r="AC260" s="9">
        <f t="shared" si="156"/>
        <v>2.4106732596775871E-3</v>
      </c>
      <c r="AD260" s="9">
        <f t="shared" si="156"/>
        <v>2.520820228157028E-3</v>
      </c>
      <c r="AE260" s="9">
        <f t="shared" si="156"/>
        <v>2.6118773935142059E-3</v>
      </c>
      <c r="AF260" s="9">
        <f t="shared" si="156"/>
        <v>2.6885032790182617E-3</v>
      </c>
      <c r="AG260" s="9">
        <f t="shared" si="156"/>
        <v>2.7484110089479596E-3</v>
      </c>
      <c r="AH260" s="9">
        <f t="shared" si="156"/>
        <v>2.810004650289688E-3</v>
      </c>
      <c r="AI260" s="9">
        <f t="shared" si="156"/>
        <v>2.8663941214563948E-3</v>
      </c>
      <c r="AJ260" s="9">
        <f t="shared" si="156"/>
        <v>2.9129107550418532E-3</v>
      </c>
      <c r="AK260" s="9">
        <f t="shared" si="156"/>
        <v>2.9452409884862529E-3</v>
      </c>
      <c r="AL260" s="9">
        <f t="shared" si="156"/>
        <v>2.9598300389177545E-3</v>
      </c>
      <c r="AM260" s="9">
        <f t="shared" ref="AM260:BC260" si="157">(AM241/AM59)/(AM250/AM58)-1</f>
        <v>3.1349528012287742E-3</v>
      </c>
      <c r="AN260" s="9">
        <f t="shared" si="157"/>
        <v>3.3454159017054508E-3</v>
      </c>
      <c r="AO260" s="9">
        <f t="shared" si="157"/>
        <v>3.5492719320906474E-3</v>
      </c>
      <c r="AP260" s="9">
        <f t="shared" si="157"/>
        <v>3.7416752743650861E-3</v>
      </c>
      <c r="AQ260" s="9">
        <f t="shared" si="157"/>
        <v>3.9336559161566864E-3</v>
      </c>
      <c r="AR260" s="9">
        <f t="shared" si="157"/>
        <v>4.1691876389344795E-3</v>
      </c>
      <c r="AS260" s="9">
        <f t="shared" si="157"/>
        <v>4.447816890970957E-3</v>
      </c>
      <c r="AT260" s="9">
        <f t="shared" si="157"/>
        <v>4.7799637079239954E-3</v>
      </c>
      <c r="AU260" s="9">
        <f t="shared" si="157"/>
        <v>5.1786266448821117E-3</v>
      </c>
      <c r="AV260" s="9">
        <f t="shared" si="157"/>
        <v>5.6480471109976449E-3</v>
      </c>
      <c r="AW260" s="9">
        <f t="shared" si="157"/>
        <v>6.2624529377459659E-3</v>
      </c>
      <c r="AX260" s="9">
        <f t="shared" si="157"/>
        <v>6.9334093101538485E-3</v>
      </c>
      <c r="AY260" s="9">
        <f t="shared" si="157"/>
        <v>7.6125046546424713E-3</v>
      </c>
      <c r="AZ260" s="9">
        <f t="shared" si="157"/>
        <v>8.2735207636317476E-3</v>
      </c>
      <c r="BA260" s="9">
        <f t="shared" si="157"/>
        <v>8.90321667510241E-3</v>
      </c>
      <c r="BB260" s="9">
        <f t="shared" si="157"/>
        <v>9.5530052047538838E-3</v>
      </c>
      <c r="BC260" s="9">
        <f t="shared" si="157"/>
        <v>1.0181689682657424E-2</v>
      </c>
      <c r="BD260" s="9">
        <f t="shared" ref="BD260:BF260" si="158">(BD241/BD59)/(BD250/BD58)-1</f>
        <v>1.0774397396144719E-2</v>
      </c>
      <c r="BE260" s="9">
        <f t="shared" si="158"/>
        <v>1.1327349426376809E-2</v>
      </c>
      <c r="BF260" s="9">
        <f t="shared" si="158"/>
        <v>1.1841058631561374E-2</v>
      </c>
    </row>
    <row r="261" spans="1:58" x14ac:dyDescent="0.35">
      <c r="B261" t="s">
        <v>48</v>
      </c>
      <c r="C261" s="9">
        <f t="shared" ref="C261:AL261" si="159">(C242/C59)/(C251/C58)-1</f>
        <v>4.0662506641075957E-4</v>
      </c>
      <c r="D261" s="9">
        <f t="shared" si="159"/>
        <v>1.1143270490239221E-3</v>
      </c>
      <c r="E261" s="9">
        <f t="shared" si="159"/>
        <v>1.9870810927906657E-3</v>
      </c>
      <c r="F261" s="9">
        <f t="shared" si="159"/>
        <v>2.9385033027147234E-3</v>
      </c>
      <c r="G261" s="9">
        <f t="shared" si="159"/>
        <v>3.9078879542933098E-3</v>
      </c>
      <c r="H261" s="9">
        <f t="shared" si="159"/>
        <v>4.8554087812433533E-3</v>
      </c>
      <c r="I261" s="9">
        <f t="shared" si="159"/>
        <v>5.7635380750113985E-3</v>
      </c>
      <c r="J261" s="9">
        <f t="shared" si="159"/>
        <v>6.6168083186788351E-3</v>
      </c>
      <c r="K261" s="9">
        <f t="shared" si="159"/>
        <v>7.406178522207929E-3</v>
      </c>
      <c r="L261" s="9">
        <f t="shared" si="159"/>
        <v>8.1277213715256202E-3</v>
      </c>
      <c r="M261" s="9">
        <f t="shared" si="159"/>
        <v>8.7759583165836208E-3</v>
      </c>
      <c r="N261" s="9">
        <f t="shared" si="159"/>
        <v>9.3763367659154273E-3</v>
      </c>
      <c r="O261" s="9">
        <f t="shared" si="159"/>
        <v>9.9295134927261941E-3</v>
      </c>
      <c r="P261" s="9">
        <f t="shared" si="159"/>
        <v>1.0433725487206003E-2</v>
      </c>
      <c r="Q261" s="9">
        <f t="shared" si="159"/>
        <v>1.0887937901295386E-2</v>
      </c>
      <c r="R261" s="9">
        <f t="shared" si="159"/>
        <v>1.129254585573336E-2</v>
      </c>
      <c r="S261" s="9">
        <f t="shared" si="159"/>
        <v>1.1663653234721849E-2</v>
      </c>
      <c r="T261" s="9">
        <f t="shared" si="159"/>
        <v>1.200457003435873E-2</v>
      </c>
      <c r="U261" s="9">
        <f t="shared" si="159"/>
        <v>1.2315712334223017E-2</v>
      </c>
      <c r="V261" s="9">
        <f t="shared" si="159"/>
        <v>1.2597843846328782E-2</v>
      </c>
      <c r="W261" s="9">
        <f t="shared" si="159"/>
        <v>1.2856563132592091E-2</v>
      </c>
      <c r="X261" s="9">
        <f t="shared" si="159"/>
        <v>1.3086786747348089E-2</v>
      </c>
      <c r="Y261" s="9">
        <f t="shared" si="159"/>
        <v>1.3294349148998519E-2</v>
      </c>
      <c r="Z261" s="9">
        <f t="shared" si="159"/>
        <v>1.3484333931380599E-2</v>
      </c>
      <c r="AA261" s="9">
        <f t="shared" si="159"/>
        <v>1.3661183667670995E-2</v>
      </c>
      <c r="AB261" s="9">
        <f t="shared" si="159"/>
        <v>1.383874204886415E-2</v>
      </c>
      <c r="AC261" s="9">
        <f t="shared" si="159"/>
        <v>1.399852084325226E-2</v>
      </c>
      <c r="AD261" s="9">
        <f t="shared" si="159"/>
        <v>1.4145401306591809E-2</v>
      </c>
      <c r="AE261" s="9">
        <f t="shared" si="159"/>
        <v>1.4285024752350495E-2</v>
      </c>
      <c r="AF261" s="9">
        <f t="shared" si="159"/>
        <v>1.4422115241623068E-2</v>
      </c>
      <c r="AG261" s="9">
        <f t="shared" si="159"/>
        <v>1.4560171153673362E-2</v>
      </c>
      <c r="AH261" s="9">
        <f t="shared" si="159"/>
        <v>1.4698893867436169E-2</v>
      </c>
      <c r="AI261" s="9">
        <f t="shared" si="159"/>
        <v>1.4839831528753678E-2</v>
      </c>
      <c r="AJ261" s="9">
        <f t="shared" si="159"/>
        <v>1.4984608464743809E-2</v>
      </c>
      <c r="AK261" s="9">
        <f t="shared" si="159"/>
        <v>1.5134420999083131E-2</v>
      </c>
      <c r="AL261" s="9">
        <f t="shared" si="159"/>
        <v>1.5289976134210015E-2</v>
      </c>
      <c r="AM261" s="9">
        <f t="shared" ref="AM261:BC261" si="160">(AM242/AM59)/(AM251/AM58)-1</f>
        <v>1.5430747762426478E-2</v>
      </c>
      <c r="AN261" s="9">
        <f t="shared" si="160"/>
        <v>1.5554173566020957E-2</v>
      </c>
      <c r="AO261" s="9">
        <f t="shared" si="160"/>
        <v>1.5665251962844851E-2</v>
      </c>
      <c r="AP261" s="9">
        <f t="shared" si="160"/>
        <v>1.577017168915007E-2</v>
      </c>
      <c r="AQ261" s="9">
        <f t="shared" si="160"/>
        <v>1.5874288423153526E-2</v>
      </c>
      <c r="AR261" s="9">
        <f t="shared" si="160"/>
        <v>1.5978253181134106E-2</v>
      </c>
      <c r="AS261" s="9">
        <f t="shared" si="160"/>
        <v>1.6084955452426941E-2</v>
      </c>
      <c r="AT261" s="9">
        <f t="shared" si="160"/>
        <v>1.6197228499571059E-2</v>
      </c>
      <c r="AU261" s="9">
        <f t="shared" si="160"/>
        <v>1.6317209790729814E-2</v>
      </c>
      <c r="AV261" s="9">
        <f t="shared" si="160"/>
        <v>1.6446300676469017E-2</v>
      </c>
      <c r="AW261" s="9">
        <f t="shared" si="160"/>
        <v>1.6574085065876654E-2</v>
      </c>
      <c r="AX261" s="9">
        <f t="shared" si="160"/>
        <v>1.670100130407981E-2</v>
      </c>
      <c r="AY261" s="9">
        <f t="shared" si="160"/>
        <v>1.6830008670024821E-2</v>
      </c>
      <c r="AZ261" s="9">
        <f t="shared" si="160"/>
        <v>1.6964049988715146E-2</v>
      </c>
      <c r="BA261" s="9">
        <f t="shared" si="160"/>
        <v>1.7105437868849327E-2</v>
      </c>
      <c r="BB261" s="9">
        <f t="shared" si="160"/>
        <v>1.7249260393359833E-2</v>
      </c>
      <c r="BC261" s="9">
        <f t="shared" si="160"/>
        <v>1.7396613753315027E-2</v>
      </c>
      <c r="BD261" s="9">
        <f t="shared" ref="BD261:BF261" si="161">(BD242/BD59)/(BD251/BD58)-1</f>
        <v>1.7549943377438426E-2</v>
      </c>
      <c r="BE261" s="9">
        <f t="shared" si="161"/>
        <v>1.7711514018084573E-2</v>
      </c>
      <c r="BF261" s="9">
        <f t="shared" si="161"/>
        <v>1.7883032838426516E-2</v>
      </c>
    </row>
    <row r="263" spans="1:58" x14ac:dyDescent="0.35">
      <c r="A263" s="12" t="s">
        <v>21</v>
      </c>
      <c r="B263" t="s">
        <v>26</v>
      </c>
      <c r="C263" s="6">
        <f>[1]Results!F1600</f>
        <v>472814.52519999997</v>
      </c>
      <c r="D263" s="6">
        <f>[1]Results!G1600</f>
        <v>473176.45039999997</v>
      </c>
      <c r="E263" s="6">
        <f>[1]Results!H1600</f>
        <v>476047.31579999998</v>
      </c>
      <c r="F263" s="6">
        <f>[1]Results!I1600</f>
        <v>480462.8247</v>
      </c>
      <c r="G263" s="6">
        <f>[1]Results!J1600</f>
        <v>485797.85249999998</v>
      </c>
      <c r="H263" s="6">
        <f>[1]Results!K1600</f>
        <v>491743.39980000001</v>
      </c>
      <c r="I263" s="6">
        <f>[1]Results!L1600</f>
        <v>497950.60230000003</v>
      </c>
      <c r="J263" s="6">
        <f>[1]Results!M1600</f>
        <v>504394.61900000001</v>
      </c>
      <c r="K263" s="6">
        <f>[1]Results!N1600</f>
        <v>511074.66200000001</v>
      </c>
      <c r="L263" s="6">
        <f>[1]Results!O1600</f>
        <v>517991.90840000001</v>
      </c>
      <c r="M263" s="6">
        <f>[1]Results!P1600</f>
        <v>525479.17550000001</v>
      </c>
      <c r="N263" s="6">
        <f>[1]Results!Q1600</f>
        <v>533095.07059999998</v>
      </c>
      <c r="O263" s="6">
        <f>[1]Results!R1600</f>
        <v>540865.85199999996</v>
      </c>
      <c r="P263" s="6">
        <f>[1]Results!S1600</f>
        <v>548813.20449999999</v>
      </c>
      <c r="Q263" s="6">
        <f>[1]Results!T1600</f>
        <v>556947.05539999995</v>
      </c>
      <c r="R263" s="6">
        <f>[1]Results!U1600</f>
        <v>565272.93949999998</v>
      </c>
      <c r="S263" s="6">
        <f>[1]Results!V1600</f>
        <v>573771.66249999998</v>
      </c>
      <c r="T263" s="6">
        <f>[1]Results!W1600</f>
        <v>582458.29790000001</v>
      </c>
      <c r="U263" s="6">
        <f>[1]Results!X1600</f>
        <v>591343.72290000005</v>
      </c>
      <c r="V263" s="6">
        <f>[1]Results!Y1600</f>
        <v>600435.85239999997</v>
      </c>
      <c r="W263" s="6">
        <f>[1]Results!Z1600</f>
        <v>609494.50410000002</v>
      </c>
      <c r="X263" s="6">
        <f>[1]Results!AA1600</f>
        <v>618828.56409999996</v>
      </c>
      <c r="Y263" s="6">
        <f>[1]Results!AB1600</f>
        <v>628426.05619999999</v>
      </c>
      <c r="Z263" s="6">
        <f>[1]Results!AC1600</f>
        <v>638273.92740000004</v>
      </c>
      <c r="AA263" s="6">
        <f>[1]Results!AD1600</f>
        <v>648365.36340000003</v>
      </c>
      <c r="AB263" s="6">
        <f>[1]Results!AE1600</f>
        <v>657985.04079999996</v>
      </c>
      <c r="AC263" s="6">
        <f>[1]Results!AF1600</f>
        <v>667677.35979999998</v>
      </c>
      <c r="AD263" s="6">
        <f>[1]Results!AG1600</f>
        <v>677465.66119999997</v>
      </c>
      <c r="AE263" s="6">
        <f>[1]Results!AH1600</f>
        <v>687355.82409999997</v>
      </c>
      <c r="AF263" s="6">
        <f>[1]Results!AI1600</f>
        <v>697355.90430000005</v>
      </c>
      <c r="AG263" s="6">
        <f>[1]Results!AJ1600</f>
        <v>707474.02229999995</v>
      </c>
      <c r="AH263" s="6">
        <f>[1]Results!AK1600</f>
        <v>717721.88910000003</v>
      </c>
      <c r="AI263" s="6">
        <f>[1]Results!AL1600</f>
        <v>728100.93420000002</v>
      </c>
      <c r="AJ263" s="6">
        <f>[1]Results!AM1600</f>
        <v>738610.89780000004</v>
      </c>
      <c r="AK263" s="6">
        <f>[1]Results!AN1600</f>
        <v>749249.98340000003</v>
      </c>
      <c r="AL263" s="6">
        <f>[1]Results!AO1600</f>
        <v>760015.21569999994</v>
      </c>
      <c r="AM263" s="6">
        <f>[1]Results!AP1600</f>
        <v>770779.11769999994</v>
      </c>
      <c r="AN263" s="6">
        <f>[1]Results!AQ1600</f>
        <v>781556.24369999999</v>
      </c>
      <c r="AO263" s="6">
        <f>[1]Results!AR1600</f>
        <v>792360.30059999996</v>
      </c>
      <c r="AP263" s="6">
        <f>[1]Results!AS1600</f>
        <v>803200.78249999997</v>
      </c>
      <c r="AQ263" s="6">
        <f>[1]Results!AT1600</f>
        <v>814085.11959999998</v>
      </c>
      <c r="AR263" s="6">
        <f>[1]Results!AU1600</f>
        <v>825027.51009999996</v>
      </c>
      <c r="AS263" s="6">
        <f>[1]Results!AV1600</f>
        <v>836030.51809999999</v>
      </c>
      <c r="AT263" s="6">
        <f>[1]Results!AW1600</f>
        <v>847097.04229999997</v>
      </c>
      <c r="AU263" s="6">
        <f>[1]Results!AX1600</f>
        <v>858229.8689</v>
      </c>
      <c r="AV263" s="6">
        <f>[1]Results!AY1600</f>
        <v>869431.39159999997</v>
      </c>
      <c r="AW263" s="6">
        <f>[1]Results!AZ1600</f>
        <v>880745.9423</v>
      </c>
      <c r="AX263" s="6">
        <f>[1]Results!BA1600</f>
        <v>892162.14280000003</v>
      </c>
      <c r="AY263" s="6">
        <f>[1]Results!BB1600</f>
        <v>903673.54980000004</v>
      </c>
      <c r="AZ263" s="6">
        <f>[1]Results!BC1600</f>
        <v>915277.40650000004</v>
      </c>
      <c r="BA263" s="6">
        <f>[1]Results!BD1600</f>
        <v>926973.02309999999</v>
      </c>
      <c r="BB263" s="6">
        <f>[1]Results!BE1600</f>
        <v>938777.83400000003</v>
      </c>
      <c r="BC263" s="6">
        <f>[1]Results!BF1600</f>
        <v>950687.35250000004</v>
      </c>
      <c r="BD263" s="6">
        <f>[1]Results!BG1600</f>
        <v>962700.44990000001</v>
      </c>
      <c r="BE263" s="6">
        <f>[1]Results!BH1600</f>
        <v>974818.3273</v>
      </c>
      <c r="BF263" s="6">
        <f>[1]Results!BI1600</f>
        <v>987043.59869999997</v>
      </c>
    </row>
    <row r="264" spans="1:58" x14ac:dyDescent="0.35">
      <c r="A264" t="s">
        <v>39</v>
      </c>
      <c r="B264" t="s">
        <v>7</v>
      </c>
      <c r="C264" s="6">
        <f>[1]Results!F1601</f>
        <v>4438.7092309999998</v>
      </c>
      <c r="D264" s="6">
        <f>[1]Results!G1601</f>
        <v>4411.3633149999996</v>
      </c>
      <c r="E264" s="6">
        <f>[1]Results!H1601</f>
        <v>4411.8740429999998</v>
      </c>
      <c r="F264" s="6">
        <f>[1]Results!I1601</f>
        <v>4430.5666760000004</v>
      </c>
      <c r="G264" s="6">
        <f>[1]Results!J1601</f>
        <v>4461.5789720000002</v>
      </c>
      <c r="H264" s="6">
        <f>[1]Results!K1601</f>
        <v>4501.9947490000004</v>
      </c>
      <c r="I264" s="6">
        <f>[1]Results!L1601</f>
        <v>4548.2338220000001</v>
      </c>
      <c r="J264" s="6">
        <f>[1]Results!M1601</f>
        <v>4599.5480459999999</v>
      </c>
      <c r="K264" s="6">
        <f>[1]Results!N1601</f>
        <v>4655.4074289999999</v>
      </c>
      <c r="L264" s="6">
        <f>[1]Results!O1601</f>
        <v>4715.3222599999999</v>
      </c>
      <c r="M264" s="6">
        <f>[1]Results!P1601</f>
        <v>4781.9522509999997</v>
      </c>
      <c r="N264" s="6">
        <f>[1]Results!Q1601</f>
        <v>4850.8198970000003</v>
      </c>
      <c r="O264" s="6">
        <f>[1]Results!R1601</f>
        <v>4921.7710550000002</v>
      </c>
      <c r="P264" s="6">
        <f>[1]Results!S1601</f>
        <v>4994.7176319999999</v>
      </c>
      <c r="Q264" s="6">
        <f>[1]Results!T1601</f>
        <v>5069.5362560000003</v>
      </c>
      <c r="R264" s="6">
        <f>[1]Results!U1601</f>
        <v>5146.1212189999997</v>
      </c>
      <c r="S264" s="6">
        <f>[1]Results!V1601</f>
        <v>5224.0824380000004</v>
      </c>
      <c r="T264" s="6">
        <f>[1]Results!W1601</f>
        <v>5303.5506109999997</v>
      </c>
      <c r="U264" s="6">
        <f>[1]Results!X1601</f>
        <v>5384.5863890000001</v>
      </c>
      <c r="V264" s="6">
        <f>[1]Results!Y1601</f>
        <v>5467.2283639999996</v>
      </c>
      <c r="W264" s="6">
        <f>[1]Results!Z1601</f>
        <v>5549.2044509999996</v>
      </c>
      <c r="X264" s="6">
        <f>[1]Results!AA1601</f>
        <v>5633.2888899999998</v>
      </c>
      <c r="Y264" s="6">
        <f>[1]Results!AB1601</f>
        <v>5719.4760930000002</v>
      </c>
      <c r="Z264" s="6">
        <f>[1]Results!AC1601</f>
        <v>5807.6805770000001</v>
      </c>
      <c r="AA264" s="6">
        <f>[1]Results!AD1601</f>
        <v>5897.8534540000001</v>
      </c>
      <c r="AB264" s="6">
        <f>[1]Results!AE1601</f>
        <v>5983.308841</v>
      </c>
      <c r="AC264" s="6">
        <f>[1]Results!AF1601</f>
        <v>6068.906105</v>
      </c>
      <c r="AD264" s="6">
        <f>[1]Results!AG1601</f>
        <v>6155.0474240000003</v>
      </c>
      <c r="AE264" s="6">
        <f>[1]Results!AH1601</f>
        <v>6241.9407730000003</v>
      </c>
      <c r="AF264" s="6">
        <f>[1]Results!AI1601</f>
        <v>6329.8008950000003</v>
      </c>
      <c r="AG264" s="6">
        <f>[1]Results!AJ1601</f>
        <v>6418.8257020000001</v>
      </c>
      <c r="AH264" s="6">
        <f>[1]Results!AK1601</f>
        <v>6509.2507830000004</v>
      </c>
      <c r="AI264" s="6">
        <f>[1]Results!AL1601</f>
        <v>6601.1499389999999</v>
      </c>
      <c r="AJ264" s="6">
        <f>[1]Results!AM1601</f>
        <v>6694.5787360000004</v>
      </c>
      <c r="AK264" s="6">
        <f>[1]Results!AN1601</f>
        <v>6789.5684469999997</v>
      </c>
      <c r="AL264" s="6">
        <f>[1]Results!AO1601</f>
        <v>6886.1316029999998</v>
      </c>
      <c r="AM264" s="6">
        <f>[1]Results!AP1601</f>
        <v>6983.3458339999997</v>
      </c>
      <c r="AN264" s="6">
        <f>[1]Results!AQ1601</f>
        <v>7081.1352429999997</v>
      </c>
      <c r="AO264" s="6">
        <f>[1]Results!AR1601</f>
        <v>7179.6311439999999</v>
      </c>
      <c r="AP264" s="6">
        <f>[1]Results!AS1601</f>
        <v>7278.9724889999998</v>
      </c>
      <c r="AQ264" s="6">
        <f>[1]Results!AT1601</f>
        <v>7379.2914730000002</v>
      </c>
      <c r="AR264" s="6">
        <f>[1]Results!AU1601</f>
        <v>7480.8225380000003</v>
      </c>
      <c r="AS264" s="6">
        <f>[1]Results!AV1601</f>
        <v>7583.6135940000004</v>
      </c>
      <c r="AT264" s="6">
        <f>[1]Results!AW1601</f>
        <v>7687.7277340000001</v>
      </c>
      <c r="AU264" s="6">
        <f>[1]Results!AX1601</f>
        <v>7793.2199460000002</v>
      </c>
      <c r="AV264" s="6">
        <f>[1]Results!AY1601</f>
        <v>7900.1331140000002</v>
      </c>
      <c r="AW264" s="6">
        <f>[1]Results!AZ1601</f>
        <v>8009.039291</v>
      </c>
      <c r="AX264" s="6">
        <f>[1]Results!BA1601</f>
        <v>8119.7394880000002</v>
      </c>
      <c r="AY264" s="6">
        <f>[1]Results!BB1601</f>
        <v>8232.1473050000004</v>
      </c>
      <c r="AZ264" s="6">
        <f>[1]Results!BC1601</f>
        <v>8346.2160590000003</v>
      </c>
      <c r="BA264" s="6">
        <f>[1]Results!BD1601</f>
        <v>8461.9178690000008</v>
      </c>
      <c r="BB264" s="6">
        <f>[1]Results!BE1601</f>
        <v>8579.4864180000004</v>
      </c>
      <c r="BC264" s="6">
        <f>[1]Results!BF1601</f>
        <v>8698.7885640000004</v>
      </c>
      <c r="BD264" s="6">
        <f>[1]Results!BG1601</f>
        <v>8819.7741970000006</v>
      </c>
      <c r="BE264" s="6">
        <f>[1]Results!BH1601</f>
        <v>8942.4229410000007</v>
      </c>
      <c r="BF264" s="6">
        <f>[1]Results!BI1601</f>
        <v>9066.7302729999992</v>
      </c>
    </row>
    <row r="265" spans="1:58" x14ac:dyDescent="0.35">
      <c r="B265" t="s">
        <v>30</v>
      </c>
      <c r="C265" s="6">
        <f>[1]Results!F1604</f>
        <v>234878.14540000001</v>
      </c>
      <c r="D265" s="6">
        <f>[1]Results!G1604</f>
        <v>234852.84099999999</v>
      </c>
      <c r="E265" s="6">
        <f>[1]Results!H1604</f>
        <v>236279.05480000001</v>
      </c>
      <c r="F265" s="6">
        <f>[1]Results!I1604</f>
        <v>238514.94279999999</v>
      </c>
      <c r="G265" s="6">
        <f>[1]Results!J1604</f>
        <v>241200.99189999999</v>
      </c>
      <c r="H265" s="6">
        <f>[1]Results!K1604</f>
        <v>244164.42180000001</v>
      </c>
      <c r="I265" s="6">
        <f>[1]Results!L1604</f>
        <v>247236.32459999999</v>
      </c>
      <c r="J265" s="6">
        <f>[1]Results!M1604</f>
        <v>250397.02660000001</v>
      </c>
      <c r="K265" s="6">
        <f>[1]Results!N1604</f>
        <v>253647.8279</v>
      </c>
      <c r="L265" s="6">
        <f>[1]Results!O1604</f>
        <v>256995.44</v>
      </c>
      <c r="M265" s="6">
        <f>[1]Results!P1604</f>
        <v>260592.4509</v>
      </c>
      <c r="N265" s="6">
        <f>[1]Results!Q1604</f>
        <v>264260.20929999999</v>
      </c>
      <c r="O265" s="6">
        <f>[1]Results!R1604</f>
        <v>268010.8468</v>
      </c>
      <c r="P265" s="6">
        <f>[1]Results!S1604</f>
        <v>271856.80739999999</v>
      </c>
      <c r="Q265" s="6">
        <f>[1]Results!T1604</f>
        <v>275806.30320000002</v>
      </c>
      <c r="R265" s="6">
        <f>[1]Results!U1604</f>
        <v>279865.36170000001</v>
      </c>
      <c r="S265" s="6">
        <f>[1]Results!V1604</f>
        <v>284025.94429999997</v>
      </c>
      <c r="T265" s="6">
        <f>[1]Results!W1604</f>
        <v>288298.6102</v>
      </c>
      <c r="U265" s="6">
        <f>[1]Results!X1604</f>
        <v>292691.01040000003</v>
      </c>
      <c r="V265" s="6">
        <f>[1]Results!Y1604</f>
        <v>297208.93790000002</v>
      </c>
      <c r="W265" s="6">
        <f>[1]Results!Z1604</f>
        <v>301750.03220000002</v>
      </c>
      <c r="X265" s="6">
        <f>[1]Results!AA1604</f>
        <v>306442.44040000002</v>
      </c>
      <c r="Y265" s="6">
        <f>[1]Results!AB1604</f>
        <v>311287.01250000001</v>
      </c>
      <c r="Z265" s="6">
        <f>[1]Results!AC1604</f>
        <v>316280.8431</v>
      </c>
      <c r="AA265" s="6">
        <f>[1]Results!AD1604</f>
        <v>321421.96429999999</v>
      </c>
      <c r="AB265" s="6">
        <f>[1]Results!AE1604</f>
        <v>326400.55829999998</v>
      </c>
      <c r="AC265" s="6">
        <f>[1]Results!AF1604</f>
        <v>331430.82900000003</v>
      </c>
      <c r="AD265" s="6">
        <f>[1]Results!AG1604</f>
        <v>336525.31599999999</v>
      </c>
      <c r="AE265" s="6">
        <f>[1]Results!AH1604</f>
        <v>341686.89299999998</v>
      </c>
      <c r="AF265" s="6">
        <f>[1]Results!AI1604</f>
        <v>346917.49849999999</v>
      </c>
      <c r="AG265" s="6">
        <f>[1]Results!AJ1604</f>
        <v>352218.45059999998</v>
      </c>
      <c r="AH265" s="6">
        <f>[1]Results!AK1604</f>
        <v>357593.17070000002</v>
      </c>
      <c r="AI265" s="6">
        <f>[1]Results!AL1604</f>
        <v>363039.76069999998</v>
      </c>
      <c r="AJ265" s="6">
        <f>[1]Results!AM1604</f>
        <v>368555.79369999998</v>
      </c>
      <c r="AK265" s="6">
        <f>[1]Results!AN1604</f>
        <v>374138.2426</v>
      </c>
      <c r="AL265" s="6">
        <f>[1]Results!AO1604</f>
        <v>379783.57990000001</v>
      </c>
      <c r="AM265" s="6">
        <f>[1]Results!AP1604</f>
        <v>385439.91690000001</v>
      </c>
      <c r="AN265" s="6">
        <f>[1]Results!AQ1604</f>
        <v>391102.83140000002</v>
      </c>
      <c r="AO265" s="6">
        <f>[1]Results!AR1604</f>
        <v>396772.67540000001</v>
      </c>
      <c r="AP265" s="6">
        <f>[1]Results!AS1604</f>
        <v>402450.06209999998</v>
      </c>
      <c r="AQ265" s="6">
        <f>[1]Results!AT1604</f>
        <v>408135.44579999999</v>
      </c>
      <c r="AR265" s="6">
        <f>[1]Results!AU1604</f>
        <v>413833.49589999998</v>
      </c>
      <c r="AS265" s="6">
        <f>[1]Results!AV1604</f>
        <v>419542.86009999999</v>
      </c>
      <c r="AT265" s="6">
        <f>[1]Results!AW1604</f>
        <v>425262.84370000003</v>
      </c>
      <c r="AU265" s="6">
        <f>[1]Results!AX1604</f>
        <v>430993.06589999999</v>
      </c>
      <c r="AV265" s="6">
        <f>[1]Results!AY1604</f>
        <v>436733.27020000003</v>
      </c>
      <c r="AW265" s="6">
        <f>[1]Results!AZ1604</f>
        <v>442504.74190000002</v>
      </c>
      <c r="AX265" s="6">
        <f>[1]Results!BA1604</f>
        <v>448301.04680000001</v>
      </c>
      <c r="AY265" s="6">
        <f>[1]Results!BB1604</f>
        <v>454118.47720000002</v>
      </c>
      <c r="AZ265" s="6">
        <f>[1]Results!BC1604</f>
        <v>459955.2721</v>
      </c>
      <c r="BA265" s="6">
        <f>[1]Results!BD1604</f>
        <v>465810.8665</v>
      </c>
      <c r="BB265" s="6">
        <f>[1]Results!BE1604</f>
        <v>471694.76360000001</v>
      </c>
      <c r="BC265" s="6">
        <f>[1]Results!BF1604</f>
        <v>477604.46779999998</v>
      </c>
      <c r="BD265" s="6">
        <f>[1]Results!BG1604</f>
        <v>483539.5857</v>
      </c>
      <c r="BE265" s="6">
        <f>[1]Results!BH1604</f>
        <v>489501.07909999997</v>
      </c>
      <c r="BF265" s="6">
        <f>[1]Results!BI1604</f>
        <v>495490.76189999998</v>
      </c>
    </row>
    <row r="266" spans="1:58" x14ac:dyDescent="0.35">
      <c r="B266" t="s">
        <v>28</v>
      </c>
      <c r="C266" s="6">
        <f>[1]Results!F1616</f>
        <v>8010.900963</v>
      </c>
      <c r="D266" s="6">
        <f>[1]Results!G1616</f>
        <v>7924.3434850000003</v>
      </c>
      <c r="E266" s="6">
        <f>[1]Results!H1616</f>
        <v>7945.9457920000004</v>
      </c>
      <c r="F266" s="6">
        <f>[1]Results!I1616</f>
        <v>8013.5965759999999</v>
      </c>
      <c r="G266" s="6">
        <f>[1]Results!J1616</f>
        <v>8101.7327089999999</v>
      </c>
      <c r="H266" s="6">
        <f>[1]Results!K1616</f>
        <v>8200.9047790000004</v>
      </c>
      <c r="I266" s="6">
        <f>[1]Results!L1616</f>
        <v>8303.0700259999994</v>
      </c>
      <c r="J266" s="6">
        <f>[1]Results!M1616</f>
        <v>8408.3521820000005</v>
      </c>
      <c r="K266" s="6">
        <f>[1]Results!N1616</f>
        <v>8516.6804649999995</v>
      </c>
      <c r="L266" s="6">
        <f>[1]Results!O1616</f>
        <v>8627.8133949999992</v>
      </c>
      <c r="M266" s="6">
        <f>[1]Results!P1616</f>
        <v>8748.4374690000004</v>
      </c>
      <c r="N266" s="6">
        <f>[1]Results!Q1616</f>
        <v>8867.3704390000003</v>
      </c>
      <c r="O266" s="6">
        <f>[1]Results!R1616</f>
        <v>8986.4487079999999</v>
      </c>
      <c r="P266" s="6">
        <f>[1]Results!S1616</f>
        <v>9106.4530489999997</v>
      </c>
      <c r="Q266" s="6">
        <f>[1]Results!T1616</f>
        <v>9227.6309089999995</v>
      </c>
      <c r="R266" s="6">
        <f>[1]Results!U1616</f>
        <v>9350.0840669999998</v>
      </c>
      <c r="S266" s="6">
        <f>[1]Results!V1616</f>
        <v>9473.1020549999994</v>
      </c>
      <c r="T266" s="6">
        <f>[1]Results!W1616</f>
        <v>9597.2738890000001</v>
      </c>
      <c r="U266" s="6">
        <f>[1]Results!X1616</f>
        <v>9722.9244529999996</v>
      </c>
      <c r="V266" s="6">
        <f>[1]Results!Y1616</f>
        <v>9850.2702140000001</v>
      </c>
      <c r="W266" s="6">
        <f>[1]Results!Z1616</f>
        <v>9974.3831109999992</v>
      </c>
      <c r="X266" s="6">
        <f>[1]Results!AA1616</f>
        <v>10102.8053</v>
      </c>
      <c r="Y266" s="6">
        <f>[1]Results!AB1616</f>
        <v>10234.50411</v>
      </c>
      <c r="Z266" s="6">
        <f>[1]Results!AC1616</f>
        <v>10369.03961</v>
      </c>
      <c r="AA266" s="6">
        <f>[1]Results!AD1616</f>
        <v>10506.30696</v>
      </c>
      <c r="AB266" s="6">
        <f>[1]Results!AE1616</f>
        <v>10631.672759999999</v>
      </c>
      <c r="AC266" s="6">
        <f>[1]Results!AF1616</f>
        <v>10759.66864</v>
      </c>
      <c r="AD266" s="6">
        <f>[1]Results!AG1616</f>
        <v>10889.78494</v>
      </c>
      <c r="AE266" s="6">
        <f>[1]Results!AH1616</f>
        <v>11021.81734</v>
      </c>
      <c r="AF266" s="6">
        <f>[1]Results!AI1616</f>
        <v>11155.857739999999</v>
      </c>
      <c r="AG266" s="6">
        <f>[1]Results!AJ1616</f>
        <v>11292.07501</v>
      </c>
      <c r="AH266" s="6">
        <f>[1]Results!AK1616</f>
        <v>11430.80528</v>
      </c>
      <c r="AI266" s="6">
        <f>[1]Results!AL1616</f>
        <v>11572.05717</v>
      </c>
      <c r="AJ266" s="6">
        <f>[1]Results!AM1616</f>
        <v>11715.856250000001</v>
      </c>
      <c r="AK266" s="6">
        <f>[1]Results!AN1616</f>
        <v>11862.216560000001</v>
      </c>
      <c r="AL266" s="6">
        <f>[1]Results!AO1616</f>
        <v>12011.134599999999</v>
      </c>
      <c r="AM266" s="6">
        <f>[1]Results!AP1616</f>
        <v>12160.67992</v>
      </c>
      <c r="AN266" s="6">
        <f>[1]Results!AQ1616</f>
        <v>12311.402770000001</v>
      </c>
      <c r="AO266" s="6">
        <f>[1]Results!AR1616</f>
        <v>12463.64</v>
      </c>
      <c r="AP266" s="6">
        <f>[1]Results!AS1616</f>
        <v>12617.58833</v>
      </c>
      <c r="AQ266" s="6">
        <f>[1]Results!AT1616</f>
        <v>12773.387419999999</v>
      </c>
      <c r="AR266" s="6">
        <f>[1]Results!AU1616</f>
        <v>12931.406559999999</v>
      </c>
      <c r="AS266" s="6">
        <f>[1]Results!AV1616</f>
        <v>13091.59339</v>
      </c>
      <c r="AT266" s="6">
        <f>[1]Results!AW1616</f>
        <v>13253.96227</v>
      </c>
      <c r="AU266" s="6">
        <f>[1]Results!AX1616</f>
        <v>13418.545480000001</v>
      </c>
      <c r="AV266" s="6">
        <f>[1]Results!AY1616</f>
        <v>13585.372719999999</v>
      </c>
      <c r="AW266" s="6">
        <f>[1]Results!AZ1616</f>
        <v>13755.65783</v>
      </c>
      <c r="AX266" s="6">
        <f>[1]Results!BA1616</f>
        <v>13928.79543</v>
      </c>
      <c r="AY266" s="6">
        <f>[1]Results!BB1616</f>
        <v>14104.53448</v>
      </c>
      <c r="AZ266" s="6">
        <f>[1]Results!BC1616</f>
        <v>14282.77824</v>
      </c>
      <c r="BA266" s="6">
        <f>[1]Results!BD1616</f>
        <v>14463.48813</v>
      </c>
      <c r="BB266" s="6">
        <f>[1]Results!BE1616</f>
        <v>14647.20024</v>
      </c>
      <c r="BC266" s="6">
        <f>[1]Results!BF1616</f>
        <v>14833.61073</v>
      </c>
      <c r="BD266" s="6">
        <f>[1]Results!BG1616</f>
        <v>15022.606320000001</v>
      </c>
      <c r="BE266" s="6">
        <f>[1]Results!BH1616</f>
        <v>15214.15763</v>
      </c>
      <c r="BF266" s="6">
        <f>[1]Results!BI1616</f>
        <v>15408.26945</v>
      </c>
    </row>
    <row r="267" spans="1:58" x14ac:dyDescent="0.35">
      <c r="B267" t="s">
        <v>10</v>
      </c>
      <c r="C267" s="6">
        <f>[1]Results!F1621</f>
        <v>219590.54819999999</v>
      </c>
      <c r="D267" s="6">
        <f>[1]Results!G1621</f>
        <v>220118.0349</v>
      </c>
      <c r="E267" s="6">
        <f>[1]Results!H1621</f>
        <v>221546.36290000001</v>
      </c>
      <c r="F267" s="6">
        <f>[1]Results!I1621</f>
        <v>223632.23120000001</v>
      </c>
      <c r="G267" s="6">
        <f>[1]Results!J1621</f>
        <v>226144.96280000001</v>
      </c>
      <c r="H267" s="6">
        <f>[1]Results!K1621</f>
        <v>228961.79240000001</v>
      </c>
      <c r="I267" s="6">
        <f>[1]Results!L1621</f>
        <v>231917.42980000001</v>
      </c>
      <c r="J267" s="6">
        <f>[1]Results!M1621</f>
        <v>235007.65849999999</v>
      </c>
      <c r="K267" s="6">
        <f>[1]Results!N1621</f>
        <v>238231.45800000001</v>
      </c>
      <c r="L267" s="6">
        <f>[1]Results!O1621</f>
        <v>241584.69399999999</v>
      </c>
      <c r="M267" s="6">
        <f>[1]Results!P1621</f>
        <v>245235.22409999999</v>
      </c>
      <c r="N267" s="6">
        <f>[1]Results!Q1621</f>
        <v>248941.67689999999</v>
      </c>
      <c r="O267" s="6">
        <f>[1]Results!R1621</f>
        <v>252716.677</v>
      </c>
      <c r="P267" s="6">
        <f>[1]Results!S1621</f>
        <v>256568.72440000001</v>
      </c>
      <c r="Q267" s="6">
        <f>[1]Results!T1621</f>
        <v>260499.47649999999</v>
      </c>
      <c r="R267" s="6">
        <f>[1]Results!U1621</f>
        <v>264508.55650000001</v>
      </c>
      <c r="S267" s="6">
        <f>[1]Results!V1621</f>
        <v>268586.3702</v>
      </c>
      <c r="T267" s="6">
        <f>[1]Results!W1621</f>
        <v>272736.61709999997</v>
      </c>
      <c r="U267" s="6">
        <f>[1]Results!X1621</f>
        <v>276962.0661</v>
      </c>
      <c r="V267" s="6">
        <f>[1]Results!Y1621</f>
        <v>281264.5209</v>
      </c>
      <c r="W267" s="6">
        <f>[1]Results!Z1621</f>
        <v>285515.96010000003</v>
      </c>
      <c r="X267" s="6">
        <f>[1]Results!AA1621</f>
        <v>289883.31280000001</v>
      </c>
      <c r="Y267" s="6">
        <f>[1]Results!AB1621</f>
        <v>294354.82520000002</v>
      </c>
      <c r="Z267" s="6">
        <f>[1]Results!AC1621</f>
        <v>298921.03419999999</v>
      </c>
      <c r="AA267" s="6">
        <f>[1]Results!AD1621</f>
        <v>303577.28749999998</v>
      </c>
      <c r="AB267" s="6">
        <f>[1]Results!AE1621</f>
        <v>307946.96169999999</v>
      </c>
      <c r="AC267" s="6">
        <f>[1]Results!AF1621</f>
        <v>312334.55609999999</v>
      </c>
      <c r="AD267" s="6">
        <f>[1]Results!AG1621</f>
        <v>316750.36339999997</v>
      </c>
      <c r="AE267" s="6">
        <f>[1]Results!AH1621</f>
        <v>321197.2586</v>
      </c>
      <c r="AF267" s="6">
        <f>[1]Results!AI1621</f>
        <v>325680.90999999997</v>
      </c>
      <c r="AG267" s="6">
        <f>[1]Results!AJ1621</f>
        <v>330207.58899999998</v>
      </c>
      <c r="AH267" s="6">
        <f>[1]Results!AK1621</f>
        <v>334784.7769</v>
      </c>
      <c r="AI267" s="6">
        <f>[1]Results!AL1621</f>
        <v>339415.61459999997</v>
      </c>
      <c r="AJ267" s="6">
        <f>[1]Results!AM1621</f>
        <v>344102.09659999999</v>
      </c>
      <c r="AK267" s="6">
        <f>[1]Results!AN1621</f>
        <v>348845.33490000002</v>
      </c>
      <c r="AL267" s="6">
        <f>[1]Results!AO1621</f>
        <v>353645.81800000003</v>
      </c>
      <c r="AM267" s="6">
        <f>[1]Results!AP1621</f>
        <v>358431.8934</v>
      </c>
      <c r="AN267" s="6">
        <f>[1]Results!AQ1621</f>
        <v>363221.85649999999</v>
      </c>
      <c r="AO267" s="6">
        <f>[1]Results!AR1621</f>
        <v>368028.34960000002</v>
      </c>
      <c r="AP267" s="6">
        <f>[1]Results!AS1621</f>
        <v>372859.77289999998</v>
      </c>
      <c r="AQ267" s="6">
        <f>[1]Results!AT1621</f>
        <v>377722.73959999997</v>
      </c>
      <c r="AR267" s="6">
        <f>[1]Results!AU1621</f>
        <v>382626.00449999998</v>
      </c>
      <c r="AS267" s="6">
        <f>[1]Results!AV1621</f>
        <v>387573.48489999998</v>
      </c>
      <c r="AT267" s="6">
        <f>[1]Results!AW1621</f>
        <v>392568.6862</v>
      </c>
      <c r="AU267" s="6">
        <f>[1]Results!AX1621</f>
        <v>397614.67719999998</v>
      </c>
      <c r="AV267" s="6">
        <f>[1]Results!AY1621</f>
        <v>402714.02769999998</v>
      </c>
      <c r="AW267" s="6">
        <f>[1]Results!AZ1621</f>
        <v>407887.48330000002</v>
      </c>
      <c r="AX267" s="6">
        <f>[1]Results!BA1621</f>
        <v>413131.09519999998</v>
      </c>
      <c r="AY267" s="6">
        <f>[1]Results!BB1621</f>
        <v>418442.58610000001</v>
      </c>
      <c r="AZ267" s="6">
        <f>[1]Results!BC1621</f>
        <v>423821.17839999998</v>
      </c>
      <c r="BA267" s="6">
        <f>[1]Results!BD1621</f>
        <v>429266.86180000001</v>
      </c>
      <c r="BB267" s="6">
        <f>[1]Results!BE1621</f>
        <v>434786.6153</v>
      </c>
      <c r="BC267" s="6">
        <f>[1]Results!BF1621</f>
        <v>440378.99939999997</v>
      </c>
      <c r="BD267" s="6">
        <f>[1]Results!BG1621</f>
        <v>446043.50790000003</v>
      </c>
      <c r="BE267" s="6">
        <f>[1]Results!BH1621</f>
        <v>451780.46750000003</v>
      </c>
      <c r="BF267" s="6">
        <f>[1]Results!BI1621</f>
        <v>457590.69929999998</v>
      </c>
    </row>
    <row r="268" spans="1:58" x14ac:dyDescent="0.35">
      <c r="B268" t="s">
        <v>31</v>
      </c>
      <c r="C268" s="6">
        <f>[1]Results!F1624</f>
        <v>2249.586311</v>
      </c>
      <c r="D268" s="6">
        <f>[1]Results!G1624</f>
        <v>2227.3441290000001</v>
      </c>
      <c r="E268" s="6">
        <f>[1]Results!H1624</f>
        <v>2219.7347770000001</v>
      </c>
      <c r="F268" s="6">
        <f>[1]Results!I1624</f>
        <v>2220.53487</v>
      </c>
      <c r="G268" s="6">
        <f>[1]Results!J1624</f>
        <v>2226.3690069999998</v>
      </c>
      <c r="H268" s="6">
        <f>[1]Results!K1624</f>
        <v>2236.0146850000001</v>
      </c>
      <c r="I268" s="6">
        <f>[1]Results!L1624</f>
        <v>2247.9619929999999</v>
      </c>
      <c r="J268" s="6">
        <f>[1]Results!M1624</f>
        <v>2262.0881049999998</v>
      </c>
      <c r="K268" s="6">
        <f>[1]Results!N1624</f>
        <v>2278.205449</v>
      </c>
      <c r="L268" s="6">
        <f>[1]Results!O1624</f>
        <v>2296.0748020000001</v>
      </c>
      <c r="M268" s="6">
        <f>[1]Results!P1624</f>
        <v>2316.908257</v>
      </c>
      <c r="N268" s="6">
        <f>[1]Results!Q1624</f>
        <v>2338.3722600000001</v>
      </c>
      <c r="O268" s="6">
        <f>[1]Results!R1624</f>
        <v>2360.5823820000001</v>
      </c>
      <c r="P268" s="6">
        <f>[1]Results!S1624</f>
        <v>2383.586937</v>
      </c>
      <c r="Q268" s="6">
        <f>[1]Results!T1624</f>
        <v>2407.3467409999998</v>
      </c>
      <c r="R268" s="6">
        <f>[1]Results!U1624</f>
        <v>2431.7972359999999</v>
      </c>
      <c r="S268" s="6">
        <f>[1]Results!V1624</f>
        <v>2456.7070140000001</v>
      </c>
      <c r="T268" s="6">
        <f>[1]Results!W1624</f>
        <v>2482.1133679999998</v>
      </c>
      <c r="U268" s="6">
        <f>[1]Results!X1624</f>
        <v>2508.023377</v>
      </c>
      <c r="V268" s="6">
        <f>[1]Results!Y1624</f>
        <v>2534.429639</v>
      </c>
      <c r="W268" s="6">
        <f>[1]Results!Z1624</f>
        <v>2560.2838929999998</v>
      </c>
      <c r="X268" s="6">
        <f>[1]Results!AA1624</f>
        <v>2586.9856599999998</v>
      </c>
      <c r="Y268" s="6">
        <f>[1]Results!AB1624</f>
        <v>2614.385436</v>
      </c>
      <c r="Z268" s="6">
        <f>[1]Results!AC1624</f>
        <v>2642.3764160000001</v>
      </c>
      <c r="AA268" s="6">
        <f>[1]Results!AD1624</f>
        <v>2670.9177639999998</v>
      </c>
      <c r="AB268" s="6">
        <f>[1]Results!AE1624</f>
        <v>2697.0334600000001</v>
      </c>
      <c r="AC268" s="6">
        <f>[1]Results!AF1624</f>
        <v>2723.3856970000002</v>
      </c>
      <c r="AD268" s="6">
        <f>[1]Results!AG1624</f>
        <v>2749.9972299999999</v>
      </c>
      <c r="AE268" s="6">
        <f>[1]Results!AH1624</f>
        <v>2776.8342090000001</v>
      </c>
      <c r="AF268" s="6">
        <f>[1]Results!AI1624</f>
        <v>2803.9152199999999</v>
      </c>
      <c r="AG268" s="6">
        <f>[1]Results!AJ1624</f>
        <v>2831.2801220000001</v>
      </c>
      <c r="AH268" s="6">
        <f>[1]Results!AK1624</f>
        <v>2859.0097580000001</v>
      </c>
      <c r="AI268" s="6">
        <f>[1]Results!AL1624</f>
        <v>2887.1244449999999</v>
      </c>
      <c r="AJ268" s="6">
        <f>[1]Results!AM1624</f>
        <v>2915.6468100000002</v>
      </c>
      <c r="AK268" s="6">
        <f>[1]Results!AN1624</f>
        <v>2944.5977520000001</v>
      </c>
      <c r="AL268" s="6">
        <f>[1]Results!AO1624</f>
        <v>2973.9939989999998</v>
      </c>
      <c r="AM268" s="6">
        <f>[1]Results!AP1624</f>
        <v>3003.478161</v>
      </c>
      <c r="AN268" s="6">
        <f>[1]Results!AQ1624</f>
        <v>3033.135374</v>
      </c>
      <c r="AO268" s="6">
        <f>[1]Results!AR1624</f>
        <v>3063.0344329999998</v>
      </c>
      <c r="AP268" s="6">
        <f>[1]Results!AS1624</f>
        <v>3093.2190719999999</v>
      </c>
      <c r="AQ268" s="6">
        <f>[1]Results!AT1624</f>
        <v>3123.721008</v>
      </c>
      <c r="AR268" s="6">
        <f>[1]Results!AU1624</f>
        <v>3154.6187129999998</v>
      </c>
      <c r="AS268" s="6">
        <f>[1]Results!AV1624</f>
        <v>3185.9086569999999</v>
      </c>
      <c r="AT268" s="6">
        <f>[1]Results!AW1624</f>
        <v>3217.5961109999998</v>
      </c>
      <c r="AU268" s="6">
        <f>[1]Results!AX1624</f>
        <v>3249.689856</v>
      </c>
      <c r="AV268" s="6">
        <f>[1]Results!AY1624</f>
        <v>3282.1979580000002</v>
      </c>
      <c r="AW268" s="6">
        <f>[1]Results!AZ1624</f>
        <v>3315.366599</v>
      </c>
      <c r="AX268" s="6">
        <f>[1]Results!BA1624</f>
        <v>3349.0946589999999</v>
      </c>
      <c r="AY268" s="6">
        <f>[1]Results!BB1624</f>
        <v>3383.330504</v>
      </c>
      <c r="AZ268" s="6">
        <f>[1]Results!BC1624</f>
        <v>3418.0520019999999</v>
      </c>
      <c r="BA268" s="6">
        <f>[1]Results!BD1624</f>
        <v>3453.248055</v>
      </c>
      <c r="BB268" s="6">
        <f>[1]Results!BE1624</f>
        <v>3489.0220650000001</v>
      </c>
      <c r="BC268" s="6">
        <f>[1]Results!BF1624</f>
        <v>3525.3165779999999</v>
      </c>
      <c r="BD268" s="6">
        <f>[1]Results!BG1624</f>
        <v>3562.101936</v>
      </c>
      <c r="BE268" s="6">
        <f>[1]Results!BH1624</f>
        <v>3599.3647839999999</v>
      </c>
      <c r="BF268" s="6">
        <f>[1]Results!BI1624</f>
        <v>3637.0985540000001</v>
      </c>
    </row>
    <row r="269" spans="1:58" x14ac:dyDescent="0.35">
      <c r="B269" t="s">
        <v>33</v>
      </c>
      <c r="C269" s="6">
        <f>[1]Results!F1629</f>
        <v>3646.6350779999998</v>
      </c>
      <c r="D269" s="6">
        <f>[1]Results!G1629</f>
        <v>3642.5235990000001</v>
      </c>
      <c r="E269" s="6">
        <f>[1]Results!H1629</f>
        <v>3644.3435760000002</v>
      </c>
      <c r="F269" s="6">
        <f>[1]Results!I1629</f>
        <v>3650.9525509999999</v>
      </c>
      <c r="G269" s="6">
        <f>[1]Results!J1629</f>
        <v>3662.217208</v>
      </c>
      <c r="H269" s="6">
        <f>[1]Results!K1629</f>
        <v>3678.27142</v>
      </c>
      <c r="I269" s="6">
        <f>[1]Results!L1629</f>
        <v>3697.5821219999998</v>
      </c>
      <c r="J269" s="6">
        <f>[1]Results!M1629</f>
        <v>3719.9455379999999</v>
      </c>
      <c r="K269" s="6">
        <f>[1]Results!N1629</f>
        <v>3745.0828430000001</v>
      </c>
      <c r="L269" s="6">
        <f>[1]Results!O1629</f>
        <v>3772.563995</v>
      </c>
      <c r="M269" s="6">
        <f>[1]Results!P1629</f>
        <v>3804.2025090000002</v>
      </c>
      <c r="N269" s="6">
        <f>[1]Results!Q1629</f>
        <v>3836.6217929999998</v>
      </c>
      <c r="O269" s="6">
        <f>[1]Results!R1629</f>
        <v>3869.5260410000001</v>
      </c>
      <c r="P269" s="6">
        <f>[1]Results!S1629</f>
        <v>3902.9151510000002</v>
      </c>
      <c r="Q269" s="6">
        <f>[1]Results!T1629</f>
        <v>3936.7617540000001</v>
      </c>
      <c r="R269" s="6">
        <f>[1]Results!U1629</f>
        <v>3971.0187799999999</v>
      </c>
      <c r="S269" s="6">
        <f>[1]Results!V1629</f>
        <v>4005.456467</v>
      </c>
      <c r="T269" s="6">
        <f>[1]Results!W1629</f>
        <v>4040.1327799999999</v>
      </c>
      <c r="U269" s="6">
        <f>[1]Results!X1629</f>
        <v>4075.1122059999998</v>
      </c>
      <c r="V269" s="6">
        <f>[1]Results!Y1629</f>
        <v>4110.4653950000002</v>
      </c>
      <c r="W269" s="6">
        <f>[1]Results!Z1629</f>
        <v>4144.6403399999999</v>
      </c>
      <c r="X269" s="6">
        <f>[1]Results!AA1629</f>
        <v>4179.7309759999998</v>
      </c>
      <c r="Y269" s="6">
        <f>[1]Results!AB1629</f>
        <v>4215.85286</v>
      </c>
      <c r="Z269" s="6">
        <f>[1]Results!AC1629</f>
        <v>4252.9534759999997</v>
      </c>
      <c r="AA269" s="6">
        <f>[1]Results!AD1629</f>
        <v>4291.0334499999999</v>
      </c>
      <c r="AB269" s="6">
        <f>[1]Results!AE1629</f>
        <v>4325.5056450000002</v>
      </c>
      <c r="AC269" s="6">
        <f>[1]Results!AF1629</f>
        <v>4360.0142150000001</v>
      </c>
      <c r="AD269" s="6">
        <f>[1]Results!AG1629</f>
        <v>4395.1521540000003</v>
      </c>
      <c r="AE269" s="6">
        <f>[1]Results!AH1629</f>
        <v>4431.0802000000003</v>
      </c>
      <c r="AF269" s="6">
        <f>[1]Results!AI1629</f>
        <v>4467.9219460000004</v>
      </c>
      <c r="AG269" s="6">
        <f>[1]Results!AJ1629</f>
        <v>4505.8018959999999</v>
      </c>
      <c r="AH269" s="6">
        <f>[1]Results!AK1629</f>
        <v>4544.8756649999996</v>
      </c>
      <c r="AI269" s="6">
        <f>[1]Results!AL1629</f>
        <v>4585.2272970000004</v>
      </c>
      <c r="AJ269" s="6">
        <f>[1]Results!AM1629</f>
        <v>4626.9256160000004</v>
      </c>
      <c r="AK269" s="6">
        <f>[1]Results!AN1629</f>
        <v>4670.0230869999996</v>
      </c>
      <c r="AL269" s="6">
        <f>[1]Results!AO1629</f>
        <v>4714.5576279999996</v>
      </c>
      <c r="AM269" s="6">
        <f>[1]Results!AP1629</f>
        <v>4759.8034740000003</v>
      </c>
      <c r="AN269" s="6">
        <f>[1]Results!AQ1629</f>
        <v>4805.882415</v>
      </c>
      <c r="AO269" s="6">
        <f>[1]Results!AR1629</f>
        <v>4852.9700279999997</v>
      </c>
      <c r="AP269" s="6">
        <f>[1]Results!AS1629</f>
        <v>4901.167555</v>
      </c>
      <c r="AQ269" s="6">
        <f>[1]Results!AT1629</f>
        <v>4950.5343560000001</v>
      </c>
      <c r="AR269" s="6">
        <f>[1]Results!AU1629</f>
        <v>5001.1618879999996</v>
      </c>
      <c r="AS269" s="6">
        <f>[1]Results!AV1629</f>
        <v>5053.0573510000004</v>
      </c>
      <c r="AT269" s="6">
        <f>[1]Results!AW1629</f>
        <v>5106.2262739999996</v>
      </c>
      <c r="AU269" s="6">
        <f>[1]Results!AX1629</f>
        <v>5160.6706270000004</v>
      </c>
      <c r="AV269" s="6">
        <f>[1]Results!AY1629</f>
        <v>5216.3898760000002</v>
      </c>
      <c r="AW269" s="6">
        <f>[1]Results!AZ1629</f>
        <v>5273.653311</v>
      </c>
      <c r="AX269" s="6">
        <f>[1]Results!BA1629</f>
        <v>5332.3712530000003</v>
      </c>
      <c r="AY269" s="6">
        <f>[1]Results!BB1629</f>
        <v>5392.4742370000004</v>
      </c>
      <c r="AZ269" s="6">
        <f>[1]Results!BC1629</f>
        <v>5453.9098139999996</v>
      </c>
      <c r="BA269" s="6">
        <f>[1]Results!BD1629</f>
        <v>5516.640754</v>
      </c>
      <c r="BB269" s="6">
        <f>[1]Results!BE1629</f>
        <v>5580.7463859999998</v>
      </c>
      <c r="BC269" s="6">
        <f>[1]Results!BF1629</f>
        <v>5646.1693359999999</v>
      </c>
      <c r="BD269" s="6">
        <f>[1]Results!BG1629</f>
        <v>5712.87392</v>
      </c>
      <c r="BE269" s="6">
        <f>[1]Results!BH1629</f>
        <v>5780.8352679999998</v>
      </c>
      <c r="BF269" s="6">
        <f>[1]Results!BI1629</f>
        <v>5850.0392860000002</v>
      </c>
    </row>
    <row r="271" spans="1:58" x14ac:dyDescent="0.35">
      <c r="A271" s="12" t="s">
        <v>21</v>
      </c>
      <c r="B271" t="s">
        <v>26</v>
      </c>
      <c r="C271" s="6">
        <f>[1]Results!F1639</f>
        <v>473222.20490000001</v>
      </c>
      <c r="D271" s="6">
        <f>[1]Results!G1639</f>
        <v>474205.76329999999</v>
      </c>
      <c r="E271" s="6">
        <f>[1]Results!H1639</f>
        <v>477821.65460000001</v>
      </c>
      <c r="F271" s="6">
        <f>[1]Results!I1639</f>
        <v>483073.34</v>
      </c>
      <c r="G271" s="6">
        <f>[1]Results!J1639</f>
        <v>489317.98479999998</v>
      </c>
      <c r="H271" s="6">
        <f>[1]Results!K1639</f>
        <v>496236.92009999999</v>
      </c>
      <c r="I271" s="6">
        <f>[1]Results!L1639</f>
        <v>503479.68569999997</v>
      </c>
      <c r="J271" s="6">
        <f>[1]Results!M1639</f>
        <v>511015.4093</v>
      </c>
      <c r="K271" s="6">
        <f>[1]Results!N1639</f>
        <v>518839.3113</v>
      </c>
      <c r="L271" s="6">
        <f>[1]Results!O1639</f>
        <v>526949.674</v>
      </c>
      <c r="M271" s="6">
        <f>[1]Results!P1639</f>
        <v>535682.9682</v>
      </c>
      <c r="N271" s="6">
        <f>[1]Results!Q1639</f>
        <v>544611.98129999998</v>
      </c>
      <c r="O271" s="6">
        <f>[1]Results!R1639</f>
        <v>553750.96019999997</v>
      </c>
      <c r="P271" s="6">
        <f>[1]Results!S1639</f>
        <v>563113.7757</v>
      </c>
      <c r="Q271" s="6">
        <f>[1]Results!T1639</f>
        <v>572705.05889999995</v>
      </c>
      <c r="R271" s="6">
        <f>[1]Results!U1639</f>
        <v>582526.33660000004</v>
      </c>
      <c r="S271" s="6">
        <f>[1]Results!V1639</f>
        <v>592579.20550000004</v>
      </c>
      <c r="T271" s="6">
        <f>[1]Results!W1639</f>
        <v>602866.19499999995</v>
      </c>
      <c r="U271" s="6">
        <f>[1]Results!X1639</f>
        <v>613390.53220000002</v>
      </c>
      <c r="V271" s="6">
        <f>[1]Results!Y1639</f>
        <v>624155.56909999996</v>
      </c>
      <c r="W271" s="6">
        <f>[1]Results!Z1639</f>
        <v>634908.36410000001</v>
      </c>
      <c r="X271" s="6">
        <f>[1]Results!AA1639</f>
        <v>645965.79570000002</v>
      </c>
      <c r="Y271" s="6">
        <f>[1]Results!AB1639</f>
        <v>657313.86459999997</v>
      </c>
      <c r="Z271" s="6">
        <f>[1]Results!AC1639</f>
        <v>668937.87509999995</v>
      </c>
      <c r="AA271" s="6">
        <f>[1]Results!AD1639</f>
        <v>680829.61100000003</v>
      </c>
      <c r="AB271" s="6">
        <f>[1]Results!AE1639</f>
        <v>692237.34250000003</v>
      </c>
      <c r="AC271" s="6">
        <f>[1]Results!AF1639</f>
        <v>703715.72279999999</v>
      </c>
      <c r="AD271" s="6">
        <f>[1]Results!AG1639</f>
        <v>715291.08290000004</v>
      </c>
      <c r="AE271" s="6">
        <f>[1]Results!AH1639</f>
        <v>726970.25269999995</v>
      </c>
      <c r="AF271" s="6">
        <f>[1]Results!AI1639</f>
        <v>738761.28619999997</v>
      </c>
      <c r="AG271" s="6">
        <f>[1]Results!AJ1639</f>
        <v>750671.59730000002</v>
      </c>
      <c r="AH271" s="6">
        <f>[1]Results!AK1639</f>
        <v>762706.11490000004</v>
      </c>
      <c r="AI271" s="6">
        <f>[1]Results!AL1639</f>
        <v>774866.6165</v>
      </c>
      <c r="AJ271" s="6">
        <f>[1]Results!AM1639</f>
        <v>787151.88130000001</v>
      </c>
      <c r="AK271" s="6">
        <f>[1]Results!AN1639</f>
        <v>799558.30020000006</v>
      </c>
      <c r="AL271" s="6">
        <f>[1]Results!AO1639</f>
        <v>812080.64780000004</v>
      </c>
      <c r="AM271" s="6">
        <f>[1]Results!AP1639</f>
        <v>824529.01419999998</v>
      </c>
      <c r="AN271" s="6">
        <f>[1]Results!AQ1639</f>
        <v>836935.93980000005</v>
      </c>
      <c r="AO271" s="6">
        <f>[1]Results!AR1639</f>
        <v>849324.51599999995</v>
      </c>
      <c r="AP271" s="6">
        <f>[1]Results!AS1639</f>
        <v>861708.40619999997</v>
      </c>
      <c r="AQ271" s="6">
        <f>[1]Results!AT1639</f>
        <v>874096.95519999997</v>
      </c>
      <c r="AR271" s="6">
        <f>[1]Results!AU1639</f>
        <v>886497.46939999994</v>
      </c>
      <c r="AS271" s="6">
        <f>[1]Results!AV1639</f>
        <v>898915.97199999995</v>
      </c>
      <c r="AT271" s="6">
        <f>[1]Results!AW1639</f>
        <v>911357.42559999996</v>
      </c>
      <c r="AU271" s="6">
        <f>[1]Results!AX1639</f>
        <v>923825.87120000005</v>
      </c>
      <c r="AV271" s="6">
        <f>[1]Results!AY1639</f>
        <v>936324.62300000002</v>
      </c>
      <c r="AW271" s="6">
        <f>[1]Results!AZ1639</f>
        <v>948873.29480000003</v>
      </c>
      <c r="AX271" s="6">
        <f>[1]Results!BA1639</f>
        <v>961470.96059999999</v>
      </c>
      <c r="AY271" s="6">
        <f>[1]Results!BB1639</f>
        <v>974117.74809999997</v>
      </c>
      <c r="AZ271" s="6">
        <f>[1]Results!BC1639</f>
        <v>986815.11569999997</v>
      </c>
      <c r="BA271" s="6">
        <f>[1]Results!BD1639</f>
        <v>999565.57979999995</v>
      </c>
      <c r="BB271" s="6">
        <f>[1]Results!BE1639</f>
        <v>1012372.6189999999</v>
      </c>
      <c r="BC271" s="6">
        <f>[1]Results!BF1639</f>
        <v>1025240.651</v>
      </c>
      <c r="BD271" s="6">
        <f>[1]Results!BG1639</f>
        <v>1038175.003</v>
      </c>
      <c r="BE271" s="6">
        <f>[1]Results!BH1639</f>
        <v>1051181.858</v>
      </c>
      <c r="BF271" s="6">
        <f>[1]Results!BI1639</f>
        <v>1064268.166</v>
      </c>
    </row>
    <row r="272" spans="1:58" x14ac:dyDescent="0.35">
      <c r="A272" t="s">
        <v>38</v>
      </c>
      <c r="B272" t="s">
        <v>7</v>
      </c>
      <c r="C272" s="6">
        <f>[1]Results!F1640</f>
        <v>4444.0176270000002</v>
      </c>
      <c r="D272" s="6">
        <f>[1]Results!G1640</f>
        <v>4424.3432190000003</v>
      </c>
      <c r="E272" s="6">
        <f>[1]Results!H1640</f>
        <v>4433.7287880000003</v>
      </c>
      <c r="F272" s="6">
        <f>[1]Results!I1640</f>
        <v>4462.0628770000003</v>
      </c>
      <c r="G272" s="6">
        <f>[1]Results!J1640</f>
        <v>4503.233389</v>
      </c>
      <c r="H272" s="6">
        <f>[1]Results!K1640</f>
        <v>4554.1583360000004</v>
      </c>
      <c r="I272" s="6">
        <f>[1]Results!L1640</f>
        <v>4611.1944039999998</v>
      </c>
      <c r="J272" s="6">
        <f>[1]Results!M1640</f>
        <v>4673.4502549999997</v>
      </c>
      <c r="K272" s="6">
        <f>[1]Results!N1640</f>
        <v>4740.284044</v>
      </c>
      <c r="L272" s="6">
        <f>[1]Results!O1640</f>
        <v>4811.1135690000001</v>
      </c>
      <c r="M272" s="6">
        <f>[1]Results!P1640</f>
        <v>4888.6321090000001</v>
      </c>
      <c r="N272" s="6">
        <f>[1]Results!Q1640</f>
        <v>4968.5579820000003</v>
      </c>
      <c r="O272" s="6">
        <f>[1]Results!R1640</f>
        <v>5050.5488509999996</v>
      </c>
      <c r="P272" s="6">
        <f>[1]Results!S1640</f>
        <v>5134.413689</v>
      </c>
      <c r="Q272" s="6">
        <f>[1]Results!T1640</f>
        <v>5219.9603349999998</v>
      </c>
      <c r="R272" s="6">
        <f>[1]Results!U1640</f>
        <v>5307.0318399999996</v>
      </c>
      <c r="S272" s="6">
        <f>[1]Results!V1640</f>
        <v>5395.5223560000004</v>
      </c>
      <c r="T272" s="6">
        <f>[1]Results!W1640</f>
        <v>5485.3727250000002</v>
      </c>
      <c r="U272" s="6">
        <f>[1]Results!X1640</f>
        <v>5576.5577309999999</v>
      </c>
      <c r="V272" s="6">
        <f>[1]Results!Y1640</f>
        <v>5669.0732879999996</v>
      </c>
      <c r="W272" s="6">
        <f>[1]Results!Z1640</f>
        <v>5760.5301460000001</v>
      </c>
      <c r="X272" s="6">
        <f>[1]Results!AA1640</f>
        <v>5853.7996249999997</v>
      </c>
      <c r="Y272" s="6">
        <f>[1]Results!AB1640</f>
        <v>5948.8698949999998</v>
      </c>
      <c r="Z272" s="6">
        <f>[1]Results!AC1640</f>
        <v>6045.6577020000004</v>
      </c>
      <c r="AA272" s="6">
        <f>[1]Results!AD1640</f>
        <v>6144.1227040000003</v>
      </c>
      <c r="AB272" s="6">
        <f>[1]Results!AE1640</f>
        <v>6237.2740979999999</v>
      </c>
      <c r="AC272" s="6">
        <f>[1]Results!AF1640</f>
        <v>6330.0756600000004</v>
      </c>
      <c r="AD272" s="6">
        <f>[1]Results!AG1640</f>
        <v>6423.0266519999996</v>
      </c>
      <c r="AE272" s="6">
        <f>[1]Results!AH1640</f>
        <v>6516.3893440000002</v>
      </c>
      <c r="AF272" s="6">
        <f>[1]Results!AI1640</f>
        <v>6610.4216100000003</v>
      </c>
      <c r="AG272" s="6">
        <f>[1]Results!AJ1640</f>
        <v>6705.3561099999997</v>
      </c>
      <c r="AH272" s="6">
        <f>[1]Results!AK1640</f>
        <v>6801.3786620000001</v>
      </c>
      <c r="AI272" s="6">
        <f>[1]Results!AL1640</f>
        <v>6898.6232950000003</v>
      </c>
      <c r="AJ272" s="6">
        <f>[1]Results!AM1640</f>
        <v>6997.1775779999998</v>
      </c>
      <c r="AK272" s="6">
        <f>[1]Results!AN1640</f>
        <v>7097.0928729999996</v>
      </c>
      <c r="AL272" s="6">
        <f>[1]Results!AO1640</f>
        <v>7198.395426</v>
      </c>
      <c r="AM272" s="6">
        <f>[1]Results!AP1640</f>
        <v>7299.3913750000002</v>
      </c>
      <c r="AN272" s="6">
        <f>[1]Results!AQ1640</f>
        <v>7400.3930639999999</v>
      </c>
      <c r="AO272" s="6">
        <f>[1]Results!AR1640</f>
        <v>7501.6981150000001</v>
      </c>
      <c r="AP272" s="6">
        <f>[1]Results!AS1640</f>
        <v>7603.5387010000004</v>
      </c>
      <c r="AQ272" s="6">
        <f>[1]Results!AT1640</f>
        <v>7706.1108910000003</v>
      </c>
      <c r="AR272" s="6">
        <f>[1]Results!AU1640</f>
        <v>7809.5852409999998</v>
      </c>
      <c r="AS272" s="6">
        <f>[1]Results!AV1640</f>
        <v>7914.1071780000002</v>
      </c>
      <c r="AT272" s="6">
        <f>[1]Results!AW1640</f>
        <v>8019.7961329999998</v>
      </c>
      <c r="AU272" s="6">
        <f>[1]Results!AX1640</f>
        <v>8126.7466109999996</v>
      </c>
      <c r="AV272" s="6">
        <f>[1]Results!AY1640</f>
        <v>8235.0311189999993</v>
      </c>
      <c r="AW272" s="6">
        <f>[1]Results!AZ1640</f>
        <v>8344.8595740000001</v>
      </c>
      <c r="AX272" s="6">
        <f>[1]Results!BA1640</f>
        <v>8456.2446920000002</v>
      </c>
      <c r="AY272" s="6">
        <f>[1]Results!BB1640</f>
        <v>8569.1925100000008</v>
      </c>
      <c r="AZ272" s="6">
        <f>[1]Results!BC1640</f>
        <v>8683.7108850000004</v>
      </c>
      <c r="BA272" s="6">
        <f>[1]Results!BD1640</f>
        <v>8799.8095940000003</v>
      </c>
      <c r="BB272" s="6">
        <f>[1]Results!BE1640</f>
        <v>8917.5011360000008</v>
      </c>
      <c r="BC272" s="6">
        <f>[1]Results!BF1640</f>
        <v>9036.8016520000001</v>
      </c>
      <c r="BD272" s="6">
        <f>[1]Results!BG1640</f>
        <v>9157.7313689999992</v>
      </c>
      <c r="BE272" s="6">
        <f>[1]Results!BH1640</f>
        <v>9280.3144630000006</v>
      </c>
      <c r="BF272" s="6">
        <f>[1]Results!BI1640</f>
        <v>9404.5784779999994</v>
      </c>
    </row>
    <row r="273" spans="1:58" x14ac:dyDescent="0.35">
      <c r="B273" t="s">
        <v>30</v>
      </c>
      <c r="C273" s="6">
        <f>[1]Results!F1643</f>
        <v>235100.95439999999</v>
      </c>
      <c r="D273" s="6">
        <f>[1]Results!G1643</f>
        <v>235414.2414</v>
      </c>
      <c r="E273" s="6">
        <f>[1]Results!H1643</f>
        <v>237246.103</v>
      </c>
      <c r="F273" s="6">
        <f>[1]Results!I1643</f>
        <v>239938.82699999999</v>
      </c>
      <c r="G273" s="6">
        <f>[1]Results!J1643</f>
        <v>243124.07509999999</v>
      </c>
      <c r="H273" s="6">
        <f>[1]Results!K1643</f>
        <v>246624.79569999999</v>
      </c>
      <c r="I273" s="6">
        <f>[1]Results!L1643</f>
        <v>250272.4295</v>
      </c>
      <c r="J273" s="6">
        <f>[1]Results!M1643</f>
        <v>254045.2078</v>
      </c>
      <c r="K273" s="6">
        <f>[1]Results!N1643</f>
        <v>257943.36739999999</v>
      </c>
      <c r="L273" s="6">
        <f>[1]Results!O1643</f>
        <v>261972.9687</v>
      </c>
      <c r="M273" s="6">
        <f>[1]Results!P1643</f>
        <v>266289.44790000003</v>
      </c>
      <c r="N273" s="6">
        <f>[1]Results!Q1643</f>
        <v>270722.56229999999</v>
      </c>
      <c r="O273" s="6">
        <f>[1]Results!R1643</f>
        <v>275278.30190000002</v>
      </c>
      <c r="P273" s="6">
        <f>[1]Results!S1643</f>
        <v>279965.34769999998</v>
      </c>
      <c r="Q273" s="6">
        <f>[1]Results!T1643</f>
        <v>284789.43530000001</v>
      </c>
      <c r="R273" s="6">
        <f>[1]Results!U1643</f>
        <v>289754.73</v>
      </c>
      <c r="S273" s="6">
        <f>[1]Results!V1643</f>
        <v>294864.89159999997</v>
      </c>
      <c r="T273" s="6">
        <f>[1]Results!W1643</f>
        <v>300123.49599999998</v>
      </c>
      <c r="U273" s="6">
        <f>[1]Results!X1643</f>
        <v>305534.02730000002</v>
      </c>
      <c r="V273" s="6">
        <f>[1]Results!Y1643</f>
        <v>311099.68</v>
      </c>
      <c r="W273" s="6">
        <f>[1]Results!Z1643</f>
        <v>316710.8027</v>
      </c>
      <c r="X273" s="6">
        <f>[1]Results!AA1643</f>
        <v>322499.67879999999</v>
      </c>
      <c r="Y273" s="6">
        <f>[1]Results!AB1643</f>
        <v>328465.50329999998</v>
      </c>
      <c r="Z273" s="6">
        <f>[1]Results!AC1643</f>
        <v>334603.92170000001</v>
      </c>
      <c r="AA273" s="6">
        <f>[1]Results!AD1643</f>
        <v>340911.56430000003</v>
      </c>
      <c r="AB273" s="6">
        <f>[1]Results!AE1643</f>
        <v>347057.44750000001</v>
      </c>
      <c r="AC273" s="6">
        <f>[1]Results!AF1643</f>
        <v>353260.60930000001</v>
      </c>
      <c r="AD273" s="6">
        <f>[1]Results!AG1643</f>
        <v>359533.94929999998</v>
      </c>
      <c r="AE273" s="6">
        <f>[1]Results!AH1643</f>
        <v>365879.55609999999</v>
      </c>
      <c r="AF273" s="6">
        <f>[1]Results!AI1643</f>
        <v>372298.03100000002</v>
      </c>
      <c r="AG273" s="6">
        <f>[1]Results!AJ1643</f>
        <v>378788.96309999999</v>
      </c>
      <c r="AH273" s="6">
        <f>[1]Results!AK1643</f>
        <v>385350.71460000001</v>
      </c>
      <c r="AI273" s="6">
        <f>[1]Results!AL1643</f>
        <v>391980.29210000002</v>
      </c>
      <c r="AJ273" s="6">
        <f>[1]Results!AM1643</f>
        <v>398673.41749999998</v>
      </c>
      <c r="AK273" s="6">
        <f>[1]Results!AN1643</f>
        <v>405424.77020000003</v>
      </c>
      <c r="AL273" s="6">
        <f>[1]Results!AO1643</f>
        <v>412228.31679999997</v>
      </c>
      <c r="AM273" s="6">
        <f>[1]Results!AP1643</f>
        <v>418996.36369999999</v>
      </c>
      <c r="AN273" s="6">
        <f>[1]Results!AQ1643</f>
        <v>425733.31829999998</v>
      </c>
      <c r="AO273" s="6">
        <f>[1]Results!AR1643</f>
        <v>432443.14649999997</v>
      </c>
      <c r="AP273" s="6">
        <f>[1]Results!AS1643</f>
        <v>439127.32010000001</v>
      </c>
      <c r="AQ273" s="6">
        <f>[1]Results!AT1643</f>
        <v>445786.02</v>
      </c>
      <c r="AR273" s="6">
        <f>[1]Results!AU1643</f>
        <v>452418.90149999998</v>
      </c>
      <c r="AS273" s="6">
        <f>[1]Results!AV1643</f>
        <v>459025.4411</v>
      </c>
      <c r="AT273" s="6">
        <f>[1]Results!AW1643</f>
        <v>465605.0748</v>
      </c>
      <c r="AU273" s="6">
        <f>[1]Results!AX1643</f>
        <v>472157.27260000003</v>
      </c>
      <c r="AV273" s="6">
        <f>[1]Results!AY1643</f>
        <v>478681.61580000003</v>
      </c>
      <c r="AW273" s="6">
        <f>[1]Results!AZ1643</f>
        <v>485185.33689999999</v>
      </c>
      <c r="AX273" s="6">
        <f>[1]Results!BA1643</f>
        <v>491667.52669999999</v>
      </c>
      <c r="AY273" s="6">
        <f>[1]Results!BB1643</f>
        <v>498127.78149999998</v>
      </c>
      <c r="AZ273" s="6">
        <f>[1]Results!BC1643</f>
        <v>504566.51459999999</v>
      </c>
      <c r="BA273" s="6">
        <f>[1]Results!BD1643</f>
        <v>510984.93060000002</v>
      </c>
      <c r="BB273" s="6">
        <f>[1]Results!BE1643</f>
        <v>517385.00160000002</v>
      </c>
      <c r="BC273" s="6">
        <f>[1]Results!BF1643</f>
        <v>523769.44709999999</v>
      </c>
      <c r="BD273" s="6">
        <f>[1]Results!BG1643</f>
        <v>530141.70680000004</v>
      </c>
      <c r="BE273" s="6">
        <f>[1]Results!BH1643</f>
        <v>536505.89870000002</v>
      </c>
      <c r="BF273" s="6">
        <f>[1]Results!BI1643</f>
        <v>542866.76329999999</v>
      </c>
    </row>
    <row r="274" spans="1:58" x14ac:dyDescent="0.35">
      <c r="B274" t="s">
        <v>28</v>
      </c>
      <c r="C274" s="6">
        <f>[1]Results!F1655</f>
        <v>8024.163904</v>
      </c>
      <c r="D274" s="6">
        <f>[1]Results!G1655</f>
        <v>7955.6152750000001</v>
      </c>
      <c r="E274" s="6">
        <f>[1]Results!H1655</f>
        <v>7996.9883669999999</v>
      </c>
      <c r="F274" s="6">
        <f>[1]Results!I1655</f>
        <v>8085.5544360000004</v>
      </c>
      <c r="G274" s="6">
        <f>[1]Results!J1655</f>
        <v>8195.3985730000004</v>
      </c>
      <c r="H274" s="6">
        <f>[1]Results!K1655</f>
        <v>8316.8783600000006</v>
      </c>
      <c r="I274" s="6">
        <f>[1]Results!L1655</f>
        <v>8441.967928</v>
      </c>
      <c r="J274" s="6">
        <f>[1]Results!M1655</f>
        <v>8570.6175860000003</v>
      </c>
      <c r="K274" s="6">
        <f>[1]Results!N1655</f>
        <v>8702.6698450000004</v>
      </c>
      <c r="L274" s="6">
        <f>[1]Results!O1655</f>
        <v>8837.8366019999994</v>
      </c>
      <c r="M274" s="6">
        <f>[1]Results!P1655</f>
        <v>8982.988335</v>
      </c>
      <c r="N274" s="6">
        <f>[1]Results!Q1655</f>
        <v>9127.4274100000002</v>
      </c>
      <c r="O274" s="6">
        <f>[1]Results!R1655</f>
        <v>9272.5490030000001</v>
      </c>
      <c r="P274" s="6">
        <f>[1]Results!S1655</f>
        <v>9418.9544729999998</v>
      </c>
      <c r="Q274" s="6">
        <f>[1]Results!T1655</f>
        <v>9566.8212650000005</v>
      </c>
      <c r="R274" s="6">
        <f>[1]Results!U1655</f>
        <v>9716.2237069999992</v>
      </c>
      <c r="S274" s="6">
        <f>[1]Results!V1655</f>
        <v>9867.2451110000002</v>
      </c>
      <c r="T274" s="6">
        <f>[1]Results!W1655</f>
        <v>10020.0033</v>
      </c>
      <c r="U274" s="6">
        <f>[1]Results!X1655</f>
        <v>10174.64553</v>
      </c>
      <c r="V274" s="6">
        <f>[1]Results!Y1655</f>
        <v>10331.335730000001</v>
      </c>
      <c r="W274" s="6">
        <f>[1]Results!Z1655</f>
        <v>10484.844859999999</v>
      </c>
      <c r="X274" s="6">
        <f>[1]Results!AA1655</f>
        <v>10643.11766</v>
      </c>
      <c r="Y274" s="6">
        <f>[1]Results!AB1655</f>
        <v>10805.08518</v>
      </c>
      <c r="Z274" s="6">
        <f>[1]Results!AC1655</f>
        <v>10970.307720000001</v>
      </c>
      <c r="AA274" s="6">
        <f>[1]Results!AD1655</f>
        <v>11138.69707</v>
      </c>
      <c r="AB274" s="6">
        <f>[1]Results!AE1655</f>
        <v>11294.60628</v>
      </c>
      <c r="AC274" s="6">
        <f>[1]Results!AF1655</f>
        <v>11453.19023</v>
      </c>
      <c r="AD274" s="6">
        <f>[1]Results!AG1655</f>
        <v>11614.12722</v>
      </c>
      <c r="AE274" s="6">
        <f>[1]Results!AH1655</f>
        <v>11777.30032</v>
      </c>
      <c r="AF274" s="6">
        <f>[1]Results!AI1655</f>
        <v>11942.85383</v>
      </c>
      <c r="AG274" s="6">
        <f>[1]Results!AJ1655</f>
        <v>12110.99127</v>
      </c>
      <c r="AH274" s="6">
        <f>[1]Results!AK1655</f>
        <v>12281.89039</v>
      </c>
      <c r="AI274" s="6">
        <f>[1]Results!AL1655</f>
        <v>12455.676820000001</v>
      </c>
      <c r="AJ274" s="6">
        <f>[1]Results!AM1655</f>
        <v>12632.42324</v>
      </c>
      <c r="AK274" s="6">
        <f>[1]Results!AN1655</f>
        <v>12812.15899</v>
      </c>
      <c r="AL274" s="6">
        <f>[1]Results!AO1655</f>
        <v>12994.88249</v>
      </c>
      <c r="AM274" s="6">
        <f>[1]Results!AP1655</f>
        <v>13176.731949999999</v>
      </c>
      <c r="AN274" s="6">
        <f>[1]Results!AQ1655</f>
        <v>13359.311530000001</v>
      </c>
      <c r="AO274" s="6">
        <f>[1]Results!AR1655</f>
        <v>13543.38307</v>
      </c>
      <c r="AP274" s="6">
        <f>[1]Results!AS1655</f>
        <v>13729.30831</v>
      </c>
      <c r="AQ274" s="6">
        <f>[1]Results!AT1655</f>
        <v>13917.302089999999</v>
      </c>
      <c r="AR274" s="6">
        <f>[1]Results!AU1655</f>
        <v>14107.519319999999</v>
      </c>
      <c r="AS274" s="6">
        <f>[1]Results!AV1655</f>
        <v>14300.08102</v>
      </c>
      <c r="AT274" s="6">
        <f>[1]Results!AW1655</f>
        <v>14495.081560000001</v>
      </c>
      <c r="AU274" s="6">
        <f>[1]Results!AX1655</f>
        <v>14692.592339999999</v>
      </c>
      <c r="AV274" s="6">
        <f>[1]Results!AY1655</f>
        <v>14892.665569999999</v>
      </c>
      <c r="AW274" s="6">
        <f>[1]Results!AZ1655</f>
        <v>15095.69073</v>
      </c>
      <c r="AX274" s="6">
        <f>[1]Results!BA1655</f>
        <v>15301.54586</v>
      </c>
      <c r="AY274" s="6">
        <f>[1]Results!BB1655</f>
        <v>15510.18189</v>
      </c>
      <c r="AZ274" s="6">
        <f>[1]Results!BC1655</f>
        <v>15721.58641</v>
      </c>
      <c r="BA274" s="6">
        <f>[1]Results!BD1655</f>
        <v>15935.76339</v>
      </c>
      <c r="BB274" s="6">
        <f>[1]Results!BE1655</f>
        <v>16152.72709</v>
      </c>
      <c r="BC274" s="6">
        <f>[1]Results!BF1655</f>
        <v>16372.50051</v>
      </c>
      <c r="BD274" s="6">
        <f>[1]Results!BG1655</f>
        <v>16595.114860000001</v>
      </c>
      <c r="BE274" s="6">
        <f>[1]Results!BH1655</f>
        <v>16820.608939999998</v>
      </c>
      <c r="BF274" s="6">
        <f>[1]Results!BI1655</f>
        <v>17049.02807</v>
      </c>
    </row>
    <row r="275" spans="1:58" x14ac:dyDescent="0.35">
      <c r="B275" t="s">
        <v>10</v>
      </c>
      <c r="C275" s="6">
        <f>[1]Results!F1660</f>
        <v>219751.9693</v>
      </c>
      <c r="D275" s="6">
        <f>[1]Results!G1660</f>
        <v>220526.7427</v>
      </c>
      <c r="E275" s="6">
        <f>[1]Results!H1660</f>
        <v>222253.7831</v>
      </c>
      <c r="F275" s="6">
        <f>[1]Results!I1660</f>
        <v>224675.61910000001</v>
      </c>
      <c r="G275" s="6">
        <f>[1]Results!J1660</f>
        <v>227553.7464</v>
      </c>
      <c r="H275" s="6">
        <f>[1]Results!K1660</f>
        <v>230760.57440000001</v>
      </c>
      <c r="I275" s="6">
        <f>[1]Results!L1660</f>
        <v>234128.96359999999</v>
      </c>
      <c r="J275" s="6">
        <f>[1]Results!M1660</f>
        <v>237651.2114</v>
      </c>
      <c r="K275" s="6">
        <f>[1]Results!N1660</f>
        <v>241323.75630000001</v>
      </c>
      <c r="L275" s="6">
        <f>[1]Results!O1660</f>
        <v>245140.56690000001</v>
      </c>
      <c r="M275" s="6">
        <f>[1]Results!P1660</f>
        <v>249270.1874</v>
      </c>
      <c r="N275" s="6">
        <f>[1]Results!Q1660</f>
        <v>253476.17850000001</v>
      </c>
      <c r="O275" s="6">
        <f>[1]Results!R1660</f>
        <v>257766.13329999999</v>
      </c>
      <c r="P275" s="6">
        <f>[1]Results!S1660</f>
        <v>262144.87109999999</v>
      </c>
      <c r="Q275" s="6">
        <f>[1]Results!T1660</f>
        <v>266611.3591</v>
      </c>
      <c r="R275" s="6">
        <f>[1]Results!U1660</f>
        <v>271163.09490000003</v>
      </c>
      <c r="S275" s="6">
        <f>[1]Results!V1660</f>
        <v>275798.07280000002</v>
      </c>
      <c r="T275" s="6">
        <f>[1]Results!W1660</f>
        <v>280515.2009</v>
      </c>
      <c r="U275" s="6">
        <f>[1]Results!X1660</f>
        <v>285314.09100000001</v>
      </c>
      <c r="V275" s="6">
        <f>[1]Results!Y1660</f>
        <v>290194.70919999998</v>
      </c>
      <c r="W275" s="6">
        <f>[1]Results!Z1660</f>
        <v>295024.11139999999</v>
      </c>
      <c r="X275" s="6">
        <f>[1]Results!AA1660</f>
        <v>299972.44530000002</v>
      </c>
      <c r="Y275" s="6">
        <f>[1]Results!AB1660</f>
        <v>305027.64049999998</v>
      </c>
      <c r="Z275" s="6">
        <f>[1]Results!AC1660</f>
        <v>310180.03580000001</v>
      </c>
      <c r="AA275" s="6">
        <f>[1]Results!AD1660</f>
        <v>315424.93540000002</v>
      </c>
      <c r="AB275" s="6">
        <f>[1]Results!AE1660</f>
        <v>320372.13370000001</v>
      </c>
      <c r="AC275" s="6">
        <f>[1]Results!AF1660</f>
        <v>325330.62719999999</v>
      </c>
      <c r="AD275" s="6">
        <f>[1]Results!AG1660</f>
        <v>330312.96149999998</v>
      </c>
      <c r="AE275" s="6">
        <f>[1]Results!AH1660</f>
        <v>335323.55440000002</v>
      </c>
      <c r="AF275" s="6">
        <f>[1]Results!AI1660</f>
        <v>340369.27519999997</v>
      </c>
      <c r="AG275" s="6">
        <f>[1]Results!AJ1660</f>
        <v>345457.31479999999</v>
      </c>
      <c r="AH275" s="6">
        <f>[1]Results!AK1660</f>
        <v>350593.68930000003</v>
      </c>
      <c r="AI275" s="6">
        <f>[1]Results!AL1660</f>
        <v>355782.74920000002</v>
      </c>
      <c r="AJ275" s="6">
        <f>[1]Results!AM1660</f>
        <v>361027.26040000003</v>
      </c>
      <c r="AK275" s="6">
        <f>[1]Results!AN1660</f>
        <v>366328.75309999997</v>
      </c>
      <c r="AL275" s="6">
        <f>[1]Results!AO1660</f>
        <v>371687.93670000002</v>
      </c>
      <c r="AM275" s="6">
        <f>[1]Results!AP1660</f>
        <v>377009.989</v>
      </c>
      <c r="AN275" s="6">
        <f>[1]Results!AQ1660</f>
        <v>382320.58350000001</v>
      </c>
      <c r="AO275" s="6">
        <f>[1]Results!AR1660</f>
        <v>387637.35769999999</v>
      </c>
      <c r="AP275" s="6">
        <f>[1]Results!AS1660</f>
        <v>392971.66879999998</v>
      </c>
      <c r="AQ275" s="6">
        <f>[1]Results!AT1660</f>
        <v>398332.12929999997</v>
      </c>
      <c r="AR275" s="6">
        <f>[1]Results!AU1660</f>
        <v>403725.97399999999</v>
      </c>
      <c r="AS275" s="6">
        <f>[1]Results!AV1660</f>
        <v>409159.42129999999</v>
      </c>
      <c r="AT275" s="6">
        <f>[1]Results!AW1660</f>
        <v>414637.74040000001</v>
      </c>
      <c r="AU275" s="6">
        <f>[1]Results!AX1660</f>
        <v>420165.30839999998</v>
      </c>
      <c r="AV275" s="6">
        <f>[1]Results!AY1660</f>
        <v>425745.71169999999</v>
      </c>
      <c r="AW275" s="6">
        <f>[1]Results!AZ1660</f>
        <v>431390.53499999997</v>
      </c>
      <c r="AX275" s="6">
        <f>[1]Results!BA1660</f>
        <v>437099.88419999997</v>
      </c>
      <c r="AY275" s="6">
        <f>[1]Results!BB1660</f>
        <v>442874.33990000002</v>
      </c>
      <c r="AZ275" s="6">
        <f>[1]Results!BC1660</f>
        <v>448714.94780000002</v>
      </c>
      <c r="BA275" s="6">
        <f>[1]Results!BD1660</f>
        <v>454623.00040000002</v>
      </c>
      <c r="BB275" s="6">
        <f>[1]Results!BE1660</f>
        <v>460599.973</v>
      </c>
      <c r="BC275" s="6">
        <f>[1]Results!BF1660</f>
        <v>466647.5196</v>
      </c>
      <c r="BD275" s="6">
        <f>[1]Results!BG1660</f>
        <v>472767.4706</v>
      </c>
      <c r="BE275" s="6">
        <f>[1]Results!BH1660</f>
        <v>478961.8186</v>
      </c>
      <c r="BF275" s="6">
        <f>[1]Results!BI1660</f>
        <v>485232.68910000002</v>
      </c>
    </row>
    <row r="276" spans="1:58" x14ac:dyDescent="0.35">
      <c r="B276" t="s">
        <v>31</v>
      </c>
      <c r="C276" s="6">
        <f>[1]Results!F1663</f>
        <v>2252.4374440000001</v>
      </c>
      <c r="D276" s="6">
        <f>[1]Results!G1663</f>
        <v>2234.624656</v>
      </c>
      <c r="E276" s="6">
        <f>[1]Results!H1663</f>
        <v>2232.1670810000001</v>
      </c>
      <c r="F276" s="6">
        <f>[1]Results!I1663</f>
        <v>2238.5926669999999</v>
      </c>
      <c r="G276" s="6">
        <f>[1]Results!J1663</f>
        <v>2250.4124470000002</v>
      </c>
      <c r="H276" s="6">
        <f>[1]Results!K1663</f>
        <v>2266.3398729999999</v>
      </c>
      <c r="I276" s="6">
        <f>[1]Results!L1663</f>
        <v>2284.859477</v>
      </c>
      <c r="J276" s="6">
        <f>[1]Results!M1663</f>
        <v>2305.7706899999998</v>
      </c>
      <c r="K276" s="6">
        <f>[1]Results!N1663</f>
        <v>2328.8124600000001</v>
      </c>
      <c r="L276" s="6">
        <f>[1]Results!O1663</f>
        <v>2353.6778169999998</v>
      </c>
      <c r="M276" s="6">
        <f>[1]Results!P1663</f>
        <v>2381.612607</v>
      </c>
      <c r="N276" s="6">
        <f>[1]Results!Q1663</f>
        <v>2410.370973</v>
      </c>
      <c r="O276" s="6">
        <f>[1]Results!R1663</f>
        <v>2439.966598</v>
      </c>
      <c r="P276" s="6">
        <f>[1]Results!S1663</f>
        <v>2470.3942860000002</v>
      </c>
      <c r="Q276" s="6">
        <f>[1]Results!T1663</f>
        <v>2501.594505</v>
      </c>
      <c r="R276" s="6">
        <f>[1]Results!U1663</f>
        <v>2533.4983130000001</v>
      </c>
      <c r="S276" s="6">
        <f>[1]Results!V1663</f>
        <v>2566.044746</v>
      </c>
      <c r="T276" s="6">
        <f>[1]Results!W1663</f>
        <v>2599.1844120000001</v>
      </c>
      <c r="U276" s="6">
        <f>[1]Results!X1663</f>
        <v>2632.878933</v>
      </c>
      <c r="V276" s="6">
        <f>[1]Results!Y1663</f>
        <v>2667.099616</v>
      </c>
      <c r="W276" s="6">
        <f>[1]Results!Z1663</f>
        <v>2700.7149220000001</v>
      </c>
      <c r="X276" s="6">
        <f>[1]Results!AA1663</f>
        <v>2735.2099760000001</v>
      </c>
      <c r="Y276" s="6">
        <f>[1]Results!AB1663</f>
        <v>2770.4206730000001</v>
      </c>
      <c r="Z276" s="6">
        <f>[1]Results!AC1663</f>
        <v>2806.2324610000001</v>
      </c>
      <c r="AA276" s="6">
        <f>[1]Results!AD1663</f>
        <v>2842.603623</v>
      </c>
      <c r="AB276" s="6">
        <f>[1]Results!AE1663</f>
        <v>2876.3112620000002</v>
      </c>
      <c r="AC276" s="6">
        <f>[1]Results!AF1663</f>
        <v>2910.1663579999999</v>
      </c>
      <c r="AD276" s="6">
        <f>[1]Results!AG1663</f>
        <v>2944.2296120000001</v>
      </c>
      <c r="AE276" s="6">
        <f>[1]Results!AH1663</f>
        <v>2978.4835250000001</v>
      </c>
      <c r="AF276" s="6">
        <f>[1]Results!AI1663</f>
        <v>3012.957339</v>
      </c>
      <c r="AG276" s="6">
        <f>[1]Results!AJ1663</f>
        <v>3047.7012009999999</v>
      </c>
      <c r="AH276" s="6">
        <f>[1]Results!AK1663</f>
        <v>3082.767601</v>
      </c>
      <c r="AI276" s="6">
        <f>[1]Results!AL1663</f>
        <v>3118.202123</v>
      </c>
      <c r="AJ276" s="6">
        <f>[1]Results!AM1663</f>
        <v>3154.0428160000001</v>
      </c>
      <c r="AK276" s="6">
        <f>[1]Results!AN1663</f>
        <v>3190.320299</v>
      </c>
      <c r="AL276" s="6">
        <f>[1]Results!AO1663</f>
        <v>3227.05834</v>
      </c>
      <c r="AM276" s="6">
        <f>[1]Results!AP1663</f>
        <v>3263.496666</v>
      </c>
      <c r="AN276" s="6">
        <f>[1]Results!AQ1663</f>
        <v>3299.914358</v>
      </c>
      <c r="AO276" s="6">
        <f>[1]Results!AR1663</f>
        <v>3336.47658</v>
      </c>
      <c r="AP276" s="6">
        <f>[1]Results!AS1663</f>
        <v>3373.2672670000002</v>
      </c>
      <c r="AQ276" s="6">
        <f>[1]Results!AT1663</f>
        <v>3410.337184</v>
      </c>
      <c r="AR276" s="6">
        <f>[1]Results!AU1663</f>
        <v>3447.7236720000001</v>
      </c>
      <c r="AS276" s="6">
        <f>[1]Results!AV1663</f>
        <v>3485.4570330000001</v>
      </c>
      <c r="AT276" s="6">
        <f>[1]Results!AW1663</f>
        <v>3523.5623150000001</v>
      </c>
      <c r="AU276" s="6">
        <f>[1]Results!AX1663</f>
        <v>3562.0599779999998</v>
      </c>
      <c r="AV276" s="6">
        <f>[1]Results!AY1663</f>
        <v>3600.9673509999998</v>
      </c>
      <c r="AW276" s="6">
        <f>[1]Results!AZ1663</f>
        <v>3640.371142</v>
      </c>
      <c r="AX276" s="6">
        <f>[1]Results!BA1663</f>
        <v>3680.2622419999998</v>
      </c>
      <c r="AY276" s="6">
        <f>[1]Results!BB1663</f>
        <v>3720.6400370000001</v>
      </c>
      <c r="AZ276" s="6">
        <f>[1]Results!BC1663</f>
        <v>3761.5091229999998</v>
      </c>
      <c r="BA276" s="6">
        <f>[1]Results!BD1663</f>
        <v>3802.8752030000001</v>
      </c>
      <c r="BB276" s="6">
        <f>[1]Results!BE1663</f>
        <v>3844.7438390000002</v>
      </c>
      <c r="BC276" s="6">
        <f>[1]Results!BF1663</f>
        <v>3887.1204560000001</v>
      </c>
      <c r="BD276" s="6">
        <f>[1]Results!BG1663</f>
        <v>3930.0106580000001</v>
      </c>
      <c r="BE276" s="6">
        <f>[1]Results!BH1663</f>
        <v>3973.4205059999999</v>
      </c>
      <c r="BF276" s="6">
        <f>[1]Results!BI1663</f>
        <v>4017.3566729999998</v>
      </c>
    </row>
    <row r="277" spans="1:58" x14ac:dyDescent="0.35">
      <c r="B277" t="s">
        <v>33</v>
      </c>
      <c r="C277" s="6">
        <f>[1]Results!F1668</f>
        <v>3648.6622240000002</v>
      </c>
      <c r="D277" s="6">
        <f>[1]Results!G1668</f>
        <v>3650.1960300000001</v>
      </c>
      <c r="E277" s="6">
        <f>[1]Results!H1668</f>
        <v>3658.8841739999998</v>
      </c>
      <c r="F277" s="6">
        <f>[1]Results!I1668</f>
        <v>3672.6839030000001</v>
      </c>
      <c r="G277" s="6">
        <f>[1]Results!J1668</f>
        <v>3691.1189279999999</v>
      </c>
      <c r="H277" s="6">
        <f>[1]Results!K1668</f>
        <v>3714.1734670000001</v>
      </c>
      <c r="I277" s="6">
        <f>[1]Results!L1668</f>
        <v>3740.2708510000002</v>
      </c>
      <c r="J277" s="6">
        <f>[1]Results!M1668</f>
        <v>3769.1514790000001</v>
      </c>
      <c r="K277" s="6">
        <f>[1]Results!N1668</f>
        <v>3800.4212000000002</v>
      </c>
      <c r="L277" s="6">
        <f>[1]Results!O1668</f>
        <v>3833.5104219999998</v>
      </c>
      <c r="M277" s="6">
        <f>[1]Results!P1668</f>
        <v>3870.0998810000001</v>
      </c>
      <c r="N277" s="6">
        <f>[1]Results!Q1668</f>
        <v>3906.884196</v>
      </c>
      <c r="O277" s="6">
        <f>[1]Results!R1668</f>
        <v>3943.4605999999999</v>
      </c>
      <c r="P277" s="6">
        <f>[1]Results!S1668</f>
        <v>3979.794386</v>
      </c>
      <c r="Q277" s="6">
        <f>[1]Results!T1668</f>
        <v>4015.8883700000001</v>
      </c>
      <c r="R277" s="6">
        <f>[1]Results!U1668</f>
        <v>4051.757826</v>
      </c>
      <c r="S277" s="6">
        <f>[1]Results!V1668</f>
        <v>4087.4288689999998</v>
      </c>
      <c r="T277" s="6">
        <f>[1]Results!W1668</f>
        <v>4122.9376940000002</v>
      </c>
      <c r="U277" s="6">
        <f>[1]Results!X1668</f>
        <v>4158.3316800000002</v>
      </c>
      <c r="V277" s="6">
        <f>[1]Results!Y1668</f>
        <v>4193.6712470000002</v>
      </c>
      <c r="W277" s="6">
        <f>[1]Results!Z1668</f>
        <v>4227.3600550000001</v>
      </c>
      <c r="X277" s="6">
        <f>[1]Results!AA1668</f>
        <v>4261.5443759999998</v>
      </c>
      <c r="Y277" s="6">
        <f>[1]Results!AB1668</f>
        <v>4296.3450279999997</v>
      </c>
      <c r="Z277" s="6">
        <f>[1]Results!AC1668</f>
        <v>4331.7198479999997</v>
      </c>
      <c r="AA277" s="6">
        <f>[1]Results!AD1668</f>
        <v>4367.6879559999998</v>
      </c>
      <c r="AB277" s="6">
        <f>[1]Results!AE1668</f>
        <v>4399.5696150000003</v>
      </c>
      <c r="AC277" s="6">
        <f>[1]Results!AF1668</f>
        <v>4431.0539699999999</v>
      </c>
      <c r="AD277" s="6">
        <f>[1]Results!AG1668</f>
        <v>4462.7885500000002</v>
      </c>
      <c r="AE277" s="6">
        <f>[1]Results!AH1668</f>
        <v>4494.9690030000002</v>
      </c>
      <c r="AF277" s="6">
        <f>[1]Results!AI1668</f>
        <v>4527.7472379999999</v>
      </c>
      <c r="AG277" s="6">
        <f>[1]Results!AJ1668</f>
        <v>4561.2708069999999</v>
      </c>
      <c r="AH277" s="6">
        <f>[1]Results!AK1668</f>
        <v>4595.6743619999997</v>
      </c>
      <c r="AI277" s="6">
        <f>[1]Results!AL1668</f>
        <v>4631.0730679999997</v>
      </c>
      <c r="AJ277" s="6">
        <f>[1]Results!AM1668</f>
        <v>4667.5597120000002</v>
      </c>
      <c r="AK277" s="6">
        <f>[1]Results!AN1668</f>
        <v>4705.2047499999999</v>
      </c>
      <c r="AL277" s="6">
        <f>[1]Results!AO1668</f>
        <v>4744.0580170000003</v>
      </c>
      <c r="AM277" s="6">
        <f>[1]Results!AP1668</f>
        <v>4783.0415220000004</v>
      </c>
      <c r="AN277" s="6">
        <f>[1]Results!AQ1668</f>
        <v>4822.4190779999999</v>
      </c>
      <c r="AO277" s="6">
        <f>[1]Results!AR1668</f>
        <v>4862.4539619999996</v>
      </c>
      <c r="AP277" s="6">
        <f>[1]Results!AS1668</f>
        <v>4903.3029809999998</v>
      </c>
      <c r="AQ277" s="6">
        <f>[1]Results!AT1668</f>
        <v>4945.0557710000003</v>
      </c>
      <c r="AR277" s="6">
        <f>[1]Results!AU1668</f>
        <v>4987.7655759999998</v>
      </c>
      <c r="AS277" s="6">
        <f>[1]Results!AV1668</f>
        <v>5031.4644660000004</v>
      </c>
      <c r="AT277" s="6">
        <f>[1]Results!AW1668</f>
        <v>5076.1704390000004</v>
      </c>
      <c r="AU277" s="6">
        <f>[1]Results!AX1668</f>
        <v>5121.8911790000002</v>
      </c>
      <c r="AV277" s="6">
        <f>[1]Results!AY1668</f>
        <v>5168.6314279999997</v>
      </c>
      <c r="AW277" s="6">
        <f>[1]Results!AZ1668</f>
        <v>5216.5014719999999</v>
      </c>
      <c r="AX277" s="6">
        <f>[1]Results!BA1668</f>
        <v>5265.4968479999998</v>
      </c>
      <c r="AY277" s="6">
        <f>[1]Results!BB1668</f>
        <v>5315.6122100000002</v>
      </c>
      <c r="AZ277" s="6">
        <f>[1]Results!BC1668</f>
        <v>5366.8468359999997</v>
      </c>
      <c r="BA277" s="6">
        <f>[1]Results!BD1668</f>
        <v>5419.2005820000004</v>
      </c>
      <c r="BB277" s="6">
        <f>[1]Results!BE1668</f>
        <v>5472.672595</v>
      </c>
      <c r="BC277" s="6">
        <f>[1]Results!BF1668</f>
        <v>5527.262009</v>
      </c>
      <c r="BD277" s="6">
        <f>[1]Results!BG1668</f>
        <v>5582.9691819999998</v>
      </c>
      <c r="BE277" s="6">
        <f>[1]Results!BH1668</f>
        <v>5639.7967200000003</v>
      </c>
      <c r="BF277" s="6">
        <f>[1]Results!BI1668</f>
        <v>5697.7501099999999</v>
      </c>
    </row>
    <row r="279" spans="1:58" x14ac:dyDescent="0.35">
      <c r="A279" s="12" t="s">
        <v>21</v>
      </c>
      <c r="B279" t="s">
        <v>26</v>
      </c>
      <c r="C279" s="4">
        <f>C263/C271-1</f>
        <v>-8.6149740180974099E-4</v>
      </c>
      <c r="D279" s="4">
        <f t="shared" ref="D279:AK279" si="162">D263/D271-1</f>
        <v>-2.1706039438176283E-3</v>
      </c>
      <c r="E279" s="4">
        <f t="shared" si="162"/>
        <v>-3.7133913520210893E-3</v>
      </c>
      <c r="F279" s="4">
        <f t="shared" si="162"/>
        <v>-5.4039730281949527E-3</v>
      </c>
      <c r="G279" s="4">
        <f t="shared" si="162"/>
        <v>-7.1939565054793819E-3</v>
      </c>
      <c r="H279" s="4">
        <f t="shared" si="162"/>
        <v>-9.0551914176285608E-3</v>
      </c>
      <c r="I279" s="4">
        <f t="shared" si="162"/>
        <v>-1.09817407872429E-2</v>
      </c>
      <c r="J279" s="4">
        <f t="shared" si="162"/>
        <v>-1.2956146095612464E-2</v>
      </c>
      <c r="K279" s="4">
        <f t="shared" si="162"/>
        <v>-1.4965422108330517E-2</v>
      </c>
      <c r="L279" s="4">
        <f t="shared" si="162"/>
        <v>-1.6999281035706582E-2</v>
      </c>
      <c r="M279" s="4">
        <f t="shared" si="162"/>
        <v>-1.9048193251853363E-2</v>
      </c>
      <c r="N279" s="4">
        <f t="shared" si="162"/>
        <v>-2.1147002077532173E-2</v>
      </c>
      <c r="O279" s="4">
        <f t="shared" si="162"/>
        <v>-2.3268778071908414E-2</v>
      </c>
      <c r="P279" s="4">
        <f t="shared" si="162"/>
        <v>-2.5395527186709566E-2</v>
      </c>
      <c r="Q279" s="4">
        <f t="shared" si="162"/>
        <v>-2.7515041564791676E-2</v>
      </c>
      <c r="R279" s="4">
        <f t="shared" si="162"/>
        <v>-2.9618226706627615E-2</v>
      </c>
      <c r="S279" s="4">
        <f t="shared" si="162"/>
        <v>-3.1738445806802851E-2</v>
      </c>
      <c r="T279" s="4">
        <f t="shared" si="162"/>
        <v>-3.385145372100351E-2</v>
      </c>
      <c r="U279" s="4">
        <f t="shared" si="162"/>
        <v>-3.5942532762816559E-2</v>
      </c>
      <c r="V279" s="4">
        <f t="shared" si="162"/>
        <v>-3.8002892026105961E-2</v>
      </c>
      <c r="W279" s="4">
        <f t="shared" si="162"/>
        <v>-4.0027603095172393E-2</v>
      </c>
      <c r="X279" s="4">
        <f t="shared" si="162"/>
        <v>-4.2010322807561118E-2</v>
      </c>
      <c r="Y279" s="4">
        <f t="shared" si="162"/>
        <v>-4.3948271831416919E-2</v>
      </c>
      <c r="Z279" s="4">
        <f t="shared" si="162"/>
        <v>-4.5839754095873153E-2</v>
      </c>
      <c r="AA279" s="4">
        <f t="shared" si="162"/>
        <v>-4.7683366110232273E-2</v>
      </c>
      <c r="AB279" s="4">
        <f t="shared" si="162"/>
        <v>-4.9480574937345367E-2</v>
      </c>
      <c r="AC279" s="4">
        <f t="shared" si="162"/>
        <v>-5.1211535897773719E-2</v>
      </c>
      <c r="AD279" s="4">
        <f t="shared" si="162"/>
        <v>-5.2881159299015268E-2</v>
      </c>
      <c r="AE279" s="4">
        <f t="shared" si="162"/>
        <v>-5.4492502895228889E-2</v>
      </c>
      <c r="AF279" s="4">
        <f t="shared" si="162"/>
        <v>-5.6047038026286744E-2</v>
      </c>
      <c r="AG279" s="4">
        <f t="shared" si="162"/>
        <v>-5.7545237032241792E-2</v>
      </c>
      <c r="AH279" s="4">
        <f t="shared" si="162"/>
        <v>-5.897976287484985E-2</v>
      </c>
      <c r="AI279" s="4">
        <f>AI263/AI271-1</f>
        <v>-6.0353203124476007E-2</v>
      </c>
      <c r="AJ279" s="4">
        <f t="shared" si="162"/>
        <v>-6.1666604188042373E-2</v>
      </c>
      <c r="AK279" s="4">
        <f t="shared" si="162"/>
        <v>-6.2920135764228835E-2</v>
      </c>
      <c r="AL279" s="4">
        <f>AL263/AL271-1</f>
        <v>-6.4113622509106794E-2</v>
      </c>
      <c r="AM279" s="4">
        <f t="shared" ref="AM279:BC279" si="163">AM263/AM271-1</f>
        <v>-6.518860534234916E-2</v>
      </c>
      <c r="AN279" s="4">
        <f t="shared" si="163"/>
        <v>-6.6169575790034796E-2</v>
      </c>
      <c r="AO279" s="4">
        <f t="shared" si="163"/>
        <v>-6.7070023679853374E-2</v>
      </c>
      <c r="AP279" s="4">
        <f t="shared" si="163"/>
        <v>-6.7897241432295585E-2</v>
      </c>
      <c r="AQ279" s="4">
        <f t="shared" si="163"/>
        <v>-6.8655811283851009E-2</v>
      </c>
      <c r="AR279" s="4">
        <f t="shared" si="163"/>
        <v>-6.9340253550418063E-2</v>
      </c>
      <c r="AS279" s="4">
        <f t="shared" si="163"/>
        <v>-6.9956988037587098E-2</v>
      </c>
      <c r="AT279" s="4">
        <f t="shared" si="163"/>
        <v>-7.0510626780369567E-2</v>
      </c>
      <c r="AU279" s="4">
        <f t="shared" si="163"/>
        <v>-7.1004725397865731E-2</v>
      </c>
      <c r="AV279" s="4">
        <f t="shared" si="163"/>
        <v>-7.1442349967976937E-2</v>
      </c>
      <c r="AW279" s="4">
        <f t="shared" si="163"/>
        <v>-7.1798155637165073E-2</v>
      </c>
      <c r="AX279" s="4">
        <f t="shared" si="163"/>
        <v>-7.2086231035774828E-2</v>
      </c>
      <c r="AY279" s="4">
        <f t="shared" si="163"/>
        <v>-7.2315896550904757E-2</v>
      </c>
      <c r="AZ279" s="4">
        <f t="shared" si="163"/>
        <v>-7.2493527978900518E-2</v>
      </c>
      <c r="BA279" s="4">
        <f t="shared" si="163"/>
        <v>-7.2624106078687523E-2</v>
      </c>
      <c r="BB279" s="4">
        <f t="shared" si="163"/>
        <v>-7.2695353093108372E-2</v>
      </c>
      <c r="BC279" s="4">
        <f t="shared" si="163"/>
        <v>-7.2717852562012686E-2</v>
      </c>
      <c r="BD279" s="4">
        <f t="shared" ref="BD279:BF279" si="164">BD263/BD271-1</f>
        <v>-7.269925868172733E-2</v>
      </c>
      <c r="BE279" s="4">
        <f t="shared" si="164"/>
        <v>-7.2645403950645449E-2</v>
      </c>
      <c r="BF279" s="4">
        <f t="shared" si="164"/>
        <v>-7.256119253312332E-2</v>
      </c>
    </row>
    <row r="280" spans="1:58" x14ac:dyDescent="0.35">
      <c r="A280" t="s">
        <v>88</v>
      </c>
      <c r="B280" t="s">
        <v>7</v>
      </c>
      <c r="C280" s="4">
        <f>(C264-C272)/C$271</f>
        <v>-1.1217554766100023E-5</v>
      </c>
      <c r="D280" s="4">
        <f t="shared" ref="D280:AL280" si="165">(D264-D272)/D$271</f>
        <v>-2.7371881585060262E-5</v>
      </c>
      <c r="E280" s="4">
        <f t="shared" si="165"/>
        <v>-4.5738289149527694E-5</v>
      </c>
      <c r="F280" s="4">
        <f t="shared" si="165"/>
        <v>-6.5199625795950416E-5</v>
      </c>
      <c r="G280" s="4">
        <f t="shared" si="165"/>
        <v>-8.5127500508744313E-5</v>
      </c>
      <c r="H280" s="4">
        <f t="shared" si="165"/>
        <v>-1.0511831120805799E-4</v>
      </c>
      <c r="I280" s="4">
        <f t="shared" si="165"/>
        <v>-1.250508884235599E-4</v>
      </c>
      <c r="J280" s="4">
        <f t="shared" si="165"/>
        <v>-1.4461835720616079E-4</v>
      </c>
      <c r="K280" s="4">
        <f t="shared" si="165"/>
        <v>-1.6358940649145089E-4</v>
      </c>
      <c r="L280" s="4">
        <f t="shared" si="165"/>
        <v>-1.8178454931542512E-4</v>
      </c>
      <c r="M280" s="4">
        <f t="shared" si="165"/>
        <v>-1.9914737696153696E-4</v>
      </c>
      <c r="N280" s="4">
        <f t="shared" si="165"/>
        <v>-2.1618710025247099E-4</v>
      </c>
      <c r="O280" s="4">
        <f t="shared" si="165"/>
        <v>-2.3255543602757514E-4</v>
      </c>
      <c r="P280" s="4">
        <f t="shared" si="165"/>
        <v>-2.4807785394052135E-4</v>
      </c>
      <c r="Q280" s="4">
        <f t="shared" si="165"/>
        <v>-2.6265540466661915E-4</v>
      </c>
      <c r="R280" s="4">
        <f t="shared" si="165"/>
        <v>-2.7622892029084608E-4</v>
      </c>
      <c r="S280" s="4">
        <f t="shared" si="165"/>
        <v>-2.8931139737740935E-4</v>
      </c>
      <c r="T280" s="4">
        <f t="shared" si="165"/>
        <v>-3.0159613444572143E-4</v>
      </c>
      <c r="U280" s="4">
        <f t="shared" si="165"/>
        <v>-3.1296756621180827E-4</v>
      </c>
      <c r="V280" s="4">
        <f t="shared" si="165"/>
        <v>-3.2338880560026074E-4</v>
      </c>
      <c r="W280" s="4">
        <f t="shared" si="165"/>
        <v>-3.3284440235648873E-4</v>
      </c>
      <c r="X280" s="4">
        <f t="shared" si="165"/>
        <v>-3.4136596158476726E-4</v>
      </c>
      <c r="Y280" s="4">
        <f t="shared" si="165"/>
        <v>-3.4898670841150488E-4</v>
      </c>
      <c r="Z280" s="4">
        <f t="shared" si="165"/>
        <v>-3.5575370129016092E-4</v>
      </c>
      <c r="AA280" s="4">
        <f t="shared" si="165"/>
        <v>-3.6171935829624232E-4</v>
      </c>
      <c r="AB280" s="4">
        <f t="shared" si="165"/>
        <v>-3.6687598516833814E-4</v>
      </c>
      <c r="AC280" s="4">
        <f t="shared" si="165"/>
        <v>-3.711293446177929E-4</v>
      </c>
      <c r="AD280" s="4">
        <f t="shared" si="165"/>
        <v>-3.7464360231296716E-4</v>
      </c>
      <c r="AE280" s="4">
        <f t="shared" si="165"/>
        <v>-3.7752379823065063E-4</v>
      </c>
      <c r="AF280" s="4">
        <f t="shared" si="165"/>
        <v>-3.7985303269401344E-4</v>
      </c>
      <c r="AG280" s="4">
        <f t="shared" si="165"/>
        <v>-3.8169874686958482E-4</v>
      </c>
      <c r="AH280" s="4">
        <f t="shared" si="165"/>
        <v>-3.8301499528203093E-4</v>
      </c>
      <c r="AI280" s="4">
        <f t="shared" si="165"/>
        <v>-3.8390266100720631E-4</v>
      </c>
      <c r="AJ280" s="4">
        <f t="shared" si="165"/>
        <v>-3.8442243382592222E-4</v>
      </c>
      <c r="AK280" s="4">
        <f t="shared" si="165"/>
        <v>-3.8461788955611661E-4</v>
      </c>
      <c r="AL280" s="4">
        <f t="shared" si="165"/>
        <v>-3.8452316755232521E-4</v>
      </c>
      <c r="AM280" s="4">
        <f t="shared" ref="AM280:BC280" si="166">(AM264-AM272)/AM$271</f>
        <v>-3.8330432957128124E-4</v>
      </c>
      <c r="AN280" s="4">
        <f t="shared" si="166"/>
        <v>-3.8146028365837914E-4</v>
      </c>
      <c r="AO280" s="4">
        <f t="shared" si="166"/>
        <v>-3.7920366707040894E-4</v>
      </c>
      <c r="AP280" s="4">
        <f t="shared" si="166"/>
        <v>-3.7665434114921443E-4</v>
      </c>
      <c r="AQ280" s="4">
        <f t="shared" si="166"/>
        <v>-3.7389378381397209E-4</v>
      </c>
      <c r="AR280" s="4">
        <f t="shared" si="166"/>
        <v>-3.7085577155963331E-4</v>
      </c>
      <c r="AS280" s="4">
        <f t="shared" si="166"/>
        <v>-3.6765792832080176E-4</v>
      </c>
      <c r="AT280" s="4">
        <f t="shared" si="166"/>
        <v>-3.643668111678354E-4</v>
      </c>
      <c r="AU280" s="4">
        <f t="shared" si="166"/>
        <v>-3.6102763020347787E-4</v>
      </c>
      <c r="AV280" s="4">
        <f t="shared" si="166"/>
        <v>-3.5767296594954449E-4</v>
      </c>
      <c r="AW280" s="4">
        <f t="shared" si="166"/>
        <v>-3.5391477960266859E-4</v>
      </c>
      <c r="AX280" s="4">
        <f t="shared" si="166"/>
        <v>-3.499899817983125E-4</v>
      </c>
      <c r="AY280" s="4">
        <f t="shared" si="166"/>
        <v>-3.4600047649003548E-4</v>
      </c>
      <c r="AZ280" s="4">
        <f t="shared" si="166"/>
        <v>-3.420041106287648E-4</v>
      </c>
      <c r="BA280" s="4">
        <f t="shared" si="166"/>
        <v>-3.3803857578570008E-4</v>
      </c>
      <c r="BB280" s="4">
        <f t="shared" si="166"/>
        <v>-3.338837021628302E-4</v>
      </c>
      <c r="BC280" s="4">
        <f t="shared" si="166"/>
        <v>-3.2969146089779824E-4</v>
      </c>
      <c r="BD280" s="4">
        <f t="shared" ref="BD280:BF280" si="167">(BD264-BD272)/BD$271</f>
        <v>-3.2553006094676557E-4</v>
      </c>
      <c r="BE280" s="4">
        <f t="shared" si="167"/>
        <v>-3.214396437956789E-4</v>
      </c>
      <c r="BF280" s="4">
        <f t="shared" si="167"/>
        <v>-3.1744650060311981E-4</v>
      </c>
    </row>
    <row r="281" spans="1:58" x14ac:dyDescent="0.35">
      <c r="B281" t="s">
        <v>30</v>
      </c>
      <c r="C281" s="4">
        <f t="shared" ref="C281:AL281" si="168">(C265-C273)/C$271</f>
        <v>-4.7083378102906785E-4</v>
      </c>
      <c r="D281" s="4">
        <f t="shared" si="168"/>
        <v>-1.1838751096005778E-3</v>
      </c>
      <c r="E281" s="4">
        <f t="shared" si="168"/>
        <v>-2.0238685097048134E-3</v>
      </c>
      <c r="F281" s="4">
        <f t="shared" si="168"/>
        <v>-2.9475528498426355E-3</v>
      </c>
      <c r="G281" s="4">
        <f t="shared" si="168"/>
        <v>-3.9301298127965185E-3</v>
      </c>
      <c r="H281" s="4">
        <f t="shared" si="168"/>
        <v>-4.9580629742425669E-3</v>
      </c>
      <c r="I281" s="4">
        <f t="shared" si="168"/>
        <v>-6.0302430986442597E-3</v>
      </c>
      <c r="J281" s="4">
        <f t="shared" si="168"/>
        <v>-7.1390825669960705E-3</v>
      </c>
      <c r="K281" s="4">
        <f t="shared" si="168"/>
        <v>-8.279132684138971E-3</v>
      </c>
      <c r="L281" s="4">
        <f t="shared" si="168"/>
        <v>-9.4459280375226023E-3</v>
      </c>
      <c r="M281" s="4">
        <f t="shared" si="168"/>
        <v>-1.0635016116235805E-2</v>
      </c>
      <c r="N281" s="4">
        <f t="shared" si="168"/>
        <v>-1.1865976551919099E-2</v>
      </c>
      <c r="O281" s="4">
        <f t="shared" si="168"/>
        <v>-1.3124049658307069E-2</v>
      </c>
      <c r="P281" s="4">
        <f t="shared" si="168"/>
        <v>-1.4399470675211886E-2</v>
      </c>
      <c r="Q281" s="4">
        <f t="shared" si="168"/>
        <v>-1.5685442201704966E-2</v>
      </c>
      <c r="R281" s="4">
        <f t="shared" si="168"/>
        <v>-1.6976688741183299E-2</v>
      </c>
      <c r="S281" s="4">
        <f t="shared" si="168"/>
        <v>-1.8291136778676585E-2</v>
      </c>
      <c r="T281" s="4">
        <f t="shared" si="168"/>
        <v>-1.9614444959880344E-2</v>
      </c>
      <c r="U281" s="4">
        <f t="shared" si="168"/>
        <v>-2.093774883341766E-2</v>
      </c>
      <c r="V281" s="4">
        <f t="shared" si="168"/>
        <v>-2.2255256201638488E-2</v>
      </c>
      <c r="W281" s="4">
        <f t="shared" si="168"/>
        <v>-2.3563668941749234E-2</v>
      </c>
      <c r="X281" s="4">
        <f t="shared" si="168"/>
        <v>-2.4857722354477866E-2</v>
      </c>
      <c r="Y281" s="4">
        <f t="shared" si="168"/>
        <v>-2.6134380735227187E-2</v>
      </c>
      <c r="Z281" s="4">
        <f t="shared" si="168"/>
        <v>-2.7391300869697172E-2</v>
      </c>
      <c r="AA281" s="4">
        <f t="shared" si="168"/>
        <v>-2.8626251980100839E-2</v>
      </c>
      <c r="AB281" s="4">
        <f t="shared" si="168"/>
        <v>-2.9840761154834743E-2</v>
      </c>
      <c r="AC281" s="4">
        <f t="shared" si="168"/>
        <v>-3.102073691510248E-2</v>
      </c>
      <c r="AD281" s="4">
        <f t="shared" si="168"/>
        <v>-3.2166811316473053E-2</v>
      </c>
      <c r="AE281" s="4">
        <f t="shared" si="168"/>
        <v>-3.3278752480101315E-2</v>
      </c>
      <c r="AF281" s="4">
        <f t="shared" si="168"/>
        <v>-3.4355525897345043E-2</v>
      </c>
      <c r="AG281" s="4">
        <f t="shared" si="168"/>
        <v>-3.5395654498675953E-2</v>
      </c>
      <c r="AH281" s="4">
        <f t="shared" si="168"/>
        <v>-3.6393498567451943E-2</v>
      </c>
      <c r="AI281" s="4">
        <f t="shared" si="168"/>
        <v>-3.7349049221815374E-2</v>
      </c>
      <c r="AJ281" s="4">
        <f t="shared" si="168"/>
        <v>-3.8261515363794886E-2</v>
      </c>
      <c r="AK281" s="4">
        <f t="shared" si="168"/>
        <v>-3.9129764011172262E-2</v>
      </c>
      <c r="AL281" s="4">
        <f t="shared" si="168"/>
        <v>-3.995260444624027E-2</v>
      </c>
      <c r="AM281" s="4">
        <f t="shared" ref="AM281:BC281" si="169">(AM265-AM273)/AM$271</f>
        <v>-4.069771496465549E-2</v>
      </c>
      <c r="AN281" s="4">
        <f t="shared" si="169"/>
        <v>-4.137770318272567E-2</v>
      </c>
      <c r="AO281" s="4">
        <f t="shared" si="169"/>
        <v>-4.1998635890077109E-2</v>
      </c>
      <c r="AP281" s="4">
        <f t="shared" si="169"/>
        <v>-4.2563421380256733E-2</v>
      </c>
      <c r="AQ281" s="4">
        <f t="shared" si="169"/>
        <v>-4.3073681902238516E-2</v>
      </c>
      <c r="AR281" s="4">
        <f t="shared" si="169"/>
        <v>-4.3525680480639622E-2</v>
      </c>
      <c r="AS281" s="4">
        <f t="shared" si="169"/>
        <v>-4.3922437947292371E-2</v>
      </c>
      <c r="AT281" s="4">
        <f t="shared" si="169"/>
        <v>-4.4266091400352967E-2</v>
      </c>
      <c r="AU281" s="4">
        <f t="shared" si="169"/>
        <v>-4.4558404330601771E-2</v>
      </c>
      <c r="AV281" s="4">
        <f t="shared" si="169"/>
        <v>-4.4801070664570147E-2</v>
      </c>
      <c r="AW281" s="4">
        <f t="shared" si="169"/>
        <v>-4.498028897419442E-2</v>
      </c>
      <c r="AX281" s="4">
        <f t="shared" si="169"/>
        <v>-4.510430546226523E-2</v>
      </c>
      <c r="AY281" s="4">
        <f t="shared" si="169"/>
        <v>-4.5178628955112828E-2</v>
      </c>
      <c r="AZ281" s="4">
        <f t="shared" si="169"/>
        <v>-4.5207295460158094E-2</v>
      </c>
      <c r="BA281" s="4">
        <f t="shared" si="169"/>
        <v>-4.5193697154956816E-2</v>
      </c>
      <c r="BB281" s="4">
        <f t="shared" si="169"/>
        <v>-4.5131838951879055E-2</v>
      </c>
      <c r="BC281" s="4">
        <f t="shared" si="169"/>
        <v>-4.5028432353878649E-2</v>
      </c>
      <c r="BD281" s="4">
        <f t="shared" ref="BD281:BF281" si="170">(BD265-BD273)/BD$271</f>
        <v>-4.488850238672145E-2</v>
      </c>
      <c r="BE281" s="4">
        <f t="shared" si="170"/>
        <v>-4.4716163280664273E-2</v>
      </c>
      <c r="BF281" s="4">
        <f t="shared" si="170"/>
        <v>-4.4515097710815126E-2</v>
      </c>
    </row>
    <row r="282" spans="1:58" x14ac:dyDescent="0.35">
      <c r="B282" t="s">
        <v>28</v>
      </c>
      <c r="C282" s="4">
        <f t="shared" ref="C282:AL282" si="171">(C266-C274)/C$271</f>
        <v>-2.8026877992343243E-5</v>
      </c>
      <c r="D282" s="4">
        <f t="shared" si="171"/>
        <v>-6.5945613529408111E-5</v>
      </c>
      <c r="E282" s="4">
        <f t="shared" si="171"/>
        <v>-1.0682348635439907E-4</v>
      </c>
      <c r="F282" s="4">
        <f t="shared" si="171"/>
        <v>-1.4895845835748343E-4</v>
      </c>
      <c r="G282" s="4">
        <f t="shared" si="171"/>
        <v>-1.9142125756584395E-4</v>
      </c>
      <c r="H282" s="4">
        <f t="shared" si="171"/>
        <v>-2.3370607123837056E-4</v>
      </c>
      <c r="I282" s="4">
        <f t="shared" si="171"/>
        <v>-2.7587588128185849E-4</v>
      </c>
      <c r="J282" s="4">
        <f t="shared" si="171"/>
        <v>-3.1753524658341404E-4</v>
      </c>
      <c r="K282" s="4">
        <f t="shared" si="171"/>
        <v>-3.5847202775361655E-4</v>
      </c>
      <c r="L282" s="4">
        <f t="shared" si="171"/>
        <v>-3.9856407046567443E-4</v>
      </c>
      <c r="M282" s="4">
        <f t="shared" si="171"/>
        <v>-4.3785387985758922E-4</v>
      </c>
      <c r="N282" s="4">
        <f t="shared" si="171"/>
        <v>-4.775087216760062E-4</v>
      </c>
      <c r="O282" s="4">
        <f t="shared" si="171"/>
        <v>-5.1665877905957664E-4</v>
      </c>
      <c r="P282" s="4">
        <f t="shared" si="171"/>
        <v>-5.5495254686592109E-4</v>
      </c>
      <c r="Q282" s="4">
        <f t="shared" si="171"/>
        <v>-5.9226010095228966E-4</v>
      </c>
      <c r="R282" s="4">
        <f t="shared" si="171"/>
        <v>-6.2853748748430301E-4</v>
      </c>
      <c r="S282" s="4">
        <f t="shared" si="171"/>
        <v>-6.6513143279713137E-4</v>
      </c>
      <c r="T282" s="4">
        <f t="shared" si="171"/>
        <v>-7.0119939466833144E-4</v>
      </c>
      <c r="U282" s="4">
        <f t="shared" si="171"/>
        <v>-7.364330769499284E-4</v>
      </c>
      <c r="V282" s="4">
        <f t="shared" si="171"/>
        <v>-7.7074617261474118E-4</v>
      </c>
      <c r="W282" s="4">
        <f t="shared" si="171"/>
        <v>-8.0399279307588514E-4</v>
      </c>
      <c r="X282" s="4">
        <f t="shared" si="171"/>
        <v>-8.3644112985036781E-4</v>
      </c>
      <c r="Y282" s="4">
        <f t="shared" si="171"/>
        <v>-8.6804964983846805E-4</v>
      </c>
      <c r="Z282" s="4">
        <f t="shared" si="171"/>
        <v>-8.9883998556684647E-4</v>
      </c>
      <c r="AA282" s="4">
        <f t="shared" si="171"/>
        <v>-9.2885224112263269E-4</v>
      </c>
      <c r="AB282" s="4">
        <f t="shared" si="171"/>
        <v>-9.5766795475931798E-4</v>
      </c>
      <c r="AC282" s="4">
        <f t="shared" si="171"/>
        <v>-9.8551384817801365E-4</v>
      </c>
      <c r="AD282" s="4">
        <f t="shared" si="171"/>
        <v>-1.0126538654211996E-3</v>
      </c>
      <c r="AE282" s="4">
        <f t="shared" si="171"/>
        <v>-1.0392213122808027E-3</v>
      </c>
      <c r="AF282" s="4">
        <f t="shared" si="171"/>
        <v>-1.0652914611269197E-3</v>
      </c>
      <c r="AG282" s="4">
        <f t="shared" si="171"/>
        <v>-1.0909114757311465E-3</v>
      </c>
      <c r="AH282" s="4">
        <f t="shared" si="171"/>
        <v>-1.1158755559624528E-3</v>
      </c>
      <c r="AI282" s="4">
        <f t="shared" si="171"/>
        <v>-1.1403506502722079E-3</v>
      </c>
      <c r="AJ282" s="4">
        <f t="shared" si="171"/>
        <v>-1.1644093240128794E-3</v>
      </c>
      <c r="AK282" s="4">
        <f t="shared" si="171"/>
        <v>-1.1880840080859423E-3</v>
      </c>
      <c r="AL282" s="4">
        <f t="shared" si="171"/>
        <v>-1.2113918644226563E-3</v>
      </c>
      <c r="AM282" s="4">
        <f t="shared" ref="AM282:BC282" si="172">(AM266-AM274)/AM$271</f>
        <v>-1.2322817178068916E-3</v>
      </c>
      <c r="AN282" s="4">
        <f t="shared" si="172"/>
        <v>-1.2520776204812231E-3</v>
      </c>
      <c r="AO282" s="4">
        <f t="shared" si="172"/>
        <v>-1.2712962473816081E-3</v>
      </c>
      <c r="AP282" s="4">
        <f t="shared" si="172"/>
        <v>-1.2901347741314398E-3</v>
      </c>
      <c r="AQ282" s="4">
        <f t="shared" si="172"/>
        <v>-1.3086816779246918E-3</v>
      </c>
      <c r="AR282" s="4">
        <f t="shared" si="172"/>
        <v>-1.3266961278479653E-3</v>
      </c>
      <c r="AS282" s="4">
        <f t="shared" si="172"/>
        <v>-1.3443833101677268E-3</v>
      </c>
      <c r="AT282" s="4">
        <f t="shared" si="172"/>
        <v>-1.3618359330126696E-3</v>
      </c>
      <c r="AU282" s="4">
        <f t="shared" si="172"/>
        <v>-1.3790984856757479E-3</v>
      </c>
      <c r="AV282" s="4">
        <f t="shared" si="172"/>
        <v>-1.3961961673200597E-3</v>
      </c>
      <c r="AW282" s="4">
        <f t="shared" si="172"/>
        <v>-1.4122358668366226E-3</v>
      </c>
      <c r="AX282" s="4">
        <f t="shared" si="172"/>
        <v>-1.4277606773930474E-3</v>
      </c>
      <c r="AY282" s="4">
        <f t="shared" si="172"/>
        <v>-1.4429953799134558E-3</v>
      </c>
      <c r="AZ282" s="4">
        <f t="shared" si="172"/>
        <v>-1.4580321552729537E-3</v>
      </c>
      <c r="BA282" s="4">
        <f t="shared" si="172"/>
        <v>-1.4729151240827874E-3</v>
      </c>
      <c r="BB282" s="4">
        <f t="shared" si="172"/>
        <v>-1.4871271918506918E-3</v>
      </c>
      <c r="BC282" s="4">
        <f t="shared" si="172"/>
        <v>-1.5010034751343465E-3</v>
      </c>
      <c r="BD282" s="4">
        <f t="shared" ref="BD282:BF282" si="173">(BD266-BD274)/BD$271</f>
        <v>-1.5146854195640855E-3</v>
      </c>
      <c r="BE282" s="4">
        <f t="shared" si="173"/>
        <v>-1.5282334809853602E-3</v>
      </c>
      <c r="BF282" s="4">
        <f t="shared" si="173"/>
        <v>-1.5416778143113232E-3</v>
      </c>
    </row>
    <row r="283" spans="1:58" x14ac:dyDescent="0.35">
      <c r="B283" t="s">
        <v>10</v>
      </c>
      <c r="C283" s="4">
        <f t="shared" ref="C283:AL283" si="174">(C267-C275)/C$271</f>
        <v>-3.4111057834684214E-4</v>
      </c>
      <c r="D283" s="4">
        <f t="shared" si="174"/>
        <v>-8.6187860129704964E-4</v>
      </c>
      <c r="E283" s="4">
        <f t="shared" si="174"/>
        <v>-1.4805109671979968E-3</v>
      </c>
      <c r="F283" s="4">
        <f t="shared" si="174"/>
        <v>-2.1598954311989179E-3</v>
      </c>
      <c r="G283" s="4">
        <f t="shared" si="174"/>
        <v>-2.8790758642885574E-3</v>
      </c>
      <c r="H283" s="4">
        <f t="shared" si="174"/>
        <v>-3.6248451639541894E-3</v>
      </c>
      <c r="I283" s="4">
        <f t="shared" si="174"/>
        <v>-4.3924985710699065E-3</v>
      </c>
      <c r="J283" s="4">
        <f t="shared" si="174"/>
        <v>-5.1731373494611557E-3</v>
      </c>
      <c r="K283" s="4">
        <f t="shared" si="174"/>
        <v>-5.9600308470303736E-3</v>
      </c>
      <c r="L283" s="4">
        <f t="shared" si="174"/>
        <v>-6.7480313119996664E-3</v>
      </c>
      <c r="M283" s="4">
        <f t="shared" si="174"/>
        <v>-7.5323718309698593E-3</v>
      </c>
      <c r="N283" s="4">
        <f t="shared" si="174"/>
        <v>-8.3261142899869172E-3</v>
      </c>
      <c r="O283" s="4">
        <f t="shared" si="174"/>
        <v>-9.1186411634866741E-3</v>
      </c>
      <c r="P283" s="4">
        <f t="shared" si="174"/>
        <v>-9.9023446781573432E-3</v>
      </c>
      <c r="Q283" s="4">
        <f t="shared" si="174"/>
        <v>-1.0671954970572746E-2</v>
      </c>
      <c r="R283" s="4">
        <f t="shared" si="174"/>
        <v>-1.1423583762478798E-2</v>
      </c>
      <c r="S283" s="4">
        <f t="shared" si="174"/>
        <v>-1.217002306706832E-2</v>
      </c>
      <c r="T283" s="4">
        <f t="shared" si="174"/>
        <v>-1.2902670384429207E-2</v>
      </c>
      <c r="U283" s="4">
        <f t="shared" si="174"/>
        <v>-1.3616162072219246E-2</v>
      </c>
      <c r="V283" s="4">
        <f t="shared" si="174"/>
        <v>-1.4307632170737257E-2</v>
      </c>
      <c r="W283" s="4">
        <f t="shared" si="174"/>
        <v>-1.4975627724605634E-2</v>
      </c>
      <c r="X283" s="4">
        <f t="shared" si="174"/>
        <v>-1.5618679142394731E-2</v>
      </c>
      <c r="Y283" s="4">
        <f t="shared" si="174"/>
        <v>-1.6237015335884883E-2</v>
      </c>
      <c r="Z283" s="4">
        <f t="shared" si="174"/>
        <v>-1.6831161785116296E-2</v>
      </c>
      <c r="AA283" s="4">
        <f t="shared" si="174"/>
        <v>-1.74017811631287E-2</v>
      </c>
      <c r="AB283" s="4">
        <f t="shared" si="174"/>
        <v>-1.7949294609167981E-2</v>
      </c>
      <c r="AC283" s="4">
        <f t="shared" si="174"/>
        <v>-1.8467785611340614E-2</v>
      </c>
      <c r="AD283" s="4">
        <f t="shared" si="174"/>
        <v>-1.8960949499067216E-2</v>
      </c>
      <c r="AE283" s="4">
        <f t="shared" si="174"/>
        <v>-1.9431738434322901E-2</v>
      </c>
      <c r="AF283" s="4">
        <f t="shared" si="174"/>
        <v>-1.9882424098795447E-2</v>
      </c>
      <c r="AG283" s="4">
        <f t="shared" si="174"/>
        <v>-2.0314776601179411E-2</v>
      </c>
      <c r="AH283" s="4">
        <f t="shared" si="174"/>
        <v>-2.0727396950361108E-2</v>
      </c>
      <c r="AI283" s="4">
        <f t="shared" si="174"/>
        <v>-2.1122518703836881E-2</v>
      </c>
      <c r="AJ283" s="4">
        <f t="shared" si="174"/>
        <v>-2.1501776470441422E-2</v>
      </c>
      <c r="AK283" s="4">
        <f t="shared" si="174"/>
        <v>-2.1866345700653329E-2</v>
      </c>
      <c r="AL283" s="4">
        <f t="shared" si="174"/>
        <v>-2.2217151398543637E-2</v>
      </c>
      <c r="AM283" s="4">
        <f t="shared" ref="AM283:BC283" si="175">(AM267-AM275)/AM$271</f>
        <v>-2.2531766960348164E-2</v>
      </c>
      <c r="AN283" s="4">
        <f t="shared" si="175"/>
        <v>-2.2819819405250987E-2</v>
      </c>
      <c r="AO283" s="4">
        <f t="shared" si="175"/>
        <v>-2.3087768845236039E-2</v>
      </c>
      <c r="AP283" s="4">
        <f t="shared" si="175"/>
        <v>-2.3339560987562295E-2</v>
      </c>
      <c r="AQ283" s="4">
        <f t="shared" si="175"/>
        <v>-2.3577921851111374E-2</v>
      </c>
      <c r="AR283" s="4">
        <f t="shared" si="175"/>
        <v>-2.3801499979781E-2</v>
      </c>
      <c r="AS283" s="4">
        <f t="shared" si="175"/>
        <v>-2.4013297207272237E-2</v>
      </c>
      <c r="AT283" s="4">
        <f t="shared" si="175"/>
        <v>-2.4215586091780251E-2</v>
      </c>
      <c r="AU283" s="4">
        <f t="shared" si="175"/>
        <v>-2.4410045121065888E-2</v>
      </c>
      <c r="AV283" s="4">
        <f t="shared" si="175"/>
        <v>-2.4597968946075667E-2</v>
      </c>
      <c r="AW283" s="4">
        <f t="shared" si="175"/>
        <v>-2.4769431101919502E-2</v>
      </c>
      <c r="AX283" s="4">
        <f t="shared" si="175"/>
        <v>-2.4929290620532538E-2</v>
      </c>
      <c r="AY283" s="4">
        <f t="shared" si="175"/>
        <v>-2.5080904077205989E-2</v>
      </c>
      <c r="AZ283" s="4">
        <f t="shared" si="175"/>
        <v>-2.5226376252193487E-2</v>
      </c>
      <c r="BA283" s="4">
        <f t="shared" si="175"/>
        <v>-2.5367158606115107E-2</v>
      </c>
      <c r="BB283" s="4">
        <f t="shared" si="175"/>
        <v>-2.5497882119231825E-2</v>
      </c>
      <c r="BC283" s="4">
        <f t="shared" si="175"/>
        <v>-2.5621809059539553E-2</v>
      </c>
      <c r="BD283" s="4">
        <f t="shared" ref="BD283:BF283" si="176">(BD267-BD275)/BD$271</f>
        <v>-2.5741288918319269E-2</v>
      </c>
      <c r="BE283" s="4">
        <f t="shared" si="176"/>
        <v>-2.5857895941731494E-2</v>
      </c>
      <c r="BF283" s="4">
        <f t="shared" si="176"/>
        <v>-2.5972767656756202E-2</v>
      </c>
    </row>
    <row r="284" spans="1:58" x14ac:dyDescent="0.35">
      <c r="B284" t="s">
        <v>31</v>
      </c>
      <c r="C284" s="4">
        <f t="shared" ref="C284:AL284" si="177">(C268-C276)/C$271</f>
        <v>-6.0249349470036206E-6</v>
      </c>
      <c r="D284" s="4">
        <f t="shared" si="177"/>
        <v>-1.5353096827281629E-5</v>
      </c>
      <c r="E284" s="4">
        <f t="shared" si="177"/>
        <v>-2.6018711961489933E-5</v>
      </c>
      <c r="F284" s="4">
        <f t="shared" si="177"/>
        <v>-3.7381067230909357E-5</v>
      </c>
      <c r="G284" s="4">
        <f t="shared" si="177"/>
        <v>-4.9136636598034919E-5</v>
      </c>
      <c r="H284" s="4">
        <f t="shared" si="177"/>
        <v>-6.1110301897506481E-5</v>
      </c>
      <c r="I284" s="4">
        <f t="shared" si="177"/>
        <v>-7.3284950809287598E-5</v>
      </c>
      <c r="J284" s="4">
        <f t="shared" si="177"/>
        <v>-8.548193303962667E-5</v>
      </c>
      <c r="K284" s="4">
        <f t="shared" si="177"/>
        <v>-9.7538890939469295E-5</v>
      </c>
      <c r="L284" s="4">
        <f t="shared" si="177"/>
        <v>-1.0931407275147054E-4</v>
      </c>
      <c r="M284" s="4">
        <f t="shared" si="177"/>
        <v>-1.2078851455258939E-4</v>
      </c>
      <c r="N284" s="4">
        <f t="shared" si="177"/>
        <v>-1.3220185282765456E-4</v>
      </c>
      <c r="O284" s="4">
        <f t="shared" si="177"/>
        <v>-1.4335725209637285E-4</v>
      </c>
      <c r="P284" s="4">
        <f t="shared" si="177"/>
        <v>-1.5415596766761919E-4</v>
      </c>
      <c r="Q284" s="4">
        <f t="shared" si="177"/>
        <v>-1.6456597080008822E-4</v>
      </c>
      <c r="R284" s="4">
        <f t="shared" si="177"/>
        <v>-1.7458623002968989E-4</v>
      </c>
      <c r="S284" s="4">
        <f t="shared" si="177"/>
        <v>-1.845115909994583E-4</v>
      </c>
      <c r="T284" s="4">
        <f t="shared" si="177"/>
        <v>-1.941907590290417E-4</v>
      </c>
      <c r="U284" s="4">
        <f t="shared" si="177"/>
        <v>-2.0354985844367419E-4</v>
      </c>
      <c r="V284" s="4">
        <f t="shared" si="177"/>
        <v>-2.1255914962243027E-4</v>
      </c>
      <c r="W284" s="4">
        <f t="shared" si="177"/>
        <v>-2.2118314538045996E-4</v>
      </c>
      <c r="X284" s="4">
        <f t="shared" si="177"/>
        <v>-2.2946155506481142E-4</v>
      </c>
      <c r="Y284" s="4">
        <f t="shared" si="177"/>
        <v>-2.3738315195124223E-4</v>
      </c>
      <c r="Z284" s="4">
        <f t="shared" si="177"/>
        <v>-2.4494957020561146E-4</v>
      </c>
      <c r="AA284" s="4">
        <f t="shared" si="177"/>
        <v>-2.5217155104025014E-4</v>
      </c>
      <c r="AB284" s="4">
        <f t="shared" si="177"/>
        <v>-2.5898314204278867E-4</v>
      </c>
      <c r="AC284" s="4">
        <f t="shared" si="177"/>
        <v>-2.6542061651944063E-4</v>
      </c>
      <c r="AD284" s="4">
        <f t="shared" si="177"/>
        <v>-2.7154313347864628E-4</v>
      </c>
      <c r="AE284" s="4">
        <f t="shared" si="177"/>
        <v>-2.7738317386587062E-4</v>
      </c>
      <c r="AF284" s="4">
        <f t="shared" si="177"/>
        <v>-2.829630124167167E-4</v>
      </c>
      <c r="AG284" s="4">
        <f t="shared" si="177"/>
        <v>-2.8830327373303928E-4</v>
      </c>
      <c r="AH284" s="4">
        <f t="shared" si="177"/>
        <v>-2.9337360567685658E-4</v>
      </c>
      <c r="AI284" s="4">
        <f t="shared" si="177"/>
        <v>-2.9821607110105784E-4</v>
      </c>
      <c r="AJ284" s="4">
        <f t="shared" si="177"/>
        <v>-3.0285896745401065E-4</v>
      </c>
      <c r="AK284" s="4">
        <f t="shared" si="177"/>
        <v>-3.0732286430962605E-4</v>
      </c>
      <c r="AL284" s="4">
        <f t="shared" si="177"/>
        <v>-3.1162464182045766E-4</v>
      </c>
      <c r="AM284" s="4">
        <f t="shared" ref="AM284:BC284" si="178">(AM268-AM276)/AM$271</f>
        <v>-3.1535397847980303E-4</v>
      </c>
      <c r="AN284" s="4">
        <f t="shared" si="178"/>
        <v>-3.1875675462539148E-4</v>
      </c>
      <c r="AO284" s="4">
        <f t="shared" si="178"/>
        <v>-3.2195249501075301E-4</v>
      </c>
      <c r="AP284" s="4">
        <f t="shared" si="178"/>
        <v>-3.2499183364703298E-4</v>
      </c>
      <c r="AQ284" s="4">
        <f t="shared" si="178"/>
        <v>-3.2789975333390799E-4</v>
      </c>
      <c r="AR284" s="4">
        <f t="shared" si="178"/>
        <v>-3.3063259526096539E-4</v>
      </c>
      <c r="AS284" s="4">
        <f t="shared" si="178"/>
        <v>-3.3323289977097017E-4</v>
      </c>
      <c r="AT284" s="4">
        <f t="shared" si="178"/>
        <v>-3.3572580351618337E-4</v>
      </c>
      <c r="AU284" s="4">
        <f t="shared" si="178"/>
        <v>-3.3812662292543059E-4</v>
      </c>
      <c r="AV284" s="4">
        <f t="shared" si="178"/>
        <v>-3.4044751699325925E-4</v>
      </c>
      <c r="AW284" s="4">
        <f t="shared" si="178"/>
        <v>-3.425162714359068E-4</v>
      </c>
      <c r="AX284" s="4">
        <f t="shared" si="178"/>
        <v>-3.4443846623650169E-4</v>
      </c>
      <c r="AY284" s="4">
        <f t="shared" si="178"/>
        <v>-3.4627182766961854E-4</v>
      </c>
      <c r="AZ284" s="4">
        <f t="shared" si="178"/>
        <v>-3.4804606813948903E-4</v>
      </c>
      <c r="BA284" s="4">
        <f t="shared" si="178"/>
        <v>-3.497790991061896E-4</v>
      </c>
      <c r="BB284" s="4">
        <f t="shared" si="178"/>
        <v>-3.513743530039112E-4</v>
      </c>
      <c r="BC284" s="4">
        <f t="shared" si="178"/>
        <v>-3.528965396047295E-4</v>
      </c>
      <c r="BD284" s="4">
        <f t="shared" ref="BD284:BF284" si="179">(BD268-BD276)/BD$271</f>
        <v>-3.5438025471318355E-4</v>
      </c>
      <c r="BE284" s="4">
        <f t="shared" si="179"/>
        <v>-3.5584301531961949E-4</v>
      </c>
      <c r="BF284" s="4">
        <f t="shared" si="179"/>
        <v>-3.5729539898687494E-4</v>
      </c>
    </row>
    <row r="285" spans="1:58" x14ac:dyDescent="0.35">
      <c r="B285" t="s">
        <v>33</v>
      </c>
      <c r="C285" s="4">
        <f t="shared" ref="C285:AL285" si="180">(C269-C277)/C$271</f>
        <v>-4.2837085390545607E-6</v>
      </c>
      <c r="D285" s="4">
        <f t="shared" si="180"/>
        <v>-1.6179539756344335E-5</v>
      </c>
      <c r="E285" s="4">
        <f t="shared" si="180"/>
        <v>-3.0431015128797368E-5</v>
      </c>
      <c r="F285" s="4">
        <f t="shared" si="180"/>
        <v>-4.4985616469748137E-5</v>
      </c>
      <c r="G285" s="4">
        <f t="shared" si="180"/>
        <v>-5.906531314562841E-5</v>
      </c>
      <c r="H285" s="4">
        <f t="shared" si="180"/>
        <v>-7.234860113343679E-5</v>
      </c>
      <c r="I285" s="4">
        <f t="shared" si="180"/>
        <v>-8.4787391055607831E-5</v>
      </c>
      <c r="J285" s="4">
        <f t="shared" si="180"/>
        <v>-9.6290522955860637E-5</v>
      </c>
      <c r="K285" s="4">
        <f t="shared" si="180"/>
        <v>-1.0665798792567338E-4</v>
      </c>
      <c r="L285" s="4">
        <f t="shared" si="180"/>
        <v>-1.156589139478239E-4</v>
      </c>
      <c r="M285" s="4">
        <f t="shared" si="180"/>
        <v>-1.2301561914769852E-4</v>
      </c>
      <c r="N285" s="4">
        <f t="shared" si="180"/>
        <v>-1.2901369307425514E-4</v>
      </c>
      <c r="O285" s="4">
        <f t="shared" si="180"/>
        <v>-1.3351590211833968E-4</v>
      </c>
      <c r="P285" s="4">
        <f t="shared" si="180"/>
        <v>-1.3652522512778563E-4</v>
      </c>
      <c r="Q285" s="4">
        <f t="shared" si="180"/>
        <v>-1.3816294228652224E-4</v>
      </c>
      <c r="R285" s="4">
        <f t="shared" si="180"/>
        <v>-1.3860153769397856E-4</v>
      </c>
      <c r="S285" s="4">
        <f t="shared" si="180"/>
        <v>-1.3833155338421654E-4</v>
      </c>
      <c r="T285" s="4">
        <f t="shared" si="180"/>
        <v>-1.3735206035229807E-4</v>
      </c>
      <c r="U285" s="4">
        <f t="shared" si="180"/>
        <v>-1.3567127242985582E-4</v>
      </c>
      <c r="V285" s="4">
        <f t="shared" si="180"/>
        <v>-1.3330947622558039E-4</v>
      </c>
      <c r="W285" s="4">
        <f t="shared" si="180"/>
        <v>-1.3028606910425199E-4</v>
      </c>
      <c r="X285" s="4">
        <f t="shared" si="180"/>
        <v>-1.2665283602414739E-4</v>
      </c>
      <c r="Y285" s="4">
        <f t="shared" si="180"/>
        <v>-1.2245621511267264E-4</v>
      </c>
      <c r="Z285" s="4">
        <f t="shared" si="180"/>
        <v>-1.1774841122312773E-4</v>
      </c>
      <c r="AA285" s="4">
        <f t="shared" si="180"/>
        <v>-1.125898532635941E-4</v>
      </c>
      <c r="AB285" s="4">
        <f t="shared" si="180"/>
        <v>-1.0699216215715804E-4</v>
      </c>
      <c r="AC285" s="4">
        <f t="shared" si="180"/>
        <v>-1.0094950659527852E-4</v>
      </c>
      <c r="AD285" s="4">
        <f t="shared" si="180"/>
        <v>-9.4557862689664845E-5</v>
      </c>
      <c r="AE285" s="4">
        <f t="shared" si="180"/>
        <v>-8.7883655160185664E-5</v>
      </c>
      <c r="AF285" s="4">
        <f t="shared" si="180"/>
        <v>-8.0980545566654706E-5</v>
      </c>
      <c r="AG285" s="4">
        <f t="shared" si="180"/>
        <v>-7.3892380102709836E-5</v>
      </c>
      <c r="AH285" s="4">
        <f t="shared" si="180"/>
        <v>-6.6603238138008755E-5</v>
      </c>
      <c r="AI285" s="4">
        <f t="shared" si="180"/>
        <v>-5.9166016477881562E-5</v>
      </c>
      <c r="AJ285" s="4">
        <f t="shared" si="180"/>
        <v>-5.1621671706979344E-5</v>
      </c>
      <c r="AK285" s="4">
        <f t="shared" si="180"/>
        <v>-4.4001372997066035E-5</v>
      </c>
      <c r="AL285" s="4">
        <f t="shared" si="180"/>
        <v>-3.6326920337185657E-5</v>
      </c>
      <c r="AM285" s="4">
        <f t="shared" ref="AM285:BC285" si="181">(AM269-AM277)/AM$271</f>
        <v>-2.818342059502527E-5</v>
      </c>
      <c r="AN285" s="4">
        <f t="shared" si="181"/>
        <v>-1.9758576748360905E-5</v>
      </c>
      <c r="AO285" s="4">
        <f t="shared" si="181"/>
        <v>-1.1166443239700222E-5</v>
      </c>
      <c r="AP285" s="4">
        <f t="shared" si="181"/>
        <v>-2.4781306351840309E-6</v>
      </c>
      <c r="AQ285" s="4">
        <f t="shared" si="181"/>
        <v>6.267708596177752E-6</v>
      </c>
      <c r="AR285" s="4">
        <f t="shared" si="181"/>
        <v>1.5111506194221577E-5</v>
      </c>
      <c r="AS285" s="4">
        <f t="shared" si="181"/>
        <v>2.4021027184507547E-5</v>
      </c>
      <c r="AT285" s="4">
        <f t="shared" si="181"/>
        <v>3.2979195819040688E-5</v>
      </c>
      <c r="AU285" s="4">
        <f t="shared" si="181"/>
        <v>4.1977010180097916E-5</v>
      </c>
      <c r="AV285" s="4">
        <f t="shared" si="181"/>
        <v>5.1006292931805656E-5</v>
      </c>
      <c r="AW285" s="4">
        <f t="shared" si="181"/>
        <v>6.0231265136454661E-5</v>
      </c>
      <c r="AX285" s="4">
        <f t="shared" si="181"/>
        <v>6.9554263977216664E-5</v>
      </c>
      <c r="AY285" s="4">
        <f t="shared" si="181"/>
        <v>7.8904246586121844E-5</v>
      </c>
      <c r="AZ285" s="4">
        <f t="shared" si="181"/>
        <v>8.8226230643256384E-5</v>
      </c>
      <c r="BA285" s="4">
        <f t="shared" si="181"/>
        <v>9.7482520375997866E-5</v>
      </c>
      <c r="BB285" s="4">
        <f t="shared" si="181"/>
        <v>1.0675297708738191E-4</v>
      </c>
      <c r="BC285" s="4">
        <f t="shared" si="181"/>
        <v>1.1597991835772409E-4</v>
      </c>
      <c r="BD285" s="4">
        <f t="shared" ref="BD285:BF285" si="182">(BD269-BD277)/BD$271</f>
        <v>1.2512797709886701E-4</v>
      </c>
      <c r="BE285" s="4">
        <f t="shared" si="182"/>
        <v>1.3417140614312194E-4</v>
      </c>
      <c r="BF285" s="4">
        <f t="shared" si="182"/>
        <v>1.4309286030077519E-4</v>
      </c>
    </row>
    <row r="287" spans="1:58" x14ac:dyDescent="0.35">
      <c r="A287" s="12" t="s">
        <v>21</v>
      </c>
      <c r="C287" s="7" t="s">
        <v>15</v>
      </c>
      <c r="D287" s="7" t="s">
        <v>16</v>
      </c>
      <c r="E287" s="7" t="s">
        <v>17</v>
      </c>
    </row>
    <row r="288" spans="1:58" x14ac:dyDescent="0.35">
      <c r="A288" t="s">
        <v>88</v>
      </c>
      <c r="B288" t="s">
        <v>26</v>
      </c>
      <c r="C288" s="4">
        <f>R279</f>
        <v>-2.9618226706627615E-2</v>
      </c>
      <c r="D288" s="4">
        <f>AB279</f>
        <v>-4.9480574937345367E-2</v>
      </c>
      <c r="E288" s="4">
        <f>AL279</f>
        <v>-6.4113622509106794E-2</v>
      </c>
    </row>
    <row r="289" spans="1:58" x14ac:dyDescent="0.35">
      <c r="B289" t="s">
        <v>7</v>
      </c>
      <c r="C289" s="4">
        <f t="shared" ref="C289:C294" si="183">R280</f>
        <v>-2.7622892029084608E-4</v>
      </c>
      <c r="D289" s="4">
        <f t="shared" ref="D289:D294" si="184">AB280</f>
        <v>-3.6687598516833814E-4</v>
      </c>
      <c r="E289" s="4">
        <f t="shared" ref="E289:E294" si="185">AL280</f>
        <v>-3.8452316755232521E-4</v>
      </c>
    </row>
    <row r="290" spans="1:58" x14ac:dyDescent="0.35">
      <c r="B290" t="s">
        <v>30</v>
      </c>
      <c r="C290" s="4">
        <f t="shared" si="183"/>
        <v>-1.6976688741183299E-2</v>
      </c>
      <c r="D290" s="4">
        <f t="shared" si="184"/>
        <v>-2.9840761154834743E-2</v>
      </c>
      <c r="E290" s="4">
        <f t="shared" si="185"/>
        <v>-3.995260444624027E-2</v>
      </c>
    </row>
    <row r="291" spans="1:58" x14ac:dyDescent="0.35">
      <c r="B291" t="s">
        <v>28</v>
      </c>
      <c r="C291" s="4">
        <f t="shared" si="183"/>
        <v>-6.2853748748430301E-4</v>
      </c>
      <c r="D291" s="4">
        <f t="shared" si="184"/>
        <v>-9.5766795475931798E-4</v>
      </c>
      <c r="E291" s="4">
        <f t="shared" si="185"/>
        <v>-1.2113918644226563E-3</v>
      </c>
    </row>
    <row r="292" spans="1:58" x14ac:dyDescent="0.35">
      <c r="B292" t="s">
        <v>10</v>
      </c>
      <c r="C292" s="4">
        <f t="shared" si="183"/>
        <v>-1.1423583762478798E-2</v>
      </c>
      <c r="D292" s="4">
        <f t="shared" si="184"/>
        <v>-1.7949294609167981E-2</v>
      </c>
      <c r="E292" s="4">
        <f t="shared" si="185"/>
        <v>-2.2217151398543637E-2</v>
      </c>
    </row>
    <row r="293" spans="1:58" x14ac:dyDescent="0.35">
      <c r="B293" t="s">
        <v>31</v>
      </c>
      <c r="C293" s="4">
        <f t="shared" si="183"/>
        <v>-1.7458623002968989E-4</v>
      </c>
      <c r="D293" s="4">
        <f t="shared" si="184"/>
        <v>-2.5898314204278867E-4</v>
      </c>
      <c r="E293" s="4">
        <f t="shared" si="185"/>
        <v>-3.1162464182045766E-4</v>
      </c>
    </row>
    <row r="294" spans="1:58" x14ac:dyDescent="0.35">
      <c r="B294" t="s">
        <v>33</v>
      </c>
      <c r="C294" s="4">
        <f t="shared" si="183"/>
        <v>-1.3860153769397856E-4</v>
      </c>
      <c r="D294" s="4">
        <f t="shared" si="184"/>
        <v>-1.0699216215715804E-4</v>
      </c>
      <c r="E294" s="4">
        <f t="shared" si="185"/>
        <v>-3.6326920337185657E-5</v>
      </c>
    </row>
    <row r="295" spans="1:58" x14ac:dyDescent="0.35">
      <c r="C295" s="4"/>
      <c r="D295" s="4"/>
      <c r="E295" s="4"/>
    </row>
    <row r="296" spans="1:58" x14ac:dyDescent="0.35">
      <c r="A296" s="12" t="s">
        <v>89</v>
      </c>
      <c r="C296" s="2">
        <v>42005</v>
      </c>
      <c r="D296" s="2">
        <v>42370</v>
      </c>
      <c r="E296" s="2">
        <v>42736</v>
      </c>
      <c r="F296" s="2">
        <v>43101</v>
      </c>
      <c r="G296" s="2">
        <v>43466</v>
      </c>
      <c r="H296" s="2">
        <v>43831</v>
      </c>
      <c r="I296" s="2">
        <v>44197</v>
      </c>
      <c r="J296" s="2">
        <v>44562</v>
      </c>
      <c r="K296" s="2">
        <v>44927</v>
      </c>
      <c r="L296" s="2">
        <v>45292</v>
      </c>
      <c r="M296" s="2">
        <v>45658</v>
      </c>
      <c r="N296" s="2">
        <v>46023</v>
      </c>
      <c r="O296" s="2">
        <v>46388</v>
      </c>
      <c r="P296" s="2">
        <v>46753</v>
      </c>
      <c r="Q296" s="2">
        <v>47119</v>
      </c>
      <c r="R296" s="2">
        <v>47484</v>
      </c>
      <c r="S296" s="2">
        <v>47849</v>
      </c>
      <c r="T296" s="2">
        <v>48214</v>
      </c>
      <c r="U296" s="2">
        <v>48580</v>
      </c>
      <c r="V296" s="2">
        <v>48945</v>
      </c>
      <c r="W296" s="2">
        <v>49310</v>
      </c>
      <c r="X296" s="2">
        <v>49675</v>
      </c>
      <c r="Y296" s="2">
        <v>50041</v>
      </c>
      <c r="Z296" s="2">
        <v>50406</v>
      </c>
      <c r="AA296" s="2">
        <v>50771</v>
      </c>
      <c r="AB296" s="2">
        <v>51136</v>
      </c>
      <c r="AC296" s="2">
        <v>51502</v>
      </c>
      <c r="AD296" s="2">
        <v>51867</v>
      </c>
      <c r="AE296" s="2">
        <v>52232</v>
      </c>
      <c r="AF296" s="2">
        <v>52597</v>
      </c>
      <c r="AG296" s="2">
        <v>52963</v>
      </c>
      <c r="AH296" s="2">
        <v>53328</v>
      </c>
      <c r="AI296" s="2">
        <v>53693</v>
      </c>
      <c r="AJ296" s="2">
        <v>54058</v>
      </c>
      <c r="AK296" s="2">
        <v>54424</v>
      </c>
      <c r="AL296" s="2">
        <v>54789</v>
      </c>
      <c r="AM296" s="2">
        <v>54790</v>
      </c>
      <c r="AN296" s="2">
        <v>54791</v>
      </c>
      <c r="AO296" s="2">
        <v>54792</v>
      </c>
      <c r="AP296" s="2">
        <v>54793</v>
      </c>
      <c r="AQ296" s="2">
        <v>54794</v>
      </c>
      <c r="AR296" s="2">
        <v>54795</v>
      </c>
      <c r="AS296" s="2">
        <v>54796</v>
      </c>
      <c r="AT296" s="2">
        <v>54797</v>
      </c>
      <c r="AU296" s="2">
        <v>54798</v>
      </c>
      <c r="AV296" s="2">
        <v>54799</v>
      </c>
      <c r="AW296" s="2">
        <v>54800</v>
      </c>
      <c r="AX296" s="2">
        <v>54801</v>
      </c>
      <c r="AY296" s="2">
        <v>54802</v>
      </c>
      <c r="AZ296" s="2">
        <v>54803</v>
      </c>
      <c r="BA296" s="2">
        <v>54804</v>
      </c>
      <c r="BB296" s="2">
        <v>54805</v>
      </c>
      <c r="BC296" s="2">
        <v>54806</v>
      </c>
      <c r="BD296" s="2">
        <v>54807</v>
      </c>
      <c r="BE296" s="2">
        <v>54808</v>
      </c>
      <c r="BF296" s="2">
        <v>54809</v>
      </c>
    </row>
    <row r="297" spans="1:58" x14ac:dyDescent="0.35">
      <c r="A297" t="s">
        <v>39</v>
      </c>
      <c r="B297" t="s">
        <v>56</v>
      </c>
      <c r="C297" s="6">
        <f>[1]Results!F3</f>
        <v>32317.940999999999</v>
      </c>
      <c r="D297" s="6">
        <f>[1]Results!G3</f>
        <v>31892.65725</v>
      </c>
      <c r="E297" s="6">
        <f>[1]Results!H3</f>
        <v>31650.630880000001</v>
      </c>
      <c r="F297" s="6">
        <f>[1]Results!I3</f>
        <v>31537.939689999999</v>
      </c>
      <c r="G297" s="6">
        <f>[1]Results!J3</f>
        <v>31517.833879999998</v>
      </c>
      <c r="H297" s="6">
        <f>[1]Results!K3</f>
        <v>31566.423569999999</v>
      </c>
      <c r="I297" s="6">
        <f>[1]Results!L3</f>
        <v>31664.374930000002</v>
      </c>
      <c r="J297" s="6">
        <f>[1]Results!M3</f>
        <v>31801.46214</v>
      </c>
      <c r="K297" s="6">
        <f>[1]Results!N3</f>
        <v>31970.491900000001</v>
      </c>
      <c r="L297" s="6">
        <f>[1]Results!O3</f>
        <v>32166.052790000002</v>
      </c>
      <c r="M297" s="6">
        <f>[1]Results!P3</f>
        <v>32390.463889999999</v>
      </c>
      <c r="N297" s="6">
        <f>[1]Results!Q3</f>
        <v>32632.854859999999</v>
      </c>
      <c r="O297" s="6">
        <f>[1]Results!R3</f>
        <v>32889.947010000004</v>
      </c>
      <c r="P297" s="6">
        <f>[1]Results!S3</f>
        <v>33158.870239999997</v>
      </c>
      <c r="Q297" s="6">
        <f>[1]Results!T3</f>
        <v>33437.200510000002</v>
      </c>
      <c r="R297" s="6">
        <f>[1]Results!U3</f>
        <v>33722.914929999999</v>
      </c>
      <c r="S297" s="6">
        <f>[1]Results!V3</f>
        <v>34014.136359999997</v>
      </c>
      <c r="T297" s="6">
        <f>[1]Results!W3</f>
        <v>34309.371310000002</v>
      </c>
      <c r="U297" s="6">
        <f>[1]Results!X3</f>
        <v>34607.387110000003</v>
      </c>
      <c r="V297" s="6">
        <f>[1]Results!Y3</f>
        <v>34907.141190000002</v>
      </c>
      <c r="W297" s="6">
        <f>[1]Results!Z3</f>
        <v>35202.949220000002</v>
      </c>
      <c r="X297" s="6">
        <f>[1]Results!AA3</f>
        <v>35499.22681</v>
      </c>
      <c r="Y297" s="6">
        <f>[1]Results!AB3</f>
        <v>35795.414550000001</v>
      </c>
      <c r="Z297" s="6">
        <f>[1]Results!AC3</f>
        <v>36091.110200000003</v>
      </c>
      <c r="AA297" s="6">
        <f>[1]Results!AD3</f>
        <v>36385.966180000003</v>
      </c>
      <c r="AB297" s="6">
        <f>[1]Results!AE3</f>
        <v>36666.166570000001</v>
      </c>
      <c r="AC297" s="6">
        <f>[1]Results!AF3</f>
        <v>36939.758020000001</v>
      </c>
      <c r="AD297" s="6">
        <f>[1]Results!AG3</f>
        <v>37207.238409999998</v>
      </c>
      <c r="AE297" s="6">
        <f>[1]Results!AH3</f>
        <v>37469.365160000001</v>
      </c>
      <c r="AF297" s="6">
        <f>[1]Results!AI3</f>
        <v>37726.956660000003</v>
      </c>
      <c r="AG297" s="6">
        <f>[1]Results!AJ3</f>
        <v>37980.792029999997</v>
      </c>
      <c r="AH297" s="6">
        <f>[1]Results!AK3</f>
        <v>38231.604740000002</v>
      </c>
      <c r="AI297" s="6">
        <f>[1]Results!AL3</f>
        <v>38480.005689999998</v>
      </c>
      <c r="AJ297" s="6">
        <f>[1]Results!AM3</f>
        <v>38726.50546</v>
      </c>
      <c r="AK297" s="6">
        <f>[1]Results!AN3</f>
        <v>38971.537300000004</v>
      </c>
      <c r="AL297" s="6">
        <f>[1]Results!AO3</f>
        <v>39215.476620000001</v>
      </c>
      <c r="AM297" s="6">
        <f>[1]Results!AP3</f>
        <v>39455.935890000001</v>
      </c>
      <c r="AN297" s="6">
        <f>[1]Results!AQ3</f>
        <v>39693.570480000002</v>
      </c>
      <c r="AO297" s="6">
        <f>[1]Results!AR3</f>
        <v>39928.948700000001</v>
      </c>
      <c r="AP297" s="6">
        <f>[1]Results!AS3</f>
        <v>40162.644399999997</v>
      </c>
      <c r="AQ297" s="6">
        <f>[1]Results!AT3</f>
        <v>40395.227070000001</v>
      </c>
      <c r="AR297" s="6">
        <f>[1]Results!AU3</f>
        <v>40627.282619999998</v>
      </c>
      <c r="AS297" s="6">
        <f>[1]Results!AV3</f>
        <v>40859.30184</v>
      </c>
      <c r="AT297" s="6">
        <f>[1]Results!AW3</f>
        <v>41091.687209999996</v>
      </c>
      <c r="AU297" s="6">
        <f>[1]Results!AX3</f>
        <v>41324.761810000004</v>
      </c>
      <c r="AV297" s="6">
        <f>[1]Results!AY3</f>
        <v>41558.778969999999</v>
      </c>
      <c r="AW297" s="6">
        <f>[1]Results!AZ3</f>
        <v>41794.361629999999</v>
      </c>
      <c r="AX297" s="6">
        <f>[1]Results!BA3</f>
        <v>42031.690869999999</v>
      </c>
      <c r="AY297" s="6">
        <f>[1]Results!BB3</f>
        <v>42270.854650000001</v>
      </c>
      <c r="AZ297" s="6">
        <f>[1]Results!BC3</f>
        <v>42511.888480000001</v>
      </c>
      <c r="BA297" s="6">
        <f>[1]Results!BD3</f>
        <v>42754.797200000001</v>
      </c>
      <c r="BB297" s="6">
        <f>[1]Results!BE3</f>
        <v>42999.671280000002</v>
      </c>
      <c r="BC297" s="6">
        <f>[1]Results!BF3</f>
        <v>43246.522069999999</v>
      </c>
      <c r="BD297" s="6">
        <f>[1]Results!BG3</f>
        <v>43495.3243</v>
      </c>
      <c r="BE297" s="6">
        <f>[1]Results!BH3</f>
        <v>43746.040609999996</v>
      </c>
      <c r="BF297" s="6">
        <f>[1]Results!BI3</f>
        <v>43998.63089</v>
      </c>
    </row>
    <row r="298" spans="1:58" x14ac:dyDescent="0.35">
      <c r="B298" t="s">
        <v>53</v>
      </c>
      <c r="C298" s="6">
        <f>[1]Results!F4</f>
        <v>32271.24</v>
      </c>
      <c r="D298" s="6">
        <f>[1]Results!G4</f>
        <v>31828.581289999998</v>
      </c>
      <c r="E298" s="6">
        <f>[1]Results!H4</f>
        <v>31568.499810000001</v>
      </c>
      <c r="F298" s="6">
        <f>[1]Results!I4</f>
        <v>31437.450919999999</v>
      </c>
      <c r="G298" s="6">
        <f>[1]Results!J4</f>
        <v>31398.918549999999</v>
      </c>
      <c r="H298" s="6">
        <f>[1]Results!K4</f>
        <v>31429.14328</v>
      </c>
      <c r="I298" s="6">
        <f>[1]Results!L4</f>
        <v>31508.89457</v>
      </c>
      <c r="J298" s="6">
        <f>[1]Results!M4</f>
        <v>31627.979480000002</v>
      </c>
      <c r="K298" s="6">
        <f>[1]Results!N4</f>
        <v>31779.219659999999</v>
      </c>
      <c r="L298" s="6">
        <f>[1]Results!O4</f>
        <v>31957.210210000001</v>
      </c>
      <c r="M298" s="6">
        <f>[1]Results!P4</f>
        <v>32164.209940000001</v>
      </c>
      <c r="N298" s="6">
        <f>[1]Results!Q4</f>
        <v>32389.416499999999</v>
      </c>
      <c r="O298" s="6">
        <f>[1]Results!R4</f>
        <v>32629.554660000002</v>
      </c>
      <c r="P298" s="6">
        <f>[1]Results!S4</f>
        <v>32881.75748</v>
      </c>
      <c r="Q298" s="6">
        <f>[1]Results!T4</f>
        <v>33143.602559999999</v>
      </c>
      <c r="R298" s="6">
        <f>[1]Results!U4</f>
        <v>33413.06682</v>
      </c>
      <c r="S298" s="6">
        <f>[1]Results!V4</f>
        <v>33688.27317</v>
      </c>
      <c r="T298" s="6">
        <f>[1]Results!W4</f>
        <v>33967.725639999997</v>
      </c>
      <c r="U298" s="6">
        <f>[1]Results!X4</f>
        <v>34250.18722</v>
      </c>
      <c r="V298" s="6">
        <f>[1]Results!Y4</f>
        <v>34534.609409999997</v>
      </c>
      <c r="W298" s="6">
        <f>[1]Results!Z4</f>
        <v>34815.348510000003</v>
      </c>
      <c r="X298" s="6">
        <f>[1]Results!AA4</f>
        <v>35096.761149999998</v>
      </c>
      <c r="Y298" s="6">
        <f>[1]Results!AB4</f>
        <v>35378.275970000002</v>
      </c>
      <c r="Z298" s="6">
        <f>[1]Results!AC4</f>
        <v>35659.47653</v>
      </c>
      <c r="AA298" s="6">
        <f>[1]Results!AD4</f>
        <v>35939.999860000004</v>
      </c>
      <c r="AB298" s="6">
        <f>[1]Results!AE4</f>
        <v>36206.153050000001</v>
      </c>
      <c r="AC298" s="6">
        <f>[1]Results!AF4</f>
        <v>36465.8851</v>
      </c>
      <c r="AD298" s="6">
        <f>[1]Results!AG4</f>
        <v>36719.668579999998</v>
      </c>
      <c r="AE298" s="6">
        <f>[1]Results!AH4</f>
        <v>36968.230960000001</v>
      </c>
      <c r="AF298" s="6">
        <f>[1]Results!AI4</f>
        <v>37212.358090000002</v>
      </c>
      <c r="AG298" s="6">
        <f>[1]Results!AJ4</f>
        <v>37452.795010000002</v>
      </c>
      <c r="AH298" s="6">
        <f>[1]Results!AK4</f>
        <v>37690.239699999998</v>
      </c>
      <c r="AI298" s="6">
        <f>[1]Results!AL4</f>
        <v>37925.266920000002</v>
      </c>
      <c r="AJ298" s="6">
        <f>[1]Results!AM4</f>
        <v>38158.350339999997</v>
      </c>
      <c r="AK298" s="6">
        <f>[1]Results!AN4</f>
        <v>38389.885329999997</v>
      </c>
      <c r="AL298" s="6">
        <f>[1]Results!AO4</f>
        <v>38620.208180000001</v>
      </c>
      <c r="AM298" s="6">
        <f>[1]Results!AP4</f>
        <v>38846.921849999999</v>
      </c>
      <c r="AN298" s="6">
        <f>[1]Results!AQ4</f>
        <v>39070.63667</v>
      </c>
      <c r="AO298" s="6">
        <f>[1]Results!AR4</f>
        <v>39291.874060000002</v>
      </c>
      <c r="AP298" s="6">
        <f>[1]Results!AS4</f>
        <v>39511.158060000002</v>
      </c>
      <c r="AQ298" s="6">
        <f>[1]Results!AT4</f>
        <v>39729.00531</v>
      </c>
      <c r="AR298" s="6">
        <f>[1]Results!AU4</f>
        <v>39945.945319999999</v>
      </c>
      <c r="AS298" s="6">
        <f>[1]Results!AV4</f>
        <v>40162.409979999997</v>
      </c>
      <c r="AT298" s="6">
        <f>[1]Results!AW4</f>
        <v>40378.740100000003</v>
      </c>
      <c r="AU298" s="6">
        <f>[1]Results!AX4</f>
        <v>40595.194069999998</v>
      </c>
      <c r="AV298" s="6">
        <f>[1]Results!AY4</f>
        <v>40811.957060000001</v>
      </c>
      <c r="AW298" s="6">
        <f>[1]Results!AZ4</f>
        <v>41029.573920000003</v>
      </c>
      <c r="AX298" s="6">
        <f>[1]Results!BA4</f>
        <v>41248.148000000001</v>
      </c>
      <c r="AY298" s="6">
        <f>[1]Results!BB4</f>
        <v>41467.68535</v>
      </c>
      <c r="AZ298" s="6">
        <f>[1]Results!BC4</f>
        <v>41688.134559999999</v>
      </c>
      <c r="BA298" s="6">
        <f>[1]Results!BD4</f>
        <v>41909.407789999997</v>
      </c>
      <c r="BB298" s="6">
        <f>[1]Results!BE4</f>
        <v>42131.494729999999</v>
      </c>
      <c r="BC298" s="6">
        <f>[1]Results!BF4</f>
        <v>42354.299709999999</v>
      </c>
      <c r="BD298" s="6">
        <f>[1]Results!BG4</f>
        <v>42577.683100000002</v>
      </c>
      <c r="BE298" s="6">
        <f>[1]Results!BH4</f>
        <v>42801.484980000001</v>
      </c>
      <c r="BF298" s="6">
        <f>[1]Results!BI4</f>
        <v>43025.533640000001</v>
      </c>
    </row>
    <row r="299" spans="1:58" x14ac:dyDescent="0.35">
      <c r="B299" t="s">
        <v>54</v>
      </c>
      <c r="C299" s="6">
        <f>[1]Results!F20</f>
        <v>1.9359999999999999</v>
      </c>
      <c r="D299" s="6">
        <f>[1]Results!G20</f>
        <v>1.98879538</v>
      </c>
      <c r="E299" s="6">
        <f>[1]Results!H20</f>
        <v>2.050735521</v>
      </c>
      <c r="F299" s="6">
        <f>[1]Results!I20</f>
        <v>2.117944193</v>
      </c>
      <c r="G299" s="6">
        <f>[1]Results!J20</f>
        <v>2.1878679540000001</v>
      </c>
      <c r="H299" s="6">
        <f>[1]Results!K20</f>
        <v>2.258945915</v>
      </c>
      <c r="I299" s="6">
        <f>[1]Results!L20</f>
        <v>2.3299398820000001</v>
      </c>
      <c r="J299" s="6">
        <f>[1]Results!M20</f>
        <v>2.4003225819999998</v>
      </c>
      <c r="K299" s="6">
        <f>[1]Results!N20</f>
        <v>2.469786316</v>
      </c>
      <c r="L299" s="6">
        <f>[1]Results!O20</f>
        <v>2.5381446730000001</v>
      </c>
      <c r="M299" s="6">
        <f>[1]Results!P20</f>
        <v>2.6058313929999999</v>
      </c>
      <c r="N299" s="6">
        <f>[1]Results!Q20</f>
        <v>2.6721705939999998</v>
      </c>
      <c r="O299" s="6">
        <f>[1]Results!R20</f>
        <v>2.737090373</v>
      </c>
      <c r="P299" s="6">
        <f>[1]Results!S20</f>
        <v>2.8005362109999998</v>
      </c>
      <c r="Q299" s="6">
        <f>[1]Results!T20</f>
        <v>2.8624755959999999</v>
      </c>
      <c r="R299" s="6">
        <f>[1]Results!U20</f>
        <v>2.9228957609999999</v>
      </c>
      <c r="S299" s="6">
        <f>[1]Results!V20</f>
        <v>2.9817837730000001</v>
      </c>
      <c r="T299" s="6">
        <f>[1]Results!W20</f>
        <v>3.0391472560000001</v>
      </c>
      <c r="U299" s="6">
        <f>[1]Results!X20</f>
        <v>3.0950053280000001</v>
      </c>
      <c r="V299" s="6">
        <f>[1]Results!Y20</f>
        <v>3.149383668</v>
      </c>
      <c r="W299" s="6">
        <f>[1]Results!Z20</f>
        <v>3.2019134419999999</v>
      </c>
      <c r="X299" s="6">
        <f>[1]Results!AA20</f>
        <v>3.2530521120000002</v>
      </c>
      <c r="Y299" s="6">
        <f>[1]Results!AB20</f>
        <v>3.302843025</v>
      </c>
      <c r="Z299" s="6">
        <f>[1]Results!AC20</f>
        <v>3.351336098</v>
      </c>
      <c r="AA299" s="6">
        <f>[1]Results!AD20</f>
        <v>3.3985798979999999</v>
      </c>
      <c r="AB299" s="6">
        <f>[1]Results!AE20</f>
        <v>3.443497722</v>
      </c>
      <c r="AC299" s="6">
        <f>[1]Results!AF20</f>
        <v>3.4868087970000001</v>
      </c>
      <c r="AD299" s="6">
        <f>[1]Results!AG20</f>
        <v>3.528611266</v>
      </c>
      <c r="AE299" s="6">
        <f>[1]Results!AH20</f>
        <v>3.569021642</v>
      </c>
      <c r="AF299" s="6">
        <f>[1]Results!AI20</f>
        <v>3.608158816</v>
      </c>
      <c r="AG299" s="6">
        <f>[1]Results!AJ20</f>
        <v>3.6461359579999999</v>
      </c>
      <c r="AH299" s="6">
        <f>[1]Results!AK20</f>
        <v>3.6830600819999999</v>
      </c>
      <c r="AI299" s="6">
        <f>[1]Results!AL20</f>
        <v>3.7190257249999998</v>
      </c>
      <c r="AJ299" s="6">
        <f>[1]Results!AM20</f>
        <v>3.7541167799999999</v>
      </c>
      <c r="AK299" s="6">
        <f>[1]Results!AN20</f>
        <v>3.7884084169999999</v>
      </c>
      <c r="AL299" s="6">
        <f>[1]Results!AO20</f>
        <v>3.8219687269999998</v>
      </c>
      <c r="AM299" s="6">
        <f>[1]Results!AP20</f>
        <v>3.8546341169999998</v>
      </c>
      <c r="AN299" s="6">
        <f>[1]Results!AQ20</f>
        <v>3.8864881969999998</v>
      </c>
      <c r="AO299" s="6">
        <f>[1]Results!AR20</f>
        <v>3.9176058729999998</v>
      </c>
      <c r="AP299" s="6">
        <f>[1]Results!AS20</f>
        <v>3.948060999</v>
      </c>
      <c r="AQ299" s="6">
        <f>[1]Results!AT20</f>
        <v>3.9779256159999998</v>
      </c>
      <c r="AR299" s="6">
        <f>[1]Results!AU20</f>
        <v>4.0072717219999996</v>
      </c>
      <c r="AS299" s="6">
        <f>[1]Results!AV20</f>
        <v>4.0361620760000001</v>
      </c>
      <c r="AT299" s="6">
        <f>[1]Results!AW20</f>
        <v>4.0646506880000004</v>
      </c>
      <c r="AU299" s="6">
        <f>[1]Results!AX20</f>
        <v>4.0927834939999999</v>
      </c>
      <c r="AV299" s="6">
        <f>[1]Results!AY20</f>
        <v>4.1205990979999996</v>
      </c>
      <c r="AW299" s="6">
        <f>[1]Results!AZ20</f>
        <v>4.1481651189999997</v>
      </c>
      <c r="AX299" s="6">
        <f>[1]Results!BA20</f>
        <v>4.1755114200000003</v>
      </c>
      <c r="AY299" s="6">
        <f>[1]Results!BB20</f>
        <v>4.2026585020000002</v>
      </c>
      <c r="AZ299" s="6">
        <f>[1]Results!BC20</f>
        <v>4.2296207920000004</v>
      </c>
      <c r="BA299" s="6">
        <f>[1]Results!BD20</f>
        <v>4.2564084229999999</v>
      </c>
      <c r="BB299" s="6">
        <f>[1]Results!BE20</f>
        <v>4.2830368339999998</v>
      </c>
      <c r="BC299" s="6">
        <f>[1]Results!BF20</f>
        <v>4.3095132549999997</v>
      </c>
      <c r="BD299" s="6">
        <f>[1]Results!BG20</f>
        <v>4.3358401530000004</v>
      </c>
      <c r="BE299" s="6">
        <f>[1]Results!BH20</f>
        <v>4.3620172180000001</v>
      </c>
      <c r="BF299" s="6">
        <f>[1]Results!BI20</f>
        <v>4.3880421250000001</v>
      </c>
    </row>
    <row r="300" spans="1:58" x14ac:dyDescent="0.35">
      <c r="B300" t="s">
        <v>55</v>
      </c>
      <c r="C300" s="6">
        <f>[1]Results!F12</f>
        <v>44.765000000000001</v>
      </c>
      <c r="D300" s="6">
        <f>[1]Results!G12</f>
        <v>62.087170520000001</v>
      </c>
      <c r="E300" s="6">
        <f>[1]Results!H12</f>
        <v>80.080340199999995</v>
      </c>
      <c r="F300" s="6">
        <f>[1]Results!I12</f>
        <v>98.370824130000003</v>
      </c>
      <c r="G300" s="6">
        <f>[1]Results!J12</f>
        <v>116.72746309999999</v>
      </c>
      <c r="H300" s="6">
        <f>[1]Results!K12</f>
        <v>135.0213363</v>
      </c>
      <c r="I300" s="6">
        <f>[1]Results!L12</f>
        <v>153.15042099999999</v>
      </c>
      <c r="J300" s="6">
        <f>[1]Results!M12</f>
        <v>171.0823417</v>
      </c>
      <c r="K300" s="6">
        <f>[1]Results!N12</f>
        <v>188.80245880000001</v>
      </c>
      <c r="L300" s="6">
        <f>[1]Results!O12</f>
        <v>206.30444220000001</v>
      </c>
      <c r="M300" s="6">
        <f>[1]Results!P12</f>
        <v>223.64811589999999</v>
      </c>
      <c r="N300" s="6">
        <f>[1]Results!Q12</f>
        <v>240.76619740000001</v>
      </c>
      <c r="O300" s="6">
        <f>[1]Results!R12</f>
        <v>257.65526690000002</v>
      </c>
      <c r="P300" s="6">
        <f>[1]Results!S12</f>
        <v>274.31222450000001</v>
      </c>
      <c r="Q300" s="6">
        <f>[1]Results!T12</f>
        <v>290.7354795</v>
      </c>
      <c r="R300" s="6">
        <f>[1]Results!U12</f>
        <v>306.92521360000001</v>
      </c>
      <c r="S300" s="6">
        <f>[1]Results!V12</f>
        <v>322.88140650000003</v>
      </c>
      <c r="T300" s="6">
        <f>[1]Results!W12</f>
        <v>338.60652299999998</v>
      </c>
      <c r="U300" s="6">
        <f>[1]Results!X12</f>
        <v>354.1048874</v>
      </c>
      <c r="V300" s="6">
        <f>[1]Results!Y12</f>
        <v>369.38240000000002</v>
      </c>
      <c r="W300" s="6">
        <f>[1]Results!Z12</f>
        <v>384.39880399999998</v>
      </c>
      <c r="X300" s="6">
        <f>[1]Results!AA12</f>
        <v>399.21260799999999</v>
      </c>
      <c r="Y300" s="6">
        <f>[1]Results!AB12</f>
        <v>413.83574720000001</v>
      </c>
      <c r="Z300" s="6">
        <f>[1]Results!AC12</f>
        <v>428.28234129999998</v>
      </c>
      <c r="AA300" s="6">
        <f>[1]Results!AD12</f>
        <v>442.56774419999999</v>
      </c>
      <c r="AB300" s="6">
        <f>[1]Results!AE12</f>
        <v>456.57002180000001</v>
      </c>
      <c r="AC300" s="6">
        <f>[1]Results!AF12</f>
        <v>470.38610829999999</v>
      </c>
      <c r="AD300" s="6">
        <f>[1]Results!AG12</f>
        <v>484.04121900000001</v>
      </c>
      <c r="AE300" s="6">
        <f>[1]Results!AH12</f>
        <v>497.56518369999998</v>
      </c>
      <c r="AF300" s="6">
        <f>[1]Results!AI12</f>
        <v>510.9904219</v>
      </c>
      <c r="AG300" s="6">
        <f>[1]Results!AJ12</f>
        <v>524.35088470000005</v>
      </c>
      <c r="AH300" s="6">
        <f>[1]Results!AK12</f>
        <v>537.68198259999997</v>
      </c>
      <c r="AI300" s="6">
        <f>[1]Results!AL12</f>
        <v>551.01975070000003</v>
      </c>
      <c r="AJ300" s="6">
        <f>[1]Results!AM12</f>
        <v>564.40100600000005</v>
      </c>
      <c r="AK300" s="6">
        <f>[1]Results!AN12</f>
        <v>577.86356560000002</v>
      </c>
      <c r="AL300" s="6">
        <f>[1]Results!AO12</f>
        <v>591.44648229999996</v>
      </c>
      <c r="AM300" s="6">
        <f>[1]Results!AP12</f>
        <v>605.15940890000002</v>
      </c>
      <c r="AN300" s="6">
        <f>[1]Results!AQ12</f>
        <v>619.04732630000001</v>
      </c>
      <c r="AO300" s="6">
        <f>[1]Results!AR12</f>
        <v>633.15703440000004</v>
      </c>
      <c r="AP300" s="6">
        <f>[1]Results!AS12</f>
        <v>647.53828009999995</v>
      </c>
      <c r="AQ300" s="6">
        <f>[1]Results!AT12</f>
        <v>662.24383279999995</v>
      </c>
      <c r="AR300" s="6">
        <f>[1]Results!AU12</f>
        <v>677.33002810000005</v>
      </c>
      <c r="AS300" s="6">
        <f>[1]Results!AV12</f>
        <v>692.85570749999999</v>
      </c>
      <c r="AT300" s="6">
        <f>[1]Results!AW12</f>
        <v>708.88246530000004</v>
      </c>
      <c r="AU300" s="6">
        <f>[1]Results!AX12</f>
        <v>725.47496660000002</v>
      </c>
      <c r="AV300" s="6">
        <f>[1]Results!AY12</f>
        <v>742.70131690000005</v>
      </c>
      <c r="AW300" s="6">
        <f>[1]Results!AZ12</f>
        <v>760.63955539999995</v>
      </c>
      <c r="AX300" s="6">
        <f>[1]Results!BA12</f>
        <v>779.36736689999998</v>
      </c>
      <c r="AY300" s="6">
        <f>[1]Results!BB12</f>
        <v>798.96664499999997</v>
      </c>
      <c r="AZ300" s="6">
        <f>[1]Results!BC12</f>
        <v>819.52431279999996</v>
      </c>
      <c r="BA300" s="6">
        <f>[1]Results!BD12</f>
        <v>841.13301739999997</v>
      </c>
      <c r="BB300" s="6">
        <f>[1]Results!BE12</f>
        <v>863.8935219</v>
      </c>
      <c r="BC300" s="6">
        <f>[1]Results!BF12</f>
        <v>887.91285740000001</v>
      </c>
      <c r="BD300" s="6">
        <f>[1]Results!BG12</f>
        <v>913.30536570000004</v>
      </c>
      <c r="BE300" s="6">
        <f>[1]Results!BH12</f>
        <v>940.19362000000001</v>
      </c>
      <c r="BF300" s="6">
        <f>[1]Results!BI12</f>
        <v>968.70921020000003</v>
      </c>
    </row>
    <row r="302" spans="1:58" x14ac:dyDescent="0.35">
      <c r="A302" s="12" t="s">
        <v>89</v>
      </c>
      <c r="C302" s="2">
        <v>42005</v>
      </c>
      <c r="D302" s="2">
        <v>42370</v>
      </c>
      <c r="E302" s="2">
        <v>42736</v>
      </c>
      <c r="F302" s="2">
        <v>43101</v>
      </c>
      <c r="G302" s="2">
        <v>43466</v>
      </c>
      <c r="H302" s="2">
        <v>43831</v>
      </c>
      <c r="I302" s="2">
        <v>44197</v>
      </c>
      <c r="J302" s="2">
        <v>44562</v>
      </c>
      <c r="K302" s="2">
        <v>44927</v>
      </c>
      <c r="L302" s="2">
        <v>45292</v>
      </c>
      <c r="M302" s="2">
        <v>45658</v>
      </c>
      <c r="N302" s="2">
        <v>46023</v>
      </c>
      <c r="O302" s="2">
        <v>46388</v>
      </c>
      <c r="P302" s="2">
        <v>46753</v>
      </c>
      <c r="Q302" s="2">
        <v>47119</v>
      </c>
      <c r="R302" s="2">
        <v>47484</v>
      </c>
      <c r="S302" s="2">
        <v>47849</v>
      </c>
      <c r="T302" s="2">
        <v>48214</v>
      </c>
      <c r="U302" s="2">
        <v>48580</v>
      </c>
      <c r="V302" s="2">
        <v>48945</v>
      </c>
      <c r="W302" s="2">
        <v>49310</v>
      </c>
      <c r="X302" s="2">
        <v>49675</v>
      </c>
      <c r="Y302" s="2">
        <v>50041</v>
      </c>
      <c r="Z302" s="2">
        <v>50406</v>
      </c>
      <c r="AA302" s="2">
        <v>50771</v>
      </c>
      <c r="AB302" s="2">
        <v>51136</v>
      </c>
      <c r="AC302" s="2">
        <v>51502</v>
      </c>
      <c r="AD302" s="2">
        <v>51867</v>
      </c>
      <c r="AE302" s="2">
        <v>52232</v>
      </c>
      <c r="AF302" s="2">
        <v>52597</v>
      </c>
      <c r="AG302" s="2">
        <v>52963</v>
      </c>
      <c r="AH302" s="2">
        <v>53328</v>
      </c>
      <c r="AI302" s="2">
        <v>53693</v>
      </c>
      <c r="AJ302" s="2">
        <v>54058</v>
      </c>
      <c r="AK302" s="2">
        <v>54424</v>
      </c>
      <c r="AL302" s="2">
        <v>54789</v>
      </c>
      <c r="AM302" s="2">
        <v>54790</v>
      </c>
      <c r="AN302" s="2">
        <v>54791</v>
      </c>
      <c r="AO302" s="2">
        <v>54792</v>
      </c>
      <c r="AP302" s="2">
        <v>54793</v>
      </c>
      <c r="AQ302" s="2">
        <v>54794</v>
      </c>
      <c r="AR302" s="2">
        <v>54795</v>
      </c>
      <c r="AS302" s="2">
        <v>54796</v>
      </c>
      <c r="AT302" s="2">
        <v>54797</v>
      </c>
      <c r="AU302" s="2">
        <v>54798</v>
      </c>
      <c r="AV302" s="2">
        <v>54799</v>
      </c>
      <c r="AW302" s="2">
        <v>54800</v>
      </c>
      <c r="AX302" s="2">
        <v>54801</v>
      </c>
      <c r="AY302" s="2">
        <v>54802</v>
      </c>
      <c r="AZ302" s="2">
        <v>54803</v>
      </c>
      <c r="BA302" s="2">
        <v>54804</v>
      </c>
      <c r="BB302" s="2">
        <v>54805</v>
      </c>
      <c r="BC302" s="2">
        <v>54806</v>
      </c>
      <c r="BD302" s="2">
        <v>54807</v>
      </c>
      <c r="BE302" s="2">
        <v>54808</v>
      </c>
      <c r="BF302" s="2">
        <v>54809</v>
      </c>
    </row>
    <row r="303" spans="1:58" x14ac:dyDescent="0.35">
      <c r="A303" t="s">
        <v>38</v>
      </c>
      <c r="B303" t="s">
        <v>56</v>
      </c>
      <c r="C303" s="6">
        <f>[1]Results!F28</f>
        <v>32317.940999999999</v>
      </c>
      <c r="D303" s="6">
        <f>[1]Results!G28</f>
        <v>31897.938829999999</v>
      </c>
      <c r="E303" s="6">
        <f>[1]Results!H28</f>
        <v>31666.651450000001</v>
      </c>
      <c r="F303" s="6">
        <f>[1]Results!I28</f>
        <v>31569.618539999999</v>
      </c>
      <c r="G303" s="6">
        <f>[1]Results!J28</f>
        <v>31569.42584</v>
      </c>
      <c r="H303" s="6">
        <f>[1]Results!K28</f>
        <v>31641.478179999998</v>
      </c>
      <c r="I303" s="6">
        <f>[1]Results!L28</f>
        <v>31765.79724</v>
      </c>
      <c r="J303" s="6">
        <f>[1]Results!M28</f>
        <v>31931.519540000001</v>
      </c>
      <c r="K303" s="6">
        <f>[1]Results!N28</f>
        <v>32130.85886</v>
      </c>
      <c r="L303" s="6">
        <f>[1]Results!O28</f>
        <v>32357.870459999998</v>
      </c>
      <c r="M303" s="6">
        <f>[1]Results!P28</f>
        <v>32614.428929999998</v>
      </c>
      <c r="N303" s="6">
        <f>[1]Results!Q28</f>
        <v>32889.422270000003</v>
      </c>
      <c r="O303" s="6">
        <f>[1]Results!R28</f>
        <v>33179.262999999999</v>
      </c>
      <c r="P303" s="6">
        <f>[1]Results!S28</f>
        <v>33480.764210000001</v>
      </c>
      <c r="Q303" s="6">
        <f>[1]Results!T28</f>
        <v>33791.20779</v>
      </c>
      <c r="R303" s="6">
        <f>[1]Results!U28</f>
        <v>34108.311079999999</v>
      </c>
      <c r="S303" s="6">
        <f>[1]Results!V28</f>
        <v>34430.162790000002</v>
      </c>
      <c r="T303" s="6">
        <f>[1]Results!W28</f>
        <v>34755.157619999998</v>
      </c>
      <c r="U303" s="6">
        <f>[1]Results!X28</f>
        <v>35081.941579999999</v>
      </c>
      <c r="V303" s="6">
        <f>[1]Results!Y28</f>
        <v>35409.371590000002</v>
      </c>
      <c r="W303" s="6">
        <f>[1]Results!Z28</f>
        <v>35731.651120000002</v>
      </c>
      <c r="X303" s="6">
        <f>[1]Results!AA28</f>
        <v>36053.167399999998</v>
      </c>
      <c r="Y303" s="6">
        <f>[1]Results!AB28</f>
        <v>36373.36838</v>
      </c>
      <c r="Z303" s="6">
        <f>[1]Results!AC28</f>
        <v>36691.884910000001</v>
      </c>
      <c r="AA303" s="6">
        <f>[1]Results!AD28</f>
        <v>37008.42211</v>
      </c>
      <c r="AB303" s="6">
        <f>[1]Results!AE28</f>
        <v>37309.098899999997</v>
      </c>
      <c r="AC303" s="6">
        <f>[1]Results!AF28</f>
        <v>37601.9427</v>
      </c>
      <c r="AD303" s="6">
        <f>[1]Results!AG28</f>
        <v>37887.529390000003</v>
      </c>
      <c r="AE303" s="6">
        <f>[1]Results!AH28</f>
        <v>38166.734429999997</v>
      </c>
      <c r="AF303" s="6">
        <f>[1]Results!AI28</f>
        <v>38440.50561</v>
      </c>
      <c r="AG303" s="6">
        <f>[1]Results!AJ28</f>
        <v>38709.750690000001</v>
      </c>
      <c r="AH303" s="6">
        <f>[1]Results!AK28</f>
        <v>38975.286999999997</v>
      </c>
      <c r="AI303" s="6">
        <f>[1]Results!AL28</f>
        <v>39237.827810000003</v>
      </c>
      <c r="AJ303" s="6">
        <f>[1]Results!AM28</f>
        <v>39497.988640000003</v>
      </c>
      <c r="AK303" s="6">
        <f>[1]Results!AN28</f>
        <v>39756.302250000001</v>
      </c>
      <c r="AL303" s="6">
        <f>[1]Results!AO28</f>
        <v>40013.235200000003</v>
      </c>
      <c r="AM303" s="6">
        <f>[1]Results!AP28</f>
        <v>40266.112139999997</v>
      </c>
      <c r="AN303" s="6">
        <f>[1]Results!AQ28</f>
        <v>40515.530469999998</v>
      </c>
      <c r="AO303" s="6">
        <f>[1]Results!AR28</f>
        <v>40762.110589999997</v>
      </c>
      <c r="AP303" s="6">
        <f>[1]Results!AS28</f>
        <v>41006.519719999997</v>
      </c>
      <c r="AQ303" s="6">
        <f>[1]Results!AT28</f>
        <v>41249.434220000003</v>
      </c>
      <c r="AR303" s="6">
        <f>[1]Results!AU28</f>
        <v>41491.496619999998</v>
      </c>
      <c r="AS303" s="6">
        <f>[1]Results!AV28</f>
        <v>41733.284740000003</v>
      </c>
      <c r="AT303" s="6">
        <f>[1]Results!AW28</f>
        <v>41975.295760000001</v>
      </c>
      <c r="AU303" s="6">
        <f>[1]Results!AX28</f>
        <v>42217.943030000002</v>
      </c>
      <c r="AV303" s="6">
        <f>[1]Results!AY28</f>
        <v>42461.561249999999</v>
      </c>
      <c r="AW303" s="6">
        <f>[1]Results!AZ28</f>
        <v>42706.678099999997</v>
      </c>
      <c r="AX303" s="6">
        <f>[1]Results!BA28</f>
        <v>42953.482920000002</v>
      </c>
      <c r="AY303" s="6">
        <f>[1]Results!BB28</f>
        <v>43202.114459999997</v>
      </c>
      <c r="AZ303" s="6">
        <f>[1]Results!BC28</f>
        <v>43452.669130000002</v>
      </c>
      <c r="BA303" s="6">
        <f>[1]Results!BD28</f>
        <v>43705.21256</v>
      </c>
      <c r="BB303" s="6">
        <f>[1]Results!BE28</f>
        <v>43959.789629999999</v>
      </c>
      <c r="BC303" s="6">
        <f>[1]Results!BF28</f>
        <v>44216.431909999999</v>
      </c>
      <c r="BD303" s="6">
        <f>[1]Results!BG28</f>
        <v>44475.162519999998</v>
      </c>
      <c r="BE303" s="6">
        <f>[1]Results!BH28</f>
        <v>44735.99901</v>
      </c>
      <c r="BF303" s="6">
        <f>[1]Results!BI28</f>
        <v>44998.954839999999</v>
      </c>
    </row>
    <row r="304" spans="1:58" x14ac:dyDescent="0.35">
      <c r="B304" t="s">
        <v>53</v>
      </c>
      <c r="C304" s="6">
        <f>[1]Results!F29</f>
        <v>32271.24</v>
      </c>
      <c r="D304" s="6">
        <f>[1]Results!G29</f>
        <v>31833.810700000002</v>
      </c>
      <c r="E304" s="6">
        <f>[1]Results!H29</f>
        <v>31584.359960000002</v>
      </c>
      <c r="F304" s="6">
        <f>[1]Results!I29</f>
        <v>31468.80747</v>
      </c>
      <c r="G304" s="6">
        <f>[1]Results!J29</f>
        <v>31449.977060000001</v>
      </c>
      <c r="H304" s="6">
        <f>[1]Results!K29</f>
        <v>31503.4094</v>
      </c>
      <c r="I304" s="6">
        <f>[1]Results!L29</f>
        <v>31609.234810000002</v>
      </c>
      <c r="J304" s="6">
        <f>[1]Results!M29</f>
        <v>31756.628499999999</v>
      </c>
      <c r="K304" s="6">
        <f>[1]Results!N29</f>
        <v>31937.825000000001</v>
      </c>
      <c r="L304" s="6">
        <f>[1]Results!O29</f>
        <v>32146.89169</v>
      </c>
      <c r="M304" s="6">
        <f>[1]Results!P29</f>
        <v>32385.64774</v>
      </c>
      <c r="N304" s="6">
        <f>[1]Results!Q29</f>
        <v>32643.052179999999</v>
      </c>
      <c r="O304" s="6">
        <f>[1]Results!R29</f>
        <v>32915.5245</v>
      </c>
      <c r="P304" s="6">
        <f>[1]Results!S29</f>
        <v>33199.88437</v>
      </c>
      <c r="Q304" s="6">
        <f>[1]Results!T29</f>
        <v>33493.418489999996</v>
      </c>
      <c r="R304" s="6">
        <f>[1]Results!U29</f>
        <v>33793.846680000002</v>
      </c>
      <c r="S304" s="6">
        <f>[1]Results!V29</f>
        <v>34099.257989999998</v>
      </c>
      <c r="T304" s="6">
        <f>[1]Results!W29</f>
        <v>34408.045279999998</v>
      </c>
      <c r="U304" s="6">
        <f>[1]Results!X29</f>
        <v>34718.85067</v>
      </c>
      <c r="V304" s="6">
        <f>[1]Results!Y29</f>
        <v>35030.525179999997</v>
      </c>
      <c r="W304" s="6">
        <f>[1]Results!Z29</f>
        <v>35337.312810000003</v>
      </c>
      <c r="X304" s="6">
        <f>[1]Results!AA29</f>
        <v>35643.540569999997</v>
      </c>
      <c r="Y304" s="6">
        <f>[1]Results!AB29</f>
        <v>35948.642520000001</v>
      </c>
      <c r="Z304" s="6">
        <f>[1]Results!AC29</f>
        <v>36252.232790000002</v>
      </c>
      <c r="AA304" s="6">
        <f>[1]Results!AD29</f>
        <v>36553.99798</v>
      </c>
      <c r="AB304" s="6">
        <f>[1]Results!AE29</f>
        <v>36840.178110000001</v>
      </c>
      <c r="AC304" s="6">
        <f>[1]Results!AF29</f>
        <v>37118.699930000002</v>
      </c>
      <c r="AD304" s="6">
        <f>[1]Results!AG29</f>
        <v>37390.109909999999</v>
      </c>
      <c r="AE304" s="6">
        <f>[1]Results!AH29</f>
        <v>37655.248699999996</v>
      </c>
      <c r="AF304" s="6">
        <f>[1]Results!AI29</f>
        <v>37915.026089999999</v>
      </c>
      <c r="AG304" s="6">
        <f>[1]Results!AJ29</f>
        <v>38170.309860000001</v>
      </c>
      <c r="AH304" s="6">
        <f>[1]Results!AK29</f>
        <v>38421.875939999998</v>
      </c>
      <c r="AI304" s="6">
        <f>[1]Results!AL29</f>
        <v>38670.394939999998</v>
      </c>
      <c r="AJ304" s="6">
        <f>[1]Results!AM29</f>
        <v>38916.438419999999</v>
      </c>
      <c r="AK304" s="6">
        <f>[1]Results!AN29</f>
        <v>39160.493719999999</v>
      </c>
      <c r="AL304" s="6">
        <f>[1]Results!AO29</f>
        <v>39402.980309999999</v>
      </c>
      <c r="AM304" s="6">
        <f>[1]Results!AP29</f>
        <v>39641.209920000001</v>
      </c>
      <c r="AN304" s="6">
        <f>[1]Results!AQ29</f>
        <v>39875.728539999996</v>
      </c>
      <c r="AO304" s="6">
        <f>[1]Results!AR29</f>
        <v>40107.101569999999</v>
      </c>
      <c r="AP304" s="6">
        <f>[1]Results!AS29</f>
        <v>40335.937180000001</v>
      </c>
      <c r="AQ304" s="6">
        <f>[1]Results!AT29</f>
        <v>40562.84863</v>
      </c>
      <c r="AR304" s="6">
        <f>[1]Results!AU29</f>
        <v>40788.411549999997</v>
      </c>
      <c r="AS304" s="6">
        <f>[1]Results!AV29</f>
        <v>41013.13308</v>
      </c>
      <c r="AT304" s="6">
        <f>[1]Results!AW29</f>
        <v>41237.435899999997</v>
      </c>
      <c r="AU304" s="6">
        <f>[1]Results!AX29</f>
        <v>41461.654739999998</v>
      </c>
      <c r="AV304" s="6">
        <f>[1]Results!AY29</f>
        <v>41686.041250000002</v>
      </c>
      <c r="AW304" s="6">
        <f>[1]Results!AZ29</f>
        <v>41911.031260000003</v>
      </c>
      <c r="AX304" s="6">
        <f>[1]Results!BA29</f>
        <v>42136.720540000002</v>
      </c>
      <c r="AY304" s="6">
        <f>[1]Results!BB29</f>
        <v>42363.148289999997</v>
      </c>
      <c r="AZ304" s="6">
        <f>[1]Results!BC29</f>
        <v>42590.304810000001</v>
      </c>
      <c r="BA304" s="6">
        <f>[1]Results!BD29</f>
        <v>42818.142330000002</v>
      </c>
      <c r="BB304" s="6">
        <f>[1]Results!BE29</f>
        <v>43046.584360000001</v>
      </c>
      <c r="BC304" s="6">
        <f>[1]Results!BF29</f>
        <v>43275.532310000002</v>
      </c>
      <c r="BD304" s="6">
        <f>[1]Results!BG29</f>
        <v>43504.869610000002</v>
      </c>
      <c r="BE304" s="6">
        <f>[1]Results!BH29</f>
        <v>43734.46372</v>
      </c>
      <c r="BF304" s="6">
        <f>[1]Results!BI29</f>
        <v>43964.166839999998</v>
      </c>
    </row>
    <row r="305" spans="1:58" x14ac:dyDescent="0.35">
      <c r="B305" t="s">
        <v>54</v>
      </c>
      <c r="C305" s="6">
        <f>[1]Results!F45</f>
        <v>1.9359999999999999</v>
      </c>
      <c r="D305" s="6">
        <f>[1]Results!G45</f>
        <v>1.9892347079999999</v>
      </c>
      <c r="E305" s="6">
        <f>[1]Results!H45</f>
        <v>2.0520746779999999</v>
      </c>
      <c r="F305" s="6">
        <f>[1]Results!I45</f>
        <v>2.1206052120000001</v>
      </c>
      <c r="G305" s="6">
        <f>[1]Results!J45</f>
        <v>2.1922228439999998</v>
      </c>
      <c r="H305" s="6">
        <f>[1]Results!K45</f>
        <v>2.2653121299999999</v>
      </c>
      <c r="I305" s="6">
        <f>[1]Results!L45</f>
        <v>2.3385842600000002</v>
      </c>
      <c r="J305" s="6">
        <f>[1]Results!M45</f>
        <v>2.4114609420000002</v>
      </c>
      <c r="K305" s="6">
        <f>[1]Results!N45</f>
        <v>2.4835862729999998</v>
      </c>
      <c r="L305" s="6">
        <f>[1]Results!O45</f>
        <v>2.5547298029999999</v>
      </c>
      <c r="M305" s="6">
        <f>[1]Results!P45</f>
        <v>2.6252879359999999</v>
      </c>
      <c r="N305" s="6">
        <f>[1]Results!Q45</f>
        <v>2.694563799</v>
      </c>
      <c r="O305" s="6">
        <f>[1]Results!R45</f>
        <v>2.7624586529999999</v>
      </c>
      <c r="P305" s="6">
        <f>[1]Results!S45</f>
        <v>2.8288901389999999</v>
      </c>
      <c r="Q305" s="6">
        <f>[1]Results!T45</f>
        <v>2.893799488</v>
      </c>
      <c r="R305" s="6">
        <f>[1]Results!U45</f>
        <v>2.9571502550000002</v>
      </c>
      <c r="S305" s="6">
        <f>[1]Results!V45</f>
        <v>3.0189243800000001</v>
      </c>
      <c r="T305" s="6">
        <f>[1]Results!W45</f>
        <v>3.0791179660000001</v>
      </c>
      <c r="U305" s="6">
        <f>[1]Results!X45</f>
        <v>3.1377377919999998</v>
      </c>
      <c r="V305" s="6">
        <f>[1]Results!Y45</f>
        <v>3.194798885</v>
      </c>
      <c r="W305" s="6">
        <f>[1]Results!Z45</f>
        <v>3.249920779</v>
      </c>
      <c r="X305" s="6">
        <f>[1]Results!AA45</f>
        <v>3.3035562430000001</v>
      </c>
      <c r="Y305" s="6">
        <f>[1]Results!AB45</f>
        <v>3.3557469709999999</v>
      </c>
      <c r="Z305" s="6">
        <f>[1]Results!AC45</f>
        <v>3.4065434830000001</v>
      </c>
      <c r="AA305" s="6">
        <f>[1]Results!AD45</f>
        <v>3.4559967060000001</v>
      </c>
      <c r="AB305" s="6">
        <f>[1]Results!AE45</f>
        <v>3.5030226710000001</v>
      </c>
      <c r="AC305" s="6">
        <f>[1]Results!AF45</f>
        <v>3.5483371269999999</v>
      </c>
      <c r="AD305" s="6">
        <f>[1]Results!AG45</f>
        <v>3.5920428819999999</v>
      </c>
      <c r="AE305" s="6">
        <f>[1]Results!AH45</f>
        <v>3.634264607</v>
      </c>
      <c r="AF305" s="6">
        <f>[1]Results!AI45</f>
        <v>3.6751304889999998</v>
      </c>
      <c r="AG305" s="6">
        <f>[1]Results!AJ45</f>
        <v>3.714763118</v>
      </c>
      <c r="AH305" s="6">
        <f>[1]Results!AK45</f>
        <v>3.7532753790000002</v>
      </c>
      <c r="AI305" s="6">
        <f>[1]Results!AL45</f>
        <v>3.7907693299999998</v>
      </c>
      <c r="AJ305" s="6">
        <f>[1]Results!AM45</f>
        <v>3.8273367110000001</v>
      </c>
      <c r="AK305" s="6">
        <f>[1]Results!AN45</f>
        <v>3.8630601900000001</v>
      </c>
      <c r="AL305" s="6">
        <f>[1]Results!AO45</f>
        <v>3.8980147519999999</v>
      </c>
      <c r="AM305" s="6">
        <f>[1]Results!AP45</f>
        <v>3.9320123549999999</v>
      </c>
      <c r="AN305" s="6">
        <f>[1]Results!AQ45</f>
        <v>3.9651308460000001</v>
      </c>
      <c r="AO305" s="6">
        <f>[1]Results!AR45</f>
        <v>3.9974484079999999</v>
      </c>
      <c r="AP305" s="6">
        <f>[1]Results!AS45</f>
        <v>4.0290456260000003</v>
      </c>
      <c r="AQ305" s="6">
        <f>[1]Results!AT45</f>
        <v>4.0600024540000001</v>
      </c>
      <c r="AR305" s="6">
        <f>[1]Results!AU45</f>
        <v>4.0903946949999996</v>
      </c>
      <c r="AS305" s="6">
        <f>[1]Results!AV45</f>
        <v>4.1202914249999996</v>
      </c>
      <c r="AT305" s="6">
        <f>[1]Results!AW45</f>
        <v>4.1497536220000004</v>
      </c>
      <c r="AU305" s="6">
        <f>[1]Results!AX45</f>
        <v>4.1788338290000002</v>
      </c>
      <c r="AV305" s="6">
        <f>[1]Results!AY45</f>
        <v>4.2075765110000001</v>
      </c>
      <c r="AW305" s="6">
        <f>[1]Results!AZ45</f>
        <v>4.2360404750000002</v>
      </c>
      <c r="AX305" s="6">
        <f>[1]Results!BA45</f>
        <v>4.2642551319999997</v>
      </c>
      <c r="AY305" s="6">
        <f>[1]Results!BB45</f>
        <v>4.2922439280000004</v>
      </c>
      <c r="AZ305" s="6">
        <f>[1]Results!BC45</f>
        <v>4.3200249929999996</v>
      </c>
      <c r="BA305" s="6">
        <f>[1]Results!BD45</f>
        <v>4.3476120619999996</v>
      </c>
      <c r="BB305" s="6">
        <f>[1]Results!BE45</f>
        <v>4.3750152849999999</v>
      </c>
      <c r="BC305" s="6">
        <f>[1]Results!BF45</f>
        <v>4.4022418229999998</v>
      </c>
      <c r="BD305" s="6">
        <f>[1]Results!BG45</f>
        <v>4.4292962320000004</v>
      </c>
      <c r="BE305" s="6">
        <f>[1]Results!BH45</f>
        <v>4.4561806820000003</v>
      </c>
      <c r="BF305" s="6">
        <f>[1]Results!BI45</f>
        <v>4.4828950570000003</v>
      </c>
    </row>
    <row r="306" spans="1:58" x14ac:dyDescent="0.35">
      <c r="B306" t="s">
        <v>55</v>
      </c>
      <c r="C306" s="6">
        <f>[1]Results!F37</f>
        <v>44.765000000000001</v>
      </c>
      <c r="D306" s="6">
        <f>[1]Results!G37</f>
        <v>62.138891620000003</v>
      </c>
      <c r="E306" s="6">
        <f>[1]Results!H37</f>
        <v>80.239419889999994</v>
      </c>
      <c r="F306" s="6">
        <f>[1]Results!I37</f>
        <v>98.69046573</v>
      </c>
      <c r="G306" s="6">
        <f>[1]Results!J37</f>
        <v>117.2565567</v>
      </c>
      <c r="H306" s="6">
        <f>[1]Results!K37</f>
        <v>135.80346929999999</v>
      </c>
      <c r="I306" s="6">
        <f>[1]Results!L37</f>
        <v>154.22384930000001</v>
      </c>
      <c r="J306" s="6">
        <f>[1]Results!M37</f>
        <v>172.4795866</v>
      </c>
      <c r="K306" s="6">
        <f>[1]Results!N37</f>
        <v>190.55027509999999</v>
      </c>
      <c r="L306" s="6">
        <f>[1]Results!O37</f>
        <v>208.42404629999999</v>
      </c>
      <c r="M306" s="6">
        <f>[1]Results!P37</f>
        <v>226.1559082</v>
      </c>
      <c r="N306" s="6">
        <f>[1]Results!Q37</f>
        <v>243.67552910000001</v>
      </c>
      <c r="O306" s="6">
        <f>[1]Results!R37</f>
        <v>260.9760488</v>
      </c>
      <c r="P306" s="6">
        <f>[1]Results!S37</f>
        <v>278.05094400000002</v>
      </c>
      <c r="Q306" s="6">
        <f>[1]Results!T37</f>
        <v>294.89550739999999</v>
      </c>
      <c r="R306" s="6">
        <f>[1]Results!U37</f>
        <v>311.50724439999999</v>
      </c>
      <c r="S306" s="6">
        <f>[1]Results!V37</f>
        <v>327.88587369999999</v>
      </c>
      <c r="T306" s="6">
        <f>[1]Results!W37</f>
        <v>344.03322709999998</v>
      </c>
      <c r="U306" s="6">
        <f>[1]Results!X37</f>
        <v>359.9531743</v>
      </c>
      <c r="V306" s="6">
        <f>[1]Results!Y37</f>
        <v>375.65161289999998</v>
      </c>
      <c r="W306" s="6">
        <f>[1]Results!Z37</f>
        <v>391.08838960000003</v>
      </c>
      <c r="X306" s="6">
        <f>[1]Results!AA37</f>
        <v>406.3232749</v>
      </c>
      <c r="Y306" s="6">
        <f>[1]Results!AB37</f>
        <v>421.3701208</v>
      </c>
      <c r="Z306" s="6">
        <f>[1]Results!AC37</f>
        <v>436.24558580000001</v>
      </c>
      <c r="AA306" s="6">
        <f>[1]Results!AD37</f>
        <v>450.96814089999998</v>
      </c>
      <c r="AB306" s="6">
        <f>[1]Results!AE37</f>
        <v>465.417776</v>
      </c>
      <c r="AC306" s="6">
        <f>[1]Results!AF37</f>
        <v>479.69443699999999</v>
      </c>
      <c r="AD306" s="6">
        <f>[1]Results!AG37</f>
        <v>493.82743290000002</v>
      </c>
      <c r="AE306" s="6">
        <f>[1]Results!AH37</f>
        <v>507.8514697</v>
      </c>
      <c r="AF306" s="6">
        <f>[1]Results!AI37</f>
        <v>521.80439939999997</v>
      </c>
      <c r="AG306" s="6">
        <f>[1]Results!AJ37</f>
        <v>535.72607170000003</v>
      </c>
      <c r="AH306" s="6">
        <f>[1]Results!AK37</f>
        <v>549.65778399999999</v>
      </c>
      <c r="AI306" s="6">
        <f>[1]Results!AL37</f>
        <v>563.64209840000001</v>
      </c>
      <c r="AJ306" s="6">
        <f>[1]Results!AM37</f>
        <v>577.72288040000001</v>
      </c>
      <c r="AK306" s="6">
        <f>[1]Results!AN37</f>
        <v>591.94546490000005</v>
      </c>
      <c r="AL306" s="6">
        <f>[1]Results!AO37</f>
        <v>606.35688600000003</v>
      </c>
      <c r="AM306" s="6">
        <f>[1]Results!AP37</f>
        <v>620.97020220000002</v>
      </c>
      <c r="AN306" s="6">
        <f>[1]Results!AQ37</f>
        <v>635.83680549999997</v>
      </c>
      <c r="AO306" s="6">
        <f>[1]Results!AR37</f>
        <v>651.01157390000003</v>
      </c>
      <c r="AP306" s="6">
        <f>[1]Results!AS37</f>
        <v>666.55349720000004</v>
      </c>
      <c r="AQ306" s="6">
        <f>[1]Results!AT37</f>
        <v>682.52558439999996</v>
      </c>
      <c r="AR306" s="6">
        <f>[1]Results!AU37</f>
        <v>698.99467579999998</v>
      </c>
      <c r="AS306" s="6">
        <f>[1]Results!AV37</f>
        <v>716.03136910000001</v>
      </c>
      <c r="AT306" s="6">
        <f>[1]Results!AW37</f>
        <v>733.71011229999999</v>
      </c>
      <c r="AU306" s="6">
        <f>[1]Results!AX37</f>
        <v>752.10945470000001</v>
      </c>
      <c r="AV306" s="6">
        <f>[1]Results!AY37</f>
        <v>771.31242650000002</v>
      </c>
      <c r="AW306" s="6">
        <f>[1]Results!AZ37</f>
        <v>791.41079990000003</v>
      </c>
      <c r="AX306" s="6">
        <f>[1]Results!BA37</f>
        <v>812.49812110000005</v>
      </c>
      <c r="AY306" s="6">
        <f>[1]Results!BB37</f>
        <v>834.67392089999998</v>
      </c>
      <c r="AZ306" s="6">
        <f>[1]Results!BC37</f>
        <v>858.04429909999999</v>
      </c>
      <c r="BA306" s="6">
        <f>[1]Results!BD37</f>
        <v>882.72262049999995</v>
      </c>
      <c r="BB306" s="6">
        <f>[1]Results!BE37</f>
        <v>908.83025680000003</v>
      </c>
      <c r="BC306" s="6">
        <f>[1]Results!BF37</f>
        <v>936.49735320000002</v>
      </c>
      <c r="BD306" s="6">
        <f>[1]Results!BG37</f>
        <v>965.86361380000005</v>
      </c>
      <c r="BE306" s="6">
        <f>[1]Results!BH37</f>
        <v>997.07910890000005</v>
      </c>
      <c r="BF306" s="6">
        <f>[1]Results!BI37</f>
        <v>1030.30511</v>
      </c>
    </row>
    <row r="308" spans="1:58" x14ac:dyDescent="0.35">
      <c r="A308" s="12" t="s">
        <v>90</v>
      </c>
      <c r="B308" s="5" t="str">
        <f>[1]Hybrid!A18</f>
        <v>auto_ca_cfut_2</v>
      </c>
      <c r="C308" s="5">
        <f>[1]Hybrid!B18</f>
        <v>7095.7005250000002</v>
      </c>
      <c r="D308" s="5">
        <f>[1]Hybrid!C18</f>
        <v>7131.7170230000002</v>
      </c>
      <c r="E308" s="5">
        <f>[1]Hybrid!D18</f>
        <v>7211.5847830000002</v>
      </c>
      <c r="F308" s="5">
        <f>[1]Hybrid!E18</f>
        <v>7321.8800460000002</v>
      </c>
      <c r="G308" s="5">
        <f>[1]Hybrid!F18</f>
        <v>7453.552001</v>
      </c>
      <c r="H308" s="5">
        <f>[1]Hybrid!G18</f>
        <v>7600.893564</v>
      </c>
      <c r="I308" s="5">
        <f>[1]Hybrid!H18</f>
        <v>7759.2252280000002</v>
      </c>
      <c r="J308" s="5">
        <f>[1]Hybrid!I18</f>
        <v>7926.2919080000001</v>
      </c>
      <c r="K308" s="5">
        <f>[1]Hybrid!J18</f>
        <v>8100.558806</v>
      </c>
      <c r="L308" s="5">
        <f>[1]Hybrid!K18</f>
        <v>8280.889443</v>
      </c>
      <c r="M308" s="5">
        <f>[1]Hybrid!L18</f>
        <v>8468.4151340000008</v>
      </c>
      <c r="N308" s="5">
        <f>[1]Hybrid!M18</f>
        <v>8660.1714979999997</v>
      </c>
      <c r="O308" s="5">
        <f>[1]Hybrid!N18</f>
        <v>8855.4255429999994</v>
      </c>
      <c r="P308" s="5">
        <f>[1]Hybrid!O18</f>
        <v>9053.5134359999993</v>
      </c>
      <c r="Q308" s="5">
        <f>[1]Hybrid!P18</f>
        <v>9253.865076</v>
      </c>
      <c r="R308" s="5">
        <f>[1]Hybrid!Q18</f>
        <v>9456.0000440000003</v>
      </c>
      <c r="S308" s="5">
        <f>[1]Hybrid!R18</f>
        <v>9659.4518810000009</v>
      </c>
      <c r="T308" s="5">
        <f>[1]Hybrid!S18</f>
        <v>9863.8500559999993</v>
      </c>
      <c r="U308" s="5">
        <f>[1]Hybrid!T18</f>
        <v>10068.886990000001</v>
      </c>
      <c r="V308" s="5">
        <f>[1]Hybrid!U18</f>
        <v>10274.300440000001</v>
      </c>
      <c r="W308" s="5">
        <f>[1]Hybrid!V18</f>
        <v>10478.255150000001</v>
      </c>
      <c r="X308" s="5">
        <f>[1]Hybrid!W18</f>
        <v>10682.27342</v>
      </c>
      <c r="Y308" s="5">
        <f>[1]Hybrid!X18</f>
        <v>10886.223260000001</v>
      </c>
      <c r="Z308" s="5">
        <f>[1]Hybrid!Y18</f>
        <v>11090.024020000001</v>
      </c>
      <c r="AA308" s="5">
        <f>[1]Hybrid!Z18</f>
        <v>11293.61181</v>
      </c>
      <c r="AB308" s="5">
        <f>[1]Hybrid!AA18</f>
        <v>11492.216780000001</v>
      </c>
      <c r="AC308" s="5">
        <f>[1]Hybrid!AB18</f>
        <v>11688.6219</v>
      </c>
      <c r="AD308" s="5">
        <f>[1]Hybrid!AC18</f>
        <v>11883.0095</v>
      </c>
      <c r="AE308" s="5">
        <f>[1]Hybrid!AD18</f>
        <v>12075.66461</v>
      </c>
      <c r="AF308" s="5">
        <f>[1]Hybrid!AE18</f>
        <v>12266.90537</v>
      </c>
      <c r="AG308" s="5">
        <f>[1]Hybrid!AF18</f>
        <v>12457.046130000001</v>
      </c>
      <c r="AH308" s="5">
        <f>[1]Hybrid!AG18</f>
        <v>12646.394029999999</v>
      </c>
      <c r="AI308" s="5">
        <f>[1]Hybrid!AH18</f>
        <v>12835.21977</v>
      </c>
      <c r="AJ308" s="5">
        <f>[1]Hybrid!AI18</f>
        <v>13023.763989999999</v>
      </c>
      <c r="AK308" s="5">
        <f>[1]Hybrid!AJ18</f>
        <v>13212.24433</v>
      </c>
      <c r="AL308" s="5">
        <f>[1]Hybrid!AK18</f>
        <v>13400.86124</v>
      </c>
      <c r="AM308" s="5">
        <f>[1]Hybrid!AL18</f>
        <v>13588.776819999999</v>
      </c>
      <c r="AN308" s="5">
        <f>[1]Hybrid!AM18</f>
        <v>13776.285669999999</v>
      </c>
      <c r="AO308" s="5">
        <f>[1]Hybrid!AN18</f>
        <v>13963.65273</v>
      </c>
      <c r="AP308" s="5">
        <f>[1]Hybrid!AO18</f>
        <v>14151.1482</v>
      </c>
      <c r="AQ308" s="5">
        <f>[1]Hybrid!AP18</f>
        <v>14339.04364</v>
      </c>
      <c r="AR308" s="5">
        <f>[1]Hybrid!AQ18</f>
        <v>14527.6199</v>
      </c>
      <c r="AS308" s="5">
        <f>[1]Hybrid!AR18</f>
        <v>14717.12328</v>
      </c>
      <c r="AT308" s="5">
        <f>[1]Hybrid!AS18</f>
        <v>14907.76691</v>
      </c>
      <c r="AU308" s="5">
        <f>[1]Hybrid!AT18</f>
        <v>15099.733050000001</v>
      </c>
      <c r="AV308" s="5">
        <f>[1]Hybrid!AU18</f>
        <v>15293.17583</v>
      </c>
      <c r="AW308" s="5">
        <f>[1]Hybrid!AV18</f>
        <v>15488.3982</v>
      </c>
      <c r="AX308" s="5">
        <f>[1]Hybrid!AW18</f>
        <v>15685.52673</v>
      </c>
      <c r="AY308" s="5">
        <f>[1]Hybrid!AX18</f>
        <v>15884.6486</v>
      </c>
      <c r="AZ308" s="5">
        <f>[1]Hybrid!AY18</f>
        <v>16085.826359999999</v>
      </c>
      <c r="BA308" s="5">
        <f>[1]Hybrid!AZ18</f>
        <v>16289.105750000001</v>
      </c>
      <c r="BB308" s="5">
        <f>[1]Hybrid!BA18</f>
        <v>16494.56378</v>
      </c>
      <c r="BC308" s="5">
        <f>[1]Hybrid!BB18</f>
        <v>16702.240399999999</v>
      </c>
      <c r="BD308" s="5">
        <f>[1]Hybrid!BC18</f>
        <v>16912.155360000001</v>
      </c>
      <c r="BE308" s="5">
        <f>[1]Hybrid!BD18</f>
        <v>17124.317729999999</v>
      </c>
      <c r="BF308" s="5">
        <f>[1]Hybrid!BE18</f>
        <v>17338.72941</v>
      </c>
    </row>
    <row r="309" spans="1:58" x14ac:dyDescent="0.35">
      <c r="A309" t="s">
        <v>39</v>
      </c>
      <c r="B309" s="5" t="str">
        <f>[1]Hybrid!A20</f>
        <v>auto_cb_cfut_2</v>
      </c>
      <c r="C309" s="5">
        <f>[1]Hybrid!B20</f>
        <v>8251.256421</v>
      </c>
      <c r="D309" s="5">
        <f>[1]Hybrid!C20</f>
        <v>8173.2818669999997</v>
      </c>
      <c r="E309" s="5">
        <f>[1]Hybrid!D20</f>
        <v>8145.2311060000002</v>
      </c>
      <c r="F309" s="5">
        <f>[1]Hybrid!E20</f>
        <v>8153.3486929999999</v>
      </c>
      <c r="G309" s="5">
        <f>[1]Hybrid!F20</f>
        <v>8188.1861079999999</v>
      </c>
      <c r="H309" s="5">
        <f>[1]Hybrid!G20</f>
        <v>8243.5791680000002</v>
      </c>
      <c r="I309" s="5">
        <f>[1]Hybrid!H20</f>
        <v>8314.4242859999995</v>
      </c>
      <c r="J309" s="5">
        <f>[1]Hybrid!I20</f>
        <v>8397.9963360000002</v>
      </c>
      <c r="K309" s="5">
        <f>[1]Hybrid!J20</f>
        <v>8492.3134289999998</v>
      </c>
      <c r="L309" s="5">
        <f>[1]Hybrid!K20</f>
        <v>8595.8218259999994</v>
      </c>
      <c r="M309" s="5">
        <f>[1]Hybrid!L20</f>
        <v>8709.1424000000006</v>
      </c>
      <c r="N309" s="5">
        <f>[1]Hybrid!M20</f>
        <v>8829.0780520000008</v>
      </c>
      <c r="O309" s="5">
        <f>[1]Hybrid!N20</f>
        <v>8954.5718460000007</v>
      </c>
      <c r="P309" s="5">
        <f>[1]Hybrid!O20</f>
        <v>9084.6645059999992</v>
      </c>
      <c r="Q309" s="5">
        <f>[1]Hybrid!P20</f>
        <v>9218.5137049999994</v>
      </c>
      <c r="R309" s="5">
        <f>[1]Hybrid!Q20</f>
        <v>9355.3871610000006</v>
      </c>
      <c r="S309" s="5">
        <f>[1]Hybrid!R20</f>
        <v>9494.5904869999995</v>
      </c>
      <c r="T309" s="5">
        <f>[1]Hybrid!S20</f>
        <v>9635.5411100000001</v>
      </c>
      <c r="U309" s="5">
        <f>[1]Hybrid!T20</f>
        <v>9777.7352859999992</v>
      </c>
      <c r="V309" s="5">
        <f>[1]Hybrid!U20</f>
        <v>9920.7296050000004</v>
      </c>
      <c r="W309" s="5">
        <f>[1]Hybrid!V20</f>
        <v>10062.66727</v>
      </c>
      <c r="X309" s="5">
        <f>[1]Hybrid!W20</f>
        <v>10204.770130000001</v>
      </c>
      <c r="Y309" s="5">
        <f>[1]Hybrid!X20</f>
        <v>10346.759529999999</v>
      </c>
      <c r="Z309" s="5">
        <f>[1]Hybrid!Y20</f>
        <v>10488.413909999999</v>
      </c>
      <c r="AA309" s="5">
        <f>[1]Hybrid!Z20</f>
        <v>10629.536609999999</v>
      </c>
      <c r="AB309" s="5">
        <f>[1]Hybrid!AA20</f>
        <v>10765.73935</v>
      </c>
      <c r="AC309" s="5">
        <f>[1]Hybrid!AB20</f>
        <v>10899.42296</v>
      </c>
      <c r="AD309" s="5">
        <f>[1]Hybrid!AC20</f>
        <v>11030.65821</v>
      </c>
      <c r="AE309" s="5">
        <f>[1]Hybrid!AD20</f>
        <v>11159.60895</v>
      </c>
      <c r="AF309" s="5">
        <f>[1]Hybrid!AE20</f>
        <v>11286.469010000001</v>
      </c>
      <c r="AG309" s="5">
        <f>[1]Hybrid!AF20</f>
        <v>11411.429120000001</v>
      </c>
      <c r="AH309" s="5">
        <f>[1]Hybrid!AG20</f>
        <v>11534.67346</v>
      </c>
      <c r="AI309" s="5">
        <f>[1]Hybrid!AH20</f>
        <v>11656.35383</v>
      </c>
      <c r="AJ309" s="5">
        <f>[1]Hybrid!AI20</f>
        <v>11776.595300000001</v>
      </c>
      <c r="AK309" s="5">
        <f>[1]Hybrid!AJ20</f>
        <v>11895.502329999999</v>
      </c>
      <c r="AL309" s="5">
        <f>[1]Hybrid!AK20</f>
        <v>12013.16382</v>
      </c>
      <c r="AM309" s="5">
        <f>[1]Hybrid!AL20</f>
        <v>12128.782569999999</v>
      </c>
      <c r="AN309" s="5">
        <f>[1]Hybrid!AM20</f>
        <v>12242.536400000001</v>
      </c>
      <c r="AO309" s="5">
        <f>[1]Hybrid!AN20</f>
        <v>12354.57633</v>
      </c>
      <c r="AP309" s="5">
        <f>[1]Hybrid!AO20</f>
        <v>12465.055829999999</v>
      </c>
      <c r="AQ309" s="5">
        <f>[1]Hybrid!AP20</f>
        <v>12574.127140000001</v>
      </c>
      <c r="AR309" s="5">
        <f>[1]Hybrid!AQ20</f>
        <v>12681.947410000001</v>
      </c>
      <c r="AS309" s="5">
        <f>[1]Hybrid!AR20</f>
        <v>12788.64201</v>
      </c>
      <c r="AT309" s="5">
        <f>[1]Hybrid!AS20</f>
        <v>12894.306049999999</v>
      </c>
      <c r="AU309" s="5">
        <f>[1]Hybrid!AT20</f>
        <v>12999.00669</v>
      </c>
      <c r="AV309" s="5">
        <f>[1]Hybrid!AU20</f>
        <v>13102.78577</v>
      </c>
      <c r="AW309" s="5">
        <f>[1]Hybrid!AV20</f>
        <v>13205.80276</v>
      </c>
      <c r="AX309" s="5">
        <f>[1]Hybrid!AW20</f>
        <v>13308.06976</v>
      </c>
      <c r="AY309" s="5">
        <f>[1]Hybrid!AX20</f>
        <v>13409.564640000001</v>
      </c>
      <c r="AZ309" s="5">
        <f>[1]Hybrid!AY20</f>
        <v>13510.243850000001</v>
      </c>
      <c r="BA309" s="5">
        <f>[1]Hybrid!AZ20</f>
        <v>13610.049300000001</v>
      </c>
      <c r="BB309" s="5">
        <f>[1]Hybrid!BA20</f>
        <v>13708.94608</v>
      </c>
      <c r="BC309" s="5">
        <f>[1]Hybrid!BB20</f>
        <v>13806.86839</v>
      </c>
      <c r="BD309" s="5">
        <f>[1]Hybrid!BC20</f>
        <v>13903.73322</v>
      </c>
      <c r="BE309" s="5">
        <f>[1]Hybrid!BD20</f>
        <v>13999.448179999999</v>
      </c>
      <c r="BF309" s="5">
        <f>[1]Hybrid!BE20</f>
        <v>14093.914349999999</v>
      </c>
    </row>
    <row r="310" spans="1:58" x14ac:dyDescent="0.35">
      <c r="B310" s="5" t="str">
        <f>[1]Hybrid!A22</f>
        <v>auto_cc_cfut_2</v>
      </c>
      <c r="C310" s="5">
        <f>[1]Hybrid!B22</f>
        <v>6777.6024520000001</v>
      </c>
      <c r="D310" s="5">
        <f>[1]Hybrid!C22</f>
        <v>6640.2699149999999</v>
      </c>
      <c r="E310" s="5">
        <f>[1]Hybrid!D22</f>
        <v>6543.3404330000003</v>
      </c>
      <c r="F310" s="5">
        <f>[1]Hybrid!E22</f>
        <v>6476.6635329999999</v>
      </c>
      <c r="G310" s="5">
        <f>[1]Hybrid!F22</f>
        <v>6433.1488310000004</v>
      </c>
      <c r="H310" s="5">
        <f>[1]Hybrid!G22</f>
        <v>6408.0339409999997</v>
      </c>
      <c r="I310" s="5">
        <f>[1]Hybrid!H22</f>
        <v>6397.3445599999995</v>
      </c>
      <c r="J310" s="5">
        <f>[1]Hybrid!I22</f>
        <v>6398.7904570000001</v>
      </c>
      <c r="K310" s="5">
        <f>[1]Hybrid!J22</f>
        <v>6410.6338500000002</v>
      </c>
      <c r="L310" s="5">
        <f>[1]Hybrid!K22</f>
        <v>6431.467009</v>
      </c>
      <c r="M310" s="5">
        <f>[1]Hybrid!L22</f>
        <v>6461.3885270000001</v>
      </c>
      <c r="N310" s="5">
        <f>[1]Hybrid!M22</f>
        <v>6497.9334939999999</v>
      </c>
      <c r="O310" s="5">
        <f>[1]Hybrid!N22</f>
        <v>6540.1193119999998</v>
      </c>
      <c r="P310" s="5">
        <f>[1]Hybrid!O22</f>
        <v>6587.0541780000003</v>
      </c>
      <c r="Q310" s="5">
        <f>[1]Hybrid!P22</f>
        <v>6637.947416</v>
      </c>
      <c r="R310" s="5">
        <f>[1]Hybrid!Q22</f>
        <v>6692.1025520000003</v>
      </c>
      <c r="S310" s="5">
        <f>[1]Hybrid!R22</f>
        <v>6748.8675629999998</v>
      </c>
      <c r="T310" s="5">
        <f>[1]Hybrid!S22</f>
        <v>6807.6827450000001</v>
      </c>
      <c r="U310" s="5">
        <f>[1]Hybrid!T22</f>
        <v>6868.056869</v>
      </c>
      <c r="V310" s="5">
        <f>[1]Hybrid!U22</f>
        <v>6929.5532389999998</v>
      </c>
      <c r="W310" s="5">
        <f>[1]Hybrid!V22</f>
        <v>6990.8213219999998</v>
      </c>
      <c r="X310" s="5">
        <f>[1]Hybrid!W22</f>
        <v>7052.5489530000004</v>
      </c>
      <c r="Y310" s="5">
        <f>[1]Hybrid!X22</f>
        <v>7114.4440880000002</v>
      </c>
      <c r="Z310" s="5">
        <f>[1]Hybrid!Y22</f>
        <v>7176.2607619999999</v>
      </c>
      <c r="AA310" s="5">
        <f>[1]Hybrid!Z22</f>
        <v>7237.7774449999997</v>
      </c>
      <c r="AB310" s="5">
        <f>[1]Hybrid!AA22</f>
        <v>7296.0805049999999</v>
      </c>
      <c r="AC310" s="5">
        <f>[1]Hybrid!AB22</f>
        <v>7352.6609689999996</v>
      </c>
      <c r="AD310" s="5">
        <f>[1]Hybrid!AC22</f>
        <v>7407.5050149999997</v>
      </c>
      <c r="AE310" s="5">
        <f>[1]Hybrid!AD22</f>
        <v>7460.6611789999997</v>
      </c>
      <c r="AF310" s="5">
        <f>[1]Hybrid!AE22</f>
        <v>7512.1990509999996</v>
      </c>
      <c r="AG310" s="5">
        <f>[1]Hybrid!AF22</f>
        <v>7562.1878710000001</v>
      </c>
      <c r="AH310" s="5">
        <f>[1]Hybrid!AG22</f>
        <v>7610.6940759999998</v>
      </c>
      <c r="AI310" s="5">
        <f>[1]Hybrid!AH22</f>
        <v>7657.7648660000004</v>
      </c>
      <c r="AJ310" s="5">
        <f>[1]Hybrid!AI22</f>
        <v>7703.4318110000004</v>
      </c>
      <c r="AK310" s="5">
        <f>[1]Hybrid!AJ22</f>
        <v>7747.7147050000003</v>
      </c>
      <c r="AL310" s="5">
        <f>[1]Hybrid!AK22</f>
        <v>7790.6247810000004</v>
      </c>
      <c r="AM310" s="5">
        <f>[1]Hybrid!AL22</f>
        <v>7831.6289450000004</v>
      </c>
      <c r="AN310" s="5">
        <f>[1]Hybrid!AM22</f>
        <v>7870.8015770000002</v>
      </c>
      <c r="AO310" s="5">
        <f>[1]Hybrid!AN22</f>
        <v>7908.2011839999996</v>
      </c>
      <c r="AP310" s="5">
        <f>[1]Hybrid!AO22</f>
        <v>7943.8881350000001</v>
      </c>
      <c r="AQ310" s="5">
        <f>[1]Hybrid!AP22</f>
        <v>7977.9221889999999</v>
      </c>
      <c r="AR310" s="5">
        <f>[1]Hybrid!AQ22</f>
        <v>8010.3660380000001</v>
      </c>
      <c r="AS310" s="5">
        <f>[1]Hybrid!AR22</f>
        <v>8041.2631410000004</v>
      </c>
      <c r="AT310" s="5">
        <f>[1]Hybrid!AS22</f>
        <v>8070.6389479999998</v>
      </c>
      <c r="AU310" s="5">
        <f>[1]Hybrid!AT22</f>
        <v>8098.5025800000003</v>
      </c>
      <c r="AV310" s="5">
        <f>[1]Hybrid!AU22</f>
        <v>8124.8486659999999</v>
      </c>
      <c r="AW310" s="5">
        <f>[1]Hybrid!AV22</f>
        <v>8149.7408850000002</v>
      </c>
      <c r="AX310" s="5">
        <f>[1]Hybrid!AW22</f>
        <v>8173.156035</v>
      </c>
      <c r="AY310" s="5">
        <f>[1]Hybrid!AX22</f>
        <v>8195.0516050000006</v>
      </c>
      <c r="AZ310" s="5">
        <f>[1]Hybrid!AY22</f>
        <v>8215.3738620000004</v>
      </c>
      <c r="BA310" s="5">
        <f>[1]Hybrid!AZ22</f>
        <v>8234.0621890000002</v>
      </c>
      <c r="BB310" s="5">
        <f>[1]Hybrid!BA22</f>
        <v>8251.0706289999998</v>
      </c>
      <c r="BC310" s="5">
        <f>[1]Hybrid!BB22</f>
        <v>8266.3369660000008</v>
      </c>
      <c r="BD310" s="5">
        <f>[1]Hybrid!BC22</f>
        <v>8279.7908590000006</v>
      </c>
      <c r="BE310" s="5">
        <f>[1]Hybrid!BD22</f>
        <v>8291.3585409999996</v>
      </c>
      <c r="BF310" s="5">
        <f>[1]Hybrid!BE22</f>
        <v>8300.9645860000001</v>
      </c>
    </row>
    <row r="311" spans="1:58" x14ac:dyDescent="0.35">
      <c r="B311" s="5" t="str">
        <f>[1]Hybrid!A24</f>
        <v>auto_cd_cfut_2</v>
      </c>
      <c r="C311" s="5">
        <f>[1]Hybrid!B24</f>
        <v>4159.6639080000004</v>
      </c>
      <c r="D311" s="5">
        <f>[1]Hybrid!C24</f>
        <v>4051.167477</v>
      </c>
      <c r="E311" s="5">
        <f>[1]Hybrid!D24</f>
        <v>3965.9439769999999</v>
      </c>
      <c r="F311" s="5">
        <f>[1]Hybrid!E24</f>
        <v>3897.8716460000001</v>
      </c>
      <c r="G311" s="5">
        <f>[1]Hybrid!F24</f>
        <v>3842.6542159999999</v>
      </c>
      <c r="H311" s="5">
        <f>[1]Hybrid!G24</f>
        <v>3797.3573959999999</v>
      </c>
      <c r="I311" s="5">
        <f>[1]Hybrid!H24</f>
        <v>3759.5565160000001</v>
      </c>
      <c r="J311" s="5">
        <f>[1]Hybrid!I24</f>
        <v>3727.7949159999998</v>
      </c>
      <c r="K311" s="5">
        <f>[1]Hybrid!J24</f>
        <v>3700.9606899999999</v>
      </c>
      <c r="L311" s="5">
        <f>[1]Hybrid!K24</f>
        <v>3678.156105</v>
      </c>
      <c r="M311" s="5">
        <f>[1]Hybrid!L24</f>
        <v>3659.274461</v>
      </c>
      <c r="N311" s="5">
        <f>[1]Hybrid!M24</f>
        <v>3642.9367860000002</v>
      </c>
      <c r="O311" s="5">
        <f>[1]Hybrid!N24</f>
        <v>3628.5466999999999</v>
      </c>
      <c r="P311" s="5">
        <f>[1]Hybrid!O24</f>
        <v>3615.576419</v>
      </c>
      <c r="Q311" s="5">
        <f>[1]Hybrid!P24</f>
        <v>3603.5680550000002</v>
      </c>
      <c r="R311" s="5">
        <f>[1]Hybrid!Q24</f>
        <v>3592.1272279999998</v>
      </c>
      <c r="S311" s="5">
        <f>[1]Hybrid!R24</f>
        <v>3580.8980419999998</v>
      </c>
      <c r="T311" s="5">
        <f>[1]Hybrid!S24</f>
        <v>3569.5839550000001</v>
      </c>
      <c r="U311" s="5">
        <f>[1]Hybrid!T24</f>
        <v>3557.9342120000001</v>
      </c>
      <c r="V311" s="5">
        <f>[1]Hybrid!U24</f>
        <v>3545.735326</v>
      </c>
      <c r="W311" s="5">
        <f>[1]Hybrid!V24</f>
        <v>3532.3885580000001</v>
      </c>
      <c r="X311" s="5">
        <f>[1]Hybrid!W24</f>
        <v>3518.2029769999999</v>
      </c>
      <c r="Y311" s="5">
        <f>[1]Hybrid!X24</f>
        <v>3503.0581849999999</v>
      </c>
      <c r="Z311" s="5">
        <f>[1]Hybrid!Y24</f>
        <v>3486.859027</v>
      </c>
      <c r="AA311" s="5">
        <f>[1]Hybrid!Z24</f>
        <v>3469.526057</v>
      </c>
      <c r="AB311" s="5">
        <f>[1]Hybrid!AA24</f>
        <v>3449.908754</v>
      </c>
      <c r="AC311" s="5">
        <f>[1]Hybrid!AB24</f>
        <v>3428.6666180000002</v>
      </c>
      <c r="AD311" s="5">
        <f>[1]Hybrid!AC24</f>
        <v>3405.8417810000001</v>
      </c>
      <c r="AE311" s="5">
        <f>[1]Hybrid!AD24</f>
        <v>3381.4982850000001</v>
      </c>
      <c r="AF311" s="5">
        <f>[1]Hybrid!AE24</f>
        <v>3355.7052399999998</v>
      </c>
      <c r="AG311" s="5">
        <f>[1]Hybrid!AF24</f>
        <v>3328.5289130000001</v>
      </c>
      <c r="AH311" s="5">
        <f>[1]Hybrid!AG24</f>
        <v>3300.032103</v>
      </c>
      <c r="AI311" s="5">
        <f>[1]Hybrid!AH24</f>
        <v>3270.2685849999998</v>
      </c>
      <c r="AJ311" s="5">
        <f>[1]Hybrid!AI24</f>
        <v>3239.285089</v>
      </c>
      <c r="AK311" s="5">
        <f>[1]Hybrid!AJ24</f>
        <v>3207.1232570000002</v>
      </c>
      <c r="AL311" s="5">
        <f>[1]Hybrid!AK24</f>
        <v>3173.821281</v>
      </c>
      <c r="AM311" s="5">
        <f>[1]Hybrid!AL24</f>
        <v>3139.2394509999999</v>
      </c>
      <c r="AN311" s="5">
        <f>[1]Hybrid!AM24</f>
        <v>3103.4456049999999</v>
      </c>
      <c r="AO311" s="5">
        <f>[1]Hybrid!AN24</f>
        <v>3066.5018890000001</v>
      </c>
      <c r="AP311" s="5">
        <f>[1]Hybrid!AO24</f>
        <v>3028.4704409999999</v>
      </c>
      <c r="AQ311" s="5">
        <f>[1]Hybrid!AP24</f>
        <v>2989.412628</v>
      </c>
      <c r="AR311" s="5">
        <f>[1]Hybrid!AQ24</f>
        <v>2949.390097</v>
      </c>
      <c r="AS311" s="5">
        <f>[1]Hybrid!AR24</f>
        <v>2908.4583910000001</v>
      </c>
      <c r="AT311" s="5">
        <f>[1]Hybrid!AS24</f>
        <v>2866.6679039999999</v>
      </c>
      <c r="AU311" s="5">
        <f>[1]Hybrid!AT24</f>
        <v>2824.0649079999998</v>
      </c>
      <c r="AV311" s="5">
        <f>[1]Hybrid!AU24</f>
        <v>2780.692524</v>
      </c>
      <c r="AW311" s="5">
        <f>[1]Hybrid!AV24</f>
        <v>2736.6125539999998</v>
      </c>
      <c r="AX311" s="5">
        <f>[1]Hybrid!AW24</f>
        <v>2691.863828</v>
      </c>
      <c r="AY311" s="5">
        <f>[1]Hybrid!AX24</f>
        <v>2646.4815279999998</v>
      </c>
      <c r="AZ311" s="5">
        <f>[1]Hybrid!AY24</f>
        <v>2600.4999389999998</v>
      </c>
      <c r="BA311" s="5">
        <f>[1]Hybrid!AZ24</f>
        <v>2553.953888</v>
      </c>
      <c r="BB311" s="5">
        <f>[1]Hybrid!BA24</f>
        <v>2506.883675</v>
      </c>
      <c r="BC311" s="5">
        <f>[1]Hybrid!BB24</f>
        <v>2459.3276740000001</v>
      </c>
      <c r="BD311" s="5">
        <f>[1]Hybrid!BC24</f>
        <v>2411.324423</v>
      </c>
      <c r="BE311" s="5">
        <f>[1]Hybrid!BD24</f>
        <v>2362.9137839999999</v>
      </c>
      <c r="BF311" s="5">
        <f>[1]Hybrid!BE24</f>
        <v>2314.1372930000002</v>
      </c>
    </row>
    <row r="312" spans="1:58" x14ac:dyDescent="0.35">
      <c r="B312" s="5" t="str">
        <f>[1]Hybrid!A26</f>
        <v>auto_ce_cfut_2</v>
      </c>
      <c r="C312" s="5">
        <f>[1]Hybrid!B26</f>
        <v>2503.7292430000002</v>
      </c>
      <c r="D312" s="5">
        <f>[1]Hybrid!C26</f>
        <v>2440.722518</v>
      </c>
      <c r="E312" s="5">
        <f>[1]Hybrid!D26</f>
        <v>2390.8481430000002</v>
      </c>
      <c r="F312" s="5">
        <f>[1]Hybrid!E26</f>
        <v>2350.2141889999998</v>
      </c>
      <c r="G312" s="5">
        <f>[1]Hybrid!F26</f>
        <v>2316.1173119999999</v>
      </c>
      <c r="H312" s="5">
        <f>[1]Hybrid!G26</f>
        <v>2286.7264380000001</v>
      </c>
      <c r="I312" s="5">
        <f>[1]Hybrid!H26</f>
        <v>2260.558826</v>
      </c>
      <c r="J312" s="5">
        <f>[1]Hybrid!I26</f>
        <v>2236.741246</v>
      </c>
      <c r="K312" s="5">
        <f>[1]Hybrid!J26</f>
        <v>2214.628408</v>
      </c>
      <c r="L312" s="5">
        <f>[1]Hybrid!K26</f>
        <v>2193.7185469999999</v>
      </c>
      <c r="M312" s="5">
        <f>[1]Hybrid!L26</f>
        <v>2173.9702430000002</v>
      </c>
      <c r="N312" s="5">
        <f>[1]Hybrid!M26</f>
        <v>2154.630928</v>
      </c>
      <c r="O312" s="5">
        <f>[1]Hybrid!N26</f>
        <v>2135.4048600000001</v>
      </c>
      <c r="P312" s="5">
        <f>[1]Hybrid!O26</f>
        <v>2116.0431939999999</v>
      </c>
      <c r="Q312" s="5">
        <f>[1]Hybrid!P26</f>
        <v>2096.3425790000001</v>
      </c>
      <c r="R312" s="5">
        <f>[1]Hybrid!Q26</f>
        <v>2076.1399860000001</v>
      </c>
      <c r="S312" s="5">
        <f>[1]Hybrid!R26</f>
        <v>2055.2984379999998</v>
      </c>
      <c r="T312" s="5">
        <f>[1]Hybrid!S26</f>
        <v>2033.7170920000001</v>
      </c>
      <c r="U312" s="5">
        <f>[1]Hybrid!T26</f>
        <v>2011.3227489999999</v>
      </c>
      <c r="V312" s="5">
        <f>[1]Hybrid!U26</f>
        <v>1988.0642869999999</v>
      </c>
      <c r="W312" s="5">
        <f>[1]Hybrid!V26</f>
        <v>1963.703127</v>
      </c>
      <c r="X312" s="5">
        <f>[1]Hybrid!W26</f>
        <v>1938.455862</v>
      </c>
      <c r="Y312" s="5">
        <f>[1]Hybrid!X26</f>
        <v>1912.3224970000001</v>
      </c>
      <c r="Z312" s="5">
        <f>[1]Hybrid!Y26</f>
        <v>1885.315016</v>
      </c>
      <c r="AA312" s="5">
        <f>[1]Hybrid!Z26</f>
        <v>1857.45264</v>
      </c>
      <c r="AB312" s="5">
        <f>[1]Hybrid!AA26</f>
        <v>1828.2642040000001</v>
      </c>
      <c r="AC312" s="5">
        <f>[1]Hybrid!AB26</f>
        <v>1798.1243910000001</v>
      </c>
      <c r="AD312" s="5">
        <f>[1]Hybrid!AC26</f>
        <v>1767.1155240000001</v>
      </c>
      <c r="AE312" s="5">
        <f>[1]Hybrid!AD26</f>
        <v>1735.325738</v>
      </c>
      <c r="AF312" s="5">
        <f>[1]Hybrid!AE26</f>
        <v>1702.8413700000001</v>
      </c>
      <c r="AG312" s="5">
        <f>[1]Hybrid!AF26</f>
        <v>1669.7438119999999</v>
      </c>
      <c r="AH312" s="5">
        <f>[1]Hybrid!AG26</f>
        <v>1636.1095600000001</v>
      </c>
      <c r="AI312" s="5">
        <f>[1]Hybrid!AH26</f>
        <v>1602.0082299999999</v>
      </c>
      <c r="AJ312" s="5">
        <f>[1]Hybrid!AI26</f>
        <v>1567.5038070000001</v>
      </c>
      <c r="AK312" s="5">
        <f>[1]Hybrid!AJ26</f>
        <v>1532.655798</v>
      </c>
      <c r="AL312" s="5">
        <f>[1]Hybrid!AK26</f>
        <v>1497.5201930000001</v>
      </c>
      <c r="AM312" s="5">
        <f>[1]Hybrid!AL26</f>
        <v>1462.083427</v>
      </c>
      <c r="AN312" s="5">
        <f>[1]Hybrid!AM26</f>
        <v>1426.412135</v>
      </c>
      <c r="AO312" s="5">
        <f>[1]Hybrid!AN26</f>
        <v>1390.568632</v>
      </c>
      <c r="AP312" s="5">
        <f>[1]Hybrid!AO26</f>
        <v>1354.613079</v>
      </c>
      <c r="AQ312" s="5">
        <f>[1]Hybrid!AP26</f>
        <v>1318.6032640000001</v>
      </c>
      <c r="AR312" s="5">
        <f>[1]Hybrid!AQ26</f>
        <v>1282.5950009999999</v>
      </c>
      <c r="AS312" s="5">
        <f>[1]Hybrid!AR26</f>
        <v>1246.6400189999999</v>
      </c>
      <c r="AT312" s="5">
        <f>[1]Hybrid!AS26</f>
        <v>1210.78649</v>
      </c>
      <c r="AU312" s="5">
        <f>[1]Hybrid!AT26</f>
        <v>1175.079559</v>
      </c>
      <c r="AV312" s="5">
        <f>[1]Hybrid!AU26</f>
        <v>1139.561794</v>
      </c>
      <c r="AW312" s="5">
        <f>[1]Hybrid!AV26</f>
        <v>1104.279916</v>
      </c>
      <c r="AX312" s="5">
        <f>[1]Hybrid!AW26</f>
        <v>1069.271673</v>
      </c>
      <c r="AY312" s="5">
        <f>[1]Hybrid!AX26</f>
        <v>1034.572281</v>
      </c>
      <c r="AZ312" s="5">
        <f>[1]Hybrid!AY26</f>
        <v>1000.2154</v>
      </c>
      <c r="BA312" s="5">
        <f>[1]Hybrid!AZ26</f>
        <v>966.23359779999998</v>
      </c>
      <c r="BB312" s="5">
        <f>[1]Hybrid!BA26</f>
        <v>932.65962609999997</v>
      </c>
      <c r="BC312" s="5">
        <f>[1]Hybrid!BB26</f>
        <v>899.52426600000001</v>
      </c>
      <c r="BD312" s="5">
        <f>[1]Hybrid!BC26</f>
        <v>866.85690060000002</v>
      </c>
      <c r="BE312" s="5">
        <f>[1]Hybrid!BD26</f>
        <v>834.68579360000001</v>
      </c>
      <c r="BF312" s="5">
        <f>[1]Hybrid!BE26</f>
        <v>803.03811840000003</v>
      </c>
    </row>
    <row r="313" spans="1:58" x14ac:dyDescent="0.35">
      <c r="B313" s="5" t="str">
        <f>[1]Hybrid!A28</f>
        <v>auto_cf_cfut_2</v>
      </c>
      <c r="C313" s="5">
        <f>[1]Hybrid!B28</f>
        <v>1243.6668460000001</v>
      </c>
      <c r="D313" s="5">
        <f>[1]Hybrid!C28</f>
        <v>1209.6970060000001</v>
      </c>
      <c r="E313" s="5">
        <f>[1]Hybrid!D28</f>
        <v>1180.8633560000001</v>
      </c>
      <c r="F313" s="5">
        <f>[1]Hybrid!E28</f>
        <v>1155.064993</v>
      </c>
      <c r="G313" s="5">
        <f>[1]Hybrid!F28</f>
        <v>1130.9089100000001</v>
      </c>
      <c r="H313" s="5">
        <f>[1]Hybrid!G28</f>
        <v>1107.4999989999999</v>
      </c>
      <c r="I313" s="5">
        <f>[1]Hybrid!H28</f>
        <v>1084.181775</v>
      </c>
      <c r="J313" s="5">
        <f>[1]Hybrid!I28</f>
        <v>1060.6234340000001</v>
      </c>
      <c r="K313" s="5">
        <f>[1]Hybrid!J28</f>
        <v>1036.633791</v>
      </c>
      <c r="L313" s="5">
        <f>[1]Hybrid!K28</f>
        <v>1012.11056</v>
      </c>
      <c r="M313" s="5">
        <f>[1]Hybrid!L28</f>
        <v>987.1371011</v>
      </c>
      <c r="N313" s="5">
        <f>[1]Hybrid!M28</f>
        <v>961.55378280000002</v>
      </c>
      <c r="O313" s="5">
        <f>[1]Hybrid!N28</f>
        <v>935.38105419999999</v>
      </c>
      <c r="P313" s="5">
        <f>[1]Hybrid!O28</f>
        <v>908.66251409999995</v>
      </c>
      <c r="Q313" s="5">
        <f>[1]Hybrid!P28</f>
        <v>881.46013530000005</v>
      </c>
      <c r="R313" s="5">
        <f>[1]Hybrid!Q28</f>
        <v>853.84928720000005</v>
      </c>
      <c r="S313" s="5">
        <f>[1]Hybrid!R28</f>
        <v>825.91235419999998</v>
      </c>
      <c r="T313" s="5">
        <f>[1]Hybrid!S28</f>
        <v>797.73957949999999</v>
      </c>
      <c r="U313" s="5">
        <f>[1]Hybrid!T28</f>
        <v>769.42462620000003</v>
      </c>
      <c r="V313" s="5">
        <f>[1]Hybrid!U28</f>
        <v>741.06150679999996</v>
      </c>
      <c r="W313" s="5">
        <f>[1]Hybrid!V28</f>
        <v>712.69712949999996</v>
      </c>
      <c r="X313" s="5">
        <f>[1]Hybrid!W28</f>
        <v>684.47597919999998</v>
      </c>
      <c r="Y313" s="5">
        <f>[1]Hybrid!X28</f>
        <v>656.48286929999995</v>
      </c>
      <c r="Z313" s="5">
        <f>[1]Hybrid!Y28</f>
        <v>628.79692539999996</v>
      </c>
      <c r="AA313" s="5">
        <f>[1]Hybrid!Z28</f>
        <v>601.49077079999995</v>
      </c>
      <c r="AB313" s="5">
        <f>[1]Hybrid!AA28</f>
        <v>574.54685770000003</v>
      </c>
      <c r="AC313" s="5">
        <f>[1]Hybrid!AB28</f>
        <v>548.09275109999999</v>
      </c>
      <c r="AD313" s="5">
        <f>[1]Hybrid!AC28</f>
        <v>522.19317290000004</v>
      </c>
      <c r="AE313" s="5">
        <f>[1]Hybrid!AD28</f>
        <v>496.90443429999999</v>
      </c>
      <c r="AF313" s="5">
        <f>[1]Hybrid!AE28</f>
        <v>472.27394040000001</v>
      </c>
      <c r="AG313" s="5">
        <f>[1]Hybrid!AF28</f>
        <v>448.3405922</v>
      </c>
      <c r="AH313" s="5">
        <f>[1]Hybrid!AG28</f>
        <v>425.13559950000001</v>
      </c>
      <c r="AI313" s="5">
        <f>[1]Hybrid!AH28</f>
        <v>402.68299580000001</v>
      </c>
      <c r="AJ313" s="5">
        <f>[1]Hybrid!AI28</f>
        <v>381.00051230000003</v>
      </c>
      <c r="AK313" s="5">
        <f>[1]Hybrid!AJ28</f>
        <v>360.10034889999997</v>
      </c>
      <c r="AL313" s="5">
        <f>[1]Hybrid!AK28</f>
        <v>339.98983709999999</v>
      </c>
      <c r="AM313" s="5">
        <f>[1]Hybrid!AL28</f>
        <v>320.66622360000002</v>
      </c>
      <c r="AN313" s="5">
        <f>[1]Hybrid!AM28</f>
        <v>302.1309794</v>
      </c>
      <c r="AO313" s="5">
        <f>[1]Hybrid!AN28</f>
        <v>284.38168100000001</v>
      </c>
      <c r="AP313" s="5">
        <f>[1]Hybrid!AO28</f>
        <v>267.4125641</v>
      </c>
      <c r="AQ313" s="5">
        <f>[1]Hybrid!AP28</f>
        <v>251.21486200000001</v>
      </c>
      <c r="AR313" s="5">
        <f>[1]Hybrid!AQ28</f>
        <v>235.77716580000001</v>
      </c>
      <c r="AS313" s="5">
        <f>[1]Hybrid!AR28</f>
        <v>221.08561710000001</v>
      </c>
      <c r="AT313" s="5">
        <f>[1]Hybrid!AS28</f>
        <v>207.124267</v>
      </c>
      <c r="AU313" s="5">
        <f>[1]Hybrid!AT28</f>
        <v>193.87539960000001</v>
      </c>
      <c r="AV313" s="5">
        <f>[1]Hybrid!AU28</f>
        <v>181.31981920000001</v>
      </c>
      <c r="AW313" s="5">
        <f>[1]Hybrid!AV28</f>
        <v>169.43735340000001</v>
      </c>
      <c r="AX313" s="5">
        <f>[1]Hybrid!AW28</f>
        <v>158.2064877</v>
      </c>
      <c r="AY313" s="5">
        <f>[1]Hybrid!AX28</f>
        <v>147.6048997</v>
      </c>
      <c r="AZ313" s="5">
        <f>[1]Hybrid!AY28</f>
        <v>137.6096915</v>
      </c>
      <c r="BA313" s="5">
        <f>[1]Hybrid!AZ28</f>
        <v>128.1975702</v>
      </c>
      <c r="BB313" s="5">
        <f>[1]Hybrid!BA28</f>
        <v>119.3450246</v>
      </c>
      <c r="BC313" s="5">
        <f>[1]Hybrid!BB28</f>
        <v>111.0283937</v>
      </c>
      <c r="BD313" s="5">
        <f>[1]Hybrid!BC28</f>
        <v>103.22401259999999</v>
      </c>
      <c r="BE313" s="5">
        <f>[1]Hybrid!BD28</f>
        <v>95.908336140000003</v>
      </c>
      <c r="BF313" s="5">
        <f>[1]Hybrid!BE28</f>
        <v>89.058043260000005</v>
      </c>
    </row>
    <row r="314" spans="1:58" x14ac:dyDescent="0.35">
      <c r="B314" s="5" t="str">
        <f>[1]Hybrid!A30</f>
        <v>auto_cg_cfut_2</v>
      </c>
      <c r="C314" s="5">
        <f>[1]Hybrid!B30</f>
        <v>2239.620606</v>
      </c>
      <c r="D314" s="5">
        <f>[1]Hybrid!C30</f>
        <v>2181.7254790000002</v>
      </c>
      <c r="E314" s="5">
        <f>[1]Hybrid!D30</f>
        <v>2130.6880080000001</v>
      </c>
      <c r="F314" s="5">
        <f>[1]Hybrid!E30</f>
        <v>2082.4078199999999</v>
      </c>
      <c r="G314" s="5">
        <f>[1]Hybrid!F30</f>
        <v>2034.351173</v>
      </c>
      <c r="H314" s="5">
        <f>[1]Hybrid!G30</f>
        <v>1985.0527790000001</v>
      </c>
      <c r="I314" s="5">
        <f>[1]Hybrid!H30</f>
        <v>1933.6033829999999</v>
      </c>
      <c r="J314" s="5">
        <f>[1]Hybrid!I30</f>
        <v>1879.7411810000001</v>
      </c>
      <c r="K314" s="5">
        <f>[1]Hybrid!J30</f>
        <v>1823.490683</v>
      </c>
      <c r="L314" s="5">
        <f>[1]Hybrid!K30</f>
        <v>1765.0467189999999</v>
      </c>
      <c r="M314" s="5">
        <f>[1]Hybrid!L30</f>
        <v>1704.882077</v>
      </c>
      <c r="N314" s="5">
        <f>[1]Hybrid!M30</f>
        <v>1643.11196</v>
      </c>
      <c r="O314" s="5">
        <f>[1]Hybrid!N30</f>
        <v>1580.1053429999999</v>
      </c>
      <c r="P314" s="5">
        <f>[1]Hybrid!O30</f>
        <v>1516.243234</v>
      </c>
      <c r="Q314" s="5">
        <f>[1]Hybrid!P30</f>
        <v>1451.9055949999999</v>
      </c>
      <c r="R314" s="5">
        <f>[1]Hybrid!Q30</f>
        <v>1387.4605630000001</v>
      </c>
      <c r="S314" s="5">
        <f>[1]Hybrid!R30</f>
        <v>1323.2544029999999</v>
      </c>
      <c r="T314" s="5">
        <f>[1]Hybrid!S30</f>
        <v>1259.611105</v>
      </c>
      <c r="U314" s="5">
        <f>[1]Hybrid!T30</f>
        <v>1196.8264819999999</v>
      </c>
      <c r="V314" s="5">
        <f>[1]Hybrid!U30</f>
        <v>1135.1650070000001</v>
      </c>
      <c r="W314" s="5">
        <f>[1]Hybrid!V30</f>
        <v>1074.8159579999999</v>
      </c>
      <c r="X314" s="5">
        <f>[1]Hybrid!W30</f>
        <v>1016.033831</v>
      </c>
      <c r="Y314" s="5">
        <f>[1]Hybrid!X30</f>
        <v>958.98553189999996</v>
      </c>
      <c r="Z314" s="5">
        <f>[1]Hybrid!Y30</f>
        <v>903.80687160000002</v>
      </c>
      <c r="AA314" s="5">
        <f>[1]Hybrid!Z30</f>
        <v>850.60452840000005</v>
      </c>
      <c r="AB314" s="5">
        <f>[1]Hybrid!AA30</f>
        <v>799.39660349999997</v>
      </c>
      <c r="AC314" s="5">
        <f>[1]Hybrid!AB30</f>
        <v>750.29551149999998</v>
      </c>
      <c r="AD314" s="5">
        <f>[1]Hybrid!AC30</f>
        <v>703.34537230000001</v>
      </c>
      <c r="AE314" s="5">
        <f>[1]Hybrid!AD30</f>
        <v>658.56775990000006</v>
      </c>
      <c r="AF314" s="5">
        <f>[1]Hybrid!AE30</f>
        <v>615.96410639999999</v>
      </c>
      <c r="AG314" s="5">
        <f>[1]Hybrid!AF30</f>
        <v>575.51857010000003</v>
      </c>
      <c r="AH314" s="5">
        <f>[1]Hybrid!AG30</f>
        <v>537.20086649999996</v>
      </c>
      <c r="AI314" s="5">
        <f>[1]Hybrid!AH30</f>
        <v>500.96864740000001</v>
      </c>
      <c r="AJ314" s="5">
        <f>[1]Hybrid!AI30</f>
        <v>466.76982240000001</v>
      </c>
      <c r="AK314" s="5">
        <f>[1]Hybrid!AJ30</f>
        <v>434.54456329999999</v>
      </c>
      <c r="AL314" s="5">
        <f>[1]Hybrid!AK30</f>
        <v>404.2270231</v>
      </c>
      <c r="AM314" s="5">
        <f>[1]Hybrid!AL30</f>
        <v>375.7444228</v>
      </c>
      <c r="AN314" s="5">
        <f>[1]Hybrid!AM30</f>
        <v>349.02430199999998</v>
      </c>
      <c r="AO314" s="5">
        <f>[1]Hybrid!AN30</f>
        <v>323.9916245</v>
      </c>
      <c r="AP314" s="5">
        <f>[1]Hybrid!AO30</f>
        <v>300.56981560000003</v>
      </c>
      <c r="AQ314" s="5">
        <f>[1]Hybrid!AP30</f>
        <v>278.68159559999998</v>
      </c>
      <c r="AR314" s="5">
        <f>[1]Hybrid!AQ30</f>
        <v>258.24971149999999</v>
      </c>
      <c r="AS314" s="5">
        <f>[1]Hybrid!AR30</f>
        <v>239.19752009999999</v>
      </c>
      <c r="AT314" s="5">
        <f>[1]Hybrid!AS30</f>
        <v>221.44953630000001</v>
      </c>
      <c r="AU314" s="5">
        <f>[1]Hybrid!AT30</f>
        <v>204.93188290000001</v>
      </c>
      <c r="AV314" s="5">
        <f>[1]Hybrid!AU30</f>
        <v>189.57265409999999</v>
      </c>
      <c r="AW314" s="5">
        <f>[1]Hybrid!AV30</f>
        <v>175.30225379999999</v>
      </c>
      <c r="AX314" s="5">
        <f>[1]Hybrid!AW30</f>
        <v>162.0534859</v>
      </c>
      <c r="AY314" s="5">
        <f>[1]Hybrid!AX30</f>
        <v>149.76180479999999</v>
      </c>
      <c r="AZ314" s="5">
        <f>[1]Hybrid!AY30</f>
        <v>138.36544380000001</v>
      </c>
      <c r="BA314" s="5">
        <f>[1]Hybrid!AZ30</f>
        <v>127.8054908</v>
      </c>
      <c r="BB314" s="5">
        <f>[1]Hybrid!BA30</f>
        <v>118.0259276</v>
      </c>
      <c r="BC314" s="5">
        <f>[1]Hybrid!BB30</f>
        <v>108.9736255</v>
      </c>
      <c r="BD314" s="5">
        <f>[1]Hybrid!BC30</f>
        <v>100.5983294</v>
      </c>
      <c r="BE314" s="5">
        <f>[1]Hybrid!BD30</f>
        <v>92.852617929999994</v>
      </c>
      <c r="BF314" s="5">
        <f>[1]Hybrid!BE30</f>
        <v>85.691843329999998</v>
      </c>
    </row>
    <row r="315" spans="1:58" x14ac:dyDescent="0.35">
      <c r="B315" s="5" t="str">
        <f>[1]Hybrid!A32</f>
        <v>auto_ca_cele_2</v>
      </c>
      <c r="C315" s="5">
        <f>[1]Hybrid!B32</f>
        <v>9.8427898650000003</v>
      </c>
      <c r="D315" s="5">
        <f>[1]Hybrid!C32</f>
        <v>14.88360548</v>
      </c>
      <c r="E315" s="5">
        <f>[1]Hybrid!D32</f>
        <v>20.152690840000002</v>
      </c>
      <c r="F315" s="5">
        <f>[1]Hybrid!E32</f>
        <v>25.553561460000001</v>
      </c>
      <c r="G315" s="5">
        <f>[1]Hybrid!F32</f>
        <v>31.027048140000002</v>
      </c>
      <c r="H315" s="5">
        <f>[1]Hybrid!G32</f>
        <v>36.54125732</v>
      </c>
      <c r="I315" s="5">
        <f>[1]Hybrid!H32</f>
        <v>42.070151099999997</v>
      </c>
      <c r="J315" s="5">
        <f>[1]Hybrid!I32</f>
        <v>47.606613950000003</v>
      </c>
      <c r="K315" s="5">
        <f>[1]Hybrid!J32</f>
        <v>53.147672810000003</v>
      </c>
      <c r="L315" s="5">
        <f>[1]Hybrid!K32</f>
        <v>58.692026839999997</v>
      </c>
      <c r="M315" s="5">
        <f>[1]Hybrid!L32</f>
        <v>64.258306149999996</v>
      </c>
      <c r="N315" s="5">
        <f>[1]Hybrid!M32</f>
        <v>69.825596279999999</v>
      </c>
      <c r="O315" s="5">
        <f>[1]Hybrid!N32</f>
        <v>75.392135339999996</v>
      </c>
      <c r="P315" s="5">
        <f>[1]Hybrid!O32</f>
        <v>80.955959329999999</v>
      </c>
      <c r="Q315" s="5">
        <f>[1]Hybrid!P32</f>
        <v>86.515364039999994</v>
      </c>
      <c r="R315" s="5">
        <f>[1]Hybrid!Q32</f>
        <v>92.069057330000007</v>
      </c>
      <c r="S315" s="5">
        <f>[1]Hybrid!R32</f>
        <v>97.615554329999995</v>
      </c>
      <c r="T315" s="5">
        <f>[1]Hybrid!S32</f>
        <v>103.1540846</v>
      </c>
      <c r="U315" s="5">
        <f>[1]Hybrid!T32</f>
        <v>108.6844396</v>
      </c>
      <c r="V315" s="5">
        <f>[1]Hybrid!U32</f>
        <v>114.2069217</v>
      </c>
      <c r="W315" s="5">
        <f>[1]Hybrid!V32</f>
        <v>119.7061966</v>
      </c>
      <c r="X315" s="5">
        <f>[1]Hybrid!W32</f>
        <v>125.20022229999999</v>
      </c>
      <c r="Y315" s="5">
        <f>[1]Hybrid!X32</f>
        <v>130.69146900000001</v>
      </c>
      <c r="Z315" s="5">
        <f>[1]Hybrid!Y32</f>
        <v>136.18328270000001</v>
      </c>
      <c r="AA315" s="5">
        <f>[1]Hybrid!Z32</f>
        <v>141.67956649999999</v>
      </c>
      <c r="AB315" s="5">
        <f>[1]Hybrid!AA32</f>
        <v>147.13603660000001</v>
      </c>
      <c r="AC315" s="5">
        <f>[1]Hybrid!AB32</f>
        <v>152.58475989999999</v>
      </c>
      <c r="AD315" s="5">
        <f>[1]Hybrid!AC32</f>
        <v>158.0330515</v>
      </c>
      <c r="AE315" s="5">
        <f>[1]Hybrid!AD32</f>
        <v>163.49012440000001</v>
      </c>
      <c r="AF315" s="5">
        <f>[1]Hybrid!AE32</f>
        <v>168.96639350000001</v>
      </c>
      <c r="AG315" s="5">
        <f>[1]Hybrid!AF32</f>
        <v>174.47310060000001</v>
      </c>
      <c r="AH315" s="5">
        <f>[1]Hybrid!AG32</f>
        <v>180.0222947</v>
      </c>
      <c r="AI315" s="5">
        <f>[1]Hybrid!AH32</f>
        <v>185.62653090000001</v>
      </c>
      <c r="AJ315" s="5">
        <f>[1]Hybrid!AI32</f>
        <v>191.2989293</v>
      </c>
      <c r="AK315" s="5">
        <f>[1]Hybrid!AJ32</f>
        <v>197.05325690000001</v>
      </c>
      <c r="AL315" s="5">
        <f>[1]Hybrid!AK32</f>
        <v>202.90401969999999</v>
      </c>
      <c r="AM315" s="5">
        <f>[1]Hybrid!AL32</f>
        <v>208.85491619999999</v>
      </c>
      <c r="AN315" s="5">
        <f>[1]Hybrid!AM32</f>
        <v>214.9230737</v>
      </c>
      <c r="AO315" s="5">
        <f>[1]Hybrid!AN32</f>
        <v>221.12661299999999</v>
      </c>
      <c r="AP315" s="5">
        <f>[1]Hybrid!AO32</f>
        <v>227.48510060000001</v>
      </c>
      <c r="AQ315" s="5">
        <f>[1]Hybrid!AP32</f>
        <v>234.01960460000001</v>
      </c>
      <c r="AR315" s="5">
        <f>[1]Hybrid!AQ32</f>
        <v>240.7529332</v>
      </c>
      <c r="AS315" s="5">
        <f>[1]Hybrid!AR32</f>
        <v>247.7092548</v>
      </c>
      <c r="AT315" s="5">
        <f>[1]Hybrid!AS32</f>
        <v>254.914219</v>
      </c>
      <c r="AU315" s="5">
        <f>[1]Hybrid!AT32</f>
        <v>262.39510960000001</v>
      </c>
      <c r="AV315" s="5">
        <f>[1]Hybrid!AU32</f>
        <v>270.18102529999999</v>
      </c>
      <c r="AW315" s="5">
        <f>[1]Hybrid!AV32</f>
        <v>278.30551109999999</v>
      </c>
      <c r="AX315" s="5">
        <f>[1]Hybrid!AW32</f>
        <v>286.80254760000003</v>
      </c>
      <c r="AY315" s="5">
        <f>[1]Hybrid!AX32</f>
        <v>295.70839339999998</v>
      </c>
      <c r="AZ315" s="5">
        <f>[1]Hybrid!AY32</f>
        <v>305.06196490000002</v>
      </c>
      <c r="BA315" s="5">
        <f>[1]Hybrid!AZ32</f>
        <v>314.90517970000002</v>
      </c>
      <c r="BB315" s="5">
        <f>[1]Hybrid!BA32</f>
        <v>325.28401209999998</v>
      </c>
      <c r="BC315" s="5">
        <f>[1]Hybrid!BB32</f>
        <v>336.24784</v>
      </c>
      <c r="BD315" s="5">
        <f>[1]Hybrid!BC32</f>
        <v>347.84996760000001</v>
      </c>
      <c r="BE315" s="5">
        <f>[1]Hybrid!BD32</f>
        <v>360.1481129</v>
      </c>
      <c r="BF315" s="5">
        <f>[1]Hybrid!BE32</f>
        <v>373.20485650000001</v>
      </c>
    </row>
    <row r="316" spans="1:58" x14ac:dyDescent="0.35">
      <c r="B316" s="5" t="str">
        <f>[1]Hybrid!A34</f>
        <v>auto_cb_cele_2</v>
      </c>
      <c r="C316" s="5">
        <f>[1]Hybrid!B34</f>
        <v>11.44571741</v>
      </c>
      <c r="D316" s="5">
        <f>[1]Hybrid!C34</f>
        <v>16.200148469999998</v>
      </c>
      <c r="E316" s="5">
        <f>[1]Hybrid!D34</f>
        <v>21.168687460000001</v>
      </c>
      <c r="F316" s="5">
        <f>[1]Hybrid!E34</f>
        <v>26.2571671</v>
      </c>
      <c r="G316" s="5">
        <f>[1]Hybrid!F34</f>
        <v>31.407909409999998</v>
      </c>
      <c r="H316" s="5">
        <f>[1]Hybrid!G34</f>
        <v>36.589598590000001</v>
      </c>
      <c r="I316" s="5">
        <f>[1]Hybrid!H34</f>
        <v>41.776630249999997</v>
      </c>
      <c r="J316" s="5">
        <f>[1]Hybrid!I34</f>
        <v>46.961470339999998</v>
      </c>
      <c r="K316" s="5">
        <f>[1]Hybrid!J34</f>
        <v>52.140516499999997</v>
      </c>
      <c r="L316" s="5">
        <f>[1]Hybrid!K34</f>
        <v>57.311731709999997</v>
      </c>
      <c r="M316" s="5">
        <f>[1]Hybrid!L34</f>
        <v>62.491848910000002</v>
      </c>
      <c r="N316" s="5">
        <f>[1]Hybrid!M34</f>
        <v>67.660190880000002</v>
      </c>
      <c r="O316" s="5">
        <f>[1]Hybrid!N34</f>
        <v>72.814203480000003</v>
      </c>
      <c r="P316" s="5">
        <f>[1]Hybrid!O34</f>
        <v>77.951160340000001</v>
      </c>
      <c r="Q316" s="5">
        <f>[1]Hybrid!P34</f>
        <v>83.068605910000002</v>
      </c>
      <c r="R316" s="5">
        <f>[1]Hybrid!Q34</f>
        <v>88.164504960000002</v>
      </c>
      <c r="S316" s="5">
        <f>[1]Hybrid!R34</f>
        <v>93.236688419999993</v>
      </c>
      <c r="T316" s="5">
        <f>[1]Hybrid!S34</f>
        <v>98.283708160000003</v>
      </c>
      <c r="U316" s="5">
        <f>[1]Hybrid!T34</f>
        <v>103.30469720000001</v>
      </c>
      <c r="V316" s="5">
        <f>[1]Hybrid!U34</f>
        <v>108.2993223</v>
      </c>
      <c r="W316" s="5">
        <f>[1]Hybrid!V34</f>
        <v>113.25291110000001</v>
      </c>
      <c r="X316" s="5">
        <f>[1]Hybrid!W34</f>
        <v>118.18160210000001</v>
      </c>
      <c r="Y316" s="5">
        <f>[1]Hybrid!X34</f>
        <v>123.0872435</v>
      </c>
      <c r="Z316" s="5">
        <f>[1]Hybrid!Y34</f>
        <v>127.9725157</v>
      </c>
      <c r="AA316" s="5">
        <f>[1]Hybrid!Z34</f>
        <v>132.8406324</v>
      </c>
      <c r="AB316" s="5">
        <f>[1]Hybrid!AA34</f>
        <v>137.65105070000001</v>
      </c>
      <c r="AC316" s="5">
        <f>[1]Hybrid!AB34</f>
        <v>142.43297190000001</v>
      </c>
      <c r="AD316" s="5">
        <f>[1]Hybrid!AC34</f>
        <v>147.1930136</v>
      </c>
      <c r="AE316" s="5">
        <f>[1]Hybrid!AD34</f>
        <v>151.9394897</v>
      </c>
      <c r="AF316" s="5">
        <f>[1]Hybrid!AE34</f>
        <v>156.681758</v>
      </c>
      <c r="AG316" s="5">
        <f>[1]Hybrid!AF34</f>
        <v>161.42986819999999</v>
      </c>
      <c r="AH316" s="5">
        <f>[1]Hybrid!AG34</f>
        <v>166.19453039999999</v>
      </c>
      <c r="AI316" s="5">
        <f>[1]Hybrid!AH34</f>
        <v>170.9868323</v>
      </c>
      <c r="AJ316" s="5">
        <f>[1]Hybrid!AI34</f>
        <v>175.81827860000001</v>
      </c>
      <c r="AK316" s="5">
        <f>[1]Hybrid!AJ34</f>
        <v>180.700852</v>
      </c>
      <c r="AL316" s="5">
        <f>[1]Hybrid!AK34</f>
        <v>185.6470822</v>
      </c>
      <c r="AM316" s="5">
        <f>[1]Hybrid!AL34</f>
        <v>190.65983940000001</v>
      </c>
      <c r="AN316" s="5">
        <f>[1]Hybrid!AM34</f>
        <v>195.75381150000001</v>
      </c>
      <c r="AO316" s="5">
        <f>[1]Hybrid!AN34</f>
        <v>200.94442090000001</v>
      </c>
      <c r="AP316" s="5">
        <f>[1]Hybrid!AO34</f>
        <v>206.2481971</v>
      </c>
      <c r="AQ316" s="5">
        <f>[1]Hybrid!AP34</f>
        <v>211.68279949999999</v>
      </c>
      <c r="AR316" s="5">
        <f>[1]Hybrid!AQ34</f>
        <v>217.26719800000001</v>
      </c>
      <c r="AS316" s="5">
        <f>[1]Hybrid!AR34</f>
        <v>223.02131180000001</v>
      </c>
      <c r="AT316" s="5">
        <f>[1]Hybrid!AS34</f>
        <v>228.96608509999999</v>
      </c>
      <c r="AU316" s="5">
        <f>[1]Hybrid!AT34</f>
        <v>235.12358689999999</v>
      </c>
      <c r="AV316" s="5">
        <f>[1]Hybrid!AU34</f>
        <v>241.51712929999999</v>
      </c>
      <c r="AW316" s="5">
        <f>[1]Hybrid!AV34</f>
        <v>248.1734836</v>
      </c>
      <c r="AX316" s="5">
        <f>[1]Hybrid!AW34</f>
        <v>255.1193586</v>
      </c>
      <c r="AY316" s="5">
        <f>[1]Hybrid!AX34</f>
        <v>262.38294239999999</v>
      </c>
      <c r="AZ316" s="5">
        <f>[1]Hybrid!AY34</f>
        <v>269.99416980000001</v>
      </c>
      <c r="BA316" s="5">
        <f>[1]Hybrid!AZ34</f>
        <v>277.9849476</v>
      </c>
      <c r="BB316" s="5">
        <f>[1]Hybrid!BA34</f>
        <v>286.38996789999999</v>
      </c>
      <c r="BC316" s="5">
        <f>[1]Hybrid!BB34</f>
        <v>295.24605400000002</v>
      </c>
      <c r="BD316" s="5">
        <f>[1]Hybrid!BC34</f>
        <v>304.59249929999999</v>
      </c>
      <c r="BE316" s="5">
        <f>[1]Hybrid!BD34</f>
        <v>314.471363</v>
      </c>
      <c r="BF316" s="5">
        <f>[1]Hybrid!BE34</f>
        <v>324.92771620000002</v>
      </c>
    </row>
    <row r="317" spans="1:58" x14ac:dyDescent="0.35">
      <c r="B317" s="5" t="str">
        <f>[1]Hybrid!A36</f>
        <v>auto_cc_cele_2</v>
      </c>
      <c r="C317" s="5">
        <f>[1]Hybrid!B36</f>
        <v>9.4015406210000005</v>
      </c>
      <c r="D317" s="5">
        <f>[1]Hybrid!C36</f>
        <v>12.62980986</v>
      </c>
      <c r="E317" s="5">
        <f>[1]Hybrid!D36</f>
        <v>16.003013079999999</v>
      </c>
      <c r="F317" s="5">
        <f>[1]Hybrid!E36</f>
        <v>19.454926879999999</v>
      </c>
      <c r="G317" s="5">
        <f>[1]Hybrid!F36</f>
        <v>22.945042170000001</v>
      </c>
      <c r="H317" s="5">
        <f>[1]Hybrid!G36</f>
        <v>26.451220859999999</v>
      </c>
      <c r="I317" s="5">
        <f>[1]Hybrid!H36</f>
        <v>29.955343429999999</v>
      </c>
      <c r="J317" s="5">
        <f>[1]Hybrid!I36</f>
        <v>33.451737280000003</v>
      </c>
      <c r="K317" s="5">
        <f>[1]Hybrid!J36</f>
        <v>36.937425359999999</v>
      </c>
      <c r="L317" s="5">
        <f>[1]Hybrid!K36</f>
        <v>40.410492099999999</v>
      </c>
      <c r="M317" s="5">
        <f>[1]Hybrid!L36</f>
        <v>43.881773180000003</v>
      </c>
      <c r="N317" s="5">
        <f>[1]Hybrid!M36</f>
        <v>47.33659171</v>
      </c>
      <c r="O317" s="5">
        <f>[1]Hybrid!N36</f>
        <v>50.772642519999998</v>
      </c>
      <c r="P317" s="5">
        <f>[1]Hybrid!O36</f>
        <v>54.187522090000002</v>
      </c>
      <c r="Q317" s="5">
        <f>[1]Hybrid!P36</f>
        <v>57.579034589999999</v>
      </c>
      <c r="R317" s="5">
        <f>[1]Hybrid!Q36</f>
        <v>60.94529738</v>
      </c>
      <c r="S317" s="5">
        <f>[1]Hybrid!R36</f>
        <v>64.284374589999999</v>
      </c>
      <c r="T317" s="5">
        <f>[1]Hybrid!S36</f>
        <v>67.594857349999998</v>
      </c>
      <c r="U317" s="5">
        <f>[1]Hybrid!T36</f>
        <v>70.875770720000006</v>
      </c>
      <c r="V317" s="5">
        <f>[1]Hybrid!U36</f>
        <v>74.126540610000006</v>
      </c>
      <c r="W317" s="5">
        <f>[1]Hybrid!V36</f>
        <v>77.337115560000001</v>
      </c>
      <c r="X317" s="5">
        <f>[1]Hybrid!W36</f>
        <v>80.51800661</v>
      </c>
      <c r="Y317" s="5">
        <f>[1]Hybrid!X36</f>
        <v>83.670219169999996</v>
      </c>
      <c r="Z317" s="5">
        <f>[1]Hybrid!Y36</f>
        <v>86.795328330000004</v>
      </c>
      <c r="AA317" s="5">
        <f>[1]Hybrid!Z36</f>
        <v>89.895277410000006</v>
      </c>
      <c r="AB317" s="5">
        <f>[1]Hybrid!AA36</f>
        <v>92.943359040000004</v>
      </c>
      <c r="AC317" s="5">
        <f>[1]Hybrid!AB36</f>
        <v>95.958799639999995</v>
      </c>
      <c r="AD317" s="5">
        <f>[1]Hybrid!AC36</f>
        <v>98.945962730000005</v>
      </c>
      <c r="AE317" s="5">
        <f>[1]Hybrid!AD36</f>
        <v>101.91029930000001</v>
      </c>
      <c r="AF317" s="5">
        <f>[1]Hybrid!AE36</f>
        <v>104.8579063</v>
      </c>
      <c r="AG317" s="5">
        <f>[1]Hybrid!AF36</f>
        <v>107.79528910000001</v>
      </c>
      <c r="AH317" s="5">
        <f>[1]Hybrid!AG36</f>
        <v>110.7293305</v>
      </c>
      <c r="AI317" s="5">
        <f>[1]Hybrid!AH36</f>
        <v>113.66709950000001</v>
      </c>
      <c r="AJ317" s="5">
        <f>[1]Hybrid!AI36</f>
        <v>116.6158685</v>
      </c>
      <c r="AK317" s="5">
        <f>[1]Hybrid!AJ36</f>
        <v>119.5831434</v>
      </c>
      <c r="AL317" s="5">
        <f>[1]Hybrid!AK36</f>
        <v>122.5766995</v>
      </c>
      <c r="AM317" s="5">
        <f>[1]Hybrid!AL36</f>
        <v>125.5980806</v>
      </c>
      <c r="AN317" s="5">
        <f>[1]Hybrid!AM36</f>
        <v>128.65631160000001</v>
      </c>
      <c r="AO317" s="5">
        <f>[1]Hybrid!AN36</f>
        <v>131.76078000000001</v>
      </c>
      <c r="AP317" s="5">
        <f>[1]Hybrid!AO36</f>
        <v>134.9214557</v>
      </c>
      <c r="AQ317" s="5">
        <f>[1]Hybrid!AP36</f>
        <v>138.14888809999999</v>
      </c>
      <c r="AR317" s="5">
        <f>[1]Hybrid!AQ36</f>
        <v>141.45430239999999</v>
      </c>
      <c r="AS317" s="5">
        <f>[1]Hybrid!AR36</f>
        <v>144.8493536</v>
      </c>
      <c r="AT317" s="5">
        <f>[1]Hybrid!AS36</f>
        <v>148.34615550000001</v>
      </c>
      <c r="AU317" s="5">
        <f>[1]Hybrid!AT36</f>
        <v>151.9573231</v>
      </c>
      <c r="AV317" s="5">
        <f>[1]Hybrid!AU36</f>
        <v>155.69602359999999</v>
      </c>
      <c r="AW317" s="5">
        <f>[1]Hybrid!AV36</f>
        <v>159.57731799999999</v>
      </c>
      <c r="AX317" s="5">
        <f>[1]Hybrid!AW36</f>
        <v>163.61594070000001</v>
      </c>
      <c r="AY317" s="5">
        <f>[1]Hybrid!AX36</f>
        <v>167.8272292</v>
      </c>
      <c r="AZ317" s="5">
        <f>[1]Hybrid!AY36</f>
        <v>172.22725689999999</v>
      </c>
      <c r="BA317" s="5">
        <f>[1]Hybrid!AZ36</f>
        <v>176.83293459999999</v>
      </c>
      <c r="BB317" s="5">
        <f>[1]Hybrid!BA36</f>
        <v>181.66245989999999</v>
      </c>
      <c r="BC317" s="5">
        <f>[1]Hybrid!BB36</f>
        <v>186.7348652</v>
      </c>
      <c r="BD317" s="5">
        <f>[1]Hybrid!BC36</f>
        <v>192.0701693</v>
      </c>
      <c r="BE317" s="5">
        <f>[1]Hybrid!BD36</f>
        <v>197.6894973</v>
      </c>
      <c r="BF317" s="5">
        <f>[1]Hybrid!BE36</f>
        <v>203.6151625</v>
      </c>
    </row>
    <row r="318" spans="1:58" x14ac:dyDescent="0.35">
      <c r="B318" s="5" t="str">
        <f>[1]Hybrid!A38</f>
        <v>auto_cd_cele_2</v>
      </c>
      <c r="C318" s="5">
        <f>[1]Hybrid!B38</f>
        <v>5.770071272</v>
      </c>
      <c r="D318" s="5">
        <f>[1]Hybrid!C38</f>
        <v>7.5275392410000004</v>
      </c>
      <c r="E318" s="5">
        <f>[1]Hybrid!D38</f>
        <v>9.3509937010000002</v>
      </c>
      <c r="F318" s="5">
        <f>[1]Hybrid!E38</f>
        <v>11.198649959999999</v>
      </c>
      <c r="G318" s="5">
        <f>[1]Hybrid!F38</f>
        <v>13.043343500000001</v>
      </c>
      <c r="H318" s="5">
        <f>[1]Hybrid!G38</f>
        <v>14.868541629999999</v>
      </c>
      <c r="I318" s="5">
        <f>[1]Hybrid!H38</f>
        <v>16.660772699999999</v>
      </c>
      <c r="J318" s="5">
        <f>[1]Hybrid!I38</f>
        <v>18.414035399999999</v>
      </c>
      <c r="K318" s="5">
        <f>[1]Hybrid!J38</f>
        <v>20.12444751</v>
      </c>
      <c r="L318" s="5">
        <f>[1]Hybrid!K38</f>
        <v>21.789241449999999</v>
      </c>
      <c r="M318" s="5">
        <f>[1]Hybrid!L38</f>
        <v>23.412314469999998</v>
      </c>
      <c r="N318" s="5">
        <f>[1]Hybrid!M38</f>
        <v>24.985312159999999</v>
      </c>
      <c r="O318" s="5">
        <f>[1]Hybrid!N38</f>
        <v>26.506380620000002</v>
      </c>
      <c r="P318" s="5">
        <f>[1]Hybrid!O38</f>
        <v>27.973867609999999</v>
      </c>
      <c r="Q318" s="5">
        <f>[1]Hybrid!P38</f>
        <v>29.3864068</v>
      </c>
      <c r="R318" s="5">
        <f>[1]Hybrid!Q38</f>
        <v>30.74291925</v>
      </c>
      <c r="S318" s="5">
        <f>[1]Hybrid!R38</f>
        <v>32.042424850000003</v>
      </c>
      <c r="T318" s="5">
        <f>[1]Hybrid!S38</f>
        <v>33.284274809999999</v>
      </c>
      <c r="U318" s="5">
        <f>[1]Hybrid!T38</f>
        <v>34.468070050000001</v>
      </c>
      <c r="V318" s="5">
        <f>[1]Hybrid!U38</f>
        <v>35.593614760000001</v>
      </c>
      <c r="W318" s="5">
        <f>[1]Hybrid!V38</f>
        <v>36.656936829999999</v>
      </c>
      <c r="X318" s="5">
        <f>[1]Hybrid!W38</f>
        <v>37.662416180000001</v>
      </c>
      <c r="Y318" s="5">
        <f>[1]Hybrid!X38</f>
        <v>38.610460779999997</v>
      </c>
      <c r="Z318" s="5">
        <f>[1]Hybrid!Y38</f>
        <v>39.501644640000002</v>
      </c>
      <c r="AA318" s="5">
        <f>[1]Hybrid!Z38</f>
        <v>40.336625189999999</v>
      </c>
      <c r="AB318" s="5">
        <f>[1]Hybrid!AA38</f>
        <v>41.105798909999997</v>
      </c>
      <c r="AC318" s="5">
        <f>[1]Hybrid!AB38</f>
        <v>41.816354080000004</v>
      </c>
      <c r="AD318" s="5">
        <f>[1]Hybrid!AC38</f>
        <v>42.469862829999997</v>
      </c>
      <c r="AE318" s="5">
        <f>[1]Hybrid!AD38</f>
        <v>43.068113680000003</v>
      </c>
      <c r="AF318" s="5">
        <f>[1]Hybrid!AE38</f>
        <v>43.612948780000004</v>
      </c>
      <c r="AG318" s="5">
        <f>[1]Hybrid!AF38</f>
        <v>44.106182920000002</v>
      </c>
      <c r="AH318" s="5">
        <f>[1]Hybrid!AG38</f>
        <v>44.549591679999999</v>
      </c>
      <c r="AI318" s="5">
        <f>[1]Hybrid!AH38</f>
        <v>44.944852529999999</v>
      </c>
      <c r="AJ318" s="5">
        <f>[1]Hybrid!AI38</f>
        <v>45.293555009999999</v>
      </c>
      <c r="AK318" s="5">
        <f>[1]Hybrid!AJ38</f>
        <v>45.597213320000002</v>
      </c>
      <c r="AL318" s="5">
        <f>[1]Hybrid!AK38</f>
        <v>45.857277809999999</v>
      </c>
      <c r="AM318" s="5">
        <f>[1]Hybrid!AL38</f>
        <v>46.073455750000001</v>
      </c>
      <c r="AN318" s="5">
        <f>[1]Hybrid!AM38</f>
        <v>46.247370220000001</v>
      </c>
      <c r="AO318" s="5">
        <f>[1]Hybrid!AN38</f>
        <v>46.380581720000002</v>
      </c>
      <c r="AP318" s="5">
        <f>[1]Hybrid!AO38</f>
        <v>46.4746369</v>
      </c>
      <c r="AQ318" s="5">
        <f>[1]Hybrid!AP38</f>
        <v>46.531059380000002</v>
      </c>
      <c r="AR318" s="5">
        <f>[1]Hybrid!AQ38</f>
        <v>46.551360520000003</v>
      </c>
      <c r="AS318" s="5">
        <f>[1]Hybrid!AR38</f>
        <v>46.53697828</v>
      </c>
      <c r="AT318" s="5">
        <f>[1]Hybrid!AS38</f>
        <v>46.489282920000001</v>
      </c>
      <c r="AU318" s="5">
        <f>[1]Hybrid!AT38</f>
        <v>46.409584860000002</v>
      </c>
      <c r="AV318" s="5">
        <f>[1]Hybrid!AU38</f>
        <v>46.299142879999998</v>
      </c>
      <c r="AW318" s="5">
        <f>[1]Hybrid!AV38</f>
        <v>46.159383910000003</v>
      </c>
      <c r="AX318" s="5">
        <f>[1]Hybrid!AW38</f>
        <v>45.991500240000001</v>
      </c>
      <c r="AY318" s="5">
        <f>[1]Hybrid!AX38</f>
        <v>45.796627059999999</v>
      </c>
      <c r="AZ318" s="5">
        <f>[1]Hybrid!AY38</f>
        <v>45.575866840000003</v>
      </c>
      <c r="BA318" s="5">
        <f>[1]Hybrid!AZ38</f>
        <v>45.330303270000002</v>
      </c>
      <c r="BB318" s="5">
        <f>[1]Hybrid!BA38</f>
        <v>45.061054370000001</v>
      </c>
      <c r="BC318" s="5">
        <f>[1]Hybrid!BB38</f>
        <v>44.769201840000001</v>
      </c>
      <c r="BD318" s="5">
        <f>[1]Hybrid!BC38</f>
        <v>44.45580966</v>
      </c>
      <c r="BE318" s="5">
        <f>[1]Hybrid!BD38</f>
        <v>44.121935260000001</v>
      </c>
      <c r="BF318" s="5">
        <f>[1]Hybrid!BE38</f>
        <v>43.768633819999998</v>
      </c>
    </row>
    <row r="319" spans="1:58" x14ac:dyDescent="0.35">
      <c r="B319" s="5" t="str">
        <f>[1]Hybrid!A40</f>
        <v>auto_ce_cele_2</v>
      </c>
      <c r="C319" s="5">
        <f>[1]Hybrid!B40</f>
        <v>3.4730440960000002</v>
      </c>
      <c r="D319" s="5">
        <f>[1]Hybrid!C40</f>
        <v>4.552073204</v>
      </c>
      <c r="E319" s="5">
        <f>[1]Hybrid!D40</f>
        <v>5.6634816600000004</v>
      </c>
      <c r="F319" s="5">
        <f>[1]Hybrid!E40</f>
        <v>6.7799916209999997</v>
      </c>
      <c r="G319" s="5">
        <f>[1]Hybrid!F40</f>
        <v>7.883939764</v>
      </c>
      <c r="H319" s="5">
        <f>[1]Hybrid!G40</f>
        <v>8.9644986339999999</v>
      </c>
      <c r="I319" s="5">
        <f>[1]Hybrid!H40</f>
        <v>10.01300674</v>
      </c>
      <c r="J319" s="5">
        <f>[1]Hybrid!I40</f>
        <v>11.02550023</v>
      </c>
      <c r="K319" s="5">
        <f>[1]Hybrid!J40</f>
        <v>11.99945087</v>
      </c>
      <c r="L319" s="5">
        <f>[1]Hybrid!K40</f>
        <v>12.933126639999999</v>
      </c>
      <c r="M319" s="5">
        <f>[1]Hybrid!L40</f>
        <v>13.82867512</v>
      </c>
      <c r="N319" s="5">
        <f>[1]Hybrid!M40</f>
        <v>14.681365749999999</v>
      </c>
      <c r="O319" s="5">
        <f>[1]Hybrid!N40</f>
        <v>15.49028983</v>
      </c>
      <c r="P319" s="5">
        <f>[1]Hybrid!O40</f>
        <v>16.25474569</v>
      </c>
      <c r="Q319" s="5">
        <f>[1]Hybrid!P40</f>
        <v>16.974274319999999</v>
      </c>
      <c r="R319" s="5">
        <f>[1]Hybrid!Q40</f>
        <v>17.648650700000001</v>
      </c>
      <c r="S319" s="5">
        <f>[1]Hybrid!R40</f>
        <v>18.277778260000002</v>
      </c>
      <c r="T319" s="5">
        <f>[1]Hybrid!S40</f>
        <v>18.861807049999999</v>
      </c>
      <c r="U319" s="5">
        <f>[1]Hybrid!T40</f>
        <v>19.401080669999999</v>
      </c>
      <c r="V319" s="5">
        <f>[1]Hybrid!U40</f>
        <v>19.896102549999998</v>
      </c>
      <c r="W319" s="5">
        <f>[1]Hybrid!V40</f>
        <v>20.345545900000001</v>
      </c>
      <c r="X319" s="5">
        <f>[1]Hybrid!W40</f>
        <v>20.75233398</v>
      </c>
      <c r="Y319" s="5">
        <f>[1]Hybrid!X40</f>
        <v>21.117395290000001</v>
      </c>
      <c r="Z319" s="5">
        <f>[1]Hybrid!Y40</f>
        <v>21.441757580000001</v>
      </c>
      <c r="AA319" s="5">
        <f>[1]Hybrid!Z40</f>
        <v>21.726504089999999</v>
      </c>
      <c r="AB319" s="5">
        <f>[1]Hybrid!AA40</f>
        <v>21.96797969</v>
      </c>
      <c r="AC319" s="5">
        <f>[1]Hybrid!AB40</f>
        <v>22.170483140000002</v>
      </c>
      <c r="AD319" s="5">
        <f>[1]Hybrid!AC40</f>
        <v>22.335640829999999</v>
      </c>
      <c r="AE319" s="5">
        <f>[1]Hybrid!AD40</f>
        <v>22.465152289999999</v>
      </c>
      <c r="AF319" s="5">
        <f>[1]Hybrid!AE40</f>
        <v>22.560711730000001</v>
      </c>
      <c r="AG319" s="5">
        <f>[1]Hybrid!AF40</f>
        <v>22.62397163</v>
      </c>
      <c r="AH319" s="5">
        <f>[1]Hybrid!AG40</f>
        <v>22.656537849999999</v>
      </c>
      <c r="AI319" s="5">
        <f>[1]Hybrid!AH40</f>
        <v>22.659945329999999</v>
      </c>
      <c r="AJ319" s="5">
        <f>[1]Hybrid!AI40</f>
        <v>22.635664290000001</v>
      </c>
      <c r="AK319" s="5">
        <f>[1]Hybrid!AJ40</f>
        <v>22.585107229999998</v>
      </c>
      <c r="AL319" s="5">
        <f>[1]Hybrid!AK40</f>
        <v>22.509635379999999</v>
      </c>
      <c r="AM319" s="5">
        <f>[1]Hybrid!AL40</f>
        <v>22.409908120000001</v>
      </c>
      <c r="AN319" s="5">
        <f>[1]Hybrid!AM40</f>
        <v>22.287335379999998</v>
      </c>
      <c r="AO319" s="5">
        <f>[1]Hybrid!AN40</f>
        <v>22.143276319999998</v>
      </c>
      <c r="AP319" s="5">
        <f>[1]Hybrid!AO40</f>
        <v>21.979057350000001</v>
      </c>
      <c r="AQ319" s="5">
        <f>[1]Hybrid!AP40</f>
        <v>21.795968420000001</v>
      </c>
      <c r="AR319" s="5">
        <f>[1]Hybrid!AQ40</f>
        <v>21.59526683</v>
      </c>
      <c r="AS319" s="5">
        <f>[1]Hybrid!AR40</f>
        <v>21.378155769999999</v>
      </c>
      <c r="AT319" s="5">
        <f>[1]Hybrid!AS40</f>
        <v>21.145787899999998</v>
      </c>
      <c r="AU319" s="5">
        <f>[1]Hybrid!AT40</f>
        <v>20.89926943</v>
      </c>
      <c r="AV319" s="5">
        <f>[1]Hybrid!AU40</f>
        <v>20.639664010000001</v>
      </c>
      <c r="AW319" s="5">
        <f>[1]Hybrid!AV40</f>
        <v>20.368063530000001</v>
      </c>
      <c r="AX319" s="5">
        <f>[1]Hybrid!AW40</f>
        <v>20.08545561</v>
      </c>
      <c r="AY319" s="5">
        <f>[1]Hybrid!AX40</f>
        <v>19.792784869999998</v>
      </c>
      <c r="AZ319" s="5">
        <f>[1]Hybrid!AY40</f>
        <v>19.490961970000001</v>
      </c>
      <c r="BA319" s="5">
        <f>[1]Hybrid!AZ40</f>
        <v>19.180868539999999</v>
      </c>
      <c r="BB319" s="5">
        <f>[1]Hybrid!BA40</f>
        <v>18.86337223</v>
      </c>
      <c r="BC319" s="5">
        <f>[1]Hybrid!BB40</f>
        <v>18.539305200000001</v>
      </c>
      <c r="BD319" s="5">
        <f>[1]Hybrid!BC40</f>
        <v>18.209469519999999</v>
      </c>
      <c r="BE319" s="5">
        <f>[1]Hybrid!BD40</f>
        <v>17.874640299999999</v>
      </c>
      <c r="BF319" s="5">
        <f>[1]Hybrid!BE40</f>
        <v>17.535566559999999</v>
      </c>
    </row>
    <row r="320" spans="1:58" x14ac:dyDescent="0.35">
      <c r="B320" s="5" t="str">
        <f>[1]Hybrid!A42</f>
        <v>auto_cf_cele_2</v>
      </c>
      <c r="C320" s="5">
        <f>[1]Hybrid!B42</f>
        <v>1.7251505170000001</v>
      </c>
      <c r="D320" s="5">
        <f>[1]Hybrid!C42</f>
        <v>2.2364000829999999</v>
      </c>
      <c r="E320" s="5">
        <f>[1]Hybrid!D42</f>
        <v>2.7499149979999999</v>
      </c>
      <c r="F320" s="5">
        <f>[1]Hybrid!E42</f>
        <v>3.2499778789999998</v>
      </c>
      <c r="G320" s="5">
        <f>[1]Hybrid!F42</f>
        <v>3.7266340690000002</v>
      </c>
      <c r="H320" s="5">
        <f>[1]Hybrid!G42</f>
        <v>4.1739225339999999</v>
      </c>
      <c r="I320" s="5">
        <f>[1]Hybrid!H42</f>
        <v>4.5876249299999996</v>
      </c>
      <c r="J320" s="5">
        <f>[1]Hybrid!I42</f>
        <v>4.9661596870000002</v>
      </c>
      <c r="K320" s="5">
        <f>[1]Hybrid!J42</f>
        <v>5.3090028739999999</v>
      </c>
      <c r="L320" s="5">
        <f>[1]Hybrid!K42</f>
        <v>5.6162933559999999</v>
      </c>
      <c r="M320" s="5">
        <f>[1]Hybrid!L42</f>
        <v>5.8897837700000002</v>
      </c>
      <c r="N320" s="5">
        <f>[1]Hybrid!M42</f>
        <v>6.1289480550000004</v>
      </c>
      <c r="O320" s="5">
        <f>[1]Hybrid!N42</f>
        <v>6.3348239079999997</v>
      </c>
      <c r="P320" s="5">
        <f>[1]Hybrid!O42</f>
        <v>6.508636804</v>
      </c>
      <c r="Q320" s="5">
        <f>[1]Hybrid!P42</f>
        <v>6.651770505</v>
      </c>
      <c r="R320" s="5">
        <f>[1]Hybrid!Q42</f>
        <v>6.7657309950000002</v>
      </c>
      <c r="S320" s="5">
        <f>[1]Hybrid!R42</f>
        <v>6.8520931389999999</v>
      </c>
      <c r="T320" s="5">
        <f>[1]Hybrid!S42</f>
        <v>6.9125114779999999</v>
      </c>
      <c r="U320" s="5">
        <f>[1]Hybrid!T42</f>
        <v>6.9486822249999998</v>
      </c>
      <c r="V320" s="5">
        <f>[1]Hybrid!U42</f>
        <v>6.9623153259999997</v>
      </c>
      <c r="W320" s="5">
        <f>[1]Hybrid!V42</f>
        <v>6.9546940289999997</v>
      </c>
      <c r="X320" s="5">
        <f>[1]Hybrid!W42</f>
        <v>6.9279962389999996</v>
      </c>
      <c r="Y320" s="5">
        <f>[1]Hybrid!X42</f>
        <v>6.883872813</v>
      </c>
      <c r="Z320" s="5">
        <f>[1]Hybrid!Y42</f>
        <v>6.8239232049999998</v>
      </c>
      <c r="AA320" s="5">
        <f>[1]Hybrid!Z42</f>
        <v>6.7496844960000004</v>
      </c>
      <c r="AB320" s="5">
        <f>[1]Hybrid!AA42</f>
        <v>6.6618597499999996</v>
      </c>
      <c r="AC320" s="5">
        <f>[1]Hybrid!AB42</f>
        <v>6.5624484199999999</v>
      </c>
      <c r="AD320" s="5">
        <f>[1]Hybrid!AC42</f>
        <v>6.4528867239999999</v>
      </c>
      <c r="AE320" s="5">
        <f>[1]Hybrid!AD42</f>
        <v>6.3345237120000002</v>
      </c>
      <c r="AF320" s="5">
        <f>[1]Hybrid!AE42</f>
        <v>6.2086131399999998</v>
      </c>
      <c r="AG320" s="5">
        <f>[1]Hybrid!AF42</f>
        <v>6.0763139700000002</v>
      </c>
      <c r="AH320" s="5">
        <f>[1]Hybrid!AG42</f>
        <v>5.9386951760000004</v>
      </c>
      <c r="AI320" s="5">
        <f>[1]Hybrid!AH42</f>
        <v>5.7967383330000004</v>
      </c>
      <c r="AJ320" s="5">
        <f>[1]Hybrid!AI42</f>
        <v>5.6513437870000001</v>
      </c>
      <c r="AK320" s="5">
        <f>[1]Hybrid!AJ42</f>
        <v>5.503336343</v>
      </c>
      <c r="AL320" s="5">
        <f>[1]Hybrid!AK42</f>
        <v>5.3534703830000003</v>
      </c>
      <c r="AM320" s="5">
        <f>[1]Hybrid!AL42</f>
        <v>5.2023834610000002</v>
      </c>
      <c r="AN320" s="5">
        <f>[1]Hybrid!AM42</f>
        <v>5.0507212209999999</v>
      </c>
      <c r="AO320" s="5">
        <f>[1]Hybrid!AN42</f>
        <v>4.8990674289999996</v>
      </c>
      <c r="AP320" s="5">
        <f>[1]Hybrid!AO42</f>
        <v>4.7479485969999997</v>
      </c>
      <c r="AQ320" s="5">
        <f>[1]Hybrid!AP42</f>
        <v>4.5978369880000001</v>
      </c>
      <c r="AR320" s="5">
        <f>[1]Hybrid!AQ42</f>
        <v>4.4491539710000003</v>
      </c>
      <c r="AS320" s="5">
        <f>[1]Hybrid!AR42</f>
        <v>4.3022720620000001</v>
      </c>
      <c r="AT320" s="5">
        <f>[1]Hybrid!AS42</f>
        <v>4.1575184319999998</v>
      </c>
      <c r="AU320" s="5">
        <f>[1]Hybrid!AT42</f>
        <v>4.0151782100000002</v>
      </c>
      <c r="AV320" s="5">
        <f>[1]Hybrid!AU42</f>
        <v>3.8754975649999999</v>
      </c>
      <c r="AW320" s="5">
        <f>[1]Hybrid!AV42</f>
        <v>3.7386886480000001</v>
      </c>
      <c r="AX320" s="5">
        <f>[1]Hybrid!AW42</f>
        <v>3.604927473</v>
      </c>
      <c r="AY320" s="5">
        <f>[1]Hybrid!AX42</f>
        <v>3.4743590480000002</v>
      </c>
      <c r="AZ320" s="5">
        <f>[1]Hybrid!AY42</f>
        <v>3.3471001500000002</v>
      </c>
      <c r="BA320" s="5">
        <f>[1]Hybrid!AZ42</f>
        <v>3.2232417259999999</v>
      </c>
      <c r="BB320" s="5">
        <f>[1]Hybrid!BA42</f>
        <v>3.102851281</v>
      </c>
      <c r="BC320" s="5">
        <f>[1]Hybrid!BB42</f>
        <v>2.9859744479999999</v>
      </c>
      <c r="BD320" s="5">
        <f>[1]Hybrid!BC42</f>
        <v>2.872637117</v>
      </c>
      <c r="BE320" s="5">
        <f>[1]Hybrid!BD42</f>
        <v>2.76284741</v>
      </c>
      <c r="BF320" s="5">
        <f>[1]Hybrid!BE42</f>
        <v>2.6565975060000002</v>
      </c>
    </row>
    <row r="321" spans="1:58" x14ac:dyDescent="0.35">
      <c r="B321" s="5" t="str">
        <f>[1]Hybrid!A44</f>
        <v>auto_cg_cele_2</v>
      </c>
      <c r="C321" s="5">
        <f>[1]Hybrid!B44</f>
        <v>3.1066862139999998</v>
      </c>
      <c r="D321" s="5">
        <f>[1]Hybrid!C44</f>
        <v>4.0575941750000002</v>
      </c>
      <c r="E321" s="5">
        <f>[1]Hybrid!D44</f>
        <v>4.9915584580000001</v>
      </c>
      <c r="F321" s="5">
        <f>[1]Hybrid!E44</f>
        <v>5.8765492339999996</v>
      </c>
      <c r="G321" s="5">
        <f>[1]Hybrid!F44</f>
        <v>6.6935460259999999</v>
      </c>
      <c r="H321" s="5">
        <f>[1]Hybrid!G44</f>
        <v>7.4322967369999997</v>
      </c>
      <c r="I321" s="5">
        <f>[1]Hybrid!H44</f>
        <v>8.0868918080000007</v>
      </c>
      <c r="J321" s="5">
        <f>[1]Hybrid!I44</f>
        <v>8.6568247829999994</v>
      </c>
      <c r="K321" s="5">
        <f>[1]Hybrid!J44</f>
        <v>9.1439428290000002</v>
      </c>
      <c r="L321" s="5">
        <f>[1]Hybrid!K44</f>
        <v>9.5515300790000008</v>
      </c>
      <c r="M321" s="5">
        <f>[1]Hybrid!L44</f>
        <v>9.8854142829999994</v>
      </c>
      <c r="N321" s="5">
        <f>[1]Hybrid!M44</f>
        <v>10.14819256</v>
      </c>
      <c r="O321" s="5">
        <f>[1]Hybrid!N44</f>
        <v>10.34479123</v>
      </c>
      <c r="P321" s="5">
        <f>[1]Hybrid!O44</f>
        <v>10.48033264</v>
      </c>
      <c r="Q321" s="5">
        <f>[1]Hybrid!P44</f>
        <v>10.560023320000001</v>
      </c>
      <c r="R321" s="5">
        <f>[1]Hybrid!Q44</f>
        <v>10.589053010000001</v>
      </c>
      <c r="S321" s="5">
        <f>[1]Hybrid!R44</f>
        <v>10.572492949999999</v>
      </c>
      <c r="T321" s="5">
        <f>[1]Hybrid!S44</f>
        <v>10.51527948</v>
      </c>
      <c r="U321" s="5">
        <f>[1]Hybrid!T44</f>
        <v>10.422146939999999</v>
      </c>
      <c r="V321" s="5">
        <f>[1]Hybrid!U44</f>
        <v>10.29758283</v>
      </c>
      <c r="W321" s="5">
        <f>[1]Hybrid!V44</f>
        <v>10.145403979999999</v>
      </c>
      <c r="X321" s="5">
        <f>[1]Hybrid!W44</f>
        <v>9.9700306170000008</v>
      </c>
      <c r="Y321" s="5">
        <f>[1]Hybrid!X44</f>
        <v>9.7750866040000002</v>
      </c>
      <c r="Z321" s="5">
        <f>[1]Hybrid!Y44</f>
        <v>9.5638891439999991</v>
      </c>
      <c r="AA321" s="5">
        <f>[1]Hybrid!Z44</f>
        <v>9.3394541780000004</v>
      </c>
      <c r="AB321" s="5">
        <f>[1]Hybrid!AA44</f>
        <v>9.1039371629999994</v>
      </c>
      <c r="AC321" s="5">
        <f>[1]Hybrid!AB44</f>
        <v>8.8602911849999995</v>
      </c>
      <c r="AD321" s="5">
        <f>[1]Hybrid!AC44</f>
        <v>8.6108008530000006</v>
      </c>
      <c r="AE321" s="5">
        <f>[1]Hybrid!AD44</f>
        <v>8.3574805570000006</v>
      </c>
      <c r="AF321" s="5">
        <f>[1]Hybrid!AE44</f>
        <v>8.1020904500000004</v>
      </c>
      <c r="AG321" s="5">
        <f>[1]Hybrid!AF44</f>
        <v>7.8461582840000004</v>
      </c>
      <c r="AH321" s="5">
        <f>[1]Hybrid!AG44</f>
        <v>7.5910023899999999</v>
      </c>
      <c r="AI321" s="5">
        <f>[1]Hybrid!AH44</f>
        <v>7.337751753</v>
      </c>
      <c r="AJ321" s="5">
        <f>[1]Hybrid!AI44</f>
        <v>7.0873664940000003</v>
      </c>
      <c r="AK321" s="5">
        <f>[1]Hybrid!AJ44</f>
        <v>6.8406563599999997</v>
      </c>
      <c r="AL321" s="5">
        <f>[1]Hybrid!AK44</f>
        <v>6.5982973310000004</v>
      </c>
      <c r="AM321" s="5">
        <f>[1]Hybrid!AL44</f>
        <v>6.3608254039999998</v>
      </c>
      <c r="AN321" s="5">
        <f>[1]Hybrid!AM44</f>
        <v>6.1287027060000003</v>
      </c>
      <c r="AO321" s="5">
        <f>[1]Hybrid!AN44</f>
        <v>5.9022950700000001</v>
      </c>
      <c r="AP321" s="5">
        <f>[1]Hybrid!AO44</f>
        <v>5.681883784</v>
      </c>
      <c r="AQ321" s="5">
        <f>[1]Hybrid!AP44</f>
        <v>5.4676757890000003</v>
      </c>
      <c r="AR321" s="5">
        <f>[1]Hybrid!AQ44</f>
        <v>5.2598131300000004</v>
      </c>
      <c r="AS321" s="5">
        <f>[1]Hybrid!AR44</f>
        <v>5.0583811839999999</v>
      </c>
      <c r="AT321" s="5">
        <f>[1]Hybrid!AS44</f>
        <v>4.8634165989999998</v>
      </c>
      <c r="AU321" s="5">
        <f>[1]Hybrid!AT44</f>
        <v>4.6749143880000004</v>
      </c>
      <c r="AV321" s="5">
        <f>[1]Hybrid!AU44</f>
        <v>4.4928342560000001</v>
      </c>
      <c r="AW321" s="5">
        <f>[1]Hybrid!AV44</f>
        <v>4.3171066429999998</v>
      </c>
      <c r="AX321" s="5">
        <f>[1]Hybrid!AW44</f>
        <v>4.1476366269999998</v>
      </c>
      <c r="AY321" s="5">
        <f>[1]Hybrid!AX44</f>
        <v>3.984309004</v>
      </c>
      <c r="AZ321" s="5">
        <f>[1]Hybrid!AY44</f>
        <v>3.8269922670000001</v>
      </c>
      <c r="BA321" s="5">
        <f>[1]Hybrid!AZ44</f>
        <v>3.6755420349999999</v>
      </c>
      <c r="BB321" s="5">
        <f>[1]Hybrid!BA44</f>
        <v>3.5298040550000001</v>
      </c>
      <c r="BC321" s="5">
        <f>[1]Hybrid!BB44</f>
        <v>3.3896167049999999</v>
      </c>
      <c r="BD321" s="5">
        <f>[1]Hybrid!BC44</f>
        <v>3.254813269</v>
      </c>
      <c r="BE321" s="5">
        <f>[1]Hybrid!BD44</f>
        <v>3.1252238760000002</v>
      </c>
      <c r="BF321" s="5">
        <f>[1]Hybrid!BE44</f>
        <v>3.0006771360000002</v>
      </c>
    </row>
    <row r="322" spans="1:58" x14ac:dyDescent="0.35">
      <c r="B322" s="5" t="str">
        <f>[1]Hybrid!A46</f>
        <v>auto_ca_cgas_2</v>
      </c>
      <c r="C322" s="5">
        <f>[1]Hybrid!B46</f>
        <v>0.42568169729999999</v>
      </c>
      <c r="D322" s="5">
        <f>[1]Hybrid!C46</f>
        <v>0.44849279050000002</v>
      </c>
      <c r="E322" s="5">
        <f>[1]Hybrid!D46</f>
        <v>0.4737976478</v>
      </c>
      <c r="F322" s="5">
        <f>[1]Hybrid!E46</f>
        <v>0.50059935749999995</v>
      </c>
      <c r="G322" s="5">
        <f>[1]Hybrid!F46</f>
        <v>0.52824292809999995</v>
      </c>
      <c r="H322" s="5">
        <f>[1]Hybrid!G46</f>
        <v>0.55633604260000002</v>
      </c>
      <c r="I322" s="5">
        <f>[1]Hybrid!H46</f>
        <v>0.58455991949999997</v>
      </c>
      <c r="J322" s="5">
        <f>[1]Hybrid!I46</f>
        <v>0.61278878550000004</v>
      </c>
      <c r="K322" s="5">
        <f>[1]Hybrid!J46</f>
        <v>0.64095049680000005</v>
      </c>
      <c r="L322" s="5">
        <f>[1]Hybrid!K46</f>
        <v>0.6690008476</v>
      </c>
      <c r="M322" s="5">
        <f>[1]Hybrid!L46</f>
        <v>0.69708148449999996</v>
      </c>
      <c r="N322" s="5">
        <f>[1]Hybrid!M46</f>
        <v>0.72498851399999997</v>
      </c>
      <c r="O322" s="5">
        <f>[1]Hybrid!N46</f>
        <v>0.75269886659999996</v>
      </c>
      <c r="P322" s="5">
        <f>[1]Hybrid!O46</f>
        <v>0.78019193239999995</v>
      </c>
      <c r="Q322" s="5">
        <f>[1]Hybrid!P46</f>
        <v>0.80745192430000001</v>
      </c>
      <c r="R322" s="5">
        <f>[1]Hybrid!Q46</f>
        <v>0.83446784900000004</v>
      </c>
      <c r="S322" s="5">
        <f>[1]Hybrid!R46</f>
        <v>0.86122743209999997</v>
      </c>
      <c r="T322" s="5">
        <f>[1]Hybrid!S46</f>
        <v>0.88772417560000005</v>
      </c>
      <c r="U322" s="5">
        <f>[1]Hybrid!T46</f>
        <v>0.91395485440000002</v>
      </c>
      <c r="V322" s="5">
        <f>[1]Hybrid!U46</f>
        <v>0.93991824150000003</v>
      </c>
      <c r="W322" s="5">
        <f>[1]Hybrid!V46</f>
        <v>0.96547932280000004</v>
      </c>
      <c r="X322" s="5">
        <f>[1]Hybrid!W46</f>
        <v>0.99078159629999996</v>
      </c>
      <c r="Y322" s="5">
        <f>[1]Hybrid!X46</f>
        <v>1.015830563</v>
      </c>
      <c r="Z322" s="5">
        <f>[1]Hybrid!Y46</f>
        <v>1.0406348320000001</v>
      </c>
      <c r="AA322" s="5">
        <f>[1]Hybrid!Z46</f>
        <v>1.065203356</v>
      </c>
      <c r="AB322" s="5">
        <f>[1]Hybrid!AA46</f>
        <v>1.0891487559999999</v>
      </c>
      <c r="AC322" s="5">
        <f>[1]Hybrid!AB46</f>
        <v>1.112711201</v>
      </c>
      <c r="AD322" s="5">
        <f>[1]Hybrid!AC46</f>
        <v>1.1359155599999999</v>
      </c>
      <c r="AE322" s="5">
        <f>[1]Hybrid!AD46</f>
        <v>1.15879497</v>
      </c>
      <c r="AF322" s="5">
        <f>[1]Hybrid!AE46</f>
        <v>1.1813851399999999</v>
      </c>
      <c r="AG322" s="5">
        <f>[1]Hybrid!AF46</f>
        <v>1.2037213099999999</v>
      </c>
      <c r="AH322" s="5">
        <f>[1]Hybrid!AG46</f>
        <v>1.225837968</v>
      </c>
      <c r="AI322" s="5">
        <f>[1]Hybrid!AH46</f>
        <v>1.2477663889999999</v>
      </c>
      <c r="AJ322" s="5">
        <f>[1]Hybrid!AI46</f>
        <v>1.2695351420000001</v>
      </c>
      <c r="AK322" s="5">
        <f>[1]Hybrid!AJ46</f>
        <v>1.2911706489999999</v>
      </c>
      <c r="AL322" s="5">
        <f>[1]Hybrid!AK46</f>
        <v>1.3126976619999999</v>
      </c>
      <c r="AM322" s="5">
        <f>[1]Hybrid!AL46</f>
        <v>1.33405346</v>
      </c>
      <c r="AN322" s="5">
        <f>[1]Hybrid!AM46</f>
        <v>1.3552689099999999</v>
      </c>
      <c r="AO322" s="5">
        <f>[1]Hybrid!AN46</f>
        <v>1.3763723809999999</v>
      </c>
      <c r="AP322" s="5">
        <f>[1]Hybrid!AO46</f>
        <v>1.397392645</v>
      </c>
      <c r="AQ322" s="5">
        <f>[1]Hybrid!AP46</f>
        <v>1.418358556</v>
      </c>
      <c r="AR322" s="5">
        <f>[1]Hybrid!AQ46</f>
        <v>1.4392997219999999</v>
      </c>
      <c r="AS322" s="5">
        <f>[1]Hybrid!AR46</f>
        <v>1.4602428300000001</v>
      </c>
      <c r="AT322" s="5">
        <f>[1]Hybrid!AS46</f>
        <v>1.481211726</v>
      </c>
      <c r="AU322" s="5">
        <f>[1]Hybrid!AT46</f>
        <v>1.502227566</v>
      </c>
      <c r="AV322" s="5">
        <f>[1]Hybrid!AU46</f>
        <v>1.523309011</v>
      </c>
      <c r="AW322" s="5">
        <f>[1]Hybrid!AV46</f>
        <v>1.5444870639999999</v>
      </c>
      <c r="AX322" s="5">
        <f>[1]Hybrid!AW46</f>
        <v>1.565777956</v>
      </c>
      <c r="AY322" s="5">
        <f>[1]Hybrid!AX46</f>
        <v>1.5871944200000001</v>
      </c>
      <c r="AZ322" s="5">
        <f>[1]Hybrid!AY46</f>
        <v>1.6087468970000001</v>
      </c>
      <c r="BA322" s="5">
        <f>[1]Hybrid!AZ46</f>
        <v>1.6304441670000001</v>
      </c>
      <c r="BB322" s="5">
        <f>[1]Hybrid!BA46</f>
        <v>1.6522973910000001</v>
      </c>
      <c r="BC322" s="5">
        <f>[1]Hybrid!BB46</f>
        <v>1.6743144240000001</v>
      </c>
      <c r="BD322" s="5">
        <f>[1]Hybrid!BC46</f>
        <v>1.6965011889999999</v>
      </c>
      <c r="BE322" s="5">
        <f>[1]Hybrid!BD46</f>
        <v>1.7188624749999999</v>
      </c>
      <c r="BF322" s="5">
        <f>[1]Hybrid!BE46</f>
        <v>1.741402227</v>
      </c>
    </row>
    <row r="323" spans="1:58" x14ac:dyDescent="0.35">
      <c r="B323" s="5" t="str">
        <f>[1]Hybrid!A48</f>
        <v>auto_cb_cgas_2</v>
      </c>
      <c r="C323" s="5">
        <f>[1]Hybrid!B48</f>
        <v>0.49500522540000003</v>
      </c>
      <c r="D323" s="5">
        <f>[1]Hybrid!C48</f>
        <v>0.51146191360000004</v>
      </c>
      <c r="E323" s="5">
        <f>[1]Hybrid!D48</f>
        <v>0.53057442249999998</v>
      </c>
      <c r="F323" s="5">
        <f>[1]Hybrid!E48</f>
        <v>0.55134754770000005</v>
      </c>
      <c r="G323" s="5">
        <f>[1]Hybrid!F48</f>
        <v>0.57312018330000003</v>
      </c>
      <c r="H323" s="5">
        <f>[1]Hybrid!G48</f>
        <v>0.59548669009999999</v>
      </c>
      <c r="I323" s="5">
        <f>[1]Hybrid!H48</f>
        <v>0.61811558290000002</v>
      </c>
      <c r="J323" s="5">
        <f>[1]Hybrid!I48</f>
        <v>0.64086254490000005</v>
      </c>
      <c r="K323" s="5">
        <f>[1]Hybrid!J48</f>
        <v>0.66363690239999995</v>
      </c>
      <c r="L323" s="5">
        <f>[1]Hybrid!K48</f>
        <v>0.68637666159999999</v>
      </c>
      <c r="M323" s="5">
        <f>[1]Hybrid!L48</f>
        <v>0.70919623580000002</v>
      </c>
      <c r="N323" s="5">
        <f>[1]Hybrid!M48</f>
        <v>0.7318861955</v>
      </c>
      <c r="O323" s="5">
        <f>[1]Hybrid!N48</f>
        <v>0.75440909550000002</v>
      </c>
      <c r="P323" s="5">
        <f>[1]Hybrid!O48</f>
        <v>0.77673112560000002</v>
      </c>
      <c r="Q323" s="5">
        <f>[1]Hybrid!P48</f>
        <v>0.79882414180000005</v>
      </c>
      <c r="R323" s="5">
        <f>[1]Hybrid!Q48</f>
        <v>0.82066549749999995</v>
      </c>
      <c r="S323" s="5">
        <f>[1]Hybrid!R48</f>
        <v>0.8422323571</v>
      </c>
      <c r="T323" s="5">
        <f>[1]Hybrid!S48</f>
        <v>0.86350816659999996</v>
      </c>
      <c r="U323" s="5">
        <f>[1]Hybrid!T48</f>
        <v>0.88448022000000004</v>
      </c>
      <c r="V323" s="5">
        <f>[1]Hybrid!U48</f>
        <v>0.90513838089999998</v>
      </c>
      <c r="W323" s="5">
        <f>[1]Hybrid!V48</f>
        <v>0.92535150720000003</v>
      </c>
      <c r="X323" s="5">
        <f>[1]Hybrid!W48</f>
        <v>0.94524315439999995</v>
      </c>
      <c r="Y323" s="5">
        <f>[1]Hybrid!X48</f>
        <v>0.96481108550000005</v>
      </c>
      <c r="Z323" s="5">
        <f>[1]Hybrid!Y48</f>
        <v>0.98405617609999996</v>
      </c>
      <c r="AA323" s="5">
        <f>[1]Hybrid!Z48</f>
        <v>1.0029798919999999</v>
      </c>
      <c r="AB323" s="5">
        <f>[1]Hybrid!AA48</f>
        <v>1.021230181</v>
      </c>
      <c r="AC323" s="5">
        <f>[1]Hybrid!AB48</f>
        <v>1.0390186610000001</v>
      </c>
      <c r="AD323" s="5">
        <f>[1]Hybrid!AC48</f>
        <v>1.0563636709999999</v>
      </c>
      <c r="AE323" s="5">
        <f>[1]Hybrid!AD48</f>
        <v>1.073290686</v>
      </c>
      <c r="AF323" s="5">
        <f>[1]Hybrid!AE48</f>
        <v>1.0898271799999999</v>
      </c>
      <c r="AG323" s="5">
        <f>[1]Hybrid!AF48</f>
        <v>1.1059999149999999</v>
      </c>
      <c r="AH323" s="5">
        <f>[1]Hybrid!AG48</f>
        <v>1.1218346770000001</v>
      </c>
      <c r="AI323" s="5">
        <f>[1]Hybrid!AH48</f>
        <v>1.137354124</v>
      </c>
      <c r="AJ323" s="5">
        <f>[1]Hybrid!AI48</f>
        <v>1.152578248</v>
      </c>
      <c r="AK323" s="5">
        <f>[1]Hybrid!AJ48</f>
        <v>1.1675248730000001</v>
      </c>
      <c r="AL323" s="5">
        <f>[1]Hybrid!AK48</f>
        <v>1.1822100879999999</v>
      </c>
      <c r="AM323" s="5">
        <f>[1]Hybrid!AL48</f>
        <v>1.1965751140000001</v>
      </c>
      <c r="AN323" s="5">
        <f>[1]Hybrid!AM48</f>
        <v>1.210641547</v>
      </c>
      <c r="AO323" s="5">
        <f>[1]Hybrid!AN48</f>
        <v>1.2244285429999999</v>
      </c>
      <c r="AP323" s="5">
        <f>[1]Hybrid!AO48</f>
        <v>1.2379552570000001</v>
      </c>
      <c r="AQ323" s="5">
        <f>[1]Hybrid!AP48</f>
        <v>1.2512405419999999</v>
      </c>
      <c r="AR323" s="5">
        <f>[1]Hybrid!AQ48</f>
        <v>1.264303484</v>
      </c>
      <c r="AS323" s="5">
        <f>[1]Hybrid!AR48</f>
        <v>1.2771603330000001</v>
      </c>
      <c r="AT323" s="5">
        <f>[1]Hybrid!AS48</f>
        <v>1.2898246010000001</v>
      </c>
      <c r="AU323" s="5">
        <f>[1]Hybrid!AT48</f>
        <v>1.302307229</v>
      </c>
      <c r="AV323" s="5">
        <f>[1]Hybrid!AU48</f>
        <v>1.3146167849999999</v>
      </c>
      <c r="AW323" s="5">
        <f>[1]Hybrid!AV48</f>
        <v>1.3267714589999999</v>
      </c>
      <c r="AX323" s="5">
        <f>[1]Hybrid!AW48</f>
        <v>1.338776966</v>
      </c>
      <c r="AY323" s="5">
        <f>[1]Hybrid!AX48</f>
        <v>1.350635864</v>
      </c>
      <c r="AZ323" s="5">
        <f>[1]Hybrid!AY48</f>
        <v>1.3623486119999999</v>
      </c>
      <c r="BA323" s="5">
        <f>[1]Hybrid!AZ48</f>
        <v>1.37391413</v>
      </c>
      <c r="BB323" s="5">
        <f>[1]Hybrid!BA48</f>
        <v>1.3853329750000001</v>
      </c>
      <c r="BC323" s="5">
        <f>[1]Hybrid!BB48</f>
        <v>1.3966028450000001</v>
      </c>
      <c r="BD323" s="5">
        <f>[1]Hybrid!BC48</f>
        <v>1.4077197079999999</v>
      </c>
      <c r="BE323" s="5">
        <f>[1]Hybrid!BD48</f>
        <v>1.418678449</v>
      </c>
      <c r="BF323" s="5">
        <f>[1]Hybrid!BE48</f>
        <v>1.429473124</v>
      </c>
    </row>
    <row r="324" spans="1:58" x14ac:dyDescent="0.35">
      <c r="B324" s="5" t="str">
        <f>[1]Hybrid!A50</f>
        <v>auto_cc_cgas_2</v>
      </c>
      <c r="C324" s="5">
        <f>[1]Hybrid!B50</f>
        <v>0.40659851759999999</v>
      </c>
      <c r="D324" s="5">
        <f>[1]Hybrid!C50</f>
        <v>0.4139594164</v>
      </c>
      <c r="E324" s="5">
        <f>[1]Hybrid!D50</f>
        <v>0.42335670440000001</v>
      </c>
      <c r="F324" s="5">
        <f>[1]Hybrid!E50</f>
        <v>0.43407450380000001</v>
      </c>
      <c r="G324" s="5">
        <f>[1]Hybrid!F50</f>
        <v>0.44563239840000002</v>
      </c>
      <c r="H324" s="5">
        <f>[1]Hybrid!G50</f>
        <v>0.45772921989999998</v>
      </c>
      <c r="I324" s="5">
        <f>[1]Hybrid!H50</f>
        <v>0.47011769460000002</v>
      </c>
      <c r="J324" s="5">
        <f>[1]Hybrid!I50</f>
        <v>0.48268150129999998</v>
      </c>
      <c r="K324" s="5">
        <f>[1]Hybrid!J50</f>
        <v>0.49534302699999999</v>
      </c>
      <c r="L324" s="5">
        <f>[1]Hybrid!K50</f>
        <v>0.5080458766</v>
      </c>
      <c r="M324" s="5">
        <f>[1]Hybrid!L50</f>
        <v>0.52085452369999996</v>
      </c>
      <c r="N324" s="5">
        <f>[1]Hybrid!M50</f>
        <v>0.53361469419999996</v>
      </c>
      <c r="O324" s="5">
        <f>[1]Hybrid!N50</f>
        <v>0.54629017209999997</v>
      </c>
      <c r="P324" s="5">
        <f>[1]Hybrid!O50</f>
        <v>0.55884820820000003</v>
      </c>
      <c r="Q324" s="5">
        <f>[1]Hybrid!P50</f>
        <v>0.57126076560000005</v>
      </c>
      <c r="R324" s="5">
        <f>[1]Hybrid!Q50</f>
        <v>0.5835043043</v>
      </c>
      <c r="S324" s="5">
        <f>[1]Hybrid!R50</f>
        <v>0.59555593659999995</v>
      </c>
      <c r="T324" s="5">
        <f>[1]Hybrid!S50</f>
        <v>0.6073976982</v>
      </c>
      <c r="U324" s="5">
        <f>[1]Hybrid!T50</f>
        <v>0.61901484100000004</v>
      </c>
      <c r="V324" s="5">
        <f>[1]Hybrid!U50</f>
        <v>0.63039490870000003</v>
      </c>
      <c r="W324" s="5">
        <f>[1]Hybrid!V50</f>
        <v>0.64144659579999996</v>
      </c>
      <c r="X324" s="5">
        <f>[1]Hybrid!W50</f>
        <v>0.65224671919999999</v>
      </c>
      <c r="Y324" s="5">
        <f>[1]Hybrid!X50</f>
        <v>0.66278947129999999</v>
      </c>
      <c r="Z324" s="5">
        <f>[1]Hybrid!Y50</f>
        <v>0.67307136899999997</v>
      </c>
      <c r="AA324" s="5">
        <f>[1]Hybrid!Z50</f>
        <v>0.68308959209999998</v>
      </c>
      <c r="AB324" s="5">
        <f>[1]Hybrid!AA50</f>
        <v>0.69261388140000002</v>
      </c>
      <c r="AC324" s="5">
        <f>[1]Hybrid!AB50</f>
        <v>0.70177936070000002</v>
      </c>
      <c r="AD324" s="5">
        <f>[1]Hybrid!AC50</f>
        <v>0.71059603220000001</v>
      </c>
      <c r="AE324" s="5">
        <f>[1]Hybrid!AD50</f>
        <v>0.71907842160000002</v>
      </c>
      <c r="AF324" s="5">
        <f>[1]Hybrid!AE50</f>
        <v>0.7272422328</v>
      </c>
      <c r="AG324" s="5">
        <f>[1]Hybrid!AF50</f>
        <v>0.73510261379999997</v>
      </c>
      <c r="AH324" s="5">
        <f>[1]Hybrid!AG50</f>
        <v>0.74267398299999998</v>
      </c>
      <c r="AI324" s="5">
        <f>[1]Hybrid!AH50</f>
        <v>0.74996867580000004</v>
      </c>
      <c r="AJ324" s="5">
        <f>[1]Hybrid!AI50</f>
        <v>0.75699725230000003</v>
      </c>
      <c r="AK324" s="5">
        <f>[1]Hybrid!AJ50</f>
        <v>0.76376882960000003</v>
      </c>
      <c r="AL324" s="5">
        <f>[1]Hybrid!AK50</f>
        <v>0.77029136499999995</v>
      </c>
      <c r="AM324" s="5">
        <f>[1]Hybrid!AL50</f>
        <v>0.77652666290000005</v>
      </c>
      <c r="AN324" s="5">
        <f>[1]Hybrid!AM50</f>
        <v>0.78248646369999997</v>
      </c>
      <c r="AO324" s="5">
        <f>[1]Hybrid!AN50</f>
        <v>0.78818092689999997</v>
      </c>
      <c r="AP324" s="5">
        <f>[1]Hybrid!AO50</f>
        <v>0.79362011619999995</v>
      </c>
      <c r="AQ324" s="5">
        <f>[1]Hybrid!AP50</f>
        <v>0.79881380950000003</v>
      </c>
      <c r="AR324" s="5">
        <f>[1]Hybrid!AQ50</f>
        <v>0.80377181090000005</v>
      </c>
      <c r="AS324" s="5">
        <f>[1]Hybrid!AR50</f>
        <v>0.80850210550000001</v>
      </c>
      <c r="AT324" s="5">
        <f>[1]Hybrid!AS50</f>
        <v>0.81301095079999997</v>
      </c>
      <c r="AU324" s="5">
        <f>[1]Hybrid!AT50</f>
        <v>0.81730300779999998</v>
      </c>
      <c r="AV324" s="5">
        <f>[1]Hybrid!AU50</f>
        <v>0.8213814881</v>
      </c>
      <c r="AW324" s="5">
        <f>[1]Hybrid!AV50</f>
        <v>0.82525516850000002</v>
      </c>
      <c r="AX324" s="5">
        <f>[1]Hybrid!AW50</f>
        <v>0.82892539470000004</v>
      </c>
      <c r="AY324" s="5">
        <f>[1]Hybrid!AX50</f>
        <v>0.83239165449999997</v>
      </c>
      <c r="AZ324" s="5">
        <f>[1]Hybrid!AY50</f>
        <v>0.83565224670000005</v>
      </c>
      <c r="BA324" s="5">
        <f>[1]Hybrid!AZ50</f>
        <v>0.83870464700000003</v>
      </c>
      <c r="BB324" s="5">
        <f>[1]Hybrid!BA50</f>
        <v>0.84154732430000001</v>
      </c>
      <c r="BC324" s="5">
        <f>[1]Hybrid!BB50</f>
        <v>0.84417717660000002</v>
      </c>
      <c r="BD324" s="5">
        <f>[1]Hybrid!BC50</f>
        <v>0.84659020650000005</v>
      </c>
      <c r="BE324" s="5">
        <f>[1]Hybrid!BD50</f>
        <v>0.84878191859999996</v>
      </c>
      <c r="BF324" s="5">
        <f>[1]Hybrid!BE50</f>
        <v>0.85074747709999998</v>
      </c>
    </row>
    <row r="325" spans="1:58" x14ac:dyDescent="0.35">
      <c r="B325" s="5" t="str">
        <f>[1]Hybrid!A52</f>
        <v>auto_cd_cgas_2</v>
      </c>
      <c r="C325" s="5">
        <f>[1]Hybrid!B52</f>
        <v>0.2495444651</v>
      </c>
      <c r="D325" s="5">
        <f>[1]Hybrid!C52</f>
        <v>0.2520281795</v>
      </c>
      <c r="E325" s="5">
        <f>[1]Hybrid!D52</f>
        <v>0.25560251360000003</v>
      </c>
      <c r="F325" s="5">
        <f>[1]Hybrid!E52</f>
        <v>0.25983716270000001</v>
      </c>
      <c r="G325" s="5">
        <f>[1]Hybrid!F52</f>
        <v>0.26444205450000002</v>
      </c>
      <c r="H325" s="5">
        <f>[1]Hybrid!G52</f>
        <v>0.26923157920000002</v>
      </c>
      <c r="I325" s="5">
        <f>[1]Hybrid!H52</f>
        <v>0.27405535749999999</v>
      </c>
      <c r="J325" s="5">
        <f>[1]Hybrid!I52</f>
        <v>0.2788378802</v>
      </c>
      <c r="K325" s="5">
        <f>[1]Hybrid!J52</f>
        <v>0.28352779719999999</v>
      </c>
      <c r="L325" s="5">
        <f>[1]Hybrid!K52</f>
        <v>0.2880876912</v>
      </c>
      <c r="M325" s="5">
        <f>[1]Hybrid!L52</f>
        <v>0.29254306969999999</v>
      </c>
      <c r="N325" s="5">
        <f>[1]Hybrid!M52</f>
        <v>0.29681026360000001</v>
      </c>
      <c r="O325" s="5">
        <f>[1]Hybrid!N52</f>
        <v>0.30086756399999998</v>
      </c>
      <c r="P325" s="5">
        <f>[1]Hybrid!O52</f>
        <v>0.30469648259999998</v>
      </c>
      <c r="Q325" s="5">
        <f>[1]Hybrid!P52</f>
        <v>0.308282108</v>
      </c>
      <c r="R325" s="5">
        <f>[1]Hybrid!Q52</f>
        <v>0.31161280260000002</v>
      </c>
      <c r="S325" s="5">
        <f>[1]Hybrid!R52</f>
        <v>0.31467831080000003</v>
      </c>
      <c r="T325" s="5">
        <f>[1]Hybrid!S52</f>
        <v>0.31747167790000003</v>
      </c>
      <c r="U325" s="5">
        <f>[1]Hybrid!T52</f>
        <v>0.3199882912</v>
      </c>
      <c r="V325" s="5">
        <f>[1]Hybrid!U52</f>
        <v>0.3222253182</v>
      </c>
      <c r="W325" s="5">
        <f>[1]Hybrid!V52</f>
        <v>0.32414634209999998</v>
      </c>
      <c r="X325" s="5">
        <f>[1]Hybrid!W52</f>
        <v>0.32578957380000001</v>
      </c>
      <c r="Y325" s="5">
        <f>[1]Hybrid!X52</f>
        <v>0.32715677650000002</v>
      </c>
      <c r="Z325" s="5">
        <f>[1]Hybrid!Y52</f>
        <v>0.3282509367</v>
      </c>
      <c r="AA325" s="5">
        <f>[1]Hybrid!Z52</f>
        <v>0.32907555199999999</v>
      </c>
      <c r="AB325" s="5">
        <f>[1]Hybrid!AA52</f>
        <v>0.32954339989999998</v>
      </c>
      <c r="AC325" s="5">
        <f>[1]Hybrid!AB52</f>
        <v>0.3297172491</v>
      </c>
      <c r="AD325" s="5">
        <f>[1]Hybrid!AC52</f>
        <v>0.32960839120000002</v>
      </c>
      <c r="AE325" s="5">
        <f>[1]Hybrid!AD52</f>
        <v>0.3292295281</v>
      </c>
      <c r="AF325" s="5">
        <f>[1]Hybrid!AE52</f>
        <v>0.32859341250000001</v>
      </c>
      <c r="AG325" s="5">
        <f>[1]Hybrid!AF52</f>
        <v>0.32771221290000002</v>
      </c>
      <c r="AH325" s="5">
        <f>[1]Hybrid!AG52</f>
        <v>0.32659747929999999</v>
      </c>
      <c r="AI325" s="5">
        <f>[1]Hybrid!AH52</f>
        <v>0.3252596921</v>
      </c>
      <c r="AJ325" s="5">
        <f>[1]Hybrid!AI52</f>
        <v>0.32370843640000002</v>
      </c>
      <c r="AK325" s="5">
        <f>[1]Hybrid!AJ52</f>
        <v>0.32195257659999998</v>
      </c>
      <c r="AL325" s="5">
        <f>[1]Hybrid!AK52</f>
        <v>0.32000040499999999</v>
      </c>
      <c r="AM325" s="5">
        <f>[1]Hybrid!AL52</f>
        <v>0.3178450001</v>
      </c>
      <c r="AN325" s="5">
        <f>[1]Hybrid!AM52</f>
        <v>0.31549639540000002</v>
      </c>
      <c r="AO325" s="5">
        <f>[1]Hybrid!AN52</f>
        <v>0.31296396310000002</v>
      </c>
      <c r="AP325" s="5">
        <f>[1]Hybrid!AO52</f>
        <v>0.31025689490000002</v>
      </c>
      <c r="AQ325" s="5">
        <f>[1]Hybrid!AP52</f>
        <v>0.30738414990000001</v>
      </c>
      <c r="AR325" s="5">
        <f>[1]Hybrid!AQ52</f>
        <v>0.30435455140000001</v>
      </c>
      <c r="AS325" s="5">
        <f>[1]Hybrid!AR52</f>
        <v>0.30117626209999998</v>
      </c>
      <c r="AT325" s="5">
        <f>[1]Hybrid!AS52</f>
        <v>0.29785686459999999</v>
      </c>
      <c r="AU325" s="5">
        <f>[1]Hybrid!AT52</f>
        <v>0.29440345099999998</v>
      </c>
      <c r="AV325" s="5">
        <f>[1]Hybrid!AU52</f>
        <v>0.29082270809999999</v>
      </c>
      <c r="AW325" s="5">
        <f>[1]Hybrid!AV52</f>
        <v>0.2871227556</v>
      </c>
      <c r="AX325" s="5">
        <f>[1]Hybrid!AW52</f>
        <v>0.28330968039999999</v>
      </c>
      <c r="AY325" s="5">
        <f>[1]Hybrid!AX52</f>
        <v>0.27938913609999999</v>
      </c>
      <c r="AZ325" s="5">
        <f>[1]Hybrid!AY52</f>
        <v>0.2753665776</v>
      </c>
      <c r="BA325" s="5">
        <f>[1]Hybrid!AZ52</f>
        <v>0.27124738869999998</v>
      </c>
      <c r="BB325" s="5">
        <f>[1]Hybrid!BA52</f>
        <v>0.26703730390000002</v>
      </c>
      <c r="BC325" s="5">
        <f>[1]Hybrid!BB52</f>
        <v>0.26274180120000001</v>
      </c>
      <c r="BD325" s="5">
        <f>[1]Hybrid!BC52</f>
        <v>0.25836628099999998</v>
      </c>
      <c r="BE325" s="5">
        <f>[1]Hybrid!BD52</f>
        <v>0.25391616900000002</v>
      </c>
      <c r="BF325" s="5">
        <f>[1]Hybrid!BE52</f>
        <v>0.24939695340000001</v>
      </c>
    </row>
    <row r="326" spans="1:58" x14ac:dyDescent="0.35">
      <c r="B326" s="5" t="str">
        <f>[1]Hybrid!A54</f>
        <v>auto_ce_cgas_2</v>
      </c>
      <c r="C326" s="5">
        <f>[1]Hybrid!B54</f>
        <v>0.15020246549999999</v>
      </c>
      <c r="D326" s="5">
        <f>[1]Hybrid!C54</f>
        <v>0.1518904865</v>
      </c>
      <c r="E326" s="5">
        <f>[1]Hybrid!D54</f>
        <v>0.15416434130000001</v>
      </c>
      <c r="F326" s="5">
        <f>[1]Hybrid!E54</f>
        <v>0.15674630740000001</v>
      </c>
      <c r="G326" s="5">
        <f>[1]Hybrid!F54</f>
        <v>0.15945042940000001</v>
      </c>
      <c r="H326" s="5">
        <f>[1]Hybrid!G54</f>
        <v>0.1621579806</v>
      </c>
      <c r="I326" s="5">
        <f>[1]Hybrid!H54</f>
        <v>0.164774947</v>
      </c>
      <c r="J326" s="5">
        <f>[1]Hybrid!I54</f>
        <v>0.16725470240000001</v>
      </c>
      <c r="K326" s="5">
        <f>[1]Hybrid!J54</f>
        <v>0.16956697500000001</v>
      </c>
      <c r="L326" s="5">
        <f>[1]Hybrid!K54</f>
        <v>0.17169122419999999</v>
      </c>
      <c r="M326" s="5">
        <f>[1]Hybrid!L54</f>
        <v>0.17364358639999999</v>
      </c>
      <c r="N326" s="5">
        <f>[1]Hybrid!M54</f>
        <v>0.1753791747</v>
      </c>
      <c r="O326" s="5">
        <f>[1]Hybrid!N54</f>
        <v>0.1768893657</v>
      </c>
      <c r="P326" s="5">
        <f>[1]Hybrid!O54</f>
        <v>0.17816808149999999</v>
      </c>
      <c r="Q326" s="5">
        <f>[1]Hybrid!P54</f>
        <v>0.1792118191</v>
      </c>
      <c r="R326" s="5">
        <f>[1]Hybrid!Q54</f>
        <v>0.18001935220000001</v>
      </c>
      <c r="S326" s="5">
        <f>[1]Hybrid!R54</f>
        <v>0.18059065429999999</v>
      </c>
      <c r="T326" s="5">
        <f>[1]Hybrid!S54</f>
        <v>0.1809278406</v>
      </c>
      <c r="U326" s="5">
        <f>[1]Hybrid!T54</f>
        <v>0.1810345572</v>
      </c>
      <c r="V326" s="5">
        <f>[1]Hybrid!U54</f>
        <v>0.1809155982</v>
      </c>
      <c r="W326" s="5">
        <f>[1]Hybrid!V54</f>
        <v>0.1805593757</v>
      </c>
      <c r="X326" s="5">
        <f>[1]Hybrid!W54</f>
        <v>0.1799917057</v>
      </c>
      <c r="Y326" s="5">
        <f>[1]Hybrid!X54</f>
        <v>0.1792200108</v>
      </c>
      <c r="Z326" s="5">
        <f>[1]Hybrid!Y54</f>
        <v>0.17825225629999999</v>
      </c>
      <c r="AA326" s="5">
        <f>[1]Hybrid!Z54</f>
        <v>0.17709659580000001</v>
      </c>
      <c r="AB326" s="5">
        <f>[1]Hybrid!AA54</f>
        <v>0.17571960119999999</v>
      </c>
      <c r="AC326" s="5">
        <f>[1]Hybrid!AB54</f>
        <v>0.17415791389999999</v>
      </c>
      <c r="AD326" s="5">
        <f>[1]Hybrid!AC54</f>
        <v>0.1724237733</v>
      </c>
      <c r="AE326" s="5">
        <f>[1]Hybrid!AD54</f>
        <v>0.17052968020000001</v>
      </c>
      <c r="AF326" s="5">
        <f>[1]Hybrid!AE54</f>
        <v>0.1684877796</v>
      </c>
      <c r="AG326" s="5">
        <f>[1]Hybrid!AF54</f>
        <v>0.166309606</v>
      </c>
      <c r="AH326" s="5">
        <f>[1]Hybrid!AG54</f>
        <v>0.16400609420000001</v>
      </c>
      <c r="AI326" s="5">
        <f>[1]Hybrid!AH54</f>
        <v>0.1615874175</v>
      </c>
      <c r="AJ326" s="5">
        <f>[1]Hybrid!AI54</f>
        <v>0.1590630955</v>
      </c>
      <c r="AK326" s="5">
        <f>[1]Hybrid!AJ54</f>
        <v>0.15644209479999999</v>
      </c>
      <c r="AL326" s="5">
        <f>[1]Hybrid!AK54</f>
        <v>0.15373291550000001</v>
      </c>
      <c r="AM326" s="5">
        <f>[1]Hybrid!AL54</f>
        <v>0.15093804869999999</v>
      </c>
      <c r="AN326" s="5">
        <f>[1]Hybrid!AM54</f>
        <v>0.14806647910000001</v>
      </c>
      <c r="AO326" s="5">
        <f>[1]Hybrid!AN54</f>
        <v>0.14512670250000001</v>
      </c>
      <c r="AP326" s="5">
        <f>[1]Hybrid!AO54</f>
        <v>0.14212691020000001</v>
      </c>
      <c r="AQ326" s="5">
        <f>[1]Hybrid!AP54</f>
        <v>0.13907497520000001</v>
      </c>
      <c r="AR326" s="5">
        <f>[1]Hybrid!AQ54</f>
        <v>0.1359784909</v>
      </c>
      <c r="AS326" s="5">
        <f>[1]Hybrid!AR54</f>
        <v>0.13284459739999999</v>
      </c>
      <c r="AT326" s="5">
        <f>[1]Hybrid!AS54</f>
        <v>0.1296800283</v>
      </c>
      <c r="AU326" s="5">
        <f>[1]Hybrid!AT54</f>
        <v>0.12649115659999999</v>
      </c>
      <c r="AV326" s="5">
        <f>[1]Hybrid!AU54</f>
        <v>0.123284036</v>
      </c>
      <c r="AW326" s="5">
        <f>[1]Hybrid!AV54</f>
        <v>0.1200649686</v>
      </c>
      <c r="AX326" s="5">
        <f>[1]Hybrid!AW54</f>
        <v>0.1168394148</v>
      </c>
      <c r="AY326" s="5">
        <f>[1]Hybrid!AX54</f>
        <v>0.1136125273</v>
      </c>
      <c r="AZ326" s="5">
        <f>[1]Hybrid!AY54</f>
        <v>0.1103892367</v>
      </c>
      <c r="BA326" s="5">
        <f>[1]Hybrid!AZ54</f>
        <v>0.10717429320000001</v>
      </c>
      <c r="BB326" s="5">
        <f>[1]Hybrid!BA54</f>
        <v>0.1039723791</v>
      </c>
      <c r="BC326" s="5">
        <f>[1]Hybrid!BB54</f>
        <v>0.1007879322</v>
      </c>
      <c r="BD326" s="5">
        <f>[1]Hybrid!BC54</f>
        <v>9.7625196799999994E-2</v>
      </c>
      <c r="BE326" s="5">
        <f>[1]Hybrid!BD54</f>
        <v>9.4488250300000007E-2</v>
      </c>
      <c r="BF326" s="5">
        <f>[1]Hybrid!BE54</f>
        <v>9.1381007900000005E-2</v>
      </c>
    </row>
    <row r="327" spans="1:58" x14ac:dyDescent="0.35">
      <c r="B327" s="5" t="str">
        <f>[1]Hybrid!A56</f>
        <v>auto_cf_cgas_2</v>
      </c>
      <c r="C327" s="5">
        <f>[1]Hybrid!B56</f>
        <v>7.4609436000000001E-2</v>
      </c>
      <c r="D327" s="5">
        <f>[1]Hybrid!C56</f>
        <v>7.52233769E-2</v>
      </c>
      <c r="E327" s="5">
        <f>[1]Hybrid!D56</f>
        <v>7.6008354200000003E-2</v>
      </c>
      <c r="F327" s="5">
        <f>[1]Hybrid!E56</f>
        <v>7.6810758800000004E-2</v>
      </c>
      <c r="G327" s="5">
        <f>[1]Hybrid!F56</f>
        <v>7.7532317599999998E-2</v>
      </c>
      <c r="H327" s="5">
        <f>[1]Hybrid!G56</f>
        <v>7.81136214E-2</v>
      </c>
      <c r="I327" s="5">
        <f>[1]Hybrid!H56</f>
        <v>7.8513169199999996E-2</v>
      </c>
      <c r="J327" s="5">
        <f>[1]Hybrid!I56</f>
        <v>7.8715122499999998E-2</v>
      </c>
      <c r="K327" s="5">
        <f>[1]Hybrid!J56</f>
        <v>7.8714199299999996E-2</v>
      </c>
      <c r="L327" s="5">
        <f>[1]Hybrid!K56</f>
        <v>7.8511666699999996E-2</v>
      </c>
      <c r="M327" s="5">
        <f>[1]Hybrid!L56</f>
        <v>7.8123639600000003E-2</v>
      </c>
      <c r="N327" s="5">
        <f>[1]Hybrid!M56</f>
        <v>7.7545357400000001E-2</v>
      </c>
      <c r="O327" s="5">
        <f>[1]Hybrid!N56</f>
        <v>7.6786441799999994E-2</v>
      </c>
      <c r="P327" s="5">
        <f>[1]Hybrid!O56</f>
        <v>7.5857991599999994E-2</v>
      </c>
      <c r="Q327" s="5">
        <f>[1]Hybrid!P56</f>
        <v>7.4772240700000006E-2</v>
      </c>
      <c r="R327" s="5">
        <f>[1]Hybrid!Q56</f>
        <v>7.3542189100000002E-2</v>
      </c>
      <c r="S327" s="5">
        <f>[1]Hybrid!R56</f>
        <v>7.2181106300000006E-2</v>
      </c>
      <c r="T327" s="5">
        <f>[1]Hybrid!S56</f>
        <v>7.0702631099999996E-2</v>
      </c>
      <c r="U327" s="5">
        <f>[1]Hybrid!T56</f>
        <v>6.9120427600000006E-2</v>
      </c>
      <c r="V327" s="5">
        <f>[1]Hybrid!U56</f>
        <v>6.7447947199999997E-2</v>
      </c>
      <c r="W327" s="5">
        <f>[1]Hybrid!V56</f>
        <v>6.5694458100000006E-2</v>
      </c>
      <c r="X327" s="5">
        <f>[1]Hybrid!W56</f>
        <v>6.38771536E-2</v>
      </c>
      <c r="Y327" s="5">
        <f>[1]Hybrid!X56</f>
        <v>6.20080836E-2</v>
      </c>
      <c r="Z327" s="5">
        <f>[1]Hybrid!Y56</f>
        <v>6.0098621900000003E-2</v>
      </c>
      <c r="AA327" s="5">
        <f>[1]Hybrid!Z56</f>
        <v>5.8159402399999997E-2</v>
      </c>
      <c r="AB327" s="5">
        <f>[1]Hybrid!AA56</f>
        <v>5.6193293499999998E-2</v>
      </c>
      <c r="AC327" s="5">
        <f>[1]Hybrid!AB56</f>
        <v>5.4215061199999998E-2</v>
      </c>
      <c r="AD327" s="5">
        <f>[1]Hybrid!AC56</f>
        <v>5.2234102599999999E-2</v>
      </c>
      <c r="AE327" s="5">
        <f>[1]Hybrid!AD56</f>
        <v>5.0258944399999998E-2</v>
      </c>
      <c r="AF327" s="5">
        <f>[1]Hybrid!AE56</f>
        <v>4.8297200200000001E-2</v>
      </c>
      <c r="AG327" s="5">
        <f>[1]Hybrid!AF56</f>
        <v>4.6355603099999997E-2</v>
      </c>
      <c r="AH327" s="5">
        <f>[1]Hybrid!AG56</f>
        <v>4.4440073699999999E-2</v>
      </c>
      <c r="AI327" s="5">
        <f>[1]Hybrid!AH56</f>
        <v>4.25557638E-2</v>
      </c>
      <c r="AJ327" s="5">
        <f>[1]Hybrid!AI56</f>
        <v>4.0707130799999998E-2</v>
      </c>
      <c r="AK327" s="5">
        <f>[1]Hybrid!AJ56</f>
        <v>3.8898004600000001E-2</v>
      </c>
      <c r="AL327" s="5">
        <f>[1]Hybrid!AK56</f>
        <v>3.71316467E-2</v>
      </c>
      <c r="AM327" s="5">
        <f>[1]Hybrid!AL56</f>
        <v>3.5410315300000002E-2</v>
      </c>
      <c r="AN327" s="5">
        <f>[1]Hybrid!AM56</f>
        <v>3.3736464600000002E-2</v>
      </c>
      <c r="AO327" s="5">
        <f>[1]Hybrid!AN56</f>
        <v>3.2112077500000002E-2</v>
      </c>
      <c r="AP327" s="5">
        <f>[1]Hybrid!AO56</f>
        <v>3.0538716600000002E-2</v>
      </c>
      <c r="AQ327" s="5">
        <f>[1]Hybrid!AP56</f>
        <v>2.9017557199999999E-2</v>
      </c>
      <c r="AR327" s="5">
        <f>[1]Hybrid!AQ56</f>
        <v>2.7549421300000002E-2</v>
      </c>
      <c r="AS327" s="5">
        <f>[1]Hybrid!AR56</f>
        <v>2.6134799699999999E-2</v>
      </c>
      <c r="AT327" s="5">
        <f>[1]Hybrid!AS56</f>
        <v>2.4773885900000001E-2</v>
      </c>
      <c r="AU327" s="5">
        <f>[1]Hybrid!AT56</f>
        <v>2.34666088E-2</v>
      </c>
      <c r="AV327" s="5">
        <f>[1]Hybrid!AU56</f>
        <v>2.2212661500000001E-2</v>
      </c>
      <c r="AW327" s="5">
        <f>[1]Hybrid!AV56</f>
        <v>2.10115489E-2</v>
      </c>
      <c r="AX327" s="5">
        <f>[1]Hybrid!AW56</f>
        <v>1.9862561899999999E-2</v>
      </c>
      <c r="AY327" s="5">
        <f>[1]Hybrid!AX56</f>
        <v>1.8764827500000001E-2</v>
      </c>
      <c r="AZ327" s="5">
        <f>[1]Hybrid!AY56</f>
        <v>1.7717332700000001E-2</v>
      </c>
      <c r="BA327" s="5">
        <f>[1]Hybrid!AZ56</f>
        <v>1.6718945200000002E-2</v>
      </c>
      <c r="BB327" s="5">
        <f>[1]Hybrid!BA56</f>
        <v>1.5768432700000001E-2</v>
      </c>
      <c r="BC327" s="5">
        <f>[1]Hybrid!BB56</f>
        <v>1.4864473600000001E-2</v>
      </c>
      <c r="BD327" s="5">
        <f>[1]Hybrid!BC56</f>
        <v>1.40056739E-2</v>
      </c>
      <c r="BE327" s="5">
        <f>[1]Hybrid!BD56</f>
        <v>1.3190582100000001E-2</v>
      </c>
      <c r="BF327" s="5">
        <f>[1]Hybrid!BE56</f>
        <v>1.24177023E-2</v>
      </c>
    </row>
    <row r="328" spans="1:58" x14ac:dyDescent="0.35">
      <c r="B328" s="5" t="str">
        <f>[1]Hybrid!A58</f>
        <v>auto_cg_cgas_2</v>
      </c>
      <c r="C328" s="5">
        <f>[1]Hybrid!B58</f>
        <v>0.13435819299999999</v>
      </c>
      <c r="D328" s="5">
        <f>[1]Hybrid!C58</f>
        <v>0.13573921659999999</v>
      </c>
      <c r="E328" s="5">
        <f>[1]Hybrid!D58</f>
        <v>0.13723153660000001</v>
      </c>
      <c r="F328" s="5">
        <f>[1]Hybrid!E58</f>
        <v>0.138528555</v>
      </c>
      <c r="G328" s="5">
        <f>[1]Hybrid!F58</f>
        <v>0.13944764239999999</v>
      </c>
      <c r="H328" s="5">
        <f>[1]Hybrid!G58</f>
        <v>0.13989078069999999</v>
      </c>
      <c r="I328" s="5">
        <f>[1]Hybrid!H58</f>
        <v>0.13980321100000001</v>
      </c>
      <c r="J328" s="5">
        <f>[1]Hybrid!I58</f>
        <v>0.13918204519999999</v>
      </c>
      <c r="K328" s="5">
        <f>[1]Hybrid!J58</f>
        <v>0.1380469178</v>
      </c>
      <c r="L328" s="5">
        <f>[1]Hybrid!K58</f>
        <v>0.1364307048</v>
      </c>
      <c r="M328" s="5">
        <f>[1]Hybrid!L58</f>
        <v>0.13438885319999999</v>
      </c>
      <c r="N328" s="5">
        <f>[1]Hybrid!M58</f>
        <v>0.1319463941</v>
      </c>
      <c r="O328" s="5">
        <f>[1]Hybrid!N58</f>
        <v>0.12914886719999999</v>
      </c>
      <c r="P328" s="5">
        <f>[1]Hybrid!O58</f>
        <v>0.126042389</v>
      </c>
      <c r="Q328" s="5">
        <f>[1]Hybrid!P58</f>
        <v>0.1226725969</v>
      </c>
      <c r="R328" s="5">
        <f>[1]Hybrid!Q58</f>
        <v>0.1190837667</v>
      </c>
      <c r="S328" s="5">
        <f>[1]Hybrid!R58</f>
        <v>0.11531797620000001</v>
      </c>
      <c r="T328" s="5">
        <f>[1]Hybrid!S58</f>
        <v>0.1114150658</v>
      </c>
      <c r="U328" s="5">
        <f>[1]Hybrid!T58</f>
        <v>0.1074121371</v>
      </c>
      <c r="V328" s="5">
        <f>[1]Hybrid!U58</f>
        <v>0.1033432734</v>
      </c>
      <c r="W328" s="5">
        <f>[1]Hybrid!V58</f>
        <v>9.9235840399999997E-2</v>
      </c>
      <c r="X328" s="5">
        <f>[1]Hybrid!W58</f>
        <v>9.5122209400000005E-2</v>
      </c>
      <c r="Y328" s="5">
        <f>[1]Hybrid!X58</f>
        <v>9.1027033800000004E-2</v>
      </c>
      <c r="Z328" s="5">
        <f>[1]Hybrid!Y58</f>
        <v>8.6971905500000002E-2</v>
      </c>
      <c r="AA328" s="5">
        <f>[1]Hybrid!Z58</f>
        <v>8.2975506800000001E-2</v>
      </c>
      <c r="AB328" s="5">
        <f>[1]Hybrid!AA58</f>
        <v>7.9048608699999995E-2</v>
      </c>
      <c r="AC328" s="5">
        <f>[1]Hybrid!AB58</f>
        <v>7.5209350699999997E-2</v>
      </c>
      <c r="AD328" s="5">
        <f>[1]Hybrid!AC58</f>
        <v>7.1469735800000003E-2</v>
      </c>
      <c r="AE328" s="5">
        <f>[1]Hybrid!AD58</f>
        <v>6.7839411500000002E-2</v>
      </c>
      <c r="AF328" s="5">
        <f>[1]Hybrid!AE58</f>
        <v>6.4325870800000004E-2</v>
      </c>
      <c r="AG328" s="5">
        <f>[1]Hybrid!AF58</f>
        <v>6.0934697000000003E-2</v>
      </c>
      <c r="AH328" s="5">
        <f>[1]Hybrid!AG58</f>
        <v>5.7669807199999999E-2</v>
      </c>
      <c r="AI328" s="5">
        <f>[1]Hybrid!AH58</f>
        <v>5.4533662400000002E-2</v>
      </c>
      <c r="AJ328" s="5">
        <f>[1]Hybrid!AI58</f>
        <v>5.1527474300000001E-2</v>
      </c>
      <c r="AK328" s="5">
        <f>[1]Hybrid!AJ58</f>
        <v>4.8651388400000002E-2</v>
      </c>
      <c r="AL328" s="5">
        <f>[1]Hybrid!AK58</f>
        <v>4.59046444E-2</v>
      </c>
      <c r="AM328" s="5">
        <f>[1]Hybrid!AL58</f>
        <v>4.32855163E-2</v>
      </c>
      <c r="AN328" s="5">
        <f>[1]Hybrid!AM58</f>
        <v>4.0791937200000003E-2</v>
      </c>
      <c r="AO328" s="5">
        <f>[1]Hybrid!AN58</f>
        <v>3.84212793E-2</v>
      </c>
      <c r="AP328" s="5">
        <f>[1]Hybrid!AO58</f>
        <v>3.6170459000000002E-2</v>
      </c>
      <c r="AQ328" s="5">
        <f>[1]Hybrid!AP58</f>
        <v>3.40360257E-2</v>
      </c>
      <c r="AR328" s="5">
        <f>[1]Hybrid!AQ58</f>
        <v>3.2014241399999997E-2</v>
      </c>
      <c r="AS328" s="5">
        <f>[1]Hybrid!AR58</f>
        <v>3.0101148099999999E-2</v>
      </c>
      <c r="AT328" s="5">
        <f>[1]Hybrid!AS58</f>
        <v>2.8292630999999999E-2</v>
      </c>
      <c r="AU328" s="5">
        <f>[1]Hybrid!AT58</f>
        <v>2.6584474399999999E-2</v>
      </c>
      <c r="AV328" s="5">
        <f>[1]Hybrid!AU58</f>
        <v>2.4972408599999999E-2</v>
      </c>
      <c r="AW328" s="5">
        <f>[1]Hybrid!AV58</f>
        <v>2.3452154499999999E-2</v>
      </c>
      <c r="AX328" s="5">
        <f>[1]Hybrid!AW58</f>
        <v>2.2019447399999999E-2</v>
      </c>
      <c r="AY328" s="5">
        <f>[1]Hybrid!AX58</f>
        <v>2.06700722E-2</v>
      </c>
      <c r="AZ328" s="5">
        <f>[1]Hybrid!AY58</f>
        <v>1.9399888899999999E-2</v>
      </c>
      <c r="BA328" s="5">
        <f>[1]Hybrid!AZ58</f>
        <v>1.8204852099999998E-2</v>
      </c>
      <c r="BB328" s="5">
        <f>[1]Hybrid!BA58</f>
        <v>1.70810274E-2</v>
      </c>
      <c r="BC328" s="5">
        <f>[1]Hybrid!BB58</f>
        <v>1.60246026E-2</v>
      </c>
      <c r="BD328" s="5">
        <f>[1]Hybrid!BC58</f>
        <v>1.5031898E-2</v>
      </c>
      <c r="BE328" s="5">
        <f>[1]Hybrid!BD58</f>
        <v>1.4099373300000001E-2</v>
      </c>
      <c r="BF328" s="5">
        <f>[1]Hybrid!BE58</f>
        <v>1.3223632399999999E-2</v>
      </c>
    </row>
    <row r="330" spans="1:58" x14ac:dyDescent="0.35">
      <c r="A330" s="12" t="s">
        <v>90</v>
      </c>
      <c r="B330" t="s">
        <v>56</v>
      </c>
      <c r="C330" s="2">
        <v>42005</v>
      </c>
      <c r="D330" s="2">
        <v>42370</v>
      </c>
      <c r="E330" s="2">
        <v>42736</v>
      </c>
      <c r="F330" s="2">
        <v>43101</v>
      </c>
      <c r="G330" s="2">
        <v>43466</v>
      </c>
      <c r="H330" s="2">
        <v>43831</v>
      </c>
      <c r="I330" s="2">
        <v>44197</v>
      </c>
      <c r="J330" s="2">
        <v>44562</v>
      </c>
      <c r="K330" s="2">
        <v>44927</v>
      </c>
      <c r="L330" s="2">
        <v>45292</v>
      </c>
      <c r="M330" s="2">
        <v>45658</v>
      </c>
      <c r="N330" s="2">
        <v>46023</v>
      </c>
      <c r="O330" s="2">
        <v>46388</v>
      </c>
      <c r="P330" s="2">
        <v>46753</v>
      </c>
      <c r="Q330" s="2">
        <v>47119</v>
      </c>
      <c r="R330" s="2">
        <v>47484</v>
      </c>
      <c r="S330" s="2">
        <v>47849</v>
      </c>
      <c r="T330" s="2">
        <v>48214</v>
      </c>
      <c r="U330" s="2">
        <v>48580</v>
      </c>
      <c r="V330" s="2">
        <v>48945</v>
      </c>
      <c r="W330" s="2">
        <v>49310</v>
      </c>
      <c r="X330" s="2">
        <v>49675</v>
      </c>
      <c r="Y330" s="2">
        <v>50041</v>
      </c>
      <c r="Z330" s="2">
        <v>50406</v>
      </c>
      <c r="AA330" s="2">
        <v>50771</v>
      </c>
      <c r="AB330" s="2">
        <v>51136</v>
      </c>
      <c r="AC330" s="2">
        <v>51502</v>
      </c>
      <c r="AD330" s="2">
        <v>51867</v>
      </c>
      <c r="AE330" s="2">
        <v>52232</v>
      </c>
      <c r="AF330" s="2">
        <v>52597</v>
      </c>
      <c r="AG330" s="2">
        <v>52963</v>
      </c>
      <c r="AH330" s="2">
        <v>53328</v>
      </c>
      <c r="AI330" s="2">
        <v>53693</v>
      </c>
      <c r="AJ330" s="2">
        <v>54058</v>
      </c>
      <c r="AK330" s="2">
        <v>54424</v>
      </c>
      <c r="AL330" s="2">
        <v>54789</v>
      </c>
      <c r="AM330" s="2">
        <v>54790</v>
      </c>
      <c r="AN330" s="2">
        <v>54791</v>
      </c>
      <c r="AO330" s="2">
        <v>54792</v>
      </c>
      <c r="AP330" s="2">
        <v>54793</v>
      </c>
      <c r="AQ330" s="2">
        <v>54794</v>
      </c>
      <c r="AR330" s="2">
        <v>54795</v>
      </c>
      <c r="AS330" s="2">
        <v>54796</v>
      </c>
      <c r="AT330" s="2">
        <v>54797</v>
      </c>
      <c r="AU330" s="2">
        <v>54798</v>
      </c>
      <c r="AV330" s="2">
        <v>54799</v>
      </c>
      <c r="AW330" s="2">
        <v>54800</v>
      </c>
      <c r="AX330" s="2">
        <v>54801</v>
      </c>
      <c r="AY330" s="2">
        <v>54802</v>
      </c>
      <c r="AZ330" s="2">
        <v>54803</v>
      </c>
      <c r="BA330" s="2">
        <v>54804</v>
      </c>
      <c r="BB330" s="2">
        <v>54805</v>
      </c>
      <c r="BC330" s="2">
        <v>54806</v>
      </c>
      <c r="BD330" s="2">
        <v>54807</v>
      </c>
      <c r="BE330" s="2">
        <v>54808</v>
      </c>
      <c r="BF330" s="2">
        <v>54809</v>
      </c>
    </row>
    <row r="331" spans="1:58" x14ac:dyDescent="0.35">
      <c r="A331" t="s">
        <v>39</v>
      </c>
      <c r="B331" t="s">
        <v>96</v>
      </c>
      <c r="C331" s="6">
        <f t="shared" ref="C331:AL331" si="186">C308+C322+C315</f>
        <v>7105.9689965623002</v>
      </c>
      <c r="D331" s="6">
        <f t="shared" si="186"/>
        <v>7147.0491212705001</v>
      </c>
      <c r="E331" s="6">
        <f t="shared" si="186"/>
        <v>7232.2112714878003</v>
      </c>
      <c r="F331" s="6">
        <f t="shared" si="186"/>
        <v>7347.9342068175001</v>
      </c>
      <c r="G331" s="6">
        <f t="shared" si="186"/>
        <v>7485.1072920680999</v>
      </c>
      <c r="H331" s="6">
        <f t="shared" si="186"/>
        <v>7637.9911573626005</v>
      </c>
      <c r="I331" s="6">
        <f t="shared" si="186"/>
        <v>7801.8799390194999</v>
      </c>
      <c r="J331" s="6">
        <f t="shared" si="186"/>
        <v>7974.5113107355</v>
      </c>
      <c r="K331" s="6">
        <f t="shared" si="186"/>
        <v>8154.3474293067993</v>
      </c>
      <c r="L331" s="6">
        <f t="shared" si="186"/>
        <v>8340.2504706876007</v>
      </c>
      <c r="M331" s="6">
        <f t="shared" si="186"/>
        <v>8533.3705216345024</v>
      </c>
      <c r="N331" s="6">
        <f t="shared" si="186"/>
        <v>8730.722082794</v>
      </c>
      <c r="O331" s="6">
        <f t="shared" si="186"/>
        <v>8931.570377206599</v>
      </c>
      <c r="P331" s="6">
        <f t="shared" si="186"/>
        <v>9135.2495872623986</v>
      </c>
      <c r="Q331" s="6">
        <f t="shared" si="186"/>
        <v>9341.1878919643004</v>
      </c>
      <c r="R331" s="6">
        <f t="shared" si="186"/>
        <v>9548.9035691789995</v>
      </c>
      <c r="S331" s="6">
        <f t="shared" si="186"/>
        <v>9757.9286627621004</v>
      </c>
      <c r="T331" s="6">
        <f t="shared" si="186"/>
        <v>9967.8918647756</v>
      </c>
      <c r="U331" s="6">
        <f t="shared" si="186"/>
        <v>10178.485384454401</v>
      </c>
      <c r="V331" s="6">
        <f t="shared" si="186"/>
        <v>10389.447279941502</v>
      </c>
      <c r="W331" s="6">
        <f t="shared" si="186"/>
        <v>10598.926825922801</v>
      </c>
      <c r="X331" s="6">
        <f t="shared" si="186"/>
        <v>10808.464423896299</v>
      </c>
      <c r="Y331" s="6">
        <f t="shared" si="186"/>
        <v>11017.930559562999</v>
      </c>
      <c r="Z331" s="6">
        <f t="shared" si="186"/>
        <v>11227.247937532</v>
      </c>
      <c r="AA331" s="6">
        <f t="shared" si="186"/>
        <v>11436.356579856001</v>
      </c>
      <c r="AB331" s="6">
        <f t="shared" si="186"/>
        <v>11640.441965356002</v>
      </c>
      <c r="AC331" s="6">
        <f t="shared" si="186"/>
        <v>11842.319371101001</v>
      </c>
      <c r="AD331" s="6">
        <f t="shared" si="186"/>
        <v>12042.178467060001</v>
      </c>
      <c r="AE331" s="6">
        <f t="shared" si="186"/>
        <v>12240.31352937</v>
      </c>
      <c r="AF331" s="6">
        <f t="shared" si="186"/>
        <v>12437.053148640001</v>
      </c>
      <c r="AG331" s="6">
        <f t="shared" si="186"/>
        <v>12632.72295191</v>
      </c>
      <c r="AH331" s="6">
        <f t="shared" si="186"/>
        <v>12827.642162668</v>
      </c>
      <c r="AI331" s="6">
        <f t="shared" si="186"/>
        <v>13022.094067288999</v>
      </c>
      <c r="AJ331" s="6">
        <f t="shared" si="186"/>
        <v>13216.332454441999</v>
      </c>
      <c r="AK331" s="6">
        <f t="shared" si="186"/>
        <v>13410.588757549</v>
      </c>
      <c r="AL331" s="6">
        <f t="shared" si="186"/>
        <v>13605.077957362</v>
      </c>
      <c r="AM331" s="6">
        <f t="shared" ref="AM331:BC331" si="187">AM308+AM322+AM315</f>
        <v>13798.965789659998</v>
      </c>
      <c r="AN331" s="6">
        <f t="shared" si="187"/>
        <v>13992.564012609999</v>
      </c>
      <c r="AO331" s="6">
        <f t="shared" si="187"/>
        <v>14186.155715381001</v>
      </c>
      <c r="AP331" s="6">
        <f t="shared" si="187"/>
        <v>14380.030693245</v>
      </c>
      <c r="AQ331" s="6">
        <f t="shared" si="187"/>
        <v>14574.481603156</v>
      </c>
      <c r="AR331" s="6">
        <f t="shared" si="187"/>
        <v>14769.812132921999</v>
      </c>
      <c r="AS331" s="6">
        <f t="shared" si="187"/>
        <v>14966.29277763</v>
      </c>
      <c r="AT331" s="6">
        <f t="shared" si="187"/>
        <v>15164.162340726001</v>
      </c>
      <c r="AU331" s="6">
        <f t="shared" si="187"/>
        <v>15363.630387166</v>
      </c>
      <c r="AV331" s="6">
        <f t="shared" si="187"/>
        <v>15564.880164311</v>
      </c>
      <c r="AW331" s="6">
        <f t="shared" si="187"/>
        <v>15768.248198163999</v>
      </c>
      <c r="AX331" s="6">
        <f t="shared" si="187"/>
        <v>15973.895055556</v>
      </c>
      <c r="AY331" s="6">
        <f t="shared" si="187"/>
        <v>16181.944187820001</v>
      </c>
      <c r="AZ331" s="6">
        <f t="shared" si="187"/>
        <v>16392.497071796999</v>
      </c>
      <c r="BA331" s="6">
        <f t="shared" si="187"/>
        <v>16605.641373867002</v>
      </c>
      <c r="BB331" s="6">
        <f t="shared" si="187"/>
        <v>16821.500089491001</v>
      </c>
      <c r="BC331" s="6">
        <f t="shared" si="187"/>
        <v>17040.162554423998</v>
      </c>
      <c r="BD331" s="6">
        <f t="shared" ref="BD331:BF331" si="188">BD308+BD322+BD315</f>
        <v>17261.701828788999</v>
      </c>
      <c r="BE331" s="6">
        <f t="shared" si="188"/>
        <v>17486.184705374999</v>
      </c>
      <c r="BF331" s="6">
        <f t="shared" si="188"/>
        <v>17713.675668726999</v>
      </c>
    </row>
    <row r="332" spans="1:58" x14ac:dyDescent="0.35">
      <c r="B332" t="s">
        <v>97</v>
      </c>
      <c r="C332" s="6">
        <f t="shared" ref="C332:AL332" si="189">C309+C323+C316</f>
        <v>8263.1971436354015</v>
      </c>
      <c r="D332" s="6">
        <f t="shared" si="189"/>
        <v>8189.9934773836003</v>
      </c>
      <c r="E332" s="6">
        <f t="shared" si="189"/>
        <v>8166.9303678824999</v>
      </c>
      <c r="F332" s="6">
        <f t="shared" si="189"/>
        <v>8180.1572076476996</v>
      </c>
      <c r="G332" s="6">
        <f t="shared" si="189"/>
        <v>8220.1671375933001</v>
      </c>
      <c r="H332" s="6">
        <f t="shared" si="189"/>
        <v>8280.7642532801001</v>
      </c>
      <c r="I332" s="6">
        <f t="shared" si="189"/>
        <v>8356.8190318328998</v>
      </c>
      <c r="J332" s="6">
        <f t="shared" si="189"/>
        <v>8445.5986688849007</v>
      </c>
      <c r="K332" s="6">
        <f t="shared" si="189"/>
        <v>8545.1175824023994</v>
      </c>
      <c r="L332" s="6">
        <f t="shared" si="189"/>
        <v>8653.8199343716005</v>
      </c>
      <c r="M332" s="6">
        <f t="shared" si="189"/>
        <v>8772.3434451458015</v>
      </c>
      <c r="N332" s="6">
        <f t="shared" si="189"/>
        <v>8897.4701290755002</v>
      </c>
      <c r="O332" s="6">
        <f t="shared" si="189"/>
        <v>9028.1404585755008</v>
      </c>
      <c r="P332" s="6">
        <f t="shared" si="189"/>
        <v>9163.3923974655991</v>
      </c>
      <c r="Q332" s="6">
        <f t="shared" si="189"/>
        <v>9302.3811350518008</v>
      </c>
      <c r="R332" s="6">
        <f t="shared" si="189"/>
        <v>9444.3723314575</v>
      </c>
      <c r="S332" s="6">
        <f t="shared" si="189"/>
        <v>9588.669407777099</v>
      </c>
      <c r="T332" s="6">
        <f t="shared" si="189"/>
        <v>9734.6883263265991</v>
      </c>
      <c r="U332" s="6">
        <f t="shared" si="189"/>
        <v>9881.9244634199986</v>
      </c>
      <c r="V332" s="6">
        <f t="shared" si="189"/>
        <v>10029.9340656809</v>
      </c>
      <c r="W332" s="6">
        <f t="shared" si="189"/>
        <v>10176.8455326072</v>
      </c>
      <c r="X332" s="6">
        <f t="shared" si="189"/>
        <v>10323.8969752544</v>
      </c>
      <c r="Y332" s="6">
        <f t="shared" si="189"/>
        <v>10470.811584585499</v>
      </c>
      <c r="Z332" s="6">
        <f t="shared" si="189"/>
        <v>10617.370481876098</v>
      </c>
      <c r="AA332" s="6">
        <f t="shared" si="189"/>
        <v>10763.380222292</v>
      </c>
      <c r="AB332" s="6">
        <f t="shared" si="189"/>
        <v>10904.411630881001</v>
      </c>
      <c r="AC332" s="6">
        <f t="shared" si="189"/>
        <v>11042.894950561</v>
      </c>
      <c r="AD332" s="6">
        <f t="shared" si="189"/>
        <v>11178.907587270998</v>
      </c>
      <c r="AE332" s="6">
        <f t="shared" si="189"/>
        <v>11312.621730385999</v>
      </c>
      <c r="AF332" s="6">
        <f t="shared" si="189"/>
        <v>11444.240595180001</v>
      </c>
      <c r="AG332" s="6">
        <f t="shared" si="189"/>
        <v>11573.964988115002</v>
      </c>
      <c r="AH332" s="6">
        <f t="shared" si="189"/>
        <v>11701.989825077</v>
      </c>
      <c r="AI332" s="6">
        <f t="shared" si="189"/>
        <v>11828.478016423998</v>
      </c>
      <c r="AJ332" s="6">
        <f t="shared" si="189"/>
        <v>11953.566156848001</v>
      </c>
      <c r="AK332" s="6">
        <f t="shared" si="189"/>
        <v>12077.370706873</v>
      </c>
      <c r="AL332" s="6">
        <f t="shared" si="189"/>
        <v>12199.993112287999</v>
      </c>
      <c r="AM332" s="6">
        <f t="shared" ref="AM332:BC332" si="190">AM309+AM323+AM316</f>
        <v>12320.638984513998</v>
      </c>
      <c r="AN332" s="6">
        <f t="shared" si="190"/>
        <v>12439.500853047002</v>
      </c>
      <c r="AO332" s="6">
        <f t="shared" si="190"/>
        <v>12556.745179443</v>
      </c>
      <c r="AP332" s="6">
        <f t="shared" si="190"/>
        <v>12672.541982356999</v>
      </c>
      <c r="AQ332" s="6">
        <f t="shared" si="190"/>
        <v>12787.061180042001</v>
      </c>
      <c r="AR332" s="6">
        <f t="shared" si="190"/>
        <v>12900.478911484</v>
      </c>
      <c r="AS332" s="6">
        <f t="shared" si="190"/>
        <v>13012.940482132999</v>
      </c>
      <c r="AT332" s="6">
        <f t="shared" si="190"/>
        <v>13124.561959701001</v>
      </c>
      <c r="AU332" s="6">
        <f t="shared" si="190"/>
        <v>13235.432584128999</v>
      </c>
      <c r="AV332" s="6">
        <f t="shared" si="190"/>
        <v>13345.617516085002</v>
      </c>
      <c r="AW332" s="6">
        <f t="shared" si="190"/>
        <v>13455.303015059</v>
      </c>
      <c r="AX332" s="6">
        <f t="shared" si="190"/>
        <v>13564.527895566001</v>
      </c>
      <c r="AY332" s="6">
        <f t="shared" si="190"/>
        <v>13673.298218264001</v>
      </c>
      <c r="AZ332" s="6">
        <f t="shared" si="190"/>
        <v>13781.600368412001</v>
      </c>
      <c r="BA332" s="6">
        <f t="shared" si="190"/>
        <v>13889.40816173</v>
      </c>
      <c r="BB332" s="6">
        <f t="shared" si="190"/>
        <v>13996.721380875</v>
      </c>
      <c r="BC332" s="6">
        <f t="shared" si="190"/>
        <v>14103.511046844998</v>
      </c>
      <c r="BD332" s="6">
        <f t="shared" ref="BD332:BF332" si="191">BD309+BD323+BD316</f>
        <v>14209.733439008001</v>
      </c>
      <c r="BE332" s="6">
        <f t="shared" si="191"/>
        <v>14315.338221448999</v>
      </c>
      <c r="BF332" s="6">
        <f t="shared" si="191"/>
        <v>14420.271539324</v>
      </c>
    </row>
    <row r="333" spans="1:58" x14ac:dyDescent="0.35">
      <c r="B333" t="s">
        <v>98</v>
      </c>
      <c r="C333" s="6">
        <f t="shared" ref="C333:AL333" si="192">C310+C324+C317</f>
        <v>6787.4105911386005</v>
      </c>
      <c r="D333" s="6">
        <f t="shared" si="192"/>
        <v>6653.3136842763997</v>
      </c>
      <c r="E333" s="6">
        <f t="shared" si="192"/>
        <v>6559.7668027844002</v>
      </c>
      <c r="F333" s="6">
        <f t="shared" si="192"/>
        <v>6496.5525343837999</v>
      </c>
      <c r="G333" s="6">
        <f t="shared" si="192"/>
        <v>6456.5395055684012</v>
      </c>
      <c r="H333" s="6">
        <f t="shared" si="192"/>
        <v>6434.9428910798997</v>
      </c>
      <c r="I333" s="6">
        <f t="shared" si="192"/>
        <v>6427.7700211245992</v>
      </c>
      <c r="J333" s="6">
        <f t="shared" si="192"/>
        <v>6432.7248757813004</v>
      </c>
      <c r="K333" s="6">
        <f t="shared" si="192"/>
        <v>6448.0666183869998</v>
      </c>
      <c r="L333" s="6">
        <f t="shared" si="192"/>
        <v>6472.3855469765995</v>
      </c>
      <c r="M333" s="6">
        <f t="shared" si="192"/>
        <v>6505.7911547037002</v>
      </c>
      <c r="N333" s="6">
        <f t="shared" si="192"/>
        <v>6545.8037004041998</v>
      </c>
      <c r="O333" s="6">
        <f t="shared" si="192"/>
        <v>6591.4382446920999</v>
      </c>
      <c r="P333" s="6">
        <f t="shared" si="192"/>
        <v>6641.8005482982007</v>
      </c>
      <c r="Q333" s="6">
        <f t="shared" si="192"/>
        <v>6696.0977113556</v>
      </c>
      <c r="R333" s="6">
        <f t="shared" si="192"/>
        <v>6753.6313536842999</v>
      </c>
      <c r="S333" s="6">
        <f t="shared" si="192"/>
        <v>6813.7474935266</v>
      </c>
      <c r="T333" s="6">
        <f t="shared" si="192"/>
        <v>6875.8850000481998</v>
      </c>
      <c r="U333" s="6">
        <f t="shared" si="192"/>
        <v>6939.5516545609999</v>
      </c>
      <c r="V333" s="6">
        <f t="shared" si="192"/>
        <v>7004.3101745186996</v>
      </c>
      <c r="W333" s="6">
        <f t="shared" si="192"/>
        <v>7068.7998841557992</v>
      </c>
      <c r="X333" s="6">
        <f t="shared" si="192"/>
        <v>7133.7192063292005</v>
      </c>
      <c r="Y333" s="6">
        <f t="shared" si="192"/>
        <v>7198.7770966413</v>
      </c>
      <c r="Z333" s="6">
        <f t="shared" si="192"/>
        <v>7263.7291616990005</v>
      </c>
      <c r="AA333" s="6">
        <f t="shared" si="192"/>
        <v>7328.3558120020998</v>
      </c>
      <c r="AB333" s="6">
        <f t="shared" si="192"/>
        <v>7389.7164779213999</v>
      </c>
      <c r="AC333" s="6">
        <f t="shared" si="192"/>
        <v>7449.3215480006993</v>
      </c>
      <c r="AD333" s="6">
        <f t="shared" si="192"/>
        <v>7507.1615737621996</v>
      </c>
      <c r="AE333" s="6">
        <f t="shared" si="192"/>
        <v>7563.2905567215994</v>
      </c>
      <c r="AF333" s="6">
        <f t="shared" si="192"/>
        <v>7617.784199532799</v>
      </c>
      <c r="AG333" s="6">
        <f t="shared" si="192"/>
        <v>7670.7182627138009</v>
      </c>
      <c r="AH333" s="6">
        <f t="shared" si="192"/>
        <v>7722.1660804829999</v>
      </c>
      <c r="AI333" s="6">
        <f t="shared" si="192"/>
        <v>7772.181934175801</v>
      </c>
      <c r="AJ333" s="6">
        <f t="shared" si="192"/>
        <v>7820.8046767523001</v>
      </c>
      <c r="AK333" s="6">
        <f t="shared" si="192"/>
        <v>7868.0616172296004</v>
      </c>
      <c r="AL333" s="6">
        <f t="shared" si="192"/>
        <v>7913.9717718650008</v>
      </c>
      <c r="AM333" s="6">
        <f t="shared" ref="AM333:BC333" si="193">AM310+AM324+AM317</f>
        <v>7958.0035522629005</v>
      </c>
      <c r="AN333" s="6">
        <f t="shared" si="193"/>
        <v>8000.2403750636995</v>
      </c>
      <c r="AO333" s="6">
        <f t="shared" si="193"/>
        <v>8040.7501449268993</v>
      </c>
      <c r="AP333" s="6">
        <f t="shared" si="193"/>
        <v>8079.6032108161999</v>
      </c>
      <c r="AQ333" s="6">
        <f t="shared" si="193"/>
        <v>8116.8698909094992</v>
      </c>
      <c r="AR333" s="6">
        <f t="shared" si="193"/>
        <v>8152.6241122109004</v>
      </c>
      <c r="AS333" s="6">
        <f t="shared" si="193"/>
        <v>8186.9209967055003</v>
      </c>
      <c r="AT333" s="6">
        <f t="shared" si="193"/>
        <v>8219.7981144507994</v>
      </c>
      <c r="AU333" s="6">
        <f t="shared" si="193"/>
        <v>8251.2772061077994</v>
      </c>
      <c r="AV333" s="6">
        <f t="shared" si="193"/>
        <v>8281.3660710880995</v>
      </c>
      <c r="AW333" s="6">
        <f t="shared" si="193"/>
        <v>8310.1434581685007</v>
      </c>
      <c r="AX333" s="6">
        <f t="shared" si="193"/>
        <v>8337.6009010947</v>
      </c>
      <c r="AY333" s="6">
        <f t="shared" si="193"/>
        <v>8363.7112258545003</v>
      </c>
      <c r="AZ333" s="6">
        <f t="shared" si="193"/>
        <v>8388.4367711467003</v>
      </c>
      <c r="BA333" s="6">
        <f t="shared" si="193"/>
        <v>8411.7338282469991</v>
      </c>
      <c r="BB333" s="6">
        <f t="shared" si="193"/>
        <v>8433.5746362243008</v>
      </c>
      <c r="BC333" s="6">
        <f t="shared" si="193"/>
        <v>8453.9160083766001</v>
      </c>
      <c r="BD333" s="6">
        <f t="shared" ref="BD333:BF333" si="194">BD310+BD324+BD317</f>
        <v>8472.7076185064998</v>
      </c>
      <c r="BE333" s="6">
        <f t="shared" si="194"/>
        <v>8489.8968202185988</v>
      </c>
      <c r="BF333" s="6">
        <f t="shared" si="194"/>
        <v>8505.4304959770998</v>
      </c>
    </row>
    <row r="334" spans="1:58" x14ac:dyDescent="0.35">
      <c r="B334" t="s">
        <v>99</v>
      </c>
      <c r="C334" s="6">
        <f t="shared" ref="C334:AL334" si="195">C311+C325+C318</f>
        <v>4165.6835237371006</v>
      </c>
      <c r="D334" s="6">
        <f t="shared" si="195"/>
        <v>4058.9470444204999</v>
      </c>
      <c r="E334" s="6">
        <f t="shared" si="195"/>
        <v>3975.5505732145998</v>
      </c>
      <c r="F334" s="6">
        <f t="shared" si="195"/>
        <v>3909.3301331226999</v>
      </c>
      <c r="G334" s="6">
        <f t="shared" si="195"/>
        <v>3855.9620015544997</v>
      </c>
      <c r="H334" s="6">
        <f t="shared" si="195"/>
        <v>3812.4951692092</v>
      </c>
      <c r="I334" s="6">
        <f t="shared" si="195"/>
        <v>3776.4913440575001</v>
      </c>
      <c r="J334" s="6">
        <f t="shared" si="195"/>
        <v>3746.4877892802001</v>
      </c>
      <c r="K334" s="6">
        <f t="shared" si="195"/>
        <v>3721.3686653072</v>
      </c>
      <c r="L334" s="6">
        <f t="shared" si="195"/>
        <v>3700.2334341412002</v>
      </c>
      <c r="M334" s="6">
        <f t="shared" si="195"/>
        <v>3682.9793185397002</v>
      </c>
      <c r="N334" s="6">
        <f t="shared" si="195"/>
        <v>3668.2189084236002</v>
      </c>
      <c r="O334" s="6">
        <f t="shared" si="195"/>
        <v>3655.3539481839998</v>
      </c>
      <c r="P334" s="6">
        <f t="shared" si="195"/>
        <v>3643.8549830925999</v>
      </c>
      <c r="Q334" s="6">
        <f t="shared" si="195"/>
        <v>3633.2627439080002</v>
      </c>
      <c r="R334" s="6">
        <f t="shared" si="195"/>
        <v>3623.1817600525997</v>
      </c>
      <c r="S334" s="6">
        <f t="shared" si="195"/>
        <v>3613.2551451607997</v>
      </c>
      <c r="T334" s="6">
        <f t="shared" si="195"/>
        <v>3603.1857014879001</v>
      </c>
      <c r="U334" s="6">
        <f t="shared" si="195"/>
        <v>3592.7222703411999</v>
      </c>
      <c r="V334" s="6">
        <f t="shared" si="195"/>
        <v>3581.6511660781998</v>
      </c>
      <c r="W334" s="6">
        <f t="shared" si="195"/>
        <v>3569.3696411721003</v>
      </c>
      <c r="X334" s="6">
        <f t="shared" si="195"/>
        <v>3556.1911827538001</v>
      </c>
      <c r="Y334" s="6">
        <f t="shared" si="195"/>
        <v>3541.9958025564997</v>
      </c>
      <c r="Z334" s="6">
        <f t="shared" si="195"/>
        <v>3526.6889225767</v>
      </c>
      <c r="AA334" s="6">
        <f t="shared" si="195"/>
        <v>3510.1917577420004</v>
      </c>
      <c r="AB334" s="6">
        <f t="shared" si="195"/>
        <v>3491.3440963099001</v>
      </c>
      <c r="AC334" s="6">
        <f t="shared" si="195"/>
        <v>3470.8126893291005</v>
      </c>
      <c r="AD334" s="6">
        <f t="shared" si="195"/>
        <v>3448.6412522211999</v>
      </c>
      <c r="AE334" s="6">
        <f t="shared" si="195"/>
        <v>3424.8956282080999</v>
      </c>
      <c r="AF334" s="6">
        <f t="shared" si="195"/>
        <v>3399.6467821924998</v>
      </c>
      <c r="AG334" s="6">
        <f t="shared" si="195"/>
        <v>3372.9628081329001</v>
      </c>
      <c r="AH334" s="6">
        <f t="shared" si="195"/>
        <v>3344.9082921592999</v>
      </c>
      <c r="AI334" s="6">
        <f t="shared" si="195"/>
        <v>3315.5386972220999</v>
      </c>
      <c r="AJ334" s="6">
        <f t="shared" si="195"/>
        <v>3284.9023524464001</v>
      </c>
      <c r="AK334" s="6">
        <f t="shared" si="195"/>
        <v>3253.0424228965999</v>
      </c>
      <c r="AL334" s="6">
        <f t="shared" si="195"/>
        <v>3219.9985592150001</v>
      </c>
      <c r="AM334" s="6">
        <f t="shared" ref="AM334:BC334" si="196">AM311+AM325+AM318</f>
        <v>3185.6307517501</v>
      </c>
      <c r="AN334" s="6">
        <f t="shared" si="196"/>
        <v>3150.0084716153997</v>
      </c>
      <c r="AO334" s="6">
        <f t="shared" si="196"/>
        <v>3113.1954346831003</v>
      </c>
      <c r="AP334" s="6">
        <f t="shared" si="196"/>
        <v>3075.2553347948997</v>
      </c>
      <c r="AQ334" s="6">
        <f t="shared" si="196"/>
        <v>3036.2510715298999</v>
      </c>
      <c r="AR334" s="6">
        <f t="shared" si="196"/>
        <v>2996.2458120714</v>
      </c>
      <c r="AS334" s="6">
        <f t="shared" si="196"/>
        <v>2955.2965455420999</v>
      </c>
      <c r="AT334" s="6">
        <f t="shared" si="196"/>
        <v>2913.4550437845996</v>
      </c>
      <c r="AU334" s="6">
        <f t="shared" si="196"/>
        <v>2870.7688963109999</v>
      </c>
      <c r="AV334" s="6">
        <f t="shared" si="196"/>
        <v>2827.2824895881004</v>
      </c>
      <c r="AW334" s="6">
        <f t="shared" si="196"/>
        <v>2783.0590606656001</v>
      </c>
      <c r="AX334" s="6">
        <f t="shared" si="196"/>
        <v>2738.1386379204</v>
      </c>
      <c r="AY334" s="6">
        <f t="shared" si="196"/>
        <v>2692.5575441960996</v>
      </c>
      <c r="AZ334" s="6">
        <f t="shared" si="196"/>
        <v>2646.3511724175996</v>
      </c>
      <c r="BA334" s="6">
        <f t="shared" si="196"/>
        <v>2599.5554386587</v>
      </c>
      <c r="BB334" s="6">
        <f t="shared" si="196"/>
        <v>2552.2117666739</v>
      </c>
      <c r="BC334" s="6">
        <f t="shared" si="196"/>
        <v>2504.3596176411997</v>
      </c>
      <c r="BD334" s="6">
        <f t="shared" ref="BD334:BF334" si="197">BD311+BD325+BD318</f>
        <v>2456.0385989409997</v>
      </c>
      <c r="BE334" s="6">
        <f t="shared" si="197"/>
        <v>2407.2896354290001</v>
      </c>
      <c r="BF334" s="6">
        <f t="shared" si="197"/>
        <v>2358.1553237734001</v>
      </c>
    </row>
    <row r="335" spans="1:58" x14ac:dyDescent="0.35">
      <c r="B335" t="s">
        <v>100</v>
      </c>
      <c r="C335" s="6">
        <f t="shared" ref="C335:AL335" si="198">C312+C326+C319</f>
        <v>2507.3524895615005</v>
      </c>
      <c r="D335" s="6">
        <f t="shared" si="198"/>
        <v>2445.4264816905002</v>
      </c>
      <c r="E335" s="6">
        <f t="shared" si="198"/>
        <v>2396.6657890013003</v>
      </c>
      <c r="F335" s="6">
        <f t="shared" si="198"/>
        <v>2357.1509269284002</v>
      </c>
      <c r="G335" s="6">
        <f t="shared" si="198"/>
        <v>2324.1607021933996</v>
      </c>
      <c r="H335" s="6">
        <f t="shared" si="198"/>
        <v>2295.8530946146002</v>
      </c>
      <c r="I335" s="6">
        <f t="shared" si="198"/>
        <v>2270.7366076869998</v>
      </c>
      <c r="J335" s="6">
        <f t="shared" si="198"/>
        <v>2247.9340009324001</v>
      </c>
      <c r="K335" s="6">
        <f t="shared" si="198"/>
        <v>2226.7974258450004</v>
      </c>
      <c r="L335" s="6">
        <f t="shared" si="198"/>
        <v>2206.8233648641999</v>
      </c>
      <c r="M335" s="6">
        <f t="shared" si="198"/>
        <v>2187.9725617064</v>
      </c>
      <c r="N335" s="6">
        <f t="shared" si="198"/>
        <v>2169.4876729247003</v>
      </c>
      <c r="O335" s="6">
        <f t="shared" si="198"/>
        <v>2151.0720391957002</v>
      </c>
      <c r="P335" s="6">
        <f t="shared" si="198"/>
        <v>2132.4761077715002</v>
      </c>
      <c r="Q335" s="6">
        <f t="shared" si="198"/>
        <v>2113.4960651391002</v>
      </c>
      <c r="R335" s="6">
        <f t="shared" si="198"/>
        <v>2093.9686560522</v>
      </c>
      <c r="S335" s="6">
        <f t="shared" si="198"/>
        <v>2073.7568069142999</v>
      </c>
      <c r="T335" s="6">
        <f t="shared" si="198"/>
        <v>2052.7598268905999</v>
      </c>
      <c r="U335" s="6">
        <f t="shared" si="198"/>
        <v>2030.9048642272001</v>
      </c>
      <c r="V335" s="6">
        <f t="shared" si="198"/>
        <v>2008.1413051482</v>
      </c>
      <c r="W335" s="6">
        <f t="shared" si="198"/>
        <v>1984.2292322757</v>
      </c>
      <c r="X335" s="6">
        <f t="shared" si="198"/>
        <v>1959.3881876857001</v>
      </c>
      <c r="Y335" s="6">
        <f t="shared" si="198"/>
        <v>1933.6191123008002</v>
      </c>
      <c r="Z335" s="6">
        <f t="shared" si="198"/>
        <v>1906.9350258363002</v>
      </c>
      <c r="AA335" s="6">
        <f t="shared" si="198"/>
        <v>1879.3562406858</v>
      </c>
      <c r="AB335" s="6">
        <f t="shared" si="198"/>
        <v>1850.4079032912</v>
      </c>
      <c r="AC335" s="6">
        <f t="shared" si="198"/>
        <v>1820.4690320539</v>
      </c>
      <c r="AD335" s="6">
        <f t="shared" si="198"/>
        <v>1789.6235886033</v>
      </c>
      <c r="AE335" s="6">
        <f t="shared" si="198"/>
        <v>1757.9614199702</v>
      </c>
      <c r="AF335" s="6">
        <f t="shared" si="198"/>
        <v>1725.5705695096001</v>
      </c>
      <c r="AG335" s="6">
        <f t="shared" si="198"/>
        <v>1692.5340932359998</v>
      </c>
      <c r="AH335" s="6">
        <f t="shared" si="198"/>
        <v>1658.9301039442</v>
      </c>
      <c r="AI335" s="6">
        <f t="shared" si="198"/>
        <v>1624.8297627474999</v>
      </c>
      <c r="AJ335" s="6">
        <f t="shared" si="198"/>
        <v>1590.2985343855</v>
      </c>
      <c r="AK335" s="6">
        <f t="shared" si="198"/>
        <v>1555.3973473248</v>
      </c>
      <c r="AL335" s="6">
        <f t="shared" si="198"/>
        <v>1520.1835612955001</v>
      </c>
      <c r="AM335" s="6">
        <f t="shared" ref="AM335:BC335" si="199">AM312+AM326+AM319</f>
        <v>1484.6442731687</v>
      </c>
      <c r="AN335" s="6">
        <f t="shared" si="199"/>
        <v>1448.8475368591</v>
      </c>
      <c r="AO335" s="6">
        <f t="shared" si="199"/>
        <v>1412.8570350225</v>
      </c>
      <c r="AP335" s="6">
        <f t="shared" si="199"/>
        <v>1376.7342632601999</v>
      </c>
      <c r="AQ335" s="6">
        <f t="shared" si="199"/>
        <v>1340.5383073952</v>
      </c>
      <c r="AR335" s="6">
        <f t="shared" si="199"/>
        <v>1304.3262463208998</v>
      </c>
      <c r="AS335" s="6">
        <f t="shared" si="199"/>
        <v>1268.1510193673998</v>
      </c>
      <c r="AT335" s="6">
        <f t="shared" si="199"/>
        <v>1232.0619579283</v>
      </c>
      <c r="AU335" s="6">
        <f t="shared" si="199"/>
        <v>1196.1053195866</v>
      </c>
      <c r="AV335" s="6">
        <f t="shared" si="199"/>
        <v>1160.324742046</v>
      </c>
      <c r="AW335" s="6">
        <f t="shared" si="199"/>
        <v>1124.7680444985999</v>
      </c>
      <c r="AX335" s="6">
        <f t="shared" si="199"/>
        <v>1089.4739680248001</v>
      </c>
      <c r="AY335" s="6">
        <f t="shared" si="199"/>
        <v>1054.4786783973</v>
      </c>
      <c r="AZ335" s="6">
        <f t="shared" si="199"/>
        <v>1019.8167512067</v>
      </c>
      <c r="BA335" s="6">
        <f t="shared" si="199"/>
        <v>985.52164063320004</v>
      </c>
      <c r="BB335" s="6">
        <f t="shared" si="199"/>
        <v>951.62697070909996</v>
      </c>
      <c r="BC335" s="6">
        <f t="shared" si="199"/>
        <v>918.16435913219993</v>
      </c>
      <c r="BD335" s="6">
        <f t="shared" ref="BD335:BF335" si="200">BD312+BD326+BD319</f>
        <v>885.16399531679997</v>
      </c>
      <c r="BE335" s="6">
        <f t="shared" si="200"/>
        <v>852.65492215029997</v>
      </c>
      <c r="BF335" s="6">
        <f t="shared" si="200"/>
        <v>820.66506596790009</v>
      </c>
    </row>
    <row r="336" spans="1:58" x14ac:dyDescent="0.35">
      <c r="B336" t="s">
        <v>101</v>
      </c>
      <c r="C336" s="6">
        <f t="shared" ref="C336:AL336" si="201">C313+C327+C320</f>
        <v>1245.466605953</v>
      </c>
      <c r="D336" s="6">
        <f t="shared" si="201"/>
        <v>1212.0086294599002</v>
      </c>
      <c r="E336" s="6">
        <f t="shared" si="201"/>
        <v>1183.6892793521999</v>
      </c>
      <c r="F336" s="6">
        <f t="shared" si="201"/>
        <v>1158.3917816378</v>
      </c>
      <c r="G336" s="6">
        <f t="shared" si="201"/>
        <v>1134.7130763866001</v>
      </c>
      <c r="H336" s="6">
        <f t="shared" si="201"/>
        <v>1111.7520351553999</v>
      </c>
      <c r="I336" s="6">
        <f t="shared" si="201"/>
        <v>1088.8479130992</v>
      </c>
      <c r="J336" s="6">
        <f t="shared" si="201"/>
        <v>1065.6683088095001</v>
      </c>
      <c r="K336" s="6">
        <f t="shared" si="201"/>
        <v>1042.0215080733001</v>
      </c>
      <c r="L336" s="6">
        <f t="shared" si="201"/>
        <v>1017.8053650227</v>
      </c>
      <c r="M336" s="6">
        <f t="shared" si="201"/>
        <v>993.1050085096</v>
      </c>
      <c r="N336" s="6">
        <f t="shared" si="201"/>
        <v>967.76027621240007</v>
      </c>
      <c r="O336" s="6">
        <f t="shared" si="201"/>
        <v>941.79266454979995</v>
      </c>
      <c r="P336" s="6">
        <f t="shared" si="201"/>
        <v>915.24700889559995</v>
      </c>
      <c r="Q336" s="6">
        <f t="shared" si="201"/>
        <v>888.18667804569998</v>
      </c>
      <c r="R336" s="6">
        <f t="shared" si="201"/>
        <v>860.68856038410001</v>
      </c>
      <c r="S336" s="6">
        <f t="shared" si="201"/>
        <v>832.83662844529999</v>
      </c>
      <c r="T336" s="6">
        <f t="shared" si="201"/>
        <v>804.72279360909999</v>
      </c>
      <c r="U336" s="6">
        <f t="shared" si="201"/>
        <v>776.44242885259996</v>
      </c>
      <c r="V336" s="6">
        <f t="shared" si="201"/>
        <v>748.09127007319989</v>
      </c>
      <c r="W336" s="6">
        <f t="shared" si="201"/>
        <v>719.7175179871</v>
      </c>
      <c r="X336" s="6">
        <f t="shared" si="201"/>
        <v>691.46785259259991</v>
      </c>
      <c r="Y336" s="6">
        <f t="shared" si="201"/>
        <v>663.42875019659994</v>
      </c>
      <c r="Z336" s="6">
        <f t="shared" si="201"/>
        <v>635.6809472269</v>
      </c>
      <c r="AA336" s="6">
        <f t="shared" si="201"/>
        <v>608.29861469839989</v>
      </c>
      <c r="AB336" s="6">
        <f t="shared" si="201"/>
        <v>581.26491074349997</v>
      </c>
      <c r="AC336" s="6">
        <f t="shared" si="201"/>
        <v>554.70941458120001</v>
      </c>
      <c r="AD336" s="6">
        <f t="shared" si="201"/>
        <v>528.69829372660001</v>
      </c>
      <c r="AE336" s="6">
        <f t="shared" si="201"/>
        <v>503.28921695640003</v>
      </c>
      <c r="AF336" s="6">
        <f t="shared" si="201"/>
        <v>478.53085074020004</v>
      </c>
      <c r="AG336" s="6">
        <f t="shared" si="201"/>
        <v>454.46326177309999</v>
      </c>
      <c r="AH336" s="6">
        <f t="shared" si="201"/>
        <v>431.11873474970002</v>
      </c>
      <c r="AI336" s="6">
        <f t="shared" si="201"/>
        <v>408.52228989680003</v>
      </c>
      <c r="AJ336" s="6">
        <f t="shared" si="201"/>
        <v>386.6925632178</v>
      </c>
      <c r="AK336" s="6">
        <f t="shared" si="201"/>
        <v>365.64258324759999</v>
      </c>
      <c r="AL336" s="6">
        <f t="shared" si="201"/>
        <v>345.38043912969999</v>
      </c>
      <c r="AM336" s="6">
        <f t="shared" ref="AM336:BC336" si="202">AM313+AM327+AM320</f>
        <v>325.90401737630003</v>
      </c>
      <c r="AN336" s="6">
        <f t="shared" si="202"/>
        <v>307.2154370856</v>
      </c>
      <c r="AO336" s="6">
        <f t="shared" si="202"/>
        <v>289.31286050650004</v>
      </c>
      <c r="AP336" s="6">
        <f t="shared" si="202"/>
        <v>272.19105141360001</v>
      </c>
      <c r="AQ336" s="6">
        <f t="shared" si="202"/>
        <v>255.84171654520003</v>
      </c>
      <c r="AR336" s="6">
        <f t="shared" si="202"/>
        <v>240.25386919229999</v>
      </c>
      <c r="AS336" s="6">
        <f t="shared" si="202"/>
        <v>225.41402396170002</v>
      </c>
      <c r="AT336" s="6">
        <f t="shared" si="202"/>
        <v>211.3065593179</v>
      </c>
      <c r="AU336" s="6">
        <f t="shared" si="202"/>
        <v>197.91404441879999</v>
      </c>
      <c r="AV336" s="6">
        <f t="shared" si="202"/>
        <v>185.21752942649999</v>
      </c>
      <c r="AW336" s="6">
        <f t="shared" si="202"/>
        <v>173.19705359689999</v>
      </c>
      <c r="AX336" s="6">
        <f t="shared" si="202"/>
        <v>161.8312777349</v>
      </c>
      <c r="AY336" s="6">
        <f t="shared" si="202"/>
        <v>151.09802357550001</v>
      </c>
      <c r="AZ336" s="6">
        <f t="shared" si="202"/>
        <v>140.97450898269997</v>
      </c>
      <c r="BA336" s="6">
        <f t="shared" si="202"/>
        <v>131.43753087120001</v>
      </c>
      <c r="BB336" s="6">
        <f t="shared" si="202"/>
        <v>122.4636443137</v>
      </c>
      <c r="BC336" s="6">
        <f t="shared" si="202"/>
        <v>114.02923262159999</v>
      </c>
      <c r="BD336" s="6">
        <f t="shared" ref="BD336:BF336" si="203">BD313+BD327+BD320</f>
        <v>106.11065539089999</v>
      </c>
      <c r="BE336" s="6">
        <f t="shared" si="203"/>
        <v>98.684374132100004</v>
      </c>
      <c r="BF336" s="6">
        <f t="shared" si="203"/>
        <v>91.727058468300001</v>
      </c>
    </row>
    <row r="337" spans="1:58" x14ac:dyDescent="0.35">
      <c r="B337" t="s">
        <v>102</v>
      </c>
      <c r="C337" s="6">
        <f t="shared" ref="C337:AL337" si="204">C314+C328+C321</f>
        <v>2242.8616504070001</v>
      </c>
      <c r="D337" s="6">
        <f t="shared" si="204"/>
        <v>2185.9188123916001</v>
      </c>
      <c r="E337" s="6">
        <f t="shared" si="204"/>
        <v>2135.8167979946002</v>
      </c>
      <c r="F337" s="6">
        <f t="shared" si="204"/>
        <v>2088.4228977889998</v>
      </c>
      <c r="G337" s="6">
        <f t="shared" si="204"/>
        <v>2041.1841666683999</v>
      </c>
      <c r="H337" s="6">
        <f t="shared" si="204"/>
        <v>1992.6249665176999</v>
      </c>
      <c r="I337" s="6">
        <f t="shared" si="204"/>
        <v>1941.830078019</v>
      </c>
      <c r="J337" s="6">
        <f t="shared" si="204"/>
        <v>1888.5371878282001</v>
      </c>
      <c r="K337" s="6">
        <f t="shared" si="204"/>
        <v>1832.7726727468</v>
      </c>
      <c r="L337" s="6">
        <f t="shared" si="204"/>
        <v>1774.7346797837999</v>
      </c>
      <c r="M337" s="6">
        <f t="shared" si="204"/>
        <v>1714.9018801362001</v>
      </c>
      <c r="N337" s="6">
        <f t="shared" si="204"/>
        <v>1653.3920989541</v>
      </c>
      <c r="O337" s="6">
        <f t="shared" si="204"/>
        <v>1590.5792830972</v>
      </c>
      <c r="P337" s="6">
        <f t="shared" si="204"/>
        <v>1526.849609029</v>
      </c>
      <c r="Q337" s="6">
        <f t="shared" si="204"/>
        <v>1462.5882909169</v>
      </c>
      <c r="R337" s="6">
        <f t="shared" si="204"/>
        <v>1398.1686997767001</v>
      </c>
      <c r="S337" s="6">
        <f t="shared" si="204"/>
        <v>1333.9422139261999</v>
      </c>
      <c r="T337" s="6">
        <f t="shared" si="204"/>
        <v>1270.2377995457998</v>
      </c>
      <c r="U337" s="6">
        <f t="shared" si="204"/>
        <v>1207.3560410770999</v>
      </c>
      <c r="V337" s="6">
        <f t="shared" si="204"/>
        <v>1145.5659331034001</v>
      </c>
      <c r="W337" s="6">
        <f t="shared" si="204"/>
        <v>1085.0605978204001</v>
      </c>
      <c r="X337" s="6">
        <f t="shared" si="204"/>
        <v>1026.0989838263999</v>
      </c>
      <c r="Y337" s="6">
        <f t="shared" si="204"/>
        <v>968.85164553779987</v>
      </c>
      <c r="Z337" s="6">
        <f t="shared" si="204"/>
        <v>913.45773264950003</v>
      </c>
      <c r="AA337" s="6">
        <f t="shared" si="204"/>
        <v>860.02695808480007</v>
      </c>
      <c r="AB337" s="6">
        <f t="shared" si="204"/>
        <v>808.57958927169989</v>
      </c>
      <c r="AC337" s="6">
        <f t="shared" si="204"/>
        <v>759.23101203570002</v>
      </c>
      <c r="AD337" s="6">
        <f t="shared" si="204"/>
        <v>712.02764288879996</v>
      </c>
      <c r="AE337" s="6">
        <f t="shared" si="204"/>
        <v>666.9930798685001</v>
      </c>
      <c r="AF337" s="6">
        <f t="shared" si="204"/>
        <v>624.13052272079995</v>
      </c>
      <c r="AG337" s="6">
        <f t="shared" si="204"/>
        <v>583.42566308100004</v>
      </c>
      <c r="AH337" s="6">
        <f t="shared" si="204"/>
        <v>544.84953869719993</v>
      </c>
      <c r="AI337" s="6">
        <f t="shared" si="204"/>
        <v>508.36093281540002</v>
      </c>
      <c r="AJ337" s="6">
        <f t="shared" si="204"/>
        <v>473.90871636829996</v>
      </c>
      <c r="AK337" s="6">
        <f t="shared" si="204"/>
        <v>441.43387104840002</v>
      </c>
      <c r="AL337" s="6">
        <f t="shared" si="204"/>
        <v>410.87122507540005</v>
      </c>
      <c r="AM337" s="6">
        <f t="shared" ref="AM337:BC337" si="205">AM314+AM328+AM321</f>
        <v>382.14853372030001</v>
      </c>
      <c r="AN337" s="6">
        <f t="shared" si="205"/>
        <v>355.19379664320002</v>
      </c>
      <c r="AO337" s="6">
        <f t="shared" si="205"/>
        <v>329.93234084929998</v>
      </c>
      <c r="AP337" s="6">
        <f t="shared" si="205"/>
        <v>306.28786984300001</v>
      </c>
      <c r="AQ337" s="6">
        <f t="shared" si="205"/>
        <v>284.18330741469998</v>
      </c>
      <c r="AR337" s="6">
        <f t="shared" si="205"/>
        <v>263.54153887140001</v>
      </c>
      <c r="AS337" s="6">
        <f t="shared" si="205"/>
        <v>244.28600243209999</v>
      </c>
      <c r="AT337" s="6">
        <f t="shared" si="205"/>
        <v>226.34124553000001</v>
      </c>
      <c r="AU337" s="6">
        <f t="shared" si="205"/>
        <v>209.63338176240001</v>
      </c>
      <c r="AV337" s="6">
        <f t="shared" si="205"/>
        <v>194.09046076460001</v>
      </c>
      <c r="AW337" s="6">
        <f t="shared" si="205"/>
        <v>179.64281259749998</v>
      </c>
      <c r="AX337" s="6">
        <f t="shared" si="205"/>
        <v>166.22314197439999</v>
      </c>
      <c r="AY337" s="6">
        <f t="shared" si="205"/>
        <v>153.76678387620001</v>
      </c>
      <c r="AZ337" s="6">
        <f t="shared" si="205"/>
        <v>142.21183595590003</v>
      </c>
      <c r="BA337" s="6">
        <f t="shared" si="205"/>
        <v>131.49923768709999</v>
      </c>
      <c r="BB337" s="6">
        <f t="shared" si="205"/>
        <v>121.5728126824</v>
      </c>
      <c r="BC337" s="6">
        <f t="shared" si="205"/>
        <v>112.37926680759999</v>
      </c>
      <c r="BD337" s="6">
        <f t="shared" ref="BD337:BF337" si="206">BD314+BD328+BD321</f>
        <v>103.868174567</v>
      </c>
      <c r="BE337" s="6">
        <f t="shared" si="206"/>
        <v>95.991941179299999</v>
      </c>
      <c r="BF337" s="6">
        <f t="shared" si="206"/>
        <v>88.705744098400004</v>
      </c>
    </row>
    <row r="339" spans="1:58" x14ac:dyDescent="0.35">
      <c r="A339" s="12" t="s">
        <v>90</v>
      </c>
      <c r="B339" s="6" t="str">
        <f>[1]Hybrid!A19</f>
        <v>auto_ca_cfut_0</v>
      </c>
      <c r="C339" s="6">
        <f>[1]Hybrid!B19</f>
        <v>7095.7005250000002</v>
      </c>
      <c r="D339" s="6">
        <f>[1]Hybrid!C19</f>
        <v>7133.2604650000003</v>
      </c>
      <c r="E339" s="6">
        <f>[1]Hybrid!D19</f>
        <v>7216.3497139999999</v>
      </c>
      <c r="F339" s="6">
        <f>[1]Hybrid!E19</f>
        <v>7331.4700999999995</v>
      </c>
      <c r="G339" s="6">
        <f>[1]Hybrid!F19</f>
        <v>7469.44031</v>
      </c>
      <c r="H339" s="6">
        <f>[1]Hybrid!G19</f>
        <v>7624.3895650000004</v>
      </c>
      <c r="I339" s="6">
        <f>[1]Hybrid!H19</f>
        <v>7791.4726110000001</v>
      </c>
      <c r="J339" s="6">
        <f>[1]Hybrid!I19</f>
        <v>7968.2573830000001</v>
      </c>
      <c r="K339" s="6">
        <f>[1]Hybrid!J19</f>
        <v>8153.0341060000001</v>
      </c>
      <c r="L339" s="6">
        <f>[1]Hybrid!K19</f>
        <v>8344.5002679999998</v>
      </c>
      <c r="M339" s="6">
        <f>[1]Hybrid!L19</f>
        <v>8543.6464510000005</v>
      </c>
      <c r="N339" s="6">
        <f>[1]Hybrid!M19</f>
        <v>8747.4155449999998</v>
      </c>
      <c r="O339" s="6">
        <f>[1]Hybrid!N19</f>
        <v>8954.9641549999997</v>
      </c>
      <c r="P339" s="6">
        <f>[1]Hybrid!O19</f>
        <v>9165.5127859999993</v>
      </c>
      <c r="Q339" s="6">
        <f>[1]Hybrid!P19</f>
        <v>9378.3799650000001</v>
      </c>
      <c r="R339" s="6">
        <f>[1]Hybrid!Q19</f>
        <v>9592.9822480000003</v>
      </c>
      <c r="S339" s="6">
        <f>[1]Hybrid!R19</f>
        <v>9808.8222700000006</v>
      </c>
      <c r="T339" s="6">
        <f>[1]Hybrid!S19</f>
        <v>10025.474620000001</v>
      </c>
      <c r="U339" s="6">
        <f>[1]Hybrid!T19</f>
        <v>10242.57403</v>
      </c>
      <c r="V339" s="6">
        <f>[1]Hybrid!U19</f>
        <v>10459.807280000001</v>
      </c>
      <c r="W339" s="6">
        <f>[1]Hybrid!V19</f>
        <v>10675.277690000001</v>
      </c>
      <c r="X339" s="6">
        <f>[1]Hybrid!W19</f>
        <v>10890.4877</v>
      </c>
      <c r="Y339" s="6">
        <f>[1]Hybrid!X19</f>
        <v>11105.291590000001</v>
      </c>
      <c r="Z339" s="6">
        <f>[1]Hybrid!Y19</f>
        <v>11319.60513</v>
      </c>
      <c r="AA339" s="6">
        <f>[1]Hybrid!Z19</f>
        <v>11533.3691</v>
      </c>
      <c r="AB339" s="6">
        <f>[1]Hybrid!AA19</f>
        <v>11741.75935</v>
      </c>
      <c r="AC339" s="6">
        <f>[1]Hybrid!AB19</f>
        <v>11947.552390000001</v>
      </c>
      <c r="AD339" s="6">
        <f>[1]Hybrid!AC19</f>
        <v>12150.94808</v>
      </c>
      <c r="AE339" s="6">
        <f>[1]Hybrid!AD19</f>
        <v>12352.264810000001</v>
      </c>
      <c r="AF339" s="6">
        <f>[1]Hybrid!AE19</f>
        <v>12551.859930000001</v>
      </c>
      <c r="AG339" s="6">
        <f>[1]Hybrid!AF19</f>
        <v>12750.08858</v>
      </c>
      <c r="AH339" s="6">
        <f>[1]Hybrid!AG19</f>
        <v>12947.28392</v>
      </c>
      <c r="AI339" s="6">
        <f>[1]Hybrid!AH19</f>
        <v>13143.750550000001</v>
      </c>
      <c r="AJ339" s="6">
        <f>[1]Hybrid!AI19</f>
        <v>13339.76518</v>
      </c>
      <c r="AK339" s="6">
        <f>[1]Hybrid!AJ19</f>
        <v>13535.580540000001</v>
      </c>
      <c r="AL339" s="6">
        <f>[1]Hybrid!AK19</f>
        <v>13731.43016</v>
      </c>
      <c r="AM339" s="6">
        <f>[1]Hybrid!AL19</f>
        <v>13926.36125</v>
      </c>
      <c r="AN339" s="6">
        <f>[1]Hybrid!AM19</f>
        <v>14120.642019999999</v>
      </c>
      <c r="AO339" s="6">
        <f>[1]Hybrid!AN19</f>
        <v>14314.55162</v>
      </c>
      <c r="AP339" s="6">
        <f>[1]Hybrid!AO19</f>
        <v>14508.39064</v>
      </c>
      <c r="AQ339" s="6">
        <f>[1]Hybrid!AP19</f>
        <v>14702.46724</v>
      </c>
      <c r="AR339" s="6">
        <f>[1]Hybrid!AQ19</f>
        <v>14897.0802</v>
      </c>
      <c r="AS339" s="6">
        <f>[1]Hybrid!AR19</f>
        <v>15092.50598</v>
      </c>
      <c r="AT339" s="6">
        <f>[1]Hybrid!AS19</f>
        <v>15288.99134</v>
      </c>
      <c r="AU339" s="6">
        <f>[1]Hybrid!AT19</f>
        <v>15486.750840000001</v>
      </c>
      <c r="AV339" s="6">
        <f>[1]Hybrid!AU19</f>
        <v>15685.96774</v>
      </c>
      <c r="AW339" s="6">
        <f>[1]Hybrid!AV19</f>
        <v>15886.90274</v>
      </c>
      <c r="AX339" s="6">
        <f>[1]Hybrid!AW19</f>
        <v>16089.67973</v>
      </c>
      <c r="AY339" s="6">
        <f>[1]Hybrid!AX19</f>
        <v>16294.399429999999</v>
      </c>
      <c r="AZ339" s="6">
        <f>[1]Hybrid!AY19</f>
        <v>16501.1417</v>
      </c>
      <c r="BA339" s="6">
        <f>[1]Hybrid!AZ19</f>
        <v>16709.969420000001</v>
      </c>
      <c r="BB339" s="6">
        <f>[1]Hybrid!BA19</f>
        <v>16920.931960000002</v>
      </c>
      <c r="BC339" s="6">
        <f>[1]Hybrid!BB19</f>
        <v>17134.067749999998</v>
      </c>
      <c r="BD339" s="6">
        <f>[1]Hybrid!BC19</f>
        <v>17349.40582</v>
      </c>
      <c r="BE339" s="6">
        <f>[1]Hybrid!BD19</f>
        <v>17566.966609999999</v>
      </c>
      <c r="BF339" s="6">
        <f>[1]Hybrid!BE19</f>
        <v>17786.762200000001</v>
      </c>
    </row>
    <row r="340" spans="1:58" x14ac:dyDescent="0.35">
      <c r="A340" t="s">
        <v>38</v>
      </c>
      <c r="B340" s="6" t="str">
        <f>[1]Hybrid!A21</f>
        <v>auto_cb_cfut_0</v>
      </c>
      <c r="C340" s="6">
        <f>[1]Hybrid!B21</f>
        <v>8251.256421</v>
      </c>
      <c r="D340" s="6">
        <f>[1]Hybrid!C21</f>
        <v>8174.7508719999996</v>
      </c>
      <c r="E340" s="6">
        <f>[1]Hybrid!D21</f>
        <v>8149.7488949999997</v>
      </c>
      <c r="F340" s="6">
        <f>[1]Hybrid!E21</f>
        <v>8162.4051019999997</v>
      </c>
      <c r="G340" s="6">
        <f>[1]Hybrid!F21</f>
        <v>8203.1296519999996</v>
      </c>
      <c r="H340" s="6">
        <f>[1]Hybrid!G21</f>
        <v>8265.5882290000009</v>
      </c>
      <c r="I340" s="6">
        <f>[1]Hybrid!H21</f>
        <v>8344.5082029999994</v>
      </c>
      <c r="J340" s="6">
        <f>[1]Hybrid!I21</f>
        <v>8436.9868829999996</v>
      </c>
      <c r="K340" s="6">
        <f>[1]Hybrid!J21</f>
        <v>8540.8688880000009</v>
      </c>
      <c r="L340" s="6">
        <f>[1]Hybrid!K21</f>
        <v>8654.4374750000006</v>
      </c>
      <c r="M340" s="6">
        <f>[1]Hybrid!L21</f>
        <v>8778.1747250000008</v>
      </c>
      <c r="N340" s="6">
        <f>[1]Hybrid!M21</f>
        <v>8908.7938840000006</v>
      </c>
      <c r="O340" s="6">
        <f>[1]Hybrid!N21</f>
        <v>9045.1314610000009</v>
      </c>
      <c r="P340" s="6">
        <f>[1]Hybrid!O21</f>
        <v>9186.118058</v>
      </c>
      <c r="Q340" s="6">
        <f>[1]Hybrid!P21</f>
        <v>9330.8067769999998</v>
      </c>
      <c r="R340" s="6">
        <f>[1]Hybrid!Q21</f>
        <v>9478.3701280000005</v>
      </c>
      <c r="S340" s="6">
        <f>[1]Hybrid!R21</f>
        <v>9628.0862390000002</v>
      </c>
      <c r="T340" s="6">
        <f>[1]Hybrid!S21</f>
        <v>9779.3233889999992</v>
      </c>
      <c r="U340" s="6">
        <f>[1]Hybrid!T21</f>
        <v>9931.5268539999997</v>
      </c>
      <c r="V340" s="6">
        <f>[1]Hybrid!U21</f>
        <v>10084.20933</v>
      </c>
      <c r="W340" s="6">
        <f>[1]Hybrid!V21</f>
        <v>10235.464040000001</v>
      </c>
      <c r="X340" s="6">
        <f>[1]Hybrid!W21</f>
        <v>10386.49638</v>
      </c>
      <c r="Y340" s="6">
        <f>[1]Hybrid!X21</f>
        <v>10537.019700000001</v>
      </c>
      <c r="Z340" s="6">
        <f>[1]Hybrid!Y21</f>
        <v>10686.81372</v>
      </c>
      <c r="AA340" s="6">
        <f>[1]Hybrid!Z21</f>
        <v>10835.69044</v>
      </c>
      <c r="AB340" s="6">
        <f>[1]Hybrid!AA21</f>
        <v>10979.22625</v>
      </c>
      <c r="AC340" s="6">
        <f>[1]Hybrid!AB21</f>
        <v>11119.81609</v>
      </c>
      <c r="AD340" s="6">
        <f>[1]Hybrid!AC21</f>
        <v>11257.55082</v>
      </c>
      <c r="AE340" s="6">
        <f>[1]Hybrid!AD21</f>
        <v>11392.627920000001</v>
      </c>
      <c r="AF340" s="6">
        <f>[1]Hybrid!AE21</f>
        <v>11525.27923</v>
      </c>
      <c r="AG340" s="6">
        <f>[1]Hybrid!AF21</f>
        <v>11655.734</v>
      </c>
      <c r="AH340" s="6">
        <f>[1]Hybrid!AG21</f>
        <v>11784.201279999999</v>
      </c>
      <c r="AI340" s="6">
        <f>[1]Hybrid!AH21</f>
        <v>11910.86393</v>
      </c>
      <c r="AJ340" s="6">
        <f>[1]Hybrid!AI21</f>
        <v>12035.87918</v>
      </c>
      <c r="AK340" s="6">
        <f>[1]Hybrid!AJ21</f>
        <v>12159.382079999999</v>
      </c>
      <c r="AL340" s="6">
        <f>[1]Hybrid!AK21</f>
        <v>12281.489519999999</v>
      </c>
      <c r="AM340" s="6">
        <f>[1]Hybrid!AL21</f>
        <v>12401.308950000001</v>
      </c>
      <c r="AN340" s="6">
        <f>[1]Hybrid!AM21</f>
        <v>12518.997300000001</v>
      </c>
      <c r="AO340" s="6">
        <f>[1]Hybrid!AN21</f>
        <v>12634.71977</v>
      </c>
      <c r="AP340" s="6">
        <f>[1]Hybrid!AO21</f>
        <v>12748.65726</v>
      </c>
      <c r="AQ340" s="6">
        <f>[1]Hybrid!AP21</f>
        <v>12860.9938</v>
      </c>
      <c r="AR340" s="6">
        <f>[1]Hybrid!AQ21</f>
        <v>12971.90201</v>
      </c>
      <c r="AS340" s="6">
        <f>[1]Hybrid!AR21</f>
        <v>13081.53234</v>
      </c>
      <c r="AT340" s="6">
        <f>[1]Hybrid!AS21</f>
        <v>13190.00721</v>
      </c>
      <c r="AU340" s="6">
        <f>[1]Hybrid!AT21</f>
        <v>13297.41936</v>
      </c>
      <c r="AV340" s="6">
        <f>[1]Hybrid!AU21</f>
        <v>13403.832920000001</v>
      </c>
      <c r="AW340" s="6">
        <f>[1]Hybrid!AV21</f>
        <v>13509.37153</v>
      </c>
      <c r="AX340" s="6">
        <f>[1]Hybrid!AW21</f>
        <v>13614.04464</v>
      </c>
      <c r="AY340" s="6">
        <f>[1]Hybrid!AX21</f>
        <v>13717.8408</v>
      </c>
      <c r="AZ340" s="6">
        <f>[1]Hybrid!AY21</f>
        <v>13820.73</v>
      </c>
      <c r="BA340" s="6">
        <f>[1]Hybrid!AZ21</f>
        <v>13922.66712</v>
      </c>
      <c r="BB340" s="6">
        <f>[1]Hybrid!BA21</f>
        <v>14023.5949</v>
      </c>
      <c r="BC340" s="6">
        <f>[1]Hybrid!BB21</f>
        <v>14123.44615</v>
      </c>
      <c r="BD340" s="6">
        <f>[1]Hybrid!BC21</f>
        <v>14222.145060000001</v>
      </c>
      <c r="BE340" s="6">
        <f>[1]Hybrid!BD21</f>
        <v>14319.60793</v>
      </c>
      <c r="BF340" s="6">
        <f>[1]Hybrid!BE21</f>
        <v>14415.743350000001</v>
      </c>
    </row>
    <row r="341" spans="1:58" x14ac:dyDescent="0.35">
      <c r="B341" s="6" t="str">
        <f>[1]Hybrid!A23</f>
        <v>auto_cc_cfut_0</v>
      </c>
      <c r="C341" s="6">
        <f>[1]Hybrid!B23</f>
        <v>6777.6024520000001</v>
      </c>
      <c r="D341" s="6">
        <f>[1]Hybrid!C23</f>
        <v>6641.2780140000004</v>
      </c>
      <c r="E341" s="6">
        <f>[1]Hybrid!D23</f>
        <v>6546.4288729999998</v>
      </c>
      <c r="F341" s="6">
        <f>[1]Hybrid!E23</f>
        <v>6482.8298690000001</v>
      </c>
      <c r="G341" s="6">
        <f>[1]Hybrid!F23</f>
        <v>6443.2821940000003</v>
      </c>
      <c r="H341" s="6">
        <f>[1]Hybrid!G23</f>
        <v>6422.8973169999999</v>
      </c>
      <c r="I341" s="6">
        <f>[1]Hybrid!H23</f>
        <v>6417.5777399999997</v>
      </c>
      <c r="J341" s="6">
        <f>[1]Hybrid!I23</f>
        <v>6424.9057730000004</v>
      </c>
      <c r="K341" s="6">
        <f>[1]Hybrid!J23</f>
        <v>6443.0205219999998</v>
      </c>
      <c r="L341" s="6">
        <f>[1]Hybrid!K23</f>
        <v>6470.3997470000004</v>
      </c>
      <c r="M341" s="6">
        <f>[1]Hybrid!L23</f>
        <v>6507.0443139999998</v>
      </c>
      <c r="N341" s="6">
        <f>[1]Hybrid!M23</f>
        <v>6550.4276460000001</v>
      </c>
      <c r="O341" s="6">
        <f>[1]Hybrid!N23</f>
        <v>6599.4938769999999</v>
      </c>
      <c r="P341" s="6">
        <f>[1]Hybrid!O23</f>
        <v>6653.2764729999999</v>
      </c>
      <c r="Q341" s="6">
        <f>[1]Hybrid!P23</f>
        <v>6710.9148260000002</v>
      </c>
      <c r="R341" s="6">
        <f>[1]Hybrid!Q23</f>
        <v>6771.6498860000002</v>
      </c>
      <c r="S341" s="6">
        <f>[1]Hybrid!R23</f>
        <v>6834.8129280000003</v>
      </c>
      <c r="T341" s="6">
        <f>[1]Hybrid!S23</f>
        <v>6899.813427</v>
      </c>
      <c r="U341" s="6">
        <f>[1]Hybrid!T23</f>
        <v>6966.1286200000004</v>
      </c>
      <c r="V341" s="6">
        <f>[1]Hybrid!U23</f>
        <v>7033.2955499999998</v>
      </c>
      <c r="W341" s="6">
        <f>[1]Hybrid!V23</f>
        <v>7099.9356449999996</v>
      </c>
      <c r="X341" s="6">
        <f>[1]Hybrid!W23</f>
        <v>7166.7278630000001</v>
      </c>
      <c r="Y341" s="6">
        <f>[1]Hybrid!X23</f>
        <v>7233.3787080000002</v>
      </c>
      <c r="Z341" s="6">
        <f>[1]Hybrid!Y23</f>
        <v>7299.6468359999999</v>
      </c>
      <c r="AA341" s="6">
        <f>[1]Hybrid!Z23</f>
        <v>7365.3200610000004</v>
      </c>
      <c r="AB341" s="6">
        <f>[1]Hybrid!AA23</f>
        <v>7427.4712310000004</v>
      </c>
      <c r="AC341" s="6">
        <f>[1]Hybrid!AB23</f>
        <v>7487.5882030000002</v>
      </c>
      <c r="AD341" s="6">
        <f>[1]Hybrid!AC23</f>
        <v>7545.6736860000001</v>
      </c>
      <c r="AE341" s="6">
        <f>[1]Hybrid!AD23</f>
        <v>7601.8009890000003</v>
      </c>
      <c r="AF341" s="6">
        <f>[1]Hybrid!AE23</f>
        <v>7656.0667869999997</v>
      </c>
      <c r="AG341" s="6">
        <f>[1]Hybrid!AF23</f>
        <v>7708.5671650000004</v>
      </c>
      <c r="AH341" s="6">
        <f>[1]Hybrid!AG23</f>
        <v>7759.3862799999997</v>
      </c>
      <c r="AI341" s="6">
        <f>[1]Hybrid!AH23</f>
        <v>7808.5925509999997</v>
      </c>
      <c r="AJ341" s="6">
        <f>[1]Hybrid!AI23</f>
        <v>7856.2389780000003</v>
      </c>
      <c r="AK341" s="6">
        <f>[1]Hybrid!AJ23</f>
        <v>7902.3653270000004</v>
      </c>
      <c r="AL341" s="6">
        <f>[1]Hybrid!AK23</f>
        <v>7947.0007340000002</v>
      </c>
      <c r="AM341" s="6">
        <f>[1]Hybrid!AL23</f>
        <v>7989.5557609999996</v>
      </c>
      <c r="AN341" s="6">
        <f>[1]Hybrid!AM23</f>
        <v>8030.0937089999998</v>
      </c>
      <c r="AO341" s="6">
        <f>[1]Hybrid!AN23</f>
        <v>8068.6838070000003</v>
      </c>
      <c r="AP341" s="6">
        <f>[1]Hybrid!AO23</f>
        <v>8105.4049919999998</v>
      </c>
      <c r="AQ341" s="6">
        <f>[1]Hybrid!AP23</f>
        <v>8140.3377490000003</v>
      </c>
      <c r="AR341" s="6">
        <f>[1]Hybrid!AQ23</f>
        <v>8173.555179</v>
      </c>
      <c r="AS341" s="6">
        <f>[1]Hybrid!AR23</f>
        <v>8205.1166379999995</v>
      </c>
      <c r="AT341" s="6">
        <f>[1]Hybrid!AS23</f>
        <v>8235.0644620000003</v>
      </c>
      <c r="AU341" s="6">
        <f>[1]Hybrid!AT23</f>
        <v>8263.4232510000002</v>
      </c>
      <c r="AV341" s="6">
        <f>[1]Hybrid!AU23</f>
        <v>8290.2008420000002</v>
      </c>
      <c r="AW341" s="6">
        <f>[1]Hybrid!AV23</f>
        <v>8315.4399680000006</v>
      </c>
      <c r="AX341" s="6">
        <f>[1]Hybrid!AW23</f>
        <v>8339.1165760000004</v>
      </c>
      <c r="AY341" s="6">
        <f>[1]Hybrid!AX23</f>
        <v>8361.1952689999998</v>
      </c>
      <c r="AZ341" s="6">
        <f>[1]Hybrid!AY23</f>
        <v>8381.6309939999992</v>
      </c>
      <c r="BA341" s="6">
        <f>[1]Hybrid!AZ23</f>
        <v>8400.3712930000002</v>
      </c>
      <c r="BB341" s="6">
        <f>[1]Hybrid!BA23</f>
        <v>8417.3582430000006</v>
      </c>
      <c r="BC341" s="6">
        <f>[1]Hybrid!BB23</f>
        <v>8432.5298519999997</v>
      </c>
      <c r="BD341" s="6">
        <f>[1]Hybrid!BC23</f>
        <v>8445.8209590000006</v>
      </c>
      <c r="BE341" s="6">
        <f>[1]Hybrid!BD23</f>
        <v>8457.1637429999992</v>
      </c>
      <c r="BF341" s="6">
        <f>[1]Hybrid!BE23</f>
        <v>8466.487975</v>
      </c>
    </row>
    <row r="342" spans="1:58" x14ac:dyDescent="0.35">
      <c r="B342" s="6" t="str">
        <f>[1]Hybrid!A25</f>
        <v>auto_cd_cfut_0</v>
      </c>
      <c r="C342" s="6">
        <f>[1]Hybrid!B25</f>
        <v>4159.6639080000004</v>
      </c>
      <c r="D342" s="6">
        <f>[1]Hybrid!C25</f>
        <v>4051.7046329999998</v>
      </c>
      <c r="E342" s="6">
        <f>[1]Hybrid!D25</f>
        <v>3967.5601839999999</v>
      </c>
      <c r="F342" s="6">
        <f>[1]Hybrid!E25</f>
        <v>3901.0376900000001</v>
      </c>
      <c r="G342" s="6">
        <f>[1]Hybrid!F25</f>
        <v>3847.756527</v>
      </c>
      <c r="H342" s="6">
        <f>[1]Hybrid!G25</f>
        <v>3804.6945770000002</v>
      </c>
      <c r="I342" s="6">
        <f>[1]Hybrid!H25</f>
        <v>3769.3471</v>
      </c>
      <c r="J342" s="6">
        <f>[1]Hybrid!I25</f>
        <v>3740.1795529999999</v>
      </c>
      <c r="K342" s="6">
        <f>[1]Hybrid!J25</f>
        <v>3716.0086759999999</v>
      </c>
      <c r="L342" s="6">
        <f>[1]Hybrid!K25</f>
        <v>3695.8736250000002</v>
      </c>
      <c r="M342" s="6">
        <f>[1]Hybrid!L25</f>
        <v>3679.6142639999998</v>
      </c>
      <c r="N342" s="6">
        <f>[1]Hybrid!M25</f>
        <v>3665.8228760000002</v>
      </c>
      <c r="O342" s="6">
        <f>[1]Hybrid!N25</f>
        <v>3653.868273</v>
      </c>
      <c r="P342" s="6">
        <f>[1]Hybrid!O25</f>
        <v>3643.1893319999999</v>
      </c>
      <c r="Q342" s="6">
        <f>[1]Hybrid!P25</f>
        <v>3633.2995070000002</v>
      </c>
      <c r="R342" s="6">
        <f>[1]Hybrid!Q25</f>
        <v>3623.7815489999998</v>
      </c>
      <c r="S342" s="6">
        <f>[1]Hybrid!R25</f>
        <v>3614.2795209999999</v>
      </c>
      <c r="T342" s="6">
        <f>[1]Hybrid!S25</f>
        <v>3604.4907720000001</v>
      </c>
      <c r="U342" s="6">
        <f>[1]Hybrid!T25</f>
        <v>3594.1589549999999</v>
      </c>
      <c r="V342" s="6">
        <f>[1]Hybrid!U25</f>
        <v>3583.0682999999999</v>
      </c>
      <c r="W342" s="6">
        <f>[1]Hybrid!V25</f>
        <v>3570.621134</v>
      </c>
      <c r="X342" s="6">
        <f>[1]Hybrid!W25</f>
        <v>3557.1298710000001</v>
      </c>
      <c r="Y342" s="6">
        <f>[1]Hybrid!X25</f>
        <v>3542.484101</v>
      </c>
      <c r="Z342" s="6">
        <f>[1]Hybrid!Y25</f>
        <v>3526.600962</v>
      </c>
      <c r="AA342" s="6">
        <f>[1]Hybrid!Z25</f>
        <v>3509.4147750000002</v>
      </c>
      <c r="AB342" s="6">
        <f>[1]Hybrid!AA25</f>
        <v>3489.789483</v>
      </c>
      <c r="AC342" s="6">
        <f>[1]Hybrid!AB25</f>
        <v>3468.386336</v>
      </c>
      <c r="AD342" s="6">
        <f>[1]Hybrid!AC25</f>
        <v>3445.262397</v>
      </c>
      <c r="AE342" s="6">
        <f>[1]Hybrid!AD25</f>
        <v>3420.4988480000002</v>
      </c>
      <c r="AF342" s="6">
        <f>[1]Hybrid!AE25</f>
        <v>3394.1816909999998</v>
      </c>
      <c r="AG342" s="6">
        <f>[1]Hybrid!AF25</f>
        <v>3366.3928110000002</v>
      </c>
      <c r="AH342" s="6">
        <f>[1]Hybrid!AG25</f>
        <v>3337.206271</v>
      </c>
      <c r="AI342" s="6">
        <f>[1]Hybrid!AH25</f>
        <v>3306.6875329999998</v>
      </c>
      <c r="AJ342" s="6">
        <f>[1]Hybrid!AI25</f>
        <v>3274.8942080000002</v>
      </c>
      <c r="AK342" s="6">
        <f>[1]Hybrid!AJ25</f>
        <v>3241.8774629999998</v>
      </c>
      <c r="AL342" s="6">
        <f>[1]Hybrid!AK25</f>
        <v>3207.6835350000001</v>
      </c>
      <c r="AM342" s="6">
        <f>[1]Hybrid!AL25</f>
        <v>3172.1591199999998</v>
      </c>
      <c r="AN342" s="6">
        <f>[1]Hybrid!AM25</f>
        <v>3135.371834</v>
      </c>
      <c r="AO342" s="6">
        <f>[1]Hybrid!AN25</f>
        <v>3097.390844</v>
      </c>
      <c r="AP342" s="6">
        <f>[1]Hybrid!AO25</f>
        <v>3058.28721</v>
      </c>
      <c r="AQ342" s="6">
        <f>[1]Hybrid!AP25</f>
        <v>3018.1310050000002</v>
      </c>
      <c r="AR342" s="6">
        <f>[1]Hybrid!AQ25</f>
        <v>2976.9887490000001</v>
      </c>
      <c r="AS342" s="6">
        <f>[1]Hybrid!AR25</f>
        <v>2934.9219459999999</v>
      </c>
      <c r="AT342" s="6">
        <f>[1]Hybrid!AS25</f>
        <v>2891.9866889999998</v>
      </c>
      <c r="AU342" s="6">
        <f>[1]Hybrid!AT25</f>
        <v>2848.2340359999998</v>
      </c>
      <c r="AV342" s="6">
        <f>[1]Hybrid!AU25</f>
        <v>2803.7108229999999</v>
      </c>
      <c r="AW342" s="6">
        <f>[1]Hybrid!AV25</f>
        <v>2758.4733769999998</v>
      </c>
      <c r="AX342" s="6">
        <f>[1]Hybrid!AW25</f>
        <v>2712.5610839999999</v>
      </c>
      <c r="AY342" s="6">
        <f>[1]Hybrid!AX25</f>
        <v>2666.011845</v>
      </c>
      <c r="AZ342" s="6">
        <f>[1]Hybrid!AY25</f>
        <v>2618.8628530000001</v>
      </c>
      <c r="BA342" s="6">
        <f>[1]Hybrid!AZ25</f>
        <v>2571.1513880000002</v>
      </c>
      <c r="BB342" s="6">
        <f>[1]Hybrid!BA25</f>
        <v>2522.9154039999999</v>
      </c>
      <c r="BC342" s="6">
        <f>[1]Hybrid!BB25</f>
        <v>2474.1939109999998</v>
      </c>
      <c r="BD342" s="6">
        <f>[1]Hybrid!BC25</f>
        <v>2425.027165</v>
      </c>
      <c r="BE342" s="6">
        <f>[1]Hybrid!BD25</f>
        <v>2375.456741</v>
      </c>
      <c r="BF342" s="6">
        <f>[1]Hybrid!BE25</f>
        <v>2325.5255080000002</v>
      </c>
    </row>
    <row r="343" spans="1:58" x14ac:dyDescent="0.35">
      <c r="B343" s="6" t="str">
        <f>[1]Hybrid!A27</f>
        <v>auto_ce_cfut_0</v>
      </c>
      <c r="C343" s="6">
        <f>[1]Hybrid!B27</f>
        <v>2503.7292430000002</v>
      </c>
      <c r="D343" s="6">
        <f>[1]Hybrid!C27</f>
        <v>2441.040888</v>
      </c>
      <c r="E343" s="6">
        <f>[1]Hybrid!D27</f>
        <v>2391.7896940000001</v>
      </c>
      <c r="F343" s="6">
        <f>[1]Hybrid!E27</f>
        <v>2352.0248499999998</v>
      </c>
      <c r="G343" s="6">
        <f>[1]Hybrid!F27</f>
        <v>2318.9797189999999</v>
      </c>
      <c r="H343" s="6">
        <f>[1]Hybrid!G27</f>
        <v>2290.7619079999999</v>
      </c>
      <c r="I343" s="6">
        <f>[1]Hybrid!H27</f>
        <v>2265.8359249999999</v>
      </c>
      <c r="J343" s="6">
        <f>[1]Hybrid!I27</f>
        <v>2243.279927</v>
      </c>
      <c r="K343" s="6">
        <f>[1]Hybrid!J27</f>
        <v>2222.4064199999998</v>
      </c>
      <c r="L343" s="6">
        <f>[1]Hybrid!K27</f>
        <v>2202.6784259999999</v>
      </c>
      <c r="M343" s="6">
        <f>[1]Hybrid!L27</f>
        <v>2184.0255929999998</v>
      </c>
      <c r="N343" s="6">
        <f>[1]Hybrid!M27</f>
        <v>2165.6837820000001</v>
      </c>
      <c r="O343" s="6">
        <f>[1]Hybrid!N27</f>
        <v>2147.3420959999999</v>
      </c>
      <c r="P343" s="6">
        <f>[1]Hybrid!O27</f>
        <v>2128.7383730000001</v>
      </c>
      <c r="Q343" s="6">
        <f>[1]Hybrid!P27</f>
        <v>2109.659529</v>
      </c>
      <c r="R343" s="6">
        <f>[1]Hybrid!Q27</f>
        <v>2089.936835</v>
      </c>
      <c r="S343" s="6">
        <f>[1]Hybrid!R27</f>
        <v>2069.4400780000001</v>
      </c>
      <c r="T343" s="6">
        <f>[1]Hybrid!S27</f>
        <v>2048.0719519999998</v>
      </c>
      <c r="U343" s="6">
        <f>[1]Hybrid!T27</f>
        <v>2025.7631490000001</v>
      </c>
      <c r="V343" s="6">
        <f>[1]Hybrid!U27</f>
        <v>2002.468235</v>
      </c>
      <c r="W343" s="6">
        <f>[1]Hybrid!V27</f>
        <v>1977.957447</v>
      </c>
      <c r="X343" s="6">
        <f>[1]Hybrid!W27</f>
        <v>1952.454209</v>
      </c>
      <c r="Y343" s="6">
        <f>[1]Hybrid!X27</f>
        <v>1925.969838</v>
      </c>
      <c r="Z343" s="6">
        <f>[1]Hybrid!Y27</f>
        <v>1898.5282529999999</v>
      </c>
      <c r="AA343" s="6">
        <f>[1]Hybrid!Z27</f>
        <v>1870.1607320000001</v>
      </c>
      <c r="AB343" s="6">
        <f>[1]Hybrid!AA27</f>
        <v>1840.4120909999999</v>
      </c>
      <c r="AC343" s="6">
        <f>[1]Hybrid!AB27</f>
        <v>1809.6596790000001</v>
      </c>
      <c r="AD343" s="6">
        <f>[1]Hybrid!AC27</f>
        <v>1777.996476</v>
      </c>
      <c r="AE343" s="6">
        <f>[1]Hybrid!AD27</f>
        <v>1745.5215889999999</v>
      </c>
      <c r="AF343" s="6">
        <f>[1]Hybrid!AE27</f>
        <v>1712.3315379999999</v>
      </c>
      <c r="AG343" s="6">
        <f>[1]Hybrid!AF27</f>
        <v>1678.516674</v>
      </c>
      <c r="AH343" s="6">
        <f>[1]Hybrid!AG27</f>
        <v>1644.160044</v>
      </c>
      <c r="AI343" s="6">
        <f>[1]Hybrid!AH27</f>
        <v>1609.3375209999999</v>
      </c>
      <c r="AJ343" s="6">
        <f>[1]Hybrid!AI27</f>
        <v>1574.1185599999999</v>
      </c>
      <c r="AK343" s="6">
        <f>[1]Hybrid!AJ27</f>
        <v>1538.5671769999999</v>
      </c>
      <c r="AL343" s="6">
        <f>[1]Hybrid!AK27</f>
        <v>1502.742927</v>
      </c>
      <c r="AM343" s="6">
        <f>[1]Hybrid!AL27</f>
        <v>1466.6283470000001</v>
      </c>
      <c r="AN343" s="6">
        <f>[1]Hybrid!AM27</f>
        <v>1430.290647</v>
      </c>
      <c r="AO343" s="6">
        <f>[1]Hybrid!AN27</f>
        <v>1393.7953970000001</v>
      </c>
      <c r="AP343" s="6">
        <f>[1]Hybrid!AO27</f>
        <v>1357.2064150000001</v>
      </c>
      <c r="AQ343" s="6">
        <f>[1]Hybrid!AP27</f>
        <v>1320.584695</v>
      </c>
      <c r="AR343" s="6">
        <f>[1]Hybrid!AQ27</f>
        <v>1283.987603</v>
      </c>
      <c r="AS343" s="6">
        <f>[1]Hybrid!AR27</f>
        <v>1247.468578</v>
      </c>
      <c r="AT343" s="6">
        <f>[1]Hybrid!AS27</f>
        <v>1211.077213</v>
      </c>
      <c r="AU343" s="6">
        <f>[1]Hybrid!AT27</f>
        <v>1174.859588</v>
      </c>
      <c r="AV343" s="6">
        <f>[1]Hybrid!AU27</f>
        <v>1138.858714</v>
      </c>
      <c r="AW343" s="6">
        <f>[1]Hybrid!AV27</f>
        <v>1103.1188420000001</v>
      </c>
      <c r="AX343" s="6">
        <f>[1]Hybrid!AW27</f>
        <v>1067.6773250000001</v>
      </c>
      <c r="AY343" s="6">
        <f>[1]Hybrid!AX27</f>
        <v>1032.5696479999999</v>
      </c>
      <c r="AZ343" s="6">
        <f>[1]Hybrid!AY27</f>
        <v>997.82971910000003</v>
      </c>
      <c r="BA343" s="6">
        <f>[1]Hybrid!AZ27</f>
        <v>963.49011519999999</v>
      </c>
      <c r="BB343" s="6">
        <f>[1]Hybrid!BA27</f>
        <v>929.58222820000003</v>
      </c>
      <c r="BC343" s="6">
        <f>[1]Hybrid!BB27</f>
        <v>896.13632670000004</v>
      </c>
      <c r="BD343" s="6">
        <f>[1]Hybrid!BC27</f>
        <v>863.18155209999998</v>
      </c>
      <c r="BE343" s="6">
        <f>[1]Hybrid!BD27</f>
        <v>830.74587359999998</v>
      </c>
      <c r="BF343" s="6">
        <f>[1]Hybrid!BE27</f>
        <v>798.85601870000005</v>
      </c>
    </row>
    <row r="344" spans="1:58" x14ac:dyDescent="0.35">
      <c r="B344" s="6" t="str">
        <f>[1]Hybrid!A29</f>
        <v>auto_cf_cfut_0</v>
      </c>
      <c r="C344" s="6">
        <f>[1]Hybrid!B29</f>
        <v>1243.6668460000001</v>
      </c>
      <c r="D344" s="6">
        <f>[1]Hybrid!C29</f>
        <v>1209.8308930000001</v>
      </c>
      <c r="E344" s="6">
        <f>[1]Hybrid!D29</f>
        <v>1181.2328480000001</v>
      </c>
      <c r="F344" s="6">
        <f>[1]Hybrid!E29</f>
        <v>1155.72228</v>
      </c>
      <c r="G344" s="6">
        <f>[1]Hybrid!F29</f>
        <v>1131.862799</v>
      </c>
      <c r="H344" s="6">
        <f>[1]Hybrid!G29</f>
        <v>1108.72516</v>
      </c>
      <c r="I344" s="6">
        <f>[1]Hybrid!H29</f>
        <v>1085.6298549999999</v>
      </c>
      <c r="J344" s="6">
        <f>[1]Hybrid!I29</f>
        <v>1062.229783</v>
      </c>
      <c r="K344" s="6">
        <f>[1]Hybrid!J29</f>
        <v>1038.3240370000001</v>
      </c>
      <c r="L344" s="6">
        <f>[1]Hybrid!K29</f>
        <v>1013.806243</v>
      </c>
      <c r="M344" s="6">
        <f>[1]Hybrid!L29</f>
        <v>988.75868639999999</v>
      </c>
      <c r="N344" s="6">
        <f>[1]Hybrid!M29</f>
        <v>963.03054429999997</v>
      </c>
      <c r="O344" s="6">
        <f>[1]Hybrid!N29</f>
        <v>936.64861359999998</v>
      </c>
      <c r="P344" s="6">
        <f>[1]Hybrid!O29</f>
        <v>909.66363349999995</v>
      </c>
      <c r="Q344" s="6">
        <f>[1]Hybrid!P29</f>
        <v>882.14587940000001</v>
      </c>
      <c r="R344" s="6">
        <f>[1]Hybrid!Q29</f>
        <v>854.17999559999998</v>
      </c>
      <c r="S344" s="6">
        <f>[1]Hybrid!R29</f>
        <v>825.86031009999999</v>
      </c>
      <c r="T344" s="6">
        <f>[1]Hybrid!S29</f>
        <v>797.2868522</v>
      </c>
      <c r="U344" s="6">
        <f>[1]Hybrid!T29</f>
        <v>768.56206310000005</v>
      </c>
      <c r="V344" s="6">
        <f>[1]Hybrid!U29</f>
        <v>739.78813660000003</v>
      </c>
      <c r="W344" s="6">
        <f>[1]Hybrid!V29</f>
        <v>711.02090810000004</v>
      </c>
      <c r="X344" s="6">
        <f>[1]Hybrid!W29</f>
        <v>682.40982120000001</v>
      </c>
      <c r="Y344" s="6">
        <f>[1]Hybrid!X29</f>
        <v>654.04578249999997</v>
      </c>
      <c r="Z344" s="6">
        <f>[1]Hybrid!Y29</f>
        <v>626.01299319999998</v>
      </c>
      <c r="AA344" s="6">
        <f>[1]Hybrid!Z29</f>
        <v>598.38808519999998</v>
      </c>
      <c r="AB344" s="6">
        <f>[1]Hybrid!AA29</f>
        <v>571.15965719999997</v>
      </c>
      <c r="AC344" s="6">
        <f>[1]Hybrid!AB29</f>
        <v>544.45386229999997</v>
      </c>
      <c r="AD344" s="6">
        <f>[1]Hybrid!AC29</f>
        <v>518.33632480000006</v>
      </c>
      <c r="AE344" s="6">
        <f>[1]Hybrid!AD29</f>
        <v>492.86369810000002</v>
      </c>
      <c r="AF344" s="6">
        <f>[1]Hybrid!AE29</f>
        <v>468.08309459999998</v>
      </c>
      <c r="AG344" s="6">
        <f>[1]Hybrid!AF29</f>
        <v>444.03253339999998</v>
      </c>
      <c r="AH344" s="6">
        <f>[1]Hybrid!AG29</f>
        <v>420.74173430000002</v>
      </c>
      <c r="AI344" s="6">
        <f>[1]Hybrid!AH29</f>
        <v>398.2330078</v>
      </c>
      <c r="AJ344" s="6">
        <f>[1]Hybrid!AI29</f>
        <v>376.52213519999998</v>
      </c>
      <c r="AK344" s="6">
        <f>[1]Hybrid!AJ29</f>
        <v>355.61918359999999</v>
      </c>
      <c r="AL344" s="6">
        <f>[1]Hybrid!AK29</f>
        <v>335.52923440000001</v>
      </c>
      <c r="AM344" s="6">
        <f>[1]Hybrid!AL29</f>
        <v>316.24697359999999</v>
      </c>
      <c r="AN344" s="6">
        <f>[1]Hybrid!AM29</f>
        <v>297.77156869999999</v>
      </c>
      <c r="AO344" s="6">
        <f>[1]Hybrid!AN29</f>
        <v>280.09861569999998</v>
      </c>
      <c r="AP344" s="6">
        <f>[1]Hybrid!AO29</f>
        <v>263.22044469999997</v>
      </c>
      <c r="AQ344" s="6">
        <f>[1]Hybrid!AP29</f>
        <v>247.12639519999999</v>
      </c>
      <c r="AR344" s="6">
        <f>[1]Hybrid!AQ29</f>
        <v>231.8031331</v>
      </c>
      <c r="AS344" s="6">
        <f>[1]Hybrid!AR29</f>
        <v>217.23499330000001</v>
      </c>
      <c r="AT344" s="6">
        <f>[1]Hybrid!AS29</f>
        <v>203.4043207</v>
      </c>
      <c r="AU344" s="6">
        <f>[1]Hybrid!AT29</f>
        <v>190.29179310000001</v>
      </c>
      <c r="AV344" s="6">
        <f>[1]Hybrid!AU29</f>
        <v>177.8767172</v>
      </c>
      <c r="AW344" s="6">
        <f>[1]Hybrid!AV29</f>
        <v>166.13744270000001</v>
      </c>
      <c r="AX344" s="6">
        <f>[1]Hybrid!AW29</f>
        <v>155.0512377</v>
      </c>
      <c r="AY344" s="6">
        <f>[1]Hybrid!AX29</f>
        <v>144.59472099999999</v>
      </c>
      <c r="AZ344" s="6">
        <f>[1]Hybrid!AY29</f>
        <v>134.7440502</v>
      </c>
      <c r="BA344" s="6">
        <f>[1]Hybrid!AZ29</f>
        <v>125.4750875</v>
      </c>
      <c r="BB344" s="6">
        <f>[1]Hybrid!BA29</f>
        <v>116.76354670000001</v>
      </c>
      <c r="BC344" s="6">
        <f>[1]Hybrid!BB29</f>
        <v>108.5851236</v>
      </c>
      <c r="BD344" s="6">
        <f>[1]Hybrid!BC29</f>
        <v>100.9156138</v>
      </c>
      <c r="BE344" s="6">
        <f>[1]Hybrid!BD29</f>
        <v>93.731018559999995</v>
      </c>
      <c r="BF344" s="6">
        <f>[1]Hybrid!BE29</f>
        <v>87.007641590000006</v>
      </c>
    </row>
    <row r="345" spans="1:58" x14ac:dyDescent="0.35">
      <c r="B345" s="6" t="str">
        <f>[1]Hybrid!A31</f>
        <v>auto_cg_cfut_0</v>
      </c>
      <c r="C345" s="6">
        <f>[1]Hybrid!B31</f>
        <v>2239.620606</v>
      </c>
      <c r="D345" s="6">
        <f>[1]Hybrid!C31</f>
        <v>2181.9449340000001</v>
      </c>
      <c r="E345" s="6">
        <f>[1]Hybrid!D31</f>
        <v>2131.2497490000001</v>
      </c>
      <c r="F345" s="6">
        <f>[1]Hybrid!E31</f>
        <v>2083.3175780000001</v>
      </c>
      <c r="G345" s="6">
        <f>[1]Hybrid!F31</f>
        <v>2035.525864</v>
      </c>
      <c r="H345" s="6">
        <f>[1]Hybrid!G31</f>
        <v>1986.3526409999999</v>
      </c>
      <c r="I345" s="6">
        <f>[1]Hybrid!H31</f>
        <v>1934.8633769999999</v>
      </c>
      <c r="J345" s="6">
        <f>[1]Hybrid!I31</f>
        <v>1880.7891970000001</v>
      </c>
      <c r="K345" s="6">
        <f>[1]Hybrid!J31</f>
        <v>1824.1623549999999</v>
      </c>
      <c r="L345" s="6">
        <f>[1]Hybrid!K31</f>
        <v>1765.1959019999999</v>
      </c>
      <c r="M345" s="6">
        <f>[1]Hybrid!L31</f>
        <v>1704.3837060000001</v>
      </c>
      <c r="N345" s="6">
        <f>[1]Hybrid!M31</f>
        <v>1641.8778990000001</v>
      </c>
      <c r="O345" s="6">
        <f>[1]Hybrid!N31</f>
        <v>1578.076022</v>
      </c>
      <c r="P345" s="6">
        <f>[1]Hybrid!O31</f>
        <v>1513.3857190000001</v>
      </c>
      <c r="Q345" s="6">
        <f>[1]Hybrid!P31</f>
        <v>1448.212004</v>
      </c>
      <c r="R345" s="6">
        <f>[1]Hybrid!Q31</f>
        <v>1382.946042</v>
      </c>
      <c r="S345" s="6">
        <f>[1]Hybrid!R31</f>
        <v>1317.9566480000001</v>
      </c>
      <c r="T345" s="6">
        <f>[1]Hybrid!S31</f>
        <v>1253.584263</v>
      </c>
      <c r="U345" s="6">
        <f>[1]Hybrid!T31</f>
        <v>1190.136996</v>
      </c>
      <c r="V345" s="6">
        <f>[1]Hybrid!U31</f>
        <v>1127.888361</v>
      </c>
      <c r="W345" s="6">
        <f>[1]Hybrid!V31</f>
        <v>1067.03594</v>
      </c>
      <c r="X345" s="6">
        <f>[1]Hybrid!W31</f>
        <v>1007.834729</v>
      </c>
      <c r="Y345" s="6">
        <f>[1]Hybrid!X31</f>
        <v>950.45279140000002</v>
      </c>
      <c r="Z345" s="6">
        <f>[1]Hybrid!Y31</f>
        <v>895.02489600000001</v>
      </c>
      <c r="AA345" s="6">
        <f>[1]Hybrid!Z31</f>
        <v>841.65478859999996</v>
      </c>
      <c r="AB345" s="6">
        <f>[1]Hybrid!AA31</f>
        <v>790.36004330000003</v>
      </c>
      <c r="AC345" s="6">
        <f>[1]Hybrid!AB31</f>
        <v>741.24337720000005</v>
      </c>
      <c r="AD345" s="6">
        <f>[1]Hybrid!AC31</f>
        <v>694.34212449999995</v>
      </c>
      <c r="AE345" s="6">
        <f>[1]Hybrid!AD31</f>
        <v>649.67084220000004</v>
      </c>
      <c r="AF345" s="6">
        <f>[1]Hybrid!AE31</f>
        <v>607.22381949999999</v>
      </c>
      <c r="AG345" s="6">
        <f>[1]Hybrid!AF31</f>
        <v>566.97810030000005</v>
      </c>
      <c r="AH345" s="6">
        <f>[1]Hybrid!AG31</f>
        <v>528.89641549999999</v>
      </c>
      <c r="AI345" s="6">
        <f>[1]Hybrid!AH31</f>
        <v>492.92984730000001</v>
      </c>
      <c r="AJ345" s="6">
        <f>[1]Hybrid!AI31</f>
        <v>459.02018199999998</v>
      </c>
      <c r="AK345" s="6">
        <f>[1]Hybrid!AJ31</f>
        <v>427.10195179999999</v>
      </c>
      <c r="AL345" s="6">
        <f>[1]Hybrid!AK31</f>
        <v>397.10418770000001</v>
      </c>
      <c r="AM345" s="6">
        <f>[1]Hybrid!AL31</f>
        <v>368.94952489999997</v>
      </c>
      <c r="AN345" s="6">
        <f>[1]Hybrid!AM31</f>
        <v>342.56145579999998</v>
      </c>
      <c r="AO345" s="6">
        <f>[1]Hybrid!AN31</f>
        <v>317.8615279</v>
      </c>
      <c r="AP345" s="6">
        <f>[1]Hybrid!AO31</f>
        <v>294.77022440000002</v>
      </c>
      <c r="AQ345" s="6">
        <f>[1]Hybrid!AP31</f>
        <v>273.207739</v>
      </c>
      <c r="AR345" s="6">
        <f>[1]Hybrid!AQ31</f>
        <v>253.09466750000001</v>
      </c>
      <c r="AS345" s="6">
        <f>[1]Hybrid!AR31</f>
        <v>234.35260779999999</v>
      </c>
      <c r="AT345" s="6">
        <f>[1]Hybrid!AS31</f>
        <v>216.90466549999999</v>
      </c>
      <c r="AU345" s="6">
        <f>[1]Hybrid!AT31</f>
        <v>200.6758681</v>
      </c>
      <c r="AV345" s="6">
        <f>[1]Hybrid!AU31</f>
        <v>185.59349539999999</v>
      </c>
      <c r="AW345" s="6">
        <f>[1]Hybrid!AV31</f>
        <v>171.58736709999999</v>
      </c>
      <c r="AX345" s="6">
        <f>[1]Hybrid!AW31</f>
        <v>158.5899565</v>
      </c>
      <c r="AY345" s="6">
        <f>[1]Hybrid!AX31</f>
        <v>146.5365808</v>
      </c>
      <c r="AZ345" s="6">
        <f>[1]Hybrid!AY31</f>
        <v>135.36549020000001</v>
      </c>
      <c r="BA345" s="6">
        <f>[1]Hybrid!AZ31</f>
        <v>125.0179163</v>
      </c>
      <c r="BB345" s="6">
        <f>[1]Hybrid!BA31</f>
        <v>115.4380865</v>
      </c>
      <c r="BC345" s="6">
        <f>[1]Hybrid!BB31</f>
        <v>106.5732088</v>
      </c>
      <c r="BD345" s="6">
        <f>[1]Hybrid!BC31</f>
        <v>98.373434110000005</v>
      </c>
      <c r="BE345" s="6">
        <f>[1]Hybrid!BD31</f>
        <v>90.791797799999998</v>
      </c>
      <c r="BF345" s="6">
        <f>[1]Hybrid!BE31</f>
        <v>83.784145499999994</v>
      </c>
    </row>
    <row r="346" spans="1:58" x14ac:dyDescent="0.35">
      <c r="B346" s="6" t="str">
        <f>[1]Hybrid!A33</f>
        <v>auto_ca_cele_0</v>
      </c>
      <c r="C346" s="6">
        <f>[1]Hybrid!B33</f>
        <v>9.8427898650000003</v>
      </c>
      <c r="D346" s="6">
        <f>[1]Hybrid!C33</f>
        <v>14.89886196</v>
      </c>
      <c r="E346" s="6">
        <f>[1]Hybrid!D33</f>
        <v>20.20038954</v>
      </c>
      <c r="F346" s="6">
        <f>[1]Hybrid!E33</f>
        <v>25.650971309999999</v>
      </c>
      <c r="G346" s="6">
        <f>[1]Hybrid!F33</f>
        <v>31.190821669999998</v>
      </c>
      <c r="H346" s="6">
        <f>[1]Hybrid!G33</f>
        <v>36.786967679999997</v>
      </c>
      <c r="I346" s="6">
        <f>[1]Hybrid!H33</f>
        <v>42.412115980000003</v>
      </c>
      <c r="J346" s="6">
        <f>[1]Hybrid!I33</f>
        <v>48.057659819999998</v>
      </c>
      <c r="K346" s="6">
        <f>[1]Hybrid!J33</f>
        <v>53.719021290000001</v>
      </c>
      <c r="L346" s="6">
        <f>[1]Hybrid!K33</f>
        <v>59.393277619999999</v>
      </c>
      <c r="M346" s="6">
        <f>[1]Hybrid!L33</f>
        <v>65.097637399999996</v>
      </c>
      <c r="N346" s="6">
        <f>[1]Hybrid!M33</f>
        <v>70.810180099999997</v>
      </c>
      <c r="O346" s="6">
        <f>[1]Hybrid!N33</f>
        <v>76.528036670000006</v>
      </c>
      <c r="P346" s="6">
        <f>[1]Hybrid!O33</f>
        <v>82.248112730000003</v>
      </c>
      <c r="Q346" s="6">
        <f>[1]Hybrid!P33</f>
        <v>87.96764211</v>
      </c>
      <c r="R346" s="6">
        <f>[1]Hybrid!Q33</f>
        <v>93.684386950000004</v>
      </c>
      <c r="S346" s="6">
        <f>[1]Hybrid!R33</f>
        <v>99.396698270000002</v>
      </c>
      <c r="T346" s="6">
        <f>[1]Hybrid!S33</f>
        <v>105.1035349</v>
      </c>
      <c r="U346" s="6">
        <f>[1]Hybrid!T33</f>
        <v>110.8044853</v>
      </c>
      <c r="V346" s="6">
        <f>[1]Hybrid!U33</f>
        <v>116.4998078</v>
      </c>
      <c r="W346" s="6">
        <f>[1]Hybrid!V33</f>
        <v>122.1741062</v>
      </c>
      <c r="X346" s="6">
        <f>[1]Hybrid!W33</f>
        <v>127.84581059999999</v>
      </c>
      <c r="Y346" s="6">
        <f>[1]Hybrid!X33</f>
        <v>133.5180498</v>
      </c>
      <c r="Z346" s="6">
        <f>[1]Hybrid!Y33</f>
        <v>139.19507630000001</v>
      </c>
      <c r="AA346" s="6">
        <f>[1]Hybrid!Z33</f>
        <v>144.8819388</v>
      </c>
      <c r="AB346" s="6">
        <f>[1]Hybrid!AA33</f>
        <v>150.53490819999999</v>
      </c>
      <c r="AC346" s="6">
        <f>[1]Hybrid!AB33</f>
        <v>156.18734670000001</v>
      </c>
      <c r="AD346" s="6">
        <f>[1]Hybrid!AC33</f>
        <v>161.8481788</v>
      </c>
      <c r="AE346" s="6">
        <f>[1]Hybrid!AD33</f>
        <v>167.5285615</v>
      </c>
      <c r="AF346" s="6">
        <f>[1]Hybrid!AE33</f>
        <v>173.2411141</v>
      </c>
      <c r="AG346" s="6">
        <f>[1]Hybrid!AF33</f>
        <v>178.99951849999999</v>
      </c>
      <c r="AH346" s="6">
        <f>[1]Hybrid!AG33</f>
        <v>184.81832779999999</v>
      </c>
      <c r="AI346" s="6">
        <f>[1]Hybrid!AH33</f>
        <v>190.7129066</v>
      </c>
      <c r="AJ346" s="6">
        <f>[1]Hybrid!AI33</f>
        <v>196.699454</v>
      </c>
      <c r="AK346" s="6">
        <f>[1]Hybrid!AJ33</f>
        <v>202.79507409999999</v>
      </c>
      <c r="AL346" s="6">
        <f>[1]Hybrid!AK33</f>
        <v>209.01787300000001</v>
      </c>
      <c r="AM346" s="6">
        <f>[1]Hybrid!AL33</f>
        <v>215.37342609999999</v>
      </c>
      <c r="AN346" s="6">
        <f>[1]Hybrid!AM33</f>
        <v>221.8820011</v>
      </c>
      <c r="AO346" s="6">
        <f>[1]Hybrid!AN33</f>
        <v>228.5655758</v>
      </c>
      <c r="AP346" s="6">
        <f>[1]Hybrid!AO33</f>
        <v>235.4481274</v>
      </c>
      <c r="AQ346" s="6">
        <f>[1]Hybrid!AP33</f>
        <v>242.55564409999999</v>
      </c>
      <c r="AR346" s="6">
        <f>[1]Hybrid!AQ33</f>
        <v>249.91609410000001</v>
      </c>
      <c r="AS346" s="6">
        <f>[1]Hybrid!AR33</f>
        <v>257.55943710000003</v>
      </c>
      <c r="AT346" s="6">
        <f>[1]Hybrid!AS33</f>
        <v>265.51770320000003</v>
      </c>
      <c r="AU346" s="6">
        <f>[1]Hybrid!AT33</f>
        <v>273.82513729999999</v>
      </c>
      <c r="AV346" s="6">
        <f>[1]Hybrid!AU33</f>
        <v>282.51840140000002</v>
      </c>
      <c r="AW346" s="6">
        <f>[1]Hybrid!AV33</f>
        <v>291.63834370000001</v>
      </c>
      <c r="AX346" s="6">
        <f>[1]Hybrid!AW33</f>
        <v>301.22728940000002</v>
      </c>
      <c r="AY346" s="6">
        <f>[1]Hybrid!AX33</f>
        <v>311.33078540000002</v>
      </c>
      <c r="AZ346" s="6">
        <f>[1]Hybrid!AY33</f>
        <v>321.99791850000003</v>
      </c>
      <c r="BA346" s="6">
        <f>[1]Hybrid!AZ33</f>
        <v>333.28169209999999</v>
      </c>
      <c r="BB346" s="6">
        <f>[1]Hybrid!BA33</f>
        <v>345.23943530000003</v>
      </c>
      <c r="BC346" s="6">
        <f>[1]Hybrid!BB33</f>
        <v>357.93323800000002</v>
      </c>
      <c r="BD346" s="6">
        <f>[1]Hybrid!BC33</f>
        <v>371.43040999999999</v>
      </c>
      <c r="BE346" s="6">
        <f>[1]Hybrid!BD33</f>
        <v>385.80396610000003</v>
      </c>
      <c r="BF346" s="6">
        <f>[1]Hybrid!BE33</f>
        <v>401.13314220000001</v>
      </c>
    </row>
    <row r="347" spans="1:58" x14ac:dyDescent="0.35">
      <c r="B347" s="6" t="str">
        <f>[1]Hybrid!A35</f>
        <v>auto_cb_cele_0</v>
      </c>
      <c r="C347" s="6">
        <f>[1]Hybrid!B35</f>
        <v>11.44571741</v>
      </c>
      <c r="D347" s="6">
        <f>[1]Hybrid!C35</f>
        <v>16.214745109999999</v>
      </c>
      <c r="E347" s="6">
        <f>[1]Hybrid!D35</f>
        <v>21.214150369999999</v>
      </c>
      <c r="F347" s="6">
        <f>[1]Hybrid!E35</f>
        <v>26.349649830000001</v>
      </c>
      <c r="G347" s="6">
        <f>[1]Hybrid!F35</f>
        <v>31.56277201</v>
      </c>
      <c r="H347" s="6">
        <f>[1]Hybrid!G35</f>
        <v>36.820968100000002</v>
      </c>
      <c r="I347" s="6">
        <f>[1]Hybrid!H35</f>
        <v>42.097240929999998</v>
      </c>
      <c r="J347" s="6">
        <f>[1]Hybrid!I35</f>
        <v>47.382442709999999</v>
      </c>
      <c r="K347" s="6">
        <f>[1]Hybrid!J35</f>
        <v>52.67125575</v>
      </c>
      <c r="L347" s="6">
        <f>[1]Hybrid!K35</f>
        <v>57.959921049999998</v>
      </c>
      <c r="M347" s="6">
        <f>[1]Hybrid!L35</f>
        <v>63.263633570000003</v>
      </c>
      <c r="N347" s="6">
        <f>[1]Hybrid!M35</f>
        <v>68.560614220000005</v>
      </c>
      <c r="O347" s="6">
        <f>[1]Hybrid!N35</f>
        <v>73.847109520000004</v>
      </c>
      <c r="P347" s="6">
        <f>[1]Hybrid!O35</f>
        <v>79.119186010000007</v>
      </c>
      <c r="Q347" s="6">
        <f>[1]Hybrid!P35</f>
        <v>84.373260799999997</v>
      </c>
      <c r="R347" s="6">
        <f>[1]Hybrid!Q35</f>
        <v>89.606296080000007</v>
      </c>
      <c r="S347" s="6">
        <f>[1]Hybrid!R35</f>
        <v>94.815861519999999</v>
      </c>
      <c r="T347" s="6">
        <f>[1]Hybrid!S35</f>
        <v>100.0001558</v>
      </c>
      <c r="U347" s="6">
        <f>[1]Hybrid!T35</f>
        <v>105.15802840000001</v>
      </c>
      <c r="V347" s="6">
        <f>[1]Hybrid!U35</f>
        <v>110.2890147</v>
      </c>
      <c r="W347" s="6">
        <f>[1]Hybrid!V35</f>
        <v>115.378348</v>
      </c>
      <c r="X347" s="6">
        <f>[1]Hybrid!W35</f>
        <v>120.4424703</v>
      </c>
      <c r="Y347" s="6">
        <f>[1]Hybrid!X35</f>
        <v>125.48374560000001</v>
      </c>
      <c r="Z347" s="6">
        <f>[1]Hybrid!Y35</f>
        <v>130.50558649999999</v>
      </c>
      <c r="AA347" s="6">
        <f>[1]Hybrid!Z35</f>
        <v>135.51214390000001</v>
      </c>
      <c r="AB347" s="6">
        <f>[1]Hybrid!AA35</f>
        <v>140.46346220000001</v>
      </c>
      <c r="AC347" s="6">
        <f>[1]Hybrid!AB35</f>
        <v>145.3896852</v>
      </c>
      <c r="AD347" s="6">
        <f>[1]Hybrid!AC35</f>
        <v>150.29873180000001</v>
      </c>
      <c r="AE347" s="6">
        <f>[1]Hybrid!AD35</f>
        <v>155.2004828</v>
      </c>
      <c r="AF347" s="6">
        <f>[1]Hybrid!AE35</f>
        <v>160.10605799999999</v>
      </c>
      <c r="AG347" s="6">
        <f>[1]Hybrid!AF35</f>
        <v>165.02743609999999</v>
      </c>
      <c r="AH347" s="6">
        <f>[1]Hybrid!AG35</f>
        <v>169.97726489999999</v>
      </c>
      <c r="AI347" s="6">
        <f>[1]Hybrid!AH35</f>
        <v>174.9687893</v>
      </c>
      <c r="AJ347" s="6">
        <f>[1]Hybrid!AI35</f>
        <v>180.01585259999999</v>
      </c>
      <c r="AK347" s="6">
        <f>[1]Hybrid!AJ35</f>
        <v>185.13293899999999</v>
      </c>
      <c r="AL347" s="6">
        <f>[1]Hybrid!AK35</f>
        <v>190.33523930000001</v>
      </c>
      <c r="AM347" s="6">
        <f>[1]Hybrid!AL35</f>
        <v>195.62678840000001</v>
      </c>
      <c r="AN347" s="6">
        <f>[1]Hybrid!AM35</f>
        <v>201.0243959</v>
      </c>
      <c r="AO347" s="6">
        <f>[1]Hybrid!AN35</f>
        <v>206.5461541</v>
      </c>
      <c r="AP347" s="6">
        <f>[1]Hybrid!AO35</f>
        <v>212.21164880000001</v>
      </c>
      <c r="AQ347" s="6">
        <f>[1]Hybrid!AP35</f>
        <v>218.04192750000001</v>
      </c>
      <c r="AR347" s="6">
        <f>[1]Hybrid!AQ35</f>
        <v>224.05943250000001</v>
      </c>
      <c r="AS347" s="6">
        <f>[1]Hybrid!AR35</f>
        <v>230.28796929999999</v>
      </c>
      <c r="AT347" s="6">
        <f>[1]Hybrid!AS35</f>
        <v>236.75273000000001</v>
      </c>
      <c r="AU347" s="6">
        <f>[1]Hybrid!AT35</f>
        <v>243.48036809999999</v>
      </c>
      <c r="AV347" s="6">
        <f>[1]Hybrid!AU35</f>
        <v>250.4991163</v>
      </c>
      <c r="AW347" s="6">
        <f>[1]Hybrid!AV35</f>
        <v>257.84022679999998</v>
      </c>
      <c r="AX347" s="6">
        <f>[1]Hybrid!AW35</f>
        <v>265.53558850000002</v>
      </c>
      <c r="AY347" s="6">
        <f>[1]Hybrid!AX35</f>
        <v>273.61914189999999</v>
      </c>
      <c r="AZ347" s="6">
        <f>[1]Hybrid!AY35</f>
        <v>282.12706159999999</v>
      </c>
      <c r="BA347" s="6">
        <f>[1]Hybrid!AZ35</f>
        <v>291.09797659999998</v>
      </c>
      <c r="BB347" s="6">
        <f>[1]Hybrid!BA35</f>
        <v>300.57320349999998</v>
      </c>
      <c r="BC347" s="6">
        <f>[1]Hybrid!BB35</f>
        <v>310.59698559999998</v>
      </c>
      <c r="BD347" s="6">
        <f>[1]Hybrid!BC35</f>
        <v>321.21673579999998</v>
      </c>
      <c r="BE347" s="6">
        <f>[1]Hybrid!BD35</f>
        <v>332.48328179999999</v>
      </c>
      <c r="BF347" s="6">
        <f>[1]Hybrid!BE35</f>
        <v>344.45111650000001</v>
      </c>
    </row>
    <row r="348" spans="1:58" x14ac:dyDescent="0.35">
      <c r="B348" s="6" t="str">
        <f>[1]Hybrid!A37</f>
        <v>auto_cc_cele_0</v>
      </c>
      <c r="C348" s="6">
        <f>[1]Hybrid!B37</f>
        <v>9.4015406210000005</v>
      </c>
      <c r="D348" s="6">
        <f>[1]Hybrid!C37</f>
        <v>12.63987509</v>
      </c>
      <c r="E348" s="6">
        <f>[1]Hybrid!D37</f>
        <v>16.03424343</v>
      </c>
      <c r="F348" s="6">
        <f>[1]Hybrid!E37</f>
        <v>19.518207180000001</v>
      </c>
      <c r="G348" s="6">
        <f>[1]Hybrid!F37</f>
        <v>23.050570629999999</v>
      </c>
      <c r="H348" s="6">
        <f>[1]Hybrid!G37</f>
        <v>26.608209479999999</v>
      </c>
      <c r="I348" s="6">
        <f>[1]Hybrid!H37</f>
        <v>30.17191515</v>
      </c>
      <c r="J348" s="6">
        <f>[1]Hybrid!I37</f>
        <v>33.734778220000003</v>
      </c>
      <c r="K348" s="6">
        <f>[1]Hybrid!J37</f>
        <v>37.292521190000002</v>
      </c>
      <c r="L348" s="6">
        <f>[1]Hybrid!K37</f>
        <v>40.841931649999999</v>
      </c>
      <c r="M348" s="6">
        <f>[1]Hybrid!L37</f>
        <v>44.392671749999998</v>
      </c>
      <c r="N348" s="6">
        <f>[1]Hybrid!M37</f>
        <v>47.929219840000002</v>
      </c>
      <c r="O348" s="6">
        <f>[1]Hybrid!N37</f>
        <v>51.448359629999999</v>
      </c>
      <c r="P348" s="6">
        <f>[1]Hybrid!O37</f>
        <v>54.946782300000002</v>
      </c>
      <c r="Q348" s="6">
        <f>[1]Hybrid!P37</f>
        <v>58.421452789999996</v>
      </c>
      <c r="R348" s="6">
        <f>[1]Hybrid!Q37</f>
        <v>61.869745600000002</v>
      </c>
      <c r="S348" s="6">
        <f>[1]Hybrid!R37</f>
        <v>65.289490189999995</v>
      </c>
      <c r="T348" s="6">
        <f>[1]Hybrid!S37</f>
        <v>68.678987460000002</v>
      </c>
      <c r="U348" s="6">
        <f>[1]Hybrid!T37</f>
        <v>72.037024340000002</v>
      </c>
      <c r="V348" s="6">
        <f>[1]Hybrid!U37</f>
        <v>75.36289515</v>
      </c>
      <c r="W348" s="6">
        <f>[1]Hybrid!V37</f>
        <v>78.646477840000003</v>
      </c>
      <c r="X348" s="6">
        <f>[1]Hybrid!W37</f>
        <v>81.898415240000006</v>
      </c>
      <c r="Y348" s="6">
        <f>[1]Hybrid!X37</f>
        <v>85.120013270000001</v>
      </c>
      <c r="Z348" s="6">
        <f>[1]Hybrid!Y37</f>
        <v>88.313285480000005</v>
      </c>
      <c r="AA348" s="6">
        <f>[1]Hybrid!Z37</f>
        <v>91.480740690000005</v>
      </c>
      <c r="AB348" s="6">
        <f>[1]Hybrid!AA37</f>
        <v>94.596134180000007</v>
      </c>
      <c r="AC348" s="6">
        <f>[1]Hybrid!AB37</f>
        <v>97.679175849999993</v>
      </c>
      <c r="AD348" s="6">
        <f>[1]Hybrid!AC37</f>
        <v>100.7349995</v>
      </c>
      <c r="AE348" s="6">
        <f>[1]Hybrid!AD37</f>
        <v>103.7699779</v>
      </c>
      <c r="AF348" s="6">
        <f>[1]Hybrid!AE37</f>
        <v>106.79123319999999</v>
      </c>
      <c r="AG348" s="6">
        <f>[1]Hybrid!AF37</f>
        <v>109.80637830000001</v>
      </c>
      <c r="AH348" s="6">
        <f>[1]Hybrid!AG37</f>
        <v>112.8233819</v>
      </c>
      <c r="AI348" s="6">
        <f>[1]Hybrid!AH37</f>
        <v>115.8505109</v>
      </c>
      <c r="AJ348" s="6">
        <f>[1]Hybrid!AI37</f>
        <v>118.89631850000001</v>
      </c>
      <c r="AK348" s="6">
        <f>[1]Hybrid!AJ37</f>
        <v>121.9696605</v>
      </c>
      <c r="AL348" s="6">
        <f>[1]Hybrid!AK37</f>
        <v>125.0797242</v>
      </c>
      <c r="AM348" s="6">
        <f>[1]Hybrid!AL37</f>
        <v>128.22853839999999</v>
      </c>
      <c r="AN348" s="6">
        <f>[1]Hybrid!AM37</f>
        <v>131.42612990000001</v>
      </c>
      <c r="AO348" s="6">
        <f>[1]Hybrid!AN37</f>
        <v>134.6831942</v>
      </c>
      <c r="AP348" s="6">
        <f>[1]Hybrid!AO37</f>
        <v>138.01120299999999</v>
      </c>
      <c r="AQ348" s="6">
        <f>[1]Hybrid!AP37</f>
        <v>141.42235919999999</v>
      </c>
      <c r="AR348" s="6">
        <f>[1]Hybrid!AQ37</f>
        <v>144.92953230000001</v>
      </c>
      <c r="AS348" s="6">
        <f>[1]Hybrid!AR37</f>
        <v>148.54621499999999</v>
      </c>
      <c r="AT348" s="6">
        <f>[1]Hybrid!AS37</f>
        <v>152.28651249999999</v>
      </c>
      <c r="AU348" s="6">
        <f>[1]Hybrid!AT37</f>
        <v>156.16516200000001</v>
      </c>
      <c r="AV348" s="6">
        <f>[1]Hybrid!AU37</f>
        <v>160.19757569999999</v>
      </c>
      <c r="AW348" s="6">
        <f>[1]Hybrid!AV37</f>
        <v>164.4006861</v>
      </c>
      <c r="AX348" s="6">
        <f>[1]Hybrid!AW37</f>
        <v>168.79144740000001</v>
      </c>
      <c r="AY348" s="6">
        <f>[1]Hybrid!AX37</f>
        <v>173.38766559999999</v>
      </c>
      <c r="AZ348" s="6">
        <f>[1]Hybrid!AY37</f>
        <v>178.208066</v>
      </c>
      <c r="BA348" s="6">
        <f>[1]Hybrid!AZ37</f>
        <v>183.2723775</v>
      </c>
      <c r="BB348" s="6">
        <f>[1]Hybrid!BA37</f>
        <v>188.60141849999999</v>
      </c>
      <c r="BC348" s="6">
        <f>[1]Hybrid!BB37</f>
        <v>194.21717960000001</v>
      </c>
      <c r="BD348" s="6">
        <f>[1]Hybrid!BC37</f>
        <v>200.1429014</v>
      </c>
      <c r="BE348" s="6">
        <f>[1]Hybrid!BD37</f>
        <v>206.40314599999999</v>
      </c>
      <c r="BF348" s="6">
        <f>[1]Hybrid!BE37</f>
        <v>213.0238635</v>
      </c>
    </row>
    <row r="349" spans="1:58" x14ac:dyDescent="0.35">
      <c r="B349" s="6" t="str">
        <f>[1]Hybrid!A39</f>
        <v>auto_cd_cele_0</v>
      </c>
      <c r="C349" s="6">
        <f>[1]Hybrid!B39</f>
        <v>5.770071272</v>
      </c>
      <c r="D349" s="6">
        <f>[1]Hybrid!C39</f>
        <v>7.5327415679999996</v>
      </c>
      <c r="E349" s="6">
        <f>[1]Hybrid!D39</f>
        <v>9.3668837119999999</v>
      </c>
      <c r="F349" s="6">
        <f>[1]Hybrid!E39</f>
        <v>11.23031806</v>
      </c>
      <c r="G349" s="6">
        <f>[1]Hybrid!F39</f>
        <v>13.09531011</v>
      </c>
      <c r="H349" s="6">
        <f>[1]Hybrid!G39</f>
        <v>14.944676830000001</v>
      </c>
      <c r="I349" s="6">
        <f>[1]Hybrid!H39</f>
        <v>16.764320139999999</v>
      </c>
      <c r="J349" s="6">
        <f>[1]Hybrid!I39</f>
        <v>18.547595770000001</v>
      </c>
      <c r="K349" s="6">
        <f>[1]Hybrid!J39</f>
        <v>20.290004150000001</v>
      </c>
      <c r="L349" s="6">
        <f>[1]Hybrid!K39</f>
        <v>21.98821066</v>
      </c>
      <c r="M349" s="6">
        <f>[1]Hybrid!L39</f>
        <v>23.645631219999999</v>
      </c>
      <c r="N349" s="6">
        <f>[1]Hybrid!M39</f>
        <v>25.253634030000001</v>
      </c>
      <c r="O349" s="6">
        <f>[1]Hybrid!N39</f>
        <v>26.810050319999998</v>
      </c>
      <c r="P349" s="6">
        <f>[1]Hybrid!O39</f>
        <v>28.312929700000002</v>
      </c>
      <c r="Q349" s="6">
        <f>[1]Hybrid!P39</f>
        <v>29.760654509999998</v>
      </c>
      <c r="R349" s="6">
        <f>[1]Hybrid!Q39</f>
        <v>31.15195344</v>
      </c>
      <c r="S349" s="6">
        <f>[1]Hybrid!R39</f>
        <v>32.485880479999999</v>
      </c>
      <c r="T349" s="6">
        <f>[1]Hybrid!S39</f>
        <v>33.761785439999997</v>
      </c>
      <c r="U349" s="6">
        <f>[1]Hybrid!T39</f>
        <v>34.97928666</v>
      </c>
      <c r="V349" s="6">
        <f>[1]Hybrid!U39</f>
        <v>36.138249039999998</v>
      </c>
      <c r="W349" s="6">
        <f>[1]Hybrid!V39</f>
        <v>37.234775120000002</v>
      </c>
      <c r="X349" s="6">
        <f>[1]Hybrid!W39</f>
        <v>38.273410810000001</v>
      </c>
      <c r="Y349" s="6">
        <f>[1]Hybrid!X39</f>
        <v>39.254779859999999</v>
      </c>
      <c r="Z349" s="6">
        <f>[1]Hybrid!Y39</f>
        <v>40.17971</v>
      </c>
      <c r="AA349" s="6">
        <f>[1]Hybrid!Z39</f>
        <v>41.049141659999997</v>
      </c>
      <c r="AB349" s="6">
        <f>[1]Hybrid!AA39</f>
        <v>41.853626990000002</v>
      </c>
      <c r="AC349" s="6">
        <f>[1]Hybrid!AB39</f>
        <v>42.600605850000001</v>
      </c>
      <c r="AD349" s="6">
        <f>[1]Hybrid!AC39</f>
        <v>43.291960330000002</v>
      </c>
      <c r="AE349" s="6">
        <f>[1]Hybrid!AD39</f>
        <v>43.929824179999997</v>
      </c>
      <c r="AF349" s="6">
        <f>[1]Hybrid!AE39</f>
        <v>44.516396729999997</v>
      </c>
      <c r="AG349" s="6">
        <f>[1]Hybrid!AF39</f>
        <v>45.053850679999996</v>
      </c>
      <c r="AH349" s="6">
        <f>[1]Hybrid!AG39</f>
        <v>45.54428772</v>
      </c>
      <c r="AI349" s="6">
        <f>[1]Hybrid!AH39</f>
        <v>45.989721680000002</v>
      </c>
      <c r="AJ349" s="6">
        <f>[1]Hybrid!AI39</f>
        <v>46.392076969999998</v>
      </c>
      <c r="AK349" s="6">
        <f>[1]Hybrid!AJ39</f>
        <v>46.753194919999999</v>
      </c>
      <c r="AL349" s="6">
        <f>[1]Hybrid!AK39</f>
        <v>47.074843010000002</v>
      </c>
      <c r="AM349" s="6">
        <f>[1]Hybrid!AL39</f>
        <v>47.35674135</v>
      </c>
      <c r="AN349" s="6">
        <f>[1]Hybrid!AM39</f>
        <v>47.600716300000002</v>
      </c>
      <c r="AO349" s="6">
        <f>[1]Hybrid!AN39</f>
        <v>47.808599469999997</v>
      </c>
      <c r="AP349" s="6">
        <f>[1]Hybrid!AO39</f>
        <v>47.982233430000001</v>
      </c>
      <c r="AQ349" s="6">
        <f>[1]Hybrid!AP39</f>
        <v>48.123443510000001</v>
      </c>
      <c r="AR349" s="6">
        <f>[1]Hybrid!AQ39</f>
        <v>48.234010670000004</v>
      </c>
      <c r="AS349" s="6">
        <f>[1]Hybrid!AR39</f>
        <v>48.315653759999996</v>
      </c>
      <c r="AT349" s="6">
        <f>[1]Hybrid!AS39</f>
        <v>48.370021749999999</v>
      </c>
      <c r="AU349" s="6">
        <f>[1]Hybrid!AT39</f>
        <v>48.398693469999998</v>
      </c>
      <c r="AV349" s="6">
        <f>[1]Hybrid!AU39</f>
        <v>48.40318207</v>
      </c>
      <c r="AW349" s="6">
        <f>[1]Hybrid!AV39</f>
        <v>48.385082879999999</v>
      </c>
      <c r="AX349" s="6">
        <f>[1]Hybrid!AW39</f>
        <v>48.345785220000003</v>
      </c>
      <c r="AY349" s="6">
        <f>[1]Hybrid!AX39</f>
        <v>48.286630449999997</v>
      </c>
      <c r="AZ349" s="6">
        <f>[1]Hybrid!AY39</f>
        <v>48.208918160000003</v>
      </c>
      <c r="BA349" s="6">
        <f>[1]Hybrid!AZ39</f>
        <v>48.11391339</v>
      </c>
      <c r="BB349" s="6">
        <f>[1]Hybrid!BA39</f>
        <v>48.002852269999998</v>
      </c>
      <c r="BC349" s="6">
        <f>[1]Hybrid!BB39</f>
        <v>47.876945640000002</v>
      </c>
      <c r="BD349" s="6">
        <f>[1]Hybrid!BC39</f>
        <v>47.737380850000001</v>
      </c>
      <c r="BE349" s="6">
        <f>[1]Hybrid!BD39</f>
        <v>47.585322079999997</v>
      </c>
      <c r="BF349" s="6">
        <f>[1]Hybrid!BE39</f>
        <v>47.421909460000002</v>
      </c>
    </row>
    <row r="350" spans="1:58" x14ac:dyDescent="0.35">
      <c r="B350" s="6" t="str">
        <f>[1]Hybrid!A41</f>
        <v>auto_ce_cele_0</v>
      </c>
      <c r="C350" s="6">
        <f>[1]Hybrid!B41</f>
        <v>3.4730440960000002</v>
      </c>
      <c r="D350" s="6">
        <f>[1]Hybrid!C41</f>
        <v>4.5551872319999998</v>
      </c>
      <c r="E350" s="6">
        <f>[1]Hybrid!D41</f>
        <v>5.672843114</v>
      </c>
      <c r="F350" s="6">
        <f>[1]Hybrid!E41</f>
        <v>6.7983425439999996</v>
      </c>
      <c r="G350" s="6">
        <f>[1]Hybrid!F41</f>
        <v>7.9135469269999996</v>
      </c>
      <c r="H350" s="6">
        <f>[1]Hybrid!G41</f>
        <v>9.0071339360000007</v>
      </c>
      <c r="I350" s="6">
        <f>[1]Hybrid!H41</f>
        <v>10.06999121</v>
      </c>
      <c r="J350" s="6">
        <f>[1]Hybrid!I41</f>
        <v>11.09771656</v>
      </c>
      <c r="K350" s="6">
        <f>[1]Hybrid!J41</f>
        <v>12.08738001</v>
      </c>
      <c r="L350" s="6">
        <f>[1]Hybrid!K41</f>
        <v>13.03689687</v>
      </c>
      <c r="M350" s="6">
        <f>[1]Hybrid!L41</f>
        <v>13.948119439999999</v>
      </c>
      <c r="N350" s="6">
        <f>[1]Hybrid!M41</f>
        <v>14.816169970000001</v>
      </c>
      <c r="O350" s="6">
        <f>[1]Hybrid!N41</f>
        <v>15.63997359</v>
      </c>
      <c r="P350" s="6">
        <f>[1]Hybrid!O41</f>
        <v>16.41868346</v>
      </c>
      <c r="Q350" s="6">
        <f>[1]Hybrid!P41</f>
        <v>17.151732689999999</v>
      </c>
      <c r="R350" s="6">
        <f>[1]Hybrid!Q41</f>
        <v>17.838830600000001</v>
      </c>
      <c r="S350" s="6">
        <f>[1]Hybrid!R41</f>
        <v>18.479941159999999</v>
      </c>
      <c r="T350" s="6">
        <f>[1]Hybrid!S41</f>
        <v>19.07525742</v>
      </c>
      <c r="U350" s="6">
        <f>[1]Hybrid!T41</f>
        <v>19.62517712</v>
      </c>
      <c r="V350" s="6">
        <f>[1]Hybrid!U41</f>
        <v>20.130280769999999</v>
      </c>
      <c r="W350" s="6">
        <f>[1]Hybrid!V41</f>
        <v>20.589338779999999</v>
      </c>
      <c r="X350" s="6">
        <f>[1]Hybrid!W41</f>
        <v>21.005387590000002</v>
      </c>
      <c r="Y350" s="6">
        <f>[1]Hybrid!X41</f>
        <v>21.379502120000001</v>
      </c>
      <c r="Z350" s="6">
        <f>[1]Hybrid!Y41</f>
        <v>21.712868069999999</v>
      </c>
      <c r="AA350" s="6">
        <f>[1]Hybrid!Z41</f>
        <v>22.00673218</v>
      </c>
      <c r="AB350" s="6">
        <f>[1]Hybrid!AA41</f>
        <v>22.257573319999999</v>
      </c>
      <c r="AC350" s="6">
        <f>[1]Hybrid!AB41</f>
        <v>22.46979876</v>
      </c>
      <c r="AD350" s="6">
        <f>[1]Hybrid!AC41</f>
        <v>22.645181990000001</v>
      </c>
      <c r="AE350" s="6">
        <f>[1]Hybrid!AD41</f>
        <v>22.78557434</v>
      </c>
      <c r="AF350" s="6">
        <f>[1]Hybrid!AE41</f>
        <v>22.892815379999998</v>
      </c>
      <c r="AG350" s="6">
        <f>[1]Hybrid!AF41</f>
        <v>22.9686913</v>
      </c>
      <c r="AH350" s="6">
        <f>[1]Hybrid!AG41</f>
        <v>23.014916450000001</v>
      </c>
      <c r="AI350" s="6">
        <f>[1]Hybrid!AH41</f>
        <v>23.033127579999999</v>
      </c>
      <c r="AJ350" s="6">
        <f>[1]Hybrid!AI41</f>
        <v>23.02488507</v>
      </c>
      <c r="AK350" s="6">
        <f>[1]Hybrid!AJ41</f>
        <v>22.991677500000002</v>
      </c>
      <c r="AL350" s="6">
        <f>[1]Hybrid!AK41</f>
        <v>22.93492754</v>
      </c>
      <c r="AM350" s="6">
        <f>[1]Hybrid!AL41</f>
        <v>22.855236399999999</v>
      </c>
      <c r="AN350" s="6">
        <f>[1]Hybrid!AM41</f>
        <v>22.754019230000001</v>
      </c>
      <c r="AO350" s="6">
        <f>[1]Hybrid!AN41</f>
        <v>22.63265986</v>
      </c>
      <c r="AP350" s="6">
        <f>[1]Hybrid!AO41</f>
        <v>22.49250997</v>
      </c>
      <c r="AQ350" s="6">
        <f>[1]Hybrid!AP41</f>
        <v>22.334877250000002</v>
      </c>
      <c r="AR350" s="6">
        <f>[1]Hybrid!AQ41</f>
        <v>22.161015949999999</v>
      </c>
      <c r="AS350" s="6">
        <f>[1]Hybrid!AR41</f>
        <v>21.972121770000001</v>
      </c>
      <c r="AT350" s="6">
        <f>[1]Hybrid!AS41</f>
        <v>21.769330920000002</v>
      </c>
      <c r="AU350" s="6">
        <f>[1]Hybrid!AT41</f>
        <v>21.55372169</v>
      </c>
      <c r="AV350" s="6">
        <f>[1]Hybrid!AU41</f>
        <v>21.326317719999999</v>
      </c>
      <c r="AW350" s="6">
        <f>[1]Hybrid!AV41</f>
        <v>21.088136519999999</v>
      </c>
      <c r="AX350" s="6">
        <f>[1]Hybrid!AW41</f>
        <v>20.84009665</v>
      </c>
      <c r="AY350" s="6">
        <f>[1]Hybrid!AX41</f>
        <v>20.583071839999999</v>
      </c>
      <c r="AZ350" s="6">
        <f>[1]Hybrid!AY41</f>
        <v>20.317894209999999</v>
      </c>
      <c r="BA350" s="6">
        <f>[1]Hybrid!AZ41</f>
        <v>20.045357330000002</v>
      </c>
      <c r="BB350" s="6">
        <f>[1]Hybrid!BA41</f>
        <v>19.76621866</v>
      </c>
      <c r="BC350" s="6">
        <f>[1]Hybrid!BB41</f>
        <v>19.481201120000001</v>
      </c>
      <c r="BD350" s="6">
        <f>[1]Hybrid!BC41</f>
        <v>19.190993989999999</v>
      </c>
      <c r="BE350" s="6">
        <f>[1]Hybrid!BD41</f>
        <v>18.896253460000001</v>
      </c>
      <c r="BF350" s="6">
        <f>[1]Hybrid!BE41</f>
        <v>18.597602810000001</v>
      </c>
    </row>
    <row r="351" spans="1:58" x14ac:dyDescent="0.35">
      <c r="B351" s="6" t="str">
        <f>[1]Hybrid!A43</f>
        <v>auto_cf_cele_0</v>
      </c>
      <c r="C351" s="6">
        <f>[1]Hybrid!B43</f>
        <v>1.7251505170000001</v>
      </c>
      <c r="D351" s="6">
        <f>[1]Hybrid!C43</f>
        <v>2.2377072459999998</v>
      </c>
      <c r="E351" s="6">
        <f>[1]Hybrid!D43</f>
        <v>2.7536021119999998</v>
      </c>
      <c r="F351" s="6">
        <f>[1]Hybrid!E43</f>
        <v>3.256718776</v>
      </c>
      <c r="G351" s="6">
        <f>[1]Hybrid!F43</f>
        <v>3.736734588</v>
      </c>
      <c r="H351" s="6">
        <f>[1]Hybrid!G43</f>
        <v>4.1873843380000002</v>
      </c>
      <c r="I351" s="6">
        <f>[1]Hybrid!H43</f>
        <v>4.6042304359999999</v>
      </c>
      <c r="J351" s="6">
        <f>[1]Hybrid!I43</f>
        <v>4.9855234089999998</v>
      </c>
      <c r="K351" s="6">
        <f>[1]Hybrid!J43</f>
        <v>5.3306243889999996</v>
      </c>
      <c r="L351" s="6">
        <f>[1]Hybrid!K43</f>
        <v>5.639605338</v>
      </c>
      <c r="M351" s="6">
        <f>[1]Hybrid!L43</f>
        <v>5.9141824559999998</v>
      </c>
      <c r="N351" s="6">
        <f>[1]Hybrid!M43</f>
        <v>6.1538792329999996</v>
      </c>
      <c r="O351" s="6">
        <f>[1]Hybrid!N43</f>
        <v>6.3597681320000001</v>
      </c>
      <c r="P351" s="6">
        <f>[1]Hybrid!O43</f>
        <v>6.5331194640000003</v>
      </c>
      <c r="Q351" s="6">
        <f>[1]Hybrid!P43</f>
        <v>6.6753750600000004</v>
      </c>
      <c r="R351" s="6">
        <f>[1]Hybrid!Q43</f>
        <v>6.7881104719999996</v>
      </c>
      <c r="S351" s="6">
        <f>[1]Hybrid!R43</f>
        <v>6.8729980099999999</v>
      </c>
      <c r="T351" s="6">
        <f>[1]Hybrid!S43</f>
        <v>6.9317735010000003</v>
      </c>
      <c r="U351" s="6">
        <f>[1]Hybrid!T43</f>
        <v>6.9662072779999997</v>
      </c>
      <c r="V351" s="6">
        <f>[1]Hybrid!U43</f>
        <v>6.978079331</v>
      </c>
      <c r="W351" s="6">
        <f>[1]Hybrid!V43</f>
        <v>6.9687455189999996</v>
      </c>
      <c r="X351" s="6">
        <f>[1]Hybrid!W43</f>
        <v>6.9404321600000003</v>
      </c>
      <c r="Y351" s="6">
        <f>[1]Hybrid!X43</f>
        <v>6.8948435239999997</v>
      </c>
      <c r="Z351" s="6">
        <f>[1]Hybrid!Y43</f>
        <v>6.8336235600000004</v>
      </c>
      <c r="AA351" s="6">
        <f>[1]Hybrid!Z43</f>
        <v>6.758344106</v>
      </c>
      <c r="AB351" s="6">
        <f>[1]Hybrid!AA43</f>
        <v>6.6697440820000002</v>
      </c>
      <c r="AC351" s="6">
        <f>[1]Hybrid!AB43</f>
        <v>6.5698192290000001</v>
      </c>
      <c r="AD351" s="6">
        <f>[1]Hybrid!AC43</f>
        <v>6.4600117770000001</v>
      </c>
      <c r="AE351" s="6">
        <f>[1]Hybrid!AD43</f>
        <v>6.3416713710000003</v>
      </c>
      <c r="AF351" s="6">
        <f>[1]Hybrid!AE43</f>
        <v>6.2160460779999998</v>
      </c>
      <c r="AG351" s="6">
        <f>[1]Hybrid!AF43</f>
        <v>6.0842831850000003</v>
      </c>
      <c r="AH351" s="6">
        <f>[1]Hybrid!AG43</f>
        <v>5.9474337149999998</v>
      </c>
      <c r="AI351" s="6">
        <f>[1]Hybrid!AH43</f>
        <v>5.8064583860000001</v>
      </c>
      <c r="AJ351" s="6">
        <f>[1]Hybrid!AI43</f>
        <v>5.662233992</v>
      </c>
      <c r="AK351" s="6">
        <f>[1]Hybrid!AJ43</f>
        <v>5.5155596490000001</v>
      </c>
      <c r="AL351" s="6">
        <f>[1]Hybrid!AK43</f>
        <v>5.3671626610000001</v>
      </c>
      <c r="AM351" s="6">
        <f>[1]Hybrid!AL43</f>
        <v>5.2176460699999998</v>
      </c>
      <c r="AN351" s="6">
        <f>[1]Hybrid!AM43</f>
        <v>5.0676279209999997</v>
      </c>
      <c r="AO351" s="6">
        <f>[1]Hybrid!AN43</f>
        <v>4.9176676480000001</v>
      </c>
      <c r="AP351" s="6">
        <f>[1]Hybrid!AO43</f>
        <v>4.7682687970000002</v>
      </c>
      <c r="AQ351" s="6">
        <f>[1]Hybrid!AP43</f>
        <v>4.6198815050000004</v>
      </c>
      <c r="AR351" s="6">
        <f>[1]Hybrid!AQ43</f>
        <v>4.4729054799999997</v>
      </c>
      <c r="AS351" s="6">
        <f>[1]Hybrid!AR43</f>
        <v>4.3276933199999998</v>
      </c>
      <c r="AT351" s="6">
        <f>[1]Hybrid!AS43</f>
        <v>4.1845539299999999</v>
      </c>
      <c r="AU351" s="6">
        <f>[1]Hybrid!AT43</f>
        <v>4.0437558740000004</v>
      </c>
      <c r="AV351" s="6">
        <f>[1]Hybrid!AU43</f>
        <v>3.9055305809999998</v>
      </c>
      <c r="AW351" s="6">
        <f>[1]Hybrid!AV43</f>
        <v>3.7700768010000001</v>
      </c>
      <c r="AX351" s="6">
        <f>[1]Hybrid!AW43</f>
        <v>3.6375598990000002</v>
      </c>
      <c r="AY351" s="6">
        <f>[1]Hybrid!AX43</f>
        <v>3.5081165360000002</v>
      </c>
      <c r="AZ351" s="6">
        <f>[1]Hybrid!AY43</f>
        <v>3.3818571099999999</v>
      </c>
      <c r="BA351" s="6">
        <f>[1]Hybrid!AZ43</f>
        <v>3.2588680179999998</v>
      </c>
      <c r="BB351" s="6">
        <f>[1]Hybrid!BA43</f>
        <v>3.1392137629999999</v>
      </c>
      <c r="BC351" s="6">
        <f>[1]Hybrid!BB43</f>
        <v>3.0229389179999999</v>
      </c>
      <c r="BD351" s="6">
        <f>[1]Hybrid!BC43</f>
        <v>2.910069982</v>
      </c>
      <c r="BE351" s="6">
        <f>[1]Hybrid!BD43</f>
        <v>2.8006171320000002</v>
      </c>
      <c r="BF351" s="6">
        <f>[1]Hybrid!BE43</f>
        <v>2.6945758909999999</v>
      </c>
    </row>
    <row r="352" spans="1:58" x14ac:dyDescent="0.35">
      <c r="B352" s="6" t="str">
        <f>[1]Hybrid!A45</f>
        <v>auto_cg_cele_0</v>
      </c>
      <c r="C352" s="6">
        <f>[1]Hybrid!B45</f>
        <v>3.1066862139999998</v>
      </c>
      <c r="D352" s="6">
        <f>[1]Hybrid!C45</f>
        <v>4.0597734030000003</v>
      </c>
      <c r="E352" s="6">
        <f>[1]Hybrid!D45</f>
        <v>4.9973076159999996</v>
      </c>
      <c r="F352" s="6">
        <f>[1]Hybrid!E45</f>
        <v>5.8862580309999997</v>
      </c>
      <c r="G352" s="6">
        <f>[1]Hybrid!F45</f>
        <v>6.7068007170000001</v>
      </c>
      <c r="H352" s="6">
        <f>[1]Hybrid!G45</f>
        <v>7.4481289500000001</v>
      </c>
      <c r="I352" s="6">
        <f>[1]Hybrid!H45</f>
        <v>8.1040354360000002</v>
      </c>
      <c r="J352" s="6">
        <f>[1]Hybrid!I45</f>
        <v>8.673870119</v>
      </c>
      <c r="K352" s="6">
        <f>[1]Hybrid!J45</f>
        <v>9.1594683710000009</v>
      </c>
      <c r="L352" s="6">
        <f>[1]Hybrid!K45</f>
        <v>9.5642031319999994</v>
      </c>
      <c r="M352" s="6">
        <f>[1]Hybrid!L45</f>
        <v>9.8940323630000009</v>
      </c>
      <c r="N352" s="6">
        <f>[1]Hybrid!M45</f>
        <v>10.15183167</v>
      </c>
      <c r="O352" s="6">
        <f>[1]Hybrid!N45</f>
        <v>10.342750970000001</v>
      </c>
      <c r="P352" s="6">
        <f>[1]Hybrid!O45</f>
        <v>10.47213036</v>
      </c>
      <c r="Q352" s="6">
        <f>[1]Hybrid!P45</f>
        <v>10.54538949</v>
      </c>
      <c r="R352" s="6">
        <f>[1]Hybrid!Q45</f>
        <v>10.567921269999999</v>
      </c>
      <c r="S352" s="6">
        <f>[1]Hybrid!R45</f>
        <v>10.545004090000001</v>
      </c>
      <c r="T352" s="6">
        <f>[1]Hybrid!S45</f>
        <v>10.48173261</v>
      </c>
      <c r="U352" s="6">
        <f>[1]Hybrid!T45</f>
        <v>10.382965240000001</v>
      </c>
      <c r="V352" s="6">
        <f>[1]Hybrid!U45</f>
        <v>10.25328614</v>
      </c>
      <c r="W352" s="6">
        <f>[1]Hybrid!V45</f>
        <v>10.0965981</v>
      </c>
      <c r="X352" s="6">
        <f>[1]Hybrid!W45</f>
        <v>9.917348187</v>
      </c>
      <c r="Y352" s="6">
        <f>[1]Hybrid!X45</f>
        <v>9.7191865289999999</v>
      </c>
      <c r="Z352" s="6">
        <f>[1]Hybrid!Y45</f>
        <v>9.5054359119999994</v>
      </c>
      <c r="AA352" s="6">
        <f>[1]Hybrid!Z45</f>
        <v>9.2790996430000003</v>
      </c>
      <c r="AB352" s="6">
        <f>[1]Hybrid!AA45</f>
        <v>9.0423270819999999</v>
      </c>
      <c r="AC352" s="6">
        <f>[1]Hybrid!AB45</f>
        <v>8.7980053760000008</v>
      </c>
      <c r="AD352" s="6">
        <f>[1]Hybrid!AC45</f>
        <v>8.5483687400000008</v>
      </c>
      <c r="AE352" s="6">
        <f>[1]Hybrid!AD45</f>
        <v>8.2953776680000004</v>
      </c>
      <c r="AF352" s="6">
        <f>[1]Hybrid!AE45</f>
        <v>8.0407358670000004</v>
      </c>
      <c r="AG352" s="6">
        <f>[1]Hybrid!AF45</f>
        <v>7.7859135769999996</v>
      </c>
      <c r="AH352" s="6">
        <f>[1]Hybrid!AG45</f>
        <v>7.5321715669999998</v>
      </c>
      <c r="AI352" s="6">
        <f>[1]Hybrid!AH45</f>
        <v>7.2805839499999996</v>
      </c>
      <c r="AJ352" s="6">
        <f>[1]Hybrid!AI45</f>
        <v>7.032059201</v>
      </c>
      <c r="AK352" s="6">
        <f>[1]Hybrid!AJ45</f>
        <v>6.7873592020000002</v>
      </c>
      <c r="AL352" s="6">
        <f>[1]Hybrid!AK45</f>
        <v>6.547116334</v>
      </c>
      <c r="AM352" s="6">
        <f>[1]Hybrid!AL45</f>
        <v>6.311825593</v>
      </c>
      <c r="AN352" s="6">
        <f>[1]Hybrid!AM45</f>
        <v>6.0819151930000004</v>
      </c>
      <c r="AO352" s="6">
        <f>[1]Hybrid!AN45</f>
        <v>5.8577227699999996</v>
      </c>
      <c r="AP352" s="6">
        <f>[1]Hybrid!AO45</f>
        <v>5.6395058269999998</v>
      </c>
      <c r="AQ352" s="6">
        <f>[1]Hybrid!AP45</f>
        <v>5.4274513640000004</v>
      </c>
      <c r="AR352" s="6">
        <f>[1]Hybrid!AQ45</f>
        <v>5.2216849139999999</v>
      </c>
      <c r="AS352" s="6">
        <f>[1]Hybrid!AR45</f>
        <v>5.0222788649999996</v>
      </c>
      <c r="AT352" s="6">
        <f>[1]Hybrid!AS45</f>
        <v>4.8292599980000004</v>
      </c>
      <c r="AU352" s="6">
        <f>[1]Hybrid!AT45</f>
        <v>4.6426162409999998</v>
      </c>
      <c r="AV352" s="6">
        <f>[1]Hybrid!AU45</f>
        <v>4.4623026640000001</v>
      </c>
      <c r="AW352" s="6">
        <f>[1]Hybrid!AV45</f>
        <v>4.2882470980000003</v>
      </c>
      <c r="AX352" s="6">
        <f>[1]Hybrid!AW45</f>
        <v>4.1203540399999996</v>
      </c>
      <c r="AY352" s="6">
        <f>[1]Hybrid!AX45</f>
        <v>3.9585092780000002</v>
      </c>
      <c r="AZ352" s="6">
        <f>[1]Hybrid!AY45</f>
        <v>3.8025835109999999</v>
      </c>
      <c r="BA352" s="6">
        <f>[1]Hybrid!AZ45</f>
        <v>3.6524355009999998</v>
      </c>
      <c r="BB352" s="6">
        <f>[1]Hybrid!BA45</f>
        <v>3.5079148170000001</v>
      </c>
      <c r="BC352" s="6">
        <f>[1]Hybrid!BB45</f>
        <v>3.3688642230000001</v>
      </c>
      <c r="BD352" s="6">
        <f>[1]Hybrid!BC45</f>
        <v>3.2351217299999999</v>
      </c>
      <c r="BE352" s="6">
        <f>[1]Hybrid!BD45</f>
        <v>3.10652237</v>
      </c>
      <c r="BF352" s="6">
        <f>[1]Hybrid!BE45</f>
        <v>2.9828997070000001</v>
      </c>
    </row>
    <row r="353" spans="1:58" x14ac:dyDescent="0.35">
      <c r="B353" s="6" t="str">
        <f>[1]Hybrid!A47</f>
        <v>auto_ca_cgas_0</v>
      </c>
      <c r="C353" s="6">
        <f>[1]Hybrid!B47</f>
        <v>0.42568169729999999</v>
      </c>
      <c r="D353" s="6">
        <f>[1]Hybrid!C47</f>
        <v>0.44862245649999999</v>
      </c>
      <c r="E353" s="6">
        <f>[1]Hybrid!D47</f>
        <v>0.47419994100000001</v>
      </c>
      <c r="F353" s="6">
        <f>[1]Hybrid!E47</f>
        <v>0.50141302310000002</v>
      </c>
      <c r="G353" s="6">
        <f>[1]Hybrid!F47</f>
        <v>0.52959756030000005</v>
      </c>
      <c r="H353" s="6">
        <f>[1]Hybrid!G47</f>
        <v>0.558349015</v>
      </c>
      <c r="I353" s="6">
        <f>[1]Hybrid!H47</f>
        <v>0.58733590599999996</v>
      </c>
      <c r="J353" s="6">
        <f>[1]Hybrid!I47</f>
        <v>0.6164185271</v>
      </c>
      <c r="K353" s="6">
        <f>[1]Hybrid!J47</f>
        <v>0.64551068310000004</v>
      </c>
      <c r="L353" s="6">
        <f>[1]Hybrid!K47</f>
        <v>0.67455460300000003</v>
      </c>
      <c r="M353" s="6">
        <f>[1]Hybrid!L47</f>
        <v>0.70368025540000001</v>
      </c>
      <c r="N353" s="6">
        <f>[1]Hybrid!M47</f>
        <v>0.73267591200000004</v>
      </c>
      <c r="O353" s="6">
        <f>[1]Hybrid!N47</f>
        <v>0.76150906669999996</v>
      </c>
      <c r="P353" s="6">
        <f>[1]Hybrid!O47</f>
        <v>0.79014909960000002</v>
      </c>
      <c r="Q353" s="6">
        <f>[1]Hybrid!P47</f>
        <v>0.81857044320000005</v>
      </c>
      <c r="R353" s="6">
        <f>[1]Hybrid!Q47</f>
        <v>0.84675290800000003</v>
      </c>
      <c r="S353" s="6">
        <f>[1]Hybrid!R47</f>
        <v>0.87468098360000002</v>
      </c>
      <c r="T353" s="6">
        <f>[1]Hybrid!S47</f>
        <v>0.90234292270000005</v>
      </c>
      <c r="U353" s="6">
        <f>[1]Hybrid!T47</f>
        <v>0.92972998230000004</v>
      </c>
      <c r="V353" s="6">
        <f>[1]Hybrid!U47</f>
        <v>0.9568359515</v>
      </c>
      <c r="W353" s="6">
        <f>[1]Hybrid!V47</f>
        <v>0.98351993260000004</v>
      </c>
      <c r="X353" s="6">
        <f>[1]Hybrid!W47</f>
        <v>1.0099229949999999</v>
      </c>
      <c r="Y353" s="6">
        <f>[1]Hybrid!X47</f>
        <v>1.0360487519999999</v>
      </c>
      <c r="Z353" s="6">
        <f>[1]Hybrid!Y47</f>
        <v>1.0619048019999999</v>
      </c>
      <c r="AA353" s="6">
        <f>[1]Hybrid!Z47</f>
        <v>1.0874998250000001</v>
      </c>
      <c r="AB353" s="6">
        <f>[1]Hybrid!AA47</f>
        <v>1.1124412560000001</v>
      </c>
      <c r="AC353" s="6">
        <f>[1]Hybrid!AB47</f>
        <v>1.1369680719999999</v>
      </c>
      <c r="AD353" s="6">
        <f>[1]Hybrid!AC47</f>
        <v>1.1611059969999999</v>
      </c>
      <c r="AE353" s="6">
        <f>[1]Hybrid!AD47</f>
        <v>1.1848904099999999</v>
      </c>
      <c r="AF353" s="6">
        <f>[1]Hybrid!AE47</f>
        <v>1.2083598369999999</v>
      </c>
      <c r="AG353" s="6">
        <f>[1]Hybrid!AF47</f>
        <v>1.2315525409999999</v>
      </c>
      <c r="AH353" s="6">
        <f>[1]Hybrid!AG47</f>
        <v>1.254504877</v>
      </c>
      <c r="AI353" s="6">
        <f>[1]Hybrid!AH47</f>
        <v>1.2772507</v>
      </c>
      <c r="AJ353" s="6">
        <f>[1]Hybrid!AI47</f>
        <v>1.299821398</v>
      </c>
      <c r="AK353" s="6">
        <f>[1]Hybrid!AJ47</f>
        <v>1.3222461969999999</v>
      </c>
      <c r="AL353" s="6">
        <f>[1]Hybrid!AK47</f>
        <v>1.344552529</v>
      </c>
      <c r="AM353" s="6">
        <f>[1]Hybrid!AL47</f>
        <v>1.366667978</v>
      </c>
      <c r="AN353" s="6">
        <f>[1]Hybrid!AM47</f>
        <v>1.3886210029999999</v>
      </c>
      <c r="AO353" s="6">
        <f>[1]Hybrid!AN47</f>
        <v>1.4104409529999999</v>
      </c>
      <c r="AP353" s="6">
        <f>[1]Hybrid!AO47</f>
        <v>1.4321589729999999</v>
      </c>
      <c r="AQ353" s="6">
        <f>[1]Hybrid!AP47</f>
        <v>1.453806862</v>
      </c>
      <c r="AR353" s="6">
        <f>[1]Hybrid!AQ47</f>
        <v>1.475415656</v>
      </c>
      <c r="AS353" s="6">
        <f>[1]Hybrid!AR47</f>
        <v>1.49701453</v>
      </c>
      <c r="AT353" s="6">
        <f>[1]Hybrid!AS47</f>
        <v>1.518630149</v>
      </c>
      <c r="AU353" s="6">
        <f>[1]Hybrid!AT47</f>
        <v>1.540286421</v>
      </c>
      <c r="AV353" s="6">
        <f>[1]Hybrid!AU47</f>
        <v>1.562004529</v>
      </c>
      <c r="AW353" s="6">
        <f>[1]Hybrid!AV47</f>
        <v>1.583812038</v>
      </c>
      <c r="AX353" s="6">
        <f>[1]Hybrid!AW47</f>
        <v>1.605725004</v>
      </c>
      <c r="AY353" s="6">
        <f>[1]Hybrid!AX47</f>
        <v>1.627757337</v>
      </c>
      <c r="AZ353" s="6">
        <f>[1]Hybrid!AY47</f>
        <v>1.6499209889999999</v>
      </c>
      <c r="BA353" s="6">
        <f>[1]Hybrid!AZ47</f>
        <v>1.6722262560000001</v>
      </c>
      <c r="BB353" s="6">
        <f>[1]Hybrid!BA47</f>
        <v>1.6946820709999999</v>
      </c>
      <c r="BC353" s="6">
        <f>[1]Hybrid!BB47</f>
        <v>1.7172962089999999</v>
      </c>
      <c r="BD353" s="6">
        <f>[1]Hybrid!BC47</f>
        <v>1.740075424</v>
      </c>
      <c r="BE353" s="6">
        <f>[1]Hybrid!BD47</f>
        <v>1.763025512</v>
      </c>
      <c r="BF353" s="6">
        <f>[1]Hybrid!BE47</f>
        <v>1.7861513410000001</v>
      </c>
    </row>
    <row r="354" spans="1:58" x14ac:dyDescent="0.35">
      <c r="B354" s="6" t="str">
        <f>[1]Hybrid!A49</f>
        <v>auto_cb_cgas_0</v>
      </c>
      <c r="C354" s="6">
        <f>[1]Hybrid!B49</f>
        <v>0.49500522540000003</v>
      </c>
      <c r="D354" s="6">
        <f>[1]Hybrid!C49</f>
        <v>0.51158532609999996</v>
      </c>
      <c r="E354" s="6">
        <f>[1]Hybrid!D49</f>
        <v>0.53095585720000005</v>
      </c>
      <c r="F354" s="6">
        <f>[1]Hybrid!E49</f>
        <v>0.55211597329999995</v>
      </c>
      <c r="G354" s="6">
        <f>[1]Hybrid!F49</f>
        <v>0.57439437550000005</v>
      </c>
      <c r="H354" s="6">
        <f>[1]Hybrid!G49</f>
        <v>0.59737252470000002</v>
      </c>
      <c r="I354" s="6">
        <f>[1]Hybrid!H49</f>
        <v>0.62070582080000003</v>
      </c>
      <c r="J354" s="6">
        <f>[1]Hybrid!I49</f>
        <v>0.64423583090000003</v>
      </c>
      <c r="K354" s="6">
        <f>[1]Hybrid!J49</f>
        <v>0.66785782910000002</v>
      </c>
      <c r="L354" s="6">
        <f>[1]Hybrid!K49</f>
        <v>0.69149639380000005</v>
      </c>
      <c r="M354" s="6">
        <f>[1]Hybrid!L49</f>
        <v>0.7152543187</v>
      </c>
      <c r="N354" s="6">
        <f>[1]Hybrid!M49</f>
        <v>0.73891450120000002</v>
      </c>
      <c r="O354" s="6">
        <f>[1]Hybrid!N49</f>
        <v>0.76243029699999998</v>
      </c>
      <c r="P354" s="6">
        <f>[1]Hybrid!O49</f>
        <v>0.78575827490000005</v>
      </c>
      <c r="Q354" s="6">
        <f>[1]Hybrid!P49</f>
        <v>0.80886101840000002</v>
      </c>
      <c r="R354" s="6">
        <f>[1]Hybrid!Q49</f>
        <v>0.83170728989999998</v>
      </c>
      <c r="S354" s="6">
        <f>[1]Hybrid!R49</f>
        <v>0.85427126760000005</v>
      </c>
      <c r="T354" s="6">
        <f>[1]Hybrid!S49</f>
        <v>0.87653159790000001</v>
      </c>
      <c r="U354" s="6">
        <f>[1]Hybrid!T49</f>
        <v>0.8984705999</v>
      </c>
      <c r="V354" s="6">
        <f>[1]Hybrid!U49</f>
        <v>0.92007373520000002</v>
      </c>
      <c r="W354" s="6">
        <f>[1]Hybrid!V49</f>
        <v>0.94120493790000004</v>
      </c>
      <c r="X354" s="6">
        <f>[1]Hybrid!W49</f>
        <v>0.96198563400000003</v>
      </c>
      <c r="Y354" s="6">
        <f>[1]Hybrid!X49</f>
        <v>0.98241219680000003</v>
      </c>
      <c r="Z354" s="6">
        <f>[1]Hybrid!Y49</f>
        <v>1.002484924</v>
      </c>
      <c r="AA354" s="6">
        <f>[1]Hybrid!Z49</f>
        <v>1.0222053689999999</v>
      </c>
      <c r="AB354" s="6">
        <f>[1]Hybrid!AA49</f>
        <v>1.0412179210000001</v>
      </c>
      <c r="AC354" s="6">
        <f>[1]Hybrid!AB49</f>
        <v>1.0597331050000001</v>
      </c>
      <c r="AD354" s="6">
        <f>[1]Hybrid!AC49</f>
        <v>1.0777703810000001</v>
      </c>
      <c r="AE354" s="6">
        <f>[1]Hybrid!AD49</f>
        <v>1.095357541</v>
      </c>
      <c r="AF354" s="6">
        <f>[1]Hybrid!AE49</f>
        <v>1.1125248210000001</v>
      </c>
      <c r="AG354" s="6">
        <f>[1]Hybrid!AF49</f>
        <v>1.1293018640000001</v>
      </c>
      <c r="AH354" s="6">
        <f>[1]Hybrid!AG49</f>
        <v>1.1457162599999999</v>
      </c>
      <c r="AI354" s="6">
        <f>[1]Hybrid!AH49</f>
        <v>1.1617930430000001</v>
      </c>
      <c r="AJ354" s="6">
        <f>[1]Hybrid!AI49</f>
        <v>1.1775547260000001</v>
      </c>
      <c r="AK354" s="6">
        <f>[1]Hybrid!AJ49</f>
        <v>1.193021576</v>
      </c>
      <c r="AL354" s="6">
        <f>[1]Hybrid!AK49</f>
        <v>1.2082119549999999</v>
      </c>
      <c r="AM354" s="6">
        <f>[1]Hybrid!AL49</f>
        <v>1.2230590320000001</v>
      </c>
      <c r="AN354" s="6">
        <f>[1]Hybrid!AM49</f>
        <v>1.237582492</v>
      </c>
      <c r="AO354" s="6">
        <f>[1]Hybrid!AN49</f>
        <v>1.2518025049999999</v>
      </c>
      <c r="AP354" s="6">
        <f>[1]Hybrid!AO49</f>
        <v>1.2657403819999999</v>
      </c>
      <c r="AQ354" s="6">
        <f>[1]Hybrid!AP49</f>
        <v>1.2794175480000001</v>
      </c>
      <c r="AR354" s="6">
        <f>[1]Hybrid!AQ49</f>
        <v>1.292854331</v>
      </c>
      <c r="AS354" s="6">
        <f>[1]Hybrid!AR49</f>
        <v>1.306069057</v>
      </c>
      <c r="AT354" s="6">
        <f>[1]Hybrid!AS49</f>
        <v>1.3190775349999999</v>
      </c>
      <c r="AU354" s="6">
        <f>[1]Hybrid!AT49</f>
        <v>1.3318928919999999</v>
      </c>
      <c r="AV354" s="6">
        <f>[1]Hybrid!AU49</f>
        <v>1.3445256379999999</v>
      </c>
      <c r="AW354" s="6">
        <f>[1]Hybrid!AV49</f>
        <v>1.356991045</v>
      </c>
      <c r="AX354" s="6">
        <f>[1]Hybrid!AW49</f>
        <v>1.3692946450000001</v>
      </c>
      <c r="AY354" s="6">
        <f>[1]Hybrid!AX49</f>
        <v>1.38143993</v>
      </c>
      <c r="AZ354" s="6">
        <f>[1]Hybrid!AY49</f>
        <v>1.3934285420000001</v>
      </c>
      <c r="BA354" s="6">
        <f>[1]Hybrid!AZ49</f>
        <v>1.4052605499999999</v>
      </c>
      <c r="BB354" s="6">
        <f>[1]Hybrid!BA49</f>
        <v>1.41693471</v>
      </c>
      <c r="BC354" s="6">
        <f>[1]Hybrid!BB49</f>
        <v>1.4284486409999999</v>
      </c>
      <c r="BD354" s="6">
        <f>[1]Hybrid!BC49</f>
        <v>1.4397989529999999</v>
      </c>
      <c r="BE354" s="6">
        <f>[1]Hybrid!BD49</f>
        <v>1.450981305</v>
      </c>
      <c r="BF354" s="6">
        <f>[1]Hybrid!BE49</f>
        <v>1.4619904340000001</v>
      </c>
    </row>
    <row r="355" spans="1:58" x14ac:dyDescent="0.35">
      <c r="B355" s="6" t="str">
        <f>[1]Hybrid!A51</f>
        <v>auto_cc_cgas_0</v>
      </c>
      <c r="C355" s="6">
        <f>[1]Hybrid!B51</f>
        <v>0.40659851759999999</v>
      </c>
      <c r="D355" s="6">
        <f>[1]Hybrid!C51</f>
        <v>0.41404410780000001</v>
      </c>
      <c r="E355" s="6">
        <f>[1]Hybrid!D51</f>
        <v>0.42361746480000001</v>
      </c>
      <c r="F355" s="6">
        <f>[1]Hybrid!E51</f>
        <v>0.43459773550000003</v>
      </c>
      <c r="G355" s="6">
        <f>[1]Hybrid!F51</f>
        <v>0.44649651639999999</v>
      </c>
      <c r="H355" s="6">
        <f>[1]Hybrid!G51</f>
        <v>0.45900295369999999</v>
      </c>
      <c r="I355" s="6">
        <f>[1]Hybrid!H51</f>
        <v>0.47186011690000002</v>
      </c>
      <c r="J355" s="6">
        <f>[1]Hybrid!I51</f>
        <v>0.48494146710000002</v>
      </c>
      <c r="K355" s="6">
        <f>[1]Hybrid!J51</f>
        <v>0.49815934509999998</v>
      </c>
      <c r="L355" s="6">
        <f>[1]Hybrid!K51</f>
        <v>0.51144785459999997</v>
      </c>
      <c r="M355" s="6">
        <f>[1]Hybrid!L51</f>
        <v>0.52486322320000001</v>
      </c>
      <c r="N355" s="6">
        <f>[1]Hybrid!M51</f>
        <v>0.53824583729999997</v>
      </c>
      <c r="O355" s="6">
        <f>[1]Hybrid!N51</f>
        <v>0.55155309649999995</v>
      </c>
      <c r="P355" s="6">
        <f>[1]Hybrid!O51</f>
        <v>0.56474566459999997</v>
      </c>
      <c r="Q355" s="6">
        <f>[1]Hybrid!P51</f>
        <v>0.5777892443</v>
      </c>
      <c r="R355" s="6">
        <f>[1]Hybrid!Q51</f>
        <v>0.59065458689999994</v>
      </c>
      <c r="S355" s="6">
        <f>[1]Hybrid!R51</f>
        <v>0.60331689759999996</v>
      </c>
      <c r="T355" s="6">
        <f>[1]Hybrid!S51</f>
        <v>0.61575512919999997</v>
      </c>
      <c r="U355" s="6">
        <f>[1]Hybrid!T51</f>
        <v>0.62795138159999997</v>
      </c>
      <c r="V355" s="6">
        <f>[1]Hybrid!U51</f>
        <v>0.63989048039999996</v>
      </c>
      <c r="W355" s="6">
        <f>[1]Hybrid!V51</f>
        <v>0.6514782509</v>
      </c>
      <c r="X355" s="6">
        <f>[1]Hybrid!W51</f>
        <v>0.66279024679999998</v>
      </c>
      <c r="Y355" s="6">
        <f>[1]Hybrid!X51</f>
        <v>0.67382004149999997</v>
      </c>
      <c r="Z355" s="6">
        <f>[1]Hybrid!Y51</f>
        <v>0.684564073</v>
      </c>
      <c r="AA355" s="6">
        <f>[1]Hybrid!Z51</f>
        <v>0.69501987320000003</v>
      </c>
      <c r="AB355" s="6">
        <f>[1]Hybrid!AA51</f>
        <v>0.70495565439999996</v>
      </c>
      <c r="AC355" s="6">
        <f>[1]Hybrid!AB51</f>
        <v>0.71450588729999998</v>
      </c>
      <c r="AD355" s="6">
        <f>[1]Hybrid!AC51</f>
        <v>0.72368159730000003</v>
      </c>
      <c r="AE355" s="6">
        <f>[1]Hybrid!AD51</f>
        <v>0.73249906929999997</v>
      </c>
      <c r="AF355" s="6">
        <f>[1]Hybrid!AE51</f>
        <v>0.74097601260000001</v>
      </c>
      <c r="AG355" s="6">
        <f>[1]Hybrid!AF51</f>
        <v>0.74912961229999997</v>
      </c>
      <c r="AH355" s="6">
        <f>[1]Hybrid!AG51</f>
        <v>0.75697560549999998</v>
      </c>
      <c r="AI355" s="6">
        <f>[1]Hybrid!AH51</f>
        <v>0.76452797380000004</v>
      </c>
      <c r="AJ355" s="6">
        <f>[1]Hybrid!AI51</f>
        <v>0.77179897679999998</v>
      </c>
      <c r="AK355" s="6">
        <f>[1]Hybrid!AJ51</f>
        <v>0.77879934260000006</v>
      </c>
      <c r="AL355" s="6">
        <f>[1]Hybrid!AK51</f>
        <v>0.78553849580000001</v>
      </c>
      <c r="AM355" s="6">
        <f>[1]Hybrid!AL51</f>
        <v>0.79197349549999996</v>
      </c>
      <c r="AN355" s="6">
        <f>[1]Hybrid!AM51</f>
        <v>0.79811506789999997</v>
      </c>
      <c r="AO355" s="6">
        <f>[1]Hybrid!AN51</f>
        <v>0.80397418109999996</v>
      </c>
      <c r="AP355" s="6">
        <f>[1]Hybrid!AO51</f>
        <v>0.80956238570000005</v>
      </c>
      <c r="AQ355" s="6">
        <f>[1]Hybrid!AP51</f>
        <v>0.81489115629999997</v>
      </c>
      <c r="AR355" s="6">
        <f>[1]Hybrid!AQ51</f>
        <v>0.81997115659999997</v>
      </c>
      <c r="AS355" s="6">
        <f>[1]Hybrid!AR51</f>
        <v>0.82481170670000004</v>
      </c>
      <c r="AT355" s="6">
        <f>[1]Hybrid!AS51</f>
        <v>0.82942050249999999</v>
      </c>
      <c r="AU355" s="6">
        <f>[1]Hybrid!AT51</f>
        <v>0.83380354560000003</v>
      </c>
      <c r="AV355" s="6">
        <f>[1]Hybrid!AU51</f>
        <v>0.8379652152</v>
      </c>
      <c r="AW355" s="6">
        <f>[1]Hybrid!AV51</f>
        <v>0.84191259949999997</v>
      </c>
      <c r="AX355" s="6">
        <f>[1]Hybrid!AW51</f>
        <v>0.84564701249999996</v>
      </c>
      <c r="AY355" s="6">
        <f>[1]Hybrid!AX51</f>
        <v>0.84916857580000005</v>
      </c>
      <c r="AZ355" s="6">
        <f>[1]Hybrid!AY51</f>
        <v>0.85247636039999997</v>
      </c>
      <c r="BA355" s="6">
        <f>[1]Hybrid!AZ51</f>
        <v>0.85556857919999996</v>
      </c>
      <c r="BB355" s="6">
        <f>[1]Hybrid!BA51</f>
        <v>0.85844275439999995</v>
      </c>
      <c r="BC355" s="6">
        <f>[1]Hybrid!BB51</f>
        <v>0.86109584269999995</v>
      </c>
      <c r="BD355" s="6">
        <f>[1]Hybrid!BC51</f>
        <v>0.86352431939999996</v>
      </c>
      <c r="BE355" s="6">
        <f>[1]Hybrid!BD51</f>
        <v>0.86572423060000003</v>
      </c>
      <c r="BF355" s="6">
        <f>[1]Hybrid!BE51</f>
        <v>0.86769122389999997</v>
      </c>
    </row>
    <row r="356" spans="1:58" x14ac:dyDescent="0.35">
      <c r="B356" s="6" t="str">
        <f>[1]Hybrid!A53</f>
        <v>auto_cd_cgas_0</v>
      </c>
      <c r="C356" s="6">
        <f>[1]Hybrid!B53</f>
        <v>0.2495444651</v>
      </c>
      <c r="D356" s="6">
        <f>[1]Hybrid!C53</f>
        <v>0.25207330649999998</v>
      </c>
      <c r="E356" s="6">
        <f>[1]Hybrid!D53</f>
        <v>0.25573898410000001</v>
      </c>
      <c r="F356" s="6">
        <f>[1]Hybrid!E53</f>
        <v>0.26010587359999998</v>
      </c>
      <c r="G356" s="6">
        <f>[1]Hybrid!F53</f>
        <v>0.26487733769999999</v>
      </c>
      <c r="H356" s="6">
        <f>[1]Hybrid!G53</f>
        <v>0.26986076889999999</v>
      </c>
      <c r="I356" s="6">
        <f>[1]Hybrid!H53</f>
        <v>0.27489930480000002</v>
      </c>
      <c r="J356" s="6">
        <f>[1]Hybrid!I53</f>
        <v>0.27991101889999997</v>
      </c>
      <c r="K356" s="6">
        <f>[1]Hybrid!J53</f>
        <v>0.2848385839</v>
      </c>
      <c r="L356" s="6">
        <f>[1]Hybrid!K53</f>
        <v>0.2896392049</v>
      </c>
      <c r="M356" s="6">
        <f>[1]Hybrid!L53</f>
        <v>0.29433374849999999</v>
      </c>
      <c r="N356" s="6">
        <f>[1]Hybrid!M53</f>
        <v>0.29883591900000001</v>
      </c>
      <c r="O356" s="6">
        <f>[1]Hybrid!N53</f>
        <v>0.30312084849999998</v>
      </c>
      <c r="P356" s="6">
        <f>[1]Hybrid!O53</f>
        <v>0.30716698240000001</v>
      </c>
      <c r="Q356" s="6">
        <f>[1]Hybrid!P53</f>
        <v>0.31095671029999999</v>
      </c>
      <c r="R356" s="6">
        <f>[1]Hybrid!Q53</f>
        <v>0.31447616340000001</v>
      </c>
      <c r="S356" s="6">
        <f>[1]Hybrid!R53</f>
        <v>0.31771476209999999</v>
      </c>
      <c r="T356" s="6">
        <f>[1]Hybrid!S53</f>
        <v>0.32066473829999997</v>
      </c>
      <c r="U356" s="6">
        <f>[1]Hybrid!T53</f>
        <v>0.32332072010000001</v>
      </c>
      <c r="V356" s="6">
        <f>[1]Hybrid!U53</f>
        <v>0.32567940470000001</v>
      </c>
      <c r="W356" s="6">
        <f>[1]Hybrid!V53</f>
        <v>0.32770420099999997</v>
      </c>
      <c r="X356" s="6">
        <f>[1]Hybrid!W53</f>
        <v>0.32943335460000001</v>
      </c>
      <c r="Y356" s="6">
        <f>[1]Hybrid!X53</f>
        <v>0.33086924130000001</v>
      </c>
      <c r="Z356" s="6">
        <f>[1]Hybrid!Y53</f>
        <v>0.33201568110000002</v>
      </c>
      <c r="AA356" s="6">
        <f>[1]Hybrid!Z53</f>
        <v>0.33287715690000003</v>
      </c>
      <c r="AB356" s="6">
        <f>[1]Hybrid!AA53</f>
        <v>0.33336751860000002</v>
      </c>
      <c r="AC356" s="6">
        <f>[1]Hybrid!AB53</f>
        <v>0.33354956679999997</v>
      </c>
      <c r="AD356" s="6">
        <f>[1]Hybrid!AC53</f>
        <v>0.3334357416</v>
      </c>
      <c r="AE356" s="6">
        <f>[1]Hybrid!AD53</f>
        <v>0.33304010490000002</v>
      </c>
      <c r="AF356" s="6">
        <f>[1]Hybrid!AE53</f>
        <v>0.33237677570000002</v>
      </c>
      <c r="AG356" s="6">
        <f>[1]Hybrid!AF53</f>
        <v>0.33145920690000003</v>
      </c>
      <c r="AH356" s="6">
        <f>[1]Hybrid!AG53</f>
        <v>0.33029988869999999</v>
      </c>
      <c r="AI356" s="6">
        <f>[1]Hybrid!AH53</f>
        <v>0.3289102921</v>
      </c>
      <c r="AJ356" s="6">
        <f>[1]Hybrid!AI53</f>
        <v>0.32730093999999998</v>
      </c>
      <c r="AK356" s="6">
        <f>[1]Hybrid!AJ53</f>
        <v>0.32548153260000001</v>
      </c>
      <c r="AL356" s="6">
        <f>[1]Hybrid!AK53</f>
        <v>0.32346108420000003</v>
      </c>
      <c r="AM356" s="6">
        <f>[1]Hybrid!AL53</f>
        <v>0.32123158470000002</v>
      </c>
      <c r="AN356" s="6">
        <f>[1]Hybrid!AM53</f>
        <v>0.31880308149999997</v>
      </c>
      <c r="AO356" s="6">
        <f>[1]Hybrid!AN53</f>
        <v>0.31618556689999999</v>
      </c>
      <c r="AP356" s="6">
        <f>[1]Hybrid!AO53</f>
        <v>0.31338901949999998</v>
      </c>
      <c r="AQ356" s="6">
        <f>[1]Hybrid!AP53</f>
        <v>0.31042317629999999</v>
      </c>
      <c r="AR356" s="6">
        <f>[1]Hybrid!AQ53</f>
        <v>0.30729732510000002</v>
      </c>
      <c r="AS356" s="6">
        <f>[1]Hybrid!AR53</f>
        <v>0.30402018679999998</v>
      </c>
      <c r="AT356" s="6">
        <f>[1]Hybrid!AS53</f>
        <v>0.30059988479999999</v>
      </c>
      <c r="AU356" s="6">
        <f>[1]Hybrid!AT53</f>
        <v>0.29704397830000001</v>
      </c>
      <c r="AV356" s="6">
        <f>[1]Hybrid!AU53</f>
        <v>0.29335953349999999</v>
      </c>
      <c r="AW356" s="6">
        <f>[1]Hybrid!AV53</f>
        <v>0.28955427830000002</v>
      </c>
      <c r="AX356" s="6">
        <f>[1]Hybrid!AW53</f>
        <v>0.28563440270000001</v>
      </c>
      <c r="AY356" s="6">
        <f>[1]Hybrid!AX53</f>
        <v>0.28160584239999997</v>
      </c>
      <c r="AZ356" s="6">
        <f>[1]Hybrid!AY53</f>
        <v>0.27747435079999999</v>
      </c>
      <c r="BA356" s="6">
        <f>[1]Hybrid!AZ53</f>
        <v>0.27324557179999998</v>
      </c>
      <c r="BB356" s="6">
        <f>[1]Hybrid!BA53</f>
        <v>0.26892509720000002</v>
      </c>
      <c r="BC356" s="6">
        <f>[1]Hybrid!BB53</f>
        <v>0.26451850589999998</v>
      </c>
      <c r="BD356" s="6">
        <f>[1]Hybrid!BC53</f>
        <v>0.26003138809999998</v>
      </c>
      <c r="BE356" s="6">
        <f>[1]Hybrid!BD53</f>
        <v>0.2554693583</v>
      </c>
      <c r="BF356" s="6">
        <f>[1]Hybrid!BE53</f>
        <v>0.250838061</v>
      </c>
    </row>
    <row r="357" spans="1:58" x14ac:dyDescent="0.35">
      <c r="B357" s="6" t="str">
        <f>[1]Hybrid!A55</f>
        <v>auto_ce_cgas_0</v>
      </c>
      <c r="C357" s="6">
        <f>[1]Hybrid!B55</f>
        <v>0.15020246549999999</v>
      </c>
      <c r="D357" s="6">
        <f>[1]Hybrid!C55</f>
        <v>0.15191723309999999</v>
      </c>
      <c r="E357" s="6">
        <f>[1]Hybrid!D55</f>
        <v>0.15424385169999999</v>
      </c>
      <c r="F357" s="6">
        <f>[1]Hybrid!E55</f>
        <v>0.15690001889999999</v>
      </c>
      <c r="G357" s="6">
        <f>[1]Hybrid!F55</f>
        <v>0.15969473000000001</v>
      </c>
      <c r="H357" s="6">
        <f>[1]Hybrid!G55</f>
        <v>0.16250427649999999</v>
      </c>
      <c r="I357" s="6">
        <f>[1]Hybrid!H55</f>
        <v>0.16523029310000001</v>
      </c>
      <c r="J357" s="6">
        <f>[1]Hybrid!I55</f>
        <v>0.16782207669999999</v>
      </c>
      <c r="K357" s="6">
        <f>[1]Hybrid!J55</f>
        <v>0.1702457547</v>
      </c>
      <c r="L357" s="6">
        <f>[1]Hybrid!K55</f>
        <v>0.17247772119999999</v>
      </c>
      <c r="M357" s="6">
        <f>[1]Hybrid!L55</f>
        <v>0.17453153699999999</v>
      </c>
      <c r="N357" s="6">
        <f>[1]Hybrid!M55</f>
        <v>0.17636116979999999</v>
      </c>
      <c r="O357" s="6">
        <f>[1]Hybrid!N55</f>
        <v>0.17795654550000001</v>
      </c>
      <c r="P357" s="6">
        <f>[1]Hybrid!O55</f>
        <v>0.17931028160000001</v>
      </c>
      <c r="Q357" s="6">
        <f>[1]Hybrid!P55</f>
        <v>0.18041786600000001</v>
      </c>
      <c r="R357" s="6">
        <f>[1]Hybrid!Q55</f>
        <v>0.1812774019</v>
      </c>
      <c r="S357" s="6">
        <f>[1]Hybrid!R55</f>
        <v>0.18188924349999999</v>
      </c>
      <c r="T357" s="6">
        <f>[1]Hybrid!S55</f>
        <v>0.1822556363</v>
      </c>
      <c r="U357" s="6">
        <f>[1]Hybrid!T55</f>
        <v>0.1823804014</v>
      </c>
      <c r="V357" s="6">
        <f>[1]Hybrid!U55</f>
        <v>0.18226867350000001</v>
      </c>
      <c r="W357" s="6">
        <f>[1]Hybrid!V55</f>
        <v>0.18190948379999999</v>
      </c>
      <c r="X357" s="6">
        <f>[1]Hybrid!W55</f>
        <v>0.18132911979999999</v>
      </c>
      <c r="Y357" s="6">
        <f>[1]Hybrid!X55</f>
        <v>0.1805358668</v>
      </c>
      <c r="Z357" s="6">
        <f>[1]Hybrid!Y55</f>
        <v>0.1795386256</v>
      </c>
      <c r="AA357" s="6">
        <f>[1]Hybrid!Z55</f>
        <v>0.17834651509999999</v>
      </c>
      <c r="AB357" s="6">
        <f>[1]Hybrid!AA55</f>
        <v>0.17692742040000001</v>
      </c>
      <c r="AC357" s="6">
        <f>[1]Hybrid!AB55</f>
        <v>0.17531820000000001</v>
      </c>
      <c r="AD357" s="6">
        <f>[1]Hybrid!AC55</f>
        <v>0.1735319857</v>
      </c>
      <c r="AE357" s="6">
        <f>[1]Hybrid!AD55</f>
        <v>0.17158221109999999</v>
      </c>
      <c r="AF357" s="6">
        <f>[1]Hybrid!AE55</f>
        <v>0.1694819008</v>
      </c>
      <c r="AG357" s="6">
        <f>[1]Hybrid!AF55</f>
        <v>0.16724337810000001</v>
      </c>
      <c r="AH357" s="6">
        <f>[1]Hybrid!AG55</f>
        <v>0.16487817320000001</v>
      </c>
      <c r="AI357" s="6">
        <f>[1]Hybrid!AH55</f>
        <v>0.1623970361</v>
      </c>
      <c r="AJ357" s="6">
        <f>[1]Hybrid!AI55</f>
        <v>0.15981000140000001</v>
      </c>
      <c r="AK357" s="6">
        <f>[1]Hybrid!AJ55</f>
        <v>0.1571264741</v>
      </c>
      <c r="AL357" s="6">
        <f>[1]Hybrid!AK55</f>
        <v>0.1543553148</v>
      </c>
      <c r="AM357" s="6">
        <f>[1]Hybrid!AL55</f>
        <v>0.1514987495</v>
      </c>
      <c r="AN357" s="6">
        <f>[1]Hybrid!AM55</f>
        <v>0.14856586450000001</v>
      </c>
      <c r="AO357" s="6">
        <f>[1]Hybrid!AN55</f>
        <v>0.14556547929999999</v>
      </c>
      <c r="AP357" s="6">
        <f>[1]Hybrid!AO55</f>
        <v>0.14250614449999999</v>
      </c>
      <c r="AQ357" s="6">
        <f>[1]Hybrid!AP55</f>
        <v>0.1393960554</v>
      </c>
      <c r="AR357" s="6">
        <f>[1]Hybrid!AQ55</f>
        <v>0.13624298970000001</v>
      </c>
      <c r="AS357" s="6">
        <f>[1]Hybrid!AR55</f>
        <v>0.13305428380000001</v>
      </c>
      <c r="AT357" s="6">
        <f>[1]Hybrid!AS55</f>
        <v>0.12983684209999999</v>
      </c>
      <c r="AU357" s="6">
        <f>[1]Hybrid!AT55</f>
        <v>0.12659716639999999</v>
      </c>
      <c r="AV357" s="6">
        <f>[1]Hybrid!AU55</f>
        <v>0.12334139550000001</v>
      </c>
      <c r="AW357" s="6">
        <f>[1]Hybrid!AV55</f>
        <v>0.1200756701</v>
      </c>
      <c r="AX357" s="6">
        <f>[1]Hybrid!AW55</f>
        <v>0.1168054567</v>
      </c>
      <c r="AY357" s="6">
        <f>[1]Hybrid!AX55</f>
        <v>0.1135359676</v>
      </c>
      <c r="AZ357" s="6">
        <f>[1]Hybrid!AY55</f>
        <v>0.1102721888</v>
      </c>
      <c r="BA357" s="6">
        <f>[1]Hybrid!AZ55</f>
        <v>0.1070189044</v>
      </c>
      <c r="BB357" s="6">
        <f>[1]Hybrid!BA55</f>
        <v>0.1037807132</v>
      </c>
      <c r="BC357" s="6">
        <f>[1]Hybrid!BB55</f>
        <v>0.10056203700000001</v>
      </c>
      <c r="BD357" s="6">
        <f>[1]Hybrid!BC55</f>
        <v>9.7367124799999996E-2</v>
      </c>
      <c r="BE357" s="6">
        <f>[1]Hybrid!BD55</f>
        <v>9.4200052100000001E-2</v>
      </c>
      <c r="BF357" s="6">
        <f>[1]Hybrid!BE55</f>
        <v>9.1064717899999995E-2</v>
      </c>
    </row>
    <row r="358" spans="1:58" x14ac:dyDescent="0.35">
      <c r="B358" s="6" t="str">
        <f>[1]Hybrid!A57</f>
        <v>auto_cf_cgas_0</v>
      </c>
      <c r="C358" s="6">
        <f>[1]Hybrid!B57</f>
        <v>7.4609436000000001E-2</v>
      </c>
      <c r="D358" s="6">
        <f>[1]Hybrid!C57</f>
        <v>7.5234624900000005E-2</v>
      </c>
      <c r="E358" s="6">
        <f>[1]Hybrid!D57</f>
        <v>7.6039568000000002E-2</v>
      </c>
      <c r="F358" s="6">
        <f>[1]Hybrid!E57</f>
        <v>7.6866615299999996E-2</v>
      </c>
      <c r="G358" s="6">
        <f>[1]Hybrid!F57</f>
        <v>7.7613898099999995E-2</v>
      </c>
      <c r="H358" s="6">
        <f>[1]Hybrid!G57</f>
        <v>7.8219129299999995E-2</v>
      </c>
      <c r="I358" s="6">
        <f>[1]Hybrid!H57</f>
        <v>7.8638820400000004E-2</v>
      </c>
      <c r="J358" s="6">
        <f>[1]Hybrid!I57</f>
        <v>7.8855684100000004E-2</v>
      </c>
      <c r="K358" s="6">
        <f>[1]Hybrid!J57</f>
        <v>7.8863526099999998E-2</v>
      </c>
      <c r="L358" s="6">
        <f>[1]Hybrid!K57</f>
        <v>7.8663167800000003E-2</v>
      </c>
      <c r="M358" s="6">
        <f>[1]Hybrid!L57</f>
        <v>7.8270533000000003E-2</v>
      </c>
      <c r="N358" s="6">
        <f>[1]Hybrid!M57</f>
        <v>7.7681504799999995E-2</v>
      </c>
      <c r="O358" s="6">
        <f>[1]Hybrid!N57</f>
        <v>7.6906159500000001E-2</v>
      </c>
      <c r="P358" s="6">
        <f>[1]Hybrid!O57</f>
        <v>7.5956130100000005E-2</v>
      </c>
      <c r="Q358" s="6">
        <f>[1]Hybrid!P57</f>
        <v>7.4844295800000002E-2</v>
      </c>
      <c r="R358" s="6">
        <f>[1]Hybrid!Q57</f>
        <v>7.3584397100000004E-2</v>
      </c>
      <c r="S358" s="6">
        <f>[1]Hybrid!R57</f>
        <v>7.2190682899999997E-2</v>
      </c>
      <c r="T358" s="6">
        <f>[1]Hybrid!S57</f>
        <v>7.0677607200000006E-2</v>
      </c>
      <c r="U358" s="6">
        <f>[1]Hybrid!T57</f>
        <v>6.9059577100000005E-2</v>
      </c>
      <c r="V358" s="6">
        <f>[1]Hybrid!U57</f>
        <v>6.7350748200000005E-2</v>
      </c>
      <c r="W358" s="6">
        <f>[1]Hybrid!V57</f>
        <v>6.5561165099999999E-2</v>
      </c>
      <c r="X358" s="6">
        <f>[1]Hybrid!W57</f>
        <v>6.3708473599999996E-2</v>
      </c>
      <c r="Y358" s="6">
        <f>[1]Hybrid!X57</f>
        <v>6.1805275899999998E-2</v>
      </c>
      <c r="Z358" s="6">
        <f>[1]Hybrid!Y57</f>
        <v>5.9863417600000003E-2</v>
      </c>
      <c r="AA358" s="6">
        <f>[1]Hybrid!Z57</f>
        <v>5.7893918699999998E-2</v>
      </c>
      <c r="AB358" s="6">
        <f>[1]Hybrid!AA57</f>
        <v>5.5900215400000001E-2</v>
      </c>
      <c r="AC358" s="6">
        <f>[1]Hybrid!AB57</f>
        <v>5.38970109E-2</v>
      </c>
      <c r="AD358" s="6">
        <f>[1]Hybrid!AC57</f>
        <v>5.1893829099999997E-2</v>
      </c>
      <c r="AE358" s="6">
        <f>[1]Hybrid!AD57</f>
        <v>4.9899274E-2</v>
      </c>
      <c r="AF358" s="6">
        <f>[1]Hybrid!AE57</f>
        <v>4.7920980699999997E-2</v>
      </c>
      <c r="AG358" s="6">
        <f>[1]Hybrid!AF57</f>
        <v>4.5965651099999998E-2</v>
      </c>
      <c r="AH358" s="6">
        <f>[1]Hybrid!AG57</f>
        <v>4.4039119799999998E-2</v>
      </c>
      <c r="AI358" s="6">
        <f>[1]Hybrid!AH57</f>
        <v>4.2146428299999997E-2</v>
      </c>
      <c r="AJ358" s="6">
        <f>[1]Hybrid!AI57</f>
        <v>4.0291900499999998E-2</v>
      </c>
      <c r="AK358" s="6">
        <f>[1]Hybrid!AJ57</f>
        <v>3.84792131E-2</v>
      </c>
      <c r="AL358" s="6">
        <f>[1]Hybrid!AK57</f>
        <v>3.6711460100000003E-2</v>
      </c>
      <c r="AM358" s="6">
        <f>[1]Hybrid!AL57</f>
        <v>3.4990701899999997E-2</v>
      </c>
      <c r="AN358" s="6">
        <f>[1]Hybrid!AM57</f>
        <v>3.3319211899999999E-2</v>
      </c>
      <c r="AO358" s="6">
        <f>[1]Hybrid!AN57</f>
        <v>3.1698815800000002E-2</v>
      </c>
      <c r="AP358" s="6">
        <f>[1]Hybrid!AO57</f>
        <v>3.0130922399999999E-2</v>
      </c>
      <c r="AQ358" s="6">
        <f>[1]Hybrid!AP57</f>
        <v>2.86165507E-2</v>
      </c>
      <c r="AR358" s="6">
        <f>[1]Hybrid!AQ57</f>
        <v>2.7156361800000001E-2</v>
      </c>
      <c r="AS358" s="6">
        <f>[1]Hybrid!AR57</f>
        <v>2.57506926E-2</v>
      </c>
      <c r="AT358" s="6">
        <f>[1]Hybrid!AS57</f>
        <v>2.4399589199999999E-2</v>
      </c>
      <c r="AU358" s="6">
        <f>[1]Hybrid!AT57</f>
        <v>2.3102839300000001E-2</v>
      </c>
      <c r="AV358" s="6">
        <f>[1]Hybrid!AU57</f>
        <v>2.1860002600000001E-2</v>
      </c>
      <c r="AW358" s="6">
        <f>[1]Hybrid!AV57</f>
        <v>2.0670450399999998E-2</v>
      </c>
      <c r="AX358" s="6">
        <f>[1]Hybrid!AW57</f>
        <v>1.9533360900000001E-2</v>
      </c>
      <c r="AY358" s="6">
        <f>[1]Hybrid!AX57</f>
        <v>1.8447760699999999E-2</v>
      </c>
      <c r="AZ358" s="6">
        <f>[1]Hybrid!AY57</f>
        <v>1.7412545299999999E-2</v>
      </c>
      <c r="BA358" s="6">
        <f>[1]Hybrid!AZ57</f>
        <v>1.6426498899999999E-2</v>
      </c>
      <c r="BB358" s="6">
        <f>[1]Hybrid!BA57</f>
        <v>1.5488311100000001E-2</v>
      </c>
      <c r="BC358" s="6">
        <f>[1]Hybrid!BB57</f>
        <v>1.45965933E-2</v>
      </c>
      <c r="BD358" s="6">
        <f>[1]Hybrid!BC57</f>
        <v>1.37498932E-2</v>
      </c>
      <c r="BE358" s="6">
        <f>[1]Hybrid!BD57</f>
        <v>1.2946707999999999E-2</v>
      </c>
      <c r="BF358" s="6">
        <f>[1]Hybrid!BE57</f>
        <v>1.21854978E-2</v>
      </c>
    </row>
    <row r="359" spans="1:58" x14ac:dyDescent="0.35">
      <c r="B359" s="6" t="str">
        <f>[1]Hybrid!A59</f>
        <v>auto_cg_cgas_0</v>
      </c>
      <c r="C359" s="6">
        <f>[1]Hybrid!B59</f>
        <v>0.13435819299999999</v>
      </c>
      <c r="D359" s="6">
        <f>[1]Hybrid!C59</f>
        <v>0.13575765319999999</v>
      </c>
      <c r="E359" s="6">
        <f>[1]Hybrid!D59</f>
        <v>0.1372790116</v>
      </c>
      <c r="F359" s="6">
        <f>[1]Hybrid!E59</f>
        <v>0.13860597259999999</v>
      </c>
      <c r="G359" s="6">
        <f>[1]Hybrid!F59</f>
        <v>0.13954842649999999</v>
      </c>
      <c r="H359" s="6">
        <f>[1]Hybrid!G59</f>
        <v>0.1400034614</v>
      </c>
      <c r="I359" s="6">
        <f>[1]Hybrid!H59</f>
        <v>0.13991399809999999</v>
      </c>
      <c r="J359" s="6">
        <f>[1]Hybrid!I59</f>
        <v>0.13927633719999999</v>
      </c>
      <c r="K359" s="6">
        <f>[1]Hybrid!J59</f>
        <v>0.13811055119999999</v>
      </c>
      <c r="L359" s="6">
        <f>[1]Hybrid!K59</f>
        <v>0.13645085770000001</v>
      </c>
      <c r="M359" s="6">
        <f>[1]Hybrid!L59</f>
        <v>0.13435432019999999</v>
      </c>
      <c r="N359" s="6">
        <f>[1]Hybrid!M59</f>
        <v>0.1318489551</v>
      </c>
      <c r="O359" s="6">
        <f>[1]Hybrid!N59</f>
        <v>0.12898263939999999</v>
      </c>
      <c r="P359" s="6">
        <f>[1]Hybrid!O59</f>
        <v>0.12580370569999999</v>
      </c>
      <c r="Q359" s="6">
        <f>[1]Hybrid!P59</f>
        <v>0.12235990989999999</v>
      </c>
      <c r="R359" s="6">
        <f>[1]Hybrid!Q59</f>
        <v>0.1186975074</v>
      </c>
      <c r="S359" s="6">
        <f>[1]Hybrid!R59</f>
        <v>0.1148605427</v>
      </c>
      <c r="T359" s="6">
        <f>[1]Hybrid!S59</f>
        <v>0.1108903348</v>
      </c>
      <c r="U359" s="6">
        <f>[1]Hybrid!T59</f>
        <v>0.1068251299</v>
      </c>
      <c r="V359" s="6">
        <f>[1]Hybrid!U59</f>
        <v>0.1026998917</v>
      </c>
      <c r="W359" s="6">
        <f>[1]Hybrid!V59</f>
        <v>9.8542807900000001E-2</v>
      </c>
      <c r="X359" s="6">
        <f>[1]Hybrid!W59</f>
        <v>9.4386419299999996E-2</v>
      </c>
      <c r="Y359" s="6">
        <f>[1]Hybrid!X59</f>
        <v>9.0255597100000001E-2</v>
      </c>
      <c r="Z359" s="6">
        <f>[1]Hybrid!Y59</f>
        <v>8.6171959500000006E-2</v>
      </c>
      <c r="AA359" s="6">
        <f>[1]Hybrid!Z59</f>
        <v>8.2154048499999993E-2</v>
      </c>
      <c r="AB359" s="6">
        <f>[1]Hybrid!AA59</f>
        <v>7.8212685899999995E-2</v>
      </c>
      <c r="AC359" s="6">
        <f>[1]Hybrid!AB59</f>
        <v>7.4365285200000006E-2</v>
      </c>
      <c r="AD359" s="6">
        <f>[1]Hybrid!AC59</f>
        <v>7.0623350200000004E-2</v>
      </c>
      <c r="AE359" s="6">
        <f>[1]Hybrid!AD59</f>
        <v>6.6995996200000005E-2</v>
      </c>
      <c r="AF359" s="6">
        <f>[1]Hybrid!AE59</f>
        <v>6.34901613E-2</v>
      </c>
      <c r="AG359" s="6">
        <f>[1]Hybrid!AF59</f>
        <v>6.0110863700000003E-2</v>
      </c>
      <c r="AH359" s="6">
        <f>[1]Hybrid!AG59</f>
        <v>5.6861455599999999E-2</v>
      </c>
      <c r="AI359" s="6">
        <f>[1]Hybrid!AH59</f>
        <v>5.3743857300000003E-2</v>
      </c>
      <c r="AJ359" s="6">
        <f>[1]Hybrid!AI59</f>
        <v>5.0758768500000002E-2</v>
      </c>
      <c r="AK359" s="6">
        <f>[1]Hybrid!AJ59</f>
        <v>4.7905854800000001E-2</v>
      </c>
      <c r="AL359" s="6">
        <f>[1]Hybrid!AK59</f>
        <v>4.5183912800000003E-2</v>
      </c>
      <c r="AM359" s="6">
        <f>[1]Hybrid!AL59</f>
        <v>4.2590812899999997E-2</v>
      </c>
      <c r="AN359" s="6">
        <f>[1]Hybrid!AM59</f>
        <v>4.0124124999999997E-2</v>
      </c>
      <c r="AO359" s="6">
        <f>[1]Hybrid!AN59</f>
        <v>3.7780907000000002E-2</v>
      </c>
      <c r="AP359" s="6">
        <f>[1]Hybrid!AO59</f>
        <v>3.5557798600000003E-2</v>
      </c>
      <c r="AQ359" s="6">
        <f>[1]Hybrid!AP59</f>
        <v>3.3451105199999998E-2</v>
      </c>
      <c r="AR359" s="6">
        <f>[1]Hybrid!AQ59</f>
        <v>3.1456875199999998E-2</v>
      </c>
      <c r="AS359" s="6">
        <f>[1]Hybrid!AR59</f>
        <v>2.9570968900000001E-2</v>
      </c>
      <c r="AT359" s="6">
        <f>[1]Hybrid!AS59</f>
        <v>2.77891197E-2</v>
      </c>
      <c r="AU359" s="6">
        <f>[1]Hybrid!AT59</f>
        <v>2.61069861E-2</v>
      </c>
      <c r="AV359" s="6">
        <f>[1]Hybrid!AU59</f>
        <v>2.4520197099999998E-2</v>
      </c>
      <c r="AW359" s="6">
        <f>[1]Hybrid!AV59</f>
        <v>2.3024393000000001E-2</v>
      </c>
      <c r="AX359" s="6">
        <f>[1]Hybrid!AW59</f>
        <v>2.1615250499999999E-2</v>
      </c>
      <c r="AY359" s="6">
        <f>[1]Hybrid!AX59</f>
        <v>2.0288513899999999E-2</v>
      </c>
      <c r="AZ359" s="6">
        <f>[1]Hybrid!AY59</f>
        <v>1.90400173E-2</v>
      </c>
      <c r="BA359" s="6">
        <f>[1]Hybrid!AZ59</f>
        <v>1.7865701500000001E-2</v>
      </c>
      <c r="BB359" s="6">
        <f>[1]Hybrid!BA59</f>
        <v>1.6761628800000001E-2</v>
      </c>
      <c r="BC359" s="6">
        <f>[1]Hybrid!BB59</f>
        <v>1.5723993299999999E-2</v>
      </c>
      <c r="BD359" s="6">
        <f>[1]Hybrid!BC59</f>
        <v>1.4749129E-2</v>
      </c>
      <c r="BE359" s="6">
        <f>[1]Hybrid!BD59</f>
        <v>1.3833515500000001E-2</v>
      </c>
      <c r="BF359" s="6">
        <f>[1]Hybrid!BE59</f>
        <v>1.29737815E-2</v>
      </c>
    </row>
    <row r="361" spans="1:58" x14ac:dyDescent="0.35">
      <c r="A361" s="12" t="s">
        <v>90</v>
      </c>
      <c r="B361" t="s">
        <v>56</v>
      </c>
      <c r="C361" s="2">
        <v>42005</v>
      </c>
      <c r="D361" s="2">
        <v>42370</v>
      </c>
      <c r="E361" s="2">
        <v>42736</v>
      </c>
      <c r="F361" s="2">
        <v>43101</v>
      </c>
      <c r="G361" s="2">
        <v>43466</v>
      </c>
      <c r="H361" s="2">
        <v>43831</v>
      </c>
      <c r="I361" s="2">
        <v>44197</v>
      </c>
      <c r="J361" s="2">
        <v>44562</v>
      </c>
      <c r="K361" s="2">
        <v>44927</v>
      </c>
      <c r="L361" s="2">
        <v>45292</v>
      </c>
      <c r="M361" s="2">
        <v>45658</v>
      </c>
      <c r="N361" s="2">
        <v>46023</v>
      </c>
      <c r="O361" s="2">
        <v>46388</v>
      </c>
      <c r="P361" s="2">
        <v>46753</v>
      </c>
      <c r="Q361" s="2">
        <v>47119</v>
      </c>
      <c r="R361" s="2">
        <v>47484</v>
      </c>
      <c r="S361" s="2">
        <v>47849</v>
      </c>
      <c r="T361" s="2">
        <v>48214</v>
      </c>
      <c r="U361" s="2">
        <v>48580</v>
      </c>
      <c r="V361" s="2">
        <v>48945</v>
      </c>
      <c r="W361" s="2">
        <v>49310</v>
      </c>
      <c r="X361" s="2">
        <v>49675</v>
      </c>
      <c r="Y361" s="2">
        <v>50041</v>
      </c>
      <c r="Z361" s="2">
        <v>50406</v>
      </c>
      <c r="AA361" s="2">
        <v>50771</v>
      </c>
      <c r="AB361" s="2">
        <v>51136</v>
      </c>
      <c r="AC361" s="2">
        <v>51502</v>
      </c>
      <c r="AD361" s="2">
        <v>51867</v>
      </c>
      <c r="AE361" s="2">
        <v>52232</v>
      </c>
      <c r="AF361" s="2">
        <v>52597</v>
      </c>
      <c r="AG361" s="2">
        <v>52963</v>
      </c>
      <c r="AH361" s="2">
        <v>53328</v>
      </c>
      <c r="AI361" s="2">
        <v>53693</v>
      </c>
      <c r="AJ361" s="2">
        <v>54058</v>
      </c>
      <c r="AK361" s="2">
        <v>54424</v>
      </c>
      <c r="AL361" s="2">
        <v>54789</v>
      </c>
      <c r="AM361" s="2">
        <v>54790</v>
      </c>
      <c r="AN361" s="2">
        <v>54791</v>
      </c>
      <c r="AO361" s="2">
        <v>54792</v>
      </c>
      <c r="AP361" s="2">
        <v>54793</v>
      </c>
      <c r="AQ361" s="2">
        <v>54794</v>
      </c>
      <c r="AR361" s="2">
        <v>54795</v>
      </c>
      <c r="AS361" s="2">
        <v>54796</v>
      </c>
      <c r="AT361" s="2">
        <v>54797</v>
      </c>
      <c r="AU361" s="2">
        <v>54798</v>
      </c>
      <c r="AV361" s="2">
        <v>54799</v>
      </c>
      <c r="AW361" s="2">
        <v>54800</v>
      </c>
      <c r="AX361" s="2">
        <v>54801</v>
      </c>
      <c r="AY361" s="2">
        <v>54802</v>
      </c>
      <c r="AZ361" s="2">
        <v>54803</v>
      </c>
      <c r="BA361" s="2">
        <v>54804</v>
      </c>
      <c r="BB361" s="2">
        <v>54805</v>
      </c>
      <c r="BC361" s="2">
        <v>54806</v>
      </c>
      <c r="BD361" s="2">
        <v>54807</v>
      </c>
      <c r="BE361" s="2">
        <v>54808</v>
      </c>
      <c r="BF361" s="2">
        <v>54809</v>
      </c>
    </row>
    <row r="362" spans="1:58" x14ac:dyDescent="0.35">
      <c r="A362" t="s">
        <v>38</v>
      </c>
      <c r="B362" t="s">
        <v>96</v>
      </c>
      <c r="C362" s="6">
        <f>C339+C346+C353</f>
        <v>7105.9689965623002</v>
      </c>
      <c r="D362" s="6">
        <f t="shared" ref="D362:AL362" si="207">D339+D346+D353</f>
        <v>7148.6079494165006</v>
      </c>
      <c r="E362" s="6">
        <f t="shared" si="207"/>
        <v>7237.0243034810001</v>
      </c>
      <c r="F362" s="6">
        <f t="shared" si="207"/>
        <v>7357.6224843331001</v>
      </c>
      <c r="G362" s="6">
        <f t="shared" si="207"/>
        <v>7501.1607292303006</v>
      </c>
      <c r="H362" s="6">
        <f t="shared" si="207"/>
        <v>7661.7348816950007</v>
      </c>
      <c r="I362" s="6">
        <f t="shared" si="207"/>
        <v>7834.4720628859995</v>
      </c>
      <c r="J362" s="6">
        <f t="shared" si="207"/>
        <v>8016.9314613470997</v>
      </c>
      <c r="K362" s="6">
        <f t="shared" si="207"/>
        <v>8207.3986379730995</v>
      </c>
      <c r="L362" s="6">
        <f t="shared" si="207"/>
        <v>8404.5681002229994</v>
      </c>
      <c r="M362" s="6">
        <f t="shared" si="207"/>
        <v>8609.4477686554001</v>
      </c>
      <c r="N362" s="6">
        <f t="shared" si="207"/>
        <v>8818.9584010119997</v>
      </c>
      <c r="O362" s="6">
        <f t="shared" si="207"/>
        <v>9032.2537007367009</v>
      </c>
      <c r="P362" s="6">
        <f t="shared" si="207"/>
        <v>9248.5510478295982</v>
      </c>
      <c r="Q362" s="6">
        <f t="shared" si="207"/>
        <v>9467.1661775531993</v>
      </c>
      <c r="R362" s="6">
        <f t="shared" si="207"/>
        <v>9687.5133878580018</v>
      </c>
      <c r="S362" s="6">
        <f t="shared" si="207"/>
        <v>9909.0936492536002</v>
      </c>
      <c r="T362" s="6">
        <f t="shared" si="207"/>
        <v>10131.4804978227</v>
      </c>
      <c r="U362" s="6">
        <f t="shared" si="207"/>
        <v>10354.308245282298</v>
      </c>
      <c r="V362" s="6">
        <f t="shared" si="207"/>
        <v>10577.263923751501</v>
      </c>
      <c r="W362" s="6">
        <f t="shared" si="207"/>
        <v>10798.435316132602</v>
      </c>
      <c r="X362" s="6">
        <f t="shared" si="207"/>
        <v>11019.343433594999</v>
      </c>
      <c r="Y362" s="6">
        <f t="shared" si="207"/>
        <v>11239.845688552001</v>
      </c>
      <c r="Z362" s="6">
        <f t="shared" si="207"/>
        <v>11459.862111102</v>
      </c>
      <c r="AA362" s="6">
        <f t="shared" si="207"/>
        <v>11679.338538624999</v>
      </c>
      <c r="AB362" s="6">
        <f t="shared" si="207"/>
        <v>11893.406699456</v>
      </c>
      <c r="AC362" s="6">
        <f t="shared" si="207"/>
        <v>12104.876704772001</v>
      </c>
      <c r="AD362" s="6">
        <f t="shared" si="207"/>
        <v>12313.957364797001</v>
      </c>
      <c r="AE362" s="6">
        <f t="shared" si="207"/>
        <v>12520.978261910001</v>
      </c>
      <c r="AF362" s="6">
        <f t="shared" si="207"/>
        <v>12726.309403937001</v>
      </c>
      <c r="AG362" s="6">
        <f t="shared" si="207"/>
        <v>12930.319651041</v>
      </c>
      <c r="AH362" s="6">
        <f t="shared" si="207"/>
        <v>13133.356752677</v>
      </c>
      <c r="AI362" s="6">
        <f t="shared" si="207"/>
        <v>13335.740707300001</v>
      </c>
      <c r="AJ362" s="6">
        <f t="shared" si="207"/>
        <v>13537.764455398001</v>
      </c>
      <c r="AK362" s="6">
        <f t="shared" si="207"/>
        <v>13739.697860297001</v>
      </c>
      <c r="AL362" s="6">
        <f t="shared" si="207"/>
        <v>13941.792585529001</v>
      </c>
      <c r="AM362" s="6">
        <f t="shared" ref="AM362:BC362" si="208">AM339+AM346+AM353</f>
        <v>14143.101344078001</v>
      </c>
      <c r="AN362" s="6">
        <f t="shared" si="208"/>
        <v>14343.912642103</v>
      </c>
      <c r="AO362" s="6">
        <f t="shared" si="208"/>
        <v>14544.527636752999</v>
      </c>
      <c r="AP362" s="6">
        <f t="shared" si="208"/>
        <v>14745.270926373001</v>
      </c>
      <c r="AQ362" s="6">
        <f t="shared" si="208"/>
        <v>14946.476690962001</v>
      </c>
      <c r="AR362" s="6">
        <f t="shared" si="208"/>
        <v>15148.471709756001</v>
      </c>
      <c r="AS362" s="6">
        <f t="shared" si="208"/>
        <v>15351.56243163</v>
      </c>
      <c r="AT362" s="6">
        <f t="shared" si="208"/>
        <v>15556.027673348999</v>
      </c>
      <c r="AU362" s="6">
        <f t="shared" si="208"/>
        <v>15762.116263721</v>
      </c>
      <c r="AV362" s="6">
        <f t="shared" si="208"/>
        <v>15970.048145929</v>
      </c>
      <c r="AW362" s="6">
        <f t="shared" si="208"/>
        <v>16180.124895737999</v>
      </c>
      <c r="AX362" s="6">
        <f t="shared" si="208"/>
        <v>16392.512744404001</v>
      </c>
      <c r="AY362" s="6">
        <f t="shared" si="208"/>
        <v>16607.357972736998</v>
      </c>
      <c r="AZ362" s="6">
        <f t="shared" si="208"/>
        <v>16824.789539489</v>
      </c>
      <c r="BA362" s="6">
        <f t="shared" si="208"/>
        <v>17044.923338356002</v>
      </c>
      <c r="BB362" s="6">
        <f t="shared" si="208"/>
        <v>17267.866077371003</v>
      </c>
      <c r="BC362" s="6">
        <f t="shared" si="208"/>
        <v>17493.718284209001</v>
      </c>
      <c r="BD362" s="6">
        <f t="shared" ref="BD362:BF362" si="209">BD339+BD346+BD353</f>
        <v>17722.576305424001</v>
      </c>
      <c r="BE362" s="6">
        <f t="shared" si="209"/>
        <v>17954.533601611998</v>
      </c>
      <c r="BF362" s="6">
        <f t="shared" si="209"/>
        <v>18189.681493541</v>
      </c>
    </row>
    <row r="363" spans="1:58" x14ac:dyDescent="0.35">
      <c r="B363" t="s">
        <v>97</v>
      </c>
      <c r="C363" s="6">
        <f t="shared" ref="C363:AL363" si="210">C340+C347+C354</f>
        <v>8263.1971436354015</v>
      </c>
      <c r="D363" s="6">
        <f t="shared" si="210"/>
        <v>8191.4772024361</v>
      </c>
      <c r="E363" s="6">
        <f t="shared" si="210"/>
        <v>8171.4940012272</v>
      </c>
      <c r="F363" s="6">
        <f t="shared" si="210"/>
        <v>8189.3068678032996</v>
      </c>
      <c r="G363" s="6">
        <f t="shared" si="210"/>
        <v>8235.2668183855003</v>
      </c>
      <c r="H363" s="6">
        <f t="shared" si="210"/>
        <v>8303.006569624702</v>
      </c>
      <c r="I363" s="6">
        <f t="shared" si="210"/>
        <v>8387.2261497507989</v>
      </c>
      <c r="J363" s="6">
        <f t="shared" si="210"/>
        <v>8485.0135615408999</v>
      </c>
      <c r="K363" s="6">
        <f t="shared" si="210"/>
        <v>8594.2080015790998</v>
      </c>
      <c r="L363" s="6">
        <f t="shared" si="210"/>
        <v>8713.0888924438004</v>
      </c>
      <c r="M363" s="6">
        <f t="shared" si="210"/>
        <v>8842.1536128887019</v>
      </c>
      <c r="N363" s="6">
        <f t="shared" si="210"/>
        <v>8978.0934127212004</v>
      </c>
      <c r="O363" s="6">
        <f t="shared" si="210"/>
        <v>9119.7410008170009</v>
      </c>
      <c r="P363" s="6">
        <f t="shared" si="210"/>
        <v>9266.0230022849009</v>
      </c>
      <c r="Q363" s="6">
        <f t="shared" si="210"/>
        <v>9415.9888988183993</v>
      </c>
      <c r="R363" s="6">
        <f t="shared" si="210"/>
        <v>9568.8081313699022</v>
      </c>
      <c r="S363" s="6">
        <f t="shared" si="210"/>
        <v>9723.7563717876019</v>
      </c>
      <c r="T363" s="6">
        <f t="shared" si="210"/>
        <v>9880.2000763978995</v>
      </c>
      <c r="U363" s="6">
        <f t="shared" si="210"/>
        <v>10037.583352999898</v>
      </c>
      <c r="V363" s="6">
        <f t="shared" si="210"/>
        <v>10195.4184184352</v>
      </c>
      <c r="W363" s="6">
        <f t="shared" si="210"/>
        <v>10351.783592937902</v>
      </c>
      <c r="X363" s="6">
        <f t="shared" si="210"/>
        <v>10507.900835934</v>
      </c>
      <c r="Y363" s="6">
        <f t="shared" si="210"/>
        <v>10663.485857796801</v>
      </c>
      <c r="Z363" s="6">
        <f t="shared" si="210"/>
        <v>10818.321791423999</v>
      </c>
      <c r="AA363" s="6">
        <f t="shared" si="210"/>
        <v>10972.224789268999</v>
      </c>
      <c r="AB363" s="6">
        <f t="shared" si="210"/>
        <v>11120.730930120999</v>
      </c>
      <c r="AC363" s="6">
        <f t="shared" si="210"/>
        <v>11266.265508304999</v>
      </c>
      <c r="AD363" s="6">
        <f t="shared" si="210"/>
        <v>11408.927322181</v>
      </c>
      <c r="AE363" s="6">
        <f t="shared" si="210"/>
        <v>11548.923760341002</v>
      </c>
      <c r="AF363" s="6">
        <f t="shared" si="210"/>
        <v>11686.497812820999</v>
      </c>
      <c r="AG363" s="6">
        <f t="shared" si="210"/>
        <v>11821.890737964</v>
      </c>
      <c r="AH363" s="6">
        <f t="shared" si="210"/>
        <v>11955.32426116</v>
      </c>
      <c r="AI363" s="6">
        <f t="shared" si="210"/>
        <v>12086.994512342999</v>
      </c>
      <c r="AJ363" s="6">
        <f t="shared" si="210"/>
        <v>12217.072587326</v>
      </c>
      <c r="AK363" s="6">
        <f t="shared" si="210"/>
        <v>12345.708040575999</v>
      </c>
      <c r="AL363" s="6">
        <f t="shared" si="210"/>
        <v>12473.032971254999</v>
      </c>
      <c r="AM363" s="6">
        <f t="shared" ref="AM363:BC363" si="211">AM340+AM347+AM354</f>
        <v>12598.158797432001</v>
      </c>
      <c r="AN363" s="6">
        <f t="shared" si="211"/>
        <v>12721.259278392001</v>
      </c>
      <c r="AO363" s="6">
        <f t="shared" si="211"/>
        <v>12842.517726605</v>
      </c>
      <c r="AP363" s="6">
        <f t="shared" si="211"/>
        <v>12962.134649181999</v>
      </c>
      <c r="AQ363" s="6">
        <f t="shared" si="211"/>
        <v>13080.315145048</v>
      </c>
      <c r="AR363" s="6">
        <f t="shared" si="211"/>
        <v>13197.254296831001</v>
      </c>
      <c r="AS363" s="6">
        <f t="shared" si="211"/>
        <v>13313.126378356999</v>
      </c>
      <c r="AT363" s="6">
        <f t="shared" si="211"/>
        <v>13428.079017534999</v>
      </c>
      <c r="AU363" s="6">
        <f t="shared" si="211"/>
        <v>13542.231620991999</v>
      </c>
      <c r="AV363" s="6">
        <f t="shared" si="211"/>
        <v>13655.676561938</v>
      </c>
      <c r="AW363" s="6">
        <f t="shared" si="211"/>
        <v>13768.568747845</v>
      </c>
      <c r="AX363" s="6">
        <f t="shared" si="211"/>
        <v>13880.949523145</v>
      </c>
      <c r="AY363" s="6">
        <f t="shared" si="211"/>
        <v>13992.841381830001</v>
      </c>
      <c r="AZ363" s="6">
        <f t="shared" si="211"/>
        <v>14104.250490142</v>
      </c>
      <c r="BA363" s="6">
        <f t="shared" si="211"/>
        <v>14215.17035715</v>
      </c>
      <c r="BB363" s="6">
        <f t="shared" si="211"/>
        <v>14325.58503821</v>
      </c>
      <c r="BC363" s="6">
        <f t="shared" si="211"/>
        <v>14435.471584240999</v>
      </c>
      <c r="BD363" s="6">
        <f t="shared" ref="BD363:BF363" si="212">BD340+BD347+BD354</f>
        <v>14544.801594753002</v>
      </c>
      <c r="BE363" s="6">
        <f t="shared" si="212"/>
        <v>14653.542193105</v>
      </c>
      <c r="BF363" s="6">
        <f t="shared" si="212"/>
        <v>14761.656456934001</v>
      </c>
    </row>
    <row r="364" spans="1:58" x14ac:dyDescent="0.35">
      <c r="B364" t="s">
        <v>98</v>
      </c>
      <c r="C364" s="6">
        <f t="shared" ref="C364:AL364" si="213">C341+C348+C355</f>
        <v>6787.4105911386005</v>
      </c>
      <c r="D364" s="6">
        <f t="shared" si="213"/>
        <v>6654.3319331978</v>
      </c>
      <c r="E364" s="6">
        <f t="shared" si="213"/>
        <v>6562.8867338948003</v>
      </c>
      <c r="F364" s="6">
        <f t="shared" si="213"/>
        <v>6502.7826739154998</v>
      </c>
      <c r="G364" s="6">
        <f t="shared" si="213"/>
        <v>6466.7792611464001</v>
      </c>
      <c r="H364" s="6">
        <f t="shared" si="213"/>
        <v>6449.9645294337006</v>
      </c>
      <c r="I364" s="6">
        <f t="shared" si="213"/>
        <v>6448.2215152668996</v>
      </c>
      <c r="J364" s="6">
        <f t="shared" si="213"/>
        <v>6459.1254926871006</v>
      </c>
      <c r="K364" s="6">
        <f t="shared" si="213"/>
        <v>6480.8112025351002</v>
      </c>
      <c r="L364" s="6">
        <f t="shared" si="213"/>
        <v>6511.7531265046009</v>
      </c>
      <c r="M364" s="6">
        <f t="shared" si="213"/>
        <v>6551.9618489731993</v>
      </c>
      <c r="N364" s="6">
        <f t="shared" si="213"/>
        <v>6598.8951116772996</v>
      </c>
      <c r="O364" s="6">
        <f t="shared" si="213"/>
        <v>6651.4937897264999</v>
      </c>
      <c r="P364" s="6">
        <f t="shared" si="213"/>
        <v>6708.7880009646005</v>
      </c>
      <c r="Q364" s="6">
        <f t="shared" si="213"/>
        <v>6769.9140680343007</v>
      </c>
      <c r="R364" s="6">
        <f t="shared" si="213"/>
        <v>6834.1102861869003</v>
      </c>
      <c r="S364" s="6">
        <f t="shared" si="213"/>
        <v>6900.7057350876003</v>
      </c>
      <c r="T364" s="6">
        <f t="shared" si="213"/>
        <v>6969.1081695891999</v>
      </c>
      <c r="U364" s="6">
        <f t="shared" si="213"/>
        <v>7038.7935957216005</v>
      </c>
      <c r="V364" s="6">
        <f t="shared" si="213"/>
        <v>7109.2983356304003</v>
      </c>
      <c r="W364" s="6">
        <f t="shared" si="213"/>
        <v>7179.2336010909003</v>
      </c>
      <c r="X364" s="6">
        <f t="shared" si="213"/>
        <v>7249.2890684867998</v>
      </c>
      <c r="Y364" s="6">
        <f t="shared" si="213"/>
        <v>7319.1725413115</v>
      </c>
      <c r="Z364" s="6">
        <f t="shared" si="213"/>
        <v>7388.6446855529994</v>
      </c>
      <c r="AA364" s="6">
        <f t="shared" si="213"/>
        <v>7457.4958215632005</v>
      </c>
      <c r="AB364" s="6">
        <f t="shared" si="213"/>
        <v>7522.7723208344005</v>
      </c>
      <c r="AC364" s="6">
        <f t="shared" si="213"/>
        <v>7585.9818847373008</v>
      </c>
      <c r="AD364" s="6">
        <f t="shared" si="213"/>
        <v>7647.1323670973006</v>
      </c>
      <c r="AE364" s="6">
        <f t="shared" si="213"/>
        <v>7706.3034659693003</v>
      </c>
      <c r="AF364" s="6">
        <f t="shared" si="213"/>
        <v>7763.5989962125996</v>
      </c>
      <c r="AG364" s="6">
        <f t="shared" si="213"/>
        <v>7819.1226729123</v>
      </c>
      <c r="AH364" s="6">
        <f t="shared" si="213"/>
        <v>7872.9666375054994</v>
      </c>
      <c r="AI364" s="6">
        <f t="shared" si="213"/>
        <v>7925.2075898737994</v>
      </c>
      <c r="AJ364" s="6">
        <f t="shared" si="213"/>
        <v>7975.9070954768004</v>
      </c>
      <c r="AK364" s="6">
        <f t="shared" si="213"/>
        <v>8025.1137868426003</v>
      </c>
      <c r="AL364" s="6">
        <f t="shared" si="213"/>
        <v>8072.8659966958003</v>
      </c>
      <c r="AM364" s="6">
        <f t="shared" ref="AM364:BC364" si="214">AM341+AM348+AM355</f>
        <v>8118.5762728954996</v>
      </c>
      <c r="AN364" s="6">
        <f t="shared" si="214"/>
        <v>8162.3179539678995</v>
      </c>
      <c r="AO364" s="6">
        <f t="shared" si="214"/>
        <v>8204.170975381101</v>
      </c>
      <c r="AP364" s="6">
        <f t="shared" si="214"/>
        <v>8244.2257573857005</v>
      </c>
      <c r="AQ364" s="6">
        <f t="shared" si="214"/>
        <v>8282.5749993563004</v>
      </c>
      <c r="AR364" s="6">
        <f t="shared" si="214"/>
        <v>8319.304682456599</v>
      </c>
      <c r="AS364" s="6">
        <f t="shared" si="214"/>
        <v>8354.4876647066994</v>
      </c>
      <c r="AT364" s="6">
        <f t="shared" si="214"/>
        <v>8388.1803950025005</v>
      </c>
      <c r="AU364" s="6">
        <f t="shared" si="214"/>
        <v>8420.4222165455994</v>
      </c>
      <c r="AV364" s="6">
        <f t="shared" si="214"/>
        <v>8451.2363829152</v>
      </c>
      <c r="AW364" s="6">
        <f t="shared" si="214"/>
        <v>8480.682566699501</v>
      </c>
      <c r="AX364" s="6">
        <f t="shared" si="214"/>
        <v>8508.7536704125014</v>
      </c>
      <c r="AY364" s="6">
        <f t="shared" si="214"/>
        <v>8535.4321031757991</v>
      </c>
      <c r="AZ364" s="6">
        <f t="shared" si="214"/>
        <v>8560.6915363603985</v>
      </c>
      <c r="BA364" s="6">
        <f t="shared" si="214"/>
        <v>8584.4992390791995</v>
      </c>
      <c r="BB364" s="6">
        <f t="shared" si="214"/>
        <v>8606.8181042544002</v>
      </c>
      <c r="BC364" s="6">
        <f t="shared" si="214"/>
        <v>8627.6081274426997</v>
      </c>
      <c r="BD364" s="6">
        <f t="shared" ref="BD364:BF364" si="215">BD341+BD348+BD355</f>
        <v>8646.8273847194014</v>
      </c>
      <c r="BE364" s="6">
        <f t="shared" si="215"/>
        <v>8664.4326132305996</v>
      </c>
      <c r="BF364" s="6">
        <f t="shared" si="215"/>
        <v>8680.3795297239012</v>
      </c>
    </row>
    <row r="365" spans="1:58" x14ac:dyDescent="0.35">
      <c r="B365" t="s">
        <v>99</v>
      </c>
      <c r="C365" s="6">
        <f t="shared" ref="C365:AL365" si="216">C342+C349+C356</f>
        <v>4165.6835237371006</v>
      </c>
      <c r="D365" s="6">
        <f t="shared" si="216"/>
        <v>4059.4894478744995</v>
      </c>
      <c r="E365" s="6">
        <f t="shared" si="216"/>
        <v>3977.1828066960998</v>
      </c>
      <c r="F365" s="6">
        <f t="shared" si="216"/>
        <v>3912.5281139336003</v>
      </c>
      <c r="G365" s="6">
        <f t="shared" si="216"/>
        <v>3861.1167144476999</v>
      </c>
      <c r="H365" s="6">
        <f t="shared" si="216"/>
        <v>3819.9091145989</v>
      </c>
      <c r="I365" s="6">
        <f t="shared" si="216"/>
        <v>3786.3863194447999</v>
      </c>
      <c r="J365" s="6">
        <f t="shared" si="216"/>
        <v>3759.0070597888998</v>
      </c>
      <c r="K365" s="6">
        <f t="shared" si="216"/>
        <v>3736.5835187339003</v>
      </c>
      <c r="L365" s="6">
        <f t="shared" si="216"/>
        <v>3718.1514748649001</v>
      </c>
      <c r="M365" s="6">
        <f t="shared" si="216"/>
        <v>3703.5542289684995</v>
      </c>
      <c r="N365" s="6">
        <f t="shared" si="216"/>
        <v>3691.3753459489999</v>
      </c>
      <c r="O365" s="6">
        <f t="shared" si="216"/>
        <v>3680.9814441684998</v>
      </c>
      <c r="P365" s="6">
        <f t="shared" si="216"/>
        <v>3671.8094286823998</v>
      </c>
      <c r="Q365" s="6">
        <f t="shared" si="216"/>
        <v>3663.3711182203006</v>
      </c>
      <c r="R365" s="6">
        <f t="shared" si="216"/>
        <v>3655.2479786033996</v>
      </c>
      <c r="S365" s="6">
        <f t="shared" si="216"/>
        <v>3647.0831162421</v>
      </c>
      <c r="T365" s="6">
        <f t="shared" si="216"/>
        <v>3638.5732221783001</v>
      </c>
      <c r="U365" s="6">
        <f t="shared" si="216"/>
        <v>3629.4615623801001</v>
      </c>
      <c r="V365" s="6">
        <f t="shared" si="216"/>
        <v>3619.5322284447002</v>
      </c>
      <c r="W365" s="6">
        <f t="shared" si="216"/>
        <v>3608.1836133209999</v>
      </c>
      <c r="X365" s="6">
        <f t="shared" si="216"/>
        <v>3595.7327151646</v>
      </c>
      <c r="Y365" s="6">
        <f t="shared" si="216"/>
        <v>3582.0697501013001</v>
      </c>
      <c r="Z365" s="6">
        <f t="shared" si="216"/>
        <v>3567.1126876810999</v>
      </c>
      <c r="AA365" s="6">
        <f t="shared" si="216"/>
        <v>3550.7967938168999</v>
      </c>
      <c r="AB365" s="6">
        <f t="shared" si="216"/>
        <v>3531.9764775086001</v>
      </c>
      <c r="AC365" s="6">
        <f t="shared" si="216"/>
        <v>3511.3204914168</v>
      </c>
      <c r="AD365" s="6">
        <f t="shared" si="216"/>
        <v>3488.8877930716003</v>
      </c>
      <c r="AE365" s="6">
        <f t="shared" si="216"/>
        <v>3464.7617122849006</v>
      </c>
      <c r="AF365" s="6">
        <f t="shared" si="216"/>
        <v>3439.0304645056999</v>
      </c>
      <c r="AG365" s="6">
        <f t="shared" si="216"/>
        <v>3411.7781208869001</v>
      </c>
      <c r="AH365" s="6">
        <f t="shared" si="216"/>
        <v>3383.0808586087001</v>
      </c>
      <c r="AI365" s="6">
        <f t="shared" si="216"/>
        <v>3353.0061649720997</v>
      </c>
      <c r="AJ365" s="6">
        <f t="shared" si="216"/>
        <v>3321.61358591</v>
      </c>
      <c r="AK365" s="6">
        <f t="shared" si="216"/>
        <v>3288.9561394525999</v>
      </c>
      <c r="AL365" s="6">
        <f t="shared" si="216"/>
        <v>3255.0818390942004</v>
      </c>
      <c r="AM365" s="6">
        <f t="shared" ref="AM365:BC365" si="217">AM342+AM349+AM356</f>
        <v>3219.8370929346997</v>
      </c>
      <c r="AN365" s="6">
        <f t="shared" si="217"/>
        <v>3183.2913533814999</v>
      </c>
      <c r="AO365" s="6">
        <f t="shared" si="217"/>
        <v>3145.5156290369</v>
      </c>
      <c r="AP365" s="6">
        <f t="shared" si="217"/>
        <v>3106.5828324495001</v>
      </c>
      <c r="AQ365" s="6">
        <f t="shared" si="217"/>
        <v>3066.5648716863002</v>
      </c>
      <c r="AR365" s="6">
        <f t="shared" si="217"/>
        <v>3025.5300569951</v>
      </c>
      <c r="AS365" s="6">
        <f t="shared" si="217"/>
        <v>2983.5416199467995</v>
      </c>
      <c r="AT365" s="6">
        <f t="shared" si="217"/>
        <v>2940.6573106347996</v>
      </c>
      <c r="AU365" s="6">
        <f t="shared" si="217"/>
        <v>2896.9297734482998</v>
      </c>
      <c r="AV365" s="6">
        <f t="shared" si="217"/>
        <v>2852.4073646034999</v>
      </c>
      <c r="AW365" s="6">
        <f t="shared" si="217"/>
        <v>2807.1480141582997</v>
      </c>
      <c r="AX365" s="6">
        <f t="shared" si="217"/>
        <v>2761.1925036226999</v>
      </c>
      <c r="AY365" s="6">
        <f t="shared" si="217"/>
        <v>2714.5800812923999</v>
      </c>
      <c r="AZ365" s="6">
        <f t="shared" si="217"/>
        <v>2667.3492455107998</v>
      </c>
      <c r="BA365" s="6">
        <f t="shared" si="217"/>
        <v>2619.5385469618004</v>
      </c>
      <c r="BB365" s="6">
        <f t="shared" si="217"/>
        <v>2571.1871813671996</v>
      </c>
      <c r="BC365" s="6">
        <f t="shared" si="217"/>
        <v>2522.3353751458999</v>
      </c>
      <c r="BD365" s="6">
        <f t="shared" ref="BD365:BF365" si="218">BD342+BD349+BD356</f>
        <v>2473.0245772380999</v>
      </c>
      <c r="BE365" s="6">
        <f t="shared" si="218"/>
        <v>2423.2975324383001</v>
      </c>
      <c r="BF365" s="6">
        <f t="shared" si="218"/>
        <v>2373.1982555210002</v>
      </c>
    </row>
    <row r="366" spans="1:58" x14ac:dyDescent="0.35">
      <c r="B366" t="s">
        <v>100</v>
      </c>
      <c r="C366" s="6">
        <f t="shared" ref="C366:AL366" si="219">C343+C350+C357</f>
        <v>2507.3524895615005</v>
      </c>
      <c r="D366" s="6">
        <f t="shared" si="219"/>
        <v>2445.7479924651002</v>
      </c>
      <c r="E366" s="6">
        <f t="shared" si="219"/>
        <v>2397.6167809656999</v>
      </c>
      <c r="F366" s="6">
        <f t="shared" si="219"/>
        <v>2358.9800925629002</v>
      </c>
      <c r="G366" s="6">
        <f t="shared" si="219"/>
        <v>2327.0529606569999</v>
      </c>
      <c r="H366" s="6">
        <f t="shared" si="219"/>
        <v>2299.9315462125001</v>
      </c>
      <c r="I366" s="6">
        <f t="shared" si="219"/>
        <v>2276.0711465031</v>
      </c>
      <c r="J366" s="6">
        <f t="shared" si="219"/>
        <v>2254.5454656367001</v>
      </c>
      <c r="K366" s="6">
        <f t="shared" si="219"/>
        <v>2234.6640457646995</v>
      </c>
      <c r="L366" s="6">
        <f t="shared" si="219"/>
        <v>2215.8878005911997</v>
      </c>
      <c r="M366" s="6">
        <f t="shared" si="219"/>
        <v>2198.1482439769998</v>
      </c>
      <c r="N366" s="6">
        <f t="shared" si="219"/>
        <v>2180.6763131398002</v>
      </c>
      <c r="O366" s="6">
        <f t="shared" si="219"/>
        <v>2163.1600261354997</v>
      </c>
      <c r="P366" s="6">
        <f t="shared" si="219"/>
        <v>2145.3363667416002</v>
      </c>
      <c r="Q366" s="6">
        <f t="shared" si="219"/>
        <v>2126.9916795559998</v>
      </c>
      <c r="R366" s="6">
        <f t="shared" si="219"/>
        <v>2107.9569430019001</v>
      </c>
      <c r="S366" s="6">
        <f t="shared" si="219"/>
        <v>2088.1019084035001</v>
      </c>
      <c r="T366" s="6">
        <f t="shared" si="219"/>
        <v>2067.3294650562998</v>
      </c>
      <c r="U366" s="6">
        <f t="shared" si="219"/>
        <v>2045.5707065214001</v>
      </c>
      <c r="V366" s="6">
        <f t="shared" si="219"/>
        <v>2022.7807844434999</v>
      </c>
      <c r="W366" s="6">
        <f t="shared" si="219"/>
        <v>1998.7286952637999</v>
      </c>
      <c r="X366" s="6">
        <f t="shared" si="219"/>
        <v>1973.6409257098001</v>
      </c>
      <c r="Y366" s="6">
        <f t="shared" si="219"/>
        <v>1947.5298759868001</v>
      </c>
      <c r="Z366" s="6">
        <f t="shared" si="219"/>
        <v>1920.4206596955999</v>
      </c>
      <c r="AA366" s="6">
        <f t="shared" si="219"/>
        <v>1892.3458106951</v>
      </c>
      <c r="AB366" s="6">
        <f t="shared" si="219"/>
        <v>1862.8465917403998</v>
      </c>
      <c r="AC366" s="6">
        <f t="shared" si="219"/>
        <v>1832.3047959600001</v>
      </c>
      <c r="AD366" s="6">
        <f t="shared" si="219"/>
        <v>1800.8151899757002</v>
      </c>
      <c r="AE366" s="6">
        <f t="shared" si="219"/>
        <v>1768.4787455511</v>
      </c>
      <c r="AF366" s="6">
        <f t="shared" si="219"/>
        <v>1735.3938352808</v>
      </c>
      <c r="AG366" s="6">
        <f t="shared" si="219"/>
        <v>1701.6526086781</v>
      </c>
      <c r="AH366" s="6">
        <f t="shared" si="219"/>
        <v>1667.3398386232</v>
      </c>
      <c r="AI366" s="6">
        <f t="shared" si="219"/>
        <v>1632.5330456160998</v>
      </c>
      <c r="AJ366" s="6">
        <f t="shared" si="219"/>
        <v>1597.3032550713999</v>
      </c>
      <c r="AK366" s="6">
        <f t="shared" si="219"/>
        <v>1561.7159809740999</v>
      </c>
      <c r="AL366" s="6">
        <f t="shared" si="219"/>
        <v>1525.8322098547999</v>
      </c>
      <c r="AM366" s="6">
        <f t="shared" ref="AM366:BC366" si="220">AM343+AM350+AM357</f>
        <v>1489.6350821495</v>
      </c>
      <c r="AN366" s="6">
        <f t="shared" si="220"/>
        <v>1453.1932320945</v>
      </c>
      <c r="AO366" s="6">
        <f t="shared" si="220"/>
        <v>1416.5736223393003</v>
      </c>
      <c r="AP366" s="6">
        <f t="shared" si="220"/>
        <v>1379.8414311145</v>
      </c>
      <c r="AQ366" s="6">
        <f t="shared" si="220"/>
        <v>1343.0589683054002</v>
      </c>
      <c r="AR366" s="6">
        <f t="shared" si="220"/>
        <v>1306.2848619397</v>
      </c>
      <c r="AS366" s="6">
        <f t="shared" si="220"/>
        <v>1269.5737540538</v>
      </c>
      <c r="AT366" s="6">
        <f t="shared" si="220"/>
        <v>1232.9763807621</v>
      </c>
      <c r="AU366" s="6">
        <f t="shared" si="220"/>
        <v>1196.5399068564</v>
      </c>
      <c r="AV366" s="6">
        <f t="shared" si="220"/>
        <v>1160.3083731154998</v>
      </c>
      <c r="AW366" s="6">
        <f t="shared" si="220"/>
        <v>1124.3270541901002</v>
      </c>
      <c r="AX366" s="6">
        <f t="shared" si="220"/>
        <v>1088.6342271067001</v>
      </c>
      <c r="AY366" s="6">
        <f t="shared" si="220"/>
        <v>1053.2662558075999</v>
      </c>
      <c r="AZ366" s="6">
        <f t="shared" si="220"/>
        <v>1018.2578854988</v>
      </c>
      <c r="BA366" s="6">
        <f t="shared" si="220"/>
        <v>983.64249143439997</v>
      </c>
      <c r="BB366" s="6">
        <f t="shared" si="220"/>
        <v>949.45222757320005</v>
      </c>
      <c r="BC366" s="6">
        <f t="shared" si="220"/>
        <v>915.71808985700011</v>
      </c>
      <c r="BD366" s="6">
        <f t="shared" ref="BD366:BF366" si="221">BD343+BD350+BD357</f>
        <v>882.46991321480004</v>
      </c>
      <c r="BE366" s="6">
        <f t="shared" si="221"/>
        <v>849.73632711209996</v>
      </c>
      <c r="BF366" s="6">
        <f t="shared" si="221"/>
        <v>817.54468622790012</v>
      </c>
    </row>
    <row r="367" spans="1:58" x14ac:dyDescent="0.35">
      <c r="B367" t="s">
        <v>101</v>
      </c>
      <c r="C367" s="6">
        <f t="shared" ref="C367:AL367" si="222">C344+C351+C358</f>
        <v>1245.466605953</v>
      </c>
      <c r="D367" s="6">
        <f t="shared" si="222"/>
        <v>1212.1438348709</v>
      </c>
      <c r="E367" s="6">
        <f t="shared" si="222"/>
        <v>1184.06248968</v>
      </c>
      <c r="F367" s="6">
        <f t="shared" si="222"/>
        <v>1159.0558653913001</v>
      </c>
      <c r="G367" s="6">
        <f t="shared" si="222"/>
        <v>1135.6771474861</v>
      </c>
      <c r="H367" s="6">
        <f t="shared" si="222"/>
        <v>1112.9907634672998</v>
      </c>
      <c r="I367" s="6">
        <f t="shared" si="222"/>
        <v>1090.3127242564001</v>
      </c>
      <c r="J367" s="6">
        <f t="shared" si="222"/>
        <v>1067.2941620931001</v>
      </c>
      <c r="K367" s="6">
        <f t="shared" si="222"/>
        <v>1043.7335249150999</v>
      </c>
      <c r="L367" s="6">
        <f t="shared" si="222"/>
        <v>1019.5245115058</v>
      </c>
      <c r="M367" s="6">
        <f t="shared" si="222"/>
        <v>994.75113938900006</v>
      </c>
      <c r="N367" s="6">
        <f t="shared" si="222"/>
        <v>969.26210503779998</v>
      </c>
      <c r="O367" s="6">
        <f t="shared" si="222"/>
        <v>943.0852878915</v>
      </c>
      <c r="P367" s="6">
        <f t="shared" si="222"/>
        <v>916.27270909410004</v>
      </c>
      <c r="Q367" s="6">
        <f t="shared" si="222"/>
        <v>888.89609875579993</v>
      </c>
      <c r="R367" s="6">
        <f t="shared" si="222"/>
        <v>861.04169046909999</v>
      </c>
      <c r="S367" s="6">
        <f t="shared" si="222"/>
        <v>832.80549879289993</v>
      </c>
      <c r="T367" s="6">
        <f t="shared" si="222"/>
        <v>804.28930330819992</v>
      </c>
      <c r="U367" s="6">
        <f t="shared" si="222"/>
        <v>775.59732995510001</v>
      </c>
      <c r="V367" s="6">
        <f t="shared" si="222"/>
        <v>746.83356667920009</v>
      </c>
      <c r="W367" s="6">
        <f t="shared" si="222"/>
        <v>718.05521478410003</v>
      </c>
      <c r="X367" s="6">
        <f t="shared" si="222"/>
        <v>689.41396183359996</v>
      </c>
      <c r="Y367" s="6">
        <f t="shared" si="222"/>
        <v>661.00243129989997</v>
      </c>
      <c r="Z367" s="6">
        <f t="shared" si="222"/>
        <v>632.90648017759997</v>
      </c>
      <c r="AA367" s="6">
        <f t="shared" si="222"/>
        <v>605.20432322469992</v>
      </c>
      <c r="AB367" s="6">
        <f t="shared" si="222"/>
        <v>577.88530149739995</v>
      </c>
      <c r="AC367" s="6">
        <f t="shared" si="222"/>
        <v>551.07757853989995</v>
      </c>
      <c r="AD367" s="6">
        <f t="shared" si="222"/>
        <v>524.84823040610001</v>
      </c>
      <c r="AE367" s="6">
        <f t="shared" si="222"/>
        <v>499.25526874500002</v>
      </c>
      <c r="AF367" s="6">
        <f t="shared" si="222"/>
        <v>474.34706165869994</v>
      </c>
      <c r="AG367" s="6">
        <f t="shared" si="222"/>
        <v>450.16278223609999</v>
      </c>
      <c r="AH367" s="6">
        <f t="shared" si="222"/>
        <v>426.73320713480001</v>
      </c>
      <c r="AI367" s="6">
        <f t="shared" si="222"/>
        <v>404.08161261429996</v>
      </c>
      <c r="AJ367" s="6">
        <f t="shared" si="222"/>
        <v>382.22466109249996</v>
      </c>
      <c r="AK367" s="6">
        <f t="shared" si="222"/>
        <v>361.1732224621</v>
      </c>
      <c r="AL367" s="6">
        <f t="shared" si="222"/>
        <v>340.9331085211</v>
      </c>
      <c r="AM367" s="6">
        <f t="shared" ref="AM367:BC367" si="223">AM344+AM351+AM358</f>
        <v>321.49961037190002</v>
      </c>
      <c r="AN367" s="6">
        <f t="shared" si="223"/>
        <v>302.87251583289998</v>
      </c>
      <c r="AO367" s="6">
        <f t="shared" si="223"/>
        <v>285.04798216379999</v>
      </c>
      <c r="AP367" s="6">
        <f t="shared" si="223"/>
        <v>268.01884441940001</v>
      </c>
      <c r="AQ367" s="6">
        <f t="shared" si="223"/>
        <v>251.77489325569999</v>
      </c>
      <c r="AR367" s="6">
        <f t="shared" si="223"/>
        <v>236.3031949418</v>
      </c>
      <c r="AS367" s="6">
        <f t="shared" si="223"/>
        <v>221.58843731260004</v>
      </c>
      <c r="AT367" s="6">
        <f t="shared" si="223"/>
        <v>207.61327421919998</v>
      </c>
      <c r="AU367" s="6">
        <f t="shared" si="223"/>
        <v>194.35865181330001</v>
      </c>
      <c r="AV367" s="6">
        <f t="shared" si="223"/>
        <v>181.80410778359999</v>
      </c>
      <c r="AW367" s="6">
        <f t="shared" si="223"/>
        <v>169.92818995139999</v>
      </c>
      <c r="AX367" s="6">
        <f t="shared" si="223"/>
        <v>158.7083309599</v>
      </c>
      <c r="AY367" s="6">
        <f t="shared" si="223"/>
        <v>148.12128529669999</v>
      </c>
      <c r="AZ367" s="6">
        <f t="shared" si="223"/>
        <v>138.14331985530001</v>
      </c>
      <c r="BA367" s="6">
        <f t="shared" si="223"/>
        <v>128.75038201689998</v>
      </c>
      <c r="BB367" s="6">
        <f t="shared" si="223"/>
        <v>119.91824877410001</v>
      </c>
      <c r="BC367" s="6">
        <f t="shared" si="223"/>
        <v>111.6226591113</v>
      </c>
      <c r="BD367" s="6">
        <f t="shared" ref="BD367:BF367" si="224">BD344+BD351+BD358</f>
        <v>103.8394336752</v>
      </c>
      <c r="BE367" s="6">
        <f t="shared" si="224"/>
        <v>96.544582399999996</v>
      </c>
      <c r="BF367" s="6">
        <f t="shared" si="224"/>
        <v>89.71440297880001</v>
      </c>
    </row>
    <row r="368" spans="1:58" x14ac:dyDescent="0.35">
      <c r="B368" t="s">
        <v>102</v>
      </c>
      <c r="C368" s="6">
        <f t="shared" ref="C368:AL368" si="225">C345+C352+C359</f>
        <v>2242.8616504070001</v>
      </c>
      <c r="D368" s="6">
        <f t="shared" si="225"/>
        <v>2186.1404650561999</v>
      </c>
      <c r="E368" s="6">
        <f t="shared" si="225"/>
        <v>2136.3843356276002</v>
      </c>
      <c r="F368" s="6">
        <f t="shared" si="225"/>
        <v>2089.3424420036004</v>
      </c>
      <c r="G368" s="6">
        <f t="shared" si="225"/>
        <v>2042.3722131434999</v>
      </c>
      <c r="H368" s="6">
        <f t="shared" si="225"/>
        <v>1993.9407734114</v>
      </c>
      <c r="I368" s="6">
        <f t="shared" si="225"/>
        <v>1943.1073264340998</v>
      </c>
      <c r="J368" s="6">
        <f t="shared" si="225"/>
        <v>1889.6023434562001</v>
      </c>
      <c r="K368" s="6">
        <f t="shared" si="225"/>
        <v>1833.4599339222</v>
      </c>
      <c r="L368" s="6">
        <f t="shared" si="225"/>
        <v>1774.8965559897001</v>
      </c>
      <c r="M368" s="6">
        <f t="shared" si="225"/>
        <v>1714.4120926831999</v>
      </c>
      <c r="N368" s="6">
        <f t="shared" si="225"/>
        <v>1652.1615796251001</v>
      </c>
      <c r="O368" s="6">
        <f t="shared" si="225"/>
        <v>1588.5477556093999</v>
      </c>
      <c r="P368" s="6">
        <f t="shared" si="225"/>
        <v>1523.9836530657001</v>
      </c>
      <c r="Q368" s="6">
        <f t="shared" si="225"/>
        <v>1458.8797533999</v>
      </c>
      <c r="R368" s="6">
        <f t="shared" si="225"/>
        <v>1393.6326607773999</v>
      </c>
      <c r="S368" s="6">
        <f t="shared" si="225"/>
        <v>1328.6165126327001</v>
      </c>
      <c r="T368" s="6">
        <f t="shared" si="225"/>
        <v>1264.1768859448</v>
      </c>
      <c r="U368" s="6">
        <f t="shared" si="225"/>
        <v>1200.6267863698999</v>
      </c>
      <c r="V368" s="6">
        <f t="shared" si="225"/>
        <v>1138.2443470317</v>
      </c>
      <c r="W368" s="6">
        <f t="shared" si="225"/>
        <v>1077.2310809078999</v>
      </c>
      <c r="X368" s="6">
        <f t="shared" si="225"/>
        <v>1017.8464636063001</v>
      </c>
      <c r="Y368" s="6">
        <f t="shared" si="225"/>
        <v>960.26223352610009</v>
      </c>
      <c r="Z368" s="6">
        <f t="shared" si="225"/>
        <v>904.61650387150007</v>
      </c>
      <c r="AA368" s="6">
        <f t="shared" si="225"/>
        <v>851.01604229149996</v>
      </c>
      <c r="AB368" s="6">
        <f t="shared" si="225"/>
        <v>799.48058306790006</v>
      </c>
      <c r="AC368" s="6">
        <f t="shared" si="225"/>
        <v>750.11574786120002</v>
      </c>
      <c r="AD368" s="6">
        <f t="shared" si="225"/>
        <v>702.96111659019994</v>
      </c>
      <c r="AE368" s="6">
        <f t="shared" si="225"/>
        <v>658.03321586420009</v>
      </c>
      <c r="AF368" s="6">
        <f t="shared" si="225"/>
        <v>615.32804552829998</v>
      </c>
      <c r="AG368" s="6">
        <f t="shared" si="225"/>
        <v>574.82412474069997</v>
      </c>
      <c r="AH368" s="6">
        <f t="shared" si="225"/>
        <v>536.4854485226</v>
      </c>
      <c r="AI368" s="6">
        <f t="shared" si="225"/>
        <v>500.26417510729999</v>
      </c>
      <c r="AJ368" s="6">
        <f t="shared" si="225"/>
        <v>466.10299996949993</v>
      </c>
      <c r="AK368" s="6">
        <f t="shared" si="225"/>
        <v>433.93721685679998</v>
      </c>
      <c r="AL368" s="6">
        <f t="shared" si="225"/>
        <v>403.6964879468</v>
      </c>
      <c r="AM368" s="6">
        <f t="shared" ref="AM368:BC368" si="226">AM345+AM352+AM359</f>
        <v>375.30394130589997</v>
      </c>
      <c r="AN368" s="6">
        <f t="shared" si="226"/>
        <v>348.68349511799994</v>
      </c>
      <c r="AO368" s="6">
        <f t="shared" si="226"/>
        <v>323.75703157700002</v>
      </c>
      <c r="AP368" s="6">
        <f t="shared" si="226"/>
        <v>300.44528802560001</v>
      </c>
      <c r="AQ368" s="6">
        <f t="shared" si="226"/>
        <v>278.6686414692</v>
      </c>
      <c r="AR368" s="6">
        <f t="shared" si="226"/>
        <v>258.34780928919997</v>
      </c>
      <c r="AS368" s="6">
        <f t="shared" si="226"/>
        <v>239.40445763389999</v>
      </c>
      <c r="AT368" s="6">
        <f t="shared" si="226"/>
        <v>221.76171461769999</v>
      </c>
      <c r="AU368" s="6">
        <f t="shared" si="226"/>
        <v>205.34459132710001</v>
      </c>
      <c r="AV368" s="6">
        <f t="shared" si="226"/>
        <v>190.08031826109999</v>
      </c>
      <c r="AW368" s="6">
        <f t="shared" si="226"/>
        <v>175.89863859099998</v>
      </c>
      <c r="AX368" s="6">
        <f t="shared" si="226"/>
        <v>162.73192579049999</v>
      </c>
      <c r="AY368" s="6">
        <f t="shared" si="226"/>
        <v>150.5153785919</v>
      </c>
      <c r="AZ368" s="6">
        <f t="shared" si="226"/>
        <v>139.18711372830001</v>
      </c>
      <c r="BA368" s="6">
        <f t="shared" si="226"/>
        <v>128.68821750250001</v>
      </c>
      <c r="BB368" s="6">
        <f t="shared" si="226"/>
        <v>118.96276294579999</v>
      </c>
      <c r="BC368" s="6">
        <f t="shared" si="226"/>
        <v>109.95779701630001</v>
      </c>
      <c r="BD368" s="6">
        <f t="shared" ref="BD368:BF368" si="227">BD345+BD352+BD359</f>
        <v>101.623304969</v>
      </c>
      <c r="BE368" s="6">
        <f t="shared" si="227"/>
        <v>93.912153685499987</v>
      </c>
      <c r="BF368" s="6">
        <f t="shared" si="227"/>
        <v>86.78001898849999</v>
      </c>
    </row>
    <row r="370" spans="1:58" x14ac:dyDescent="0.35">
      <c r="A370" s="12" t="s">
        <v>91</v>
      </c>
      <c r="C370" s="2">
        <v>42005</v>
      </c>
      <c r="D370" s="2">
        <v>42370</v>
      </c>
      <c r="E370" s="2">
        <v>42736</v>
      </c>
      <c r="F370" s="2">
        <v>43101</v>
      </c>
      <c r="G370" s="2">
        <v>43466</v>
      </c>
      <c r="H370" s="2">
        <v>43831</v>
      </c>
      <c r="I370" s="2">
        <v>44197</v>
      </c>
      <c r="J370" s="2">
        <v>44562</v>
      </c>
      <c r="K370" s="2">
        <v>44927</v>
      </c>
      <c r="L370" s="2">
        <v>45292</v>
      </c>
      <c r="M370" s="2">
        <v>45658</v>
      </c>
      <c r="N370" s="2">
        <v>46023</v>
      </c>
      <c r="O370" s="2">
        <v>46388</v>
      </c>
      <c r="P370" s="2">
        <v>46753</v>
      </c>
      <c r="Q370" s="2">
        <v>47119</v>
      </c>
      <c r="R370" s="2">
        <v>47484</v>
      </c>
      <c r="S370" s="2">
        <v>47849</v>
      </c>
      <c r="T370" s="2">
        <v>48214</v>
      </c>
      <c r="U370" s="2">
        <v>48580</v>
      </c>
      <c r="V370" s="2">
        <v>48945</v>
      </c>
      <c r="W370" s="2">
        <v>49310</v>
      </c>
      <c r="X370" s="2">
        <v>49675</v>
      </c>
      <c r="Y370" s="2">
        <v>50041</v>
      </c>
      <c r="Z370" s="2">
        <v>50406</v>
      </c>
      <c r="AA370" s="2">
        <v>50771</v>
      </c>
      <c r="AB370" s="2">
        <v>51136</v>
      </c>
      <c r="AC370" s="2">
        <v>51502</v>
      </c>
      <c r="AD370" s="2">
        <v>51867</v>
      </c>
      <c r="AE370" s="2">
        <v>52232</v>
      </c>
      <c r="AF370" s="2">
        <v>52597</v>
      </c>
      <c r="AG370" s="2">
        <v>52963</v>
      </c>
      <c r="AH370" s="2">
        <v>53328</v>
      </c>
      <c r="AI370" s="2">
        <v>53693</v>
      </c>
      <c r="AJ370" s="2">
        <v>54058</v>
      </c>
      <c r="AK370" s="2">
        <v>54424</v>
      </c>
      <c r="AL370" s="2">
        <v>54789</v>
      </c>
      <c r="AM370" s="2">
        <v>54790</v>
      </c>
      <c r="AN370" s="2">
        <v>54791</v>
      </c>
      <c r="AO370" s="2">
        <v>54792</v>
      </c>
      <c r="AP370" s="2">
        <v>54793</v>
      </c>
      <c r="AQ370" s="2">
        <v>54794</v>
      </c>
      <c r="AR370" s="2">
        <v>54795</v>
      </c>
      <c r="AS370" s="2">
        <v>54796</v>
      </c>
      <c r="AT370" s="2">
        <v>54797</v>
      </c>
      <c r="AU370" s="2">
        <v>54798</v>
      </c>
      <c r="AV370" s="2">
        <v>54799</v>
      </c>
      <c r="AW370" s="2">
        <v>54800</v>
      </c>
      <c r="AX370" s="2">
        <v>54801</v>
      </c>
      <c r="AY370" s="2">
        <v>54802</v>
      </c>
      <c r="AZ370" s="2">
        <v>54803</v>
      </c>
      <c r="BA370" s="2">
        <v>54804</v>
      </c>
      <c r="BB370" s="2">
        <v>54805</v>
      </c>
      <c r="BC370" s="2">
        <v>54806</v>
      </c>
      <c r="BD370" s="2">
        <v>54807</v>
      </c>
      <c r="BE370" s="2">
        <v>54808</v>
      </c>
      <c r="BF370" s="2">
        <v>54809</v>
      </c>
    </row>
    <row r="371" spans="1:58" x14ac:dyDescent="0.35">
      <c r="A371" t="s">
        <v>39</v>
      </c>
      <c r="B371" t="s">
        <v>57</v>
      </c>
      <c r="C371" s="6">
        <f>[1]Results!F104</f>
        <v>3.476542051</v>
      </c>
      <c r="D371" s="6">
        <f>[1]Results!G104</f>
        <v>6.2772806750000001</v>
      </c>
      <c r="E371" s="6">
        <f>[1]Results!H104</f>
        <v>11.80238196</v>
      </c>
      <c r="F371" s="6">
        <f>[1]Results!I104</f>
        <v>17.890060200000001</v>
      </c>
      <c r="G371" s="6">
        <f>[1]Results!J104</f>
        <v>23.845427480000001</v>
      </c>
      <c r="H371" s="6">
        <f>[1]Results!K104</f>
        <v>29.27281773</v>
      </c>
      <c r="I371" s="6">
        <f>[1]Results!L104</f>
        <v>33.186749450000001</v>
      </c>
      <c r="J371" s="6">
        <f>[1]Results!M104</f>
        <v>38.16050319</v>
      </c>
      <c r="K371" s="6">
        <f>[1]Results!N104</f>
        <v>43.806886210000002</v>
      </c>
      <c r="L371" s="6">
        <f>[1]Results!O104</f>
        <v>49.795081000000003</v>
      </c>
      <c r="M371" s="6">
        <f>[1]Results!P104</f>
        <v>55.992995299999997</v>
      </c>
      <c r="N371" s="6">
        <f>[1]Results!Q104</f>
        <v>62.237648290000003</v>
      </c>
      <c r="O371" s="6">
        <f>[1]Results!R104</f>
        <v>68.528272680000001</v>
      </c>
      <c r="P371" s="6">
        <f>[1]Results!S104</f>
        <v>74.842592679999996</v>
      </c>
      <c r="Q371" s="6">
        <f>[1]Results!T104</f>
        <v>81.168009490000003</v>
      </c>
      <c r="R371" s="6">
        <f>[1]Results!U104</f>
        <v>87.497199379999998</v>
      </c>
      <c r="S371" s="6">
        <f>[1]Results!V104</f>
        <v>93.826115549999997</v>
      </c>
      <c r="T371" s="6">
        <f>[1]Results!W104</f>
        <v>100.152895</v>
      </c>
      <c r="U371" s="6">
        <f>[1]Results!X104</f>
        <v>106.4756526</v>
      </c>
      <c r="V371" s="6">
        <f>[1]Results!Y104</f>
        <v>112.79271919999999</v>
      </c>
      <c r="W371" s="6">
        <f>[1]Results!Z104</f>
        <v>119.0761621</v>
      </c>
      <c r="X371" s="6">
        <f>[1]Results!AA104</f>
        <v>125.37737629999999</v>
      </c>
      <c r="Y371" s="6">
        <f>[1]Results!AB104</f>
        <v>131.6687019</v>
      </c>
      <c r="Z371" s="6">
        <f>[1]Results!AC104</f>
        <v>137.94884740000001</v>
      </c>
      <c r="AA371" s="6">
        <f>[1]Results!AD104</f>
        <v>144.21651069999999</v>
      </c>
      <c r="AB371" s="6">
        <f>[1]Results!AE104</f>
        <v>150.39821040000001</v>
      </c>
      <c r="AC371" s="6">
        <f>[1]Results!AF104</f>
        <v>156.60278400000001</v>
      </c>
      <c r="AD371" s="6">
        <f>[1]Results!AG104</f>
        <v>162.79056750000001</v>
      </c>
      <c r="AE371" s="6">
        <f>[1]Results!AH104</f>
        <v>168.96027950000001</v>
      </c>
      <c r="AF371" s="6">
        <f>[1]Results!AI104</f>
        <v>175.110716</v>
      </c>
      <c r="AG371" s="6">
        <f>[1]Results!AJ104</f>
        <v>181.2407704</v>
      </c>
      <c r="AH371" s="6">
        <f>[1]Results!AK104</f>
        <v>187.34945339999999</v>
      </c>
      <c r="AI371" s="6">
        <f>[1]Results!AL104</f>
        <v>193.43588439999999</v>
      </c>
      <c r="AJ371" s="6">
        <f>[1]Results!AM104</f>
        <v>199.49940720000001</v>
      </c>
      <c r="AK371" s="6">
        <f>[1]Results!AN104</f>
        <v>205.53955060000001</v>
      </c>
      <c r="AL371" s="6">
        <f>[1]Results!AO104</f>
        <v>211.5560002</v>
      </c>
      <c r="AM371" s="6">
        <f>[1]Results!AP104</f>
        <v>217.53299319999999</v>
      </c>
      <c r="AN371" s="6">
        <f>[1]Results!AQ104</f>
        <v>223.485274</v>
      </c>
      <c r="AO371" s="6">
        <f>[1]Results!AR104</f>
        <v>229.4127143</v>
      </c>
      <c r="AP371" s="6">
        <f>[1]Results!AS104</f>
        <v>235.3153902</v>
      </c>
      <c r="AQ371" s="6">
        <f>[1]Results!AT104</f>
        <v>241.1934569</v>
      </c>
      <c r="AR371" s="6">
        <f>[1]Results!AU104</f>
        <v>247.0470722</v>
      </c>
      <c r="AS371" s="6">
        <f>[1]Results!AV104</f>
        <v>252.87635169999999</v>
      </c>
      <c r="AT371" s="6">
        <f>[1]Results!AW104</f>
        <v>258.6814784</v>
      </c>
      <c r="AU371" s="6">
        <f>[1]Results!AX104</f>
        <v>264.46266680000002</v>
      </c>
      <c r="AV371" s="6">
        <f>[1]Results!AY104</f>
        <v>270.22014410000003</v>
      </c>
      <c r="AW371" s="6">
        <f>[1]Results!AZ104</f>
        <v>275.9552928</v>
      </c>
      <c r="AX371" s="6">
        <f>[1]Results!BA104</f>
        <v>281.66683460000002</v>
      </c>
      <c r="AY371" s="6">
        <f>[1]Results!BB104</f>
        <v>287.35490729999998</v>
      </c>
      <c r="AZ371" s="6">
        <f>[1]Results!BC104</f>
        <v>293.01972430000001</v>
      </c>
      <c r="BA371" s="6">
        <f>[1]Results!BD104</f>
        <v>298.66152419999997</v>
      </c>
      <c r="BB371" s="6">
        <f>[1]Results!BE104</f>
        <v>304.28049490000001</v>
      </c>
      <c r="BC371" s="6">
        <f>[1]Results!BF104</f>
        <v>309.87670919999999</v>
      </c>
      <c r="BD371" s="6">
        <f>[1]Results!BG104</f>
        <v>315.45033569999998</v>
      </c>
      <c r="BE371" s="6">
        <f>[1]Results!BH104</f>
        <v>321.00157619999999</v>
      </c>
      <c r="BF371" s="6">
        <f>[1]Results!BI104</f>
        <v>326.53063600000002</v>
      </c>
    </row>
    <row r="372" spans="1:58" x14ac:dyDescent="0.35">
      <c r="B372" t="s">
        <v>58</v>
      </c>
      <c r="C372" s="6">
        <f>[1]Results!F105</f>
        <v>68.80476281</v>
      </c>
      <c r="D372" s="6">
        <f>[1]Results!G105</f>
        <v>76.373641719999995</v>
      </c>
      <c r="E372" s="6">
        <f>[1]Results!H105</f>
        <v>82.196093480000002</v>
      </c>
      <c r="F372" s="6">
        <f>[1]Results!I105</f>
        <v>87.058392029999993</v>
      </c>
      <c r="G372" s="6">
        <f>[1]Results!J105</f>
        <v>91.604372229999996</v>
      </c>
      <c r="H372" s="6">
        <f>[1]Results!K105</f>
        <v>96.247249359999998</v>
      </c>
      <c r="I372" s="6">
        <f>[1]Results!L105</f>
        <v>101.1416002</v>
      </c>
      <c r="J372" s="6">
        <f>[1]Results!M105</f>
        <v>105.30223650000001</v>
      </c>
      <c r="K372" s="6">
        <f>[1]Results!N105</f>
        <v>108.91258740000001</v>
      </c>
      <c r="L372" s="6">
        <f>[1]Results!O105</f>
        <v>112.19876379999999</v>
      </c>
      <c r="M372" s="6">
        <f>[1]Results!P105</f>
        <v>116.3386134</v>
      </c>
      <c r="N372" s="6">
        <f>[1]Results!Q105</f>
        <v>119.3375441</v>
      </c>
      <c r="O372" s="6">
        <f>[1]Results!R105</f>
        <v>122.2736031</v>
      </c>
      <c r="P372" s="6">
        <f>[1]Results!S105</f>
        <v>125.17213649999999</v>
      </c>
      <c r="Q372" s="6">
        <f>[1]Results!T105</f>
        <v>128.04817199999999</v>
      </c>
      <c r="R372" s="6">
        <f>[1]Results!U105</f>
        <v>130.91075570000001</v>
      </c>
      <c r="S372" s="6">
        <f>[1]Results!V105</f>
        <v>133.76521990000001</v>
      </c>
      <c r="T372" s="6">
        <f>[1]Results!W105</f>
        <v>136.61441160000001</v>
      </c>
      <c r="U372" s="6">
        <f>[1]Results!X105</f>
        <v>139.46043800000001</v>
      </c>
      <c r="V372" s="6">
        <f>[1]Results!Y105</f>
        <v>142.30478009999999</v>
      </c>
      <c r="W372" s="6">
        <f>[1]Results!Z105</f>
        <v>144.4614134</v>
      </c>
      <c r="X372" s="6">
        <f>[1]Results!AA105</f>
        <v>147.30311549999999</v>
      </c>
      <c r="Y372" s="6">
        <f>[1]Results!AB105</f>
        <v>150.14535799999999</v>
      </c>
      <c r="Z372" s="6">
        <f>[1]Results!AC105</f>
        <v>152.98828779999999</v>
      </c>
      <c r="AA372" s="6">
        <f>[1]Results!AD105</f>
        <v>155.83190540000001</v>
      </c>
      <c r="AB372" s="6">
        <f>[1]Results!AE105</f>
        <v>156.80074089999999</v>
      </c>
      <c r="AC372" s="6">
        <f>[1]Results!AF105</f>
        <v>158.75954469999999</v>
      </c>
      <c r="AD372" s="6">
        <f>[1]Results!AG105</f>
        <v>160.7152183</v>
      </c>
      <c r="AE372" s="6">
        <f>[1]Results!AH105</f>
        <v>162.6678933</v>
      </c>
      <c r="AF372" s="6">
        <f>[1]Results!AI105</f>
        <v>164.61756639999999</v>
      </c>
      <c r="AG372" s="6">
        <f>[1]Results!AJ105</f>
        <v>166.56418049999999</v>
      </c>
      <c r="AH372" s="6">
        <f>[1]Results!AK105</f>
        <v>168.50768830000001</v>
      </c>
      <c r="AI372" s="6">
        <f>[1]Results!AL105</f>
        <v>170.4481231</v>
      </c>
      <c r="AJ372" s="6">
        <f>[1]Results!AM105</f>
        <v>172.38549459999999</v>
      </c>
      <c r="AK372" s="6">
        <f>[1]Results!AN105</f>
        <v>174.31983930000001</v>
      </c>
      <c r="AL372" s="6">
        <f>[1]Results!AO105</f>
        <v>176.251237</v>
      </c>
      <c r="AM372" s="6">
        <f>[1]Results!AP105</f>
        <v>177.7796994</v>
      </c>
      <c r="AN372" s="6">
        <f>[1]Results!AQ105</f>
        <v>179.30492340000001</v>
      </c>
      <c r="AO372" s="6">
        <f>[1]Results!AR105</f>
        <v>180.82724099999999</v>
      </c>
      <c r="AP372" s="6">
        <f>[1]Results!AS105</f>
        <v>182.34681140000001</v>
      </c>
      <c r="AQ372" s="6">
        <f>[1]Results!AT105</f>
        <v>183.8637377</v>
      </c>
      <c r="AR372" s="6">
        <f>[1]Results!AU105</f>
        <v>185.3781353</v>
      </c>
      <c r="AS372" s="6">
        <f>[1]Results!AV105</f>
        <v>186.8901797</v>
      </c>
      <c r="AT372" s="6">
        <f>[1]Results!AW105</f>
        <v>188.3999853</v>
      </c>
      <c r="AU372" s="6">
        <f>[1]Results!AX105</f>
        <v>189.90764419999999</v>
      </c>
      <c r="AV372" s="6">
        <f>[1]Results!AY105</f>
        <v>191.413242</v>
      </c>
      <c r="AW372" s="6">
        <f>[1]Results!AZ105</f>
        <v>192.9491945</v>
      </c>
      <c r="AX372" s="6">
        <f>[1]Results!BA105</f>
        <v>194.48365469999999</v>
      </c>
      <c r="AY372" s="6">
        <f>[1]Results!BB105</f>
        <v>196.01674919999999</v>
      </c>
      <c r="AZ372" s="6">
        <f>[1]Results!BC105</f>
        <v>197.5485272</v>
      </c>
      <c r="BA372" s="6">
        <f>[1]Results!BD105</f>
        <v>199.0790135</v>
      </c>
      <c r="BB372" s="6">
        <f>[1]Results!BE105</f>
        <v>200.60826929999999</v>
      </c>
      <c r="BC372" s="6">
        <f>[1]Results!BF105</f>
        <v>202.1364576</v>
      </c>
      <c r="BD372" s="6">
        <f>[1]Results!BG105</f>
        <v>203.66363440000001</v>
      </c>
      <c r="BE372" s="6">
        <f>[1]Results!BH105</f>
        <v>205.18981389999999</v>
      </c>
      <c r="BF372" s="6">
        <f>[1]Results!BI105</f>
        <v>206.71499739999999</v>
      </c>
    </row>
    <row r="373" spans="1:58" x14ac:dyDescent="0.35">
      <c r="B373" t="s">
        <v>59</v>
      </c>
      <c r="C373" s="6">
        <f>[1]Results!F106</f>
        <v>408.28039699999999</v>
      </c>
      <c r="D373" s="6">
        <f>[1]Results!G106</f>
        <v>424.40206000000001</v>
      </c>
      <c r="E373" s="6">
        <f>[1]Results!H106</f>
        <v>438.4699506</v>
      </c>
      <c r="F373" s="6">
        <f>[1]Results!I106</f>
        <v>450.91325569999998</v>
      </c>
      <c r="G373" s="6">
        <f>[1]Results!J106</f>
        <v>462.85212080000002</v>
      </c>
      <c r="H373" s="6">
        <f>[1]Results!K106</f>
        <v>475.07029890000001</v>
      </c>
      <c r="I373" s="6">
        <f>[1]Results!L106</f>
        <v>487.26280120000001</v>
      </c>
      <c r="J373" s="6">
        <f>[1]Results!M106</f>
        <v>498.01896149999999</v>
      </c>
      <c r="K373" s="6">
        <f>[1]Results!N106</f>
        <v>507.61299380000003</v>
      </c>
      <c r="L373" s="6">
        <f>[1]Results!O106</f>
        <v>516.51537729999995</v>
      </c>
      <c r="M373" s="6">
        <f>[1]Results!P106</f>
        <v>527.93913220000002</v>
      </c>
      <c r="N373" s="6">
        <f>[1]Results!Q106</f>
        <v>536.23189879999995</v>
      </c>
      <c r="O373" s="6">
        <f>[1]Results!R106</f>
        <v>544.39093390000005</v>
      </c>
      <c r="P373" s="6">
        <f>[1]Results!S106</f>
        <v>552.47067760000004</v>
      </c>
      <c r="Q373" s="6">
        <f>[1]Results!T106</f>
        <v>560.50370889999999</v>
      </c>
      <c r="R373" s="6">
        <f>[1]Results!U106</f>
        <v>568.50984960000005</v>
      </c>
      <c r="S373" s="6">
        <f>[1]Results!V106</f>
        <v>576.50088170000004</v>
      </c>
      <c r="T373" s="6">
        <f>[1]Results!W106</f>
        <v>584.4830528</v>
      </c>
      <c r="U373" s="6">
        <f>[1]Results!X106</f>
        <v>592.46103819999996</v>
      </c>
      <c r="V373" s="6">
        <f>[1]Results!Y106</f>
        <v>600.43811219999998</v>
      </c>
      <c r="W373" s="6">
        <f>[1]Results!Z106</f>
        <v>606.48747189999995</v>
      </c>
      <c r="X373" s="6">
        <f>[1]Results!AA106</f>
        <v>614.46268650000002</v>
      </c>
      <c r="Y373" s="6">
        <f>[1]Results!AB106</f>
        <v>622.44168420000005</v>
      </c>
      <c r="Z373" s="6">
        <f>[1]Results!AC106</f>
        <v>630.42459329999997</v>
      </c>
      <c r="AA373" s="6">
        <f>[1]Results!AD106</f>
        <v>638.41119300000003</v>
      </c>
      <c r="AB373" s="6">
        <f>[1]Results!AE106</f>
        <v>641.13552019999997</v>
      </c>
      <c r="AC373" s="6">
        <f>[1]Results!AF106</f>
        <v>646.63993970000001</v>
      </c>
      <c r="AD373" s="6">
        <f>[1]Results!AG106</f>
        <v>652.13621269999999</v>
      </c>
      <c r="AE373" s="6">
        <f>[1]Results!AH106</f>
        <v>657.62450060000003</v>
      </c>
      <c r="AF373" s="6">
        <f>[1]Results!AI106</f>
        <v>663.10464460000003</v>
      </c>
      <c r="AG373" s="6">
        <f>[1]Results!AJ106</f>
        <v>668.57637550000004</v>
      </c>
      <c r="AH373" s="6">
        <f>[1]Results!AK106</f>
        <v>674.03948160000004</v>
      </c>
      <c r="AI373" s="6">
        <f>[1]Results!AL106</f>
        <v>679.49398399999995</v>
      </c>
      <c r="AJ373" s="6">
        <f>[1]Results!AM106</f>
        <v>684.93987519999996</v>
      </c>
      <c r="AK373" s="6">
        <f>[1]Results!AN106</f>
        <v>690.37724019999996</v>
      </c>
      <c r="AL373" s="6">
        <f>[1]Results!AO106</f>
        <v>695.80629320000003</v>
      </c>
      <c r="AM373" s="6">
        <f>[1]Results!AP106</f>
        <v>700.10391049999998</v>
      </c>
      <c r="AN373" s="6">
        <f>[1]Results!AQ106</f>
        <v>704.39194950000001</v>
      </c>
      <c r="AO373" s="6">
        <f>[1]Results!AR106</f>
        <v>708.67126819999999</v>
      </c>
      <c r="AP373" s="6">
        <f>[1]Results!AS106</f>
        <v>712.94229940000002</v>
      </c>
      <c r="AQ373" s="6">
        <f>[1]Results!AT106</f>
        <v>717.20533969999997</v>
      </c>
      <c r="AR373" s="6">
        <f>[1]Results!AU106</f>
        <v>721.46071500000005</v>
      </c>
      <c r="AS373" s="6">
        <f>[1]Results!AV106</f>
        <v>725.70890050000003</v>
      </c>
      <c r="AT373" s="6">
        <f>[1]Results!AW106</f>
        <v>729.95022189999997</v>
      </c>
      <c r="AU373" s="6">
        <f>[1]Results!AX106</f>
        <v>734.18495050000001</v>
      </c>
      <c r="AV373" s="6">
        <f>[1]Results!AY106</f>
        <v>738.41334080000001</v>
      </c>
      <c r="AW373" s="6">
        <f>[1]Results!AZ106</f>
        <v>742.72638970000003</v>
      </c>
      <c r="AX373" s="6">
        <f>[1]Results!BA106</f>
        <v>747.03461340000001</v>
      </c>
      <c r="AY373" s="6">
        <f>[1]Results!BB106</f>
        <v>751.33835720000002</v>
      </c>
      <c r="AZ373" s="6">
        <f>[1]Results!BC106</f>
        <v>755.63777830000004</v>
      </c>
      <c r="BA373" s="6">
        <f>[1]Results!BD106</f>
        <v>759.93297480000001</v>
      </c>
      <c r="BB373" s="6">
        <f>[1]Results!BE106</f>
        <v>764.22412780000002</v>
      </c>
      <c r="BC373" s="6">
        <f>[1]Results!BF106</f>
        <v>768.51166599999999</v>
      </c>
      <c r="BD373" s="6">
        <f>[1]Results!BG106</f>
        <v>772.79575550000004</v>
      </c>
      <c r="BE373" s="6">
        <f>[1]Results!BH106</f>
        <v>777.07646050000005</v>
      </c>
      <c r="BF373" s="6">
        <f>[1]Results!BI106</f>
        <v>781.35381240000004</v>
      </c>
    </row>
    <row r="374" spans="1:58" x14ac:dyDescent="0.35">
      <c r="B374" t="s">
        <v>60</v>
      </c>
      <c r="C374" s="6">
        <f>[1]Results!F107</f>
        <v>954.38155940000001</v>
      </c>
      <c r="D374" s="6">
        <f>[1]Results!G107</f>
        <v>948.7629723</v>
      </c>
      <c r="E374" s="6">
        <f>[1]Results!H107</f>
        <v>945.11127590000001</v>
      </c>
      <c r="F374" s="6">
        <f>[1]Results!I107</f>
        <v>942.22732129999997</v>
      </c>
      <c r="G374" s="6">
        <f>[1]Results!J107</f>
        <v>939.5436962</v>
      </c>
      <c r="H374" s="6">
        <f>[1]Results!K107</f>
        <v>936.74349219999999</v>
      </c>
      <c r="I374" s="6">
        <f>[1]Results!L107</f>
        <v>933.42798100000005</v>
      </c>
      <c r="J374" s="6">
        <f>[1]Results!M107</f>
        <v>930.62771980000002</v>
      </c>
      <c r="K374" s="6">
        <f>[1]Results!N107</f>
        <v>928.15075430000002</v>
      </c>
      <c r="L374" s="6">
        <f>[1]Results!O107</f>
        <v>925.81525920000001</v>
      </c>
      <c r="M374" s="6">
        <f>[1]Results!P107</f>
        <v>923.53643390000002</v>
      </c>
      <c r="N374" s="6">
        <f>[1]Results!Q107</f>
        <v>921.27998960000002</v>
      </c>
      <c r="O374" s="6">
        <f>[1]Results!R107</f>
        <v>919.03050870000004</v>
      </c>
      <c r="P374" s="6">
        <f>[1]Results!S107</f>
        <v>916.78016720000005</v>
      </c>
      <c r="Q374" s="6">
        <f>[1]Results!T107</f>
        <v>914.52437620000001</v>
      </c>
      <c r="R374" s="6">
        <f>[1]Results!U107</f>
        <v>912.26019329999997</v>
      </c>
      <c r="S374" s="6">
        <f>[1]Results!V107</f>
        <v>909.98581720000004</v>
      </c>
      <c r="T374" s="6">
        <f>[1]Results!W107</f>
        <v>907.70034120000003</v>
      </c>
      <c r="U374" s="6">
        <f>[1]Results!X107</f>
        <v>905.40315210000006</v>
      </c>
      <c r="V374" s="6">
        <f>[1]Results!Y107</f>
        <v>903.09404930000005</v>
      </c>
      <c r="W374" s="6">
        <f>[1]Results!Z107</f>
        <v>900.77316919999998</v>
      </c>
      <c r="X374" s="6">
        <f>[1]Results!AA107</f>
        <v>898.44063149999999</v>
      </c>
      <c r="Y374" s="6">
        <f>[1]Results!AB107</f>
        <v>896.09764589999997</v>
      </c>
      <c r="Z374" s="6">
        <f>[1]Results!AC107</f>
        <v>893.74564559999999</v>
      </c>
      <c r="AA374" s="6">
        <f>[1]Results!AD107</f>
        <v>891.38633849999997</v>
      </c>
      <c r="AB374" s="6">
        <f>[1]Results!AE107</f>
        <v>889.02125260000003</v>
      </c>
      <c r="AC374" s="6">
        <f>[1]Results!AF107</f>
        <v>886.65055759999996</v>
      </c>
      <c r="AD374" s="6">
        <f>[1]Results!AG107</f>
        <v>884.27550359999998</v>
      </c>
      <c r="AE374" s="6">
        <f>[1]Results!AH107</f>
        <v>881.89739850000001</v>
      </c>
      <c r="AF374" s="6">
        <f>[1]Results!AI107</f>
        <v>879.51776270000005</v>
      </c>
      <c r="AG374" s="6">
        <f>[1]Results!AJ107</f>
        <v>877.13813149999999</v>
      </c>
      <c r="AH374" s="6">
        <f>[1]Results!AK107</f>
        <v>874.75989440000001</v>
      </c>
      <c r="AI374" s="6">
        <f>[1]Results!AL107</f>
        <v>872.38417749999996</v>
      </c>
      <c r="AJ374" s="6">
        <f>[1]Results!AM107</f>
        <v>870.01191770000003</v>
      </c>
      <c r="AK374" s="6">
        <f>[1]Results!AN107</f>
        <v>867.64379970000005</v>
      </c>
      <c r="AL374" s="6">
        <f>[1]Results!AO107</f>
        <v>865.2802557</v>
      </c>
      <c r="AM374" s="6">
        <f>[1]Results!AP107</f>
        <v>862.92128219999995</v>
      </c>
      <c r="AN374" s="6">
        <f>[1]Results!AQ107</f>
        <v>860.56618390000006</v>
      </c>
      <c r="AO374" s="6">
        <f>[1]Results!AR107</f>
        <v>858.21476800000005</v>
      </c>
      <c r="AP374" s="6">
        <f>[1]Results!AS107</f>
        <v>855.86693869999999</v>
      </c>
      <c r="AQ374" s="6">
        <f>[1]Results!AT107</f>
        <v>853.52260950000004</v>
      </c>
      <c r="AR374" s="6">
        <f>[1]Results!AU107</f>
        <v>851.18165529999999</v>
      </c>
      <c r="AS374" s="6">
        <f>[1]Results!AV107</f>
        <v>848.84389510000005</v>
      </c>
      <c r="AT374" s="6">
        <f>[1]Results!AW107</f>
        <v>846.50918449999995</v>
      </c>
      <c r="AU374" s="6">
        <f>[1]Results!AX107</f>
        <v>844.17738169999996</v>
      </c>
      <c r="AV374" s="6">
        <f>[1]Results!AY107</f>
        <v>841.84833879999996</v>
      </c>
      <c r="AW374" s="6">
        <f>[1]Results!AZ107</f>
        <v>839.52185669999994</v>
      </c>
      <c r="AX374" s="6">
        <f>[1]Results!BA107</f>
        <v>837.19767609999997</v>
      </c>
      <c r="AY374" s="6">
        <f>[1]Results!BB107</f>
        <v>834.87567620000004</v>
      </c>
      <c r="AZ374" s="6">
        <f>[1]Results!BC107</f>
        <v>832.55578279999997</v>
      </c>
      <c r="BA374" s="6">
        <f>[1]Results!BD107</f>
        <v>830.23792879999996</v>
      </c>
      <c r="BB374" s="6">
        <f>[1]Results!BE107</f>
        <v>827.92201950000003</v>
      </c>
      <c r="BC374" s="6">
        <f>[1]Results!BF107</f>
        <v>825.60791919999997</v>
      </c>
      <c r="BD374" s="6">
        <f>[1]Results!BG107</f>
        <v>823.29557120000004</v>
      </c>
      <c r="BE374" s="6">
        <f>[1]Results!BH107</f>
        <v>820.98494849999997</v>
      </c>
      <c r="BF374" s="6">
        <f>[1]Results!BI107</f>
        <v>818.67603759999997</v>
      </c>
    </row>
    <row r="375" spans="1:58" x14ac:dyDescent="0.35">
      <c r="B375" t="s">
        <v>61</v>
      </c>
      <c r="C375" s="6">
        <f>[1]Results!F108</f>
        <v>878.79999729999997</v>
      </c>
      <c r="D375" s="6">
        <f>[1]Results!G108</f>
        <v>868.24190099999998</v>
      </c>
      <c r="E375" s="6">
        <f>[1]Results!H108</f>
        <v>859.31049370000005</v>
      </c>
      <c r="F375" s="6">
        <f>[1]Results!I108</f>
        <v>851.65156539999998</v>
      </c>
      <c r="G375" s="6">
        <f>[1]Results!J108</f>
        <v>844.74742330000004</v>
      </c>
      <c r="H375" s="6">
        <f>[1]Results!K108</f>
        <v>838.10504200000003</v>
      </c>
      <c r="I375" s="6">
        <f>[1]Results!L108</f>
        <v>830.85550249999994</v>
      </c>
      <c r="J375" s="6">
        <f>[1]Results!M108</f>
        <v>824.17685280000001</v>
      </c>
      <c r="K375" s="6">
        <f>[1]Results!N108</f>
        <v>818.19579580000004</v>
      </c>
      <c r="L375" s="6">
        <f>[1]Results!O108</f>
        <v>812.73415390000002</v>
      </c>
      <c r="M375" s="6">
        <f>[1]Results!P108</f>
        <v>807.61538870000004</v>
      </c>
      <c r="N375" s="6">
        <f>[1]Results!Q108</f>
        <v>802.71715740000002</v>
      </c>
      <c r="O375" s="6">
        <f>[1]Results!R108</f>
        <v>797.96228580000002</v>
      </c>
      <c r="P375" s="6">
        <f>[1]Results!S108</f>
        <v>793.30396599999995</v>
      </c>
      <c r="Q375" s="6">
        <f>[1]Results!T108</f>
        <v>788.71411929999999</v>
      </c>
      <c r="R375" s="6">
        <f>[1]Results!U108</f>
        <v>784.17597639999997</v>
      </c>
      <c r="S375" s="6">
        <f>[1]Results!V108</f>
        <v>779.67956140000001</v>
      </c>
      <c r="T375" s="6">
        <f>[1]Results!W108</f>
        <v>775.21922429999995</v>
      </c>
      <c r="U375" s="6">
        <f>[1]Results!X108</f>
        <v>770.79134439999996</v>
      </c>
      <c r="V375" s="6">
        <f>[1]Results!Y108</f>
        <v>766.39356229999999</v>
      </c>
      <c r="W375" s="6">
        <f>[1]Results!Z108</f>
        <v>762.02428610000004</v>
      </c>
      <c r="X375" s="6">
        <f>[1]Results!AA108</f>
        <v>757.68213800000001</v>
      </c>
      <c r="Y375" s="6">
        <f>[1]Results!AB108</f>
        <v>753.36669180000001</v>
      </c>
      <c r="Z375" s="6">
        <f>[1]Results!AC108</f>
        <v>749.077583</v>
      </c>
      <c r="AA375" s="6">
        <f>[1]Results!AD108</f>
        <v>744.81465079999998</v>
      </c>
      <c r="AB375" s="6">
        <f>[1]Results!AE108</f>
        <v>740.57773169999996</v>
      </c>
      <c r="AC375" s="6">
        <f>[1]Results!AF108</f>
        <v>736.36577450000004</v>
      </c>
      <c r="AD375" s="6">
        <f>[1]Results!AG108</f>
        <v>732.17873359999999</v>
      </c>
      <c r="AE375" s="6">
        <f>[1]Results!AH108</f>
        <v>728.01637979999998</v>
      </c>
      <c r="AF375" s="6">
        <f>[1]Results!AI108</f>
        <v>723.87862029999997</v>
      </c>
      <c r="AG375" s="6">
        <f>[1]Results!AJ108</f>
        <v>719.76544139999999</v>
      </c>
      <c r="AH375" s="6">
        <f>[1]Results!AK108</f>
        <v>715.67686549999996</v>
      </c>
      <c r="AI375" s="6">
        <f>[1]Results!AL108</f>
        <v>711.61286189999998</v>
      </c>
      <c r="AJ375" s="6">
        <f>[1]Results!AM108</f>
        <v>707.57341440000005</v>
      </c>
      <c r="AK375" s="6">
        <f>[1]Results!AN108</f>
        <v>703.55848590000005</v>
      </c>
      <c r="AL375" s="6">
        <f>[1]Results!AO108</f>
        <v>699.56800190000001</v>
      </c>
      <c r="AM375" s="6">
        <f>[1]Results!AP108</f>
        <v>695.60180600000001</v>
      </c>
      <c r="AN375" s="6">
        <f>[1]Results!AQ108</f>
        <v>691.65914210000005</v>
      </c>
      <c r="AO375" s="6">
        <f>[1]Results!AR108</f>
        <v>687.73966829999995</v>
      </c>
      <c r="AP375" s="6">
        <f>[1]Results!AS108</f>
        <v>683.84317129999999</v>
      </c>
      <c r="AQ375" s="6">
        <f>[1]Results!AT108</f>
        <v>679.96949329999995</v>
      </c>
      <c r="AR375" s="6">
        <f>[1]Results!AU108</f>
        <v>676.11849380000001</v>
      </c>
      <c r="AS375" s="6">
        <f>[1]Results!AV108</f>
        <v>672.28998230000002</v>
      </c>
      <c r="AT375" s="6">
        <f>[1]Results!AW108</f>
        <v>668.48380759999998</v>
      </c>
      <c r="AU375" s="6">
        <f>[1]Results!AX108</f>
        <v>664.69983590000004</v>
      </c>
      <c r="AV375" s="6">
        <f>[1]Results!AY108</f>
        <v>660.9379394</v>
      </c>
      <c r="AW375" s="6">
        <f>[1]Results!AZ108</f>
        <v>657.19798590000005</v>
      </c>
      <c r="AX375" s="6">
        <f>[1]Results!BA108</f>
        <v>653.47969569999998</v>
      </c>
      <c r="AY375" s="6">
        <f>[1]Results!BB108</f>
        <v>649.7828968</v>
      </c>
      <c r="AZ375" s="6">
        <f>[1]Results!BC108</f>
        <v>646.10747490000006</v>
      </c>
      <c r="BA375" s="6">
        <f>[1]Results!BD108</f>
        <v>642.45333830000004</v>
      </c>
      <c r="BB375" s="6">
        <f>[1]Results!BE108</f>
        <v>638.8203972</v>
      </c>
      <c r="BC375" s="6">
        <f>[1]Results!BF108</f>
        <v>635.20846849999998</v>
      </c>
      <c r="BD375" s="6">
        <f>[1]Results!BG108</f>
        <v>631.61743420000005</v>
      </c>
      <c r="BE375" s="6">
        <f>[1]Results!BH108</f>
        <v>628.04720659999998</v>
      </c>
      <c r="BF375" s="6">
        <f>[1]Results!BI108</f>
        <v>624.49771020000003</v>
      </c>
    </row>
    <row r="376" spans="1:58" x14ac:dyDescent="0.35">
      <c r="B376" t="s">
        <v>62</v>
      </c>
      <c r="C376" s="6">
        <f>[1]Results!F109</f>
        <v>139.85209269999999</v>
      </c>
      <c r="D376" s="6">
        <f>[1]Results!G109</f>
        <v>137.9445575</v>
      </c>
      <c r="E376" s="6">
        <f>[1]Results!H109</f>
        <v>136.04007129999999</v>
      </c>
      <c r="F376" s="6">
        <f>[1]Results!I109</f>
        <v>134.15881429999999</v>
      </c>
      <c r="G376" s="6">
        <f>[1]Results!J109</f>
        <v>132.3161254</v>
      </c>
      <c r="H376" s="6">
        <f>[1]Results!K109</f>
        <v>130.52051449999999</v>
      </c>
      <c r="I376" s="6">
        <f>[1]Results!L109</f>
        <v>128.77410860000001</v>
      </c>
      <c r="J376" s="6">
        <f>[1]Results!M109</f>
        <v>127.0745821</v>
      </c>
      <c r="K376" s="6">
        <f>[1]Results!N109</f>
        <v>125.4174149</v>
      </c>
      <c r="L376" s="6">
        <f>[1]Results!O109</f>
        <v>123.7975252</v>
      </c>
      <c r="M376" s="6">
        <f>[1]Results!P109</f>
        <v>122.210335</v>
      </c>
      <c r="N376" s="6">
        <f>[1]Results!Q109</f>
        <v>120.6521063</v>
      </c>
      <c r="O376" s="6">
        <f>[1]Results!R109</f>
        <v>119.11999609999999</v>
      </c>
      <c r="P376" s="6">
        <f>[1]Results!S109</f>
        <v>117.6115381</v>
      </c>
      <c r="Q376" s="6">
        <f>[1]Results!T109</f>
        <v>116.1247576</v>
      </c>
      <c r="R376" s="6">
        <f>[1]Results!U109</f>
        <v>114.65814570000001</v>
      </c>
      <c r="S376" s="6">
        <f>[1]Results!V109</f>
        <v>113.21069300000001</v>
      </c>
      <c r="T376" s="6">
        <f>[1]Results!W109</f>
        <v>111.7819636</v>
      </c>
      <c r="U376" s="6">
        <f>[1]Results!X109</f>
        <v>110.3715282</v>
      </c>
      <c r="V376" s="6">
        <f>[1]Results!Y109</f>
        <v>108.97908339999999</v>
      </c>
      <c r="W376" s="6">
        <f>[1]Results!Z109</f>
        <v>107.6044425</v>
      </c>
      <c r="X376" s="6">
        <f>[1]Results!AA109</f>
        <v>106.2475275</v>
      </c>
      <c r="Y376" s="6">
        <f>[1]Results!AB109</f>
        <v>104.9083888</v>
      </c>
      <c r="Z376" s="6">
        <f>[1]Results!AC109</f>
        <v>103.58715960000001</v>
      </c>
      <c r="AA376" s="6">
        <f>[1]Results!AD109</f>
        <v>102.2839967</v>
      </c>
      <c r="AB376" s="6">
        <f>[1]Results!AE109</f>
        <v>100.9989784</v>
      </c>
      <c r="AC376" s="6">
        <f>[1]Results!AF109</f>
        <v>99.732047879999996</v>
      </c>
      <c r="AD376" s="6">
        <f>[1]Results!AG109</f>
        <v>98.483076249999996</v>
      </c>
      <c r="AE376" s="6">
        <f>[1]Results!AH109</f>
        <v>97.25207168</v>
      </c>
      <c r="AF376" s="6">
        <f>[1]Results!AI109</f>
        <v>96.039066969999993</v>
      </c>
      <c r="AG376" s="6">
        <f>[1]Results!AJ109</f>
        <v>94.844066249999997</v>
      </c>
      <c r="AH376" s="6">
        <f>[1]Results!AK109</f>
        <v>93.666998699999994</v>
      </c>
      <c r="AI376" s="6">
        <f>[1]Results!AL109</f>
        <v>92.507689720000002</v>
      </c>
      <c r="AJ376" s="6">
        <f>[1]Results!AM109</f>
        <v>91.36596376</v>
      </c>
      <c r="AK376" s="6">
        <f>[1]Results!AN109</f>
        <v>90.241612910000001</v>
      </c>
      <c r="AL376" s="6">
        <f>[1]Results!AO109</f>
        <v>89.134388529999995</v>
      </c>
      <c r="AM376" s="6">
        <f>[1]Results!AP109</f>
        <v>88.043817369999999</v>
      </c>
      <c r="AN376" s="6">
        <f>[1]Results!AQ109</f>
        <v>86.969007120000001</v>
      </c>
      <c r="AO376" s="6">
        <f>[1]Results!AR109</f>
        <v>85.90950282</v>
      </c>
      <c r="AP376" s="6">
        <f>[1]Results!AS109</f>
        <v>84.865008169999996</v>
      </c>
      <c r="AQ376" s="6">
        <f>[1]Results!AT109</f>
        <v>83.835270710000003</v>
      </c>
      <c r="AR376" s="6">
        <f>[1]Results!AU109</f>
        <v>82.820015139999995</v>
      </c>
      <c r="AS376" s="6">
        <f>[1]Results!AV109</f>
        <v>81.818904399999994</v>
      </c>
      <c r="AT376" s="6">
        <f>[1]Results!AW109</f>
        <v>80.831664450000005</v>
      </c>
      <c r="AU376" s="6">
        <f>[1]Results!AX109</f>
        <v>79.858044250000006</v>
      </c>
      <c r="AV376" s="6">
        <f>[1]Results!AY109</f>
        <v>78.897801180000002</v>
      </c>
      <c r="AW376" s="6">
        <f>[1]Results!AZ109</f>
        <v>77.950614889999997</v>
      </c>
      <c r="AX376" s="6">
        <f>[1]Results!BA109</f>
        <v>77.01599598</v>
      </c>
      <c r="AY376" s="6">
        <f>[1]Results!BB109</f>
        <v>76.093673800000005</v>
      </c>
      <c r="AZ376" s="6">
        <f>[1]Results!BC109</f>
        <v>75.183459650000003</v>
      </c>
      <c r="BA376" s="6">
        <f>[1]Results!BD109</f>
        <v>74.285190679999999</v>
      </c>
      <c r="BB376" s="6">
        <f>[1]Results!BE109</f>
        <v>73.398662389999998</v>
      </c>
      <c r="BC376" s="6">
        <f>[1]Results!BF109</f>
        <v>72.523571380000007</v>
      </c>
      <c r="BD376" s="6">
        <f>[1]Results!BG109</f>
        <v>71.659739799999997</v>
      </c>
      <c r="BE376" s="6">
        <f>[1]Results!BH109</f>
        <v>70.807037070000007</v>
      </c>
      <c r="BF376" s="6">
        <f>[1]Results!BI109</f>
        <v>69.965348039999995</v>
      </c>
    </row>
    <row r="377" spans="1:58" x14ac:dyDescent="0.35">
      <c r="B377" t="s">
        <v>63</v>
      </c>
      <c r="C377" s="6">
        <f>[1]Results!F110</f>
        <v>3.874567114</v>
      </c>
      <c r="D377" s="6">
        <f>[1]Results!G110</f>
        <v>3.7239603300000002</v>
      </c>
      <c r="E377" s="6">
        <f>[1]Results!H110</f>
        <v>3.5778396899999998</v>
      </c>
      <c r="F377" s="6">
        <f>[1]Results!I110</f>
        <v>3.437575662</v>
      </c>
      <c r="G377" s="6">
        <f>[1]Results!J110</f>
        <v>3.3040480329999999</v>
      </c>
      <c r="H377" s="6">
        <f>[1]Results!K110</f>
        <v>3.1775851780000002</v>
      </c>
      <c r="I377" s="6">
        <f>[1]Results!L110</f>
        <v>3.058046654</v>
      </c>
      <c r="J377" s="6">
        <f>[1]Results!M110</f>
        <v>2.9449926070000001</v>
      </c>
      <c r="K377" s="6">
        <f>[1]Results!N110</f>
        <v>2.8378447389999999</v>
      </c>
      <c r="L377" s="6">
        <f>[1]Results!O110</f>
        <v>2.7360153170000001</v>
      </c>
      <c r="M377" s="6">
        <f>[1]Results!P110</f>
        <v>2.6389829499999999</v>
      </c>
      <c r="N377" s="6">
        <f>[1]Results!Q110</f>
        <v>2.5463126049999998</v>
      </c>
      <c r="O377" s="6">
        <f>[1]Results!R110</f>
        <v>2.4576519010000002</v>
      </c>
      <c r="P377" s="6">
        <f>[1]Results!S110</f>
        <v>2.3726903670000001</v>
      </c>
      <c r="Q377" s="6">
        <f>[1]Results!T110</f>
        <v>2.2911645740000002</v>
      </c>
      <c r="R377" s="6">
        <f>[1]Results!U110</f>
        <v>2.2128536560000001</v>
      </c>
      <c r="S377" s="6">
        <f>[1]Results!V110</f>
        <v>2.1375794099999998</v>
      </c>
      <c r="T377" s="6">
        <f>[1]Results!W110</f>
        <v>2.0652062020000002</v>
      </c>
      <c r="U377" s="6">
        <f>[1]Results!X110</f>
        <v>1.9956034439999999</v>
      </c>
      <c r="V377" s="6">
        <f>[1]Results!Y110</f>
        <v>1.9286524789999999</v>
      </c>
      <c r="W377" s="6">
        <f>[1]Results!Z110</f>
        <v>1.8642454239999999</v>
      </c>
      <c r="X377" s="6">
        <f>[1]Results!AA110</f>
        <v>1.802284006</v>
      </c>
      <c r="Y377" s="6">
        <f>[1]Results!AB110</f>
        <v>1.742680346</v>
      </c>
      <c r="Z377" s="6">
        <f>[1]Results!AC110</f>
        <v>1.685354118</v>
      </c>
      <c r="AA377" s="6">
        <f>[1]Results!AD110</f>
        <v>1.630229162</v>
      </c>
      <c r="AB377" s="6">
        <f>[1]Results!AE110</f>
        <v>1.5772279119999999</v>
      </c>
      <c r="AC377" s="6">
        <f>[1]Results!AF110</f>
        <v>1.5262683880000001</v>
      </c>
      <c r="AD377" s="6">
        <f>[1]Results!AG110</f>
        <v>1.477268166</v>
      </c>
      <c r="AE377" s="6">
        <f>[1]Results!AH110</f>
        <v>1.4301552259999999</v>
      </c>
      <c r="AF377" s="6">
        <f>[1]Results!AI110</f>
        <v>1.3848620119999999</v>
      </c>
      <c r="AG377" s="6">
        <f>[1]Results!AJ110</f>
        <v>1.341322766</v>
      </c>
      <c r="AH377" s="6">
        <f>[1]Results!AK110</f>
        <v>1.2994714000000001</v>
      </c>
      <c r="AI377" s="6">
        <f>[1]Results!AL110</f>
        <v>1.2592403510000001</v>
      </c>
      <c r="AJ377" s="6">
        <f>[1]Results!AM110</f>
        <v>1.220565259</v>
      </c>
      <c r="AK377" s="6">
        <f>[1]Results!AN110</f>
        <v>1.1833833410000001</v>
      </c>
      <c r="AL377" s="6">
        <f>[1]Results!AO110</f>
        <v>1.1476329240000001</v>
      </c>
      <c r="AM377" s="6">
        <f>[1]Results!AP110</f>
        <v>1.1132449980000001</v>
      </c>
      <c r="AN377" s="6">
        <f>[1]Results!AQ110</f>
        <v>1.0801363429999999</v>
      </c>
      <c r="AO377" s="6">
        <f>[1]Results!AR110</f>
        <v>1.048246002</v>
      </c>
      <c r="AP377" s="6">
        <f>[1]Results!AS110</f>
        <v>1.0175223689999999</v>
      </c>
      <c r="AQ377" s="6">
        <f>[1]Results!AT110</f>
        <v>0.98791788979999995</v>
      </c>
      <c r="AR377" s="6">
        <f>[1]Results!AU110</f>
        <v>0.95938606189999998</v>
      </c>
      <c r="AS377" s="6">
        <f>[1]Results!AV110</f>
        <v>0.93187994699999999</v>
      </c>
      <c r="AT377" s="6">
        <f>[1]Results!AW110</f>
        <v>0.9053569897</v>
      </c>
      <c r="AU377" s="6">
        <f>[1]Results!AX110</f>
        <v>0.87977723289999998</v>
      </c>
      <c r="AV377" s="6">
        <f>[1]Results!AY110</f>
        <v>0.8551026169</v>
      </c>
      <c r="AW377" s="6">
        <f>[1]Results!AZ110</f>
        <v>0.83129354290000002</v>
      </c>
      <c r="AX377" s="6">
        <f>[1]Results!BA110</f>
        <v>0.8083060017</v>
      </c>
      <c r="AY377" s="6">
        <f>[1]Results!BB110</f>
        <v>0.78610565700000001</v>
      </c>
      <c r="AZ377" s="6">
        <f>[1]Results!BC110</f>
        <v>0.76466244230000002</v>
      </c>
      <c r="BA377" s="6">
        <f>[1]Results!BD110</f>
        <v>0.74394833839999996</v>
      </c>
      <c r="BB377" s="6">
        <f>[1]Results!BE110</f>
        <v>0.72393484129999996</v>
      </c>
      <c r="BC377" s="6">
        <f>[1]Results!BF110</f>
        <v>0.70459122939999996</v>
      </c>
      <c r="BD377" s="6">
        <f>[1]Results!BG110</f>
        <v>0.68589211179999998</v>
      </c>
      <c r="BE377" s="6">
        <f>[1]Results!BH110</f>
        <v>0.66781456920000004</v>
      </c>
      <c r="BF377" s="6">
        <f>[1]Results!BI110</f>
        <v>0.65033697739999996</v>
      </c>
    </row>
    <row r="379" spans="1:58" x14ac:dyDescent="0.35">
      <c r="A379" s="12" t="s">
        <v>91</v>
      </c>
      <c r="C379" s="2">
        <v>42005</v>
      </c>
      <c r="D379" s="2">
        <v>42370</v>
      </c>
      <c r="E379" s="2">
        <v>42736</v>
      </c>
      <c r="F379" s="2">
        <v>43101</v>
      </c>
      <c r="G379" s="2">
        <v>43466</v>
      </c>
      <c r="H379" s="2">
        <v>43831</v>
      </c>
      <c r="I379" s="2">
        <v>44197</v>
      </c>
      <c r="J379" s="2">
        <v>44562</v>
      </c>
      <c r="K379" s="2">
        <v>44927</v>
      </c>
      <c r="L379" s="2">
        <v>45292</v>
      </c>
      <c r="M379" s="2">
        <v>45658</v>
      </c>
      <c r="N379" s="2">
        <v>46023</v>
      </c>
      <c r="O379" s="2">
        <v>46388</v>
      </c>
      <c r="P379" s="2">
        <v>46753</v>
      </c>
      <c r="Q379" s="2">
        <v>47119</v>
      </c>
      <c r="R379" s="2">
        <v>47484</v>
      </c>
      <c r="S379" s="2">
        <v>47849</v>
      </c>
      <c r="T379" s="2">
        <v>48214</v>
      </c>
      <c r="U379" s="2">
        <v>48580</v>
      </c>
      <c r="V379" s="2">
        <v>48945</v>
      </c>
      <c r="W379" s="2">
        <v>49310</v>
      </c>
      <c r="X379" s="2">
        <v>49675</v>
      </c>
      <c r="Y379" s="2">
        <v>50041</v>
      </c>
      <c r="Z379" s="2">
        <v>50406</v>
      </c>
      <c r="AA379" s="2">
        <v>50771</v>
      </c>
      <c r="AB379" s="2">
        <v>51136</v>
      </c>
      <c r="AC379" s="2">
        <v>51502</v>
      </c>
      <c r="AD379" s="2">
        <v>51867</v>
      </c>
      <c r="AE379" s="2">
        <v>52232</v>
      </c>
      <c r="AF379" s="2">
        <v>52597</v>
      </c>
      <c r="AG379" s="2">
        <v>52963</v>
      </c>
      <c r="AH379" s="2">
        <v>53328</v>
      </c>
      <c r="AI379" s="2">
        <v>53693</v>
      </c>
      <c r="AJ379" s="2">
        <v>54058</v>
      </c>
      <c r="AK379" s="2">
        <v>54424</v>
      </c>
      <c r="AL379" s="2">
        <v>54789</v>
      </c>
      <c r="AM379" s="2">
        <v>54790</v>
      </c>
      <c r="AN379" s="2">
        <v>54791</v>
      </c>
      <c r="AO379" s="2">
        <v>54792</v>
      </c>
      <c r="AP379" s="2">
        <v>54793</v>
      </c>
      <c r="AQ379" s="2">
        <v>54794</v>
      </c>
      <c r="AR379" s="2">
        <v>54795</v>
      </c>
      <c r="AS379" s="2">
        <v>54796</v>
      </c>
      <c r="AT379" s="2">
        <v>54797</v>
      </c>
      <c r="AU379" s="2">
        <v>54798</v>
      </c>
      <c r="AV379" s="2">
        <v>54799</v>
      </c>
      <c r="AW379" s="2">
        <v>54800</v>
      </c>
      <c r="AX379" s="2">
        <v>54801</v>
      </c>
      <c r="AY379" s="2">
        <v>54802</v>
      </c>
      <c r="AZ379" s="2">
        <v>54803</v>
      </c>
      <c r="BA379" s="2">
        <v>54804</v>
      </c>
      <c r="BB379" s="2">
        <v>54805</v>
      </c>
      <c r="BC379" s="2">
        <v>54806</v>
      </c>
      <c r="BD379" s="2">
        <v>54807</v>
      </c>
      <c r="BE379" s="2">
        <v>54808</v>
      </c>
      <c r="BF379" s="2">
        <v>54809</v>
      </c>
    </row>
    <row r="380" spans="1:58" x14ac:dyDescent="0.35">
      <c r="A380" t="s">
        <v>38</v>
      </c>
      <c r="B380" t="s">
        <v>57</v>
      </c>
      <c r="C380" s="6">
        <f>[1]Results!F112</f>
        <v>3.476542051</v>
      </c>
      <c r="D380" s="6">
        <f>[1]Results!G112</f>
        <v>7.164823524</v>
      </c>
      <c r="E380" s="6">
        <f>[1]Results!H112</f>
        <v>12.68276996</v>
      </c>
      <c r="F380" s="6">
        <f>[1]Results!I112</f>
        <v>18.617455240000002</v>
      </c>
      <c r="G380" s="6">
        <f>[1]Results!J112</f>
        <v>24.518504400000001</v>
      </c>
      <c r="H380" s="6">
        <f>[1]Results!K112</f>
        <v>30.217247740000001</v>
      </c>
      <c r="I380" s="6">
        <f>[1]Results!L112</f>
        <v>35.585701380000003</v>
      </c>
      <c r="J380" s="6">
        <f>[1]Results!M112</f>
        <v>40.533124839999999</v>
      </c>
      <c r="K380" s="6">
        <f>[1]Results!N112</f>
        <v>44.88846083</v>
      </c>
      <c r="L380" s="6">
        <f>[1]Results!O112</f>
        <v>48.34342582</v>
      </c>
      <c r="M380" s="6">
        <f>[1]Results!P112</f>
        <v>53.37464052</v>
      </c>
      <c r="N380" s="6">
        <f>[1]Results!Q112</f>
        <v>58.662766910000002</v>
      </c>
      <c r="O380" s="6">
        <f>[1]Results!R112</f>
        <v>63.95373799</v>
      </c>
      <c r="P380" s="6">
        <f>[1]Results!S112</f>
        <v>69.216960580000006</v>
      </c>
      <c r="Q380" s="6">
        <f>[1]Results!T112</f>
        <v>74.464430329999999</v>
      </c>
      <c r="R380" s="6">
        <f>[1]Results!U112</f>
        <v>79.696521419999996</v>
      </c>
      <c r="S380" s="6">
        <f>[1]Results!V112</f>
        <v>84.903412639999999</v>
      </c>
      <c r="T380" s="6">
        <f>[1]Results!W112</f>
        <v>90.073562330000001</v>
      </c>
      <c r="U380" s="6">
        <f>[1]Results!X112</f>
        <v>95.197940369999998</v>
      </c>
      <c r="V380" s="6">
        <f>[1]Results!Y112</f>
        <v>100.2709492</v>
      </c>
      <c r="W380" s="6">
        <f>[1]Results!Z112</f>
        <v>105.2622471</v>
      </c>
      <c r="X380" s="6">
        <f>[1]Results!AA112</f>
        <v>110.2216806</v>
      </c>
      <c r="Y380" s="6">
        <f>[1]Results!AB112</f>
        <v>115.1236342</v>
      </c>
      <c r="Z380" s="6">
        <f>[1]Results!AC112</f>
        <v>119.97155410000001</v>
      </c>
      <c r="AA380" s="6">
        <f>[1]Results!AD112</f>
        <v>124.7705921</v>
      </c>
      <c r="AB380" s="6">
        <f>[1]Results!AE112</f>
        <v>129.45060609999999</v>
      </c>
      <c r="AC380" s="6">
        <f>[1]Results!AF112</f>
        <v>134.11789759999999</v>
      </c>
      <c r="AD380" s="6">
        <f>[1]Results!AG112</f>
        <v>138.73147499999999</v>
      </c>
      <c r="AE380" s="6">
        <f>[1]Results!AH112</f>
        <v>143.29049459999999</v>
      </c>
      <c r="AF380" s="6">
        <f>[1]Results!AI112</f>
        <v>147.7957931</v>
      </c>
      <c r="AG380" s="6">
        <f>[1]Results!AJ112</f>
        <v>152.2494318</v>
      </c>
      <c r="AH380" s="6">
        <f>[1]Results!AK112</f>
        <v>156.6541981</v>
      </c>
      <c r="AI380" s="6">
        <f>[1]Results!AL112</f>
        <v>161.0133347</v>
      </c>
      <c r="AJ380" s="6">
        <f>[1]Results!AM112</f>
        <v>165.33038389999999</v>
      </c>
      <c r="AK380" s="6">
        <f>[1]Results!AN112</f>
        <v>169.60810889999999</v>
      </c>
      <c r="AL380" s="6">
        <f>[1]Results!AO112</f>
        <v>173.84794350000001</v>
      </c>
      <c r="AM380" s="6">
        <f>[1]Results!AP112</f>
        <v>178.03353329999999</v>
      </c>
      <c r="AN380" s="6">
        <f>[1]Results!AQ112</f>
        <v>182.17608910000001</v>
      </c>
      <c r="AO380" s="6">
        <f>[1]Results!AR112</f>
        <v>186.26969589999999</v>
      </c>
      <c r="AP380" s="6">
        <f>[1]Results!AS112</f>
        <v>190.3076691</v>
      </c>
      <c r="AQ380" s="6">
        <f>[1]Results!AT112</f>
        <v>194.2830141</v>
      </c>
      <c r="AR380" s="6">
        <f>[1]Results!AU112</f>
        <v>198.18854830000001</v>
      </c>
      <c r="AS380" s="6">
        <f>[1]Results!AV112</f>
        <v>202.01690730000001</v>
      </c>
      <c r="AT380" s="6">
        <f>[1]Results!AW112</f>
        <v>205.76066420000001</v>
      </c>
      <c r="AU380" s="6">
        <f>[1]Results!AX112</f>
        <v>209.4132749</v>
      </c>
      <c r="AV380" s="6">
        <f>[1]Results!AY112</f>
        <v>212.98344080000001</v>
      </c>
      <c r="AW380" s="6">
        <f>[1]Results!AZ112</f>
        <v>216.5026172</v>
      </c>
      <c r="AX380" s="6">
        <f>[1]Results!BA112</f>
        <v>219.98551939999999</v>
      </c>
      <c r="AY380" s="6">
        <f>[1]Results!BB112</f>
        <v>223.44052239999999</v>
      </c>
      <c r="AZ380" s="6">
        <f>[1]Results!BC112</f>
        <v>226.8719949</v>
      </c>
      <c r="BA380" s="6">
        <f>[1]Results!BD112</f>
        <v>230.28222959999999</v>
      </c>
      <c r="BB380" s="6">
        <f>[1]Results!BE112</f>
        <v>233.67245779999999</v>
      </c>
      <c r="BC380" s="6">
        <f>[1]Results!BF112</f>
        <v>237.0433701</v>
      </c>
      <c r="BD380" s="6">
        <f>[1]Results!BG112</f>
        <v>240.3953775</v>
      </c>
      <c r="BE380" s="6">
        <f>[1]Results!BH112</f>
        <v>243.72874060000001</v>
      </c>
      <c r="BF380" s="6">
        <f>[1]Results!BI112</f>
        <v>247.0436345</v>
      </c>
    </row>
    <row r="381" spans="1:58" x14ac:dyDescent="0.35">
      <c r="B381" t="s">
        <v>58</v>
      </c>
      <c r="C381" s="6">
        <f>[1]Results!F113</f>
        <v>68.80476281</v>
      </c>
      <c r="D381" s="6">
        <f>[1]Results!G113</f>
        <v>75.564438429999996</v>
      </c>
      <c r="E381" s="6">
        <f>[1]Results!H113</f>
        <v>81.149063909999995</v>
      </c>
      <c r="F381" s="6">
        <f>[1]Results!I113</f>
        <v>85.943075129999997</v>
      </c>
      <c r="G381" s="6">
        <f>[1]Results!J113</f>
        <v>90.419673419999995</v>
      </c>
      <c r="H381" s="6">
        <f>[1]Results!K113</f>
        <v>94.821297830000006</v>
      </c>
      <c r="I381" s="6">
        <f>[1]Results!L113</f>
        <v>98.681995229999998</v>
      </c>
      <c r="J381" s="6">
        <f>[1]Results!M113</f>
        <v>102.7684896</v>
      </c>
      <c r="K381" s="6">
        <f>[1]Results!N113</f>
        <v>107.2785799</v>
      </c>
      <c r="L381" s="6">
        <f>[1]Results!O113</f>
        <v>112.5806486</v>
      </c>
      <c r="M381" s="6">
        <f>[1]Results!P113</f>
        <v>119.02852559999999</v>
      </c>
      <c r="N381" s="6">
        <f>[1]Results!Q113</f>
        <v>125.1316916</v>
      </c>
      <c r="O381" s="6">
        <f>[1]Results!R113</f>
        <v>132.04581870000001</v>
      </c>
      <c r="P381" s="6">
        <f>[1]Results!S113</f>
        <v>139.53871090000001</v>
      </c>
      <c r="Q381" s="6">
        <f>[1]Results!T113</f>
        <v>147.32515459999999</v>
      </c>
      <c r="R381" s="6">
        <f>[1]Results!U113</f>
        <v>155.21064419999999</v>
      </c>
      <c r="S381" s="6">
        <f>[1]Results!V113</f>
        <v>163.10030040000001</v>
      </c>
      <c r="T381" s="6">
        <f>[1]Results!W113</f>
        <v>170.96561489999999</v>
      </c>
      <c r="U381" s="6">
        <f>[1]Results!X113</f>
        <v>178.81234069999999</v>
      </c>
      <c r="V381" s="6">
        <f>[1]Results!Y113</f>
        <v>186.65889139999999</v>
      </c>
      <c r="W381" s="6">
        <f>[1]Results!Z113</f>
        <v>193.84094039999999</v>
      </c>
      <c r="X381" s="6">
        <f>[1]Results!AA113</f>
        <v>201.7532933</v>
      </c>
      <c r="Y381" s="6">
        <f>[1]Results!AB113</f>
        <v>209.72219670000001</v>
      </c>
      <c r="Z381" s="6">
        <f>[1]Results!AC113</f>
        <v>217.74438000000001</v>
      </c>
      <c r="AA381" s="6">
        <f>[1]Results!AD113</f>
        <v>225.80349480000001</v>
      </c>
      <c r="AB381" s="6">
        <f>[1]Results!AE113</f>
        <v>232.0103421</v>
      </c>
      <c r="AC381" s="6">
        <f>[1]Results!AF113</f>
        <v>239.23406069999999</v>
      </c>
      <c r="AD381" s="6">
        <f>[1]Results!AG113</f>
        <v>246.49059360000001</v>
      </c>
      <c r="AE381" s="6">
        <f>[1]Results!AH113</f>
        <v>253.7865639</v>
      </c>
      <c r="AF381" s="6">
        <f>[1]Results!AI113</f>
        <v>261.12243109999997</v>
      </c>
      <c r="AG381" s="6">
        <f>[1]Results!AJ113</f>
        <v>268.4919812</v>
      </c>
      <c r="AH381" s="6">
        <f>[1]Results!AK113</f>
        <v>275.88356520000002</v>
      </c>
      <c r="AI381" s="6">
        <f>[1]Results!AL113</f>
        <v>283.28156899999999</v>
      </c>
      <c r="AJ381" s="6">
        <f>[1]Results!AM113</f>
        <v>290.66769779999998</v>
      </c>
      <c r="AK381" s="6">
        <f>[1]Results!AN113</f>
        <v>298.02502459999999</v>
      </c>
      <c r="AL381" s="6">
        <f>[1]Results!AO113</f>
        <v>305.34133689999999</v>
      </c>
      <c r="AM381" s="6">
        <f>[1]Results!AP113</f>
        <v>312.21351559999999</v>
      </c>
      <c r="AN381" s="6">
        <f>[1]Results!AQ113</f>
        <v>319.05141809999998</v>
      </c>
      <c r="AO381" s="6">
        <f>[1]Results!AR113</f>
        <v>325.8774995</v>
      </c>
      <c r="AP381" s="6">
        <f>[1]Results!AS113</f>
        <v>332.72180900000001</v>
      </c>
      <c r="AQ381" s="6">
        <f>[1]Results!AT113</f>
        <v>339.6185006</v>
      </c>
      <c r="AR381" s="6">
        <f>[1]Results!AU113</f>
        <v>346.603317</v>
      </c>
      <c r="AS381" s="6">
        <f>[1]Results!AV113</f>
        <v>353.71185350000002</v>
      </c>
      <c r="AT381" s="6">
        <f>[1]Results!AW113</f>
        <v>360.97799459999999</v>
      </c>
      <c r="AU381" s="6">
        <f>[1]Results!AX113</f>
        <v>368.43048499999998</v>
      </c>
      <c r="AV381" s="6">
        <f>[1]Results!AY113</f>
        <v>376.05505520000003</v>
      </c>
      <c r="AW381" s="6">
        <f>[1]Results!AZ113</f>
        <v>383.79828839999999</v>
      </c>
      <c r="AX381" s="6">
        <f>[1]Results!BA113</f>
        <v>391.55188140000001</v>
      </c>
      <c r="AY381" s="6">
        <f>[1]Results!BB113</f>
        <v>399.26200710000001</v>
      </c>
      <c r="AZ381" s="6">
        <f>[1]Results!BC113</f>
        <v>406.8947794</v>
      </c>
      <c r="BA381" s="6">
        <f>[1]Results!BD113</f>
        <v>414.43052139999998</v>
      </c>
      <c r="BB381" s="6">
        <f>[1]Results!BE113</f>
        <v>421.85864270000002</v>
      </c>
      <c r="BC381" s="6">
        <f>[1]Results!BF113</f>
        <v>429.17398750000001</v>
      </c>
      <c r="BD381" s="6">
        <f>[1]Results!BG113</f>
        <v>436.3744901</v>
      </c>
      <c r="BE381" s="6">
        <f>[1]Results!BH113</f>
        <v>443.45976189999999</v>
      </c>
      <c r="BF381" s="6">
        <f>[1]Results!BI113</f>
        <v>450.4302768</v>
      </c>
    </row>
    <row r="382" spans="1:58" x14ac:dyDescent="0.35">
      <c r="B382" t="s">
        <v>59</v>
      </c>
      <c r="C382" s="6">
        <f>[1]Results!F114</f>
        <v>408.28039699999999</v>
      </c>
      <c r="D382" s="6">
        <f>[1]Results!G114</f>
        <v>423.16628309999999</v>
      </c>
      <c r="E382" s="6">
        <f>[1]Results!H114</f>
        <v>436.78217960000001</v>
      </c>
      <c r="F382" s="6">
        <f>[1]Results!I114</f>
        <v>448.99166509999998</v>
      </c>
      <c r="G382" s="6">
        <f>[1]Results!J114</f>
        <v>460.63421290000002</v>
      </c>
      <c r="H382" s="6">
        <f>[1]Results!K114</f>
        <v>472.16333409999999</v>
      </c>
      <c r="I382" s="6">
        <f>[1]Results!L114</f>
        <v>482.13761540000002</v>
      </c>
      <c r="J382" s="6">
        <f>[1]Results!M114</f>
        <v>492.6020082</v>
      </c>
      <c r="K382" s="6">
        <f>[1]Results!N114</f>
        <v>503.98830170000002</v>
      </c>
      <c r="L382" s="6">
        <f>[1]Results!O114</f>
        <v>517.12044109999999</v>
      </c>
      <c r="M382" s="6">
        <f>[1]Results!P114</f>
        <v>531.45723080000005</v>
      </c>
      <c r="N382" s="6">
        <f>[1]Results!Q114</f>
        <v>542.86396000000002</v>
      </c>
      <c r="O382" s="6">
        <f>[1]Results!R114</f>
        <v>554.79422469999997</v>
      </c>
      <c r="P382" s="6">
        <f>[1]Results!S114</f>
        <v>567.19032890000005</v>
      </c>
      <c r="Q382" s="6">
        <f>[1]Results!T114</f>
        <v>579.84199899999999</v>
      </c>
      <c r="R382" s="6">
        <f>[1]Results!U114</f>
        <v>592.58667969999999</v>
      </c>
      <c r="S382" s="6">
        <f>[1]Results!V114</f>
        <v>605.34230830000001</v>
      </c>
      <c r="T382" s="6">
        <f>[1]Results!W114</f>
        <v>618.08481759999995</v>
      </c>
      <c r="U382" s="6">
        <f>[1]Results!X114</f>
        <v>630.8209018</v>
      </c>
      <c r="V382" s="6">
        <f>[1]Results!Y114</f>
        <v>643.56859420000001</v>
      </c>
      <c r="W382" s="6">
        <f>[1]Results!Z114</f>
        <v>654.42061309999997</v>
      </c>
      <c r="X382" s="6">
        <f>[1]Results!AA114</f>
        <v>667.25055120000002</v>
      </c>
      <c r="Y382" s="6">
        <f>[1]Results!AB114</f>
        <v>680.14590190000001</v>
      </c>
      <c r="Z382" s="6">
        <f>[1]Results!AC114</f>
        <v>693.1029297</v>
      </c>
      <c r="AA382" s="6">
        <f>[1]Results!AD114</f>
        <v>706.10515659999999</v>
      </c>
      <c r="AB382" s="6">
        <f>[1]Results!AE114</f>
        <v>713.87262350000003</v>
      </c>
      <c r="AC382" s="6">
        <f>[1]Results!AF114</f>
        <v>724.45071210000003</v>
      </c>
      <c r="AD382" s="6">
        <f>[1]Results!AG114</f>
        <v>735.05864919999999</v>
      </c>
      <c r="AE382" s="6">
        <f>[1]Results!AH114</f>
        <v>745.70209880000004</v>
      </c>
      <c r="AF382" s="6">
        <f>[1]Results!AI114</f>
        <v>756.3808659</v>
      </c>
      <c r="AG382" s="6">
        <f>[1]Results!AJ114</f>
        <v>767.08842240000001</v>
      </c>
      <c r="AH382" s="6">
        <f>[1]Results!AK114</f>
        <v>777.81311800000003</v>
      </c>
      <c r="AI382" s="6">
        <f>[1]Results!AL114</f>
        <v>788.53961809999998</v>
      </c>
      <c r="AJ382" s="6">
        <f>[1]Results!AM114</f>
        <v>799.25018699999998</v>
      </c>
      <c r="AK382" s="6">
        <f>[1]Results!AN114</f>
        <v>809.92856099999995</v>
      </c>
      <c r="AL382" s="6">
        <f>[1]Results!AO114</f>
        <v>820.56312349999996</v>
      </c>
      <c r="AM382" s="6">
        <f>[1]Results!AP114</f>
        <v>830.02745689999995</v>
      </c>
      <c r="AN382" s="6">
        <f>[1]Results!AQ114</f>
        <v>839.45222209999997</v>
      </c>
      <c r="AO382" s="6">
        <f>[1]Results!AR114</f>
        <v>848.8592956</v>
      </c>
      <c r="AP382" s="6">
        <f>[1]Results!AS114</f>
        <v>858.27787220000005</v>
      </c>
      <c r="AQ382" s="6">
        <f>[1]Results!AT114</f>
        <v>867.74107849999996</v>
      </c>
      <c r="AR382" s="6">
        <f>[1]Results!AU114</f>
        <v>877.28352219999999</v>
      </c>
      <c r="AS382" s="6">
        <f>[1]Results!AV114</f>
        <v>886.93959240000004</v>
      </c>
      <c r="AT382" s="6">
        <f>[1]Results!AW114</f>
        <v>896.74192140000002</v>
      </c>
      <c r="AU382" s="6">
        <f>[1]Results!AX114</f>
        <v>906.71801000000005</v>
      </c>
      <c r="AV382" s="6">
        <f>[1]Results!AY114</f>
        <v>916.85305549999998</v>
      </c>
      <c r="AW382" s="6">
        <f>[1]Results!AZ114</f>
        <v>927.15294229999995</v>
      </c>
      <c r="AX382" s="6">
        <f>[1]Results!BA114</f>
        <v>937.45241220000003</v>
      </c>
      <c r="AY382" s="6">
        <f>[1]Results!BB114</f>
        <v>947.69870360000004</v>
      </c>
      <c r="AZ382" s="6">
        <f>[1]Results!BC114</f>
        <v>957.85879999999997</v>
      </c>
      <c r="BA382" s="6">
        <f>[1]Results!BD114</f>
        <v>967.91372209999997</v>
      </c>
      <c r="BB382" s="6">
        <f>[1]Results!BE114</f>
        <v>977.8534598</v>
      </c>
      <c r="BC382" s="6">
        <f>[1]Results!BF114</f>
        <v>987.67337259999999</v>
      </c>
      <c r="BD382" s="6">
        <f>[1]Results!BG114</f>
        <v>997.37188449999996</v>
      </c>
      <c r="BE382" s="6">
        <f>[1]Results!BH114</f>
        <v>1006.949098</v>
      </c>
      <c r="BF382" s="6">
        <f>[1]Results!BI114</f>
        <v>1016.405996</v>
      </c>
    </row>
    <row r="383" spans="1:58" x14ac:dyDescent="0.35">
      <c r="B383" t="s">
        <v>60</v>
      </c>
      <c r="C383" s="6">
        <f>[1]Results!F115</f>
        <v>954.38155940000001</v>
      </c>
      <c r="D383" s="6">
        <f>[1]Results!G115</f>
        <v>949.5560868</v>
      </c>
      <c r="E383" s="6">
        <f>[1]Results!H115</f>
        <v>946.45585149999999</v>
      </c>
      <c r="F383" s="6">
        <f>[1]Results!I115</f>
        <v>944.02171710000005</v>
      </c>
      <c r="G383" s="6">
        <f>[1]Results!J115</f>
        <v>941.77160570000001</v>
      </c>
      <c r="H383" s="6">
        <f>[1]Results!K115</f>
        <v>939.48538580000002</v>
      </c>
      <c r="I383" s="6">
        <f>[1]Results!L115</f>
        <v>937.0459108</v>
      </c>
      <c r="J383" s="6">
        <f>[1]Results!M115</f>
        <v>934.36407020000001</v>
      </c>
      <c r="K383" s="6">
        <f>[1]Results!N115</f>
        <v>931.32350299999996</v>
      </c>
      <c r="L383" s="6">
        <f>[1]Results!O115</f>
        <v>927.67296280000005</v>
      </c>
      <c r="M383" s="6">
        <f>[1]Results!P115</f>
        <v>922.69675370000004</v>
      </c>
      <c r="N383" s="6">
        <f>[1]Results!Q115</f>
        <v>915.89020789999995</v>
      </c>
      <c r="O383" s="6">
        <f>[1]Results!R115</f>
        <v>907.26037129999997</v>
      </c>
      <c r="P383" s="6">
        <f>[1]Results!S115</f>
        <v>897.34651959999997</v>
      </c>
      <c r="Q383" s="6">
        <f>[1]Results!T115</f>
        <v>886.75118239999995</v>
      </c>
      <c r="R383" s="6">
        <f>[1]Results!U115</f>
        <v>875.89489360000005</v>
      </c>
      <c r="S383" s="6">
        <f>[1]Results!V115</f>
        <v>864.99854400000004</v>
      </c>
      <c r="T383" s="6">
        <f>[1]Results!W115</f>
        <v>854.14450950000003</v>
      </c>
      <c r="U383" s="6">
        <f>[1]Results!X115</f>
        <v>843.33915830000001</v>
      </c>
      <c r="V383" s="6">
        <f>[1]Results!Y115</f>
        <v>832.55686939999998</v>
      </c>
      <c r="W383" s="6">
        <f>[1]Results!Z115</f>
        <v>821.75980679999998</v>
      </c>
      <c r="X383" s="6">
        <f>[1]Results!AA115</f>
        <v>810.90773119999994</v>
      </c>
      <c r="Y383" s="6">
        <f>[1]Results!AB115</f>
        <v>799.97929769999996</v>
      </c>
      <c r="Z383" s="6">
        <f>[1]Results!AC115</f>
        <v>788.97823189999997</v>
      </c>
      <c r="AA383" s="6">
        <f>[1]Results!AD115</f>
        <v>777.93212319999998</v>
      </c>
      <c r="AB383" s="6">
        <f>[1]Results!AE115</f>
        <v>766.8666379</v>
      </c>
      <c r="AC383" s="6">
        <f>[1]Results!AF115</f>
        <v>755.77681029999997</v>
      </c>
      <c r="AD383" s="6">
        <f>[1]Results!AG115</f>
        <v>744.64821919999997</v>
      </c>
      <c r="AE383" s="6">
        <f>[1]Results!AH115</f>
        <v>733.46951609999996</v>
      </c>
      <c r="AF383" s="6">
        <f>[1]Results!AI115</f>
        <v>722.23964120000005</v>
      </c>
      <c r="AG383" s="6">
        <f>[1]Results!AJ115</f>
        <v>710.96930239999995</v>
      </c>
      <c r="AH383" s="6">
        <f>[1]Results!AK115</f>
        <v>699.67905949999999</v>
      </c>
      <c r="AI383" s="6">
        <f>[1]Results!AL115</f>
        <v>688.39671120000003</v>
      </c>
      <c r="AJ383" s="6">
        <f>[1]Results!AM115</f>
        <v>677.15490150000005</v>
      </c>
      <c r="AK383" s="6">
        <f>[1]Results!AN115</f>
        <v>665.98430529999996</v>
      </c>
      <c r="AL383" s="6">
        <f>[1]Results!AO115</f>
        <v>654.90766299999996</v>
      </c>
      <c r="AM383" s="6">
        <f>[1]Results!AP115</f>
        <v>643.93173750000005</v>
      </c>
      <c r="AN383" s="6">
        <f>[1]Results!AQ115</f>
        <v>633.03942849999999</v>
      </c>
      <c r="AO383" s="6">
        <f>[1]Results!AR115</f>
        <v>622.19301940000003</v>
      </c>
      <c r="AP383" s="6">
        <f>[1]Results!AS115</f>
        <v>611.34068000000002</v>
      </c>
      <c r="AQ383" s="6">
        <f>[1]Results!AT115</f>
        <v>600.42284659999996</v>
      </c>
      <c r="AR383" s="6">
        <f>[1]Results!AU115</f>
        <v>589.37704599999995</v>
      </c>
      <c r="AS383" s="6">
        <f>[1]Results!AV115</f>
        <v>578.14131650000002</v>
      </c>
      <c r="AT383" s="6">
        <f>[1]Results!AW115</f>
        <v>566.65718700000002</v>
      </c>
      <c r="AU383" s="6">
        <f>[1]Results!AX115</f>
        <v>554.87553690000004</v>
      </c>
      <c r="AV383" s="6">
        <f>[1]Results!AY115</f>
        <v>542.81728320000002</v>
      </c>
      <c r="AW383" s="6">
        <f>[1]Results!AZ115</f>
        <v>530.62310939999998</v>
      </c>
      <c r="AX383" s="6">
        <f>[1]Results!BA115</f>
        <v>518.42864229999998</v>
      </c>
      <c r="AY383" s="6">
        <f>[1]Results!BB115</f>
        <v>506.33256030000001</v>
      </c>
      <c r="AZ383" s="6">
        <f>[1]Results!BC115</f>
        <v>494.39784120000002</v>
      </c>
      <c r="BA383" s="6">
        <f>[1]Results!BD115</f>
        <v>482.66127110000002</v>
      </c>
      <c r="BB383" s="6">
        <f>[1]Results!BE115</f>
        <v>471.14261520000002</v>
      </c>
      <c r="BC383" s="6">
        <f>[1]Results!BF115</f>
        <v>459.85134590000001</v>
      </c>
      <c r="BD383" s="6">
        <f>[1]Results!BG115</f>
        <v>448.79102749999998</v>
      </c>
      <c r="BE383" s="6">
        <f>[1]Results!BH115</f>
        <v>437.96198479999998</v>
      </c>
      <c r="BF383" s="6">
        <f>[1]Results!BI115</f>
        <v>427.36285099999998</v>
      </c>
    </row>
    <row r="384" spans="1:58" x14ac:dyDescent="0.35">
      <c r="B384" t="s">
        <v>61</v>
      </c>
      <c r="C384" s="6">
        <f>[1]Results!F116</f>
        <v>878.79999729999997</v>
      </c>
      <c r="D384" s="6">
        <f>[1]Results!G116</f>
        <v>868.61704910000003</v>
      </c>
      <c r="E384" s="6">
        <f>[1]Results!H116</f>
        <v>859.85198549999996</v>
      </c>
      <c r="F384" s="6">
        <f>[1]Results!I116</f>
        <v>852.22813329999997</v>
      </c>
      <c r="G384" s="6">
        <f>[1]Results!J116</f>
        <v>845.34785380000005</v>
      </c>
      <c r="H384" s="6">
        <f>[1]Results!K116</f>
        <v>838.89406829999996</v>
      </c>
      <c r="I384" s="6">
        <f>[1]Results!L116</f>
        <v>832.61473320000005</v>
      </c>
      <c r="J384" s="6">
        <f>[1]Results!M116</f>
        <v>826.26335289999997</v>
      </c>
      <c r="K384" s="6">
        <f>[1]Results!N116</f>
        <v>819.50252039999998</v>
      </c>
      <c r="L384" s="6">
        <f>[1]Results!O116</f>
        <v>811.70494989999997</v>
      </c>
      <c r="M384" s="6">
        <f>[1]Results!P116</f>
        <v>805.29440550000004</v>
      </c>
      <c r="N384" s="6">
        <f>[1]Results!Q116</f>
        <v>799.75321970000005</v>
      </c>
      <c r="O384" s="6">
        <f>[1]Results!R116</f>
        <v>794.70104619999995</v>
      </c>
      <c r="P384" s="6">
        <f>[1]Results!S116</f>
        <v>789.92168470000001</v>
      </c>
      <c r="Q384" s="6">
        <f>[1]Results!T116</f>
        <v>785.29807730000005</v>
      </c>
      <c r="R384" s="6">
        <f>[1]Results!U116</f>
        <v>780.76783690000002</v>
      </c>
      <c r="S384" s="6">
        <f>[1]Results!V116</f>
        <v>776.29787190000002</v>
      </c>
      <c r="T384" s="6">
        <f>[1]Results!W116</f>
        <v>771.87061630000005</v>
      </c>
      <c r="U384" s="6">
        <f>[1]Results!X116</f>
        <v>767.47670330000005</v>
      </c>
      <c r="V384" s="6">
        <f>[1]Results!Y116</f>
        <v>763.11110889999998</v>
      </c>
      <c r="W384" s="6">
        <f>[1]Results!Z116</f>
        <v>758.77108080000005</v>
      </c>
      <c r="X384" s="6">
        <f>[1]Results!AA116</f>
        <v>754.45479620000003</v>
      </c>
      <c r="Y384" s="6">
        <f>[1]Results!AB116</f>
        <v>750.16171810000003</v>
      </c>
      <c r="Z384" s="6">
        <f>[1]Results!AC116</f>
        <v>745.89149680000003</v>
      </c>
      <c r="AA384" s="6">
        <f>[1]Results!AD116</f>
        <v>741.64404139999999</v>
      </c>
      <c r="AB384" s="6">
        <f>[1]Results!AE116</f>
        <v>737.41927390000001</v>
      </c>
      <c r="AC384" s="6">
        <f>[1]Results!AF116</f>
        <v>733.21623669999997</v>
      </c>
      <c r="AD384" s="6">
        <f>[1]Results!AG116</f>
        <v>729.03512330000001</v>
      </c>
      <c r="AE384" s="6">
        <f>[1]Results!AH116</f>
        <v>724.87583649999999</v>
      </c>
      <c r="AF384" s="6">
        <f>[1]Results!AI116</f>
        <v>720.73836610000001</v>
      </c>
      <c r="AG384" s="6">
        <f>[1]Results!AJ116</f>
        <v>716.62276450000002</v>
      </c>
      <c r="AH384" s="6">
        <f>[1]Results!AK116</f>
        <v>712.52911779999999</v>
      </c>
      <c r="AI384" s="6">
        <f>[1]Results!AL116</f>
        <v>708.45752919999995</v>
      </c>
      <c r="AJ384" s="6">
        <f>[1]Results!AM116</f>
        <v>704.40811069999995</v>
      </c>
      <c r="AK384" s="6">
        <f>[1]Results!AN116</f>
        <v>700.38094650000005</v>
      </c>
      <c r="AL384" s="6">
        <f>[1]Results!AO116</f>
        <v>696.3760747</v>
      </c>
      <c r="AM384" s="6">
        <f>[1]Results!AP116</f>
        <v>692.39345609999998</v>
      </c>
      <c r="AN384" s="6">
        <f>[1]Results!AQ116</f>
        <v>688.4327902</v>
      </c>
      <c r="AO384" s="6">
        <f>[1]Results!AR116</f>
        <v>684.49385970000003</v>
      </c>
      <c r="AP384" s="6">
        <f>[1]Results!AS116</f>
        <v>680.57641339999998</v>
      </c>
      <c r="AQ384" s="6">
        <f>[1]Results!AT116</f>
        <v>676.68019200000003</v>
      </c>
      <c r="AR384" s="6">
        <f>[1]Results!AU116</f>
        <v>672.80494309999995</v>
      </c>
      <c r="AS384" s="6">
        <f>[1]Results!AV116</f>
        <v>668.95042769999998</v>
      </c>
      <c r="AT384" s="6">
        <f>[1]Results!AW116</f>
        <v>665.11642310000002</v>
      </c>
      <c r="AU384" s="6">
        <f>[1]Results!AX116</f>
        <v>661.30272200000002</v>
      </c>
      <c r="AV384" s="6">
        <f>[1]Results!AY116</f>
        <v>657.50912989999995</v>
      </c>
      <c r="AW384" s="6">
        <f>[1]Results!AZ116</f>
        <v>653.73546350000004</v>
      </c>
      <c r="AX384" s="6">
        <f>[1]Results!BA116</f>
        <v>649.98156329999995</v>
      </c>
      <c r="AY384" s="6">
        <f>[1]Results!BB116</f>
        <v>646.24726429999998</v>
      </c>
      <c r="AZ384" s="6">
        <f>[1]Results!BC116</f>
        <v>642.53240740000001</v>
      </c>
      <c r="BA384" s="6">
        <f>[1]Results!BD116</f>
        <v>638.83683989999997</v>
      </c>
      <c r="BB384" s="6">
        <f>[1]Results!BE116</f>
        <v>635.16041800000005</v>
      </c>
      <c r="BC384" s="6">
        <f>[1]Results!BF116</f>
        <v>631.50300949999996</v>
      </c>
      <c r="BD384" s="6">
        <f>[1]Results!BG116</f>
        <v>627.86449679999998</v>
      </c>
      <c r="BE384" s="6">
        <f>[1]Results!BH116</f>
        <v>624.24477860000002</v>
      </c>
      <c r="BF384" s="6">
        <f>[1]Results!BI116</f>
        <v>620.64377200000001</v>
      </c>
    </row>
    <row r="385" spans="1:58" x14ac:dyDescent="0.35">
      <c r="B385" t="s">
        <v>62</v>
      </c>
      <c r="C385" s="6">
        <f>[1]Results!F117</f>
        <v>139.85209269999999</v>
      </c>
      <c r="D385" s="6">
        <f>[1]Results!G117</f>
        <v>137.93459580000001</v>
      </c>
      <c r="E385" s="6">
        <f>[1]Results!H117</f>
        <v>136.0108396</v>
      </c>
      <c r="F385" s="6">
        <f>[1]Results!I117</f>
        <v>134.10192330000001</v>
      </c>
      <c r="G385" s="6">
        <f>[1]Results!J117</f>
        <v>132.22446170000001</v>
      </c>
      <c r="H385" s="6">
        <f>[1]Results!K117</f>
        <v>130.3881542</v>
      </c>
      <c r="I385" s="6">
        <f>[1]Results!L117</f>
        <v>128.59604289999999</v>
      </c>
      <c r="J385" s="6">
        <f>[1]Results!M117</f>
        <v>126.84644590000001</v>
      </c>
      <c r="K385" s="6">
        <f>[1]Results!N117</f>
        <v>125.1352256</v>
      </c>
      <c r="L385" s="6">
        <f>[1]Results!O117</f>
        <v>123.4575146</v>
      </c>
      <c r="M385" s="6">
        <f>[1]Results!P117</f>
        <v>121.80881340000001</v>
      </c>
      <c r="N385" s="6">
        <f>[1]Results!Q117</f>
        <v>120.18569429999999</v>
      </c>
      <c r="O385" s="6">
        <f>[1]Results!R117</f>
        <v>118.58534779999999</v>
      </c>
      <c r="P385" s="6">
        <f>[1]Results!S117</f>
        <v>117.0055679</v>
      </c>
      <c r="Q385" s="6">
        <f>[1]Results!T117</f>
        <v>115.44470990000001</v>
      </c>
      <c r="R385" s="6">
        <f>[1]Results!U117</f>
        <v>113.9016086</v>
      </c>
      <c r="S385" s="6">
        <f>[1]Results!V117</f>
        <v>112.3754927</v>
      </c>
      <c r="T385" s="6">
        <f>[1]Results!W117</f>
        <v>110.86590990000001</v>
      </c>
      <c r="U385" s="6">
        <f>[1]Results!X117</f>
        <v>109.3726637</v>
      </c>
      <c r="V385" s="6">
        <f>[1]Results!Y117</f>
        <v>107.895758</v>
      </c>
      <c r="W385" s="6">
        <f>[1]Results!Z117</f>
        <v>106.4353163</v>
      </c>
      <c r="X385" s="6">
        <f>[1]Results!AA117</f>
        <v>104.9915515</v>
      </c>
      <c r="Y385" s="6">
        <f>[1]Results!AB117</f>
        <v>103.5647872</v>
      </c>
      <c r="Z385" s="6">
        <f>[1]Results!AC117</f>
        <v>102.15538909999999</v>
      </c>
      <c r="AA385" s="6">
        <f>[1]Results!AD117</f>
        <v>100.76371349999999</v>
      </c>
      <c r="AB385" s="6">
        <f>[1]Results!AE117</f>
        <v>99.390001040000001</v>
      </c>
      <c r="AC385" s="6">
        <f>[1]Results!AF117</f>
        <v>98.034366739999996</v>
      </c>
      <c r="AD385" s="6">
        <f>[1]Results!AG117</f>
        <v>96.69692981</v>
      </c>
      <c r="AE385" s="6">
        <f>[1]Results!AH117</f>
        <v>95.377795340000006</v>
      </c>
      <c r="AF385" s="6">
        <f>[1]Results!AI117</f>
        <v>94.07703291</v>
      </c>
      <c r="AG385" s="6">
        <f>[1]Results!AJ117</f>
        <v>92.794663330000006</v>
      </c>
      <c r="AH385" s="6">
        <f>[1]Results!AK117</f>
        <v>91.530651120000002</v>
      </c>
      <c r="AI385" s="6">
        <f>[1]Results!AL117</f>
        <v>90.28489845</v>
      </c>
      <c r="AJ385" s="6">
        <f>[1]Results!AM117</f>
        <v>89.057235430000006</v>
      </c>
      <c r="AK385" s="6">
        <f>[1]Results!AN117</f>
        <v>87.847426839999997</v>
      </c>
      <c r="AL385" s="6">
        <f>[1]Results!AO117</f>
        <v>86.655184719999994</v>
      </c>
      <c r="AM385" s="6">
        <f>[1]Results!AP117</f>
        <v>85.480166850000003</v>
      </c>
      <c r="AN385" s="6">
        <f>[1]Results!AQ117</f>
        <v>84.321982370000001</v>
      </c>
      <c r="AO385" s="6">
        <f>[1]Results!AR117</f>
        <v>83.180223130000002</v>
      </c>
      <c r="AP385" s="6">
        <f>[1]Results!AS117</f>
        <v>82.054482719999996</v>
      </c>
      <c r="AQ385" s="6">
        <f>[1]Results!AT117</f>
        <v>80.944366799999997</v>
      </c>
      <c r="AR385" s="6">
        <f>[1]Results!AU117</f>
        <v>79.849498530000005</v>
      </c>
      <c r="AS385" s="6">
        <f>[1]Results!AV117</f>
        <v>78.769521040000001</v>
      </c>
      <c r="AT385" s="6">
        <f>[1]Results!AW117</f>
        <v>77.704097700000005</v>
      </c>
      <c r="AU385" s="6">
        <f>[1]Results!AX117</f>
        <v>76.65291182</v>
      </c>
      <c r="AV385" s="6">
        <f>[1]Results!AY117</f>
        <v>75.615666410000003</v>
      </c>
      <c r="AW385" s="6">
        <f>[1]Results!AZ117</f>
        <v>74.592082500000004</v>
      </c>
      <c r="AX385" s="6">
        <f>[1]Results!BA117</f>
        <v>73.581896529999995</v>
      </c>
      <c r="AY385" s="6">
        <f>[1]Results!BB117</f>
        <v>72.584857769999999</v>
      </c>
      <c r="AZ385" s="6">
        <f>[1]Results!BC117</f>
        <v>71.600728200000006</v>
      </c>
      <c r="BA385" s="6">
        <f>[1]Results!BD117</f>
        <v>70.629283659999999</v>
      </c>
      <c r="BB385" s="6">
        <f>[1]Results!BE117</f>
        <v>69.670315380000005</v>
      </c>
      <c r="BC385" s="6">
        <f>[1]Results!BF117</f>
        <v>68.723631049999995</v>
      </c>
      <c r="BD385" s="6">
        <f>[1]Results!BG117</f>
        <v>67.789055200000007</v>
      </c>
      <c r="BE385" s="6">
        <f>[1]Results!BH117</f>
        <v>66.8664287</v>
      </c>
      <c r="BF385" s="6">
        <f>[1]Results!BI117</f>
        <v>65.955607650000005</v>
      </c>
    </row>
    <row r="386" spans="1:58" x14ac:dyDescent="0.35">
      <c r="B386" t="s">
        <v>63</v>
      </c>
      <c r="C386" s="6">
        <f>[1]Results!F118</f>
        <v>3.874567114</v>
      </c>
      <c r="D386" s="6">
        <f>[1]Results!G118</f>
        <v>3.7230967220000002</v>
      </c>
      <c r="E386" s="6">
        <f>[1]Results!H118</f>
        <v>3.5754166349999998</v>
      </c>
      <c r="F386" s="6">
        <f>[1]Results!I118</f>
        <v>3.433015648</v>
      </c>
      <c r="G386" s="6">
        <f>[1]Results!J118</f>
        <v>3.2969015559999999</v>
      </c>
      <c r="H386" s="6">
        <f>[1]Results!K118</f>
        <v>3.1675121509999999</v>
      </c>
      <c r="I386" s="6">
        <f>[1]Results!L118</f>
        <v>3.0447906800000002</v>
      </c>
      <c r="J386" s="6">
        <f>[1]Results!M118</f>
        <v>2.9283571880000001</v>
      </c>
      <c r="K386" s="6">
        <f>[1]Results!N118</f>
        <v>2.8176860559999999</v>
      </c>
      <c r="L386" s="6">
        <f>[1]Results!O118</f>
        <v>2.7122332029999998</v>
      </c>
      <c r="M386" s="6">
        <f>[1]Results!P118</f>
        <v>2.6115123100000002</v>
      </c>
      <c r="N386" s="6">
        <f>[1]Results!Q118</f>
        <v>2.5151169759999998</v>
      </c>
      <c r="O386" s="6">
        <f>[1]Results!R118</f>
        <v>2.4227058010000002</v>
      </c>
      <c r="P386" s="6">
        <f>[1]Results!S118</f>
        <v>2.3339959779999999</v>
      </c>
      <c r="Q386" s="6">
        <f>[1]Results!T118</f>
        <v>2.2487547530000001</v>
      </c>
      <c r="R386" s="6">
        <f>[1]Results!U118</f>
        <v>2.1667893920000001</v>
      </c>
      <c r="S386" s="6">
        <f>[1]Results!V118</f>
        <v>2.0879383809999998</v>
      </c>
      <c r="T386" s="6">
        <f>[1]Results!W118</f>
        <v>2.0120644369999998</v>
      </c>
      <c r="U386" s="6">
        <f>[1]Results!X118</f>
        <v>1.939049048</v>
      </c>
      <c r="V386" s="6">
        <f>[1]Results!Y118</f>
        <v>1.868788052</v>
      </c>
      <c r="W386" s="6">
        <f>[1]Results!Z118</f>
        <v>1.801186336</v>
      </c>
      <c r="X386" s="6">
        <f>[1]Results!AA118</f>
        <v>1.736155683</v>
      </c>
      <c r="Y386" s="6">
        <f>[1]Results!AB118</f>
        <v>1.673615552</v>
      </c>
      <c r="Z386" s="6">
        <f>[1]Results!AC118</f>
        <v>1.61348954</v>
      </c>
      <c r="AA386" s="6">
        <f>[1]Results!AD118</f>
        <v>1.5557029229999999</v>
      </c>
      <c r="AB386" s="6">
        <f>[1]Results!AE118</f>
        <v>1.500177815</v>
      </c>
      <c r="AC386" s="6">
        <f>[1]Results!AF118</f>
        <v>1.4468330279999999</v>
      </c>
      <c r="AD386" s="6">
        <f>[1]Results!AG118</f>
        <v>1.395590264</v>
      </c>
      <c r="AE386" s="6">
        <f>[1]Results!AH118</f>
        <v>1.346373633</v>
      </c>
      <c r="AF386" s="6">
        <f>[1]Results!AI118</f>
        <v>1.2991088989999999</v>
      </c>
      <c r="AG386" s="6">
        <f>[1]Results!AJ118</f>
        <v>1.2537230239999999</v>
      </c>
      <c r="AH386" s="6">
        <f>[1]Results!AK118</f>
        <v>1.2101439380000001</v>
      </c>
      <c r="AI386" s="6">
        <f>[1]Results!AL118</f>
        <v>1.1683004400000001</v>
      </c>
      <c r="AJ386" s="6">
        <f>[1]Results!AM118</f>
        <v>1.12812201</v>
      </c>
      <c r="AK386" s="6">
        <f>[1]Results!AN118</f>
        <v>1.0895390680000001</v>
      </c>
      <c r="AL386" s="6">
        <f>[1]Results!AO118</f>
        <v>1.0524833309999999</v>
      </c>
      <c r="AM386" s="6">
        <f>[1]Results!AP118</f>
        <v>1.0168876840000001</v>
      </c>
      <c r="AN386" s="6">
        <f>[1]Results!AQ118</f>
        <v>0.98268630440000004</v>
      </c>
      <c r="AO386" s="6">
        <f>[1]Results!AR118</f>
        <v>0.94981569779999997</v>
      </c>
      <c r="AP386" s="6">
        <f>[1]Results!AS118</f>
        <v>0.91821526050000002</v>
      </c>
      <c r="AQ386" s="6">
        <f>[1]Results!AT118</f>
        <v>0.88782749400000005</v>
      </c>
      <c r="AR386" s="6">
        <f>[1]Results!AU118</f>
        <v>0.85859802399999996</v>
      </c>
      <c r="AS386" s="6">
        <f>[1]Results!AV118</f>
        <v>0.83047550540000004</v>
      </c>
      <c r="AT386" s="6">
        <f>[1]Results!AW118</f>
        <v>0.80341146249999995</v>
      </c>
      <c r="AU386" s="6">
        <f>[1]Results!AX118</f>
        <v>0.77736011640000002</v>
      </c>
      <c r="AV386" s="6">
        <f>[1]Results!AY118</f>
        <v>0.75227822720000004</v>
      </c>
      <c r="AW386" s="6">
        <f>[1]Results!AZ118</f>
        <v>0.72812490279999997</v>
      </c>
      <c r="AX386" s="6">
        <f>[1]Results!BA118</f>
        <v>0.70486139820000004</v>
      </c>
      <c r="AY386" s="6">
        <f>[1]Results!BB118</f>
        <v>0.68245092529999996</v>
      </c>
      <c r="AZ386" s="6">
        <f>[1]Results!BC118</f>
        <v>0.66085853719999998</v>
      </c>
      <c r="BA386" s="6">
        <f>[1]Results!BD118</f>
        <v>0.6400510546</v>
      </c>
      <c r="BB386" s="6">
        <f>[1]Results!BE118</f>
        <v>0.61999700449999995</v>
      </c>
      <c r="BC386" s="6">
        <f>[1]Results!BF118</f>
        <v>0.60066655219999998</v>
      </c>
      <c r="BD386" s="6">
        <f>[1]Results!BG118</f>
        <v>0.58203141869999997</v>
      </c>
      <c r="BE386" s="6">
        <f>[1]Results!BH118</f>
        <v>0.56406478569999996</v>
      </c>
      <c r="BF386" s="6">
        <f>[1]Results!BI118</f>
        <v>0.54674119160000001</v>
      </c>
    </row>
    <row r="388" spans="1:58" x14ac:dyDescent="0.35">
      <c r="A388" s="12" t="s">
        <v>92</v>
      </c>
      <c r="B388" s="6" t="str">
        <f>[1]Emissions!A830</f>
        <v>ems_ci_co2_sagr_2</v>
      </c>
      <c r="C388" s="6">
        <f>[1]Emissions!B830</f>
        <v>14.23951287</v>
      </c>
      <c r="D388" s="6">
        <f>[1]Emissions!C830</f>
        <v>14.05314006</v>
      </c>
      <c r="E388" s="6">
        <f>[1]Emissions!D830</f>
        <v>14.05149462</v>
      </c>
      <c r="F388" s="6">
        <f>[1]Emissions!E830</f>
        <v>14.10987581</v>
      </c>
      <c r="G388" s="6">
        <f>[1]Emissions!F830</f>
        <v>14.20896806</v>
      </c>
      <c r="H388" s="6">
        <f>[1]Emissions!G830</f>
        <v>14.343868820000001</v>
      </c>
      <c r="I388" s="6">
        <f>[1]Emissions!H830</f>
        <v>14.502077030000001</v>
      </c>
      <c r="J388" s="6">
        <f>[1]Emissions!I830</f>
        <v>14.68244266</v>
      </c>
      <c r="K388" s="6">
        <f>[1]Emissions!J830</f>
        <v>14.881706749999999</v>
      </c>
      <c r="L388" s="6">
        <f>[1]Emissions!K830</f>
        <v>15.09652934</v>
      </c>
      <c r="M388" s="6">
        <f>[1]Emissions!L830</f>
        <v>15.337721269999999</v>
      </c>
      <c r="N388" s="6">
        <f>[1]Emissions!M830</f>
        <v>15.58205038</v>
      </c>
      <c r="O388" s="6">
        <f>[1]Emissions!N830</f>
        <v>15.831798109999999</v>
      </c>
      <c r="P388" s="6">
        <f>[1]Emissions!O830</f>
        <v>16.086276510000001</v>
      </c>
      <c r="Q388" s="6">
        <f>[1]Emissions!P830</f>
        <v>16.344488599999998</v>
      </c>
      <c r="R388" s="6">
        <f>[1]Emissions!Q830</f>
        <v>16.605652360000001</v>
      </c>
      <c r="S388" s="6">
        <f>[1]Emissions!R830</f>
        <v>16.868085870000002</v>
      </c>
      <c r="T388" s="6">
        <f>[1]Emissions!S830</f>
        <v>17.13225907</v>
      </c>
      <c r="U388" s="6">
        <f>[1]Emissions!T830</f>
        <v>17.39814187</v>
      </c>
      <c r="V388" s="6">
        <f>[1]Emissions!U830</f>
        <v>17.66571961</v>
      </c>
      <c r="W388" s="6">
        <f>[1]Emissions!V830</f>
        <v>17.92484704</v>
      </c>
      <c r="X388" s="6">
        <f>[1]Emissions!W830</f>
        <v>18.190098809999999</v>
      </c>
      <c r="Y388" s="6">
        <f>[1]Emissions!X830</f>
        <v>18.45905488</v>
      </c>
      <c r="Z388" s="6">
        <f>[1]Emissions!Y830</f>
        <v>18.731298249999998</v>
      </c>
      <c r="AA388" s="6">
        <f>[1]Emissions!Z830</f>
        <v>19.006830619999999</v>
      </c>
      <c r="AB388" s="6">
        <f>[1]Emissions!AA830</f>
        <v>19.25637742</v>
      </c>
      <c r="AC388" s="6">
        <f>[1]Emissions!AB830</f>
        <v>19.508041410000001</v>
      </c>
      <c r="AD388" s="6">
        <f>[1]Emissions!AC830</f>
        <v>19.7598941</v>
      </c>
      <c r="AE388" s="6">
        <f>[1]Emissions!AD830</f>
        <v>20.01252423</v>
      </c>
      <c r="AF388" s="6">
        <f>[1]Emissions!AE830</f>
        <v>20.266933640000001</v>
      </c>
      <c r="AG388" s="6">
        <f>[1]Emissions!AF830</f>
        <v>20.524028600000001</v>
      </c>
      <c r="AH388" s="6">
        <f>[1]Emissions!AG830</f>
        <v>20.78476882</v>
      </c>
      <c r="AI388" s="6">
        <f>[1]Emissions!AH830</f>
        <v>21.049500829999999</v>
      </c>
      <c r="AJ388" s="6">
        <f>[1]Emissions!AI830</f>
        <v>21.31855886</v>
      </c>
      <c r="AK388" s="6">
        <f>[1]Emissions!AJ830</f>
        <v>21.592176479999999</v>
      </c>
      <c r="AL388" s="6">
        <f>[1]Emissions!AK830</f>
        <v>21.870501090000001</v>
      </c>
      <c r="AM388" s="6">
        <f>[1]Emissions!AL830</f>
        <v>22.148765740000002</v>
      </c>
      <c r="AN388" s="6">
        <f>[1]Emissions!AM830</f>
        <v>22.428295330000001</v>
      </c>
      <c r="AO388" s="6">
        <f>[1]Emissions!AN830</f>
        <v>22.70998964</v>
      </c>
      <c r="AP388" s="6">
        <f>[1]Emissions!AO830</f>
        <v>22.99450968</v>
      </c>
      <c r="AQ388" s="6">
        <f>[1]Emissions!AP830</f>
        <v>23.282383450000001</v>
      </c>
      <c r="AR388" s="6">
        <f>[1]Emissions!AQ830</f>
        <v>23.574379</v>
      </c>
      <c r="AS388" s="6">
        <f>[1]Emissions!AR830</f>
        <v>23.870581600000001</v>
      </c>
      <c r="AT388" s="6">
        <f>[1]Emissions!AS830</f>
        <v>24.17118833</v>
      </c>
      <c r="AU388" s="6">
        <f>[1]Emissions!AT830</f>
        <v>24.476345370000001</v>
      </c>
      <c r="AV388" s="6">
        <f>[1]Emissions!AU830</f>
        <v>24.78613842</v>
      </c>
      <c r="AW388" s="6">
        <f>[1]Emissions!AV830</f>
        <v>25.102398300000001</v>
      </c>
      <c r="AX388" s="6">
        <f>[1]Emissions!AW830</f>
        <v>25.42407292</v>
      </c>
      <c r="AY388" s="6">
        <f>[1]Emissions!AX830</f>
        <v>25.750925299999999</v>
      </c>
      <c r="AZ388" s="6">
        <f>[1]Emissions!AY830</f>
        <v>26.082834519999999</v>
      </c>
      <c r="BA388" s="6">
        <f>[1]Emissions!AZ830</f>
        <v>26.419694</v>
      </c>
      <c r="BB388" s="6">
        <f>[1]Emissions!BA830</f>
        <v>26.762129989999998</v>
      </c>
      <c r="BC388" s="6">
        <f>[1]Emissions!BB830</f>
        <v>27.10956534</v>
      </c>
      <c r="BD388" s="6">
        <f>[1]Emissions!BC830</f>
        <v>27.46187527</v>
      </c>
      <c r="BE388" s="6">
        <f>[1]Emissions!BD830</f>
        <v>27.819014859999999</v>
      </c>
      <c r="BF388" s="6">
        <f>[1]Emissions!BE830</f>
        <v>28.18096345</v>
      </c>
    </row>
    <row r="389" spans="1:58" x14ac:dyDescent="0.35">
      <c r="A389" t="s">
        <v>39</v>
      </c>
      <c r="B389" s="6" t="str">
        <f>[1]Emissions!A832</f>
        <v>ems_ci_co2_sfor_2</v>
      </c>
      <c r="C389" s="6">
        <f>[1]Emissions!B832</f>
        <v>0.5433605682</v>
      </c>
      <c r="D389" s="6">
        <f>[1]Emissions!C832</f>
        <v>0.54041483349999997</v>
      </c>
      <c r="E389" s="6">
        <f>[1]Emissions!D832</f>
        <v>0.53766742919999999</v>
      </c>
      <c r="F389" s="6">
        <f>[1]Emissions!E832</f>
        <v>0.53474197410000002</v>
      </c>
      <c r="G389" s="6">
        <f>[1]Emissions!F832</f>
        <v>0.53219794899999995</v>
      </c>
      <c r="H389" s="6">
        <f>[1]Emissions!G832</f>
        <v>0.53030144599999995</v>
      </c>
      <c r="I389" s="6">
        <f>[1]Emissions!H832</f>
        <v>0.52882114170000005</v>
      </c>
      <c r="J389" s="6">
        <f>[1]Emissions!I832</f>
        <v>0.52782841879999998</v>
      </c>
      <c r="K389" s="6">
        <f>[1]Emissions!J832</f>
        <v>0.5273251082</v>
      </c>
      <c r="L389" s="6">
        <f>[1]Emissions!K832</f>
        <v>0.52725526460000005</v>
      </c>
      <c r="M389" s="6">
        <f>[1]Emissions!L832</f>
        <v>0.52789365720000003</v>
      </c>
      <c r="N389" s="6">
        <f>[1]Emissions!M832</f>
        <v>0.52858792970000001</v>
      </c>
      <c r="O389" s="6">
        <f>[1]Emissions!N832</f>
        <v>0.52939785839999998</v>
      </c>
      <c r="P389" s="6">
        <f>[1]Emissions!O832</f>
        <v>0.53032826879999995</v>
      </c>
      <c r="Q389" s="6">
        <f>[1]Emissions!P832</f>
        <v>0.53136031890000002</v>
      </c>
      <c r="R389" s="6">
        <f>[1]Emissions!Q832</f>
        <v>0.53247234720000003</v>
      </c>
      <c r="S389" s="6">
        <f>[1]Emissions!R832</f>
        <v>0.53360832420000004</v>
      </c>
      <c r="T389" s="6">
        <f>[1]Emissions!S832</f>
        <v>0.53477973990000005</v>
      </c>
      <c r="U389" s="6">
        <f>[1]Emissions!T832</f>
        <v>0.53598647759999996</v>
      </c>
      <c r="V389" s="6">
        <f>[1]Emissions!U832</f>
        <v>0.53722598830000001</v>
      </c>
      <c r="W389" s="6">
        <f>[1]Emissions!V832</f>
        <v>0.53825169650000004</v>
      </c>
      <c r="X389" s="6">
        <f>[1]Emissions!W832</f>
        <v>0.53943886919999995</v>
      </c>
      <c r="Y389" s="6">
        <f>[1]Emissions!X832</f>
        <v>0.54071747960000005</v>
      </c>
      <c r="Z389" s="6">
        <f>[1]Emissions!Y832</f>
        <v>0.5420566389</v>
      </c>
      <c r="AA389" s="6">
        <f>[1]Emissions!Z832</f>
        <v>0.54344592339999997</v>
      </c>
      <c r="AB389" s="6">
        <f>[1]Emissions!AA832</f>
        <v>0.54420093839999995</v>
      </c>
      <c r="AC389" s="6">
        <f>[1]Emissions!AB832</f>
        <v>0.54506424180000002</v>
      </c>
      <c r="AD389" s="6">
        <f>[1]Emissions!AC832</f>
        <v>0.54599582520000001</v>
      </c>
      <c r="AE389" s="6">
        <f>[1]Emissions!AD832</f>
        <v>0.54697878580000003</v>
      </c>
      <c r="AF389" s="6">
        <f>[1]Emissions!AE832</f>
        <v>0.54801035769999995</v>
      </c>
      <c r="AG389" s="6">
        <f>[1]Emissions!AF832</f>
        <v>0.54909358929999996</v>
      </c>
      <c r="AH389" s="6">
        <f>[1]Emissions!AG832</f>
        <v>0.55024137139999996</v>
      </c>
      <c r="AI389" s="6">
        <f>[1]Emissions!AH832</f>
        <v>0.55145302730000001</v>
      </c>
      <c r="AJ389" s="6">
        <f>[1]Emissions!AI832</f>
        <v>0.55273100959999999</v>
      </c>
      <c r="AK389" s="6">
        <f>[1]Emissions!AJ832</f>
        <v>0.5540783212</v>
      </c>
      <c r="AL389" s="6">
        <f>[1]Emissions!AK832</f>
        <v>0.55549754429999998</v>
      </c>
      <c r="AM389" s="6">
        <f>[1]Emissions!AL832</f>
        <v>0.55690424790000004</v>
      </c>
      <c r="AN389" s="6">
        <f>[1]Emissions!AM832</f>
        <v>0.55833021380000003</v>
      </c>
      <c r="AO389" s="6">
        <f>[1]Emissions!AN832</f>
        <v>0.55979344939999998</v>
      </c>
      <c r="AP389" s="6">
        <f>[1]Emissions!AO832</f>
        <v>0.56130365429999995</v>
      </c>
      <c r="AQ389" s="6">
        <f>[1]Emissions!AP832</f>
        <v>0.56286641859999997</v>
      </c>
      <c r="AR389" s="6">
        <f>[1]Emissions!AQ832</f>
        <v>0.56449553409999997</v>
      </c>
      <c r="AS389" s="6">
        <f>[1]Emissions!AR832</f>
        <v>0.56618531780000003</v>
      </c>
      <c r="AT389" s="6">
        <f>[1]Emissions!AS832</f>
        <v>0.5679345241</v>
      </c>
      <c r="AU389" s="6">
        <f>[1]Emissions!AT832</f>
        <v>0.56974331069999995</v>
      </c>
      <c r="AV389" s="6">
        <f>[1]Emissions!AU832</f>
        <v>0.57161213290000001</v>
      </c>
      <c r="AW389" s="6">
        <f>[1]Emissions!AV832</f>
        <v>0.57358776369999998</v>
      </c>
      <c r="AX389" s="6">
        <f>[1]Emissions!AW832</f>
        <v>0.57563707369999995</v>
      </c>
      <c r="AY389" s="6">
        <f>[1]Emissions!AX832</f>
        <v>0.57774832539999998</v>
      </c>
      <c r="AZ389" s="6">
        <f>[1]Emissions!AY832</f>
        <v>0.57991770860000003</v>
      </c>
      <c r="BA389" s="6">
        <f>[1]Emissions!AZ832</f>
        <v>0.58214424200000003</v>
      </c>
      <c r="BB389" s="6">
        <f>[1]Emissions!BA832</f>
        <v>0.58444757530000002</v>
      </c>
      <c r="BC389" s="6">
        <f>[1]Emissions!BB832</f>
        <v>0.58681188579999999</v>
      </c>
      <c r="BD389" s="6">
        <f>[1]Emissions!BC832</f>
        <v>0.58923235640000005</v>
      </c>
      <c r="BE389" s="6">
        <f>[1]Emissions!BD832</f>
        <v>0.59170807059999997</v>
      </c>
      <c r="BF389" s="6">
        <f>[1]Emissions!BE832</f>
        <v>0.59423949229999995</v>
      </c>
    </row>
    <row r="390" spans="1:58" x14ac:dyDescent="0.35">
      <c r="B390" s="6" t="str">
        <f>[1]Emissions!A834</f>
        <v>ems_ci_co2_sfoo_2</v>
      </c>
      <c r="C390" s="6">
        <f>[1]Emissions!B834</f>
        <v>8.7511915980000001</v>
      </c>
      <c r="D390" s="6">
        <f>[1]Emissions!C834</f>
        <v>8.673337815</v>
      </c>
      <c r="E390" s="6">
        <f>[1]Emissions!D834</f>
        <v>8.6758813949999993</v>
      </c>
      <c r="F390" s="6">
        <f>[1]Emissions!E834</f>
        <v>8.7050945120000005</v>
      </c>
      <c r="G390" s="6">
        <f>[1]Emissions!F834</f>
        <v>8.7579173449999992</v>
      </c>
      <c r="H390" s="6">
        <f>[1]Emissions!G834</f>
        <v>8.8343927200000003</v>
      </c>
      <c r="I390" s="6">
        <f>[1]Emissions!H834</f>
        <v>8.9278541009999994</v>
      </c>
      <c r="J390" s="6">
        <f>[1]Emissions!I834</f>
        <v>9.0373617740000007</v>
      </c>
      <c r="K390" s="6">
        <f>[1]Emissions!J834</f>
        <v>9.1605444669999994</v>
      </c>
      <c r="L390" s="6">
        <f>[1]Emissions!K834</f>
        <v>9.2949626359999993</v>
      </c>
      <c r="M390" s="6">
        <f>[1]Emissions!L834</f>
        <v>9.4468111130000008</v>
      </c>
      <c r="N390" s="6">
        <f>[1]Emissions!M834</f>
        <v>9.6021700719999998</v>
      </c>
      <c r="O390" s="6">
        <f>[1]Emissions!N834</f>
        <v>9.7616795500000002</v>
      </c>
      <c r="P390" s="6">
        <f>[1]Emissions!O834</f>
        <v>9.9245216890000005</v>
      </c>
      <c r="Q390" s="6">
        <f>[1]Emissions!P834</f>
        <v>10.08983583</v>
      </c>
      <c r="R390" s="6">
        <f>[1]Emissions!Q834</f>
        <v>10.25695591</v>
      </c>
      <c r="S390" s="6">
        <f>[1]Emissions!R834</f>
        <v>10.424766869999999</v>
      </c>
      <c r="T390" s="6">
        <f>[1]Emissions!S834</f>
        <v>10.59329125</v>
      </c>
      <c r="U390" s="6">
        <f>[1]Emissions!T834</f>
        <v>10.762380670000001</v>
      </c>
      <c r="V390" s="6">
        <f>[1]Emissions!U834</f>
        <v>10.931950929999999</v>
      </c>
      <c r="W390" s="6">
        <f>[1]Emissions!V834</f>
        <v>11.09576549</v>
      </c>
      <c r="X390" s="6">
        <f>[1]Emissions!W834</f>
        <v>11.2623607</v>
      </c>
      <c r="Y390" s="6">
        <f>[1]Emissions!X834</f>
        <v>11.430500889999999</v>
      </c>
      <c r="Z390" s="6">
        <f>[1]Emissions!Y834</f>
        <v>11.60003058</v>
      </c>
      <c r="AA390" s="6">
        <f>[1]Emissions!Z834</f>
        <v>11.770995170000001</v>
      </c>
      <c r="AB390" s="6">
        <f>[1]Emissions!AA834</f>
        <v>11.925550599999999</v>
      </c>
      <c r="AC390" s="6">
        <f>[1]Emissions!AB834</f>
        <v>12.07993495</v>
      </c>
      <c r="AD390" s="6">
        <f>[1]Emissions!AC834</f>
        <v>12.233330049999999</v>
      </c>
      <c r="AE390" s="6">
        <f>[1]Emissions!AD834</f>
        <v>12.38630678</v>
      </c>
      <c r="AF390" s="6">
        <f>[1]Emissions!AE834</f>
        <v>12.53962638</v>
      </c>
      <c r="AG390" s="6">
        <f>[1]Emissions!AF834</f>
        <v>12.693963999999999</v>
      </c>
      <c r="AH390" s="6">
        <f>[1]Emissions!AG834</f>
        <v>12.85000026</v>
      </c>
      <c r="AI390" s="6">
        <f>[1]Emissions!AH834</f>
        <v>13.00806983</v>
      </c>
      <c r="AJ390" s="6">
        <f>[1]Emissions!AI834</f>
        <v>13.168464</v>
      </c>
      <c r="AK390" s="6">
        <f>[1]Emissions!AJ834</f>
        <v>13.33139444</v>
      </c>
      <c r="AL390" s="6">
        <f>[1]Emissions!AK834</f>
        <v>13.497007160000001</v>
      </c>
      <c r="AM390" s="6">
        <f>[1]Emissions!AL834</f>
        <v>13.66236018</v>
      </c>
      <c r="AN390" s="6">
        <f>[1]Emissions!AM834</f>
        <v>13.82833566</v>
      </c>
      <c r="AO390" s="6">
        <f>[1]Emissions!AN834</f>
        <v>13.99549317</v>
      </c>
      <c r="AP390" s="6">
        <f>[1]Emissions!AO834</f>
        <v>14.16424411</v>
      </c>
      <c r="AQ390" s="6">
        <f>[1]Emissions!AP834</f>
        <v>14.334923789999999</v>
      </c>
      <c r="AR390" s="6">
        <f>[1]Emissions!AQ834</f>
        <v>14.508002080000001</v>
      </c>
      <c r="AS390" s="6">
        <f>[1]Emissions!AR834</f>
        <v>14.68358546</v>
      </c>
      <c r="AT390" s="6">
        <f>[1]Emissions!AS834</f>
        <v>14.861812329999999</v>
      </c>
      <c r="AU390" s="6">
        <f>[1]Emissions!AT834</f>
        <v>15.042778589999999</v>
      </c>
      <c r="AV390" s="6">
        <f>[1]Emissions!AU834</f>
        <v>15.22653884</v>
      </c>
      <c r="AW390" s="6">
        <f>[1]Emissions!AV834</f>
        <v>15.41416525</v>
      </c>
      <c r="AX390" s="6">
        <f>[1]Emissions!AW834</f>
        <v>15.605169630000001</v>
      </c>
      <c r="AY390" s="6">
        <f>[1]Emissions!AX834</f>
        <v>15.79942692</v>
      </c>
      <c r="AZ390" s="6">
        <f>[1]Emissions!AY834</f>
        <v>15.996844279999999</v>
      </c>
      <c r="BA390" s="6">
        <f>[1]Emissions!AZ834</f>
        <v>16.197328410000001</v>
      </c>
      <c r="BB390" s="6">
        <f>[1]Emissions!BA834</f>
        <v>16.401208199999999</v>
      </c>
      <c r="BC390" s="6">
        <f>[1]Emissions!BB834</f>
        <v>16.608189379999999</v>
      </c>
      <c r="BD390" s="6">
        <f>[1]Emissions!BC834</f>
        <v>16.818182929999999</v>
      </c>
      <c r="BE390" s="6">
        <f>[1]Emissions!BD834</f>
        <v>17.03113248</v>
      </c>
      <c r="BF390" s="6">
        <f>[1]Emissions!BE834</f>
        <v>17.24699592</v>
      </c>
    </row>
    <row r="391" spans="1:58" x14ac:dyDescent="0.35">
      <c r="B391" s="6" t="str">
        <f>[1]Emissions!A836</f>
        <v>ems_ci_co2_sveh_2</v>
      </c>
      <c r="C391" s="6">
        <f>[1]Emissions!B836</f>
        <v>1.1276182560000001</v>
      </c>
      <c r="D391" s="6">
        <f>[1]Emissions!C836</f>
        <v>1.080770418</v>
      </c>
      <c r="E391" s="6">
        <f>[1]Emissions!D836</f>
        <v>1.070714674</v>
      </c>
      <c r="F391" s="6">
        <f>[1]Emissions!E836</f>
        <v>1.066181187</v>
      </c>
      <c r="G391" s="6">
        <f>[1]Emissions!F836</f>
        <v>1.067013341</v>
      </c>
      <c r="H391" s="6">
        <f>[1]Emissions!G836</f>
        <v>1.074679304</v>
      </c>
      <c r="I391" s="6">
        <f>[1]Emissions!H836</f>
        <v>1.088195748</v>
      </c>
      <c r="J391" s="6">
        <f>[1]Emissions!I836</f>
        <v>1.107291601</v>
      </c>
      <c r="K391" s="6">
        <f>[1]Emissions!J836</f>
        <v>1.130792477</v>
      </c>
      <c r="L391" s="6">
        <f>[1]Emissions!K836</f>
        <v>1.1574707849999999</v>
      </c>
      <c r="M391" s="6">
        <f>[1]Emissions!L836</f>
        <v>1.1880239619999999</v>
      </c>
      <c r="N391" s="6">
        <f>[1]Emissions!M836</f>
        <v>1.2184288720000001</v>
      </c>
      <c r="O391" s="6">
        <f>[1]Emissions!N836</f>
        <v>1.2489663769999999</v>
      </c>
      <c r="P391" s="6">
        <f>[1]Emissions!O836</f>
        <v>1.2791131520000001</v>
      </c>
      <c r="Q391" s="6">
        <f>[1]Emissions!P836</f>
        <v>1.3083664079999999</v>
      </c>
      <c r="R391" s="6">
        <f>[1]Emissions!Q836</f>
        <v>1.3363331000000001</v>
      </c>
      <c r="S391" s="6">
        <f>[1]Emissions!R836</f>
        <v>1.362464707</v>
      </c>
      <c r="T391" s="6">
        <f>[1]Emissions!S836</f>
        <v>1.3867425760000001</v>
      </c>
      <c r="U391" s="6">
        <f>[1]Emissions!T836</f>
        <v>1.409100547</v>
      </c>
      <c r="V391" s="6">
        <f>[1]Emissions!U836</f>
        <v>1.429553246</v>
      </c>
      <c r="W391" s="6">
        <f>[1]Emissions!V836</f>
        <v>1.446807309</v>
      </c>
      <c r="X391" s="6">
        <f>[1]Emissions!W836</f>
        <v>1.463290845</v>
      </c>
      <c r="Y391" s="6">
        <f>[1]Emissions!X836</f>
        <v>1.4784818639999999</v>
      </c>
      <c r="Z391" s="6">
        <f>[1]Emissions!Y836</f>
        <v>1.492528115</v>
      </c>
      <c r="AA391" s="6">
        <f>[1]Emissions!Z836</f>
        <v>1.50565919</v>
      </c>
      <c r="AB391" s="6">
        <f>[1]Emissions!AA836</f>
        <v>1.514202759</v>
      </c>
      <c r="AC391" s="6">
        <f>[1]Emissions!AB836</f>
        <v>1.523066974</v>
      </c>
      <c r="AD391" s="6">
        <f>[1]Emissions!AC836</f>
        <v>1.5315152240000001</v>
      </c>
      <c r="AE391" s="6">
        <f>[1]Emissions!AD836</f>
        <v>1.5397365270000001</v>
      </c>
      <c r="AF391" s="6">
        <f>[1]Emissions!AE836</f>
        <v>1.5480021340000001</v>
      </c>
      <c r="AG391" s="6">
        <f>[1]Emissions!AF836</f>
        <v>1.556552594</v>
      </c>
      <c r="AH391" s="6">
        <f>[1]Emissions!AG836</f>
        <v>1.565644153</v>
      </c>
      <c r="AI391" s="6">
        <f>[1]Emissions!AH836</f>
        <v>1.5754022990000001</v>
      </c>
      <c r="AJ391" s="6">
        <f>[1]Emissions!AI836</f>
        <v>1.5859494430000001</v>
      </c>
      <c r="AK391" s="6">
        <f>[1]Emissions!AJ836</f>
        <v>1.597375086</v>
      </c>
      <c r="AL391" s="6">
        <f>[1]Emissions!AK836</f>
        <v>1.6097354180000001</v>
      </c>
      <c r="AM391" s="6">
        <f>[1]Emissions!AL836</f>
        <v>1.622661997</v>
      </c>
      <c r="AN391" s="6">
        <f>[1]Emissions!AM836</f>
        <v>1.636398075</v>
      </c>
      <c r="AO391" s="6">
        <f>[1]Emissions!AN836</f>
        <v>1.650994128</v>
      </c>
      <c r="AP391" s="6">
        <f>[1]Emissions!AO836</f>
        <v>1.6664491960000001</v>
      </c>
      <c r="AQ391" s="6">
        <f>[1]Emissions!AP836</f>
        <v>1.6827386179999999</v>
      </c>
      <c r="AR391" s="6">
        <f>[1]Emissions!AQ836</f>
        <v>1.699900907</v>
      </c>
      <c r="AS391" s="6">
        <f>[1]Emissions!AR836</f>
        <v>1.7178444900000001</v>
      </c>
      <c r="AT391" s="6">
        <f>[1]Emissions!AS836</f>
        <v>1.7365202150000001</v>
      </c>
      <c r="AU391" s="6">
        <f>[1]Emissions!AT836</f>
        <v>1.7558805310000001</v>
      </c>
      <c r="AV391" s="6">
        <f>[1]Emissions!AU836</f>
        <v>1.775876674</v>
      </c>
      <c r="AW391" s="6">
        <f>[1]Emissions!AV836</f>
        <v>1.7967923139999999</v>
      </c>
      <c r="AX391" s="6">
        <f>[1]Emissions!AW836</f>
        <v>1.818369479</v>
      </c>
      <c r="AY391" s="6">
        <f>[1]Emissions!AX836</f>
        <v>1.84054023</v>
      </c>
      <c r="AZ391" s="6">
        <f>[1]Emissions!AY836</f>
        <v>1.863247248</v>
      </c>
      <c r="BA391" s="6">
        <f>[1]Emissions!AZ836</f>
        <v>1.886429178</v>
      </c>
      <c r="BB391" s="6">
        <f>[1]Emissions!BA836</f>
        <v>1.9101849790000001</v>
      </c>
      <c r="BC391" s="6">
        <f>[1]Emissions!BB836</f>
        <v>1.9343592629999999</v>
      </c>
      <c r="BD391" s="6">
        <f>[1]Emissions!BC836</f>
        <v>1.958897772</v>
      </c>
      <c r="BE391" s="6">
        <f>[1]Emissions!BD836</f>
        <v>1.9837573390000001</v>
      </c>
      <c r="BF391" s="6">
        <f>[1]Emissions!BE836</f>
        <v>2.008898436</v>
      </c>
    </row>
    <row r="392" spans="1:58" x14ac:dyDescent="0.35">
      <c r="B392" s="6" t="str">
        <f>[1]Emissions!A838</f>
        <v>ems_ci_co2_sgla_2</v>
      </c>
      <c r="C392" s="6">
        <f>[1]Emissions!B838</f>
        <v>7.8245000259999999</v>
      </c>
      <c r="D392" s="6">
        <f>[1]Emissions!C838</f>
        <v>7.7665922710000004</v>
      </c>
      <c r="E392" s="6">
        <f>[1]Emissions!D838</f>
        <v>7.8022619649999996</v>
      </c>
      <c r="F392" s="6">
        <f>[1]Emissions!E838</f>
        <v>7.866688634</v>
      </c>
      <c r="G392" s="6">
        <f>[1]Emissions!F838</f>
        <v>7.9476081189999999</v>
      </c>
      <c r="H392" s="6">
        <f>[1]Emissions!G838</f>
        <v>8.0413413120000001</v>
      </c>
      <c r="I392" s="6">
        <f>[1]Emissions!H838</f>
        <v>8.1416687339999996</v>
      </c>
      <c r="J392" s="6">
        <f>[1]Emissions!I838</f>
        <v>8.2485954889999995</v>
      </c>
      <c r="K392" s="6">
        <f>[1]Emissions!J838</f>
        <v>8.3613723889999996</v>
      </c>
      <c r="L392" s="6">
        <f>[1]Emissions!K838</f>
        <v>8.4792232520000006</v>
      </c>
      <c r="M392" s="6">
        <f>[1]Emissions!L838</f>
        <v>8.6082157180000003</v>
      </c>
      <c r="N392" s="6">
        <f>[1]Emissions!M838</f>
        <v>8.7375404450000005</v>
      </c>
      <c r="O392" s="6">
        <f>[1]Emissions!N838</f>
        <v>8.8688925790000006</v>
      </c>
      <c r="P392" s="6">
        <f>[1]Emissions!O838</f>
        <v>9.0024525549999996</v>
      </c>
      <c r="Q392" s="6">
        <f>[1]Emissions!P838</f>
        <v>9.1381371619999996</v>
      </c>
      <c r="R392" s="6">
        <f>[1]Emissions!Q838</f>
        <v>9.2758640400000001</v>
      </c>
      <c r="S392" s="6">
        <f>[1]Emissions!R838</f>
        <v>9.4149700210000002</v>
      </c>
      <c r="T392" s="6">
        <f>[1]Emissions!S838</f>
        <v>9.5558914700000006</v>
      </c>
      <c r="U392" s="6">
        <f>[1]Emissions!T838</f>
        <v>9.6987969199999995</v>
      </c>
      <c r="V392" s="6">
        <f>[1]Emissions!U838</f>
        <v>9.8438244560000001</v>
      </c>
      <c r="W392" s="6">
        <f>[1]Emissions!V838</f>
        <v>9.9861457060000003</v>
      </c>
      <c r="X392" s="6">
        <f>[1]Emissions!W838</f>
        <v>10.132954</v>
      </c>
      <c r="Y392" s="6">
        <f>[1]Emissions!X838</f>
        <v>10.283092590000001</v>
      </c>
      <c r="Z392" s="6">
        <f>[1]Emissions!Y838</f>
        <v>10.436350669999999</v>
      </c>
      <c r="AA392" s="6">
        <f>[1]Emissions!Z838</f>
        <v>10.59272365</v>
      </c>
      <c r="AB392" s="6">
        <f>[1]Emissions!AA838</f>
        <v>10.737981100000001</v>
      </c>
      <c r="AC392" s="6">
        <f>[1]Emissions!AB838</f>
        <v>10.885821160000001</v>
      </c>
      <c r="AD392" s="6">
        <f>[1]Emissions!AC838</f>
        <v>11.035163649999999</v>
      </c>
      <c r="AE392" s="6">
        <f>[1]Emissions!AD838</f>
        <v>11.186060940000001</v>
      </c>
      <c r="AF392" s="6">
        <f>[1]Emissions!AE838</f>
        <v>11.33875849</v>
      </c>
      <c r="AG392" s="6">
        <f>[1]Emissions!AF838</f>
        <v>11.49349262</v>
      </c>
      <c r="AH392" s="6">
        <f>[1]Emissions!AG838</f>
        <v>11.65058773</v>
      </c>
      <c r="AI392" s="6">
        <f>[1]Emissions!AH838</f>
        <v>11.810077290000001</v>
      </c>
      <c r="AJ392" s="6">
        <f>[1]Emissions!AI838</f>
        <v>11.97200773</v>
      </c>
      <c r="AK392" s="6">
        <f>[1]Emissions!AJ838</f>
        <v>12.136392239999999</v>
      </c>
      <c r="AL392" s="6">
        <f>[1]Emissions!AK838</f>
        <v>12.30321213</v>
      </c>
      <c r="AM392" s="6">
        <f>[1]Emissions!AL838</f>
        <v>12.470246660000001</v>
      </c>
      <c r="AN392" s="6">
        <f>[1]Emissions!AM838</f>
        <v>12.63799901</v>
      </c>
      <c r="AO392" s="6">
        <f>[1]Emissions!AN838</f>
        <v>12.806734179999999</v>
      </c>
      <c r="AP392" s="6">
        <f>[1]Emissions!AO838</f>
        <v>12.97661076</v>
      </c>
      <c r="AQ392" s="6">
        <f>[1]Emissions!AP838</f>
        <v>13.14774006</v>
      </c>
      <c r="AR392" s="6">
        <f>[1]Emissions!AQ838</f>
        <v>13.32040522</v>
      </c>
      <c r="AS392" s="6">
        <f>[1]Emissions!AR838</f>
        <v>13.494545349999999</v>
      </c>
      <c r="AT392" s="6">
        <f>[1]Emissions!AS838</f>
        <v>13.670175410000001</v>
      </c>
      <c r="AU392" s="6">
        <f>[1]Emissions!AT838</f>
        <v>13.84731129</v>
      </c>
      <c r="AV392" s="6">
        <f>[1]Emissions!AU838</f>
        <v>14.02595999</v>
      </c>
      <c r="AW392" s="6">
        <f>[1]Emissions!AV838</f>
        <v>14.20710411</v>
      </c>
      <c r="AX392" s="6">
        <f>[1]Emissions!AW838</f>
        <v>14.390201490000001</v>
      </c>
      <c r="AY392" s="6">
        <f>[1]Emissions!AX838</f>
        <v>14.57510342</v>
      </c>
      <c r="AZ392" s="6">
        <f>[1]Emissions!AY838</f>
        <v>14.76174235</v>
      </c>
      <c r="BA392" s="6">
        <f>[1]Emissions!AZ838</f>
        <v>14.950077930000001</v>
      </c>
      <c r="BB392" s="6">
        <f>[1]Emissions!BA838</f>
        <v>15.14051059</v>
      </c>
      <c r="BC392" s="6">
        <f>[1]Emissions!BB838</f>
        <v>15.33277477</v>
      </c>
      <c r="BD392" s="6">
        <f>[1]Emissions!BC838</f>
        <v>15.52681993</v>
      </c>
      <c r="BE392" s="6">
        <f>[1]Emissions!BD838</f>
        <v>15.722646190000001</v>
      </c>
      <c r="BF392" s="6">
        <f>[1]Emissions!BE838</f>
        <v>15.920275419999999</v>
      </c>
    </row>
    <row r="393" spans="1:58" x14ac:dyDescent="0.35">
      <c r="B393" s="6" t="str">
        <f>[1]Emissions!A840</f>
        <v>ems_ci_co2_spap_2</v>
      </c>
      <c r="C393" s="6">
        <f>[1]Emissions!B840</f>
        <v>2.5559279020000001</v>
      </c>
      <c r="D393" s="6">
        <f>[1]Emissions!C840</f>
        <v>2.509915501</v>
      </c>
      <c r="E393" s="6">
        <f>[1]Emissions!D840</f>
        <v>2.5188228810000002</v>
      </c>
      <c r="F393" s="6">
        <f>[1]Emissions!E840</f>
        <v>2.5402888959999999</v>
      </c>
      <c r="G393" s="6">
        <f>[1]Emissions!F840</f>
        <v>2.567295648</v>
      </c>
      <c r="H393" s="6">
        <f>[1]Emissions!G840</f>
        <v>2.5983128209999999</v>
      </c>
      <c r="I393" s="6">
        <f>[1]Emissions!H840</f>
        <v>2.6309319609999999</v>
      </c>
      <c r="J393" s="6">
        <f>[1]Emissions!I840</f>
        <v>2.6656813829999999</v>
      </c>
      <c r="K393" s="6">
        <f>[1]Emissions!J840</f>
        <v>2.702357063</v>
      </c>
      <c r="L393" s="6">
        <f>[1]Emissions!K840</f>
        <v>2.7406407970000002</v>
      </c>
      <c r="M393" s="6">
        <f>[1]Emissions!L840</f>
        <v>2.783098501</v>
      </c>
      <c r="N393" s="6">
        <f>[1]Emissions!M840</f>
        <v>2.8245271550000002</v>
      </c>
      <c r="O393" s="6">
        <f>[1]Emissions!N840</f>
        <v>2.8662383849999999</v>
      </c>
      <c r="P393" s="6">
        <f>[1]Emissions!O840</f>
        <v>2.9083669809999999</v>
      </c>
      <c r="Q393" s="6">
        <f>[1]Emissions!P840</f>
        <v>2.9508595390000001</v>
      </c>
      <c r="R393" s="6">
        <f>[1]Emissions!Q840</f>
        <v>2.9936610639999999</v>
      </c>
      <c r="S393" s="6">
        <f>[1]Emissions!R840</f>
        <v>3.036431694</v>
      </c>
      <c r="T393" s="6">
        <f>[1]Emissions!S840</f>
        <v>3.0794147509999998</v>
      </c>
      <c r="U393" s="6">
        <f>[1]Emissions!T840</f>
        <v>3.12267261</v>
      </c>
      <c r="V393" s="6">
        <f>[1]Emissions!U840</f>
        <v>3.1662472639999999</v>
      </c>
      <c r="W393" s="6">
        <f>[1]Emissions!V840</f>
        <v>3.2080780459999998</v>
      </c>
      <c r="X393" s="6">
        <f>[1]Emissions!W840</f>
        <v>3.2516007349999998</v>
      </c>
      <c r="Y393" s="6">
        <f>[1]Emissions!X840</f>
        <v>3.2959210570000002</v>
      </c>
      <c r="Z393" s="6">
        <f>[1]Emissions!Y840</f>
        <v>3.340894918</v>
      </c>
      <c r="AA393" s="6">
        <f>[1]Emissions!Z840</f>
        <v>3.3865224070000002</v>
      </c>
      <c r="AB393" s="6">
        <f>[1]Emissions!AA840</f>
        <v>3.4268019590000001</v>
      </c>
      <c r="AC393" s="6">
        <f>[1]Emissions!AB840</f>
        <v>3.4687063610000002</v>
      </c>
      <c r="AD393" s="6">
        <f>[1]Emissions!AC840</f>
        <v>3.511172856</v>
      </c>
      <c r="AE393" s="6">
        <f>[1]Emissions!AD840</f>
        <v>3.5541098469999999</v>
      </c>
      <c r="AF393" s="6">
        <f>[1]Emissions!AE840</f>
        <v>3.5975995649999999</v>
      </c>
      <c r="AG393" s="6">
        <f>[1]Emissions!AF840</f>
        <v>3.641737998</v>
      </c>
      <c r="AH393" s="6">
        <f>[1]Emissions!AG840</f>
        <v>3.6866723910000001</v>
      </c>
      <c r="AI393" s="6">
        <f>[1]Emissions!AH840</f>
        <v>3.732403846</v>
      </c>
      <c r="AJ393" s="6">
        <f>[1]Emissions!AI840</f>
        <v>3.7789575420000001</v>
      </c>
      <c r="AK393" s="6">
        <f>[1]Emissions!AJ840</f>
        <v>3.8263500769999998</v>
      </c>
      <c r="AL393" s="6">
        <f>[1]Emissions!AK840</f>
        <v>3.8745878349999998</v>
      </c>
      <c r="AM393" s="6">
        <f>[1]Emissions!AL840</f>
        <v>3.922845653</v>
      </c>
      <c r="AN393" s="6">
        <f>[1]Emissions!AM840</f>
        <v>3.9714910859999999</v>
      </c>
      <c r="AO393" s="6">
        <f>[1]Emissions!AN840</f>
        <v>4.0206575920000001</v>
      </c>
      <c r="AP393" s="6">
        <f>[1]Emissions!AO840</f>
        <v>4.070414338</v>
      </c>
      <c r="AQ393" s="6">
        <f>[1]Emissions!AP840</f>
        <v>4.1208106009999996</v>
      </c>
      <c r="AR393" s="6">
        <f>[1]Emissions!AQ840</f>
        <v>4.171983032</v>
      </c>
      <c r="AS393" s="6">
        <f>[1]Emissions!AR840</f>
        <v>4.2238861920000002</v>
      </c>
      <c r="AT393" s="6">
        <f>[1]Emissions!AS840</f>
        <v>4.2765273690000001</v>
      </c>
      <c r="AU393" s="6">
        <f>[1]Emissions!AT840</f>
        <v>4.3299161640000001</v>
      </c>
      <c r="AV393" s="6">
        <f>[1]Emissions!AU840</f>
        <v>4.3840577280000002</v>
      </c>
      <c r="AW393" s="6">
        <f>[1]Emissions!AV840</f>
        <v>4.4394142289999996</v>
      </c>
      <c r="AX393" s="6">
        <f>[1]Emissions!AW840</f>
        <v>4.495655395</v>
      </c>
      <c r="AY393" s="6">
        <f>[1]Emissions!AX840</f>
        <v>4.5527126979999997</v>
      </c>
      <c r="AZ393" s="6">
        <f>[1]Emissions!AY840</f>
        <v>4.6105628850000002</v>
      </c>
      <c r="BA393" s="6">
        <f>[1]Emissions!AZ840</f>
        <v>4.6691921599999997</v>
      </c>
      <c r="BB393" s="6">
        <f>[1]Emissions!BA840</f>
        <v>4.7287987520000003</v>
      </c>
      <c r="BC393" s="6">
        <f>[1]Emissions!BB840</f>
        <v>4.7892187289999999</v>
      </c>
      <c r="BD393" s="6">
        <f>[1]Emissions!BC840</f>
        <v>4.8504212940000002</v>
      </c>
      <c r="BE393" s="6">
        <f>[1]Emissions!BD840</f>
        <v>4.9124002999999998</v>
      </c>
      <c r="BF393" s="6">
        <f>[1]Emissions!BE840</f>
        <v>4.9751564369999999</v>
      </c>
    </row>
    <row r="394" spans="1:58" x14ac:dyDescent="0.35">
      <c r="B394" s="6" t="str">
        <f>[1]Emissions!A842</f>
        <v>ems_ci_co2_sche_2</v>
      </c>
      <c r="C394" s="6">
        <f>[1]Emissions!B842</f>
        <v>13.60740509</v>
      </c>
      <c r="D394" s="6">
        <f>[1]Emissions!C842</f>
        <v>13.249923689999999</v>
      </c>
      <c r="E394" s="6">
        <f>[1]Emissions!D842</f>
        <v>13.313742680000001</v>
      </c>
      <c r="F394" s="6">
        <f>[1]Emissions!E842</f>
        <v>13.453538050000001</v>
      </c>
      <c r="G394" s="6">
        <f>[1]Emissions!F842</f>
        <v>13.619249569999999</v>
      </c>
      <c r="H394" s="6">
        <f>[1]Emissions!G842</f>
        <v>13.801524219999999</v>
      </c>
      <c r="I394" s="6">
        <f>[1]Emissions!H842</f>
        <v>13.986188780000001</v>
      </c>
      <c r="J394" s="6">
        <f>[1]Emissions!I842</f>
        <v>14.178563459999999</v>
      </c>
      <c r="K394" s="6">
        <f>[1]Emissions!J842</f>
        <v>14.37783992</v>
      </c>
      <c r="L394" s="6">
        <f>[1]Emissions!K842</f>
        <v>14.58248382</v>
      </c>
      <c r="M394" s="6">
        <f>[1]Emissions!L842</f>
        <v>14.808607090000001</v>
      </c>
      <c r="N394" s="6">
        <f>[1]Emissions!M842</f>
        <v>15.02220541</v>
      </c>
      <c r="O394" s="6">
        <f>[1]Emissions!N842</f>
        <v>15.234940959999999</v>
      </c>
      <c r="P394" s="6">
        <f>[1]Emissions!O842</f>
        <v>15.448114970000001</v>
      </c>
      <c r="Q394" s="6">
        <f>[1]Emissions!P842</f>
        <v>15.661682259999999</v>
      </c>
      <c r="R394" s="6">
        <f>[1]Emissions!Q842</f>
        <v>15.8755758</v>
      </c>
      <c r="S394" s="6">
        <f>[1]Emissions!R842</f>
        <v>16.087658189999999</v>
      </c>
      <c r="T394" s="6">
        <f>[1]Emissions!S842</f>
        <v>16.300034119999999</v>
      </c>
      <c r="U394" s="6">
        <f>[1]Emissions!T842</f>
        <v>16.513291030000001</v>
      </c>
      <c r="V394" s="6">
        <f>[1]Emissions!U842</f>
        <v>16.727837699999998</v>
      </c>
      <c r="W394" s="6">
        <f>[1]Emissions!V842</f>
        <v>16.93129845</v>
      </c>
      <c r="X394" s="6">
        <f>[1]Emissions!W842</f>
        <v>17.1464435</v>
      </c>
      <c r="Y394" s="6">
        <f>[1]Emissions!X842</f>
        <v>17.365832380000001</v>
      </c>
      <c r="Z394" s="6">
        <f>[1]Emissions!Y842</f>
        <v>17.58862603</v>
      </c>
      <c r="AA394" s="6">
        <f>[1]Emissions!Z842</f>
        <v>17.814946450000001</v>
      </c>
      <c r="AB394" s="6">
        <f>[1]Emissions!AA842</f>
        <v>18.008567769999999</v>
      </c>
      <c r="AC394" s="6">
        <f>[1]Emissions!AB842</f>
        <v>18.217035880000001</v>
      </c>
      <c r="AD394" s="6">
        <f>[1]Emissions!AC842</f>
        <v>18.4301882</v>
      </c>
      <c r="AE394" s="6">
        <f>[1]Emissions!AD842</f>
        <v>18.646978539999999</v>
      </c>
      <c r="AF394" s="6">
        <f>[1]Emissions!AE842</f>
        <v>18.867651380000002</v>
      </c>
      <c r="AG394" s="6">
        <f>[1]Emissions!AF842</f>
        <v>19.09256147</v>
      </c>
      <c r="AH394" s="6">
        <f>[1]Emissions!AG842</f>
        <v>19.322479999999999</v>
      </c>
      <c r="AI394" s="6">
        <f>[1]Emissions!AH842</f>
        <v>19.557168109999999</v>
      </c>
      <c r="AJ394" s="6">
        <f>[1]Emissions!AI842</f>
        <v>19.796652559999998</v>
      </c>
      <c r="AK394" s="6">
        <f>[1]Emissions!AJ842</f>
        <v>20.040941360000001</v>
      </c>
      <c r="AL394" s="6">
        <f>[1]Emissions!AK842</f>
        <v>20.289999810000001</v>
      </c>
      <c r="AM394" s="6">
        <f>[1]Emissions!AL842</f>
        <v>20.539440129999999</v>
      </c>
      <c r="AN394" s="6">
        <f>[1]Emissions!AM842</f>
        <v>20.79184411</v>
      </c>
      <c r="AO394" s="6">
        <f>[1]Emissions!AN842</f>
        <v>21.04773917</v>
      </c>
      <c r="AP394" s="6">
        <f>[1]Emissions!AO842</f>
        <v>21.307305939999999</v>
      </c>
      <c r="AQ394" s="6">
        <f>[1]Emissions!AP842</f>
        <v>21.570653440000001</v>
      </c>
      <c r="AR394" s="6">
        <f>[1]Emissions!AQ842</f>
        <v>21.838557510000001</v>
      </c>
      <c r="AS394" s="6">
        <f>[1]Emissions!AR842</f>
        <v>22.110493089999999</v>
      </c>
      <c r="AT394" s="6">
        <f>[1]Emissions!AS842</f>
        <v>22.386404160000001</v>
      </c>
      <c r="AU394" s="6">
        <f>[1]Emissions!AT842</f>
        <v>22.666283979999999</v>
      </c>
      <c r="AV394" s="6">
        <f>[1]Emissions!AU842</f>
        <v>22.950119770000001</v>
      </c>
      <c r="AW394" s="6">
        <f>[1]Emissions!AV842</f>
        <v>23.241028279999998</v>
      </c>
      <c r="AX394" s="6">
        <f>[1]Emissions!AW842</f>
        <v>23.536455759999999</v>
      </c>
      <c r="AY394" s="6">
        <f>[1]Emissions!AX842</f>
        <v>23.83597705</v>
      </c>
      <c r="AZ394" s="6">
        <f>[1]Emissions!AY842</f>
        <v>24.13948259</v>
      </c>
      <c r="BA394" s="6">
        <f>[1]Emissions!AZ842</f>
        <v>24.446919179999998</v>
      </c>
      <c r="BB394" s="6">
        <f>[1]Emissions!BA842</f>
        <v>24.759733539999999</v>
      </c>
      <c r="BC394" s="6">
        <f>[1]Emissions!BB842</f>
        <v>25.076686850000002</v>
      </c>
      <c r="BD394" s="6">
        <f>[1]Emissions!BC842</f>
        <v>25.397598160000001</v>
      </c>
      <c r="BE394" s="6">
        <f>[1]Emissions!BD842</f>
        <v>25.722452610000001</v>
      </c>
      <c r="BF394" s="6">
        <f>[1]Emissions!BE842</f>
        <v>26.051272480000002</v>
      </c>
    </row>
    <row r="395" spans="1:58" x14ac:dyDescent="0.35">
      <c r="B395" s="6" t="str">
        <f>[1]Emissions!A844</f>
        <v>ems_ci_co2_spla_2</v>
      </c>
      <c r="C395" s="6">
        <f>[1]Emissions!B844</f>
        <v>1.504329743</v>
      </c>
      <c r="D395" s="6">
        <f>[1]Emissions!C844</f>
        <v>1.469026532</v>
      </c>
      <c r="E395" s="6">
        <f>[1]Emissions!D844</f>
        <v>1.4729791430000001</v>
      </c>
      <c r="F395" s="6">
        <f>[1]Emissions!E844</f>
        <v>1.485267393</v>
      </c>
      <c r="G395" s="6">
        <f>[1]Emissions!F844</f>
        <v>1.500900135</v>
      </c>
      <c r="H395" s="6">
        <f>[1]Emissions!G844</f>
        <v>1.518992154</v>
      </c>
      <c r="I395" s="6">
        <f>[1]Emissions!H844</f>
        <v>1.5381345150000001</v>
      </c>
      <c r="J395" s="6">
        <f>[1]Emissions!I844</f>
        <v>1.5586975409999999</v>
      </c>
      <c r="K395" s="6">
        <f>[1]Emissions!J844</f>
        <v>1.5805098980000001</v>
      </c>
      <c r="L395" s="6">
        <f>[1]Emissions!K844</f>
        <v>1.6033147169999999</v>
      </c>
      <c r="M395" s="6">
        <f>[1]Emissions!L844</f>
        <v>1.628620229</v>
      </c>
      <c r="N395" s="6">
        <f>[1]Emissions!M844</f>
        <v>1.6530995530000001</v>
      </c>
      <c r="O395" s="6">
        <f>[1]Emissions!N844</f>
        <v>1.6776328119999999</v>
      </c>
      <c r="P395" s="6">
        <f>[1]Emissions!O844</f>
        <v>1.7022884009999999</v>
      </c>
      <c r="Q395" s="6">
        <f>[1]Emissions!P844</f>
        <v>1.7270150049999999</v>
      </c>
      <c r="R395" s="6">
        <f>[1]Emissions!Q844</f>
        <v>1.7517666540000001</v>
      </c>
      <c r="S395" s="6">
        <f>[1]Emissions!R844</f>
        <v>1.776297735</v>
      </c>
      <c r="T395" s="6">
        <f>[1]Emissions!S844</f>
        <v>1.800785166</v>
      </c>
      <c r="U395" s="6">
        <f>[1]Emissions!T844</f>
        <v>1.8252793860000001</v>
      </c>
      <c r="V395" s="6">
        <f>[1]Emissions!U844</f>
        <v>1.849819654</v>
      </c>
      <c r="W395" s="6">
        <f>[1]Emissions!V844</f>
        <v>1.8731668180000001</v>
      </c>
      <c r="X395" s="6">
        <f>[1]Emissions!W844</f>
        <v>1.897494958</v>
      </c>
      <c r="Y395" s="6">
        <f>[1]Emissions!X844</f>
        <v>1.9222097300000001</v>
      </c>
      <c r="Z395" s="6">
        <f>[1]Emissions!Y844</f>
        <v>1.94723869</v>
      </c>
      <c r="AA395" s="6">
        <f>[1]Emissions!Z844</f>
        <v>1.9726043440000001</v>
      </c>
      <c r="AB395" s="6">
        <f>[1]Emissions!AA844</f>
        <v>1.9946811259999999</v>
      </c>
      <c r="AC395" s="6">
        <f>[1]Emissions!AB844</f>
        <v>2.0179109849999999</v>
      </c>
      <c r="AD395" s="6">
        <f>[1]Emissions!AC844</f>
        <v>2.0415310330000001</v>
      </c>
      <c r="AE395" s="6">
        <f>[1]Emissions!AD844</f>
        <v>2.065467323</v>
      </c>
      <c r="AF395" s="6">
        <f>[1]Emissions!AE844</f>
        <v>2.0897655400000001</v>
      </c>
      <c r="AG395" s="6">
        <f>[1]Emissions!AF844</f>
        <v>2.1144827730000002</v>
      </c>
      <c r="AH395" s="6">
        <f>[1]Emissions!AG844</f>
        <v>2.1397163639999999</v>
      </c>
      <c r="AI395" s="6">
        <f>[1]Emissions!AH844</f>
        <v>2.1654623740000001</v>
      </c>
      <c r="AJ395" s="6">
        <f>[1]Emissions!AI844</f>
        <v>2.1917364529999999</v>
      </c>
      <c r="AK395" s="6">
        <f>[1]Emissions!AJ844</f>
        <v>2.2185488840000001</v>
      </c>
      <c r="AL395" s="6">
        <f>[1]Emissions!AK844</f>
        <v>2.2459022129999999</v>
      </c>
      <c r="AM395" s="6">
        <f>[1]Emissions!AL844</f>
        <v>2.2733602940000002</v>
      </c>
      <c r="AN395" s="6">
        <f>[1]Emissions!AM844</f>
        <v>2.301125377</v>
      </c>
      <c r="AO395" s="6">
        <f>[1]Emissions!AN844</f>
        <v>2.3292554879999998</v>
      </c>
      <c r="AP395" s="6">
        <f>[1]Emissions!AO844</f>
        <v>2.3577730400000001</v>
      </c>
      <c r="AQ395" s="6">
        <f>[1]Emissions!AP844</f>
        <v>2.386689971</v>
      </c>
      <c r="AR395" s="6">
        <f>[1]Emissions!AQ844</f>
        <v>2.4160832820000002</v>
      </c>
      <c r="AS395" s="6">
        <f>[1]Emissions!AR844</f>
        <v>2.4459033190000001</v>
      </c>
      <c r="AT395" s="6">
        <f>[1]Emissions!AS844</f>
        <v>2.4761419880000002</v>
      </c>
      <c r="AU395" s="6">
        <f>[1]Emissions!AT844</f>
        <v>2.5067960660000002</v>
      </c>
      <c r="AV395" s="6">
        <f>[1]Emissions!AU844</f>
        <v>2.5378615309999999</v>
      </c>
      <c r="AW395" s="6">
        <f>[1]Emissions!AV844</f>
        <v>2.569647062</v>
      </c>
      <c r="AX395" s="6">
        <f>[1]Emissions!AW844</f>
        <v>2.6019163920000001</v>
      </c>
      <c r="AY395" s="6">
        <f>[1]Emissions!AX844</f>
        <v>2.6346205490000001</v>
      </c>
      <c r="AZ395" s="6">
        <f>[1]Emissions!AY844</f>
        <v>2.6677427640000002</v>
      </c>
      <c r="BA395" s="6">
        <f>[1]Emissions!AZ844</f>
        <v>2.7012723890000001</v>
      </c>
      <c r="BB395" s="6">
        <f>[1]Emissions!BA844</f>
        <v>2.7353489070000001</v>
      </c>
      <c r="BC395" s="6">
        <f>[1]Emissions!BB844</f>
        <v>2.7698533780000001</v>
      </c>
      <c r="BD395" s="6">
        <f>[1]Emissions!BC844</f>
        <v>2.8047628790000001</v>
      </c>
      <c r="BE395" s="6">
        <f>[1]Emissions!BD844</f>
        <v>2.8400723060000002</v>
      </c>
      <c r="BF395" s="6">
        <f>[1]Emissions!BE844</f>
        <v>2.8757812089999999</v>
      </c>
    </row>
    <row r="396" spans="1:58" x14ac:dyDescent="0.35">
      <c r="B396" s="6" t="str">
        <f>[1]Emissions!A846</f>
        <v>ems_ci_co2_smet_2</v>
      </c>
      <c r="C396" s="6">
        <f>[1]Emissions!B846</f>
        <v>19.707514920000001</v>
      </c>
      <c r="D396" s="6">
        <f>[1]Emissions!C846</f>
        <v>19.269353949999999</v>
      </c>
      <c r="E396" s="6">
        <f>[1]Emissions!D846</f>
        <v>19.348048909999999</v>
      </c>
      <c r="F396" s="6">
        <f>[1]Emissions!E846</f>
        <v>19.543540069999999</v>
      </c>
      <c r="G396" s="6">
        <f>[1]Emissions!F846</f>
        <v>19.776557910000001</v>
      </c>
      <c r="H396" s="6">
        <f>[1]Emissions!G846</f>
        <v>20.029240189999999</v>
      </c>
      <c r="I396" s="6">
        <f>[1]Emissions!H846</f>
        <v>20.282763020000001</v>
      </c>
      <c r="J396" s="6">
        <f>[1]Emissions!I846</f>
        <v>20.543746779999999</v>
      </c>
      <c r="K396" s="6">
        <f>[1]Emissions!J846</f>
        <v>20.812823130000002</v>
      </c>
      <c r="L396" s="6">
        <f>[1]Emissions!K846</f>
        <v>21.089378050000001</v>
      </c>
      <c r="M396" s="6">
        <f>[1]Emissions!L846</f>
        <v>21.394665069999999</v>
      </c>
      <c r="N396" s="6">
        <f>[1]Emissions!M846</f>
        <v>21.688013550000001</v>
      </c>
      <c r="O396" s="6">
        <f>[1]Emissions!N846</f>
        <v>21.982117909999999</v>
      </c>
      <c r="P396" s="6">
        <f>[1]Emissions!O846</f>
        <v>22.27924453</v>
      </c>
      <c r="Q396" s="6">
        <f>[1]Emissions!P846</f>
        <v>22.57965085</v>
      </c>
      <c r="R396" s="6">
        <f>[1]Emissions!Q846</f>
        <v>22.883335280000001</v>
      </c>
      <c r="S396" s="6">
        <f>[1]Emissions!R846</f>
        <v>23.187530580000001</v>
      </c>
      <c r="T396" s="6">
        <f>[1]Emissions!S846</f>
        <v>23.494744799999999</v>
      </c>
      <c r="U396" s="6">
        <f>[1]Emissions!T846</f>
        <v>23.805742630000001</v>
      </c>
      <c r="V396" s="6">
        <f>[1]Emissions!U846</f>
        <v>24.120985229999999</v>
      </c>
      <c r="W396" s="6">
        <f>[1]Emissions!V846</f>
        <v>24.424791389999999</v>
      </c>
      <c r="X396" s="6">
        <f>[1]Emissions!W846</f>
        <v>24.744462410000001</v>
      </c>
      <c r="Y396" s="6">
        <f>[1]Emissions!X846</f>
        <v>25.072196779999999</v>
      </c>
      <c r="Z396" s="6">
        <f>[1]Emissions!Y846</f>
        <v>25.40658427</v>
      </c>
      <c r="AA396" s="6">
        <f>[1]Emissions!Z846</f>
        <v>25.747530709999999</v>
      </c>
      <c r="AB396" s="6">
        <f>[1]Emissions!AA846</f>
        <v>26.049210550000002</v>
      </c>
      <c r="AC396" s="6">
        <f>[1]Emissions!AB846</f>
        <v>26.367784619999998</v>
      </c>
      <c r="AD396" s="6">
        <f>[1]Emissions!AC846</f>
        <v>26.69344619</v>
      </c>
      <c r="AE396" s="6">
        <f>[1]Emissions!AD846</f>
        <v>27.024573849999999</v>
      </c>
      <c r="AF396" s="6">
        <f>[1]Emissions!AE846</f>
        <v>27.36118175</v>
      </c>
      <c r="AG396" s="6">
        <f>[1]Emissions!AF846</f>
        <v>27.703545980000001</v>
      </c>
      <c r="AH396" s="6">
        <f>[1]Emissions!AG846</f>
        <v>28.052551650000002</v>
      </c>
      <c r="AI396" s="6">
        <f>[1]Emissions!AH846</f>
        <v>28.40785657</v>
      </c>
      <c r="AJ396" s="6">
        <f>[1]Emissions!AI846</f>
        <v>28.769434019999998</v>
      </c>
      <c r="AK396" s="6">
        <f>[1]Emissions!AJ846</f>
        <v>29.137259090000001</v>
      </c>
      <c r="AL396" s="6">
        <f>[1]Emissions!AK846</f>
        <v>29.511264369999999</v>
      </c>
      <c r="AM396" s="6">
        <f>[1]Emissions!AL846</f>
        <v>29.885973079999999</v>
      </c>
      <c r="AN396" s="6">
        <f>[1]Emissions!AM846</f>
        <v>30.263889599999999</v>
      </c>
      <c r="AO396" s="6">
        <f>[1]Emissions!AN846</f>
        <v>30.645722330000002</v>
      </c>
      <c r="AP396" s="6">
        <f>[1]Emissions!AO846</f>
        <v>31.031730060000001</v>
      </c>
      <c r="AQ396" s="6">
        <f>[1]Emissions!AP846</f>
        <v>31.422053770000002</v>
      </c>
      <c r="AR396" s="6">
        <f>[1]Emissions!AQ846</f>
        <v>31.817685619999999</v>
      </c>
      <c r="AS396" s="6">
        <f>[1]Emissions!AR846</f>
        <v>32.217994419999997</v>
      </c>
      <c r="AT396" s="6">
        <f>[1]Emissions!AS846</f>
        <v>32.622892329999999</v>
      </c>
      <c r="AU396" s="6">
        <f>[1]Emissions!AT846</f>
        <v>33.032380959999998</v>
      </c>
      <c r="AV396" s="6">
        <f>[1]Emissions!AU846</f>
        <v>33.446466749999999</v>
      </c>
      <c r="AW396" s="6">
        <f>[1]Emissions!AV846</f>
        <v>33.869152059999998</v>
      </c>
      <c r="AX396" s="6">
        <f>[1]Emissions!AW846</f>
        <v>34.297412010000002</v>
      </c>
      <c r="AY396" s="6">
        <f>[1]Emissions!AX846</f>
        <v>34.730614520000003</v>
      </c>
      <c r="AZ396" s="6">
        <f>[1]Emissions!AY846</f>
        <v>35.168612160000002</v>
      </c>
      <c r="BA396" s="6">
        <f>[1]Emissions!AZ846</f>
        <v>35.611368229999997</v>
      </c>
      <c r="BB396" s="6">
        <f>[1]Emissions!BA846</f>
        <v>36.060773500000003</v>
      </c>
      <c r="BC396" s="6">
        <f>[1]Emissions!BB846</f>
        <v>36.515363899999997</v>
      </c>
      <c r="BD396" s="6">
        <f>[1]Emissions!BC846</f>
        <v>36.974890129999999</v>
      </c>
      <c r="BE396" s="6">
        <f>[1]Emissions!BD846</f>
        <v>37.439356160000003</v>
      </c>
      <c r="BF396" s="6">
        <f>[1]Emissions!BE846</f>
        <v>37.908831159999998</v>
      </c>
    </row>
    <row r="397" spans="1:58" x14ac:dyDescent="0.35">
      <c r="B397" s="6" t="str">
        <f>[1]Emissions!A848</f>
        <v>ems_ci_co2_sigo_2</v>
      </c>
      <c r="C397" s="6">
        <f>[1]Emissions!B848</f>
        <v>1.225657679</v>
      </c>
      <c r="D397" s="6">
        <f>[1]Emissions!C848</f>
        <v>1.1825587470000001</v>
      </c>
      <c r="E397" s="6">
        <f>[1]Emissions!D848</f>
        <v>1.1862023290000001</v>
      </c>
      <c r="F397" s="6">
        <f>[1]Emissions!E848</f>
        <v>1.196331729</v>
      </c>
      <c r="G397" s="6">
        <f>[1]Emissions!F848</f>
        <v>1.2087243590000001</v>
      </c>
      <c r="H397" s="6">
        <f>[1]Emissions!G848</f>
        <v>1.2231176610000001</v>
      </c>
      <c r="I397" s="6">
        <f>[1]Emissions!H848</f>
        <v>1.2383848820000001</v>
      </c>
      <c r="J397" s="6">
        <f>[1]Emissions!I848</f>
        <v>1.2550986019999999</v>
      </c>
      <c r="K397" s="6">
        <f>[1]Emissions!J848</f>
        <v>1.2730606090000001</v>
      </c>
      <c r="L397" s="6">
        <f>[1]Emissions!K848</f>
        <v>1.29198368</v>
      </c>
      <c r="M397" s="6">
        <f>[1]Emissions!L848</f>
        <v>1.31331047</v>
      </c>
      <c r="N397" s="6">
        <f>[1]Emissions!M848</f>
        <v>1.3335399640000001</v>
      </c>
      <c r="O397" s="6">
        <f>[1]Emissions!N848</f>
        <v>1.3538349059999999</v>
      </c>
      <c r="P397" s="6">
        <f>[1]Emissions!O848</f>
        <v>1.3742189359999999</v>
      </c>
      <c r="Q397" s="6">
        <f>[1]Emissions!P848</f>
        <v>1.394602358</v>
      </c>
      <c r="R397" s="6">
        <f>[1]Emissions!Q848</f>
        <v>1.414909859</v>
      </c>
      <c r="S397" s="6">
        <f>[1]Emissions!R848</f>
        <v>1.4348423830000001</v>
      </c>
      <c r="T397" s="6">
        <f>[1]Emissions!S848</f>
        <v>1.45458892</v>
      </c>
      <c r="U397" s="6">
        <f>[1]Emissions!T848</f>
        <v>1.4741747409999999</v>
      </c>
      <c r="V397" s="6">
        <f>[1]Emissions!U848</f>
        <v>1.4936210860000001</v>
      </c>
      <c r="W397" s="6">
        <f>[1]Emissions!V848</f>
        <v>1.5117076309999999</v>
      </c>
      <c r="X397" s="6">
        <f>[1]Emissions!W848</f>
        <v>1.530714734</v>
      </c>
      <c r="Y397" s="6">
        <f>[1]Emissions!X848</f>
        <v>1.549849206</v>
      </c>
      <c r="Z397" s="6">
        <f>[1]Emissions!Y848</f>
        <v>1.569060331</v>
      </c>
      <c r="AA397" s="6">
        <f>[1]Emissions!Z848</f>
        <v>1.588391278</v>
      </c>
      <c r="AB397" s="6">
        <f>[1]Emissions!AA848</f>
        <v>1.6043226399999999</v>
      </c>
      <c r="AC397" s="6">
        <f>[1]Emissions!AB848</f>
        <v>1.621679471</v>
      </c>
      <c r="AD397" s="6">
        <f>[1]Emissions!AC848</f>
        <v>1.639320463</v>
      </c>
      <c r="AE397" s="6">
        <f>[1]Emissions!AD848</f>
        <v>1.6571646040000001</v>
      </c>
      <c r="AF397" s="6">
        <f>[1]Emissions!AE848</f>
        <v>1.675261646</v>
      </c>
      <c r="AG397" s="6">
        <f>[1]Emissions!AF848</f>
        <v>1.6936707010000001</v>
      </c>
      <c r="AH397" s="6">
        <f>[1]Emissions!AG848</f>
        <v>1.712499019</v>
      </c>
      <c r="AI397" s="6">
        <f>[1]Emissions!AH848</f>
        <v>1.7317414959999999</v>
      </c>
      <c r="AJ397" s="6">
        <f>[1]Emissions!AI848</f>
        <v>1.751424428</v>
      </c>
      <c r="AK397" s="6">
        <f>[1]Emissions!AJ848</f>
        <v>1.7715693960000001</v>
      </c>
      <c r="AL397" s="6">
        <f>[1]Emissions!AK848</f>
        <v>1.7921896690000001</v>
      </c>
      <c r="AM397" s="6">
        <f>[1]Emissions!AL848</f>
        <v>1.8129352809999999</v>
      </c>
      <c r="AN397" s="6">
        <f>[1]Emissions!AM848</f>
        <v>1.8340375149999999</v>
      </c>
      <c r="AO397" s="6">
        <f>[1]Emissions!AN848</f>
        <v>1.855532462</v>
      </c>
      <c r="AP397" s="6">
        <f>[1]Emissions!AO848</f>
        <v>1.877426461</v>
      </c>
      <c r="AQ397" s="6">
        <f>[1]Emissions!AP848</f>
        <v>1.8997190310000001</v>
      </c>
      <c r="AR397" s="6">
        <f>[1]Emissions!AQ848</f>
        <v>1.9224844089999999</v>
      </c>
      <c r="AS397" s="6">
        <f>[1]Emissions!AR848</f>
        <v>1.9456527050000001</v>
      </c>
      <c r="AT397" s="6">
        <f>[1]Emissions!AS848</f>
        <v>1.969210387</v>
      </c>
      <c r="AU397" s="6">
        <f>[1]Emissions!AT848</f>
        <v>1.99314977</v>
      </c>
      <c r="AV397" s="6">
        <f>[1]Emissions!AU848</f>
        <v>2.0174630069999999</v>
      </c>
      <c r="AW397" s="6">
        <f>[1]Emissions!AV848</f>
        <v>2.0424789720000001</v>
      </c>
      <c r="AX397" s="6">
        <f>[1]Emissions!AW848</f>
        <v>2.0679124</v>
      </c>
      <c r="AY397" s="6">
        <f>[1]Emissions!AX848</f>
        <v>2.0937210570000002</v>
      </c>
      <c r="AZ397" s="6">
        <f>[1]Emissions!AY848</f>
        <v>2.1198914499999999</v>
      </c>
      <c r="BA397" s="6">
        <f>[1]Emissions!AZ848</f>
        <v>2.146412819</v>
      </c>
      <c r="BB397" s="6">
        <f>[1]Emissions!BA848</f>
        <v>2.1734387690000001</v>
      </c>
      <c r="BC397" s="6">
        <f>[1]Emissions!BB848</f>
        <v>2.2008237689999999</v>
      </c>
      <c r="BD397" s="6">
        <f>[1]Emissions!BC848</f>
        <v>2.2285452530000001</v>
      </c>
      <c r="BE397" s="6">
        <f>[1]Emissions!BD848</f>
        <v>2.2565966959999999</v>
      </c>
      <c r="BF397" s="6">
        <f>[1]Emissions!BE848</f>
        <v>2.2849745420000001</v>
      </c>
    </row>
    <row r="398" spans="1:58" x14ac:dyDescent="0.35">
      <c r="B398" s="6" t="str">
        <f>[1]Emissions!A850</f>
        <v>ems_ci_co2_scgo_2</v>
      </c>
      <c r="C398" s="6">
        <f>[1]Emissions!B850</f>
        <v>2.2918614370000001</v>
      </c>
      <c r="D398" s="6">
        <f>[1]Emissions!C850</f>
        <v>2.2556193699999998</v>
      </c>
      <c r="E398" s="6">
        <f>[1]Emissions!D850</f>
        <v>2.2557167759999999</v>
      </c>
      <c r="F398" s="6">
        <f>[1]Emissions!E850</f>
        <v>2.266655036</v>
      </c>
      <c r="G398" s="6">
        <f>[1]Emissions!F850</f>
        <v>2.2842494260000001</v>
      </c>
      <c r="H398" s="6">
        <f>[1]Emissions!G850</f>
        <v>2.3075793839999998</v>
      </c>
      <c r="I398" s="6">
        <f>[1]Emissions!H850</f>
        <v>2.334530666</v>
      </c>
      <c r="J398" s="6">
        <f>[1]Emissions!I850</f>
        <v>2.3650416459999999</v>
      </c>
      <c r="K398" s="6">
        <f>[1]Emissions!J850</f>
        <v>2.3985465389999998</v>
      </c>
      <c r="L398" s="6">
        <f>[1]Emissions!K850</f>
        <v>2.4344335130000001</v>
      </c>
      <c r="M398" s="6">
        <f>[1]Emissions!L850</f>
        <v>2.4745407570000002</v>
      </c>
      <c r="N398" s="6">
        <f>[1]Emissions!M850</f>
        <v>2.5145909249999998</v>
      </c>
      <c r="O398" s="6">
        <f>[1]Emissions!N850</f>
        <v>2.5551763240000001</v>
      </c>
      <c r="P398" s="6">
        <f>[1]Emissions!O850</f>
        <v>2.5962196880000001</v>
      </c>
      <c r="Q398" s="6">
        <f>[1]Emissions!P850</f>
        <v>2.6375505690000001</v>
      </c>
      <c r="R398" s="6">
        <f>[1]Emissions!Q850</f>
        <v>2.6790260950000002</v>
      </c>
      <c r="S398" s="6">
        <f>[1]Emissions!R850</f>
        <v>2.7203026889999999</v>
      </c>
      <c r="T398" s="6">
        <f>[1]Emissions!S850</f>
        <v>2.761486675</v>
      </c>
      <c r="U398" s="6">
        <f>[1]Emissions!T850</f>
        <v>2.8025971539999999</v>
      </c>
      <c r="V398" s="6">
        <f>[1]Emissions!U850</f>
        <v>2.843661311</v>
      </c>
      <c r="W398" s="6">
        <f>[1]Emissions!V850</f>
        <v>2.8829621269999999</v>
      </c>
      <c r="X398" s="6">
        <f>[1]Emissions!W850</f>
        <v>2.9232123670000001</v>
      </c>
      <c r="Y398" s="6">
        <f>[1]Emissions!X850</f>
        <v>2.9638850940000001</v>
      </c>
      <c r="Z398" s="6">
        <f>[1]Emissions!Y850</f>
        <v>3.0049188579999999</v>
      </c>
      <c r="AA398" s="6">
        <f>[1]Emissions!Z850</f>
        <v>3.0463548669999998</v>
      </c>
      <c r="AB398" s="6">
        <f>[1]Emissions!AA850</f>
        <v>3.0832041029999999</v>
      </c>
      <c r="AC398" s="6">
        <f>[1]Emissions!AB850</f>
        <v>3.1208087020000002</v>
      </c>
      <c r="AD398" s="6">
        <f>[1]Emissions!AC850</f>
        <v>3.1586252400000001</v>
      </c>
      <c r="AE398" s="6">
        <f>[1]Emissions!AD850</f>
        <v>3.196677894</v>
      </c>
      <c r="AF398" s="6">
        <f>[1]Emissions!AE850</f>
        <v>3.235100439</v>
      </c>
      <c r="AG398" s="6">
        <f>[1]Emissions!AF850</f>
        <v>3.2740281840000001</v>
      </c>
      <c r="AH398" s="6">
        <f>[1]Emissions!AG850</f>
        <v>3.3136290420000001</v>
      </c>
      <c r="AI398" s="6">
        <f>[1]Emissions!AH850</f>
        <v>3.3539555590000001</v>
      </c>
      <c r="AJ398" s="6">
        <f>[1]Emissions!AI850</f>
        <v>3.395063548</v>
      </c>
      <c r="AK398" s="6">
        <f>[1]Emissions!AJ850</f>
        <v>3.4369922220000002</v>
      </c>
      <c r="AL398" s="6">
        <f>[1]Emissions!AK850</f>
        <v>3.4797638370000001</v>
      </c>
      <c r="AM398" s="6">
        <f>[1]Emissions!AL850</f>
        <v>3.5226665800000001</v>
      </c>
      <c r="AN398" s="6">
        <f>[1]Emissions!AM850</f>
        <v>3.565971684</v>
      </c>
      <c r="AO398" s="6">
        <f>[1]Emissions!AN850</f>
        <v>3.6097929600000001</v>
      </c>
      <c r="AP398" s="6">
        <f>[1]Emissions!AO850</f>
        <v>3.654188472</v>
      </c>
      <c r="AQ398" s="6">
        <f>[1]Emissions!AP850</f>
        <v>3.6991944989999999</v>
      </c>
      <c r="AR398" s="6">
        <f>[1]Emissions!AQ850</f>
        <v>3.744912029</v>
      </c>
      <c r="AS398" s="6">
        <f>[1]Emissions!AR850</f>
        <v>3.7913086850000002</v>
      </c>
      <c r="AT398" s="6">
        <f>[1]Emissions!AS850</f>
        <v>3.8383829399999998</v>
      </c>
      <c r="AU398" s="6">
        <f>[1]Emissions!AT850</f>
        <v>3.8861334429999999</v>
      </c>
      <c r="AV398" s="6">
        <f>[1]Emissions!AU850</f>
        <v>3.9345548890000002</v>
      </c>
      <c r="AW398" s="6">
        <f>[1]Emissions!AV850</f>
        <v>3.9840054079999998</v>
      </c>
      <c r="AX398" s="6">
        <f>[1]Emissions!AW850</f>
        <v>4.0342604910000004</v>
      </c>
      <c r="AY398" s="6">
        <f>[1]Emissions!AX850</f>
        <v>4.0852579929999999</v>
      </c>
      <c r="AZ398" s="6">
        <f>[1]Emissions!AY850</f>
        <v>4.1369649370000001</v>
      </c>
      <c r="BA398" s="6">
        <f>[1]Emissions!AZ850</f>
        <v>4.189354518</v>
      </c>
      <c r="BB398" s="6">
        <f>[1]Emissions!BA850</f>
        <v>4.2425659949999996</v>
      </c>
      <c r="BC398" s="6">
        <f>[1]Emissions!BB850</f>
        <v>4.2964803089999997</v>
      </c>
      <c r="BD398" s="6">
        <f>[1]Emissions!BC850</f>
        <v>4.3510637379999997</v>
      </c>
      <c r="BE398" s="6">
        <f>[1]Emissions!BD850</f>
        <v>4.4063006810000003</v>
      </c>
      <c r="BF398" s="6">
        <f>[1]Emissions!BE850</f>
        <v>4.4621821019999999</v>
      </c>
    </row>
    <row r="399" spans="1:58" x14ac:dyDescent="0.35">
      <c r="B399" s="6" t="str">
        <f>[1]Emissions!A852</f>
        <v>ems_ci_co2_scon_2</v>
      </c>
      <c r="C399" s="6">
        <f>[1]Emissions!B852</f>
        <v>7.738716868</v>
      </c>
      <c r="D399" s="6">
        <f>[1]Emissions!C852</f>
        <v>7.7084406239999996</v>
      </c>
      <c r="E399" s="6">
        <f>[1]Emissions!D852</f>
        <v>7.6398177719999998</v>
      </c>
      <c r="F399" s="6">
        <f>[1]Emissions!E852</f>
        <v>7.5740157210000003</v>
      </c>
      <c r="G399" s="6">
        <f>[1]Emissions!F852</f>
        <v>7.5372355630000003</v>
      </c>
      <c r="H399" s="6">
        <f>[1]Emissions!G852</f>
        <v>7.5406805290000003</v>
      </c>
      <c r="I399" s="6">
        <f>[1]Emissions!H852</f>
        <v>7.582146388</v>
      </c>
      <c r="J399" s="6">
        <f>[1]Emissions!I852</f>
        <v>7.6571944780000001</v>
      </c>
      <c r="K399" s="6">
        <f>[1]Emissions!J852</f>
        <v>7.76033594</v>
      </c>
      <c r="L399" s="6">
        <f>[1]Emissions!K852</f>
        <v>7.8864151700000003</v>
      </c>
      <c r="M399" s="6">
        <f>[1]Emissions!L852</f>
        <v>8.0364911219999993</v>
      </c>
      <c r="N399" s="6">
        <f>[1]Emissions!M852</f>
        <v>8.2019897260000008</v>
      </c>
      <c r="O399" s="6">
        <f>[1]Emissions!N852</f>
        <v>8.3789981979999997</v>
      </c>
      <c r="P399" s="6">
        <f>[1]Emissions!O852</f>
        <v>8.5647526569999997</v>
      </c>
      <c r="Q399" s="6">
        <f>[1]Emissions!P852</f>
        <v>8.7570713340000008</v>
      </c>
      <c r="R399" s="6">
        <f>[1]Emissions!Q852</f>
        <v>8.9541736140000001</v>
      </c>
      <c r="S399" s="6">
        <f>[1]Emissions!R852</f>
        <v>9.1542495590000001</v>
      </c>
      <c r="T399" s="6">
        <f>[1]Emissions!S852</f>
        <v>9.3559879230000007</v>
      </c>
      <c r="U399" s="6">
        <f>[1]Emissions!T852</f>
        <v>9.5584627690000001</v>
      </c>
      <c r="V399" s="6">
        <f>[1]Emissions!U852</f>
        <v>9.7610854069999995</v>
      </c>
      <c r="W399" s="6">
        <f>[1]Emissions!V852</f>
        <v>9.9592995080000009</v>
      </c>
      <c r="X399" s="6">
        <f>[1]Emissions!W852</f>
        <v>10.15668149</v>
      </c>
      <c r="Y399" s="6">
        <f>[1]Emissions!X852</f>
        <v>10.353993600000001</v>
      </c>
      <c r="Z399" s="6">
        <f>[1]Emissions!Y852</f>
        <v>10.55167249</v>
      </c>
      <c r="AA399" s="6">
        <f>[1]Emissions!Z852</f>
        <v>10.75011439</v>
      </c>
      <c r="AB399" s="6">
        <f>[1]Emissions!AA852</f>
        <v>10.93724362</v>
      </c>
      <c r="AC399" s="6">
        <f>[1]Emissions!AB852</f>
        <v>11.11841098</v>
      </c>
      <c r="AD399" s="6">
        <f>[1]Emissions!AC852</f>
        <v>11.29515789</v>
      </c>
      <c r="AE399" s="6">
        <f>[1]Emissions!AD852</f>
        <v>11.4685866</v>
      </c>
      <c r="AF399" s="6">
        <f>[1]Emissions!AE852</f>
        <v>11.63967641</v>
      </c>
      <c r="AG399" s="6">
        <f>[1]Emissions!AF852</f>
        <v>11.80930597</v>
      </c>
      <c r="AH399" s="6">
        <f>[1]Emissions!AG852</f>
        <v>11.97833629</v>
      </c>
      <c r="AI399" s="6">
        <f>[1]Emissions!AH852</f>
        <v>12.14750587</v>
      </c>
      <c r="AJ399" s="6">
        <f>[1]Emissions!AI852</f>
        <v>12.317434540000001</v>
      </c>
      <c r="AK399" s="6">
        <f>[1]Emissions!AJ852</f>
        <v>12.488613490000001</v>
      </c>
      <c r="AL399" s="6">
        <f>[1]Emissions!AK852</f>
        <v>12.661402949999999</v>
      </c>
      <c r="AM399" s="6">
        <f>[1]Emissions!AL852</f>
        <v>12.833577650000001</v>
      </c>
      <c r="AN399" s="6">
        <f>[1]Emissions!AM852</f>
        <v>13.005096959999999</v>
      </c>
      <c r="AO399" s="6">
        <f>[1]Emissions!AN852</f>
        <v>13.17612849</v>
      </c>
      <c r="AP399" s="6">
        <f>[1]Emissions!AO852</f>
        <v>13.34677245</v>
      </c>
      <c r="AQ399" s="6">
        <f>[1]Emissions!AP852</f>
        <v>13.517045830000001</v>
      </c>
      <c r="AR399" s="6">
        <f>[1]Emissions!AQ852</f>
        <v>13.686998709999999</v>
      </c>
      <c r="AS399" s="6">
        <f>[1]Emissions!AR852</f>
        <v>13.85661842</v>
      </c>
      <c r="AT399" s="6">
        <f>[1]Emissions!AS852</f>
        <v>14.02585942</v>
      </c>
      <c r="AU399" s="6">
        <f>[1]Emissions!AT852</f>
        <v>14.194654809999999</v>
      </c>
      <c r="AV399" s="6">
        <f>[1]Emissions!AU852</f>
        <v>14.36292854</v>
      </c>
      <c r="AW399" s="6">
        <f>[1]Emissions!AV852</f>
        <v>14.53115631</v>
      </c>
      <c r="AX399" s="6">
        <f>[1]Emissions!AW852</f>
        <v>14.69947734</v>
      </c>
      <c r="AY399" s="6">
        <f>[1]Emissions!AX852</f>
        <v>14.867905589999999</v>
      </c>
      <c r="AZ399" s="6">
        <f>[1]Emissions!AY852</f>
        <v>15.036365569999999</v>
      </c>
      <c r="BA399" s="6">
        <f>[1]Emissions!AZ852</f>
        <v>15.20473812</v>
      </c>
      <c r="BB399" s="6">
        <f>[1]Emissions!BA852</f>
        <v>15.373065759999999</v>
      </c>
      <c r="BC399" s="6">
        <f>[1]Emissions!BB852</f>
        <v>15.541360450000001</v>
      </c>
      <c r="BD399" s="6">
        <f>[1]Emissions!BC852</f>
        <v>15.709621589999999</v>
      </c>
      <c r="BE399" s="6">
        <f>[1]Emissions!BD852</f>
        <v>15.87783905</v>
      </c>
      <c r="BF399" s="6">
        <f>[1]Emissions!BE852</f>
        <v>16.046012959999999</v>
      </c>
    </row>
    <row r="400" spans="1:58" x14ac:dyDescent="0.35">
      <c r="B400" s="6" t="str">
        <f>[1]Emissions!A854</f>
        <v>ems_ci_co2_srai_2</v>
      </c>
      <c r="C400" s="6">
        <f>[1]Emissions!B854</f>
        <v>1.735996737</v>
      </c>
      <c r="D400" s="6">
        <f>[1]Emissions!C854</f>
        <v>1.723881937</v>
      </c>
      <c r="E400" s="6">
        <f>[1]Emissions!D854</f>
        <v>1.7315346650000001</v>
      </c>
      <c r="F400" s="6">
        <f>[1]Emissions!E854</f>
        <v>1.7449974260000001</v>
      </c>
      <c r="G400" s="6">
        <f>[1]Emissions!F854</f>
        <v>1.76160289</v>
      </c>
      <c r="H400" s="6">
        <f>[1]Emissions!G854</f>
        <v>1.7806659650000001</v>
      </c>
      <c r="I400" s="6">
        <f>[1]Emissions!H854</f>
        <v>1.8008509589999999</v>
      </c>
      <c r="J400" s="6">
        <f>[1]Emissions!I854</f>
        <v>1.8223539</v>
      </c>
      <c r="K400" s="6">
        <f>[1]Emissions!J854</f>
        <v>1.8450368779999999</v>
      </c>
      <c r="L400" s="6">
        <f>[1]Emissions!K854</f>
        <v>1.8686994649999999</v>
      </c>
      <c r="M400" s="6">
        <f>[1]Emissions!L854</f>
        <v>1.8947638060000001</v>
      </c>
      <c r="N400" s="6">
        <f>[1]Emissions!M854</f>
        <v>1.9204341680000001</v>
      </c>
      <c r="O400" s="6">
        <f>[1]Emissions!N854</f>
        <v>1.9462570320000001</v>
      </c>
      <c r="P400" s="6">
        <f>[1]Emissions!O854</f>
        <v>1.9722915160000001</v>
      </c>
      <c r="Q400" s="6">
        <f>[1]Emissions!P854</f>
        <v>1.9985063649999999</v>
      </c>
      <c r="R400" s="6">
        <f>[1]Emissions!Q854</f>
        <v>2.0248709040000001</v>
      </c>
      <c r="S400" s="6">
        <f>[1]Emissions!R854</f>
        <v>2.0512407439999998</v>
      </c>
      <c r="T400" s="6">
        <f>[1]Emissions!S854</f>
        <v>2.0777068170000002</v>
      </c>
      <c r="U400" s="6">
        <f>[1]Emissions!T854</f>
        <v>2.1043009009999998</v>
      </c>
      <c r="V400" s="6">
        <f>[1]Emissions!U854</f>
        <v>2.1310476729999999</v>
      </c>
      <c r="W400" s="6">
        <f>[1]Emissions!V854</f>
        <v>2.1567882190000001</v>
      </c>
      <c r="X400" s="6">
        <f>[1]Emissions!W854</f>
        <v>2.183384142</v>
      </c>
      <c r="Y400" s="6">
        <f>[1]Emissions!X854</f>
        <v>2.2104244249999998</v>
      </c>
      <c r="Z400" s="6">
        <f>[1]Emissions!Y854</f>
        <v>2.2378289040000001</v>
      </c>
      <c r="AA400" s="6">
        <f>[1]Emissions!Z854</f>
        <v>2.2655933959999999</v>
      </c>
      <c r="AB400" s="6">
        <f>[1]Emissions!AA854</f>
        <v>2.2903365959999999</v>
      </c>
      <c r="AC400" s="6">
        <f>[1]Emissions!AB854</f>
        <v>2.3157623119999999</v>
      </c>
      <c r="AD400" s="6">
        <f>[1]Emissions!AC854</f>
        <v>2.3414523100000002</v>
      </c>
      <c r="AE400" s="6">
        <f>[1]Emissions!AD854</f>
        <v>2.3673817069999998</v>
      </c>
      <c r="AF400" s="6">
        <f>[1]Emissions!AE854</f>
        <v>2.39360806</v>
      </c>
      <c r="AG400" s="6">
        <f>[1]Emissions!AF854</f>
        <v>2.4201929070000001</v>
      </c>
      <c r="AH400" s="6">
        <f>[1]Emissions!AG854</f>
        <v>2.447213439</v>
      </c>
      <c r="AI400" s="6">
        <f>[1]Emissions!AH854</f>
        <v>2.4746831340000002</v>
      </c>
      <c r="AJ400" s="6">
        <f>[1]Emissions!AI854</f>
        <v>2.5026181250000001</v>
      </c>
      <c r="AK400" s="6">
        <f>[1]Emissions!AJ854</f>
        <v>2.5310279499999999</v>
      </c>
      <c r="AL400" s="6">
        <f>[1]Emissions!AK854</f>
        <v>2.559916093</v>
      </c>
      <c r="AM400" s="6">
        <f>[1]Emissions!AL854</f>
        <v>2.5887274640000002</v>
      </c>
      <c r="AN400" s="6">
        <f>[1]Emissions!AM854</f>
        <v>2.6177151379999999</v>
      </c>
      <c r="AO400" s="6">
        <f>[1]Emissions!AN854</f>
        <v>2.6469737100000001</v>
      </c>
      <c r="AP400" s="6">
        <f>[1]Emissions!AO854</f>
        <v>2.6765524749999998</v>
      </c>
      <c r="AQ400" s="6">
        <f>[1]Emissions!AP854</f>
        <v>2.7064862710000002</v>
      </c>
      <c r="AR400" s="6">
        <f>[1]Emissions!AQ854</f>
        <v>2.736842529</v>
      </c>
      <c r="AS400" s="6">
        <f>[1]Emissions!AR854</f>
        <v>2.7676135770000001</v>
      </c>
      <c r="AT400" s="6">
        <f>[1]Emissions!AS854</f>
        <v>2.7988068369999999</v>
      </c>
      <c r="AU400" s="6">
        <f>[1]Emissions!AT854</f>
        <v>2.8304285810000001</v>
      </c>
      <c r="AV400" s="6">
        <f>[1]Emissions!AU854</f>
        <v>2.862481855</v>
      </c>
      <c r="AW400" s="6">
        <f>[1]Emissions!AV854</f>
        <v>2.8951767589999999</v>
      </c>
      <c r="AX400" s="6">
        <f>[1]Emissions!AW854</f>
        <v>2.9283793020000002</v>
      </c>
      <c r="AY400" s="6">
        <f>[1]Emissions!AX854</f>
        <v>2.9620532270000002</v>
      </c>
      <c r="AZ400" s="6">
        <f>[1]Emissions!AY854</f>
        <v>2.9961830790000001</v>
      </c>
      <c r="BA400" s="6">
        <f>[1]Emissions!AZ854</f>
        <v>3.0307590759999998</v>
      </c>
      <c r="BB400" s="6">
        <f>[1]Emissions!BA854</f>
        <v>3.065860384</v>
      </c>
      <c r="BC400" s="6">
        <f>[1]Emissions!BB854</f>
        <v>3.101424105</v>
      </c>
      <c r="BD400" s="6">
        <f>[1]Emissions!BC854</f>
        <v>3.1374348150000002</v>
      </c>
      <c r="BE400" s="6">
        <f>[1]Emissions!BD854</f>
        <v>3.1738882460000002</v>
      </c>
      <c r="BF400" s="6">
        <f>[1]Emissions!BE854</f>
        <v>3.2107841110000002</v>
      </c>
    </row>
    <row r="401" spans="2:58" x14ac:dyDescent="0.35">
      <c r="B401" s="6" t="str">
        <f>[1]Emissions!A856</f>
        <v>ems_ci_co2_sroa_2</v>
      </c>
      <c r="C401" s="6">
        <f>[1]Emissions!B856</f>
        <v>17.331792620000002</v>
      </c>
      <c r="D401" s="6">
        <f>[1]Emissions!C856</f>
        <v>17.21258589</v>
      </c>
      <c r="E401" s="6">
        <f>[1]Emissions!D856</f>
        <v>17.291765819999998</v>
      </c>
      <c r="F401" s="6">
        <f>[1]Emissions!E856</f>
        <v>17.429186349999998</v>
      </c>
      <c r="G401" s="6">
        <f>[1]Emissions!F856</f>
        <v>17.597569320000002</v>
      </c>
      <c r="H401" s="6">
        <f>[1]Emissions!G856</f>
        <v>17.789753650000002</v>
      </c>
      <c r="I401" s="6">
        <f>[1]Emissions!H856</f>
        <v>17.99235367</v>
      </c>
      <c r="J401" s="6">
        <f>[1]Emissions!I856</f>
        <v>18.20742959</v>
      </c>
      <c r="K401" s="6">
        <f>[1]Emissions!J856</f>
        <v>18.43375296</v>
      </c>
      <c r="L401" s="6">
        <f>[1]Emissions!K856</f>
        <v>18.669466960000001</v>
      </c>
      <c r="M401" s="6">
        <f>[1]Emissions!L856</f>
        <v>18.928875659999999</v>
      </c>
      <c r="N401" s="6">
        <f>[1]Emissions!M856</f>
        <v>19.184156430000002</v>
      </c>
      <c r="O401" s="6">
        <f>[1]Emissions!N856</f>
        <v>19.440864879999999</v>
      </c>
      <c r="P401" s="6">
        <f>[1]Emissions!O856</f>
        <v>19.699665419999999</v>
      </c>
      <c r="Q401" s="6">
        <f>[1]Emissions!P856</f>
        <v>19.96030038</v>
      </c>
      <c r="R401" s="6">
        <f>[1]Emissions!Q856</f>
        <v>20.222503589999999</v>
      </c>
      <c r="S401" s="6">
        <f>[1]Emissions!R856</f>
        <v>20.484865849999998</v>
      </c>
      <c r="T401" s="6">
        <f>[1]Emissions!S856</f>
        <v>20.748319110000001</v>
      </c>
      <c r="U401" s="6">
        <f>[1]Emissions!T856</f>
        <v>21.013194410000001</v>
      </c>
      <c r="V401" s="6">
        <f>[1]Emissions!U856</f>
        <v>21.279743119999999</v>
      </c>
      <c r="W401" s="6">
        <f>[1]Emissions!V856</f>
        <v>21.536409949999999</v>
      </c>
      <c r="X401" s="6">
        <f>[1]Emissions!W856</f>
        <v>21.801772960000001</v>
      </c>
      <c r="Y401" s="6">
        <f>[1]Emissions!X856</f>
        <v>22.07170765</v>
      </c>
      <c r="Z401" s="6">
        <f>[1]Emissions!Y856</f>
        <v>22.345393529999999</v>
      </c>
      <c r="AA401" s="6">
        <f>[1]Emissions!Z856</f>
        <v>22.622770930000001</v>
      </c>
      <c r="AB401" s="6">
        <f>[1]Emissions!AA856</f>
        <v>22.870112979999998</v>
      </c>
      <c r="AC401" s="6">
        <f>[1]Emissions!AB856</f>
        <v>23.124401290000002</v>
      </c>
      <c r="AD401" s="6">
        <f>[1]Emissions!AC856</f>
        <v>23.381437309999999</v>
      </c>
      <c r="AE401" s="6">
        <f>[1]Emissions!AD856</f>
        <v>23.640946039999999</v>
      </c>
      <c r="AF401" s="6">
        <f>[1]Emissions!AE856</f>
        <v>23.903477670000001</v>
      </c>
      <c r="AG401" s="6">
        <f>[1]Emissions!AF856</f>
        <v>24.169625289999999</v>
      </c>
      <c r="AH401" s="6">
        <f>[1]Emissions!AG856</f>
        <v>24.440140530000001</v>
      </c>
      <c r="AI401" s="6">
        <f>[1]Emissions!AH856</f>
        <v>24.715141030000002</v>
      </c>
      <c r="AJ401" s="6">
        <f>[1]Emissions!AI856</f>
        <v>24.994773769999998</v>
      </c>
      <c r="AK401" s="6">
        <f>[1]Emissions!AJ856</f>
        <v>25.279122919999999</v>
      </c>
      <c r="AL401" s="6">
        <f>[1]Emissions!AK856</f>
        <v>25.56821519</v>
      </c>
      <c r="AM401" s="6">
        <f>[1]Emissions!AL856</f>
        <v>25.856509500000001</v>
      </c>
      <c r="AN401" s="6">
        <f>[1]Emissions!AM856</f>
        <v>26.14653466</v>
      </c>
      <c r="AO401" s="6">
        <f>[1]Emissions!AN856</f>
        <v>26.439235700000001</v>
      </c>
      <c r="AP401" s="6">
        <f>[1]Emissions!AO856</f>
        <v>26.735105669999999</v>
      </c>
      <c r="AQ401" s="6">
        <f>[1]Emissions!AP856</f>
        <v>27.034494169999999</v>
      </c>
      <c r="AR401" s="6">
        <f>[1]Emissions!AQ856</f>
        <v>27.338076520000001</v>
      </c>
      <c r="AS401" s="6">
        <f>[1]Emissions!AR856</f>
        <v>27.645777769999999</v>
      </c>
      <c r="AT401" s="6">
        <f>[1]Emissions!AS856</f>
        <v>27.957674149999999</v>
      </c>
      <c r="AU401" s="6">
        <f>[1]Emissions!AT856</f>
        <v>28.273830870000001</v>
      </c>
      <c r="AV401" s="6">
        <f>[1]Emissions!AU856</f>
        <v>28.594281169999999</v>
      </c>
      <c r="AW401" s="6">
        <f>[1]Emissions!AV856</f>
        <v>28.92112388</v>
      </c>
      <c r="AX401" s="6">
        <f>[1]Emissions!AW856</f>
        <v>29.253019179999999</v>
      </c>
      <c r="AY401" s="6">
        <f>[1]Emissions!AX856</f>
        <v>29.589605519999999</v>
      </c>
      <c r="AZ401" s="6">
        <f>[1]Emissions!AY856</f>
        <v>29.93073141</v>
      </c>
      <c r="BA401" s="6">
        <f>[1]Emissions!AZ856</f>
        <v>30.276303460000001</v>
      </c>
      <c r="BB401" s="6">
        <f>[1]Emissions!BA856</f>
        <v>30.62711637</v>
      </c>
      <c r="BC401" s="6">
        <f>[1]Emissions!BB856</f>
        <v>30.98254421</v>
      </c>
      <c r="BD401" s="6">
        <f>[1]Emissions!BC856</f>
        <v>31.342435600000002</v>
      </c>
      <c r="BE401" s="6">
        <f>[1]Emissions!BD856</f>
        <v>31.706751100000002</v>
      </c>
      <c r="BF401" s="6">
        <f>[1]Emissions!BE856</f>
        <v>32.07549118</v>
      </c>
    </row>
    <row r="402" spans="2:58" x14ac:dyDescent="0.35">
      <c r="B402" s="6" t="str">
        <f>[1]Emissions!A858</f>
        <v>ems_ci_co2_swat_2</v>
      </c>
      <c r="C402" s="6">
        <f>[1]Emissions!B858</f>
        <v>3.8254166060000001</v>
      </c>
      <c r="D402" s="6">
        <f>[1]Emissions!C858</f>
        <v>3.6680093239999998</v>
      </c>
      <c r="E402" s="6">
        <f>[1]Emissions!D858</f>
        <v>3.6971157730000002</v>
      </c>
      <c r="F402" s="6">
        <f>[1]Emissions!E858</f>
        <v>3.7494659989999999</v>
      </c>
      <c r="G402" s="6">
        <f>[1]Emissions!F858</f>
        <v>3.8064360310000001</v>
      </c>
      <c r="H402" s="6">
        <f>[1]Emissions!G858</f>
        <v>3.8653751189999999</v>
      </c>
      <c r="I402" s="6">
        <f>[1]Emissions!H858</f>
        <v>3.9218121880000001</v>
      </c>
      <c r="J402" s="6">
        <f>[1]Emissions!I858</f>
        <v>3.9783734659999999</v>
      </c>
      <c r="K402" s="6">
        <f>[1]Emissions!J858</f>
        <v>4.0350306170000003</v>
      </c>
      <c r="L402" s="6">
        <f>[1]Emissions!K858</f>
        <v>4.0915608829999996</v>
      </c>
      <c r="M402" s="6">
        <f>[1]Emissions!L858</f>
        <v>4.1536847149999998</v>
      </c>
      <c r="N402" s="6">
        <f>[1]Emissions!M858</f>
        <v>4.2092590999999997</v>
      </c>
      <c r="O402" s="6">
        <f>[1]Emissions!N858</f>
        <v>4.2637352999999996</v>
      </c>
      <c r="P402" s="6">
        <f>[1]Emissions!O858</f>
        <v>4.3177668819999999</v>
      </c>
      <c r="Q402" s="6">
        <f>[1]Emissions!P858</f>
        <v>4.3714735940000002</v>
      </c>
      <c r="R402" s="6">
        <f>[1]Emissions!Q858</f>
        <v>4.4249368889999996</v>
      </c>
      <c r="S402" s="6">
        <f>[1]Emissions!R858</f>
        <v>4.4773337570000002</v>
      </c>
      <c r="T402" s="6">
        <f>[1]Emissions!S858</f>
        <v>4.5296296229999999</v>
      </c>
      <c r="U402" s="6">
        <f>[1]Emissions!T858</f>
        <v>4.5820508679999996</v>
      </c>
      <c r="V402" s="6">
        <f>[1]Emissions!U858</f>
        <v>4.6347435460000002</v>
      </c>
      <c r="W402" s="6">
        <f>[1]Emissions!V858</f>
        <v>4.6836048359999998</v>
      </c>
      <c r="X402" s="6">
        <f>[1]Emissions!W858</f>
        <v>4.7368566830000001</v>
      </c>
      <c r="Y402" s="6">
        <f>[1]Emissions!X858</f>
        <v>4.7912379410000003</v>
      </c>
      <c r="Z402" s="6">
        <f>[1]Emissions!Y858</f>
        <v>4.8464722980000001</v>
      </c>
      <c r="AA402" s="6">
        <f>[1]Emissions!Z858</f>
        <v>4.9026220809999996</v>
      </c>
      <c r="AB402" s="6">
        <f>[1]Emissions!AA858</f>
        <v>4.9477256460000003</v>
      </c>
      <c r="AC402" s="6">
        <f>[1]Emissions!AB858</f>
        <v>4.9994796859999999</v>
      </c>
      <c r="AD402" s="6">
        <f>[1]Emissions!AC858</f>
        <v>5.053067424</v>
      </c>
      <c r="AE402" s="6">
        <f>[1]Emissions!AD858</f>
        <v>5.1079876119999996</v>
      </c>
      <c r="AF402" s="6">
        <f>[1]Emissions!AE858</f>
        <v>5.164228488</v>
      </c>
      <c r="AG402" s="6">
        <f>[1]Emissions!AF858</f>
        <v>5.2218213450000004</v>
      </c>
      <c r="AH402" s="6">
        <f>[1]Emissions!AG858</f>
        <v>5.2809938570000003</v>
      </c>
      <c r="AI402" s="6">
        <f>[1]Emissions!AH858</f>
        <v>5.3415689569999998</v>
      </c>
      <c r="AJ402" s="6">
        <f>[1]Emissions!AI858</f>
        <v>5.4035230399999996</v>
      </c>
      <c r="AK402" s="6">
        <f>[1]Emissions!AJ858</f>
        <v>5.4668414179999996</v>
      </c>
      <c r="AL402" s="6">
        <f>[1]Emissions!AK858</f>
        <v>5.5315035100000003</v>
      </c>
      <c r="AM402" s="6">
        <f>[1]Emissions!AL858</f>
        <v>5.5964330029999996</v>
      </c>
      <c r="AN402" s="6">
        <f>[1]Emissions!AM858</f>
        <v>5.6624840870000002</v>
      </c>
      <c r="AO402" s="6">
        <f>[1]Emissions!AN858</f>
        <v>5.7297375160000001</v>
      </c>
      <c r="AP402" s="6">
        <f>[1]Emissions!AO858</f>
        <v>5.7981827389999996</v>
      </c>
      <c r="AQ402" s="6">
        <f>[1]Emissions!AP858</f>
        <v>5.8677986820000001</v>
      </c>
      <c r="AR402" s="6">
        <f>[1]Emissions!AQ858</f>
        <v>5.9388519129999997</v>
      </c>
      <c r="AS402" s="6">
        <f>[1]Emissions!AR858</f>
        <v>6.0110614279999997</v>
      </c>
      <c r="AT402" s="6">
        <f>[1]Emissions!AS858</f>
        <v>6.0843784479999998</v>
      </c>
      <c r="AU402" s="6">
        <f>[1]Emissions!AT858</f>
        <v>6.1587825360000004</v>
      </c>
      <c r="AV402" s="6">
        <f>[1]Emissions!AU858</f>
        <v>6.2342579840000001</v>
      </c>
      <c r="AW402" s="6">
        <f>[1]Emissions!AV858</f>
        <v>6.3120231919999998</v>
      </c>
      <c r="AX402" s="6">
        <f>[1]Emissions!AW858</f>
        <v>6.3909600759999998</v>
      </c>
      <c r="AY402" s="6">
        <f>[1]Emissions!AX858</f>
        <v>6.4709315949999997</v>
      </c>
      <c r="AZ402" s="6">
        <f>[1]Emissions!AY858</f>
        <v>6.551917295</v>
      </c>
      <c r="BA402" s="6">
        <f>[1]Emissions!AZ858</f>
        <v>6.6339128939999998</v>
      </c>
      <c r="BB402" s="6">
        <f>[1]Emissions!BA858</f>
        <v>6.7175305659999998</v>
      </c>
      <c r="BC402" s="6">
        <f>[1]Emissions!BB858</f>
        <v>6.8022245300000002</v>
      </c>
      <c r="BD402" s="6">
        <f>[1]Emissions!BC858</f>
        <v>6.8879393589999998</v>
      </c>
      <c r="BE402" s="6">
        <f>[1]Emissions!BD858</f>
        <v>6.9746791359999998</v>
      </c>
      <c r="BF402" s="6">
        <f>[1]Emissions!BE858</f>
        <v>7.0624569910000004</v>
      </c>
    </row>
    <row r="403" spans="2:58" x14ac:dyDescent="0.35">
      <c r="B403" s="6" t="str">
        <f>[1]Emissions!A860</f>
        <v>ems_ci_co2_sair_2</v>
      </c>
      <c r="C403" s="6">
        <f>[1]Emissions!B860</f>
        <v>19.258166930000002</v>
      </c>
      <c r="D403" s="6">
        <f>[1]Emissions!C860</f>
        <v>18.90529789</v>
      </c>
      <c r="E403" s="6">
        <f>[1]Emissions!D860</f>
        <v>19.047095030000001</v>
      </c>
      <c r="F403" s="6">
        <f>[1]Emissions!E860</f>
        <v>19.277872819999999</v>
      </c>
      <c r="G403" s="6">
        <f>[1]Emissions!F860</f>
        <v>19.545201819999999</v>
      </c>
      <c r="H403" s="6">
        <f>[1]Emissions!G860</f>
        <v>19.841027149999999</v>
      </c>
      <c r="I403" s="6">
        <f>[1]Emissions!H860</f>
        <v>20.147068260000001</v>
      </c>
      <c r="J403" s="6">
        <f>[1]Emissions!I860</f>
        <v>20.46965161</v>
      </c>
      <c r="K403" s="6">
        <f>[1]Emissions!J860</f>
        <v>20.8077565</v>
      </c>
      <c r="L403" s="6">
        <f>[1]Emissions!K860</f>
        <v>21.15908679</v>
      </c>
      <c r="M403" s="6">
        <f>[1]Emissions!L860</f>
        <v>21.54688964</v>
      </c>
      <c r="N403" s="6">
        <f>[1]Emissions!M860</f>
        <v>21.925319649999999</v>
      </c>
      <c r="O403" s="6">
        <f>[1]Emissions!N860</f>
        <v>22.306236179999999</v>
      </c>
      <c r="P403" s="6">
        <f>[1]Emissions!O860</f>
        <v>22.69046809</v>
      </c>
      <c r="Q403" s="6">
        <f>[1]Emissions!P860</f>
        <v>23.07757213</v>
      </c>
      <c r="R403" s="6">
        <f>[1]Emissions!Q860</f>
        <v>23.467233190000002</v>
      </c>
      <c r="S403" s="6">
        <f>[1]Emissions!R860</f>
        <v>23.856655279999998</v>
      </c>
      <c r="T403" s="6">
        <f>[1]Emissions!S860</f>
        <v>24.2481829</v>
      </c>
      <c r="U403" s="6">
        <f>[1]Emissions!T860</f>
        <v>24.642456760000002</v>
      </c>
      <c r="V403" s="6">
        <f>[1]Emissions!U860</f>
        <v>25.039962710000001</v>
      </c>
      <c r="W403" s="6">
        <f>[1]Emissions!V860</f>
        <v>25.4219537</v>
      </c>
      <c r="X403" s="6">
        <f>[1]Emissions!W860</f>
        <v>25.819437229999998</v>
      </c>
      <c r="Y403" s="6">
        <f>[1]Emissions!X860</f>
        <v>26.224551129999998</v>
      </c>
      <c r="Z403" s="6">
        <f>[1]Emissions!Y860</f>
        <v>26.636406239999999</v>
      </c>
      <c r="AA403" s="6">
        <f>[1]Emissions!Z860</f>
        <v>27.055129869999998</v>
      </c>
      <c r="AB403" s="6">
        <f>[1]Emissions!AA860</f>
        <v>27.425304740000001</v>
      </c>
      <c r="AC403" s="6">
        <f>[1]Emissions!AB860</f>
        <v>27.80959227</v>
      </c>
      <c r="AD403" s="6">
        <f>[1]Emissions!AC860</f>
        <v>28.198469490000001</v>
      </c>
      <c r="AE403" s="6">
        <f>[1]Emissions!AD860</f>
        <v>28.59193664</v>
      </c>
      <c r="AF403" s="6">
        <f>[1]Emissions!AE860</f>
        <v>28.991210670000001</v>
      </c>
      <c r="AG403" s="6">
        <f>[1]Emissions!AF860</f>
        <v>29.39744584</v>
      </c>
      <c r="AH403" s="6">
        <f>[1]Emissions!AG860</f>
        <v>29.812150760000002</v>
      </c>
      <c r="AI403" s="6">
        <f>[1]Emissions!AH860</f>
        <v>30.235470159999998</v>
      </c>
      <c r="AJ403" s="6">
        <f>[1]Emissions!AI860</f>
        <v>30.66773276</v>
      </c>
      <c r="AK403" s="6">
        <f>[1]Emissions!AJ860</f>
        <v>31.109154920000002</v>
      </c>
      <c r="AL403" s="6">
        <f>[1]Emissions!AK860</f>
        <v>31.559848649999999</v>
      </c>
      <c r="AM403" s="6">
        <f>[1]Emissions!AL860</f>
        <v>32.011809309999997</v>
      </c>
      <c r="AN403" s="6">
        <f>[1]Emissions!AM860</f>
        <v>32.468287230000001</v>
      </c>
      <c r="AO403" s="6">
        <f>[1]Emissions!AN860</f>
        <v>32.93061024</v>
      </c>
      <c r="AP403" s="6">
        <f>[1]Emissions!AO860</f>
        <v>33.399635969999999</v>
      </c>
      <c r="AQ403" s="6">
        <f>[1]Emissions!AP860</f>
        <v>33.876050739999997</v>
      </c>
      <c r="AR403" s="6">
        <f>[1]Emissions!AQ860</f>
        <v>34.361295810000001</v>
      </c>
      <c r="AS403" s="6">
        <f>[1]Emissions!AR860</f>
        <v>34.85514749</v>
      </c>
      <c r="AT403" s="6">
        <f>[1]Emissions!AS860</f>
        <v>35.357824839999999</v>
      </c>
      <c r="AU403" s="6">
        <f>[1]Emissions!AT860</f>
        <v>35.869515509999999</v>
      </c>
      <c r="AV403" s="6">
        <f>[1]Emissions!AU860</f>
        <v>36.390337989999999</v>
      </c>
      <c r="AW403" s="6">
        <f>[1]Emissions!AV860</f>
        <v>36.924588739999997</v>
      </c>
      <c r="AX403" s="6">
        <f>[1]Emissions!AW860</f>
        <v>37.46939897</v>
      </c>
      <c r="AY403" s="6">
        <f>[1]Emissions!AX860</f>
        <v>38.024261060000001</v>
      </c>
      <c r="AZ403" s="6">
        <f>[1]Emissions!AY860</f>
        <v>38.588986179999999</v>
      </c>
      <c r="BA403" s="6">
        <f>[1]Emissions!AZ860</f>
        <v>39.163451989999999</v>
      </c>
      <c r="BB403" s="6">
        <f>[1]Emissions!BA860</f>
        <v>39.749461230000001</v>
      </c>
      <c r="BC403" s="6">
        <f>[1]Emissions!BB860</f>
        <v>40.345583179999998</v>
      </c>
      <c r="BD403" s="6">
        <f>[1]Emissions!BC860</f>
        <v>40.951609019999999</v>
      </c>
      <c r="BE403" s="6">
        <f>[1]Emissions!BD860</f>
        <v>41.567518659999998</v>
      </c>
      <c r="BF403" s="6">
        <f>[1]Emissions!BE860</f>
        <v>42.193350979999998</v>
      </c>
    </row>
    <row r="404" spans="2:58" x14ac:dyDescent="0.35">
      <c r="B404" s="6" t="str">
        <f>[1]Emissions!A862</f>
        <v>ems_ci_co2_spri_2</v>
      </c>
      <c r="C404" s="6">
        <f>[1]Emissions!B862</f>
        <v>31.301746210000001</v>
      </c>
      <c r="D404" s="6">
        <f>[1]Emissions!C862</f>
        <v>31.20499337</v>
      </c>
      <c r="E404" s="6">
        <f>[1]Emissions!D862</f>
        <v>31.305494400000001</v>
      </c>
      <c r="F404" s="6">
        <f>[1]Emissions!E862</f>
        <v>31.495796510000002</v>
      </c>
      <c r="G404" s="6">
        <f>[1]Emissions!F862</f>
        <v>31.762755309999999</v>
      </c>
      <c r="H404" s="6">
        <f>[1]Emissions!G862</f>
        <v>32.106653770000001</v>
      </c>
      <c r="I404" s="6">
        <f>[1]Emissions!H862</f>
        <v>32.506169079999999</v>
      </c>
      <c r="J404" s="6">
        <f>[1]Emissions!I862</f>
        <v>32.960252189999999</v>
      </c>
      <c r="K404" s="6">
        <f>[1]Emissions!J862</f>
        <v>33.462439400000001</v>
      </c>
      <c r="L404" s="6">
        <f>[1]Emissions!K862</f>
        <v>34.005231190000003</v>
      </c>
      <c r="M404" s="6">
        <f>[1]Emissions!L862</f>
        <v>34.612973410000002</v>
      </c>
      <c r="N404" s="6">
        <f>[1]Emissions!M862</f>
        <v>35.23719242</v>
      </c>
      <c r="O404" s="6">
        <f>[1]Emissions!N862</f>
        <v>35.878176410000002</v>
      </c>
      <c r="P404" s="6">
        <f>[1]Emissions!O862</f>
        <v>36.533557299999998</v>
      </c>
      <c r="Q404" s="6">
        <f>[1]Emissions!P862</f>
        <v>37.20054356</v>
      </c>
      <c r="R404" s="6">
        <f>[1]Emissions!Q862</f>
        <v>37.876806799999997</v>
      </c>
      <c r="S404" s="6">
        <f>[1]Emissions!R862</f>
        <v>38.562288629999998</v>
      </c>
      <c r="T404" s="6">
        <f>[1]Emissions!S862</f>
        <v>39.253484370000002</v>
      </c>
      <c r="U404" s="6">
        <f>[1]Emissions!T862</f>
        <v>39.9494939</v>
      </c>
      <c r="V404" s="6">
        <f>[1]Emissions!U862</f>
        <v>40.649975470000001</v>
      </c>
      <c r="W404" s="6">
        <f>[1]Emissions!V862</f>
        <v>41.331115240000003</v>
      </c>
      <c r="X404" s="6">
        <f>[1]Emissions!W862</f>
        <v>42.026013640000002</v>
      </c>
      <c r="Y404" s="6">
        <f>[1]Emissions!X862</f>
        <v>42.729689270000001</v>
      </c>
      <c r="Z404" s="6">
        <f>[1]Emissions!Y862</f>
        <v>43.441192620000002</v>
      </c>
      <c r="AA404" s="6">
        <f>[1]Emissions!Z862</f>
        <v>44.160655689999999</v>
      </c>
      <c r="AB404" s="6">
        <f>[1]Emissions!AA862</f>
        <v>44.819325630000002</v>
      </c>
      <c r="AC404" s="6">
        <f>[1]Emissions!AB862</f>
        <v>45.479396809999997</v>
      </c>
      <c r="AD404" s="6">
        <f>[1]Emissions!AC862</f>
        <v>46.139413689999998</v>
      </c>
      <c r="AE404" s="6">
        <f>[1]Emissions!AD862</f>
        <v>46.800841419999998</v>
      </c>
      <c r="AF404" s="6">
        <f>[1]Emissions!AE862</f>
        <v>47.466017460000003</v>
      </c>
      <c r="AG404" s="6">
        <f>[1]Emissions!AF862</f>
        <v>48.137174330000001</v>
      </c>
      <c r="AH404" s="6">
        <f>[1]Emissions!AG862</f>
        <v>48.815528710000002</v>
      </c>
      <c r="AI404" s="6">
        <f>[1]Emissions!AH862</f>
        <v>49.503334729999999</v>
      </c>
      <c r="AJ404" s="6">
        <f>[1]Emissions!AI862</f>
        <v>50.20180439</v>
      </c>
      <c r="AK404" s="6">
        <f>[1]Emissions!AJ862</f>
        <v>50.911793520000003</v>
      </c>
      <c r="AL404" s="6">
        <f>[1]Emissions!AK862</f>
        <v>51.633918610000002</v>
      </c>
      <c r="AM404" s="6">
        <f>[1]Emissions!AL862</f>
        <v>52.345320780000002</v>
      </c>
      <c r="AN404" s="6">
        <f>[1]Emissions!AM862</f>
        <v>53.059853689999997</v>
      </c>
      <c r="AO404" s="6">
        <f>[1]Emissions!AN862</f>
        <v>53.7808189</v>
      </c>
      <c r="AP404" s="6">
        <f>[1]Emissions!AO862</f>
        <v>54.509752149999997</v>
      </c>
      <c r="AQ404" s="6">
        <f>[1]Emissions!AP862</f>
        <v>55.247743800000002</v>
      </c>
      <c r="AR404" s="6">
        <f>[1]Emissions!AQ862</f>
        <v>55.994519959999998</v>
      </c>
      <c r="AS404" s="6">
        <f>[1]Emissions!AR862</f>
        <v>56.751998800000003</v>
      </c>
      <c r="AT404" s="6">
        <f>[1]Emissions!AS862</f>
        <v>57.52078101</v>
      </c>
      <c r="AU404" s="6">
        <f>[1]Emissions!AT862</f>
        <v>58.301200180000002</v>
      </c>
      <c r="AV404" s="6">
        <f>[1]Emissions!AU862</f>
        <v>59.093455990000002</v>
      </c>
      <c r="AW404" s="6">
        <f>[1]Emissions!AV862</f>
        <v>59.8950362</v>
      </c>
      <c r="AX404" s="6">
        <f>[1]Emissions!AW862</f>
        <v>60.709897089999998</v>
      </c>
      <c r="AY404" s="6">
        <f>[1]Emissions!AX862</f>
        <v>61.538175260000003</v>
      </c>
      <c r="AZ404" s="6">
        <f>[1]Emissions!AY862</f>
        <v>62.379637639999999</v>
      </c>
      <c r="BA404" s="6">
        <f>[1]Emissions!AZ862</f>
        <v>63.234017860000002</v>
      </c>
      <c r="BB404" s="6">
        <f>[1]Emissions!BA862</f>
        <v>64.098313640000001</v>
      </c>
      <c r="BC404" s="6">
        <f>[1]Emissions!BB862</f>
        <v>64.975283790000006</v>
      </c>
      <c r="BD404" s="6">
        <f>[1]Emissions!BC862</f>
        <v>65.865052090000006</v>
      </c>
      <c r="BE404" s="6">
        <f>[1]Emissions!BD862</f>
        <v>66.767518229999993</v>
      </c>
      <c r="BF404" s="6">
        <f>[1]Emissions!BE862</f>
        <v>67.682605649999999</v>
      </c>
    </row>
    <row r="405" spans="2:58" x14ac:dyDescent="0.35">
      <c r="B405" s="6" t="str">
        <f>[1]Emissions!A864</f>
        <v>ems_ci_co2_spub_2</v>
      </c>
      <c r="C405" s="6">
        <f>[1]Emissions!B864</f>
        <v>14.34150472</v>
      </c>
      <c r="D405" s="6">
        <f>[1]Emissions!C864</f>
        <v>14.481514280000001</v>
      </c>
      <c r="E405" s="6">
        <f>[1]Emissions!D864</f>
        <v>14.64016093</v>
      </c>
      <c r="F405" s="6">
        <f>[1]Emissions!E864</f>
        <v>14.805366920000001</v>
      </c>
      <c r="G405" s="6">
        <f>[1]Emissions!F864</f>
        <v>14.982003669999999</v>
      </c>
      <c r="H405" s="6">
        <f>[1]Emissions!G864</f>
        <v>15.17439063</v>
      </c>
      <c r="I405" s="6">
        <f>[1]Emissions!H864</f>
        <v>15.37157242</v>
      </c>
      <c r="J405" s="6">
        <f>[1]Emissions!I864</f>
        <v>15.58260383</v>
      </c>
      <c r="K405" s="6">
        <f>[1]Emissions!J864</f>
        <v>15.80730411</v>
      </c>
      <c r="L405" s="6">
        <f>[1]Emissions!K864</f>
        <v>16.044242529999998</v>
      </c>
      <c r="M405" s="6">
        <f>[1]Emissions!L864</f>
        <v>16.313535999999999</v>
      </c>
      <c r="N405" s="6">
        <f>[1]Emissions!M864</f>
        <v>16.57532621</v>
      </c>
      <c r="O405" s="6">
        <f>[1]Emissions!N864</f>
        <v>16.843128620000002</v>
      </c>
      <c r="P405" s="6">
        <f>[1]Emissions!O864</f>
        <v>17.117726919999999</v>
      </c>
      <c r="Q405" s="6">
        <f>[1]Emissions!P864</f>
        <v>17.39845133</v>
      </c>
      <c r="R405" s="6">
        <f>[1]Emissions!Q864</f>
        <v>17.684587690000001</v>
      </c>
      <c r="S405" s="6">
        <f>[1]Emissions!R864</f>
        <v>17.975321520000001</v>
      </c>
      <c r="T405" s="6">
        <f>[1]Emissions!S864</f>
        <v>18.27020057</v>
      </c>
      <c r="U405" s="6">
        <f>[1]Emissions!T864</f>
        <v>18.568838719999999</v>
      </c>
      <c r="V405" s="6">
        <f>[1]Emissions!U864</f>
        <v>18.870952670000001</v>
      </c>
      <c r="W405" s="6">
        <f>[1]Emissions!V864</f>
        <v>19.160144089999999</v>
      </c>
      <c r="X405" s="6">
        <f>[1]Emissions!W864</f>
        <v>19.465105600000001</v>
      </c>
      <c r="Y405" s="6">
        <f>[1]Emissions!X864</f>
        <v>19.77483836</v>
      </c>
      <c r="Z405" s="6">
        <f>[1]Emissions!Y864</f>
        <v>20.08804825</v>
      </c>
      <c r="AA405" s="6">
        <f>[1]Emissions!Z864</f>
        <v>20.404674750000002</v>
      </c>
      <c r="AB405" s="6">
        <f>[1]Emissions!AA864</f>
        <v>20.677758520000001</v>
      </c>
      <c r="AC405" s="6">
        <f>[1]Emissions!AB864</f>
        <v>20.968769720000001</v>
      </c>
      <c r="AD405" s="6">
        <f>[1]Emissions!AC864</f>
        <v>21.263048730000001</v>
      </c>
      <c r="AE405" s="6">
        <f>[1]Emissions!AD864</f>
        <v>21.55913297</v>
      </c>
      <c r="AF405" s="6">
        <f>[1]Emissions!AE864</f>
        <v>21.8572433</v>
      </c>
      <c r="AG405" s="6">
        <f>[1]Emissions!AF864</f>
        <v>22.157792239999999</v>
      </c>
      <c r="AH405" s="6">
        <f>[1]Emissions!AG864</f>
        <v>22.461225420000002</v>
      </c>
      <c r="AI405" s="6">
        <f>[1]Emissions!AH864</f>
        <v>22.76790213</v>
      </c>
      <c r="AJ405" s="6">
        <f>[1]Emissions!AI864</f>
        <v>23.078153390000001</v>
      </c>
      <c r="AK405" s="6">
        <f>[1]Emissions!AJ864</f>
        <v>23.392270270000001</v>
      </c>
      <c r="AL405" s="6">
        <f>[1]Emissions!AK864</f>
        <v>23.7105034</v>
      </c>
      <c r="AM405" s="6">
        <f>[1]Emissions!AL864</f>
        <v>24.02200341</v>
      </c>
      <c r="AN405" s="6">
        <f>[1]Emissions!AM864</f>
        <v>24.335616730000002</v>
      </c>
      <c r="AO405" s="6">
        <f>[1]Emissions!AN864</f>
        <v>24.652614660000001</v>
      </c>
      <c r="AP405" s="6">
        <f>[1]Emissions!AO864</f>
        <v>24.973318840000001</v>
      </c>
      <c r="AQ405" s="6">
        <f>[1]Emissions!AP864</f>
        <v>25.297922159999999</v>
      </c>
      <c r="AR405" s="6">
        <f>[1]Emissions!AQ864</f>
        <v>25.626642390000001</v>
      </c>
      <c r="AS405" s="6">
        <f>[1]Emissions!AR864</f>
        <v>25.959611519999999</v>
      </c>
      <c r="AT405" s="6">
        <f>[1]Emissions!AS864</f>
        <v>26.296959170000001</v>
      </c>
      <c r="AU405" s="6">
        <f>[1]Emissions!AT864</f>
        <v>26.638796320000001</v>
      </c>
      <c r="AV405" s="6">
        <f>[1]Emissions!AU864</f>
        <v>26.985215369999999</v>
      </c>
      <c r="AW405" s="6">
        <f>[1]Emissions!AV864</f>
        <v>27.337503219999999</v>
      </c>
      <c r="AX405" s="6">
        <f>[1]Emissions!AW864</f>
        <v>27.694892100000001</v>
      </c>
      <c r="AY405" s="6">
        <f>[1]Emissions!AX864</f>
        <v>28.057349689999999</v>
      </c>
      <c r="AZ405" s="6">
        <f>[1]Emissions!AY864</f>
        <v>28.42491145</v>
      </c>
      <c r="BA405" s="6">
        <f>[1]Emissions!AZ864</f>
        <v>28.79760258</v>
      </c>
      <c r="BB405" s="6">
        <f>[1]Emissions!BA864</f>
        <v>29.175546099999998</v>
      </c>
      <c r="BC405" s="6">
        <f>[1]Emissions!BB864</f>
        <v>29.558731359999999</v>
      </c>
      <c r="BD405" s="6">
        <f>[1]Emissions!BC864</f>
        <v>29.94718752</v>
      </c>
      <c r="BE405" s="6">
        <f>[1]Emissions!BD864</f>
        <v>30.340946819999999</v>
      </c>
      <c r="BF405" s="6">
        <f>[1]Emissions!BE864</f>
        <v>30.74004158</v>
      </c>
    </row>
    <row r="406" spans="2:58" x14ac:dyDescent="0.35">
      <c r="B406" s="6" t="str">
        <f>[1]Emissions!A866</f>
        <v>ems_ci_co2_smin_2</v>
      </c>
      <c r="C406" s="6">
        <f>[1]Emissions!B866</f>
        <v>1.0505646259999999</v>
      </c>
      <c r="D406" s="6">
        <f>[1]Emissions!C866</f>
        <v>1.0362059560000001</v>
      </c>
      <c r="E406" s="6">
        <f>[1]Emissions!D866</f>
        <v>1.039066995</v>
      </c>
      <c r="F406" s="6">
        <f>[1]Emissions!E866</f>
        <v>1.047765302</v>
      </c>
      <c r="G406" s="6">
        <f>[1]Emissions!F866</f>
        <v>1.0592691190000001</v>
      </c>
      <c r="H406" s="6">
        <f>[1]Emissions!G866</f>
        <v>1.0726347810000001</v>
      </c>
      <c r="I406" s="6">
        <f>[1]Emissions!H866</f>
        <v>1.0867745470000001</v>
      </c>
      <c r="J406" s="6">
        <f>[1]Emissions!I866</f>
        <v>1.1016946400000001</v>
      </c>
      <c r="K406" s="6">
        <f>[1]Emissions!J866</f>
        <v>1.11726996</v>
      </c>
      <c r="L406" s="6">
        <f>[1]Emissions!K866</f>
        <v>1.133357674</v>
      </c>
      <c r="M406" s="6">
        <f>[1]Emissions!L866</f>
        <v>1.1508676200000001</v>
      </c>
      <c r="N406" s="6">
        <f>[1]Emissions!M866</f>
        <v>1.168007625</v>
      </c>
      <c r="O406" s="6">
        <f>[1]Emissions!N866</f>
        <v>1.185109414</v>
      </c>
      <c r="P406" s="6">
        <f>[1]Emissions!O866</f>
        <v>1.2022448670000001</v>
      </c>
      <c r="Q406" s="6">
        <f>[1]Emissions!P866</f>
        <v>1.2194171359999999</v>
      </c>
      <c r="R406" s="6">
        <f>[1]Emissions!Q866</f>
        <v>1.236624363</v>
      </c>
      <c r="S406" s="6">
        <f>[1]Emissions!R866</f>
        <v>1.253765915</v>
      </c>
      <c r="T406" s="6">
        <f>[1]Emissions!S866</f>
        <v>1.2709357670000001</v>
      </c>
      <c r="U406" s="6">
        <f>[1]Emissions!T866</f>
        <v>1.2881791659999999</v>
      </c>
      <c r="V406" s="6">
        <f>[1]Emissions!U866</f>
        <v>1.305531035</v>
      </c>
      <c r="W406" s="6">
        <f>[1]Emissions!V866</f>
        <v>1.3222656310000001</v>
      </c>
      <c r="X406" s="6">
        <f>[1]Emissions!W866</f>
        <v>1.3395741489999999</v>
      </c>
      <c r="Y406" s="6">
        <f>[1]Emissions!X866</f>
        <v>1.3572411680000001</v>
      </c>
      <c r="Z406" s="6">
        <f>[1]Emissions!Y866</f>
        <v>1.3752154110000001</v>
      </c>
      <c r="AA406" s="6">
        <f>[1]Emissions!Z866</f>
        <v>1.393497534</v>
      </c>
      <c r="AB406" s="6">
        <f>[1]Emissions!AA866</f>
        <v>1.4099298199999999</v>
      </c>
      <c r="AC406" s="6">
        <f>[1]Emissions!AB866</f>
        <v>1.4268449540000001</v>
      </c>
      <c r="AD406" s="6">
        <f>[1]Emissions!AC866</f>
        <v>1.4440497080000001</v>
      </c>
      <c r="AE406" s="6">
        <f>[1]Emissions!AD866</f>
        <v>1.461520218</v>
      </c>
      <c r="AF406" s="6">
        <f>[1]Emissions!AE866</f>
        <v>1.479285792</v>
      </c>
      <c r="AG406" s="6">
        <f>[1]Emissions!AF866</f>
        <v>1.497380599</v>
      </c>
      <c r="AH406" s="6">
        <f>[1]Emissions!AG866</f>
        <v>1.5158549960000001</v>
      </c>
      <c r="AI406" s="6">
        <f>[1]Emissions!AH866</f>
        <v>1.5347086590000001</v>
      </c>
      <c r="AJ406" s="6">
        <f>[1]Emissions!AI866</f>
        <v>1.5539446729999999</v>
      </c>
      <c r="AK406" s="6">
        <f>[1]Emissions!AJ866</f>
        <v>1.5735624159999999</v>
      </c>
      <c r="AL406" s="6">
        <f>[1]Emissions!AK866</f>
        <v>1.5935572549999999</v>
      </c>
      <c r="AM406" s="6">
        <f>[1]Emissions!AL866</f>
        <v>1.613616326</v>
      </c>
      <c r="AN406" s="6">
        <f>[1]Emissions!AM866</f>
        <v>1.6338449859999999</v>
      </c>
      <c r="AO406" s="6">
        <f>[1]Emissions!AN866</f>
        <v>1.654294709</v>
      </c>
      <c r="AP406" s="6">
        <f>[1]Emissions!AO866</f>
        <v>1.674992037</v>
      </c>
      <c r="AQ406" s="6">
        <f>[1]Emissions!AP866</f>
        <v>1.6959540099999999</v>
      </c>
      <c r="AR406" s="6">
        <f>[1]Emissions!AQ866</f>
        <v>1.717226702</v>
      </c>
      <c r="AS406" s="6">
        <f>[1]Emissions!AR866</f>
        <v>1.738795154</v>
      </c>
      <c r="AT406" s="6">
        <f>[1]Emissions!AS866</f>
        <v>1.7606578399999999</v>
      </c>
      <c r="AU406" s="6">
        <f>[1]Emissions!AT866</f>
        <v>1.7828146330000001</v>
      </c>
      <c r="AV406" s="6">
        <f>[1]Emissions!AU866</f>
        <v>1.8052642800000001</v>
      </c>
      <c r="AW406" s="6">
        <f>[1]Emissions!AV866</f>
        <v>1.8281662700000001</v>
      </c>
      <c r="AX406" s="6">
        <f>[1]Emissions!AW866</f>
        <v>1.851415762</v>
      </c>
      <c r="AY406" s="6">
        <f>[1]Emissions!AX866</f>
        <v>1.8749790639999999</v>
      </c>
      <c r="AZ406" s="6">
        <f>[1]Emissions!AY866</f>
        <v>1.8988421900000001</v>
      </c>
      <c r="BA406" s="6">
        <f>[1]Emissions!AZ866</f>
        <v>1.922997211</v>
      </c>
      <c r="BB406" s="6">
        <f>[1]Emissions!BA866</f>
        <v>1.9475115489999999</v>
      </c>
      <c r="BC406" s="6">
        <f>[1]Emissions!BB866</f>
        <v>1.97233372</v>
      </c>
      <c r="BD406" s="6">
        <f>[1]Emissions!BC866</f>
        <v>1.9974497330000001</v>
      </c>
      <c r="BE406" s="6">
        <f>[1]Emissions!BD866</f>
        <v>2.0228564470000001</v>
      </c>
      <c r="BF406" s="6">
        <f>[1]Emissions!BE866</f>
        <v>2.0485545850000002</v>
      </c>
    </row>
    <row r="407" spans="2:58" x14ac:dyDescent="0.35">
      <c r="B407" s="6" t="str">
        <f>[1]Emissions!A868</f>
        <v>ems_ci_co2_soil_2</v>
      </c>
      <c r="C407" s="6">
        <f>[1]Emissions!B868</f>
        <v>16.624690189999999</v>
      </c>
      <c r="D407" s="6">
        <f>[1]Emissions!C868</f>
        <v>16.348668100000001</v>
      </c>
      <c r="E407" s="6">
        <f>[1]Emissions!D868</f>
        <v>16.337373360000001</v>
      </c>
      <c r="F407" s="6">
        <f>[1]Emissions!E868</f>
        <v>16.394483579999999</v>
      </c>
      <c r="G407" s="6">
        <f>[1]Emissions!F868</f>
        <v>16.485784519999999</v>
      </c>
      <c r="H407" s="6">
        <f>[1]Emissions!G868</f>
        <v>16.603842</v>
      </c>
      <c r="I407" s="6">
        <f>[1]Emissions!H868</f>
        <v>16.735372229999999</v>
      </c>
      <c r="J407" s="6">
        <f>[1]Emissions!I868</f>
        <v>16.881896950000002</v>
      </c>
      <c r="K407" s="6">
        <f>[1]Emissions!J868</f>
        <v>17.041439960000002</v>
      </c>
      <c r="L407" s="6">
        <f>[1]Emissions!K868</f>
        <v>17.211571129999999</v>
      </c>
      <c r="M407" s="6">
        <f>[1]Emissions!L868</f>
        <v>17.404487629999998</v>
      </c>
      <c r="N407" s="6">
        <f>[1]Emissions!M868</f>
        <v>17.593576850000002</v>
      </c>
      <c r="O407" s="6">
        <f>[1]Emissions!N868</f>
        <v>17.785210240000001</v>
      </c>
      <c r="P407" s="6">
        <f>[1]Emissions!O868</f>
        <v>17.980136860000002</v>
      </c>
      <c r="Q407" s="6">
        <f>[1]Emissions!P868</f>
        <v>18.177977819999999</v>
      </c>
      <c r="R407" s="6">
        <f>[1]Emissions!Q868</f>
        <v>18.378266750000002</v>
      </c>
      <c r="S407" s="6">
        <f>[1]Emissions!R868</f>
        <v>18.57894851</v>
      </c>
      <c r="T407" s="6">
        <f>[1]Emissions!S868</f>
        <v>18.781132840000001</v>
      </c>
      <c r="U407" s="6">
        <f>[1]Emissions!T868</f>
        <v>18.985012569999999</v>
      </c>
      <c r="V407" s="6">
        <f>[1]Emissions!U868</f>
        <v>19.19063989</v>
      </c>
      <c r="W407" s="6">
        <f>[1]Emissions!V868</f>
        <v>19.38769418</v>
      </c>
      <c r="X407" s="6">
        <f>[1]Emissions!W868</f>
        <v>19.593082339999999</v>
      </c>
      <c r="Y407" s="6">
        <f>[1]Emissions!X868</f>
        <v>19.802235889999999</v>
      </c>
      <c r="Z407" s="6">
        <f>[1]Emissions!Y868</f>
        <v>20.014184319999998</v>
      </c>
      <c r="AA407" s="6">
        <f>[1]Emissions!Z868</f>
        <v>20.228807209999999</v>
      </c>
      <c r="AB407" s="6">
        <f>[1]Emissions!AA868</f>
        <v>20.416562840000001</v>
      </c>
      <c r="AC407" s="6">
        <f>[1]Emissions!AB868</f>
        <v>20.612081679999999</v>
      </c>
      <c r="AD407" s="6">
        <f>[1]Emissions!AC868</f>
        <v>20.810090110000001</v>
      </c>
      <c r="AE407" s="6">
        <f>[1]Emissions!AD868</f>
        <v>21.00976481</v>
      </c>
      <c r="AF407" s="6">
        <f>[1]Emissions!AE868</f>
        <v>21.211321829999999</v>
      </c>
      <c r="AG407" s="6">
        <f>[1]Emissions!AF868</f>
        <v>21.41512504</v>
      </c>
      <c r="AH407" s="6">
        <f>[1]Emissions!AG868</f>
        <v>21.621885240000001</v>
      </c>
      <c r="AI407" s="6">
        <f>[1]Emissions!AH868</f>
        <v>21.831579380000001</v>
      </c>
      <c r="AJ407" s="6">
        <f>[1]Emissions!AI868</f>
        <v>22.044337649999999</v>
      </c>
      <c r="AK407" s="6">
        <f>[1]Emissions!AJ868</f>
        <v>22.26027693</v>
      </c>
      <c r="AL407" s="6">
        <f>[1]Emissions!AK868</f>
        <v>22.479476470000002</v>
      </c>
      <c r="AM407" s="6">
        <f>[1]Emissions!AL868</f>
        <v>22.69831928</v>
      </c>
      <c r="AN407" s="6">
        <f>[1]Emissions!AM868</f>
        <v>22.918561440000001</v>
      </c>
      <c r="AO407" s="6">
        <f>[1]Emissions!AN868</f>
        <v>23.1408214</v>
      </c>
      <c r="AP407" s="6">
        <f>[1]Emissions!AO868</f>
        <v>23.365397959999999</v>
      </c>
      <c r="AQ407" s="6">
        <f>[1]Emissions!AP868</f>
        <v>23.592500380000001</v>
      </c>
      <c r="AR407" s="6">
        <f>[1]Emissions!AQ868</f>
        <v>23.822825949999999</v>
      </c>
      <c r="AS407" s="6">
        <f>[1]Emissions!AR868</f>
        <v>24.05611656</v>
      </c>
      <c r="AT407" s="6">
        <f>[1]Emissions!AS868</f>
        <v>24.292389369999999</v>
      </c>
      <c r="AU407" s="6">
        <f>[1]Emissions!AT868</f>
        <v>24.531695070000001</v>
      </c>
      <c r="AV407" s="6">
        <f>[1]Emissions!AU868</f>
        <v>24.774071280000001</v>
      </c>
      <c r="AW407" s="6">
        <f>[1]Emissions!AV868</f>
        <v>25.021941389999999</v>
      </c>
      <c r="AX407" s="6">
        <f>[1]Emissions!AW868</f>
        <v>25.273617120000001</v>
      </c>
      <c r="AY407" s="6">
        <f>[1]Emissions!AX868</f>
        <v>25.528711390000002</v>
      </c>
      <c r="AZ407" s="6">
        <f>[1]Emissions!AY868</f>
        <v>25.78711114</v>
      </c>
      <c r="BA407" s="6">
        <f>[1]Emissions!AZ868</f>
        <v>26.048759780000001</v>
      </c>
      <c r="BB407" s="6">
        <f>[1]Emissions!BA868</f>
        <v>26.314724959999999</v>
      </c>
      <c r="BC407" s="6">
        <f>[1]Emissions!BB868</f>
        <v>26.584159629999998</v>
      </c>
      <c r="BD407" s="6">
        <f>[1]Emissions!BC868</f>
        <v>26.856871389999998</v>
      </c>
      <c r="BE407" s="6">
        <f>[1]Emissions!BD868</f>
        <v>27.132811400000001</v>
      </c>
      <c r="BF407" s="6">
        <f>[1]Emissions!BE868</f>
        <v>27.411966929999998</v>
      </c>
    </row>
    <row r="408" spans="2:58" x14ac:dyDescent="0.35">
      <c r="B408" s="6" t="str">
        <f>[1]Emissions!A870</f>
        <v>ems_ci_co2_sbfu_2</v>
      </c>
      <c r="C408" s="6">
        <f>[1]Emissions!B870</f>
        <v>3.8727373809999999</v>
      </c>
      <c r="D408" s="6">
        <f>[1]Emissions!C870</f>
        <v>3.810510641</v>
      </c>
      <c r="E408" s="6">
        <f>[1]Emissions!D870</f>
        <v>3.8026193579999998</v>
      </c>
      <c r="F408" s="6">
        <f>[1]Emissions!E870</f>
        <v>3.8087779020000001</v>
      </c>
      <c r="G408" s="6">
        <f>[1]Emissions!F870</f>
        <v>3.823695039</v>
      </c>
      <c r="H408" s="6">
        <f>[1]Emissions!G870</f>
        <v>3.8460622440000001</v>
      </c>
      <c r="I408" s="6">
        <f>[1]Emissions!H870</f>
        <v>3.872924705</v>
      </c>
      <c r="J408" s="6">
        <f>[1]Emissions!I870</f>
        <v>3.9041744899999999</v>
      </c>
      <c r="K408" s="6">
        <f>[1]Emissions!J870</f>
        <v>3.9390244060000001</v>
      </c>
      <c r="L408" s="6">
        <f>[1]Emissions!K870</f>
        <v>3.976734333</v>
      </c>
      <c r="M408" s="6">
        <f>[1]Emissions!L870</f>
        <v>4.0196122570000004</v>
      </c>
      <c r="N408" s="6">
        <f>[1]Emissions!M870</f>
        <v>4.0622082410000004</v>
      </c>
      <c r="O408" s="6">
        <f>[1]Emissions!N870</f>
        <v>4.1057933760000003</v>
      </c>
      <c r="P408" s="6">
        <f>[1]Emissions!O870</f>
        <v>4.1503842879999997</v>
      </c>
      <c r="Q408" s="6">
        <f>[1]Emissions!P870</f>
        <v>4.1958204119999998</v>
      </c>
      <c r="R408" s="6">
        <f>[1]Emissions!Q870</f>
        <v>4.2419538750000001</v>
      </c>
      <c r="S408" s="6">
        <f>[1]Emissions!R870</f>
        <v>4.288336814</v>
      </c>
      <c r="T408" s="6">
        <f>[1]Emissions!S870</f>
        <v>4.335153805</v>
      </c>
      <c r="U408" s="6">
        <f>[1]Emissions!T870</f>
        <v>4.3823962390000002</v>
      </c>
      <c r="V408" s="6">
        <f>[1]Emissions!U870</f>
        <v>4.4300387109999999</v>
      </c>
      <c r="W408" s="6">
        <f>[1]Emissions!V870</f>
        <v>4.4759595140000004</v>
      </c>
      <c r="X408" s="6">
        <f>[1]Emissions!W870</f>
        <v>4.5235444459999998</v>
      </c>
      <c r="Y408" s="6">
        <f>[1]Emissions!X870</f>
        <v>4.571806993</v>
      </c>
      <c r="Z408" s="6">
        <f>[1]Emissions!Y870</f>
        <v>4.6205768620000001</v>
      </c>
      <c r="AA408" s="6">
        <f>[1]Emissions!Z870</f>
        <v>4.6698351919999999</v>
      </c>
      <c r="AB408" s="6">
        <f>[1]Emissions!AA870</f>
        <v>4.713577774</v>
      </c>
      <c r="AC408" s="6">
        <f>[1]Emissions!AB870</f>
        <v>4.7587764659999996</v>
      </c>
      <c r="AD408" s="6">
        <f>[1]Emissions!AC870</f>
        <v>4.8042216519999998</v>
      </c>
      <c r="AE408" s="6">
        <f>[1]Emissions!AD870</f>
        <v>4.8497947049999999</v>
      </c>
      <c r="AF408" s="6">
        <f>[1]Emissions!AE870</f>
        <v>4.8955755769999998</v>
      </c>
      <c r="AG408" s="6">
        <f>[1]Emissions!AF870</f>
        <v>4.9416664780000001</v>
      </c>
      <c r="AH408" s="6">
        <f>[1]Emissions!AG870</f>
        <v>4.9882306759999997</v>
      </c>
      <c r="AI408" s="6">
        <f>[1]Emissions!AH870</f>
        <v>5.0352823349999998</v>
      </c>
      <c r="AJ408" s="6">
        <f>[1]Emissions!AI870</f>
        <v>5.082865934</v>
      </c>
      <c r="AK408" s="6">
        <f>[1]Emissions!AJ870</f>
        <v>5.1310191520000004</v>
      </c>
      <c r="AL408" s="6">
        <f>[1]Emissions!AK870</f>
        <v>5.1797695670000001</v>
      </c>
      <c r="AM408" s="6">
        <f>[1]Emissions!AL870</f>
        <v>5.228357334</v>
      </c>
      <c r="AN408" s="6">
        <f>[1]Emissions!AM870</f>
        <v>5.277148532</v>
      </c>
      <c r="AO408" s="6">
        <f>[1]Emissions!AN870</f>
        <v>5.3262677920000003</v>
      </c>
      <c r="AP408" s="6">
        <f>[1]Emissions!AO870</f>
        <v>5.3757839330000001</v>
      </c>
      <c r="AQ408" s="6">
        <f>[1]Emissions!AP870</f>
        <v>5.42575129</v>
      </c>
      <c r="AR408" s="6">
        <f>[1]Emissions!AQ870</f>
        <v>5.4763185229999998</v>
      </c>
      <c r="AS408" s="6">
        <f>[1]Emissions!AR870</f>
        <v>5.5274457159999999</v>
      </c>
      <c r="AT408" s="6">
        <f>[1]Emissions!AS870</f>
        <v>5.5791501349999999</v>
      </c>
      <c r="AU408" s="6">
        <f>[1]Emissions!AT870</f>
        <v>5.6314512839999997</v>
      </c>
      <c r="AV408" s="6">
        <f>[1]Emissions!AU870</f>
        <v>5.6843630029999996</v>
      </c>
      <c r="AW408" s="6">
        <f>[1]Emissions!AV870</f>
        <v>5.7383638259999996</v>
      </c>
      <c r="AX408" s="6">
        <f>[1]Emissions!AW870</f>
        <v>5.7931179879999997</v>
      </c>
      <c r="AY408" s="6">
        <f>[1]Emissions!AX870</f>
        <v>5.8485651069999998</v>
      </c>
      <c r="AZ408" s="6">
        <f>[1]Emissions!AY870</f>
        <v>5.9046880919999998</v>
      </c>
      <c r="BA408" s="6">
        <f>[1]Emissions!AZ870</f>
        <v>5.9614756059999996</v>
      </c>
      <c r="BB408" s="6">
        <f>[1]Emissions!BA870</f>
        <v>6.0191308389999998</v>
      </c>
      <c r="BC408" s="6">
        <f>[1]Emissions!BB870</f>
        <v>6.077481079</v>
      </c>
      <c r="BD408" s="6">
        <f>[1]Emissions!BC870</f>
        <v>6.1364919589999998</v>
      </c>
      <c r="BE408" s="6">
        <f>[1]Emissions!BD870</f>
        <v>6.1961523229999997</v>
      </c>
      <c r="BF408" s="6">
        <f>[1]Emissions!BE870</f>
        <v>6.2564557240000003</v>
      </c>
    </row>
    <row r="409" spans="2:58" x14ac:dyDescent="0.35">
      <c r="B409" s="6" t="str">
        <f>[1]Emissions!A872</f>
        <v>ems_ci_co2_seoi_2</v>
      </c>
      <c r="C409" s="6">
        <f>[1]Emissions!B872</f>
        <v>3.0489059319999998</v>
      </c>
      <c r="D409" s="6">
        <f>[1]Emissions!C872</f>
        <v>3.0302503490000001</v>
      </c>
      <c r="E409" s="6">
        <f>[1]Emissions!D872</f>
        <v>3.029153553</v>
      </c>
      <c r="F409" s="6">
        <f>[1]Emissions!E872</f>
        <v>3.03518402</v>
      </c>
      <c r="G409" s="6">
        <f>[1]Emissions!F872</f>
        <v>3.0463501900000001</v>
      </c>
      <c r="H409" s="6">
        <f>[1]Emissions!G872</f>
        <v>3.0622400679999999</v>
      </c>
      <c r="I409" s="6">
        <f>[1]Emissions!H872</f>
        <v>3.0807650230000001</v>
      </c>
      <c r="J409" s="6">
        <f>[1]Emissions!I872</f>
        <v>3.101915784</v>
      </c>
      <c r="K409" s="6">
        <f>[1]Emissions!J872</f>
        <v>3.1253143300000001</v>
      </c>
      <c r="L409" s="6">
        <f>[1]Emissions!K872</f>
        <v>3.1504058650000002</v>
      </c>
      <c r="M409" s="6">
        <f>[1]Emissions!L872</f>
        <v>3.1790300309999999</v>
      </c>
      <c r="N409" s="6">
        <f>[1]Emissions!M872</f>
        <v>3.2070454979999998</v>
      </c>
      <c r="O409" s="6">
        <f>[1]Emissions!N872</f>
        <v>3.2348805079999998</v>
      </c>
      <c r="P409" s="6">
        <f>[1]Emissions!O872</f>
        <v>3.2626604119999998</v>
      </c>
      <c r="Q409" s="6">
        <f>[1]Emissions!P872</f>
        <v>3.290368006</v>
      </c>
      <c r="R409" s="6">
        <f>[1]Emissions!Q872</f>
        <v>3.3179704779999999</v>
      </c>
      <c r="S409" s="6">
        <f>[1]Emissions!R872</f>
        <v>3.3452464110000002</v>
      </c>
      <c r="T409" s="6">
        <f>[1]Emissions!S872</f>
        <v>3.3723196409999998</v>
      </c>
      <c r="U409" s="6">
        <f>[1]Emissions!T872</f>
        <v>3.39928323</v>
      </c>
      <c r="V409" s="6">
        <f>[1]Emissions!U872</f>
        <v>3.426220072</v>
      </c>
      <c r="W409" s="6">
        <f>[1]Emissions!V872</f>
        <v>3.4515115170000001</v>
      </c>
      <c r="X409" s="6">
        <f>[1]Emissions!W872</f>
        <v>3.4777969469999999</v>
      </c>
      <c r="Y409" s="6">
        <f>[1]Emissions!X872</f>
        <v>3.5047045589999999</v>
      </c>
      <c r="Z409" s="6">
        <f>[1]Emissions!Y872</f>
        <v>3.5321066280000002</v>
      </c>
      <c r="AA409" s="6">
        <f>[1]Emissions!Z872</f>
        <v>3.5600051860000002</v>
      </c>
      <c r="AB409" s="6">
        <f>[1]Emissions!AA872</f>
        <v>3.583612225</v>
      </c>
      <c r="AC409" s="6">
        <f>[1]Emissions!AB872</f>
        <v>3.6080080959999998</v>
      </c>
      <c r="AD409" s="6">
        <f>[1]Emissions!AC872</f>
        <v>3.6330234940000001</v>
      </c>
      <c r="AE409" s="6">
        <f>[1]Emissions!AD872</f>
        <v>3.6586069640000001</v>
      </c>
      <c r="AF409" s="6">
        <f>[1]Emissions!AE872</f>
        <v>3.684815666</v>
      </c>
      <c r="AG409" s="6">
        <f>[1]Emissions!AF872</f>
        <v>3.7117269739999998</v>
      </c>
      <c r="AH409" s="6">
        <f>[1]Emissions!AG872</f>
        <v>3.7394494850000002</v>
      </c>
      <c r="AI409" s="6">
        <f>[1]Emissions!AH872</f>
        <v>3.7680114969999998</v>
      </c>
      <c r="AJ409" s="6">
        <f>[1]Emissions!AI872</f>
        <v>3.7974318870000001</v>
      </c>
      <c r="AK409" s="6">
        <f>[1]Emissions!AJ872</f>
        <v>3.8277190110000001</v>
      </c>
      <c r="AL409" s="6">
        <f>[1]Emissions!AK872</f>
        <v>3.8588714639999999</v>
      </c>
      <c r="AM409" s="6">
        <f>[1]Emissions!AL872</f>
        <v>3.890107472</v>
      </c>
      <c r="AN409" s="6">
        <f>[1]Emissions!AM872</f>
        <v>3.9218006230000002</v>
      </c>
      <c r="AO409" s="6">
        <f>[1]Emissions!AN872</f>
        <v>3.9540970739999999</v>
      </c>
      <c r="AP409" s="6">
        <f>[1]Emissions!AO872</f>
        <v>3.9870490630000002</v>
      </c>
      <c r="AQ409" s="6">
        <f>[1]Emissions!AP872</f>
        <v>4.0206806840000002</v>
      </c>
      <c r="AR409" s="6">
        <f>[1]Emissions!AQ872</f>
        <v>4.0550607589999998</v>
      </c>
      <c r="AS409" s="6">
        <f>[1]Emissions!AR872</f>
        <v>4.0901740870000003</v>
      </c>
      <c r="AT409" s="6">
        <f>[1]Emissions!AS872</f>
        <v>4.1260104149999997</v>
      </c>
      <c r="AU409" s="6">
        <f>[1]Emissions!AT872</f>
        <v>4.1625614019999997</v>
      </c>
      <c r="AV409" s="6">
        <f>[1]Emissions!AU872</f>
        <v>4.1998186090000003</v>
      </c>
      <c r="AW409" s="6">
        <f>[1]Emissions!AV872</f>
        <v>4.2380518550000001</v>
      </c>
      <c r="AX409" s="6">
        <f>[1]Emissions!AW872</f>
        <v>4.2771318049999998</v>
      </c>
      <c r="AY409" s="6">
        <f>[1]Emissions!AX872</f>
        <v>4.3169849009999997</v>
      </c>
      <c r="AZ409" s="6">
        <f>[1]Emissions!AY872</f>
        <v>4.3575689320000004</v>
      </c>
      <c r="BA409" s="6">
        <f>[1]Emissions!AZ872</f>
        <v>4.3988572670000003</v>
      </c>
      <c r="BB409" s="6">
        <f>[1]Emissions!BA872</f>
        <v>4.4409397320000004</v>
      </c>
      <c r="BC409" s="6">
        <f>[1]Emissions!BB872</f>
        <v>4.4837651090000001</v>
      </c>
      <c r="BD409" s="6">
        <f>[1]Emissions!BC872</f>
        <v>4.5273041469999997</v>
      </c>
      <c r="BE409" s="6">
        <f>[1]Emissions!BD872</f>
        <v>4.571543052</v>
      </c>
      <c r="BF409" s="6">
        <f>[1]Emissions!BE872</f>
        <v>4.616477894</v>
      </c>
    </row>
    <row r="410" spans="2:58" x14ac:dyDescent="0.35">
      <c r="B410" s="6" t="str">
        <f>[1]Emissions!A874</f>
        <v>ems_ci_co2_sega_2</v>
      </c>
      <c r="C410" s="6">
        <f>[1]Emissions!B874</f>
        <v>3.6073908229999998</v>
      </c>
      <c r="D410" s="6">
        <f>[1]Emissions!C874</f>
        <v>3.5853184759999999</v>
      </c>
      <c r="E410" s="6">
        <f>[1]Emissions!D874</f>
        <v>3.584021452</v>
      </c>
      <c r="F410" s="6">
        <f>[1]Emissions!E874</f>
        <v>3.5911572180000002</v>
      </c>
      <c r="G410" s="6">
        <f>[1]Emissions!F874</f>
        <v>3.6043692699999998</v>
      </c>
      <c r="H410" s="6">
        <f>[1]Emissions!G874</f>
        <v>3.6231700610000002</v>
      </c>
      <c r="I410" s="6">
        <f>[1]Emissions!H874</f>
        <v>3.6450883479999998</v>
      </c>
      <c r="J410" s="6">
        <f>[1]Emissions!I874</f>
        <v>3.6701131779999998</v>
      </c>
      <c r="K410" s="6">
        <f>[1]Emissions!J874</f>
        <v>3.697797322</v>
      </c>
      <c r="L410" s="6">
        <f>[1]Emissions!K874</f>
        <v>3.727484408</v>
      </c>
      <c r="M410" s="6">
        <f>[1]Emissions!L874</f>
        <v>3.7613510859999999</v>
      </c>
      <c r="N410" s="6">
        <f>[1]Emissions!M874</f>
        <v>3.794497496</v>
      </c>
      <c r="O410" s="6">
        <f>[1]Emissions!N874</f>
        <v>3.8274303729999999</v>
      </c>
      <c r="P410" s="6">
        <f>[1]Emissions!O874</f>
        <v>3.8602980659999999</v>
      </c>
      <c r="Q410" s="6">
        <f>[1]Emissions!P874</f>
        <v>3.8930802469999999</v>
      </c>
      <c r="R410" s="6">
        <f>[1]Emissions!Q874</f>
        <v>3.925738113</v>
      </c>
      <c r="S410" s="6">
        <f>[1]Emissions!R874</f>
        <v>3.9580097009999999</v>
      </c>
      <c r="T410" s="6">
        <f>[1]Emissions!S874</f>
        <v>3.9900415389999999</v>
      </c>
      <c r="U410" s="6">
        <f>[1]Emissions!T874</f>
        <v>4.021943738</v>
      </c>
      <c r="V410" s="6">
        <f>[1]Emissions!U874</f>
        <v>4.0538143729999998</v>
      </c>
      <c r="W410" s="6">
        <f>[1]Emissions!V874</f>
        <v>4.083738307</v>
      </c>
      <c r="X410" s="6">
        <f>[1]Emissions!W874</f>
        <v>4.1148383720000004</v>
      </c>
      <c r="Y410" s="6">
        <f>[1]Emissions!X874</f>
        <v>4.1466746470000002</v>
      </c>
      <c r="Z410" s="6">
        <f>[1]Emissions!Y874</f>
        <v>4.1790959970000001</v>
      </c>
      <c r="AA410" s="6">
        <f>[1]Emissions!Z874</f>
        <v>4.2121048190000003</v>
      </c>
      <c r="AB410" s="6">
        <f>[1]Emissions!AA874</f>
        <v>4.2400360920000004</v>
      </c>
      <c r="AC410" s="6">
        <f>[1]Emissions!AB874</f>
        <v>4.2689007380000001</v>
      </c>
      <c r="AD410" s="6">
        <f>[1]Emissions!AC874</f>
        <v>4.298498425</v>
      </c>
      <c r="AE410" s="6">
        <f>[1]Emissions!AD874</f>
        <v>4.3287682570000001</v>
      </c>
      <c r="AF410" s="6">
        <f>[1]Emissions!AE874</f>
        <v>4.3597778519999997</v>
      </c>
      <c r="AG410" s="6">
        <f>[1]Emissions!AF874</f>
        <v>4.3916187459999998</v>
      </c>
      <c r="AH410" s="6">
        <f>[1]Emissions!AG874</f>
        <v>4.4244194219999997</v>
      </c>
      <c r="AI410" s="6">
        <f>[1]Emissions!AH874</f>
        <v>4.4582133529999997</v>
      </c>
      <c r="AJ410" s="6">
        <f>[1]Emissions!AI874</f>
        <v>4.4930228699999999</v>
      </c>
      <c r="AK410" s="6">
        <f>[1]Emissions!AJ874</f>
        <v>4.5288578560000001</v>
      </c>
      <c r="AL410" s="6">
        <f>[1]Emissions!AK874</f>
        <v>4.5657166489999996</v>
      </c>
      <c r="AM410" s="6">
        <f>[1]Emissions!AL874</f>
        <v>4.6026742780000003</v>
      </c>
      <c r="AN410" s="6">
        <f>[1]Emissions!AM874</f>
        <v>4.640172765</v>
      </c>
      <c r="AO410" s="6">
        <f>[1]Emissions!AN874</f>
        <v>4.6783850429999996</v>
      </c>
      <c r="AP410" s="6">
        <f>[1]Emissions!AO874</f>
        <v>4.7173729189999998</v>
      </c>
      <c r="AQ410" s="6">
        <f>[1]Emissions!AP874</f>
        <v>4.7571649000000003</v>
      </c>
      <c r="AR410" s="6">
        <f>[1]Emissions!AQ874</f>
        <v>4.797842417</v>
      </c>
      <c r="AS410" s="6">
        <f>[1]Emissions!AR874</f>
        <v>4.8393874859999997</v>
      </c>
      <c r="AT410" s="6">
        <f>[1]Emissions!AS874</f>
        <v>4.8817879780000002</v>
      </c>
      <c r="AU410" s="6">
        <f>[1]Emissions!AT874</f>
        <v>4.9250340250000004</v>
      </c>
      <c r="AV410" s="6">
        <f>[1]Emissions!AU874</f>
        <v>4.9691156449999996</v>
      </c>
      <c r="AW410" s="6">
        <f>[1]Emissions!AV874</f>
        <v>5.0143520810000002</v>
      </c>
      <c r="AX410" s="6">
        <f>[1]Emissions!AW874</f>
        <v>5.0605903080000001</v>
      </c>
      <c r="AY410" s="6">
        <f>[1]Emissions!AX874</f>
        <v>5.1077432959999998</v>
      </c>
      <c r="AZ410" s="6">
        <f>[1]Emissions!AY874</f>
        <v>5.1557611039999998</v>
      </c>
      <c r="BA410" s="6">
        <f>[1]Emissions!AZ874</f>
        <v>5.204612225</v>
      </c>
      <c r="BB410" s="6">
        <f>[1]Emissions!BA874</f>
        <v>5.2544029410000004</v>
      </c>
      <c r="BC410" s="6">
        <f>[1]Emissions!BB874</f>
        <v>5.3050726509999997</v>
      </c>
      <c r="BD410" s="6">
        <f>[1]Emissions!BC874</f>
        <v>5.356586751</v>
      </c>
      <c r="BE410" s="6">
        <f>[1]Emissions!BD874</f>
        <v>5.408928918</v>
      </c>
      <c r="BF410" s="6">
        <f>[1]Emissions!BE874</f>
        <v>5.4620945059999997</v>
      </c>
    </row>
    <row r="411" spans="2:58" x14ac:dyDescent="0.35">
      <c r="B411" s="6" t="str">
        <f>[1]Emissions!A876</f>
        <v>ems_ci_co2_seco_2</v>
      </c>
      <c r="C411" s="6">
        <f>[1]Emissions!B876</f>
        <v>7.4358234159999999</v>
      </c>
      <c r="D411" s="6">
        <f>[1]Emissions!C876</f>
        <v>7.390326247</v>
      </c>
      <c r="E411" s="6">
        <f>[1]Emissions!D876</f>
        <v>7.3876527230000004</v>
      </c>
      <c r="F411" s="6">
        <f>[1]Emissions!E876</f>
        <v>7.4023614960000002</v>
      </c>
      <c r="G411" s="6">
        <f>[1]Emissions!F876</f>
        <v>7.4295951660000004</v>
      </c>
      <c r="H411" s="6">
        <f>[1]Emissions!G876</f>
        <v>7.4683487609999997</v>
      </c>
      <c r="I411" s="6">
        <f>[1]Emissions!H876</f>
        <v>7.5135283709999996</v>
      </c>
      <c r="J411" s="6">
        <f>[1]Emissions!I876</f>
        <v>7.56511142</v>
      </c>
      <c r="K411" s="6">
        <f>[1]Emissions!J876</f>
        <v>7.6221760459999999</v>
      </c>
      <c r="L411" s="6">
        <f>[1]Emissions!K876</f>
        <v>7.6833692840000003</v>
      </c>
      <c r="M411" s="6">
        <f>[1]Emissions!L876</f>
        <v>7.7531778100000004</v>
      </c>
      <c r="N411" s="6">
        <f>[1]Emissions!M876</f>
        <v>7.8215016669999997</v>
      </c>
      <c r="O411" s="6">
        <f>[1]Emissions!N876</f>
        <v>7.8893853719999996</v>
      </c>
      <c r="P411" s="6">
        <f>[1]Emissions!O876</f>
        <v>7.9571347159999997</v>
      </c>
      <c r="Q411" s="6">
        <f>[1]Emissions!P876</f>
        <v>8.0247077959999995</v>
      </c>
      <c r="R411" s="6">
        <f>[1]Emissions!Q876</f>
        <v>8.0920246280000008</v>
      </c>
      <c r="S411" s="6">
        <f>[1]Emissions!R876</f>
        <v>8.1585452370000002</v>
      </c>
      <c r="T411" s="6">
        <f>[1]Emissions!S876</f>
        <v>8.2245716550000001</v>
      </c>
      <c r="U411" s="6">
        <f>[1]Emissions!T876</f>
        <v>8.2903308500000001</v>
      </c>
      <c r="V411" s="6">
        <f>[1]Emissions!U876</f>
        <v>8.3560249829999993</v>
      </c>
      <c r="W411" s="6">
        <f>[1]Emissions!V876</f>
        <v>8.4177064309999992</v>
      </c>
      <c r="X411" s="6">
        <f>[1]Emissions!W876</f>
        <v>8.4818122070000008</v>
      </c>
      <c r="Y411" s="6">
        <f>[1]Emissions!X876</f>
        <v>8.5474355150000001</v>
      </c>
      <c r="Z411" s="6">
        <f>[1]Emissions!Y876</f>
        <v>8.6142648249999993</v>
      </c>
      <c r="AA411" s="6">
        <f>[1]Emissions!Z876</f>
        <v>8.6823050740000003</v>
      </c>
      <c r="AB411" s="6">
        <f>[1]Emissions!AA876</f>
        <v>8.7398790989999995</v>
      </c>
      <c r="AC411" s="6">
        <f>[1]Emissions!AB876</f>
        <v>8.7993770639999997</v>
      </c>
      <c r="AD411" s="6">
        <f>[1]Emissions!AC876</f>
        <v>8.8603860280000006</v>
      </c>
      <c r="AE411" s="6">
        <f>[1]Emissions!AD876</f>
        <v>8.9227804670000008</v>
      </c>
      <c r="AF411" s="6">
        <f>[1]Emissions!AE876</f>
        <v>8.9866997610000006</v>
      </c>
      <c r="AG411" s="6">
        <f>[1]Emissions!AF876</f>
        <v>9.0523325890000006</v>
      </c>
      <c r="AH411" s="6">
        <f>[1]Emissions!AG876</f>
        <v>9.1199437910000007</v>
      </c>
      <c r="AI411" s="6">
        <f>[1]Emissions!AH876</f>
        <v>9.1896023670000009</v>
      </c>
      <c r="AJ411" s="6">
        <f>[1]Emissions!AI876</f>
        <v>9.2613543430000007</v>
      </c>
      <c r="AK411" s="6">
        <f>[1]Emissions!AJ876</f>
        <v>9.3352200930000002</v>
      </c>
      <c r="AL411" s="6">
        <f>[1]Emissions!AK876</f>
        <v>9.4111961910000002</v>
      </c>
      <c r="AM411" s="6">
        <f>[1]Emissions!AL876</f>
        <v>9.4873760150000006</v>
      </c>
      <c r="AN411" s="6">
        <f>[1]Emissions!AM876</f>
        <v>9.5646706990000006</v>
      </c>
      <c r="AO411" s="6">
        <f>[1]Emissions!AN876</f>
        <v>9.6434367000000005</v>
      </c>
      <c r="AP411" s="6">
        <f>[1]Emissions!AO876</f>
        <v>9.7238014219999993</v>
      </c>
      <c r="AQ411" s="6">
        <f>[1]Emissions!AP876</f>
        <v>9.8058236250000004</v>
      </c>
      <c r="AR411" s="6">
        <f>[1]Emissions!AQ876</f>
        <v>9.8896711620000008</v>
      </c>
      <c r="AS411" s="6">
        <f>[1]Emissions!AR876</f>
        <v>9.9753069619999994</v>
      </c>
      <c r="AT411" s="6">
        <f>[1]Emissions!AS876</f>
        <v>10.06270602</v>
      </c>
      <c r="AU411" s="6">
        <f>[1]Emissions!AT876</f>
        <v>10.151847999999999</v>
      </c>
      <c r="AV411" s="6">
        <f>[1]Emissions!AU876</f>
        <v>10.24271233</v>
      </c>
      <c r="AW411" s="6">
        <f>[1]Emissions!AV876</f>
        <v>10.335957049999999</v>
      </c>
      <c r="AX411" s="6">
        <f>[1]Emissions!AW876</f>
        <v>10.43126674</v>
      </c>
      <c r="AY411" s="6">
        <f>[1]Emissions!AX876</f>
        <v>10.528461999999999</v>
      </c>
      <c r="AZ411" s="6">
        <f>[1]Emissions!AY876</f>
        <v>10.62743989</v>
      </c>
      <c r="BA411" s="6">
        <f>[1]Emissions!AZ876</f>
        <v>10.72813547</v>
      </c>
      <c r="BB411" s="6">
        <f>[1]Emissions!BA876</f>
        <v>10.83076782</v>
      </c>
      <c r="BC411" s="6">
        <f>[1]Emissions!BB876</f>
        <v>10.935212010000001</v>
      </c>
      <c r="BD411" s="6">
        <f>[1]Emissions!BC876</f>
        <v>11.04139672</v>
      </c>
      <c r="BE411" s="6">
        <f>[1]Emissions!BD876</f>
        <v>11.1492883</v>
      </c>
      <c r="BF411" s="6">
        <f>[1]Emissions!BE876</f>
        <v>11.258877180000001</v>
      </c>
    </row>
    <row r="412" spans="2:58" x14ac:dyDescent="0.35">
      <c r="B412" s="6" t="str">
        <f>[1]Emissions!A878</f>
        <v>ems_ci_co2_sech_2</v>
      </c>
      <c r="C412" s="6">
        <f>[1]Emissions!B878</f>
        <v>9.6588980180000004</v>
      </c>
      <c r="D412" s="6">
        <f>[1]Emissions!C878</f>
        <v>9.6742374019999993</v>
      </c>
      <c r="E412" s="6">
        <f>[1]Emissions!D878</f>
        <v>9.7184838790000008</v>
      </c>
      <c r="F412" s="6">
        <f>[1]Emissions!E878</f>
        <v>9.7723353379999995</v>
      </c>
      <c r="G412" s="6">
        <f>[1]Emissions!F878</f>
        <v>9.8336129260000007</v>
      </c>
      <c r="H412" s="6">
        <f>[1]Emissions!G878</f>
        <v>9.9035726460000006</v>
      </c>
      <c r="I412" s="6">
        <f>[1]Emissions!H878</f>
        <v>9.9772171180000004</v>
      </c>
      <c r="J412" s="6">
        <f>[1]Emissions!I878</f>
        <v>10.05364683</v>
      </c>
      <c r="K412" s="6">
        <f>[1]Emissions!J878</f>
        <v>10.13184935</v>
      </c>
      <c r="L412" s="6">
        <f>[1]Emissions!K878</f>
        <v>10.211299350000001</v>
      </c>
      <c r="M412" s="6">
        <f>[1]Emissions!L878</f>
        <v>10.302994180000001</v>
      </c>
      <c r="N412" s="6">
        <f>[1]Emissions!M878</f>
        <v>10.389338009999999</v>
      </c>
      <c r="O412" s="6">
        <f>[1]Emissions!N878</f>
        <v>10.472886109999999</v>
      </c>
      <c r="P412" s="6">
        <f>[1]Emissions!O878</f>
        <v>10.555364770000001</v>
      </c>
      <c r="Q412" s="6">
        <f>[1]Emissions!P878</f>
        <v>10.63746768</v>
      </c>
      <c r="R412" s="6">
        <f>[1]Emissions!Q878</f>
        <v>10.71943214</v>
      </c>
      <c r="S412" s="6">
        <f>[1]Emissions!R878</f>
        <v>10.800637829999999</v>
      </c>
      <c r="T412" s="6">
        <f>[1]Emissions!S878</f>
        <v>10.88144574</v>
      </c>
      <c r="U412" s="6">
        <f>[1]Emissions!T878</f>
        <v>10.96210048</v>
      </c>
      <c r="V412" s="6">
        <f>[1]Emissions!U878</f>
        <v>11.04276969</v>
      </c>
      <c r="W412" s="6">
        <f>[1]Emissions!V878</f>
        <v>11.11592431</v>
      </c>
      <c r="X412" s="6">
        <f>[1]Emissions!W878</f>
        <v>11.1931929</v>
      </c>
      <c r="Y412" s="6">
        <f>[1]Emissions!X878</f>
        <v>11.27302692</v>
      </c>
      <c r="Z412" s="6">
        <f>[1]Emissions!Y878</f>
        <v>11.35440073</v>
      </c>
      <c r="AA412" s="6">
        <f>[1]Emissions!Z878</f>
        <v>11.43693281</v>
      </c>
      <c r="AB412" s="6">
        <f>[1]Emissions!AA878</f>
        <v>11.49927798</v>
      </c>
      <c r="AC412" s="6">
        <f>[1]Emissions!AB878</f>
        <v>11.563551370000001</v>
      </c>
      <c r="AD412" s="6">
        <f>[1]Emissions!AC878</f>
        <v>11.62989177</v>
      </c>
      <c r="AE412" s="6">
        <f>[1]Emissions!AD878</f>
        <v>11.69781628</v>
      </c>
      <c r="AF412" s="6">
        <f>[1]Emissions!AE878</f>
        <v>11.76717996</v>
      </c>
      <c r="AG412" s="6">
        <f>[1]Emissions!AF878</f>
        <v>11.83799879</v>
      </c>
      <c r="AH412" s="6">
        <f>[1]Emissions!AG878</f>
        <v>11.910491820000001</v>
      </c>
      <c r="AI412" s="6">
        <f>[1]Emissions!AH878</f>
        <v>11.984655070000001</v>
      </c>
      <c r="AJ412" s="6">
        <f>[1]Emissions!AI878</f>
        <v>12.060490890000001</v>
      </c>
      <c r="AK412" s="6">
        <f>[1]Emissions!AJ878</f>
        <v>12.138003360000001</v>
      </c>
      <c r="AL412" s="6">
        <f>[1]Emissions!AK878</f>
        <v>12.217189510000001</v>
      </c>
      <c r="AM412" s="6">
        <f>[1]Emissions!AL878</f>
        <v>12.29467955</v>
      </c>
      <c r="AN412" s="6">
        <f>[1]Emissions!AM878</f>
        <v>12.372178419999999</v>
      </c>
      <c r="AO412" s="6">
        <f>[1]Emissions!AN878</f>
        <v>12.45053283</v>
      </c>
      <c r="AP412" s="6">
        <f>[1]Emissions!AO878</f>
        <v>12.530087290000001</v>
      </c>
      <c r="AQ412" s="6">
        <f>[1]Emissions!AP878</f>
        <v>12.610984159999999</v>
      </c>
      <c r="AR412" s="6">
        <f>[1]Emissions!AQ878</f>
        <v>12.693496530000001</v>
      </c>
      <c r="AS412" s="6">
        <f>[1]Emissions!AR878</f>
        <v>12.777561629999999</v>
      </c>
      <c r="AT412" s="6">
        <f>[1]Emissions!AS878</f>
        <v>12.863126080000001</v>
      </c>
      <c r="AU412" s="6">
        <f>[1]Emissions!AT878</f>
        <v>12.950156160000001</v>
      </c>
      <c r="AV412" s="6">
        <f>[1]Emissions!AU878</f>
        <v>13.038627869999999</v>
      </c>
      <c r="AW412" s="6">
        <f>[1]Emissions!AV878</f>
        <v>13.12962053</v>
      </c>
      <c r="AX412" s="6">
        <f>[1]Emissions!AW878</f>
        <v>13.22263774</v>
      </c>
      <c r="AY412" s="6">
        <f>[1]Emissions!AX878</f>
        <v>13.31735638</v>
      </c>
      <c r="AZ412" s="6">
        <f>[1]Emissions!AY878</f>
        <v>13.41361026</v>
      </c>
      <c r="BA412" s="6">
        <f>[1]Emissions!AZ878</f>
        <v>13.511314280000001</v>
      </c>
      <c r="BB412" s="6">
        <f>[1]Emissions!BA878</f>
        <v>13.610851520000001</v>
      </c>
      <c r="BC412" s="6">
        <f>[1]Emissions!BB878</f>
        <v>13.7120318</v>
      </c>
      <c r="BD412" s="6">
        <f>[1]Emissions!BC878</f>
        <v>13.81472591</v>
      </c>
      <c r="BE412" s="6">
        <f>[1]Emissions!BD878</f>
        <v>13.91887324</v>
      </c>
      <c r="BF412" s="6">
        <f>[1]Emissions!BE878</f>
        <v>14.024453380000001</v>
      </c>
    </row>
    <row r="413" spans="2:58" x14ac:dyDescent="0.35">
      <c r="B413" s="6" t="str">
        <f>[1]Emissions!A880</f>
        <v>ems_ci_co2_seot_2</v>
      </c>
      <c r="C413" s="6">
        <f>[1]Emissions!B880</f>
        <v>1.322871525</v>
      </c>
      <c r="D413" s="6">
        <f>[1]Emissions!C880</f>
        <v>1.3147358039999999</v>
      </c>
      <c r="E413" s="6">
        <f>[1]Emissions!D880</f>
        <v>1.3140548409999999</v>
      </c>
      <c r="F413" s="6">
        <f>[1]Emissions!E880</f>
        <v>1.316273689</v>
      </c>
      <c r="G413" s="6">
        <f>[1]Emissions!F880</f>
        <v>1.320570893</v>
      </c>
      <c r="H413" s="6">
        <f>[1]Emissions!G880</f>
        <v>1.3268332270000001</v>
      </c>
      <c r="I413" s="6">
        <f>[1]Emissions!H880</f>
        <v>1.3342167620000001</v>
      </c>
      <c r="J413" s="6">
        <f>[1]Emissions!I880</f>
        <v>1.3427639769999999</v>
      </c>
      <c r="K413" s="6">
        <f>[1]Emissions!J880</f>
        <v>1.3523422519999999</v>
      </c>
      <c r="L413" s="6">
        <f>[1]Emissions!K880</f>
        <v>1.362730056</v>
      </c>
      <c r="M413" s="6">
        <f>[1]Emissions!L880</f>
        <v>1.3747343540000001</v>
      </c>
      <c r="N413" s="6">
        <f>[1]Emissions!M880</f>
        <v>1.38656943</v>
      </c>
      <c r="O413" s="6">
        <f>[1]Emissions!N880</f>
        <v>1.3984193869999999</v>
      </c>
      <c r="P413" s="6">
        <f>[1]Emissions!O880</f>
        <v>1.410333335</v>
      </c>
      <c r="Q413" s="6">
        <f>[1]Emissions!P880</f>
        <v>1.4222967179999999</v>
      </c>
      <c r="R413" s="6">
        <f>[1]Emissions!Q880</f>
        <v>1.4342871049999999</v>
      </c>
      <c r="S413" s="6">
        <f>[1]Emissions!R880</f>
        <v>1.446200624</v>
      </c>
      <c r="T413" s="6">
        <f>[1]Emissions!S880</f>
        <v>1.4580814499999999</v>
      </c>
      <c r="U413" s="6">
        <f>[1]Emissions!T880</f>
        <v>1.469960162</v>
      </c>
      <c r="V413" s="6">
        <f>[1]Emissions!U880</f>
        <v>1.4818632270000001</v>
      </c>
      <c r="W413" s="6">
        <f>[1]Emissions!V880</f>
        <v>1.4930800829999999</v>
      </c>
      <c r="X413" s="6">
        <f>[1]Emissions!W880</f>
        <v>1.504743127</v>
      </c>
      <c r="Y413" s="6">
        <f>[1]Emissions!X880</f>
        <v>1.516684817</v>
      </c>
      <c r="Z413" s="6">
        <f>[1]Emissions!Y880</f>
        <v>1.5288445310000001</v>
      </c>
      <c r="AA413" s="6">
        <f>[1]Emissions!Z880</f>
        <v>1.5412186910000001</v>
      </c>
      <c r="AB413" s="6">
        <f>[1]Emissions!AA880</f>
        <v>1.551725789</v>
      </c>
      <c r="AC413" s="6">
        <f>[1]Emissions!AB880</f>
        <v>1.5625560940000001</v>
      </c>
      <c r="AD413" s="6">
        <f>[1]Emissions!AC880</f>
        <v>1.573631118</v>
      </c>
      <c r="AE413" s="6">
        <f>[1]Emissions!AD880</f>
        <v>1.5849258310000001</v>
      </c>
      <c r="AF413" s="6">
        <f>[1]Emissions!AE880</f>
        <v>1.5964637639999999</v>
      </c>
      <c r="AG413" s="6">
        <f>[1]Emissions!AF880</f>
        <v>1.608278291</v>
      </c>
      <c r="AH413" s="6">
        <f>[1]Emissions!AG880</f>
        <v>1.62041693</v>
      </c>
      <c r="AI413" s="6">
        <f>[1]Emissions!AH880</f>
        <v>1.6328933809999999</v>
      </c>
      <c r="AJ413" s="6">
        <f>[1]Emissions!AI880</f>
        <v>1.6457179319999999</v>
      </c>
      <c r="AK413" s="6">
        <f>[1]Emissions!AJ880</f>
        <v>1.658896723</v>
      </c>
      <c r="AL413" s="6">
        <f>[1]Emissions!AK880</f>
        <v>1.672431862</v>
      </c>
      <c r="AM413" s="6">
        <f>[1]Emissions!AL880</f>
        <v>1.685983569</v>
      </c>
      <c r="AN413" s="6">
        <f>[1]Emissions!AM880</f>
        <v>1.6997142670000001</v>
      </c>
      <c r="AO413" s="6">
        <f>[1]Emissions!AN880</f>
        <v>1.71368885</v>
      </c>
      <c r="AP413" s="6">
        <f>[1]Emissions!AO880</f>
        <v>1.72793201</v>
      </c>
      <c r="AQ413" s="6">
        <f>[1]Emissions!AP880</f>
        <v>1.742456349</v>
      </c>
      <c r="AR413" s="6">
        <f>[1]Emissions!AQ880</f>
        <v>1.7572933079999999</v>
      </c>
      <c r="AS413" s="6">
        <f>[1]Emissions!AR880</f>
        <v>1.7724381309999999</v>
      </c>
      <c r="AT413" s="6">
        <f>[1]Emissions!AS880</f>
        <v>1.7878882140000001</v>
      </c>
      <c r="AU413" s="6">
        <f>[1]Emissions!AT880</f>
        <v>1.803641662</v>
      </c>
      <c r="AV413" s="6">
        <f>[1]Emissions!AU880</f>
        <v>1.81969637</v>
      </c>
      <c r="AW413" s="6">
        <f>[1]Emissions!AV880</f>
        <v>1.836169052</v>
      </c>
      <c r="AX413" s="6">
        <f>[1]Emissions!AW880</f>
        <v>1.8530047039999999</v>
      </c>
      <c r="AY413" s="6">
        <f>[1]Emissions!AX880</f>
        <v>1.8701729410000001</v>
      </c>
      <c r="AZ413" s="6">
        <f>[1]Emissions!AY880</f>
        <v>1.8876569160000001</v>
      </c>
      <c r="BA413" s="6">
        <f>[1]Emissions!AZ880</f>
        <v>1.905446277</v>
      </c>
      <c r="BB413" s="6">
        <f>[1]Emissions!BA880</f>
        <v>1.923579699</v>
      </c>
      <c r="BC413" s="6">
        <f>[1]Emissions!BB880</f>
        <v>1.942035352</v>
      </c>
      <c r="BD413" s="6">
        <f>[1]Emissions!BC880</f>
        <v>1.9608011190000001</v>
      </c>
      <c r="BE413" s="6">
        <f>[1]Emissions!BD880</f>
        <v>1.9798715140000001</v>
      </c>
      <c r="BF413" s="6">
        <f>[1]Emissions!BE880</f>
        <v>1.9992451630000001</v>
      </c>
    </row>
    <row r="414" spans="2:58" x14ac:dyDescent="0.35">
      <c r="B414" s="6" t="str">
        <f>[1]Emissions!A882</f>
        <v>ems_y_co2_sagr_2</v>
      </c>
      <c r="C414" s="6">
        <f>[1]Emissions!B882</f>
        <v>2.75266352E-2</v>
      </c>
      <c r="D414" s="6">
        <f>[1]Emissions!C882</f>
        <v>2.7129689799999999E-2</v>
      </c>
      <c r="E414" s="6">
        <f>[1]Emissions!D882</f>
        <v>2.7215260299999999E-2</v>
      </c>
      <c r="F414" s="6">
        <f>[1]Emissions!E882</f>
        <v>2.73901387E-2</v>
      </c>
      <c r="G414" s="6">
        <f>[1]Emissions!F882</f>
        <v>2.7634350500000002E-2</v>
      </c>
      <c r="H414" s="6">
        <f>[1]Emissions!G882</f>
        <v>2.7937060199999999E-2</v>
      </c>
      <c r="I414" s="6">
        <f>[1]Emissions!H882</f>
        <v>2.8271389300000001E-2</v>
      </c>
      <c r="J414" s="6">
        <f>[1]Emissions!I882</f>
        <v>2.8638158300000001E-2</v>
      </c>
      <c r="K414" s="6">
        <f>[1]Emissions!J882</f>
        <v>2.90318278E-2</v>
      </c>
      <c r="L414" s="6">
        <f>[1]Emissions!K882</f>
        <v>2.9447331699999999E-2</v>
      </c>
      <c r="M414" s="6">
        <f>[1]Emissions!L882</f>
        <v>2.9909076999999999E-2</v>
      </c>
      <c r="N414" s="6">
        <f>[1]Emissions!M882</f>
        <v>3.03662528E-2</v>
      </c>
      <c r="O414" s="6">
        <f>[1]Emissions!N882</f>
        <v>3.0830247299999999E-2</v>
      </c>
      <c r="P414" s="6">
        <f>[1]Emissions!O882</f>
        <v>3.1299922700000003E-2</v>
      </c>
      <c r="Q414" s="6">
        <f>[1]Emissions!P882</f>
        <v>3.17740933E-2</v>
      </c>
      <c r="R414" s="6">
        <f>[1]Emissions!Q882</f>
        <v>3.2252004899999999E-2</v>
      </c>
      <c r="S414" s="6">
        <f>[1]Emissions!R882</f>
        <v>3.2730684599999997E-2</v>
      </c>
      <c r="T414" s="6">
        <f>[1]Emissions!S882</f>
        <v>3.3212133900000003E-2</v>
      </c>
      <c r="U414" s="6">
        <f>[1]Emissions!T882</f>
        <v>3.3696673099999998E-2</v>
      </c>
      <c r="V414" s="6">
        <f>[1]Emissions!U882</f>
        <v>3.4184659499999999E-2</v>
      </c>
      <c r="W414" s="6">
        <f>[1]Emissions!V882</f>
        <v>3.4655369200000001E-2</v>
      </c>
      <c r="X414" s="6">
        <f>[1]Emissions!W882</f>
        <v>3.5141893799999997E-2</v>
      </c>
      <c r="Y414" s="6">
        <f>[1]Emissions!X882</f>
        <v>3.5635747799999999E-2</v>
      </c>
      <c r="Z414" s="6">
        <f>[1]Emissions!Y882</f>
        <v>3.6136634399999999E-2</v>
      </c>
      <c r="AA414" s="6">
        <f>[1]Emissions!Z882</f>
        <v>3.6644622100000003E-2</v>
      </c>
      <c r="AB414" s="6">
        <f>[1]Emissions!AA882</f>
        <v>3.7099255499999997E-2</v>
      </c>
      <c r="AC414" s="6">
        <f>[1]Emissions!AB882</f>
        <v>3.7566372700000003E-2</v>
      </c>
      <c r="AD414" s="6">
        <f>[1]Emissions!AC882</f>
        <v>3.8035221399999999E-2</v>
      </c>
      <c r="AE414" s="6">
        <f>[1]Emissions!AD882</f>
        <v>3.8507340199999997E-2</v>
      </c>
      <c r="AF414" s="6">
        <f>[1]Emissions!AE882</f>
        <v>3.8984489800000001E-2</v>
      </c>
      <c r="AG414" s="6">
        <f>[1]Emissions!AF882</f>
        <v>3.9468124100000002E-2</v>
      </c>
      <c r="AH414" s="6">
        <f>[1]Emissions!AG882</f>
        <v>3.9959889999999998E-2</v>
      </c>
      <c r="AI414" s="6">
        <f>[1]Emissions!AH882</f>
        <v>4.0460038500000003E-2</v>
      </c>
      <c r="AJ414" s="6">
        <f>[1]Emissions!AI882</f>
        <v>4.0968946399999998E-2</v>
      </c>
      <c r="AK414" s="6">
        <f>[1]Emissions!AJ882</f>
        <v>4.1486801900000002E-2</v>
      </c>
      <c r="AL414" s="6">
        <f>[1]Emissions!AK882</f>
        <v>4.2013663899999998E-2</v>
      </c>
      <c r="AM414" s="6">
        <f>[1]Emissions!AL882</f>
        <v>4.2540266100000002E-2</v>
      </c>
      <c r="AN414" s="6">
        <f>[1]Emissions!AM882</f>
        <v>4.3070226099999998E-2</v>
      </c>
      <c r="AO414" s="6">
        <f>[1]Emissions!AN882</f>
        <v>4.3604895300000002E-2</v>
      </c>
      <c r="AP414" s="6">
        <f>[1]Emissions!AO882</f>
        <v>4.41452944E-2</v>
      </c>
      <c r="AQ414" s="6">
        <f>[1]Emissions!AP882</f>
        <v>4.4692274400000002E-2</v>
      </c>
      <c r="AR414" s="6">
        <f>[1]Emissions!AQ882</f>
        <v>4.52473683E-2</v>
      </c>
      <c r="AS414" s="6">
        <f>[1]Emissions!AR882</f>
        <v>4.5810489900000001E-2</v>
      </c>
      <c r="AT414" s="6">
        <f>[1]Emissions!AS882</f>
        <v>4.6381965300000001E-2</v>
      </c>
      <c r="AU414" s="6">
        <f>[1]Emissions!AT882</f>
        <v>4.6962005899999999E-2</v>
      </c>
      <c r="AV414" s="6">
        <f>[1]Emissions!AU882</f>
        <v>4.7550722500000003E-2</v>
      </c>
      <c r="AW414" s="6">
        <f>[1]Emissions!AV882</f>
        <v>4.8152292899999997E-2</v>
      </c>
      <c r="AX414" s="6">
        <f>[1]Emissions!AW882</f>
        <v>4.8763917099999998E-2</v>
      </c>
      <c r="AY414" s="6">
        <f>[1]Emissions!AX882</f>
        <v>4.9385214099999998E-2</v>
      </c>
      <c r="AZ414" s="6">
        <f>[1]Emissions!AY882</f>
        <v>5.0015908499999998E-2</v>
      </c>
      <c r="BA414" s="6">
        <f>[1]Emissions!AZ882</f>
        <v>5.0655772699999997E-2</v>
      </c>
      <c r="BB414" s="6">
        <f>[1]Emissions!BA882</f>
        <v>5.1306415600000002E-2</v>
      </c>
      <c r="BC414" s="6">
        <f>[1]Emissions!BB882</f>
        <v>5.1966399199999999E-2</v>
      </c>
      <c r="BD414" s="6">
        <f>[1]Emissions!BC882</f>
        <v>5.2635536599999998E-2</v>
      </c>
      <c r="BE414" s="6">
        <f>[1]Emissions!BD882</f>
        <v>5.3313732000000003E-2</v>
      </c>
      <c r="BF414" s="6">
        <f>[1]Emissions!BE882</f>
        <v>5.4000944000000002E-2</v>
      </c>
    </row>
    <row r="415" spans="2:58" x14ac:dyDescent="0.35">
      <c r="B415" s="6" t="str">
        <f>[1]Emissions!A883</f>
        <v>ems_mat_co2_spub_2</v>
      </c>
      <c r="C415" s="6">
        <f>[1]Emissions!B883</f>
        <v>4.284884538</v>
      </c>
      <c r="D415" s="6">
        <f>[1]Emissions!C883</f>
        <v>4.3339508819999999</v>
      </c>
      <c r="E415" s="6">
        <f>[1]Emissions!D883</f>
        <v>4.394061121</v>
      </c>
      <c r="F415" s="6">
        <f>[1]Emissions!E883</f>
        <v>4.4586816130000004</v>
      </c>
      <c r="G415" s="6">
        <f>[1]Emissions!F883</f>
        <v>4.5264665290000003</v>
      </c>
      <c r="H415" s="6">
        <f>[1]Emissions!G883</f>
        <v>4.5969839840000004</v>
      </c>
      <c r="I415" s="6">
        <f>[1]Emissions!H883</f>
        <v>4.6662307040000002</v>
      </c>
      <c r="J415" s="6">
        <f>[1]Emissions!I883</f>
        <v>4.7369161540000002</v>
      </c>
      <c r="K415" s="6">
        <f>[1]Emissions!J883</f>
        <v>4.8092489550000002</v>
      </c>
      <c r="L415" s="6">
        <f>[1]Emissions!K883</f>
        <v>4.8831403919999996</v>
      </c>
      <c r="M415" s="6">
        <f>[1]Emissions!L883</f>
        <v>4.9649516619999998</v>
      </c>
      <c r="N415" s="6">
        <f>[1]Emissions!M883</f>
        <v>5.042853494</v>
      </c>
      <c r="O415" s="6">
        <f>[1]Emissions!N883</f>
        <v>5.1212906150000004</v>
      </c>
      <c r="P415" s="6">
        <f>[1]Emissions!O883</f>
        <v>5.200799065</v>
      </c>
      <c r="Q415" s="6">
        <f>[1]Emissions!P883</f>
        <v>5.2814304300000003</v>
      </c>
      <c r="R415" s="6">
        <f>[1]Emissions!Q883</f>
        <v>5.3631885490000002</v>
      </c>
      <c r="S415" s="6">
        <f>[1]Emissions!R883</f>
        <v>5.4460280939999999</v>
      </c>
      <c r="T415" s="6">
        <f>[1]Emissions!S883</f>
        <v>5.529994565</v>
      </c>
      <c r="U415" s="6">
        <f>[1]Emissions!T883</f>
        <v>5.6151202419999997</v>
      </c>
      <c r="V415" s="6">
        <f>[1]Emissions!U883</f>
        <v>5.7014347709999997</v>
      </c>
      <c r="W415" s="6">
        <f>[1]Emissions!V883</f>
        <v>5.7841480780000003</v>
      </c>
      <c r="X415" s="6">
        <f>[1]Emissions!W883</f>
        <v>5.8719975270000004</v>
      </c>
      <c r="Y415" s="6">
        <f>[1]Emissions!X883</f>
        <v>5.9616681099999997</v>
      </c>
      <c r="Z415" s="6">
        <f>[1]Emissions!Y883</f>
        <v>6.0527603130000003</v>
      </c>
      <c r="AA415" s="6">
        <f>[1]Emissions!Z883</f>
        <v>6.1452429430000004</v>
      </c>
      <c r="AB415" s="6">
        <f>[1]Emissions!AA883</f>
        <v>6.2251783429999996</v>
      </c>
      <c r="AC415" s="6">
        <f>[1]Emissions!AB883</f>
        <v>6.3111936369999997</v>
      </c>
      <c r="AD415" s="6">
        <f>[1]Emissions!AC883</f>
        <v>6.3988740560000004</v>
      </c>
      <c r="AE415" s="6">
        <f>[1]Emissions!AD883</f>
        <v>6.4877355870000004</v>
      </c>
      <c r="AF415" s="6">
        <f>[1]Emissions!AE883</f>
        <v>6.577786991</v>
      </c>
      <c r="AG415" s="6">
        <f>[1]Emissions!AF883</f>
        <v>6.6690889340000004</v>
      </c>
      <c r="AH415" s="6">
        <f>[1]Emissions!AG883</f>
        <v>6.7617075299999998</v>
      </c>
      <c r="AI415" s="6">
        <f>[1]Emissions!AH883</f>
        <v>6.855677343</v>
      </c>
      <c r="AJ415" s="6">
        <f>[1]Emissions!AI883</f>
        <v>6.9510257610000004</v>
      </c>
      <c r="AK415" s="6">
        <f>[1]Emissions!AJ883</f>
        <v>7.0477734920000001</v>
      </c>
      <c r="AL415" s="6">
        <f>[1]Emissions!AK883</f>
        <v>7.1459369280000002</v>
      </c>
      <c r="AM415" s="6">
        <f>[1]Emissions!AL883</f>
        <v>7.2422503559999996</v>
      </c>
      <c r="AN415" s="6">
        <f>[1]Emissions!AM883</f>
        <v>7.339370411</v>
      </c>
      <c r="AO415" s="6">
        <f>[1]Emissions!AN883</f>
        <v>7.4376673950000001</v>
      </c>
      <c r="AP415" s="6">
        <f>[1]Emissions!AO883</f>
        <v>7.5372261549999999</v>
      </c>
      <c r="AQ415" s="6">
        <f>[1]Emissions!AP883</f>
        <v>7.638095292</v>
      </c>
      <c r="AR415" s="6">
        <f>[1]Emissions!AQ883</f>
        <v>7.7403338359999996</v>
      </c>
      <c r="AS415" s="6">
        <f>[1]Emissions!AR883</f>
        <v>7.8439697749999997</v>
      </c>
      <c r="AT415" s="6">
        <f>[1]Emissions!AS883</f>
        <v>7.949030907</v>
      </c>
      <c r="AU415" s="6">
        <f>[1]Emissions!AT883</f>
        <v>8.0555412299999993</v>
      </c>
      <c r="AV415" s="6">
        <f>[1]Emissions!AU883</f>
        <v>8.1635209900000003</v>
      </c>
      <c r="AW415" s="6">
        <f>[1]Emissions!AV883</f>
        <v>8.2733543940000001</v>
      </c>
      <c r="AX415" s="6">
        <f>[1]Emissions!AW883</f>
        <v>8.3847837409999997</v>
      </c>
      <c r="AY415" s="6">
        <f>[1]Emissions!AX883</f>
        <v>8.4977795799999996</v>
      </c>
      <c r="AZ415" s="6">
        <f>[1]Emissions!AY883</f>
        <v>8.6123443010000003</v>
      </c>
      <c r="BA415" s="6">
        <f>[1]Emissions!AZ883</f>
        <v>8.7284862749999998</v>
      </c>
      <c r="BB415" s="6">
        <f>[1]Emissions!BA883</f>
        <v>8.8462539660000008</v>
      </c>
      <c r="BC415" s="6">
        <f>[1]Emissions!BB883</f>
        <v>8.9656430799999995</v>
      </c>
      <c r="BD415" s="6">
        <f>[1]Emissions!BC883</f>
        <v>9.0866628019999993</v>
      </c>
      <c r="BE415" s="6">
        <f>[1]Emissions!BD883</f>
        <v>9.209327407</v>
      </c>
      <c r="BF415" s="6">
        <f>[1]Emissions!BE883</f>
        <v>9.3336540120000002</v>
      </c>
    </row>
    <row r="416" spans="2:58" x14ac:dyDescent="0.35">
      <c r="B416" s="6" t="str">
        <f>[1]Emissions!A884</f>
        <v>ems_mat_co2_sgla_2</v>
      </c>
      <c r="C416" s="6">
        <f>[1]Emissions!B884</f>
        <v>10.95195535</v>
      </c>
      <c r="D416" s="6">
        <f>[1]Emissions!C884</f>
        <v>10.879802809999999</v>
      </c>
      <c r="E416" s="6">
        <f>[1]Emissions!D884</f>
        <v>10.944966429999999</v>
      </c>
      <c r="F416" s="6">
        <f>[1]Emissions!E884</f>
        <v>11.05327812</v>
      </c>
      <c r="G416" s="6">
        <f>[1]Emissions!F884</f>
        <v>11.18435582</v>
      </c>
      <c r="H416" s="6">
        <f>[1]Emissions!G884</f>
        <v>11.331104010000001</v>
      </c>
      <c r="I416" s="6">
        <f>[1]Emissions!H884</f>
        <v>11.48402892</v>
      </c>
      <c r="J416" s="6">
        <f>[1]Emissions!I884</f>
        <v>11.643134140000001</v>
      </c>
      <c r="K416" s="6">
        <f>[1]Emissions!J884</f>
        <v>11.807685490000001</v>
      </c>
      <c r="L416" s="6">
        <f>[1]Emissions!K884</f>
        <v>11.97699654</v>
      </c>
      <c r="M416" s="6">
        <f>[1]Emissions!L884</f>
        <v>12.159932789999999</v>
      </c>
      <c r="N416" s="6">
        <f>[1]Emissions!M884</f>
        <v>12.341565879999999</v>
      </c>
      <c r="O416" s="6">
        <f>[1]Emissions!N884</f>
        <v>12.52465836</v>
      </c>
      <c r="P416" s="6">
        <f>[1]Emissions!O884</f>
        <v>12.709795400000001</v>
      </c>
      <c r="Q416" s="6">
        <f>[1]Emissions!P884</f>
        <v>12.897141299999999</v>
      </c>
      <c r="R416" s="6">
        <f>[1]Emissions!Q884</f>
        <v>13.086821459999999</v>
      </c>
      <c r="S416" s="6">
        <f>[1]Emissions!R884</f>
        <v>13.278121710000001</v>
      </c>
      <c r="T416" s="6">
        <f>[1]Emissions!S884</f>
        <v>13.47185522</v>
      </c>
      <c r="U416" s="6">
        <f>[1]Emissions!T884</f>
        <v>13.6684185</v>
      </c>
      <c r="V416" s="6">
        <f>[1]Emissions!U884</f>
        <v>13.86812681</v>
      </c>
      <c r="W416" s="6">
        <f>[1]Emissions!V884</f>
        <v>14.064340469999999</v>
      </c>
      <c r="X416" s="6">
        <f>[1]Emissions!W884</f>
        <v>14.267271940000001</v>
      </c>
      <c r="Y416" s="6">
        <f>[1]Emissions!X884</f>
        <v>14.475298499999999</v>
      </c>
      <c r="Z416" s="6">
        <f>[1]Emissions!Y884</f>
        <v>14.688109539999999</v>
      </c>
      <c r="AA416" s="6">
        <f>[1]Emissions!Z884</f>
        <v>14.905680670000001</v>
      </c>
      <c r="AB416" s="6">
        <f>[1]Emissions!AA884</f>
        <v>15.10817838</v>
      </c>
      <c r="AC416" s="6">
        <f>[1]Emissions!AB884</f>
        <v>15.315008069999999</v>
      </c>
      <c r="AD416" s="6">
        <f>[1]Emissions!AC884</f>
        <v>15.524656</v>
      </c>
      <c r="AE416" s="6">
        <f>[1]Emissions!AD884</f>
        <v>15.73715093</v>
      </c>
      <c r="AF416" s="6">
        <f>[1]Emissions!AE884</f>
        <v>15.952776330000001</v>
      </c>
      <c r="AG416" s="6">
        <f>[1]Emissions!AF884</f>
        <v>16.17179604</v>
      </c>
      <c r="AH416" s="6">
        <f>[1]Emissions!AG884</f>
        <v>16.394592329999998</v>
      </c>
      <c r="AI416" s="6">
        <f>[1]Emissions!AH884</f>
        <v>16.62113278</v>
      </c>
      <c r="AJ416" s="6">
        <f>[1]Emissions!AI884</f>
        <v>16.851405230000001</v>
      </c>
      <c r="AK416" s="6">
        <f>[1]Emissions!AJ884</f>
        <v>17.085356959999999</v>
      </c>
      <c r="AL416" s="6">
        <f>[1]Emissions!AK884</f>
        <v>17.32289922</v>
      </c>
      <c r="AM416" s="6">
        <f>[1]Emissions!AL884</f>
        <v>17.560899670000001</v>
      </c>
      <c r="AN416" s="6">
        <f>[1]Emissions!AM884</f>
        <v>17.800055100000002</v>
      </c>
      <c r="AO416" s="6">
        <f>[1]Emissions!AN884</f>
        <v>18.04072626</v>
      </c>
      <c r="AP416" s="6">
        <f>[1]Emissions!AO884</f>
        <v>18.283125980000001</v>
      </c>
      <c r="AQ416" s="6">
        <f>[1]Emissions!AP884</f>
        <v>18.527403249999999</v>
      </c>
      <c r="AR416" s="6">
        <f>[1]Emissions!AQ884</f>
        <v>18.773950750000001</v>
      </c>
      <c r="AS416" s="6">
        <f>[1]Emissions!AR884</f>
        <v>19.022670909999999</v>
      </c>
      <c r="AT416" s="6">
        <f>[1]Emissions!AS884</f>
        <v>19.2735734</v>
      </c>
      <c r="AU416" s="6">
        <f>[1]Emissions!AT884</f>
        <v>19.526671060000002</v>
      </c>
      <c r="AV416" s="6">
        <f>[1]Emissions!AU884</f>
        <v>19.78196625</v>
      </c>
      <c r="AW416" s="6">
        <f>[1]Emissions!AV884</f>
        <v>20.04083692</v>
      </c>
      <c r="AX416" s="6">
        <f>[1]Emissions!AW884</f>
        <v>20.30249087</v>
      </c>
      <c r="AY416" s="6">
        <f>[1]Emissions!AX884</f>
        <v>20.566698049999999</v>
      </c>
      <c r="AZ416" s="6">
        <f>[1]Emissions!AY884</f>
        <v>20.83335593</v>
      </c>
      <c r="BA416" s="6">
        <f>[1]Emissions!AZ884</f>
        <v>21.10241079</v>
      </c>
      <c r="BB416" s="6">
        <f>[1]Emissions!BA884</f>
        <v>21.374440180000001</v>
      </c>
      <c r="BC416" s="6">
        <f>[1]Emissions!BB884</f>
        <v>21.64907019</v>
      </c>
      <c r="BD416" s="6">
        <f>[1]Emissions!BC884</f>
        <v>21.926232559999999</v>
      </c>
      <c r="BE416" s="6">
        <f>[1]Emissions!BD884</f>
        <v>22.205935350000001</v>
      </c>
      <c r="BF416" s="6">
        <f>[1]Emissions!BE884</f>
        <v>22.48822053</v>
      </c>
    </row>
    <row r="418" spans="1:58" x14ac:dyDescent="0.35">
      <c r="A418" s="12" t="s">
        <v>92</v>
      </c>
      <c r="B418" t="s">
        <v>7</v>
      </c>
      <c r="C418" s="6">
        <f>C388+C389+C414</f>
        <v>14.8104000734</v>
      </c>
      <c r="D418" s="6">
        <f t="shared" ref="D418:AL418" si="228">D388+D389+D414</f>
        <v>14.620684583300001</v>
      </c>
      <c r="E418" s="6">
        <f t="shared" si="228"/>
        <v>14.616377309500001</v>
      </c>
      <c r="F418" s="6">
        <f t="shared" si="228"/>
        <v>14.672007922799999</v>
      </c>
      <c r="G418" s="6">
        <f t="shared" si="228"/>
        <v>14.7688003595</v>
      </c>
      <c r="H418" s="6">
        <f t="shared" si="228"/>
        <v>14.902107326199999</v>
      </c>
      <c r="I418" s="6">
        <f t="shared" si="228"/>
        <v>15.059169561000001</v>
      </c>
      <c r="J418" s="6">
        <f t="shared" si="228"/>
        <v>15.2389092371</v>
      </c>
      <c r="K418" s="6">
        <f t="shared" si="228"/>
        <v>15.438063686</v>
      </c>
      <c r="L418" s="6">
        <f t="shared" si="228"/>
        <v>15.653231936300001</v>
      </c>
      <c r="M418" s="6">
        <f t="shared" si="228"/>
        <v>15.895524004199999</v>
      </c>
      <c r="N418" s="6">
        <f t="shared" si="228"/>
        <v>16.141004562500001</v>
      </c>
      <c r="O418" s="6">
        <f t="shared" si="228"/>
        <v>16.3920262157</v>
      </c>
      <c r="P418" s="6">
        <f t="shared" si="228"/>
        <v>16.647904701500003</v>
      </c>
      <c r="Q418" s="6">
        <f t="shared" si="228"/>
        <v>16.907623012199998</v>
      </c>
      <c r="R418" s="6">
        <f t="shared" si="228"/>
        <v>17.170376712099998</v>
      </c>
      <c r="S418" s="6">
        <f t="shared" si="228"/>
        <v>17.434424878800002</v>
      </c>
      <c r="T418" s="6">
        <f t="shared" si="228"/>
        <v>17.7002509438</v>
      </c>
      <c r="U418" s="6">
        <f t="shared" si="228"/>
        <v>17.967825020700001</v>
      </c>
      <c r="V418" s="6">
        <f t="shared" si="228"/>
        <v>18.237130257800001</v>
      </c>
      <c r="W418" s="6">
        <f t="shared" si="228"/>
        <v>18.4977541057</v>
      </c>
      <c r="X418" s="6">
        <f t="shared" si="228"/>
        <v>18.764679572999999</v>
      </c>
      <c r="Y418" s="6">
        <f t="shared" si="228"/>
        <v>19.035408107400002</v>
      </c>
      <c r="Z418" s="6">
        <f t="shared" si="228"/>
        <v>19.309491523299997</v>
      </c>
      <c r="AA418" s="6">
        <f t="shared" si="228"/>
        <v>19.586921165499998</v>
      </c>
      <c r="AB418" s="6">
        <f t="shared" si="228"/>
        <v>19.837677613899999</v>
      </c>
      <c r="AC418" s="6">
        <f t="shared" si="228"/>
        <v>20.090672024499998</v>
      </c>
      <c r="AD418" s="6">
        <f t="shared" si="228"/>
        <v>20.3439251466</v>
      </c>
      <c r="AE418" s="6">
        <f t="shared" si="228"/>
        <v>20.598010356</v>
      </c>
      <c r="AF418" s="6">
        <f t="shared" si="228"/>
        <v>20.853928487500003</v>
      </c>
      <c r="AG418" s="6">
        <f t="shared" si="228"/>
        <v>21.112590313400002</v>
      </c>
      <c r="AH418" s="6">
        <f t="shared" si="228"/>
        <v>21.374970081399997</v>
      </c>
      <c r="AI418" s="6">
        <f t="shared" si="228"/>
        <v>21.6414138958</v>
      </c>
      <c r="AJ418" s="6">
        <f t="shared" si="228"/>
        <v>21.912258815999998</v>
      </c>
      <c r="AK418" s="6">
        <f t="shared" si="228"/>
        <v>22.187741603099997</v>
      </c>
      <c r="AL418" s="6">
        <f t="shared" si="228"/>
        <v>22.468012298200001</v>
      </c>
      <c r="AM418" s="6">
        <f t="shared" ref="AM418:BC418" si="229">AM388+AM389+AM414</f>
        <v>22.748210254000004</v>
      </c>
      <c r="AN418" s="6">
        <f t="shared" si="229"/>
        <v>23.029695769900002</v>
      </c>
      <c r="AO418" s="6">
        <f t="shared" si="229"/>
        <v>23.3133879847</v>
      </c>
      <c r="AP418" s="6">
        <f t="shared" si="229"/>
        <v>23.599958628700001</v>
      </c>
      <c r="AQ418" s="6">
        <f t="shared" si="229"/>
        <v>23.889942142999999</v>
      </c>
      <c r="AR418" s="6">
        <f t="shared" si="229"/>
        <v>24.184121902400001</v>
      </c>
      <c r="AS418" s="6">
        <f t="shared" si="229"/>
        <v>24.482577407699999</v>
      </c>
      <c r="AT418" s="6">
        <f t="shared" si="229"/>
        <v>24.7855048194</v>
      </c>
      <c r="AU418" s="6">
        <f t="shared" si="229"/>
        <v>25.093050686600002</v>
      </c>
      <c r="AV418" s="6">
        <f t="shared" si="229"/>
        <v>25.405301275399999</v>
      </c>
      <c r="AW418" s="6">
        <f t="shared" si="229"/>
        <v>25.724138356600001</v>
      </c>
      <c r="AX418" s="6">
        <f t="shared" si="229"/>
        <v>26.048473910800002</v>
      </c>
      <c r="AY418" s="6">
        <f t="shared" si="229"/>
        <v>26.3780588395</v>
      </c>
      <c r="AZ418" s="6">
        <f t="shared" si="229"/>
        <v>26.712768137099999</v>
      </c>
      <c r="BA418" s="6">
        <f t="shared" si="229"/>
        <v>27.052494014699999</v>
      </c>
      <c r="BB418" s="6">
        <f t="shared" si="229"/>
        <v>27.397883980899998</v>
      </c>
      <c r="BC418" s="6">
        <f t="shared" si="229"/>
        <v>27.748343625</v>
      </c>
      <c r="BD418" s="6">
        <f t="shared" ref="BD418:BF418" si="230">BD388+BD389+BD414</f>
        <v>28.103743163000001</v>
      </c>
      <c r="BE418" s="6">
        <f t="shared" si="230"/>
        <v>28.464036662599998</v>
      </c>
      <c r="BF418" s="6">
        <f t="shared" si="230"/>
        <v>28.8292038863</v>
      </c>
    </row>
    <row r="419" spans="1:58" x14ac:dyDescent="0.35">
      <c r="A419" t="s">
        <v>39</v>
      </c>
      <c r="B419" t="s">
        <v>64</v>
      </c>
      <c r="C419" s="6">
        <f>C390</f>
        <v>8.7511915980000001</v>
      </c>
      <c r="D419" s="6">
        <f t="shared" ref="D419:AL419" si="231">D390</f>
        <v>8.673337815</v>
      </c>
      <c r="E419" s="6">
        <f t="shared" si="231"/>
        <v>8.6758813949999993</v>
      </c>
      <c r="F419" s="6">
        <f t="shared" si="231"/>
        <v>8.7050945120000005</v>
      </c>
      <c r="G419" s="6">
        <f t="shared" si="231"/>
        <v>8.7579173449999992</v>
      </c>
      <c r="H419" s="6">
        <f t="shared" si="231"/>
        <v>8.8343927200000003</v>
      </c>
      <c r="I419" s="6">
        <f t="shared" si="231"/>
        <v>8.9278541009999994</v>
      </c>
      <c r="J419" s="6">
        <f t="shared" si="231"/>
        <v>9.0373617740000007</v>
      </c>
      <c r="K419" s="6">
        <f t="shared" si="231"/>
        <v>9.1605444669999994</v>
      </c>
      <c r="L419" s="6">
        <f t="shared" si="231"/>
        <v>9.2949626359999993</v>
      </c>
      <c r="M419" s="6">
        <f t="shared" si="231"/>
        <v>9.4468111130000008</v>
      </c>
      <c r="N419" s="6">
        <f t="shared" si="231"/>
        <v>9.6021700719999998</v>
      </c>
      <c r="O419" s="6">
        <f t="shared" si="231"/>
        <v>9.7616795500000002</v>
      </c>
      <c r="P419" s="6">
        <f t="shared" si="231"/>
        <v>9.9245216890000005</v>
      </c>
      <c r="Q419" s="6">
        <f t="shared" si="231"/>
        <v>10.08983583</v>
      </c>
      <c r="R419" s="6">
        <f t="shared" si="231"/>
        <v>10.25695591</v>
      </c>
      <c r="S419" s="6">
        <f t="shared" si="231"/>
        <v>10.424766869999999</v>
      </c>
      <c r="T419" s="6">
        <f t="shared" si="231"/>
        <v>10.59329125</v>
      </c>
      <c r="U419" s="6">
        <f t="shared" si="231"/>
        <v>10.762380670000001</v>
      </c>
      <c r="V419" s="6">
        <f t="shared" si="231"/>
        <v>10.931950929999999</v>
      </c>
      <c r="W419" s="6">
        <f t="shared" si="231"/>
        <v>11.09576549</v>
      </c>
      <c r="X419" s="6">
        <f t="shared" si="231"/>
        <v>11.2623607</v>
      </c>
      <c r="Y419" s="6">
        <f t="shared" si="231"/>
        <v>11.430500889999999</v>
      </c>
      <c r="Z419" s="6">
        <f t="shared" si="231"/>
        <v>11.60003058</v>
      </c>
      <c r="AA419" s="6">
        <f t="shared" si="231"/>
        <v>11.770995170000001</v>
      </c>
      <c r="AB419" s="6">
        <f t="shared" si="231"/>
        <v>11.925550599999999</v>
      </c>
      <c r="AC419" s="6">
        <f t="shared" si="231"/>
        <v>12.07993495</v>
      </c>
      <c r="AD419" s="6">
        <f t="shared" si="231"/>
        <v>12.233330049999999</v>
      </c>
      <c r="AE419" s="6">
        <f t="shared" si="231"/>
        <v>12.38630678</v>
      </c>
      <c r="AF419" s="6">
        <f t="shared" si="231"/>
        <v>12.53962638</v>
      </c>
      <c r="AG419" s="6">
        <f t="shared" si="231"/>
        <v>12.693963999999999</v>
      </c>
      <c r="AH419" s="6">
        <f t="shared" si="231"/>
        <v>12.85000026</v>
      </c>
      <c r="AI419" s="6">
        <f t="shared" si="231"/>
        <v>13.00806983</v>
      </c>
      <c r="AJ419" s="6">
        <f t="shared" si="231"/>
        <v>13.168464</v>
      </c>
      <c r="AK419" s="6">
        <f t="shared" si="231"/>
        <v>13.33139444</v>
      </c>
      <c r="AL419" s="6">
        <f t="shared" si="231"/>
        <v>13.497007160000001</v>
      </c>
      <c r="AM419" s="6">
        <f t="shared" ref="AM419:BC419" si="232">AM390</f>
        <v>13.66236018</v>
      </c>
      <c r="AN419" s="6">
        <f t="shared" si="232"/>
        <v>13.82833566</v>
      </c>
      <c r="AO419" s="6">
        <f t="shared" si="232"/>
        <v>13.99549317</v>
      </c>
      <c r="AP419" s="6">
        <f t="shared" si="232"/>
        <v>14.16424411</v>
      </c>
      <c r="AQ419" s="6">
        <f t="shared" si="232"/>
        <v>14.334923789999999</v>
      </c>
      <c r="AR419" s="6">
        <f t="shared" si="232"/>
        <v>14.508002080000001</v>
      </c>
      <c r="AS419" s="6">
        <f t="shared" si="232"/>
        <v>14.68358546</v>
      </c>
      <c r="AT419" s="6">
        <f t="shared" si="232"/>
        <v>14.861812329999999</v>
      </c>
      <c r="AU419" s="6">
        <f t="shared" si="232"/>
        <v>15.042778589999999</v>
      </c>
      <c r="AV419" s="6">
        <f t="shared" si="232"/>
        <v>15.22653884</v>
      </c>
      <c r="AW419" s="6">
        <f t="shared" si="232"/>
        <v>15.41416525</v>
      </c>
      <c r="AX419" s="6">
        <f t="shared" si="232"/>
        <v>15.605169630000001</v>
      </c>
      <c r="AY419" s="6">
        <f t="shared" si="232"/>
        <v>15.79942692</v>
      </c>
      <c r="AZ419" s="6">
        <f t="shared" si="232"/>
        <v>15.996844279999999</v>
      </c>
      <c r="BA419" s="6">
        <f t="shared" si="232"/>
        <v>16.197328410000001</v>
      </c>
      <c r="BB419" s="6">
        <f t="shared" si="232"/>
        <v>16.401208199999999</v>
      </c>
      <c r="BC419" s="6">
        <f t="shared" si="232"/>
        <v>16.608189379999999</v>
      </c>
      <c r="BD419" s="6">
        <f t="shared" ref="BD419:BF419" si="233">BD390</f>
        <v>16.818182929999999</v>
      </c>
      <c r="BE419" s="6">
        <f t="shared" si="233"/>
        <v>17.03113248</v>
      </c>
      <c r="BF419" s="6">
        <f t="shared" si="233"/>
        <v>17.24699592</v>
      </c>
    </row>
    <row r="420" spans="1:58" x14ac:dyDescent="0.35">
      <c r="B420" t="s">
        <v>65</v>
      </c>
      <c r="C420" s="6">
        <f>C392+C416</f>
        <v>18.776455376000001</v>
      </c>
      <c r="D420" s="6">
        <f t="shared" ref="D420:AL420" si="234">D392+D416</f>
        <v>18.646395081000001</v>
      </c>
      <c r="E420" s="6">
        <f t="shared" si="234"/>
        <v>18.747228395</v>
      </c>
      <c r="F420" s="6">
        <f t="shared" si="234"/>
        <v>18.919966754000001</v>
      </c>
      <c r="G420" s="6">
        <f t="shared" si="234"/>
        <v>19.131963939000002</v>
      </c>
      <c r="H420" s="6">
        <f t="shared" si="234"/>
        <v>19.372445322000001</v>
      </c>
      <c r="I420" s="6">
        <f t="shared" si="234"/>
        <v>19.625697654</v>
      </c>
      <c r="J420" s="6">
        <f t="shared" si="234"/>
        <v>19.891729629</v>
      </c>
      <c r="K420" s="6">
        <f t="shared" si="234"/>
        <v>20.169057879</v>
      </c>
      <c r="L420" s="6">
        <f t="shared" si="234"/>
        <v>20.456219791999999</v>
      </c>
      <c r="M420" s="6">
        <f t="shared" si="234"/>
        <v>20.768148507999999</v>
      </c>
      <c r="N420" s="6">
        <f t="shared" si="234"/>
        <v>21.079106324999998</v>
      </c>
      <c r="O420" s="6">
        <f t="shared" si="234"/>
        <v>21.393550939000001</v>
      </c>
      <c r="P420" s="6">
        <f t="shared" si="234"/>
        <v>21.712247955000002</v>
      </c>
      <c r="Q420" s="6">
        <f t="shared" si="234"/>
        <v>22.035278462000001</v>
      </c>
      <c r="R420" s="6">
        <f t="shared" si="234"/>
        <v>22.362685499999998</v>
      </c>
      <c r="S420" s="6">
        <f t="shared" si="234"/>
        <v>22.693091731000003</v>
      </c>
      <c r="T420" s="6">
        <f t="shared" si="234"/>
        <v>23.027746690000001</v>
      </c>
      <c r="U420" s="6">
        <f t="shared" si="234"/>
        <v>23.367215420000001</v>
      </c>
      <c r="V420" s="6">
        <f t="shared" si="234"/>
        <v>23.711951266</v>
      </c>
      <c r="W420" s="6">
        <f t="shared" si="234"/>
        <v>24.050486176</v>
      </c>
      <c r="X420" s="6">
        <f t="shared" si="234"/>
        <v>24.400225939999999</v>
      </c>
      <c r="Y420" s="6">
        <f t="shared" si="234"/>
        <v>24.75839109</v>
      </c>
      <c r="Z420" s="6">
        <f t="shared" si="234"/>
        <v>25.124460209999999</v>
      </c>
      <c r="AA420" s="6">
        <f t="shared" si="234"/>
        <v>25.498404319999999</v>
      </c>
      <c r="AB420" s="6">
        <f t="shared" si="234"/>
        <v>25.846159480000001</v>
      </c>
      <c r="AC420" s="6">
        <f t="shared" si="234"/>
        <v>26.20082923</v>
      </c>
      <c r="AD420" s="6">
        <f t="shared" si="234"/>
        <v>26.559819650000001</v>
      </c>
      <c r="AE420" s="6">
        <f t="shared" si="234"/>
        <v>26.923211870000003</v>
      </c>
      <c r="AF420" s="6">
        <f t="shared" si="234"/>
        <v>27.291534820000003</v>
      </c>
      <c r="AG420" s="6">
        <f t="shared" si="234"/>
        <v>27.665288660000002</v>
      </c>
      <c r="AH420" s="6">
        <f t="shared" si="234"/>
        <v>28.04518006</v>
      </c>
      <c r="AI420" s="6">
        <f t="shared" si="234"/>
        <v>28.431210069999999</v>
      </c>
      <c r="AJ420" s="6">
        <f t="shared" si="234"/>
        <v>28.823412959999999</v>
      </c>
      <c r="AK420" s="6">
        <f t="shared" si="234"/>
        <v>29.221749199999998</v>
      </c>
      <c r="AL420" s="6">
        <f t="shared" si="234"/>
        <v>29.626111350000002</v>
      </c>
      <c r="AM420" s="6">
        <f t="shared" ref="AM420:BC420" si="235">AM392+AM416</f>
        <v>30.031146330000002</v>
      </c>
      <c r="AN420" s="6">
        <f t="shared" si="235"/>
        <v>30.438054110000003</v>
      </c>
      <c r="AO420" s="6">
        <f t="shared" si="235"/>
        <v>30.847460439999999</v>
      </c>
      <c r="AP420" s="6">
        <f t="shared" si="235"/>
        <v>31.259736740000001</v>
      </c>
      <c r="AQ420" s="6">
        <f t="shared" si="235"/>
        <v>31.675143309999999</v>
      </c>
      <c r="AR420" s="6">
        <f t="shared" si="235"/>
        <v>32.094355970000002</v>
      </c>
      <c r="AS420" s="6">
        <f t="shared" si="235"/>
        <v>32.517216259999998</v>
      </c>
      <c r="AT420" s="6">
        <f t="shared" si="235"/>
        <v>32.943748810000002</v>
      </c>
      <c r="AU420" s="6">
        <f t="shared" si="235"/>
        <v>33.373982350000006</v>
      </c>
      <c r="AV420" s="6">
        <f t="shared" si="235"/>
        <v>33.80792624</v>
      </c>
      <c r="AW420" s="6">
        <f t="shared" si="235"/>
        <v>34.24794103</v>
      </c>
      <c r="AX420" s="6">
        <f t="shared" si="235"/>
        <v>34.692692360000002</v>
      </c>
      <c r="AY420" s="6">
        <f t="shared" si="235"/>
        <v>35.141801469999997</v>
      </c>
      <c r="AZ420" s="6">
        <f t="shared" si="235"/>
        <v>35.595098280000002</v>
      </c>
      <c r="BA420" s="6">
        <f t="shared" si="235"/>
        <v>36.052488719999999</v>
      </c>
      <c r="BB420" s="6">
        <f t="shared" si="235"/>
        <v>36.514950769999999</v>
      </c>
      <c r="BC420" s="6">
        <f t="shared" si="235"/>
        <v>36.981844960000004</v>
      </c>
      <c r="BD420" s="6">
        <f t="shared" ref="BD420:BF420" si="236">BD392+BD416</f>
        <v>37.453052489999997</v>
      </c>
      <c r="BE420" s="6">
        <f t="shared" si="236"/>
        <v>37.928581540000003</v>
      </c>
      <c r="BF420" s="6">
        <f t="shared" si="236"/>
        <v>38.408495950000002</v>
      </c>
    </row>
    <row r="421" spans="1:58" x14ac:dyDescent="0.35">
      <c r="B421" t="s">
        <v>66</v>
      </c>
      <c r="C421" s="6">
        <f>C394</f>
        <v>13.60740509</v>
      </c>
      <c r="D421" s="6">
        <f t="shared" ref="D421:AL421" si="237">D394</f>
        <v>13.249923689999999</v>
      </c>
      <c r="E421" s="6">
        <f t="shared" si="237"/>
        <v>13.313742680000001</v>
      </c>
      <c r="F421" s="6">
        <f t="shared" si="237"/>
        <v>13.453538050000001</v>
      </c>
      <c r="G421" s="6">
        <f t="shared" si="237"/>
        <v>13.619249569999999</v>
      </c>
      <c r="H421" s="6">
        <f t="shared" si="237"/>
        <v>13.801524219999999</v>
      </c>
      <c r="I421" s="6">
        <f t="shared" si="237"/>
        <v>13.986188780000001</v>
      </c>
      <c r="J421" s="6">
        <f t="shared" si="237"/>
        <v>14.178563459999999</v>
      </c>
      <c r="K421" s="6">
        <f t="shared" si="237"/>
        <v>14.37783992</v>
      </c>
      <c r="L421" s="6">
        <f t="shared" si="237"/>
        <v>14.58248382</v>
      </c>
      <c r="M421" s="6">
        <f t="shared" si="237"/>
        <v>14.808607090000001</v>
      </c>
      <c r="N421" s="6">
        <f t="shared" si="237"/>
        <v>15.02220541</v>
      </c>
      <c r="O421" s="6">
        <f t="shared" si="237"/>
        <v>15.234940959999999</v>
      </c>
      <c r="P421" s="6">
        <f t="shared" si="237"/>
        <v>15.448114970000001</v>
      </c>
      <c r="Q421" s="6">
        <f t="shared" si="237"/>
        <v>15.661682259999999</v>
      </c>
      <c r="R421" s="6">
        <f t="shared" si="237"/>
        <v>15.8755758</v>
      </c>
      <c r="S421" s="6">
        <f t="shared" si="237"/>
        <v>16.087658189999999</v>
      </c>
      <c r="T421" s="6">
        <f t="shared" si="237"/>
        <v>16.300034119999999</v>
      </c>
      <c r="U421" s="6">
        <f t="shared" si="237"/>
        <v>16.513291030000001</v>
      </c>
      <c r="V421" s="6">
        <f t="shared" si="237"/>
        <v>16.727837699999998</v>
      </c>
      <c r="W421" s="6">
        <f t="shared" si="237"/>
        <v>16.93129845</v>
      </c>
      <c r="X421" s="6">
        <f t="shared" si="237"/>
        <v>17.1464435</v>
      </c>
      <c r="Y421" s="6">
        <f t="shared" si="237"/>
        <v>17.365832380000001</v>
      </c>
      <c r="Z421" s="6">
        <f t="shared" si="237"/>
        <v>17.58862603</v>
      </c>
      <c r="AA421" s="6">
        <f t="shared" si="237"/>
        <v>17.814946450000001</v>
      </c>
      <c r="AB421" s="6">
        <f t="shared" si="237"/>
        <v>18.008567769999999</v>
      </c>
      <c r="AC421" s="6">
        <f t="shared" si="237"/>
        <v>18.217035880000001</v>
      </c>
      <c r="AD421" s="6">
        <f t="shared" si="237"/>
        <v>18.4301882</v>
      </c>
      <c r="AE421" s="6">
        <f t="shared" si="237"/>
        <v>18.646978539999999</v>
      </c>
      <c r="AF421" s="6">
        <f t="shared" si="237"/>
        <v>18.867651380000002</v>
      </c>
      <c r="AG421" s="6">
        <f t="shared" si="237"/>
        <v>19.09256147</v>
      </c>
      <c r="AH421" s="6">
        <f t="shared" si="237"/>
        <v>19.322479999999999</v>
      </c>
      <c r="AI421" s="6">
        <f t="shared" si="237"/>
        <v>19.557168109999999</v>
      </c>
      <c r="AJ421" s="6">
        <f t="shared" si="237"/>
        <v>19.796652559999998</v>
      </c>
      <c r="AK421" s="6">
        <f t="shared" si="237"/>
        <v>20.040941360000001</v>
      </c>
      <c r="AL421" s="6">
        <f t="shared" si="237"/>
        <v>20.289999810000001</v>
      </c>
      <c r="AM421" s="6">
        <f t="shared" ref="AM421:BC421" si="238">AM394</f>
        <v>20.539440129999999</v>
      </c>
      <c r="AN421" s="6">
        <f t="shared" si="238"/>
        <v>20.79184411</v>
      </c>
      <c r="AO421" s="6">
        <f t="shared" si="238"/>
        <v>21.04773917</v>
      </c>
      <c r="AP421" s="6">
        <f t="shared" si="238"/>
        <v>21.307305939999999</v>
      </c>
      <c r="AQ421" s="6">
        <f t="shared" si="238"/>
        <v>21.570653440000001</v>
      </c>
      <c r="AR421" s="6">
        <f t="shared" si="238"/>
        <v>21.838557510000001</v>
      </c>
      <c r="AS421" s="6">
        <f t="shared" si="238"/>
        <v>22.110493089999999</v>
      </c>
      <c r="AT421" s="6">
        <f t="shared" si="238"/>
        <v>22.386404160000001</v>
      </c>
      <c r="AU421" s="6">
        <f t="shared" si="238"/>
        <v>22.666283979999999</v>
      </c>
      <c r="AV421" s="6">
        <f t="shared" si="238"/>
        <v>22.950119770000001</v>
      </c>
      <c r="AW421" s="6">
        <f t="shared" si="238"/>
        <v>23.241028279999998</v>
      </c>
      <c r="AX421" s="6">
        <f t="shared" si="238"/>
        <v>23.536455759999999</v>
      </c>
      <c r="AY421" s="6">
        <f t="shared" si="238"/>
        <v>23.83597705</v>
      </c>
      <c r="AZ421" s="6">
        <f t="shared" si="238"/>
        <v>24.13948259</v>
      </c>
      <c r="BA421" s="6">
        <f t="shared" si="238"/>
        <v>24.446919179999998</v>
      </c>
      <c r="BB421" s="6">
        <f t="shared" si="238"/>
        <v>24.759733539999999</v>
      </c>
      <c r="BC421" s="6">
        <f t="shared" si="238"/>
        <v>25.076686850000002</v>
      </c>
      <c r="BD421" s="6">
        <f t="shared" ref="BD421:BF421" si="239">BD394</f>
        <v>25.397598160000001</v>
      </c>
      <c r="BE421" s="6">
        <f t="shared" si="239"/>
        <v>25.722452610000001</v>
      </c>
      <c r="BF421" s="6">
        <f t="shared" si="239"/>
        <v>26.051272480000002</v>
      </c>
    </row>
    <row r="422" spans="1:58" x14ac:dyDescent="0.35">
      <c r="B422" t="s">
        <v>67</v>
      </c>
      <c r="C422" s="6">
        <f>C396</f>
        <v>19.707514920000001</v>
      </c>
      <c r="D422" s="6">
        <f t="shared" ref="D422:AL422" si="240">D396</f>
        <v>19.269353949999999</v>
      </c>
      <c r="E422" s="6">
        <f t="shared" si="240"/>
        <v>19.348048909999999</v>
      </c>
      <c r="F422" s="6">
        <f t="shared" si="240"/>
        <v>19.543540069999999</v>
      </c>
      <c r="G422" s="6">
        <f t="shared" si="240"/>
        <v>19.776557910000001</v>
      </c>
      <c r="H422" s="6">
        <f t="shared" si="240"/>
        <v>20.029240189999999</v>
      </c>
      <c r="I422" s="6">
        <f t="shared" si="240"/>
        <v>20.282763020000001</v>
      </c>
      <c r="J422" s="6">
        <f t="shared" si="240"/>
        <v>20.543746779999999</v>
      </c>
      <c r="K422" s="6">
        <f t="shared" si="240"/>
        <v>20.812823130000002</v>
      </c>
      <c r="L422" s="6">
        <f t="shared" si="240"/>
        <v>21.089378050000001</v>
      </c>
      <c r="M422" s="6">
        <f t="shared" si="240"/>
        <v>21.394665069999999</v>
      </c>
      <c r="N422" s="6">
        <f t="shared" si="240"/>
        <v>21.688013550000001</v>
      </c>
      <c r="O422" s="6">
        <f t="shared" si="240"/>
        <v>21.982117909999999</v>
      </c>
      <c r="P422" s="6">
        <f t="shared" si="240"/>
        <v>22.27924453</v>
      </c>
      <c r="Q422" s="6">
        <f t="shared" si="240"/>
        <v>22.57965085</v>
      </c>
      <c r="R422" s="6">
        <f t="shared" si="240"/>
        <v>22.883335280000001</v>
      </c>
      <c r="S422" s="6">
        <f t="shared" si="240"/>
        <v>23.187530580000001</v>
      </c>
      <c r="T422" s="6">
        <f t="shared" si="240"/>
        <v>23.494744799999999</v>
      </c>
      <c r="U422" s="6">
        <f t="shared" si="240"/>
        <v>23.805742630000001</v>
      </c>
      <c r="V422" s="6">
        <f t="shared" si="240"/>
        <v>24.120985229999999</v>
      </c>
      <c r="W422" s="6">
        <f t="shared" si="240"/>
        <v>24.424791389999999</v>
      </c>
      <c r="X422" s="6">
        <f t="shared" si="240"/>
        <v>24.744462410000001</v>
      </c>
      <c r="Y422" s="6">
        <f t="shared" si="240"/>
        <v>25.072196779999999</v>
      </c>
      <c r="Z422" s="6">
        <f t="shared" si="240"/>
        <v>25.40658427</v>
      </c>
      <c r="AA422" s="6">
        <f t="shared" si="240"/>
        <v>25.747530709999999</v>
      </c>
      <c r="AB422" s="6">
        <f t="shared" si="240"/>
        <v>26.049210550000002</v>
      </c>
      <c r="AC422" s="6">
        <f t="shared" si="240"/>
        <v>26.367784619999998</v>
      </c>
      <c r="AD422" s="6">
        <f t="shared" si="240"/>
        <v>26.69344619</v>
      </c>
      <c r="AE422" s="6">
        <f t="shared" si="240"/>
        <v>27.024573849999999</v>
      </c>
      <c r="AF422" s="6">
        <f t="shared" si="240"/>
        <v>27.36118175</v>
      </c>
      <c r="AG422" s="6">
        <f t="shared" si="240"/>
        <v>27.703545980000001</v>
      </c>
      <c r="AH422" s="6">
        <f t="shared" si="240"/>
        <v>28.052551650000002</v>
      </c>
      <c r="AI422" s="6">
        <f t="shared" si="240"/>
        <v>28.40785657</v>
      </c>
      <c r="AJ422" s="6">
        <f t="shared" si="240"/>
        <v>28.769434019999998</v>
      </c>
      <c r="AK422" s="6">
        <f t="shared" si="240"/>
        <v>29.137259090000001</v>
      </c>
      <c r="AL422" s="6">
        <f t="shared" si="240"/>
        <v>29.511264369999999</v>
      </c>
      <c r="AM422" s="6">
        <f t="shared" ref="AM422:BC422" si="241">AM396</f>
        <v>29.885973079999999</v>
      </c>
      <c r="AN422" s="6">
        <f t="shared" si="241"/>
        <v>30.263889599999999</v>
      </c>
      <c r="AO422" s="6">
        <f t="shared" si="241"/>
        <v>30.645722330000002</v>
      </c>
      <c r="AP422" s="6">
        <f t="shared" si="241"/>
        <v>31.031730060000001</v>
      </c>
      <c r="AQ422" s="6">
        <f t="shared" si="241"/>
        <v>31.422053770000002</v>
      </c>
      <c r="AR422" s="6">
        <f t="shared" si="241"/>
        <v>31.817685619999999</v>
      </c>
      <c r="AS422" s="6">
        <f t="shared" si="241"/>
        <v>32.217994419999997</v>
      </c>
      <c r="AT422" s="6">
        <f t="shared" si="241"/>
        <v>32.622892329999999</v>
      </c>
      <c r="AU422" s="6">
        <f t="shared" si="241"/>
        <v>33.032380959999998</v>
      </c>
      <c r="AV422" s="6">
        <f t="shared" si="241"/>
        <v>33.446466749999999</v>
      </c>
      <c r="AW422" s="6">
        <f t="shared" si="241"/>
        <v>33.869152059999998</v>
      </c>
      <c r="AX422" s="6">
        <f t="shared" si="241"/>
        <v>34.297412010000002</v>
      </c>
      <c r="AY422" s="6">
        <f t="shared" si="241"/>
        <v>34.730614520000003</v>
      </c>
      <c r="AZ422" s="6">
        <f t="shared" si="241"/>
        <v>35.168612160000002</v>
      </c>
      <c r="BA422" s="6">
        <f t="shared" si="241"/>
        <v>35.611368229999997</v>
      </c>
      <c r="BB422" s="6">
        <f t="shared" si="241"/>
        <v>36.060773500000003</v>
      </c>
      <c r="BC422" s="6">
        <f t="shared" si="241"/>
        <v>36.515363899999997</v>
      </c>
      <c r="BD422" s="6">
        <f t="shared" ref="BD422:BF422" si="242">BD396</f>
        <v>36.974890129999999</v>
      </c>
      <c r="BE422" s="6">
        <f t="shared" si="242"/>
        <v>37.439356160000003</v>
      </c>
      <c r="BF422" s="6">
        <f t="shared" si="242"/>
        <v>37.908831159999998</v>
      </c>
    </row>
    <row r="423" spans="1:58" x14ac:dyDescent="0.35">
      <c r="B423" t="s">
        <v>71</v>
      </c>
      <c r="C423" s="6">
        <f>C391+C393+C395+C397+C398+C399</f>
        <v>16.444111885000002</v>
      </c>
      <c r="D423" s="6">
        <f t="shared" ref="D423:AL423" si="243">D391+D393+D395+D397+D398+D399</f>
        <v>16.206331192</v>
      </c>
      <c r="E423" s="6">
        <f t="shared" si="243"/>
        <v>16.144253575</v>
      </c>
      <c r="F423" s="6">
        <f t="shared" si="243"/>
        <v>16.128739961999997</v>
      </c>
      <c r="G423" s="6">
        <f t="shared" si="243"/>
        <v>16.165418472000002</v>
      </c>
      <c r="H423" s="6">
        <f t="shared" si="243"/>
        <v>16.263361852999999</v>
      </c>
      <c r="I423" s="6">
        <f t="shared" si="243"/>
        <v>16.412324159999997</v>
      </c>
      <c r="J423" s="6">
        <f t="shared" si="243"/>
        <v>16.609005250999999</v>
      </c>
      <c r="K423" s="6">
        <f t="shared" si="243"/>
        <v>16.845602526</v>
      </c>
      <c r="L423" s="6">
        <f t="shared" si="243"/>
        <v>17.114258662000001</v>
      </c>
      <c r="M423" s="6">
        <f t="shared" si="243"/>
        <v>17.424085040999998</v>
      </c>
      <c r="N423" s="6">
        <f t="shared" si="243"/>
        <v>17.746176195000004</v>
      </c>
      <c r="O423" s="6">
        <f t="shared" si="243"/>
        <v>18.080847001999999</v>
      </c>
      <c r="P423" s="6">
        <f t="shared" si="243"/>
        <v>18.424959815000001</v>
      </c>
      <c r="Q423" s="6">
        <f t="shared" si="243"/>
        <v>18.775465213000004</v>
      </c>
      <c r="R423" s="6">
        <f t="shared" si="243"/>
        <v>19.129870386</v>
      </c>
      <c r="S423" s="6">
        <f t="shared" si="243"/>
        <v>19.484588766999998</v>
      </c>
      <c r="T423" s="6">
        <f t="shared" si="243"/>
        <v>19.839006011000002</v>
      </c>
      <c r="U423" s="6">
        <f t="shared" si="243"/>
        <v>20.192287207</v>
      </c>
      <c r="V423" s="6">
        <f t="shared" si="243"/>
        <v>20.543987968</v>
      </c>
      <c r="W423" s="6">
        <f t="shared" si="243"/>
        <v>20.882021438999999</v>
      </c>
      <c r="X423" s="6">
        <f t="shared" si="243"/>
        <v>21.222995128999997</v>
      </c>
      <c r="Y423" s="6">
        <f t="shared" si="243"/>
        <v>21.564340551000001</v>
      </c>
      <c r="Z423" s="6">
        <f t="shared" si="243"/>
        <v>21.906313401999999</v>
      </c>
      <c r="AA423" s="6">
        <f t="shared" si="243"/>
        <v>22.249646476000002</v>
      </c>
      <c r="AB423" s="6">
        <f t="shared" si="243"/>
        <v>22.560456207000001</v>
      </c>
      <c r="AC423" s="6">
        <f t="shared" si="243"/>
        <v>22.870583473</v>
      </c>
      <c r="AD423" s="6">
        <f t="shared" si="243"/>
        <v>23.177322705999998</v>
      </c>
      <c r="AE423" s="6">
        <f t="shared" si="243"/>
        <v>23.481742795000002</v>
      </c>
      <c r="AF423" s="6">
        <f t="shared" si="243"/>
        <v>23.785405734000001</v>
      </c>
      <c r="AG423" s="6">
        <f t="shared" si="243"/>
        <v>24.089778219999999</v>
      </c>
      <c r="AH423" s="6">
        <f t="shared" si="243"/>
        <v>24.396497259</v>
      </c>
      <c r="AI423" s="6">
        <f t="shared" si="243"/>
        <v>24.706471443999998</v>
      </c>
      <c r="AJ423" s="6">
        <f t="shared" si="243"/>
        <v>25.020565953999998</v>
      </c>
      <c r="AK423" s="6">
        <f t="shared" si="243"/>
        <v>25.339449155000004</v>
      </c>
      <c r="AL423" s="6">
        <f t="shared" si="243"/>
        <v>25.663581921999999</v>
      </c>
      <c r="AM423" s="6">
        <f t="shared" ref="AM423:BC423" si="244">AM391+AM393+AM395+AM397+AM398+AM399</f>
        <v>25.988047455</v>
      </c>
      <c r="AN423" s="6">
        <f t="shared" si="244"/>
        <v>26.314120697</v>
      </c>
      <c r="AO423" s="6">
        <f t="shared" si="244"/>
        <v>26.642361119999997</v>
      </c>
      <c r="AP423" s="6">
        <f t="shared" si="244"/>
        <v>26.973023957000002</v>
      </c>
      <c r="AQ423" s="6">
        <f t="shared" si="244"/>
        <v>27.306198550000001</v>
      </c>
      <c r="AR423" s="6">
        <f t="shared" si="244"/>
        <v>27.642362369000001</v>
      </c>
      <c r="AS423" s="6">
        <f t="shared" si="244"/>
        <v>27.981213811000003</v>
      </c>
      <c r="AT423" s="6">
        <f t="shared" si="244"/>
        <v>28.322642319</v>
      </c>
      <c r="AU423" s="6">
        <f t="shared" si="244"/>
        <v>28.666530784000003</v>
      </c>
      <c r="AV423" s="6">
        <f t="shared" si="244"/>
        <v>29.012742369000001</v>
      </c>
      <c r="AW423" s="6">
        <f t="shared" si="244"/>
        <v>29.363494294999999</v>
      </c>
      <c r="AX423" s="6">
        <f t="shared" si="244"/>
        <v>29.717591497000001</v>
      </c>
      <c r="AY423" s="6">
        <f t="shared" si="244"/>
        <v>30.074758116999998</v>
      </c>
      <c r="AZ423" s="6">
        <f t="shared" si="244"/>
        <v>30.434774854</v>
      </c>
      <c r="BA423" s="6">
        <f t="shared" si="244"/>
        <v>30.797399184</v>
      </c>
      <c r="BB423" s="6">
        <f t="shared" si="244"/>
        <v>31.163403162000002</v>
      </c>
      <c r="BC423" s="6">
        <f t="shared" si="244"/>
        <v>31.532095898000001</v>
      </c>
      <c r="BD423" s="6">
        <f t="shared" ref="BD423:BF423" si="245">BD391+BD393+BD395+BD397+BD398+BD399</f>
        <v>31.903312526000001</v>
      </c>
      <c r="BE423" s="6">
        <f t="shared" si="245"/>
        <v>32.276966372000004</v>
      </c>
      <c r="BF423" s="6">
        <f t="shared" si="245"/>
        <v>32.653005686</v>
      </c>
    </row>
    <row r="424" spans="1:58" x14ac:dyDescent="0.35">
      <c r="B424" t="s">
        <v>68</v>
      </c>
      <c r="C424" s="6">
        <f>C401</f>
        <v>17.331792620000002</v>
      </c>
      <c r="D424" s="6">
        <f t="shared" ref="D424:AL424" si="246">D401</f>
        <v>17.21258589</v>
      </c>
      <c r="E424" s="6">
        <f t="shared" si="246"/>
        <v>17.291765819999998</v>
      </c>
      <c r="F424" s="6">
        <f t="shared" si="246"/>
        <v>17.429186349999998</v>
      </c>
      <c r="G424" s="6">
        <f t="shared" si="246"/>
        <v>17.597569320000002</v>
      </c>
      <c r="H424" s="6">
        <f t="shared" si="246"/>
        <v>17.789753650000002</v>
      </c>
      <c r="I424" s="6">
        <f t="shared" si="246"/>
        <v>17.99235367</v>
      </c>
      <c r="J424" s="6">
        <f t="shared" si="246"/>
        <v>18.20742959</v>
      </c>
      <c r="K424" s="6">
        <f t="shared" si="246"/>
        <v>18.43375296</v>
      </c>
      <c r="L424" s="6">
        <f t="shared" si="246"/>
        <v>18.669466960000001</v>
      </c>
      <c r="M424" s="6">
        <f t="shared" si="246"/>
        <v>18.928875659999999</v>
      </c>
      <c r="N424" s="6">
        <f t="shared" si="246"/>
        <v>19.184156430000002</v>
      </c>
      <c r="O424" s="6">
        <f t="shared" si="246"/>
        <v>19.440864879999999</v>
      </c>
      <c r="P424" s="6">
        <f t="shared" si="246"/>
        <v>19.699665419999999</v>
      </c>
      <c r="Q424" s="6">
        <f t="shared" si="246"/>
        <v>19.96030038</v>
      </c>
      <c r="R424" s="6">
        <f t="shared" si="246"/>
        <v>20.222503589999999</v>
      </c>
      <c r="S424" s="6">
        <f t="shared" si="246"/>
        <v>20.484865849999998</v>
      </c>
      <c r="T424" s="6">
        <f t="shared" si="246"/>
        <v>20.748319110000001</v>
      </c>
      <c r="U424" s="6">
        <f t="shared" si="246"/>
        <v>21.013194410000001</v>
      </c>
      <c r="V424" s="6">
        <f t="shared" si="246"/>
        <v>21.279743119999999</v>
      </c>
      <c r="W424" s="6">
        <f t="shared" si="246"/>
        <v>21.536409949999999</v>
      </c>
      <c r="X424" s="6">
        <f t="shared" si="246"/>
        <v>21.801772960000001</v>
      </c>
      <c r="Y424" s="6">
        <f t="shared" si="246"/>
        <v>22.07170765</v>
      </c>
      <c r="Z424" s="6">
        <f t="shared" si="246"/>
        <v>22.345393529999999</v>
      </c>
      <c r="AA424" s="6">
        <f t="shared" si="246"/>
        <v>22.622770930000001</v>
      </c>
      <c r="AB424" s="6">
        <f t="shared" si="246"/>
        <v>22.870112979999998</v>
      </c>
      <c r="AC424" s="6">
        <f t="shared" si="246"/>
        <v>23.124401290000002</v>
      </c>
      <c r="AD424" s="6">
        <f t="shared" si="246"/>
        <v>23.381437309999999</v>
      </c>
      <c r="AE424" s="6">
        <f t="shared" si="246"/>
        <v>23.640946039999999</v>
      </c>
      <c r="AF424" s="6">
        <f t="shared" si="246"/>
        <v>23.903477670000001</v>
      </c>
      <c r="AG424" s="6">
        <f t="shared" si="246"/>
        <v>24.169625289999999</v>
      </c>
      <c r="AH424" s="6">
        <f t="shared" si="246"/>
        <v>24.440140530000001</v>
      </c>
      <c r="AI424" s="6">
        <f t="shared" si="246"/>
        <v>24.715141030000002</v>
      </c>
      <c r="AJ424" s="6">
        <f t="shared" si="246"/>
        <v>24.994773769999998</v>
      </c>
      <c r="AK424" s="6">
        <f t="shared" si="246"/>
        <v>25.279122919999999</v>
      </c>
      <c r="AL424" s="6">
        <f t="shared" si="246"/>
        <v>25.56821519</v>
      </c>
      <c r="AM424" s="6">
        <f t="shared" ref="AM424:BC424" si="247">AM401</f>
        <v>25.856509500000001</v>
      </c>
      <c r="AN424" s="6">
        <f t="shared" si="247"/>
        <v>26.14653466</v>
      </c>
      <c r="AO424" s="6">
        <f t="shared" si="247"/>
        <v>26.439235700000001</v>
      </c>
      <c r="AP424" s="6">
        <f t="shared" si="247"/>
        <v>26.735105669999999</v>
      </c>
      <c r="AQ424" s="6">
        <f t="shared" si="247"/>
        <v>27.034494169999999</v>
      </c>
      <c r="AR424" s="6">
        <f t="shared" si="247"/>
        <v>27.338076520000001</v>
      </c>
      <c r="AS424" s="6">
        <f t="shared" si="247"/>
        <v>27.645777769999999</v>
      </c>
      <c r="AT424" s="6">
        <f t="shared" si="247"/>
        <v>27.957674149999999</v>
      </c>
      <c r="AU424" s="6">
        <f t="shared" si="247"/>
        <v>28.273830870000001</v>
      </c>
      <c r="AV424" s="6">
        <f t="shared" si="247"/>
        <v>28.594281169999999</v>
      </c>
      <c r="AW424" s="6">
        <f t="shared" si="247"/>
        <v>28.92112388</v>
      </c>
      <c r="AX424" s="6">
        <f t="shared" si="247"/>
        <v>29.253019179999999</v>
      </c>
      <c r="AY424" s="6">
        <f t="shared" si="247"/>
        <v>29.589605519999999</v>
      </c>
      <c r="AZ424" s="6">
        <f t="shared" si="247"/>
        <v>29.93073141</v>
      </c>
      <c r="BA424" s="6">
        <f t="shared" si="247"/>
        <v>30.276303460000001</v>
      </c>
      <c r="BB424" s="6">
        <f t="shared" si="247"/>
        <v>30.62711637</v>
      </c>
      <c r="BC424" s="6">
        <f t="shared" si="247"/>
        <v>30.98254421</v>
      </c>
      <c r="BD424" s="6">
        <f t="shared" ref="BD424:BF424" si="248">BD401</f>
        <v>31.342435600000002</v>
      </c>
      <c r="BE424" s="6">
        <f t="shared" si="248"/>
        <v>31.706751100000002</v>
      </c>
      <c r="BF424" s="6">
        <f t="shared" si="248"/>
        <v>32.07549118</v>
      </c>
    </row>
    <row r="425" spans="1:58" x14ac:dyDescent="0.35">
      <c r="B425" t="s">
        <v>69</v>
      </c>
      <c r="C425" s="6">
        <f>C403</f>
        <v>19.258166930000002</v>
      </c>
      <c r="D425" s="6">
        <f t="shared" ref="D425:AL425" si="249">D403</f>
        <v>18.90529789</v>
      </c>
      <c r="E425" s="6">
        <f t="shared" si="249"/>
        <v>19.047095030000001</v>
      </c>
      <c r="F425" s="6">
        <f t="shared" si="249"/>
        <v>19.277872819999999</v>
      </c>
      <c r="G425" s="6">
        <f t="shared" si="249"/>
        <v>19.545201819999999</v>
      </c>
      <c r="H425" s="6">
        <f t="shared" si="249"/>
        <v>19.841027149999999</v>
      </c>
      <c r="I425" s="6">
        <f t="shared" si="249"/>
        <v>20.147068260000001</v>
      </c>
      <c r="J425" s="6">
        <f t="shared" si="249"/>
        <v>20.46965161</v>
      </c>
      <c r="K425" s="6">
        <f t="shared" si="249"/>
        <v>20.8077565</v>
      </c>
      <c r="L425" s="6">
        <f t="shared" si="249"/>
        <v>21.15908679</v>
      </c>
      <c r="M425" s="6">
        <f t="shared" si="249"/>
        <v>21.54688964</v>
      </c>
      <c r="N425" s="6">
        <f t="shared" si="249"/>
        <v>21.925319649999999</v>
      </c>
      <c r="O425" s="6">
        <f t="shared" si="249"/>
        <v>22.306236179999999</v>
      </c>
      <c r="P425" s="6">
        <f t="shared" si="249"/>
        <v>22.69046809</v>
      </c>
      <c r="Q425" s="6">
        <f t="shared" si="249"/>
        <v>23.07757213</v>
      </c>
      <c r="R425" s="6">
        <f t="shared" si="249"/>
        <v>23.467233190000002</v>
      </c>
      <c r="S425" s="6">
        <f t="shared" si="249"/>
        <v>23.856655279999998</v>
      </c>
      <c r="T425" s="6">
        <f t="shared" si="249"/>
        <v>24.2481829</v>
      </c>
      <c r="U425" s="6">
        <f t="shared" si="249"/>
        <v>24.642456760000002</v>
      </c>
      <c r="V425" s="6">
        <f t="shared" si="249"/>
        <v>25.039962710000001</v>
      </c>
      <c r="W425" s="6">
        <f t="shared" si="249"/>
        <v>25.4219537</v>
      </c>
      <c r="X425" s="6">
        <f t="shared" si="249"/>
        <v>25.819437229999998</v>
      </c>
      <c r="Y425" s="6">
        <f t="shared" si="249"/>
        <v>26.224551129999998</v>
      </c>
      <c r="Z425" s="6">
        <f t="shared" si="249"/>
        <v>26.636406239999999</v>
      </c>
      <c r="AA425" s="6">
        <f t="shared" si="249"/>
        <v>27.055129869999998</v>
      </c>
      <c r="AB425" s="6">
        <f t="shared" si="249"/>
        <v>27.425304740000001</v>
      </c>
      <c r="AC425" s="6">
        <f t="shared" si="249"/>
        <v>27.80959227</v>
      </c>
      <c r="AD425" s="6">
        <f t="shared" si="249"/>
        <v>28.198469490000001</v>
      </c>
      <c r="AE425" s="6">
        <f t="shared" si="249"/>
        <v>28.59193664</v>
      </c>
      <c r="AF425" s="6">
        <f t="shared" si="249"/>
        <v>28.991210670000001</v>
      </c>
      <c r="AG425" s="6">
        <f t="shared" si="249"/>
        <v>29.39744584</v>
      </c>
      <c r="AH425" s="6">
        <f t="shared" si="249"/>
        <v>29.812150760000002</v>
      </c>
      <c r="AI425" s="6">
        <f t="shared" si="249"/>
        <v>30.235470159999998</v>
      </c>
      <c r="AJ425" s="6">
        <f t="shared" si="249"/>
        <v>30.66773276</v>
      </c>
      <c r="AK425" s="6">
        <f t="shared" si="249"/>
        <v>31.109154920000002</v>
      </c>
      <c r="AL425" s="6">
        <f t="shared" si="249"/>
        <v>31.559848649999999</v>
      </c>
      <c r="AM425" s="6">
        <f t="shared" ref="AM425:BC425" si="250">AM403</f>
        <v>32.011809309999997</v>
      </c>
      <c r="AN425" s="6">
        <f t="shared" si="250"/>
        <v>32.468287230000001</v>
      </c>
      <c r="AO425" s="6">
        <f t="shared" si="250"/>
        <v>32.93061024</v>
      </c>
      <c r="AP425" s="6">
        <f t="shared" si="250"/>
        <v>33.399635969999999</v>
      </c>
      <c r="AQ425" s="6">
        <f t="shared" si="250"/>
        <v>33.876050739999997</v>
      </c>
      <c r="AR425" s="6">
        <f t="shared" si="250"/>
        <v>34.361295810000001</v>
      </c>
      <c r="AS425" s="6">
        <f t="shared" si="250"/>
        <v>34.85514749</v>
      </c>
      <c r="AT425" s="6">
        <f t="shared" si="250"/>
        <v>35.357824839999999</v>
      </c>
      <c r="AU425" s="6">
        <f t="shared" si="250"/>
        <v>35.869515509999999</v>
      </c>
      <c r="AV425" s="6">
        <f t="shared" si="250"/>
        <v>36.390337989999999</v>
      </c>
      <c r="AW425" s="6">
        <f t="shared" si="250"/>
        <v>36.924588739999997</v>
      </c>
      <c r="AX425" s="6">
        <f t="shared" si="250"/>
        <v>37.46939897</v>
      </c>
      <c r="AY425" s="6">
        <f t="shared" si="250"/>
        <v>38.024261060000001</v>
      </c>
      <c r="AZ425" s="6">
        <f t="shared" si="250"/>
        <v>38.588986179999999</v>
      </c>
      <c r="BA425" s="6">
        <f t="shared" si="250"/>
        <v>39.163451989999999</v>
      </c>
      <c r="BB425" s="6">
        <f t="shared" si="250"/>
        <v>39.749461230000001</v>
      </c>
      <c r="BC425" s="6">
        <f t="shared" si="250"/>
        <v>40.345583179999998</v>
      </c>
      <c r="BD425" s="6">
        <f t="shared" ref="BD425:BF425" si="251">BD403</f>
        <v>40.951609019999999</v>
      </c>
      <c r="BE425" s="6">
        <f t="shared" si="251"/>
        <v>41.567518659999998</v>
      </c>
      <c r="BF425" s="6">
        <f t="shared" si="251"/>
        <v>42.193350979999998</v>
      </c>
    </row>
    <row r="426" spans="1:58" x14ac:dyDescent="0.35">
      <c r="B426" t="s">
        <v>70</v>
      </c>
      <c r="C426" s="6">
        <f>C402+C400</f>
        <v>5.5614133429999999</v>
      </c>
      <c r="D426" s="6">
        <f t="shared" ref="D426:AL426" si="252">D402+D400</f>
        <v>5.3918912609999996</v>
      </c>
      <c r="E426" s="6">
        <f t="shared" si="252"/>
        <v>5.428650438</v>
      </c>
      <c r="F426" s="6">
        <f t="shared" si="252"/>
        <v>5.4944634250000002</v>
      </c>
      <c r="G426" s="6">
        <f t="shared" si="252"/>
        <v>5.5680389210000003</v>
      </c>
      <c r="H426" s="6">
        <f t="shared" si="252"/>
        <v>5.6460410840000002</v>
      </c>
      <c r="I426" s="6">
        <f t="shared" si="252"/>
        <v>5.7226631470000004</v>
      </c>
      <c r="J426" s="6">
        <f t="shared" si="252"/>
        <v>5.8007273660000003</v>
      </c>
      <c r="K426" s="6">
        <f t="shared" si="252"/>
        <v>5.8800674950000005</v>
      </c>
      <c r="L426" s="6">
        <f t="shared" si="252"/>
        <v>5.9602603479999994</v>
      </c>
      <c r="M426" s="6">
        <f t="shared" si="252"/>
        <v>6.0484485210000001</v>
      </c>
      <c r="N426" s="6">
        <f t="shared" si="252"/>
        <v>6.1296932679999996</v>
      </c>
      <c r="O426" s="6">
        <f t="shared" si="252"/>
        <v>6.2099923319999997</v>
      </c>
      <c r="P426" s="6">
        <f t="shared" si="252"/>
        <v>6.2900583980000002</v>
      </c>
      <c r="Q426" s="6">
        <f t="shared" si="252"/>
        <v>6.3699799590000001</v>
      </c>
      <c r="R426" s="6">
        <f t="shared" si="252"/>
        <v>6.4498077929999997</v>
      </c>
      <c r="S426" s="6">
        <f t="shared" si="252"/>
        <v>6.5285745009999996</v>
      </c>
      <c r="T426" s="6">
        <f t="shared" si="252"/>
        <v>6.6073364400000001</v>
      </c>
      <c r="U426" s="6">
        <f t="shared" si="252"/>
        <v>6.6863517689999998</v>
      </c>
      <c r="V426" s="6">
        <f t="shared" si="252"/>
        <v>6.7657912190000005</v>
      </c>
      <c r="W426" s="6">
        <f t="shared" si="252"/>
        <v>6.8403930549999998</v>
      </c>
      <c r="X426" s="6">
        <f t="shared" si="252"/>
        <v>6.9202408250000005</v>
      </c>
      <c r="Y426" s="6">
        <f t="shared" si="252"/>
        <v>7.0016623659999997</v>
      </c>
      <c r="Z426" s="6">
        <f t="shared" si="252"/>
        <v>7.0843012020000007</v>
      </c>
      <c r="AA426" s="6">
        <f t="shared" si="252"/>
        <v>7.1682154769999995</v>
      </c>
      <c r="AB426" s="6">
        <f t="shared" si="252"/>
        <v>7.2380622419999998</v>
      </c>
      <c r="AC426" s="6">
        <f t="shared" si="252"/>
        <v>7.3152419979999994</v>
      </c>
      <c r="AD426" s="6">
        <f t="shared" si="252"/>
        <v>7.3945197340000002</v>
      </c>
      <c r="AE426" s="6">
        <f t="shared" si="252"/>
        <v>7.4753693189999995</v>
      </c>
      <c r="AF426" s="6">
        <f t="shared" si="252"/>
        <v>7.557836548</v>
      </c>
      <c r="AG426" s="6">
        <f t="shared" si="252"/>
        <v>7.642014252000001</v>
      </c>
      <c r="AH426" s="6">
        <f t="shared" si="252"/>
        <v>7.7282072960000008</v>
      </c>
      <c r="AI426" s="6">
        <f t="shared" si="252"/>
        <v>7.816252091</v>
      </c>
      <c r="AJ426" s="6">
        <f t="shared" si="252"/>
        <v>7.9061411649999993</v>
      </c>
      <c r="AK426" s="6">
        <f t="shared" si="252"/>
        <v>7.9978693679999999</v>
      </c>
      <c r="AL426" s="6">
        <f t="shared" si="252"/>
        <v>8.0914196030000003</v>
      </c>
      <c r="AM426" s="6">
        <f t="shared" ref="AM426:BC426" si="253">AM402+AM400</f>
        <v>8.1851604669999993</v>
      </c>
      <c r="AN426" s="6">
        <f t="shared" si="253"/>
        <v>8.2801992250000005</v>
      </c>
      <c r="AO426" s="6">
        <f t="shared" si="253"/>
        <v>8.3767112260000012</v>
      </c>
      <c r="AP426" s="6">
        <f t="shared" si="253"/>
        <v>8.474735213999999</v>
      </c>
      <c r="AQ426" s="6">
        <f t="shared" si="253"/>
        <v>8.5742849529999994</v>
      </c>
      <c r="AR426" s="6">
        <f t="shared" si="253"/>
        <v>8.6756944419999993</v>
      </c>
      <c r="AS426" s="6">
        <f t="shared" si="253"/>
        <v>8.7786750050000002</v>
      </c>
      <c r="AT426" s="6">
        <f t="shared" si="253"/>
        <v>8.8831852849999997</v>
      </c>
      <c r="AU426" s="6">
        <f t="shared" si="253"/>
        <v>8.989211117</v>
      </c>
      <c r="AV426" s="6">
        <f t="shared" si="253"/>
        <v>9.0967398389999996</v>
      </c>
      <c r="AW426" s="6">
        <f t="shared" si="253"/>
        <v>9.2071999509999998</v>
      </c>
      <c r="AX426" s="6">
        <f t="shared" si="253"/>
        <v>9.3193393780000005</v>
      </c>
      <c r="AY426" s="6">
        <f t="shared" si="253"/>
        <v>9.4329848219999999</v>
      </c>
      <c r="AZ426" s="6">
        <f t="shared" si="253"/>
        <v>9.5481003740000006</v>
      </c>
      <c r="BA426" s="6">
        <f t="shared" si="253"/>
        <v>9.6646719700000006</v>
      </c>
      <c r="BB426" s="6">
        <f t="shared" si="253"/>
        <v>9.7833909499999994</v>
      </c>
      <c r="BC426" s="6">
        <f t="shared" si="253"/>
        <v>9.9036486349999997</v>
      </c>
      <c r="BD426" s="6">
        <f t="shared" ref="BD426:BF426" si="254">BD402+BD400</f>
        <v>10.025374174</v>
      </c>
      <c r="BE426" s="6">
        <f t="shared" si="254"/>
        <v>10.148567382</v>
      </c>
      <c r="BF426" s="6">
        <f t="shared" si="254"/>
        <v>10.273241102</v>
      </c>
    </row>
    <row r="427" spans="1:58" x14ac:dyDescent="0.35">
      <c r="B427" t="s">
        <v>10</v>
      </c>
      <c r="C427" s="6">
        <f>C404+C405+C415</f>
        <v>49.928135468000001</v>
      </c>
      <c r="D427" s="6">
        <f t="shared" ref="D427:AL427" si="255">D404+D405+D415</f>
        <v>50.020458532000006</v>
      </c>
      <c r="E427" s="6">
        <f t="shared" si="255"/>
        <v>50.339716451000001</v>
      </c>
      <c r="F427" s="6">
        <f t="shared" si="255"/>
        <v>50.759845043000006</v>
      </c>
      <c r="G427" s="6">
        <f t="shared" si="255"/>
        <v>51.271225509000004</v>
      </c>
      <c r="H427" s="6">
        <f t="shared" si="255"/>
        <v>51.878028383999997</v>
      </c>
      <c r="I427" s="6">
        <f t="shared" si="255"/>
        <v>52.543972203999999</v>
      </c>
      <c r="J427" s="6">
        <f t="shared" si="255"/>
        <v>53.279772174000001</v>
      </c>
      <c r="K427" s="6">
        <f t="shared" si="255"/>
        <v>54.078992464999999</v>
      </c>
      <c r="L427" s="6">
        <f t="shared" si="255"/>
        <v>54.932614112000003</v>
      </c>
      <c r="M427" s="6">
        <f t="shared" si="255"/>
        <v>55.891461071999998</v>
      </c>
      <c r="N427" s="6">
        <f t="shared" si="255"/>
        <v>56.855372123999999</v>
      </c>
      <c r="O427" s="6">
        <f t="shared" si="255"/>
        <v>57.842595645000003</v>
      </c>
      <c r="P427" s="6">
        <f t="shared" si="255"/>
        <v>58.852083284999992</v>
      </c>
      <c r="Q427" s="6">
        <f t="shared" si="255"/>
        <v>59.880425320000001</v>
      </c>
      <c r="R427" s="6">
        <f t="shared" si="255"/>
        <v>60.924583038999998</v>
      </c>
      <c r="S427" s="6">
        <f t="shared" si="255"/>
        <v>61.983638243999998</v>
      </c>
      <c r="T427" s="6">
        <f t="shared" si="255"/>
        <v>63.053679505000005</v>
      </c>
      <c r="U427" s="6">
        <f t="shared" si="255"/>
        <v>64.133452861999999</v>
      </c>
      <c r="V427" s="6">
        <f t="shared" si="255"/>
        <v>65.222362911000005</v>
      </c>
      <c r="W427" s="6">
        <f t="shared" si="255"/>
        <v>66.275407408000007</v>
      </c>
      <c r="X427" s="6">
        <f t="shared" si="255"/>
        <v>67.363116767000008</v>
      </c>
      <c r="Y427" s="6">
        <f t="shared" si="255"/>
        <v>68.466195740000003</v>
      </c>
      <c r="Z427" s="6">
        <f t="shared" si="255"/>
        <v>69.582001183000003</v>
      </c>
      <c r="AA427" s="6">
        <f t="shared" si="255"/>
        <v>70.710573382999996</v>
      </c>
      <c r="AB427" s="6">
        <f t="shared" si="255"/>
        <v>71.722262493000002</v>
      </c>
      <c r="AC427" s="6">
        <f t="shared" si="255"/>
        <v>72.759360166999997</v>
      </c>
      <c r="AD427" s="6">
        <f t="shared" si="255"/>
        <v>73.801336476000003</v>
      </c>
      <c r="AE427" s="6">
        <f t="shared" si="255"/>
        <v>74.847709976999994</v>
      </c>
      <c r="AF427" s="6">
        <f t="shared" si="255"/>
        <v>75.901047751000007</v>
      </c>
      <c r="AG427" s="6">
        <f t="shared" si="255"/>
        <v>76.964055504000001</v>
      </c>
      <c r="AH427" s="6">
        <f t="shared" si="255"/>
        <v>78.038461659999996</v>
      </c>
      <c r="AI427" s="6">
        <f t="shared" si="255"/>
        <v>79.126914202999998</v>
      </c>
      <c r="AJ427" s="6">
        <f t="shared" si="255"/>
        <v>80.230983541000001</v>
      </c>
      <c r="AK427" s="6">
        <f t="shared" si="255"/>
        <v>81.351837282000005</v>
      </c>
      <c r="AL427" s="6">
        <f t="shared" si="255"/>
        <v>82.490358938</v>
      </c>
      <c r="AM427" s="6">
        <f t="shared" ref="AM427:BC427" si="256">AM404+AM405+AM415</f>
        <v>83.609574546000005</v>
      </c>
      <c r="AN427" s="6">
        <f t="shared" si="256"/>
        <v>84.734840831</v>
      </c>
      <c r="AO427" s="6">
        <f t="shared" si="256"/>
        <v>85.871100955000003</v>
      </c>
      <c r="AP427" s="6">
        <f t="shared" si="256"/>
        <v>87.020297145000001</v>
      </c>
      <c r="AQ427" s="6">
        <f t="shared" si="256"/>
        <v>88.183761252000011</v>
      </c>
      <c r="AR427" s="6">
        <f t="shared" si="256"/>
        <v>89.361496185999997</v>
      </c>
      <c r="AS427" s="6">
        <f t="shared" si="256"/>
        <v>90.55558009500001</v>
      </c>
      <c r="AT427" s="6">
        <f t="shared" si="256"/>
        <v>91.766771086999995</v>
      </c>
      <c r="AU427" s="6">
        <f t="shared" si="256"/>
        <v>92.995537730000009</v>
      </c>
      <c r="AV427" s="6">
        <f t="shared" si="256"/>
        <v>94.242192349999996</v>
      </c>
      <c r="AW427" s="6">
        <f t="shared" si="256"/>
        <v>95.50589381399999</v>
      </c>
      <c r="AX427" s="6">
        <f t="shared" si="256"/>
        <v>96.789572931000009</v>
      </c>
      <c r="AY427" s="6">
        <f t="shared" si="256"/>
        <v>98.093304529999997</v>
      </c>
      <c r="AZ427" s="6">
        <f t="shared" si="256"/>
        <v>99.416893391000002</v>
      </c>
      <c r="BA427" s="6">
        <f t="shared" si="256"/>
        <v>100.76010671499999</v>
      </c>
      <c r="BB427" s="6">
        <f t="shared" si="256"/>
        <v>102.12011370600001</v>
      </c>
      <c r="BC427" s="6">
        <f t="shared" si="256"/>
        <v>103.49965822999999</v>
      </c>
      <c r="BD427" s="6">
        <f t="shared" ref="BD427:BF427" si="257">BD404+BD405+BD415</f>
        <v>104.89890241200001</v>
      </c>
      <c r="BE427" s="6">
        <f t="shared" si="257"/>
        <v>106.317792457</v>
      </c>
      <c r="BF427" s="6">
        <f t="shared" si="257"/>
        <v>107.75630124199999</v>
      </c>
    </row>
    <row r="428" spans="1:58" x14ac:dyDescent="0.35">
      <c r="B428" t="s">
        <v>29</v>
      </c>
      <c r="C428" s="6">
        <f>C407+C408+C406</f>
        <v>21.547992196999999</v>
      </c>
      <c r="D428" s="6">
        <f t="shared" ref="D428:AL428" si="258">D407+D408+D406</f>
        <v>21.195384697000001</v>
      </c>
      <c r="E428" s="6">
        <f t="shared" si="258"/>
        <v>21.179059713000001</v>
      </c>
      <c r="F428" s="6">
        <f t="shared" si="258"/>
        <v>21.251026783999997</v>
      </c>
      <c r="G428" s="6">
        <f t="shared" si="258"/>
        <v>21.368748677999999</v>
      </c>
      <c r="H428" s="6">
        <f t="shared" si="258"/>
        <v>21.522539025</v>
      </c>
      <c r="I428" s="6">
        <f t="shared" si="258"/>
        <v>21.695071481999999</v>
      </c>
      <c r="J428" s="6">
        <f t="shared" si="258"/>
        <v>21.887766080000002</v>
      </c>
      <c r="K428" s="6">
        <f t="shared" si="258"/>
        <v>22.097734326000005</v>
      </c>
      <c r="L428" s="6">
        <f t="shared" si="258"/>
        <v>22.321663136999998</v>
      </c>
      <c r="M428" s="6">
        <f t="shared" si="258"/>
        <v>22.574967506999997</v>
      </c>
      <c r="N428" s="6">
        <f t="shared" si="258"/>
        <v>22.823792716000003</v>
      </c>
      <c r="O428" s="6">
        <f t="shared" si="258"/>
        <v>23.076113030000002</v>
      </c>
      <c r="P428" s="6">
        <f t="shared" si="258"/>
        <v>23.332766015000001</v>
      </c>
      <c r="Q428" s="6">
        <f t="shared" si="258"/>
        <v>23.593215367999999</v>
      </c>
      <c r="R428" s="6">
        <f t="shared" si="258"/>
        <v>23.856844988000002</v>
      </c>
      <c r="S428" s="6">
        <f t="shared" si="258"/>
        <v>24.121051239</v>
      </c>
      <c r="T428" s="6">
        <f t="shared" si="258"/>
        <v>24.387222412000003</v>
      </c>
      <c r="U428" s="6">
        <f t="shared" si="258"/>
        <v>24.655587974999996</v>
      </c>
      <c r="V428" s="6">
        <f t="shared" si="258"/>
        <v>24.926209636000003</v>
      </c>
      <c r="W428" s="6">
        <f t="shared" si="258"/>
        <v>25.185919325</v>
      </c>
      <c r="X428" s="6">
        <f t="shared" si="258"/>
        <v>25.456200934999998</v>
      </c>
      <c r="Y428" s="6">
        <f t="shared" si="258"/>
        <v>25.731284050999999</v>
      </c>
      <c r="Z428" s="6">
        <f t="shared" si="258"/>
        <v>26.009976592999998</v>
      </c>
      <c r="AA428" s="6">
        <f t="shared" si="258"/>
        <v>26.292139936000002</v>
      </c>
      <c r="AB428" s="6">
        <f t="shared" si="258"/>
        <v>26.540070434</v>
      </c>
      <c r="AC428" s="6">
        <f t="shared" si="258"/>
        <v>26.7977031</v>
      </c>
      <c r="AD428" s="6">
        <f t="shared" si="258"/>
        <v>27.058361470000001</v>
      </c>
      <c r="AE428" s="6">
        <f t="shared" si="258"/>
        <v>27.321079733000001</v>
      </c>
      <c r="AF428" s="6">
        <f t="shared" si="258"/>
        <v>27.586183198999997</v>
      </c>
      <c r="AG428" s="6">
        <f t="shared" si="258"/>
        <v>27.854172117000001</v>
      </c>
      <c r="AH428" s="6">
        <f t="shared" si="258"/>
        <v>28.125970912000003</v>
      </c>
      <c r="AI428" s="6">
        <f t="shared" si="258"/>
        <v>28.401570373999999</v>
      </c>
      <c r="AJ428" s="6">
        <f t="shared" si="258"/>
        <v>28.681148257</v>
      </c>
      <c r="AK428" s="6">
        <f t="shared" si="258"/>
        <v>28.964858498000002</v>
      </c>
      <c r="AL428" s="6">
        <f t="shared" si="258"/>
        <v>29.252803292000003</v>
      </c>
      <c r="AM428" s="6">
        <f t="shared" ref="AM428:BC428" si="259">AM407+AM408+AM406</f>
        <v>29.54029294</v>
      </c>
      <c r="AN428" s="6">
        <f t="shared" si="259"/>
        <v>29.829554958000003</v>
      </c>
      <c r="AO428" s="6">
        <f t="shared" si="259"/>
        <v>30.121383900999998</v>
      </c>
      <c r="AP428" s="6">
        <f t="shared" si="259"/>
        <v>30.416173929999999</v>
      </c>
      <c r="AQ428" s="6">
        <f t="shared" si="259"/>
        <v>30.714205680000003</v>
      </c>
      <c r="AR428" s="6">
        <f t="shared" si="259"/>
        <v>31.016371175</v>
      </c>
      <c r="AS428" s="6">
        <f t="shared" si="259"/>
        <v>31.322357429999997</v>
      </c>
      <c r="AT428" s="6">
        <f t="shared" si="259"/>
        <v>31.632197344999998</v>
      </c>
      <c r="AU428" s="6">
        <f t="shared" si="259"/>
        <v>31.945960987000003</v>
      </c>
      <c r="AV428" s="6">
        <f t="shared" si="259"/>
        <v>32.263698563000005</v>
      </c>
      <c r="AW428" s="6">
        <f t="shared" si="259"/>
        <v>32.588471485999996</v>
      </c>
      <c r="AX428" s="6">
        <f t="shared" si="259"/>
        <v>32.918150869999998</v>
      </c>
      <c r="AY428" s="6">
        <f t="shared" si="259"/>
        <v>33.252255560999998</v>
      </c>
      <c r="AZ428" s="6">
        <f t="shared" si="259"/>
        <v>33.590641422000004</v>
      </c>
      <c r="BA428" s="6">
        <f t="shared" si="259"/>
        <v>33.933232597</v>
      </c>
      <c r="BB428" s="6">
        <f t="shared" si="259"/>
        <v>34.281367347999996</v>
      </c>
      <c r="BC428" s="6">
        <f t="shared" si="259"/>
        <v>34.633974428999998</v>
      </c>
      <c r="BD428" s="6">
        <f t="shared" ref="BD428:BF428" si="260">BD407+BD408+BD406</f>
        <v>34.990813082000003</v>
      </c>
      <c r="BE428" s="6">
        <f t="shared" si="260"/>
        <v>35.351820170000003</v>
      </c>
      <c r="BF428" s="6">
        <f t="shared" si="260"/>
        <v>35.716977238999995</v>
      </c>
    </row>
    <row r="429" spans="1:58" x14ac:dyDescent="0.35">
      <c r="B429" t="s">
        <v>33</v>
      </c>
      <c r="C429" s="6">
        <f>SUM(C409:C413)</f>
        <v>25.073889714</v>
      </c>
      <c r="D429" s="6">
        <f t="shared" ref="D429:AL429" si="261">SUM(D409:D413)</f>
        <v>24.994868278000002</v>
      </c>
      <c r="E429" s="6">
        <f t="shared" si="261"/>
        <v>25.033366448000002</v>
      </c>
      <c r="F429" s="6">
        <f t="shared" si="261"/>
        <v>25.117311760999996</v>
      </c>
      <c r="G429" s="6">
        <f t="shared" si="261"/>
        <v>25.234498445</v>
      </c>
      <c r="H429" s="6">
        <f t="shared" si="261"/>
        <v>25.384164763000001</v>
      </c>
      <c r="I429" s="6">
        <f t="shared" si="261"/>
        <v>25.550815621999998</v>
      </c>
      <c r="J429" s="6">
        <f t="shared" si="261"/>
        <v>25.733551189</v>
      </c>
      <c r="K429" s="6">
        <f t="shared" si="261"/>
        <v>25.929479299999997</v>
      </c>
      <c r="L429" s="6">
        <f t="shared" si="261"/>
        <v>26.135288963000001</v>
      </c>
      <c r="M429" s="6">
        <f t="shared" si="261"/>
        <v>26.371287461000001</v>
      </c>
      <c r="N429" s="6">
        <f t="shared" si="261"/>
        <v>26.598952101000002</v>
      </c>
      <c r="O429" s="6">
        <f t="shared" si="261"/>
        <v>26.82300175</v>
      </c>
      <c r="P429" s="6">
        <f t="shared" si="261"/>
        <v>27.045791299000001</v>
      </c>
      <c r="Q429" s="6">
        <f t="shared" si="261"/>
        <v>27.267920446999998</v>
      </c>
      <c r="R429" s="6">
        <f t="shared" si="261"/>
        <v>27.489452463999999</v>
      </c>
      <c r="S429" s="6">
        <f t="shared" si="261"/>
        <v>27.708639802999997</v>
      </c>
      <c r="T429" s="6">
        <f t="shared" si="261"/>
        <v>27.926460024999997</v>
      </c>
      <c r="U429" s="6">
        <f t="shared" si="261"/>
        <v>28.143618459999999</v>
      </c>
      <c r="V429" s="6">
        <f t="shared" si="261"/>
        <v>28.360692345</v>
      </c>
      <c r="W429" s="6">
        <f t="shared" si="261"/>
        <v>28.561960647999999</v>
      </c>
      <c r="X429" s="6">
        <f t="shared" si="261"/>
        <v>28.772383553000001</v>
      </c>
      <c r="Y429" s="6">
        <f t="shared" si="261"/>
        <v>28.988526457999999</v>
      </c>
      <c r="Z429" s="6">
        <f t="shared" si="261"/>
        <v>29.208712711</v>
      </c>
      <c r="AA429" s="6">
        <f t="shared" si="261"/>
        <v>29.432566580000003</v>
      </c>
      <c r="AB429" s="6">
        <f t="shared" si="261"/>
        <v>29.614531185000001</v>
      </c>
      <c r="AC429" s="6">
        <f t="shared" si="261"/>
        <v>29.802393362000004</v>
      </c>
      <c r="AD429" s="6">
        <f t="shared" si="261"/>
        <v>29.995430835000001</v>
      </c>
      <c r="AE429" s="6">
        <f t="shared" si="261"/>
        <v>30.192897799000001</v>
      </c>
      <c r="AF429" s="6">
        <f t="shared" si="261"/>
        <v>30.394937002999999</v>
      </c>
      <c r="AG429" s="6">
        <f t="shared" si="261"/>
        <v>30.601955390000004</v>
      </c>
      <c r="AH429" s="6">
        <f t="shared" si="261"/>
        <v>30.814721448</v>
      </c>
      <c r="AI429" s="6">
        <f t="shared" si="261"/>
        <v>31.033375668000001</v>
      </c>
      <c r="AJ429" s="6">
        <f t="shared" si="261"/>
        <v>31.258017922000001</v>
      </c>
      <c r="AK429" s="6">
        <f t="shared" si="261"/>
        <v>31.488697043000005</v>
      </c>
      <c r="AL429" s="6">
        <f t="shared" si="261"/>
        <v>31.725405676000001</v>
      </c>
      <c r="AM429" s="6">
        <f t="shared" ref="AM429:BC429" si="262">SUM(AM409:AM413)</f>
        <v>31.960820884</v>
      </c>
      <c r="AN429" s="6">
        <f t="shared" si="262"/>
        <v>32.198536773999997</v>
      </c>
      <c r="AO429" s="6">
        <f t="shared" si="262"/>
        <v>32.440140496999994</v>
      </c>
      <c r="AP429" s="6">
        <f t="shared" si="262"/>
        <v>32.686242704000001</v>
      </c>
      <c r="AQ429" s="6">
        <f t="shared" si="262"/>
        <v>32.937109718000002</v>
      </c>
      <c r="AR429" s="6">
        <f t="shared" si="262"/>
        <v>33.193364176000003</v>
      </c>
      <c r="AS429" s="6">
        <f t="shared" si="262"/>
        <v>33.454868296000001</v>
      </c>
      <c r="AT429" s="6">
        <f t="shared" si="262"/>
        <v>33.721518707000001</v>
      </c>
      <c r="AU429" s="6">
        <f t="shared" si="262"/>
        <v>33.993241248999993</v>
      </c>
      <c r="AV429" s="6">
        <f t="shared" si="262"/>
        <v>34.269970823999998</v>
      </c>
      <c r="AW429" s="6">
        <f t="shared" si="262"/>
        <v>34.554150567999997</v>
      </c>
      <c r="AX429" s="6">
        <f t="shared" si="262"/>
        <v>34.844631296999999</v>
      </c>
      <c r="AY429" s="6">
        <f t="shared" si="262"/>
        <v>35.140719517999997</v>
      </c>
      <c r="AZ429" s="6">
        <f t="shared" si="262"/>
        <v>35.442037101999993</v>
      </c>
      <c r="BA429" s="6">
        <f t="shared" si="262"/>
        <v>35.748365519000004</v>
      </c>
      <c r="BB429" s="6">
        <f t="shared" si="262"/>
        <v>36.060541712000003</v>
      </c>
      <c r="BC429" s="6">
        <f t="shared" si="262"/>
        <v>36.378116921999997</v>
      </c>
      <c r="BD429" s="6">
        <f t="shared" ref="BD429:BF429" si="263">SUM(BD409:BD413)</f>
        <v>36.700814647000001</v>
      </c>
      <c r="BE429" s="6">
        <f t="shared" si="263"/>
        <v>37.028505024000005</v>
      </c>
      <c r="BF429" s="6">
        <f t="shared" si="263"/>
        <v>37.361148122999992</v>
      </c>
    </row>
    <row r="431" spans="1:58" x14ac:dyDescent="0.35">
      <c r="A431" s="12" t="s">
        <v>92</v>
      </c>
      <c r="C431" s="7" t="s">
        <v>72</v>
      </c>
      <c r="D431" s="7" t="s">
        <v>15</v>
      </c>
      <c r="E431" s="7" t="s">
        <v>16</v>
      </c>
      <c r="F431" s="7" t="s">
        <v>17</v>
      </c>
    </row>
    <row r="432" spans="1:58" x14ac:dyDescent="0.35">
      <c r="A432" t="s">
        <v>39</v>
      </c>
      <c r="B432" t="s">
        <v>7</v>
      </c>
      <c r="C432" s="6">
        <f>H418</f>
        <v>14.902107326199999</v>
      </c>
      <c r="D432" s="6">
        <f>R418</f>
        <v>17.170376712099998</v>
      </c>
      <c r="E432" s="6">
        <f>AB418</f>
        <v>19.837677613899999</v>
      </c>
      <c r="F432" s="6">
        <f>AL418</f>
        <v>22.468012298200001</v>
      </c>
    </row>
    <row r="433" spans="1:58" x14ac:dyDescent="0.35">
      <c r="B433" t="s">
        <v>64</v>
      </c>
      <c r="C433" s="6">
        <f t="shared" ref="C433:C443" si="264">H419</f>
        <v>8.8343927200000003</v>
      </c>
      <c r="D433" s="6">
        <f t="shared" ref="D433:D443" si="265">R419</f>
        <v>10.25695591</v>
      </c>
      <c r="E433" s="6">
        <f t="shared" ref="E433:E443" si="266">AB419</f>
        <v>11.925550599999999</v>
      </c>
      <c r="F433" s="6">
        <f t="shared" ref="F433:F443" si="267">AL419</f>
        <v>13.497007160000001</v>
      </c>
    </row>
    <row r="434" spans="1:58" x14ac:dyDescent="0.35">
      <c r="B434" t="s">
        <v>65</v>
      </c>
      <c r="C434" s="6">
        <f t="shared" si="264"/>
        <v>19.372445322000001</v>
      </c>
      <c r="D434" s="6">
        <f t="shared" si="265"/>
        <v>22.362685499999998</v>
      </c>
      <c r="E434" s="6">
        <f t="shared" si="266"/>
        <v>25.846159480000001</v>
      </c>
      <c r="F434" s="6">
        <f t="shared" si="267"/>
        <v>29.626111350000002</v>
      </c>
    </row>
    <row r="435" spans="1:58" x14ac:dyDescent="0.35">
      <c r="B435" t="s">
        <v>66</v>
      </c>
      <c r="C435" s="6">
        <f t="shared" si="264"/>
        <v>13.801524219999999</v>
      </c>
      <c r="D435" s="6">
        <f t="shared" si="265"/>
        <v>15.8755758</v>
      </c>
      <c r="E435" s="6">
        <f t="shared" si="266"/>
        <v>18.008567769999999</v>
      </c>
      <c r="F435" s="6">
        <f t="shared" si="267"/>
        <v>20.289999810000001</v>
      </c>
    </row>
    <row r="436" spans="1:58" x14ac:dyDescent="0.35">
      <c r="B436" t="s">
        <v>67</v>
      </c>
      <c r="C436" s="6">
        <f t="shared" si="264"/>
        <v>20.029240189999999</v>
      </c>
      <c r="D436" s="6">
        <f t="shared" si="265"/>
        <v>22.883335280000001</v>
      </c>
      <c r="E436" s="6">
        <f t="shared" si="266"/>
        <v>26.049210550000002</v>
      </c>
      <c r="F436" s="6">
        <f t="shared" si="267"/>
        <v>29.511264369999999</v>
      </c>
    </row>
    <row r="437" spans="1:58" x14ac:dyDescent="0.35">
      <c r="B437" t="s">
        <v>71</v>
      </c>
      <c r="C437" s="6">
        <f t="shared" si="264"/>
        <v>16.263361852999999</v>
      </c>
      <c r="D437" s="6">
        <f t="shared" si="265"/>
        <v>19.129870386</v>
      </c>
      <c r="E437" s="6">
        <f t="shared" si="266"/>
        <v>22.560456207000001</v>
      </c>
      <c r="F437" s="6">
        <f t="shared" si="267"/>
        <v>25.663581921999999</v>
      </c>
    </row>
    <row r="438" spans="1:58" x14ac:dyDescent="0.35">
      <c r="B438" t="s">
        <v>68</v>
      </c>
      <c r="C438" s="6">
        <f t="shared" si="264"/>
        <v>17.789753650000002</v>
      </c>
      <c r="D438" s="6">
        <f t="shared" si="265"/>
        <v>20.222503589999999</v>
      </c>
      <c r="E438" s="6">
        <f t="shared" si="266"/>
        <v>22.870112979999998</v>
      </c>
      <c r="F438" s="6">
        <f t="shared" si="267"/>
        <v>25.56821519</v>
      </c>
    </row>
    <row r="439" spans="1:58" x14ac:dyDescent="0.35">
      <c r="B439" t="s">
        <v>69</v>
      </c>
      <c r="C439" s="6">
        <f t="shared" si="264"/>
        <v>19.841027149999999</v>
      </c>
      <c r="D439" s="6">
        <f t="shared" si="265"/>
        <v>23.467233190000002</v>
      </c>
      <c r="E439" s="6">
        <f t="shared" si="266"/>
        <v>27.425304740000001</v>
      </c>
      <c r="F439" s="6">
        <f t="shared" si="267"/>
        <v>31.559848649999999</v>
      </c>
    </row>
    <row r="440" spans="1:58" x14ac:dyDescent="0.35">
      <c r="B440" t="s">
        <v>70</v>
      </c>
      <c r="C440" s="6">
        <f t="shared" si="264"/>
        <v>5.6460410840000002</v>
      </c>
      <c r="D440" s="6">
        <f t="shared" si="265"/>
        <v>6.4498077929999997</v>
      </c>
      <c r="E440" s="6">
        <f t="shared" si="266"/>
        <v>7.2380622419999998</v>
      </c>
      <c r="F440" s="6">
        <f t="shared" si="267"/>
        <v>8.0914196030000003</v>
      </c>
    </row>
    <row r="441" spans="1:58" x14ac:dyDescent="0.35">
      <c r="B441" t="s">
        <v>10</v>
      </c>
      <c r="C441" s="6">
        <f t="shared" si="264"/>
        <v>51.878028383999997</v>
      </c>
      <c r="D441" s="6">
        <f t="shared" si="265"/>
        <v>60.924583038999998</v>
      </c>
      <c r="E441" s="6">
        <f t="shared" si="266"/>
        <v>71.722262493000002</v>
      </c>
      <c r="F441" s="6">
        <f t="shared" si="267"/>
        <v>82.490358938</v>
      </c>
    </row>
    <row r="442" spans="1:58" x14ac:dyDescent="0.35">
      <c r="B442" t="s">
        <v>29</v>
      </c>
      <c r="C442" s="6">
        <f t="shared" si="264"/>
        <v>21.522539025</v>
      </c>
      <c r="D442" s="6">
        <f t="shared" si="265"/>
        <v>23.856844988000002</v>
      </c>
      <c r="E442" s="6">
        <f t="shared" si="266"/>
        <v>26.540070434</v>
      </c>
      <c r="F442" s="6">
        <f t="shared" si="267"/>
        <v>29.252803292000003</v>
      </c>
    </row>
    <row r="443" spans="1:58" x14ac:dyDescent="0.35">
      <c r="B443" t="s">
        <v>33</v>
      </c>
      <c r="C443" s="6">
        <f t="shared" si="264"/>
        <v>25.384164763000001</v>
      </c>
      <c r="D443" s="6">
        <f t="shared" si="265"/>
        <v>27.489452463999999</v>
      </c>
      <c r="E443" s="6">
        <f t="shared" si="266"/>
        <v>29.614531185000001</v>
      </c>
      <c r="F443" s="6">
        <f t="shared" si="267"/>
        <v>31.725405676000001</v>
      </c>
    </row>
    <row r="445" spans="1:58" x14ac:dyDescent="0.35">
      <c r="A445" s="12" t="s">
        <v>93</v>
      </c>
      <c r="B445" t="s">
        <v>73</v>
      </c>
      <c r="C445" s="6">
        <f>[1]Results!F281</f>
        <v>162.18403699999999</v>
      </c>
      <c r="D445" s="6">
        <f>[1]Results!G281</f>
        <v>160.963572</v>
      </c>
      <c r="E445" s="6">
        <f>[1]Results!H281</f>
        <v>161.00962820000001</v>
      </c>
      <c r="F445" s="6">
        <f>[1]Results!I281</f>
        <v>161.4187962</v>
      </c>
      <c r="G445" s="6">
        <f>[1]Results!J281</f>
        <v>162.10416269999999</v>
      </c>
      <c r="H445" s="6">
        <f>[1]Results!K281</f>
        <v>163.04756180000001</v>
      </c>
      <c r="I445" s="6">
        <f>[1]Results!L281</f>
        <v>164.1351219</v>
      </c>
      <c r="J445" s="6">
        <f>[1]Results!M281</f>
        <v>165.37803840000001</v>
      </c>
      <c r="K445" s="6">
        <f>[1]Results!N281</f>
        <v>166.7564424</v>
      </c>
      <c r="L445" s="6">
        <f>[1]Results!O281</f>
        <v>168.24463030000001</v>
      </c>
      <c r="M445" s="6">
        <f>[1]Results!P281</f>
        <v>169.95354900000001</v>
      </c>
      <c r="N445" s="6">
        <f>[1]Results!Q281</f>
        <v>171.64238710000001</v>
      </c>
      <c r="O445" s="6">
        <f>[1]Results!R281</f>
        <v>173.35498390000001</v>
      </c>
      <c r="P445" s="6">
        <f>[1]Results!S281</f>
        <v>175.09313929999999</v>
      </c>
      <c r="Q445" s="6">
        <f>[1]Results!T281</f>
        <v>176.85165119999999</v>
      </c>
      <c r="R445" s="6">
        <f>[1]Results!U281</f>
        <v>178.62538960000001</v>
      </c>
      <c r="S445" s="6">
        <f>[1]Results!V281</f>
        <v>180.3995621</v>
      </c>
      <c r="T445" s="6">
        <f>[1]Results!W281</f>
        <v>182.1796957</v>
      </c>
      <c r="U445" s="6">
        <f>[1]Results!X281</f>
        <v>183.9673401</v>
      </c>
      <c r="V445" s="6">
        <f>[1]Results!Y281</f>
        <v>185.763723</v>
      </c>
      <c r="W445" s="6">
        <f>[1]Results!Z281</f>
        <v>187.4733549</v>
      </c>
      <c r="X445" s="6">
        <f>[1]Results!AA281</f>
        <v>189.24945990000001</v>
      </c>
      <c r="Y445" s="6">
        <f>[1]Results!AB281</f>
        <v>191.05626789999999</v>
      </c>
      <c r="Z445" s="6">
        <f>[1]Results!AC281</f>
        <v>192.88741089999999</v>
      </c>
      <c r="AA445" s="6">
        <f>[1]Results!AD281</f>
        <v>194.7425843</v>
      </c>
      <c r="AB445" s="6">
        <f>[1]Results!AE281</f>
        <v>196.34735929999999</v>
      </c>
      <c r="AC445" s="6">
        <f>[1]Results!AF281</f>
        <v>198.00626940000001</v>
      </c>
      <c r="AD445" s="6">
        <f>[1]Results!AG281</f>
        <v>199.68195539999999</v>
      </c>
      <c r="AE445" s="6">
        <f>[1]Results!AH281</f>
        <v>201.3723502</v>
      </c>
      <c r="AF445" s="6">
        <f>[1]Results!AI281</f>
        <v>203.08163880000001</v>
      </c>
      <c r="AG445" s="6">
        <f>[1]Results!AJ281</f>
        <v>204.81425089999999</v>
      </c>
      <c r="AH445" s="6">
        <f>[1]Results!AK281</f>
        <v>206.57646449999999</v>
      </c>
      <c r="AI445" s="6">
        <f>[1]Results!AL281</f>
        <v>208.3697952</v>
      </c>
      <c r="AJ445" s="6">
        <f>[1]Results!AM281</f>
        <v>210.19595469999999</v>
      </c>
      <c r="AK445" s="6">
        <f>[1]Results!AN281</f>
        <v>212.056185</v>
      </c>
      <c r="AL445" s="6">
        <f>[1]Results!AO281</f>
        <v>213.95122319999999</v>
      </c>
      <c r="AM445" s="6">
        <f>[1]Results!AP281</f>
        <v>215.83792750000001</v>
      </c>
      <c r="AN445" s="6">
        <f>[1]Results!AQ281</f>
        <v>217.7386406</v>
      </c>
      <c r="AO445" s="6">
        <f>[1]Results!AR281</f>
        <v>219.6597874</v>
      </c>
      <c r="AP445" s="6">
        <f>[1]Results!AS281</f>
        <v>221.6045043</v>
      </c>
      <c r="AQ445" s="6">
        <f>[1]Results!AT281</f>
        <v>223.57496190000001</v>
      </c>
      <c r="AR445" s="6">
        <f>[1]Results!AU281</f>
        <v>225.57609909999999</v>
      </c>
      <c r="AS445" s="6">
        <f>[1]Results!AV281</f>
        <v>227.6072154</v>
      </c>
      <c r="AT445" s="6">
        <f>[1]Results!AW281</f>
        <v>229.6685784</v>
      </c>
      <c r="AU445" s="6">
        <f>[1]Results!AX281</f>
        <v>231.7604729</v>
      </c>
      <c r="AV445" s="6">
        <f>[1]Results!AY281</f>
        <v>233.8830217</v>
      </c>
      <c r="AW445" s="6">
        <f>[1]Results!AZ281</f>
        <v>236.05273199999999</v>
      </c>
      <c r="AX445" s="6">
        <f>[1]Results!BA281</f>
        <v>238.260008</v>
      </c>
      <c r="AY445" s="6">
        <f>[1]Results!BB281</f>
        <v>240.50174849999999</v>
      </c>
      <c r="AZ445" s="6">
        <f>[1]Results!BC281</f>
        <v>242.77645709999999</v>
      </c>
      <c r="BA445" s="6">
        <f>[1]Results!BD281</f>
        <v>245.0831508</v>
      </c>
      <c r="BB445" s="6">
        <f>[1]Results!BE281</f>
        <v>247.4277491</v>
      </c>
      <c r="BC445" s="6">
        <f>[1]Results!BF281</f>
        <v>249.80592100000001</v>
      </c>
      <c r="BD445" s="6">
        <f>[1]Results!BG281</f>
        <v>252.216174</v>
      </c>
      <c r="BE445" s="6">
        <f>[1]Results!BH281</f>
        <v>254.65788889999999</v>
      </c>
      <c r="BF445" s="6">
        <f>[1]Results!BI281</f>
        <v>257.13081820000002</v>
      </c>
    </row>
    <row r="446" spans="1:58" x14ac:dyDescent="0.35">
      <c r="A446" t="s">
        <v>39</v>
      </c>
      <c r="B446" s="6" t="str">
        <f>[1]Results!E282</f>
        <v>CF_toe_ccoa_2</v>
      </c>
      <c r="C446" s="6">
        <f>[1]Results!F282</f>
        <v>5.4706648409999996</v>
      </c>
      <c r="D446" s="6">
        <f>[1]Results!G282</f>
        <v>5.3602933869999996</v>
      </c>
      <c r="E446" s="6">
        <f>[1]Results!H282</f>
        <v>5.3810457899999999</v>
      </c>
      <c r="F446" s="6">
        <f>[1]Results!I282</f>
        <v>5.4315341779999997</v>
      </c>
      <c r="G446" s="6">
        <f>[1]Results!J282</f>
        <v>5.49289424</v>
      </c>
      <c r="H446" s="6">
        <f>[1]Results!K282</f>
        <v>5.5609323010000002</v>
      </c>
      <c r="I446" s="6">
        <f>[1]Results!L282</f>
        <v>5.6305190060000001</v>
      </c>
      <c r="J446" s="6">
        <f>[1]Results!M282</f>
        <v>5.703169666</v>
      </c>
      <c r="K446" s="6">
        <f>[1]Results!N282</f>
        <v>5.7787995829999996</v>
      </c>
      <c r="L446" s="6">
        <f>[1]Results!O282</f>
        <v>5.8570293800000002</v>
      </c>
      <c r="M446" s="6">
        <f>[1]Results!P282</f>
        <v>5.943483316</v>
      </c>
      <c r="N446" s="6">
        <f>[1]Results!Q282</f>
        <v>6.0271455769999998</v>
      </c>
      <c r="O446" s="6">
        <f>[1]Results!R282</f>
        <v>6.1111997249999996</v>
      </c>
      <c r="P446" s="6">
        <f>[1]Results!S282</f>
        <v>6.1961218970000003</v>
      </c>
      <c r="Q446" s="6">
        <f>[1]Results!T282</f>
        <v>6.2819105930000001</v>
      </c>
      <c r="R446" s="6">
        <f>[1]Results!U282</f>
        <v>6.368523626</v>
      </c>
      <c r="S446" s="6">
        <f>[1]Results!V282</f>
        <v>6.4552279459999999</v>
      </c>
      <c r="T446" s="6">
        <f>[1]Results!W282</f>
        <v>6.5426414819999996</v>
      </c>
      <c r="U446" s="6">
        <f>[1]Results!X282</f>
        <v>6.6309507410000004</v>
      </c>
      <c r="V446" s="6">
        <f>[1]Results!Y282</f>
        <v>6.7202764449999997</v>
      </c>
      <c r="W446" s="6">
        <f>[1]Results!Z282</f>
        <v>6.8063326059999998</v>
      </c>
      <c r="X446" s="6">
        <f>[1]Results!AA282</f>
        <v>6.8964739220000002</v>
      </c>
      <c r="Y446" s="6">
        <f>[1]Results!AB282</f>
        <v>6.9886755919999999</v>
      </c>
      <c r="Z446" s="6">
        <f>[1]Results!AC282</f>
        <v>7.0826023070000002</v>
      </c>
      <c r="AA446" s="6">
        <f>[1]Results!AD282</f>
        <v>7.1782483529999999</v>
      </c>
      <c r="AB446" s="6">
        <f>[1]Results!AE282</f>
        <v>7.2630833700000004</v>
      </c>
      <c r="AC446" s="6">
        <f>[1]Results!AF282</f>
        <v>7.352129895</v>
      </c>
      <c r="AD446" s="6">
        <f>[1]Results!AG282</f>
        <v>7.4428672880000004</v>
      </c>
      <c r="AE446" s="6">
        <f>[1]Results!AH282</f>
        <v>7.5349581839999997</v>
      </c>
      <c r="AF446" s="6">
        <f>[1]Results!AI282</f>
        <v>7.6284718209999998</v>
      </c>
      <c r="AG446" s="6">
        <f>[1]Results!AJ282</f>
        <v>7.7235293800000004</v>
      </c>
      <c r="AH446" s="6">
        <f>[1]Results!AK282</f>
        <v>7.8203940899999997</v>
      </c>
      <c r="AI446" s="6">
        <f>[1]Results!AL282</f>
        <v>7.919009129</v>
      </c>
      <c r="AJ446" s="6">
        <f>[1]Results!AM282</f>
        <v>8.0193882090000006</v>
      </c>
      <c r="AK446" s="6">
        <f>[1]Results!AN282</f>
        <v>8.1215378620000003</v>
      </c>
      <c r="AL446" s="6">
        <f>[1]Results!AO282</f>
        <v>8.2254485820000003</v>
      </c>
      <c r="AM446" s="6">
        <f>[1]Results!AP282</f>
        <v>8.3295153640000006</v>
      </c>
      <c r="AN446" s="6">
        <f>[1]Results!AQ282</f>
        <v>8.4344601109999999</v>
      </c>
      <c r="AO446" s="6">
        <f>[1]Results!AR282</f>
        <v>8.5404939409999994</v>
      </c>
      <c r="AP446" s="6">
        <f>[1]Results!AS282</f>
        <v>8.6477053470000005</v>
      </c>
      <c r="AQ446" s="6">
        <f>[1]Results!AT282</f>
        <v>8.7561491290000006</v>
      </c>
      <c r="AR446" s="6">
        <f>[1]Results!AU282</f>
        <v>8.8660920690000005</v>
      </c>
      <c r="AS446" s="6">
        <f>[1]Results!AV282</f>
        <v>8.9773888110000009</v>
      </c>
      <c r="AT446" s="6">
        <f>[1]Results!AW282</f>
        <v>9.0900258879999996</v>
      </c>
      <c r="AU446" s="6">
        <f>[1]Results!AX282</f>
        <v>9.204007593</v>
      </c>
      <c r="AV446" s="6">
        <f>[1]Results!AY282</f>
        <v>9.3193363970000007</v>
      </c>
      <c r="AW446" s="6">
        <f>[1]Results!AZ282</f>
        <v>9.4370453820000009</v>
      </c>
      <c r="AX446" s="6">
        <f>[1]Results!BA282</f>
        <v>9.5563717930000003</v>
      </c>
      <c r="AY446" s="6">
        <f>[1]Results!BB282</f>
        <v>9.6771549839999995</v>
      </c>
      <c r="AZ446" s="6">
        <f>[1]Results!BC282</f>
        <v>9.7993507910000002</v>
      </c>
      <c r="BA446" s="6">
        <f>[1]Results!BD282</f>
        <v>9.9229414049999995</v>
      </c>
      <c r="BB446" s="6">
        <f>[1]Results!BE282</f>
        <v>10.04839737</v>
      </c>
      <c r="BC446" s="6">
        <f>[1]Results!BF282</f>
        <v>10.17534906</v>
      </c>
      <c r="BD446" s="6">
        <f>[1]Results!BG282</f>
        <v>10.303731320000001</v>
      </c>
      <c r="BE446" s="6">
        <f>[1]Results!BH282</f>
        <v>10.433541050000001</v>
      </c>
      <c r="BF446" s="6">
        <f>[1]Results!BI282</f>
        <v>10.56479193</v>
      </c>
    </row>
    <row r="447" spans="1:58" x14ac:dyDescent="0.35">
      <c r="B447" s="6" t="s">
        <v>74</v>
      </c>
      <c r="C447" s="6">
        <f>C448+C449+C450</f>
        <v>62.268886983800002</v>
      </c>
      <c r="D447" s="6">
        <f t="shared" ref="D447:AL447" si="268">D448+D449+D450</f>
        <v>61.804663196299998</v>
      </c>
      <c r="E447" s="6">
        <f t="shared" si="268"/>
        <v>61.693959762000006</v>
      </c>
      <c r="F447" s="6">
        <f t="shared" si="268"/>
        <v>61.731702261899997</v>
      </c>
      <c r="G447" s="6">
        <f t="shared" si="268"/>
        <v>61.902838689399999</v>
      </c>
      <c r="H447" s="6">
        <f t="shared" si="268"/>
        <v>62.1966633591</v>
      </c>
      <c r="I447" s="6">
        <f t="shared" si="268"/>
        <v>62.570748018800003</v>
      </c>
      <c r="J447" s="6">
        <f t="shared" si="268"/>
        <v>63.019375544799999</v>
      </c>
      <c r="K447" s="6">
        <f t="shared" si="268"/>
        <v>63.530373297800004</v>
      </c>
      <c r="L447" s="6">
        <f t="shared" si="268"/>
        <v>64.0916941025</v>
      </c>
      <c r="M447" s="6">
        <f t="shared" si="268"/>
        <v>64.733140053100001</v>
      </c>
      <c r="N447" s="6">
        <f t="shared" si="268"/>
        <v>65.383608100700002</v>
      </c>
      <c r="O447" s="6">
        <f t="shared" si="268"/>
        <v>66.051585330600005</v>
      </c>
      <c r="P447" s="6">
        <f t="shared" si="268"/>
        <v>66.735067228399998</v>
      </c>
      <c r="Q447" s="6">
        <f t="shared" si="268"/>
        <v>67.430823559300009</v>
      </c>
      <c r="R447" s="6">
        <f t="shared" si="268"/>
        <v>68.136057224400005</v>
      </c>
      <c r="S447" s="6">
        <f t="shared" si="268"/>
        <v>68.845519829400004</v>
      </c>
      <c r="T447" s="6">
        <f t="shared" si="268"/>
        <v>69.560035442200004</v>
      </c>
      <c r="U447" s="6">
        <f t="shared" si="268"/>
        <v>70.279298675099994</v>
      </c>
      <c r="V447" s="6">
        <f t="shared" si="268"/>
        <v>71.0030403369</v>
      </c>
      <c r="W447" s="6">
        <f t="shared" si="268"/>
        <v>71.701929446599991</v>
      </c>
      <c r="X447" s="6">
        <f t="shared" si="268"/>
        <v>72.419390745499996</v>
      </c>
      <c r="Y447" s="6">
        <f t="shared" si="268"/>
        <v>73.146098556400005</v>
      </c>
      <c r="Z447" s="6">
        <f t="shared" si="268"/>
        <v>73.880348548499995</v>
      </c>
      <c r="AA447" s="6">
        <f t="shared" si="268"/>
        <v>74.621980400500007</v>
      </c>
      <c r="AB447" s="6">
        <f t="shared" si="268"/>
        <v>75.28765794840001</v>
      </c>
      <c r="AC447" s="6">
        <f t="shared" si="268"/>
        <v>75.962913054599994</v>
      </c>
      <c r="AD447" s="6">
        <f t="shared" si="268"/>
        <v>76.638568019700003</v>
      </c>
      <c r="AE447" s="6">
        <f t="shared" si="268"/>
        <v>77.314968191300011</v>
      </c>
      <c r="AF447" s="6">
        <f t="shared" si="268"/>
        <v>77.994168623999997</v>
      </c>
      <c r="AG447" s="6">
        <f t="shared" si="268"/>
        <v>78.678173868900004</v>
      </c>
      <c r="AH447" s="6">
        <f t="shared" si="268"/>
        <v>79.369381726400007</v>
      </c>
      <c r="AI447" s="6">
        <f t="shared" si="268"/>
        <v>80.068660240900002</v>
      </c>
      <c r="AJ447" s="6">
        <f t="shared" si="268"/>
        <v>80.776874124300008</v>
      </c>
      <c r="AK447" s="6">
        <f t="shared" si="268"/>
        <v>81.494669287099995</v>
      </c>
      <c r="AL447" s="6">
        <f t="shared" si="268"/>
        <v>82.222486373300001</v>
      </c>
      <c r="AM447" s="6">
        <f t="shared" ref="AM447:BC447" si="269">AM448+AM449+AM450</f>
        <v>82.947090896900008</v>
      </c>
      <c r="AN447" s="6">
        <f t="shared" si="269"/>
        <v>83.674001720699991</v>
      </c>
      <c r="AO447" s="6">
        <f t="shared" si="269"/>
        <v>84.40534479050001</v>
      </c>
      <c r="AP447" s="6">
        <f t="shared" si="269"/>
        <v>85.142462390100007</v>
      </c>
      <c r="AQ447" s="6">
        <f t="shared" si="269"/>
        <v>85.88644208529999</v>
      </c>
      <c r="AR447" s="6">
        <f t="shared" si="269"/>
        <v>86.639170249299994</v>
      </c>
      <c r="AS447" s="6">
        <f t="shared" si="269"/>
        <v>87.400766385300003</v>
      </c>
      <c r="AT447" s="6">
        <f t="shared" si="269"/>
        <v>88.171626822600004</v>
      </c>
      <c r="AU447" s="6">
        <f t="shared" si="269"/>
        <v>88.952069387199998</v>
      </c>
      <c r="AV447" s="6">
        <f t="shared" si="269"/>
        <v>89.742290158299994</v>
      </c>
      <c r="AW447" s="6">
        <f t="shared" si="269"/>
        <v>90.547399213999995</v>
      </c>
      <c r="AX447" s="6">
        <f t="shared" si="269"/>
        <v>91.364562645999996</v>
      </c>
      <c r="AY447" s="6">
        <f t="shared" si="269"/>
        <v>92.192991017099999</v>
      </c>
      <c r="AZ447" s="6">
        <f t="shared" si="269"/>
        <v>93.032286415299993</v>
      </c>
      <c r="BA447" s="6">
        <f t="shared" si="269"/>
        <v>93.882140701100013</v>
      </c>
      <c r="BB447" s="6">
        <f t="shared" si="269"/>
        <v>94.744308602199993</v>
      </c>
      <c r="BC447" s="6">
        <f t="shared" si="269"/>
        <v>95.617331355399998</v>
      </c>
      <c r="BD447" s="6">
        <f t="shared" ref="BD447:BF447" si="270">BD448+BD449+BD450</f>
        <v>96.500745399500005</v>
      </c>
      <c r="BE447" s="6">
        <f t="shared" si="270"/>
        <v>97.394321790399999</v>
      </c>
      <c r="BF447" s="6">
        <f t="shared" si="270"/>
        <v>98.297917839699991</v>
      </c>
    </row>
    <row r="448" spans="1:58" x14ac:dyDescent="0.35">
      <c r="B448" s="6" t="str">
        <f>[1]Results!E285</f>
        <v>CF_toe_ccoi_2</v>
      </c>
      <c r="C448" s="6">
        <f>[1]Results!F285</f>
        <v>8.4807423800000004E-2</v>
      </c>
      <c r="D448" s="6">
        <f>[1]Results!G285</f>
        <v>8.3775646300000006E-2</v>
      </c>
      <c r="E448" s="6">
        <f>[1]Results!H285</f>
        <v>8.4029151999999996E-2</v>
      </c>
      <c r="F448" s="6">
        <f>[1]Results!I285</f>
        <v>8.4589131900000003E-2</v>
      </c>
      <c r="G448" s="6">
        <f>[1]Results!J285</f>
        <v>8.53331794E-2</v>
      </c>
      <c r="H448" s="6">
        <f>[1]Results!K285</f>
        <v>8.6248139099999996E-2</v>
      </c>
      <c r="I448" s="6">
        <f>[1]Results!L285</f>
        <v>8.7267638800000005E-2</v>
      </c>
      <c r="J448" s="6">
        <f>[1]Results!M285</f>
        <v>8.8403974799999993E-2</v>
      </c>
      <c r="K448" s="6">
        <f>[1]Results!N285</f>
        <v>8.9644157799999999E-2</v>
      </c>
      <c r="L448" s="6">
        <f>[1]Results!O285</f>
        <v>9.0971602499999998E-2</v>
      </c>
      <c r="M448" s="6">
        <f>[1]Results!P285</f>
        <v>9.2464343099999999E-2</v>
      </c>
      <c r="N448" s="6">
        <f>[1]Results!Q285</f>
        <v>9.3958410699999995E-2</v>
      </c>
      <c r="O448" s="6">
        <f>[1]Results!R285</f>
        <v>9.5484230599999997E-2</v>
      </c>
      <c r="P448" s="6">
        <f>[1]Results!S285</f>
        <v>9.7040218400000003E-2</v>
      </c>
      <c r="Q448" s="6">
        <f>[1]Results!T285</f>
        <v>9.8620809300000001E-2</v>
      </c>
      <c r="R448" s="6">
        <f>[1]Results!U285</f>
        <v>0.1002211744</v>
      </c>
      <c r="S448" s="6">
        <f>[1]Results!V285</f>
        <v>0.10183221940000001</v>
      </c>
      <c r="T448" s="6">
        <f>[1]Results!W285</f>
        <v>0.1034549422</v>
      </c>
      <c r="U448" s="6">
        <f>[1]Results!X285</f>
        <v>0.10508874510000001</v>
      </c>
      <c r="V448" s="6">
        <f>[1]Results!Y285</f>
        <v>0.1067333969</v>
      </c>
      <c r="W448" s="6">
        <f>[1]Results!Z285</f>
        <v>0.1083196266</v>
      </c>
      <c r="X448" s="6">
        <f>[1]Results!AA285</f>
        <v>0.1099556755</v>
      </c>
      <c r="Y448" s="6">
        <f>[1]Results!AB285</f>
        <v>0.1116148064</v>
      </c>
      <c r="Z448" s="6">
        <f>[1]Results!AC285</f>
        <v>0.11329346849999999</v>
      </c>
      <c r="AA448" s="6">
        <f>[1]Results!AD285</f>
        <v>0.1149921305</v>
      </c>
      <c r="AB448" s="6">
        <f>[1]Results!AE285</f>
        <v>0.1165112484</v>
      </c>
      <c r="AC448" s="6">
        <f>[1]Results!AF285</f>
        <v>0.1180676046</v>
      </c>
      <c r="AD448" s="6">
        <f>[1]Results!AG285</f>
        <v>0.11963162970000001</v>
      </c>
      <c r="AE448" s="6">
        <f>[1]Results!AH285</f>
        <v>0.1212030813</v>
      </c>
      <c r="AF448" s="6">
        <f>[1]Results!AI285</f>
        <v>0.12278634400000001</v>
      </c>
      <c r="AG448" s="6">
        <f>[1]Results!AJ285</f>
        <v>0.12438590889999999</v>
      </c>
      <c r="AH448" s="6">
        <f>[1]Results!AK285</f>
        <v>0.12600656639999999</v>
      </c>
      <c r="AI448" s="6">
        <f>[1]Results!AL285</f>
        <v>0.12765076089999999</v>
      </c>
      <c r="AJ448" s="6">
        <f>[1]Results!AM285</f>
        <v>0.1293206143</v>
      </c>
      <c r="AK448" s="6">
        <f>[1]Results!AN285</f>
        <v>0.13101770709999999</v>
      </c>
      <c r="AL448" s="6">
        <f>[1]Results!AO285</f>
        <v>0.13274312329999999</v>
      </c>
      <c r="AM448" s="6">
        <f>[1]Results!AP285</f>
        <v>0.13445768690000001</v>
      </c>
      <c r="AN448" s="6">
        <f>[1]Results!AQ285</f>
        <v>0.13618278070000001</v>
      </c>
      <c r="AO448" s="6">
        <f>[1]Results!AR285</f>
        <v>0.13792403049999999</v>
      </c>
      <c r="AP448" s="6">
        <f>[1]Results!AS285</f>
        <v>0.13968416010000001</v>
      </c>
      <c r="AQ448" s="6">
        <f>[1]Results!AT285</f>
        <v>0.14146508529999999</v>
      </c>
      <c r="AR448" s="6">
        <f>[1]Results!AU285</f>
        <v>0.1432695393</v>
      </c>
      <c r="AS448" s="6">
        <f>[1]Results!AV285</f>
        <v>0.1450980553</v>
      </c>
      <c r="AT448" s="6">
        <f>[1]Results!AW285</f>
        <v>0.14695128260000001</v>
      </c>
      <c r="AU448" s="6">
        <f>[1]Results!AX285</f>
        <v>0.1488296872</v>
      </c>
      <c r="AV448" s="6">
        <f>[1]Results!AY285</f>
        <v>0.1507335283</v>
      </c>
      <c r="AW448" s="6">
        <f>[1]Results!AZ285</f>
        <v>0.15267125400000001</v>
      </c>
      <c r="AX448" s="6">
        <f>[1]Results!BA285</f>
        <v>0.15463881600000001</v>
      </c>
      <c r="AY448" s="6">
        <f>[1]Results!BB285</f>
        <v>0.15663504710000001</v>
      </c>
      <c r="AZ448" s="6">
        <f>[1]Results!BC285</f>
        <v>0.15865931529999999</v>
      </c>
      <c r="BA448" s="6">
        <f>[1]Results!BD285</f>
        <v>0.16071108109999999</v>
      </c>
      <c r="BB448" s="6">
        <f>[1]Results!BE285</f>
        <v>0.16279225219999999</v>
      </c>
      <c r="BC448" s="6">
        <f>[1]Results!BF285</f>
        <v>0.16490149539999999</v>
      </c>
      <c r="BD448" s="6">
        <f>[1]Results!BG285</f>
        <v>0.1670383195</v>
      </c>
      <c r="BE448" s="6">
        <f>[1]Results!BH285</f>
        <v>0.1692025304</v>
      </c>
      <c r="BF448" s="6">
        <f>[1]Results!BI285</f>
        <v>0.17139407970000001</v>
      </c>
    </row>
    <row r="449" spans="1:58" x14ac:dyDescent="0.35">
      <c r="B449" s="6" t="str">
        <f>[1]Results!E288</f>
        <v>CF_toe_cfut_2</v>
      </c>
      <c r="C449" s="6">
        <f>[1]Results!F288</f>
        <v>47.360087559999997</v>
      </c>
      <c r="D449" s="6">
        <f>[1]Results!G288</f>
        <v>46.95822974</v>
      </c>
      <c r="E449" s="6">
        <f>[1]Results!H288</f>
        <v>46.847514590000003</v>
      </c>
      <c r="F449" s="6">
        <f>[1]Results!I288</f>
        <v>46.867968509999997</v>
      </c>
      <c r="G449" s="6">
        <f>[1]Results!J288</f>
        <v>47.005383909999999</v>
      </c>
      <c r="H449" s="6">
        <f>[1]Results!K288</f>
        <v>47.24814215</v>
      </c>
      <c r="I449" s="6">
        <f>[1]Results!L288</f>
        <v>47.562888510000001</v>
      </c>
      <c r="J449" s="6">
        <f>[1]Results!M288</f>
        <v>47.940799069999997</v>
      </c>
      <c r="K449" s="6">
        <f>[1]Results!N288</f>
        <v>48.369723020000002</v>
      </c>
      <c r="L449" s="6">
        <f>[1]Results!O288</f>
        <v>48.839061350000001</v>
      </c>
      <c r="M449" s="6">
        <f>[1]Results!P288</f>
        <v>49.36898987</v>
      </c>
      <c r="N449" s="6">
        <f>[1]Results!Q288</f>
        <v>49.908859759999999</v>
      </c>
      <c r="O449" s="6">
        <f>[1]Results!R288</f>
        <v>50.463778529999999</v>
      </c>
      <c r="P449" s="6">
        <f>[1]Results!S288</f>
        <v>51.0314689</v>
      </c>
      <c r="Q449" s="6">
        <f>[1]Results!T288</f>
        <v>51.609093020000003</v>
      </c>
      <c r="R449" s="6">
        <f>[1]Results!U288</f>
        <v>52.194399410000003</v>
      </c>
      <c r="S449" s="6">
        <f>[1]Results!V288</f>
        <v>52.78360395</v>
      </c>
      <c r="T449" s="6">
        <f>[1]Results!W288</f>
        <v>53.377013820000002</v>
      </c>
      <c r="U449" s="6">
        <f>[1]Results!X288</f>
        <v>53.974186209999999</v>
      </c>
      <c r="V449" s="6">
        <f>[1]Results!Y288</f>
        <v>54.57478322</v>
      </c>
      <c r="W449" s="6">
        <f>[1]Results!Z288</f>
        <v>55.157546109999998</v>
      </c>
      <c r="X449" s="6">
        <f>[1]Results!AA288</f>
        <v>55.753219389999998</v>
      </c>
      <c r="Y449" s="6">
        <f>[1]Results!AB288</f>
        <v>56.355294149999999</v>
      </c>
      <c r="Z449" s="6">
        <f>[1]Results!AC288</f>
        <v>56.962756300000002</v>
      </c>
      <c r="AA449" s="6">
        <f>[1]Results!AD288</f>
        <v>57.57559431</v>
      </c>
      <c r="AB449" s="6">
        <f>[1]Results!AE288</f>
        <v>58.133504350000003</v>
      </c>
      <c r="AC449" s="6">
        <f>[1]Results!AF288</f>
        <v>58.696853390000001</v>
      </c>
      <c r="AD449" s="6">
        <f>[1]Results!AG288</f>
        <v>59.259114320000002</v>
      </c>
      <c r="AE449" s="6">
        <f>[1]Results!AH288</f>
        <v>59.820912530000001</v>
      </c>
      <c r="AF449" s="6">
        <f>[1]Results!AI288</f>
        <v>60.384068669999998</v>
      </c>
      <c r="AG449" s="6">
        <f>[1]Results!AJ288</f>
        <v>60.950348159999997</v>
      </c>
      <c r="AH449" s="6">
        <f>[1]Results!AK288</f>
        <v>61.521665740000003</v>
      </c>
      <c r="AI449" s="6">
        <f>[1]Results!AL288</f>
        <v>62.09883722</v>
      </c>
      <c r="AJ449" s="6">
        <f>[1]Results!AM288</f>
        <v>62.682614610000002</v>
      </c>
      <c r="AK449" s="6">
        <f>[1]Results!AN288</f>
        <v>63.273543869999997</v>
      </c>
      <c r="AL449" s="6">
        <f>[1]Results!AO288</f>
        <v>63.871992400000003</v>
      </c>
      <c r="AM449" s="6">
        <f>[1]Results!AP288</f>
        <v>64.467863940000001</v>
      </c>
      <c r="AN449" s="6">
        <f>[1]Results!AQ288</f>
        <v>65.065173729999998</v>
      </c>
      <c r="AO449" s="6">
        <f>[1]Results!AR288</f>
        <v>65.665523460000003</v>
      </c>
      <c r="AP449" s="6">
        <f>[1]Results!AS288</f>
        <v>66.269973590000006</v>
      </c>
      <c r="AQ449" s="6">
        <f>[1]Results!AT288</f>
        <v>66.879410809999996</v>
      </c>
      <c r="AR449" s="6">
        <f>[1]Results!AU288</f>
        <v>67.495227560000004</v>
      </c>
      <c r="AS449" s="6">
        <f>[1]Results!AV288</f>
        <v>68.117636610000005</v>
      </c>
      <c r="AT449" s="6">
        <f>[1]Results!AW288</f>
        <v>68.747020610000007</v>
      </c>
      <c r="AU449" s="6">
        <f>[1]Results!AX288</f>
        <v>69.383670519999995</v>
      </c>
      <c r="AV449" s="6">
        <f>[1]Results!AY288</f>
        <v>70.027763759999999</v>
      </c>
      <c r="AW449" s="6">
        <f>[1]Results!AZ288</f>
        <v>70.682807190000005</v>
      </c>
      <c r="AX449" s="6">
        <f>[1]Results!BA288</f>
        <v>71.346908040000002</v>
      </c>
      <c r="AY449" s="6">
        <f>[1]Results!BB288</f>
        <v>72.019593060000005</v>
      </c>
      <c r="AZ449" s="6">
        <f>[1]Results!BC288</f>
        <v>72.700600969999996</v>
      </c>
      <c r="BA449" s="6">
        <f>[1]Results!BD288</f>
        <v>73.389698210000006</v>
      </c>
      <c r="BB449" s="6">
        <f>[1]Results!BE288</f>
        <v>74.087995789999994</v>
      </c>
      <c r="BC449" s="6">
        <f>[1]Results!BF288</f>
        <v>74.794485739999999</v>
      </c>
      <c r="BD449" s="6">
        <f>[1]Results!BG288</f>
        <v>75.508855710000006</v>
      </c>
      <c r="BE449" s="6">
        <f>[1]Results!BH288</f>
        <v>76.230931310000003</v>
      </c>
      <c r="BF449" s="6">
        <f>[1]Results!BI288</f>
        <v>76.96058524</v>
      </c>
    </row>
    <row r="450" spans="1:58" x14ac:dyDescent="0.35">
      <c r="B450" s="6" t="str">
        <f>[1]Results!E291</f>
        <v>CF_toe_cfuh_2</v>
      </c>
      <c r="C450" s="6">
        <f>[1]Results!F291</f>
        <v>14.823992000000001</v>
      </c>
      <c r="D450" s="6">
        <f>[1]Results!G291</f>
        <v>14.76265781</v>
      </c>
      <c r="E450" s="6">
        <f>[1]Results!H291</f>
        <v>14.76241602</v>
      </c>
      <c r="F450" s="6">
        <f>[1]Results!I291</f>
        <v>14.77914462</v>
      </c>
      <c r="G450" s="6">
        <f>[1]Results!J291</f>
        <v>14.812121599999999</v>
      </c>
      <c r="H450" s="6">
        <f>[1]Results!K291</f>
        <v>14.862273070000001</v>
      </c>
      <c r="I450" s="6">
        <f>[1]Results!L291</f>
        <v>14.920591870000001</v>
      </c>
      <c r="J450" s="6">
        <f>[1]Results!M291</f>
        <v>14.9901725</v>
      </c>
      <c r="K450" s="6">
        <f>[1]Results!N291</f>
        <v>15.07100612</v>
      </c>
      <c r="L450" s="6">
        <f>[1]Results!O291</f>
        <v>15.16166115</v>
      </c>
      <c r="M450" s="6">
        <f>[1]Results!P291</f>
        <v>15.27168584</v>
      </c>
      <c r="N450" s="6">
        <f>[1]Results!Q291</f>
        <v>15.380789930000001</v>
      </c>
      <c r="O450" s="6">
        <f>[1]Results!R291</f>
        <v>15.492322570000001</v>
      </c>
      <c r="P450" s="6">
        <f>[1]Results!S291</f>
        <v>15.60655811</v>
      </c>
      <c r="Q450" s="6">
        <f>[1]Results!T291</f>
        <v>15.723109729999999</v>
      </c>
      <c r="R450" s="6">
        <f>[1]Results!U291</f>
        <v>15.84143664</v>
      </c>
      <c r="S450" s="6">
        <f>[1]Results!V291</f>
        <v>15.96008366</v>
      </c>
      <c r="T450" s="6">
        <f>[1]Results!W291</f>
        <v>16.079566679999999</v>
      </c>
      <c r="U450" s="6">
        <f>[1]Results!X291</f>
        <v>16.200023720000001</v>
      </c>
      <c r="V450" s="6">
        <f>[1]Results!Y291</f>
        <v>16.321523719999998</v>
      </c>
      <c r="W450" s="6">
        <f>[1]Results!Z291</f>
        <v>16.436063709999999</v>
      </c>
      <c r="X450" s="6">
        <f>[1]Results!AA291</f>
        <v>16.556215680000001</v>
      </c>
      <c r="Y450" s="6">
        <f>[1]Results!AB291</f>
        <v>16.679189600000001</v>
      </c>
      <c r="Z450" s="6">
        <f>[1]Results!AC291</f>
        <v>16.80429878</v>
      </c>
      <c r="AA450" s="6">
        <f>[1]Results!AD291</f>
        <v>16.931393960000001</v>
      </c>
      <c r="AB450" s="6">
        <f>[1]Results!AE291</f>
        <v>17.037642349999999</v>
      </c>
      <c r="AC450" s="6">
        <f>[1]Results!AF291</f>
        <v>17.14799206</v>
      </c>
      <c r="AD450" s="6">
        <f>[1]Results!AG291</f>
        <v>17.259822069999998</v>
      </c>
      <c r="AE450" s="6">
        <f>[1]Results!AH291</f>
        <v>17.37285258</v>
      </c>
      <c r="AF450" s="6">
        <f>[1]Results!AI291</f>
        <v>17.487313610000001</v>
      </c>
      <c r="AG450" s="6">
        <f>[1]Results!AJ291</f>
        <v>17.6034398</v>
      </c>
      <c r="AH450" s="6">
        <f>[1]Results!AK291</f>
        <v>17.72170942</v>
      </c>
      <c r="AI450" s="6">
        <f>[1]Results!AL291</f>
        <v>17.842172260000002</v>
      </c>
      <c r="AJ450" s="6">
        <f>[1]Results!AM291</f>
        <v>17.9649389</v>
      </c>
      <c r="AK450" s="6">
        <f>[1]Results!AN291</f>
        <v>18.090107710000002</v>
      </c>
      <c r="AL450" s="6">
        <f>[1]Results!AO291</f>
        <v>18.217750850000002</v>
      </c>
      <c r="AM450" s="6">
        <f>[1]Results!AP291</f>
        <v>18.34476927</v>
      </c>
      <c r="AN450" s="6">
        <f>[1]Results!AQ291</f>
        <v>18.47264521</v>
      </c>
      <c r="AO450" s="6">
        <f>[1]Results!AR291</f>
        <v>18.601897300000001</v>
      </c>
      <c r="AP450" s="6">
        <f>[1]Results!AS291</f>
        <v>18.732804640000001</v>
      </c>
      <c r="AQ450" s="6">
        <f>[1]Results!AT291</f>
        <v>18.865566189999999</v>
      </c>
      <c r="AR450" s="6">
        <f>[1]Results!AU291</f>
        <v>19.000673150000001</v>
      </c>
      <c r="AS450" s="6">
        <f>[1]Results!AV291</f>
        <v>19.138031720000001</v>
      </c>
      <c r="AT450" s="6">
        <f>[1]Results!AW291</f>
        <v>19.277654930000001</v>
      </c>
      <c r="AU450" s="6">
        <f>[1]Results!AX291</f>
        <v>19.41956918</v>
      </c>
      <c r="AV450" s="6">
        <f>[1]Results!AY291</f>
        <v>19.56379287</v>
      </c>
      <c r="AW450" s="6">
        <f>[1]Results!AZ291</f>
        <v>19.711920769999999</v>
      </c>
      <c r="AX450" s="6">
        <f>[1]Results!BA291</f>
        <v>19.863015789999999</v>
      </c>
      <c r="AY450" s="6">
        <f>[1]Results!BB291</f>
        <v>20.016762910000001</v>
      </c>
      <c r="AZ450" s="6">
        <f>[1]Results!BC291</f>
        <v>20.17302613</v>
      </c>
      <c r="BA450" s="6">
        <f>[1]Results!BD291</f>
        <v>20.33173141</v>
      </c>
      <c r="BB450" s="6">
        <f>[1]Results!BE291</f>
        <v>20.49352056</v>
      </c>
      <c r="BC450" s="6">
        <f>[1]Results!BF291</f>
        <v>20.65794412</v>
      </c>
      <c r="BD450" s="6">
        <f>[1]Results!BG291</f>
        <v>20.824851370000001</v>
      </c>
      <c r="BE450" s="6">
        <f>[1]Results!BH291</f>
        <v>20.994187950000001</v>
      </c>
      <c r="BF450" s="6">
        <f>[1]Results!BI291</f>
        <v>21.165938520000001</v>
      </c>
    </row>
    <row r="451" spans="1:58" x14ac:dyDescent="0.35">
      <c r="B451" s="6" t="str">
        <f>[1]Results!E293</f>
        <v>CF_toe_cgas_2</v>
      </c>
      <c r="C451" s="6">
        <f>[1]Results!F293</f>
        <v>34.426773449999999</v>
      </c>
      <c r="D451" s="6">
        <f>[1]Results!G293</f>
        <v>34.222789429999999</v>
      </c>
      <c r="E451" s="6">
        <f>[1]Results!H293</f>
        <v>34.281545639999997</v>
      </c>
      <c r="F451" s="6">
        <f>[1]Results!I293</f>
        <v>34.396639819999997</v>
      </c>
      <c r="G451" s="6">
        <f>[1]Results!J293</f>
        <v>34.552642859999999</v>
      </c>
      <c r="H451" s="6">
        <f>[1]Results!K293</f>
        <v>34.751508970000003</v>
      </c>
      <c r="I451" s="6">
        <f>[1]Results!L293</f>
        <v>34.970683270000002</v>
      </c>
      <c r="J451" s="6">
        <f>[1]Results!M293</f>
        <v>35.220445169999998</v>
      </c>
      <c r="K451" s="6">
        <f>[1]Results!N293</f>
        <v>35.499927049999997</v>
      </c>
      <c r="L451" s="6">
        <f>[1]Results!O293</f>
        <v>35.8050657</v>
      </c>
      <c r="M451" s="6">
        <f>[1]Results!P293</f>
        <v>36.164243800000001</v>
      </c>
      <c r="N451" s="6">
        <f>[1]Results!Q293</f>
        <v>36.518858649999999</v>
      </c>
      <c r="O451" s="6">
        <f>[1]Results!R293</f>
        <v>36.880572360000002</v>
      </c>
      <c r="P451" s="6">
        <f>[1]Results!S293</f>
        <v>37.250280930000002</v>
      </c>
      <c r="Q451" s="6">
        <f>[1]Results!T293</f>
        <v>37.62673324</v>
      </c>
      <c r="R451" s="6">
        <f>[1]Results!U293</f>
        <v>38.008468999999998</v>
      </c>
      <c r="S451" s="6">
        <f>[1]Results!V293</f>
        <v>38.391790870000001</v>
      </c>
      <c r="T451" s="6">
        <f>[1]Results!W293</f>
        <v>38.77766613</v>
      </c>
      <c r="U451" s="6">
        <f>[1]Results!X293</f>
        <v>39.166193669999998</v>
      </c>
      <c r="V451" s="6">
        <f>[1]Results!Y293</f>
        <v>39.557387749999997</v>
      </c>
      <c r="W451" s="6">
        <f>[1]Results!Z293</f>
        <v>39.927786910000002</v>
      </c>
      <c r="X451" s="6">
        <f>[1]Results!AA293</f>
        <v>40.314799469999997</v>
      </c>
      <c r="Y451" s="6">
        <f>[1]Results!AB293</f>
        <v>40.709028840000002</v>
      </c>
      <c r="Z451" s="6">
        <f>[1]Results!AC293</f>
        <v>41.108580609999997</v>
      </c>
      <c r="AA451" s="6">
        <f>[1]Results!AD293</f>
        <v>41.513141699999998</v>
      </c>
      <c r="AB451" s="6">
        <f>[1]Results!AE293</f>
        <v>41.856029079999999</v>
      </c>
      <c r="AC451" s="6">
        <f>[1]Results!AF293</f>
        <v>42.212302450000003</v>
      </c>
      <c r="AD451" s="6">
        <f>[1]Results!AG293</f>
        <v>42.572158889999997</v>
      </c>
      <c r="AE451" s="6">
        <f>[1]Results!AH293</f>
        <v>42.934691340000001</v>
      </c>
      <c r="AF451" s="6">
        <f>[1]Results!AI293</f>
        <v>43.300575979999998</v>
      </c>
      <c r="AG451" s="6">
        <f>[1]Results!AJ293</f>
        <v>43.670514879999999</v>
      </c>
      <c r="AH451" s="6">
        <f>[1]Results!AK293</f>
        <v>44.045812220000002</v>
      </c>
      <c r="AI451" s="6">
        <f>[1]Results!AL293</f>
        <v>44.426793160000003</v>
      </c>
      <c r="AJ451" s="6">
        <f>[1]Results!AM293</f>
        <v>44.813895930000001</v>
      </c>
      <c r="AK451" s="6">
        <f>[1]Results!AN293</f>
        <v>45.207503529999997</v>
      </c>
      <c r="AL451" s="6">
        <f>[1]Results!AO293</f>
        <v>45.607910179999998</v>
      </c>
      <c r="AM451" s="6">
        <f>[1]Results!AP293</f>
        <v>46.004672149999998</v>
      </c>
      <c r="AN451" s="6">
        <f>[1]Results!AQ293</f>
        <v>46.40378209</v>
      </c>
      <c r="AO451" s="6">
        <f>[1]Results!AR293</f>
        <v>46.806862119999998</v>
      </c>
      <c r="AP451" s="6">
        <f>[1]Results!AS293</f>
        <v>47.214681429999999</v>
      </c>
      <c r="AQ451" s="6">
        <f>[1]Results!AT293</f>
        <v>47.627757070000001</v>
      </c>
      <c r="AR451" s="6">
        <f>[1]Results!AU293</f>
        <v>48.047238890000003</v>
      </c>
      <c r="AS451" s="6">
        <f>[1]Results!AV293</f>
        <v>48.472976760000002</v>
      </c>
      <c r="AT451" s="6">
        <f>[1]Results!AW293</f>
        <v>48.905034579999999</v>
      </c>
      <c r="AU451" s="6">
        <f>[1]Results!AX293</f>
        <v>49.343497960000001</v>
      </c>
      <c r="AV451" s="6">
        <f>[1]Results!AY293</f>
        <v>49.788428070000002</v>
      </c>
      <c r="AW451" s="6">
        <f>[1]Results!AZ293</f>
        <v>50.243729999999999</v>
      </c>
      <c r="AX451" s="6">
        <f>[1]Results!BA293</f>
        <v>50.707204230000002</v>
      </c>
      <c r="AY451" s="6">
        <f>[1]Results!BB293</f>
        <v>51.178135439999998</v>
      </c>
      <c r="AZ451" s="6">
        <f>[1]Results!BC293</f>
        <v>51.656209599999997</v>
      </c>
      <c r="BA451" s="6">
        <f>[1]Results!BD293</f>
        <v>52.141241819999998</v>
      </c>
      <c r="BB451" s="6">
        <f>[1]Results!BE293</f>
        <v>52.634630260000002</v>
      </c>
      <c r="BC451" s="6">
        <f>[1]Results!BF293</f>
        <v>53.135423529999997</v>
      </c>
      <c r="BD451" s="6">
        <f>[1]Results!BG293</f>
        <v>53.643275529999997</v>
      </c>
      <c r="BE451" s="6">
        <f>[1]Results!BH293</f>
        <v>54.158049259999999</v>
      </c>
      <c r="BF451" s="6">
        <f>[1]Results!BI293</f>
        <v>54.679695209999998</v>
      </c>
    </row>
    <row r="452" spans="1:58" x14ac:dyDescent="0.35">
      <c r="B452" s="6" t="str">
        <f>[1]Results!E299</f>
        <v>CF_toe_cele_2</v>
      </c>
      <c r="C452" s="6">
        <f>[1]Results!F299</f>
        <v>37.966719689999998</v>
      </c>
      <c r="D452" s="6">
        <f>[1]Results!G299</f>
        <v>37.731307309999998</v>
      </c>
      <c r="E452" s="6">
        <f>[1]Results!H299</f>
        <v>37.75088332</v>
      </c>
      <c r="F452" s="6">
        <f>[1]Results!I299</f>
        <v>37.849227740000003</v>
      </c>
      <c r="G452" s="6">
        <f>[1]Results!J299</f>
        <v>38.013809539999997</v>
      </c>
      <c r="H452" s="6">
        <f>[1]Results!K299</f>
        <v>38.242533039999998</v>
      </c>
      <c r="I452" s="6">
        <f>[1]Results!L299</f>
        <v>38.507903280000001</v>
      </c>
      <c r="J452" s="6">
        <f>[1]Results!M299</f>
        <v>38.811193510000003</v>
      </c>
      <c r="K452" s="6">
        <f>[1]Results!N299</f>
        <v>39.146310870000001</v>
      </c>
      <c r="L452" s="6">
        <f>[1]Results!O299</f>
        <v>39.505430029999999</v>
      </c>
      <c r="M452" s="6">
        <f>[1]Results!P299</f>
        <v>39.913459320000001</v>
      </c>
      <c r="N452" s="6">
        <f>[1]Results!Q299</f>
        <v>40.313083769999999</v>
      </c>
      <c r="O452" s="6">
        <f>[1]Results!R299</f>
        <v>40.713444029999998</v>
      </c>
      <c r="P452" s="6">
        <f>[1]Results!S299</f>
        <v>41.114789440000003</v>
      </c>
      <c r="Q452" s="6">
        <f>[1]Results!T299</f>
        <v>41.516057709999998</v>
      </c>
      <c r="R452" s="6">
        <f>[1]Results!U299</f>
        <v>41.916389799999997</v>
      </c>
      <c r="S452" s="6">
        <f>[1]Results!V299</f>
        <v>42.313082129999998</v>
      </c>
      <c r="T452" s="6">
        <f>[1]Results!W299</f>
        <v>42.707348230000001</v>
      </c>
      <c r="U452" s="6">
        <f>[1]Results!X299</f>
        <v>43.100094640000002</v>
      </c>
      <c r="V452" s="6">
        <f>[1]Results!Y299</f>
        <v>43.492242400000002</v>
      </c>
      <c r="W452" s="6">
        <f>[1]Results!Z299</f>
        <v>43.861637999999999</v>
      </c>
      <c r="X452" s="6">
        <f>[1]Results!AA299</f>
        <v>44.245469700000001</v>
      </c>
      <c r="Y452" s="6">
        <f>[1]Results!AB299</f>
        <v>44.636014619999997</v>
      </c>
      <c r="Z452" s="6">
        <f>[1]Results!AC299</f>
        <v>45.032325159999999</v>
      </c>
      <c r="AA452" s="6">
        <f>[1]Results!AD299</f>
        <v>45.434826630000003</v>
      </c>
      <c r="AB452" s="6">
        <f>[1]Results!AE299</f>
        <v>45.77830101</v>
      </c>
      <c r="AC452" s="6">
        <f>[1]Results!AF299</f>
        <v>46.135643299999998</v>
      </c>
      <c r="AD452" s="6">
        <f>[1]Results!AG299</f>
        <v>46.499092400000002</v>
      </c>
      <c r="AE452" s="6">
        <f>[1]Results!AH299</f>
        <v>46.86863297</v>
      </c>
      <c r="AF452" s="6">
        <f>[1]Results!AI299</f>
        <v>47.245580359999998</v>
      </c>
      <c r="AG452" s="6">
        <f>[1]Results!AJ299</f>
        <v>47.631263949999997</v>
      </c>
      <c r="AH452" s="6">
        <f>[1]Results!AK299</f>
        <v>48.027187820000002</v>
      </c>
      <c r="AI452" s="6">
        <f>[1]Results!AL299</f>
        <v>48.433940300000003</v>
      </c>
      <c r="AJ452" s="6">
        <f>[1]Results!AM299</f>
        <v>48.851912480000003</v>
      </c>
      <c r="AK452" s="6">
        <f>[1]Results!AN299</f>
        <v>49.281311209999998</v>
      </c>
      <c r="AL452" s="6">
        <f>[1]Results!AO299</f>
        <v>49.7221829</v>
      </c>
      <c r="AM452" s="6">
        <f>[1]Results!AP299</f>
        <v>50.162559700000003</v>
      </c>
      <c r="AN452" s="6">
        <f>[1]Results!AQ299</f>
        <v>50.609287709999997</v>
      </c>
      <c r="AO452" s="6">
        <f>[1]Results!AR299</f>
        <v>51.063904119999997</v>
      </c>
      <c r="AP452" s="6">
        <f>[1]Results!AS299</f>
        <v>51.526981999999997</v>
      </c>
      <c r="AQ452" s="6">
        <f>[1]Results!AT299</f>
        <v>51.998849759999999</v>
      </c>
      <c r="AR452" s="6">
        <f>[1]Results!AU299</f>
        <v>52.480265459999998</v>
      </c>
      <c r="AS452" s="6">
        <f>[1]Results!AV299</f>
        <v>52.971182970000001</v>
      </c>
      <c r="AT452" s="6">
        <f>[1]Results!AW299</f>
        <v>53.471532070000002</v>
      </c>
      <c r="AU452" s="6">
        <f>[1]Results!AX299</f>
        <v>53.981233490000001</v>
      </c>
      <c r="AV452" s="6">
        <f>[1]Results!AY299</f>
        <v>54.50018532</v>
      </c>
      <c r="AW452" s="6">
        <f>[1]Results!AZ299</f>
        <v>55.031362999999999</v>
      </c>
      <c r="AX452" s="6">
        <f>[1]Results!BA299</f>
        <v>55.57340052</v>
      </c>
      <c r="AY452" s="6">
        <f>[1]Results!BB299</f>
        <v>56.125523780000002</v>
      </c>
      <c r="AZ452" s="6">
        <f>[1]Results!BC299</f>
        <v>56.687251209999999</v>
      </c>
      <c r="BA452" s="6">
        <f>[1]Results!BD299</f>
        <v>57.25824111</v>
      </c>
      <c r="BB452" s="6">
        <f>[1]Results!BE299</f>
        <v>57.839255389999998</v>
      </c>
      <c r="BC452" s="6">
        <f>[1]Results!BF299</f>
        <v>58.42989437</v>
      </c>
      <c r="BD452" s="6">
        <f>[1]Results!BG299</f>
        <v>59.02983468</v>
      </c>
      <c r="BE452" s="6">
        <f>[1]Results!BH299</f>
        <v>59.63891357</v>
      </c>
      <c r="BF452" s="6">
        <f>[1]Results!BI299</f>
        <v>60.257076050000002</v>
      </c>
    </row>
    <row r="453" spans="1:58" x14ac:dyDescent="0.35">
      <c r="B453" s="6" t="s">
        <v>75</v>
      </c>
      <c r="C453" s="6">
        <f>SUM(C454:C456)</f>
        <v>22.050992059999999</v>
      </c>
      <c r="D453" s="6">
        <f t="shared" ref="D453:AL453" si="271">SUM(D454:D456)</f>
        <v>21.844518696000002</v>
      </c>
      <c r="E453" s="6">
        <f t="shared" si="271"/>
        <v>21.902193664999999</v>
      </c>
      <c r="F453" s="6">
        <f t="shared" si="271"/>
        <v>22.009692189999999</v>
      </c>
      <c r="G453" s="6">
        <f t="shared" si="271"/>
        <v>22.141977382999997</v>
      </c>
      <c r="H453" s="6">
        <f t="shared" si="271"/>
        <v>22.295924160999999</v>
      </c>
      <c r="I453" s="6">
        <f t="shared" si="271"/>
        <v>22.455268310999998</v>
      </c>
      <c r="J453" s="6">
        <f t="shared" si="271"/>
        <v>22.623854471999998</v>
      </c>
      <c r="K453" s="6">
        <f t="shared" si="271"/>
        <v>22.801031658999996</v>
      </c>
      <c r="L453" s="6">
        <f t="shared" si="271"/>
        <v>22.985411058000004</v>
      </c>
      <c r="M453" s="6">
        <f t="shared" si="271"/>
        <v>23.199222533</v>
      </c>
      <c r="N453" s="6">
        <f t="shared" si="271"/>
        <v>23.399691004000001</v>
      </c>
      <c r="O453" s="6">
        <f t="shared" si="271"/>
        <v>23.598182453999996</v>
      </c>
      <c r="P453" s="6">
        <f t="shared" si="271"/>
        <v>23.796879830999998</v>
      </c>
      <c r="Q453" s="6">
        <f t="shared" si="271"/>
        <v>23.996126140999998</v>
      </c>
      <c r="R453" s="6">
        <f t="shared" si="271"/>
        <v>24.195949986999999</v>
      </c>
      <c r="S453" s="6">
        <f t="shared" si="271"/>
        <v>24.393941323</v>
      </c>
      <c r="T453" s="6">
        <f t="shared" si="271"/>
        <v>24.592004465999999</v>
      </c>
      <c r="U453" s="6">
        <f t="shared" si="271"/>
        <v>24.790802368000001</v>
      </c>
      <c r="V453" s="6">
        <f t="shared" si="271"/>
        <v>24.990776065999999</v>
      </c>
      <c r="W453" s="6">
        <f t="shared" si="271"/>
        <v>25.175667973000003</v>
      </c>
      <c r="X453" s="6">
        <f t="shared" si="271"/>
        <v>25.373326026000001</v>
      </c>
      <c r="Y453" s="6">
        <f t="shared" si="271"/>
        <v>25.576450310999999</v>
      </c>
      <c r="Z453" s="6">
        <f t="shared" si="271"/>
        <v>25.783554334000002</v>
      </c>
      <c r="AA453" s="6">
        <f t="shared" si="271"/>
        <v>25.994387174000003</v>
      </c>
      <c r="AB453" s="6">
        <f t="shared" si="271"/>
        <v>26.162287872999997</v>
      </c>
      <c r="AC453" s="6">
        <f t="shared" si="271"/>
        <v>26.343280698000001</v>
      </c>
      <c r="AD453" s="6">
        <f t="shared" si="271"/>
        <v>26.529268799</v>
      </c>
      <c r="AE453" s="6">
        <f t="shared" si="271"/>
        <v>26.719099525000001</v>
      </c>
      <c r="AF453" s="6">
        <f t="shared" si="271"/>
        <v>26.912842009999999</v>
      </c>
      <c r="AG453" s="6">
        <f t="shared" si="271"/>
        <v>27.110768843999999</v>
      </c>
      <c r="AH453" s="6">
        <f t="shared" si="271"/>
        <v>27.313688634000002</v>
      </c>
      <c r="AI453" s="6">
        <f t="shared" si="271"/>
        <v>27.521392409000001</v>
      </c>
      <c r="AJ453" s="6">
        <f t="shared" si="271"/>
        <v>27.733883997</v>
      </c>
      <c r="AK453" s="6">
        <f t="shared" si="271"/>
        <v>27.951163092999998</v>
      </c>
      <c r="AL453" s="6">
        <f t="shared" si="271"/>
        <v>28.173195120999999</v>
      </c>
      <c r="AM453" s="6">
        <f t="shared" ref="AM453:BC453" si="272">SUM(AM454:AM456)</f>
        <v>28.394089375</v>
      </c>
      <c r="AN453" s="6">
        <f t="shared" si="272"/>
        <v>28.617108983000001</v>
      </c>
      <c r="AO453" s="6">
        <f t="shared" si="272"/>
        <v>28.843182465999998</v>
      </c>
      <c r="AP453" s="6">
        <f t="shared" si="272"/>
        <v>29.072673119000001</v>
      </c>
      <c r="AQ453" s="6">
        <f t="shared" si="272"/>
        <v>29.305763860999999</v>
      </c>
      <c r="AR453" s="6">
        <f t="shared" si="272"/>
        <v>29.543332422999999</v>
      </c>
      <c r="AS453" s="6">
        <f t="shared" si="272"/>
        <v>29.784900456999999</v>
      </c>
      <c r="AT453" s="6">
        <f t="shared" si="272"/>
        <v>30.030359023999999</v>
      </c>
      <c r="AU453" s="6">
        <f t="shared" si="272"/>
        <v>30.279664415999999</v>
      </c>
      <c r="AV453" s="6">
        <f t="shared" si="272"/>
        <v>30.532781773</v>
      </c>
      <c r="AW453" s="6">
        <f t="shared" si="272"/>
        <v>30.793194411000002</v>
      </c>
      <c r="AX453" s="6">
        <f t="shared" si="272"/>
        <v>31.058468828999999</v>
      </c>
      <c r="AY453" s="6">
        <f t="shared" si="272"/>
        <v>31.327943293000001</v>
      </c>
      <c r="AZ453" s="6">
        <f t="shared" si="272"/>
        <v>31.60135906</v>
      </c>
      <c r="BA453" s="6">
        <f t="shared" si="272"/>
        <v>31.878585723</v>
      </c>
      <c r="BB453" s="6">
        <f t="shared" si="272"/>
        <v>32.161157498999998</v>
      </c>
      <c r="BC453" s="6">
        <f t="shared" si="272"/>
        <v>32.447922646000002</v>
      </c>
      <c r="BD453" s="6">
        <f t="shared" ref="BD453:BF453" si="273">SUM(BD454:BD456)</f>
        <v>32.738587019999997</v>
      </c>
      <c r="BE453" s="6">
        <f t="shared" si="273"/>
        <v>33.033063214999999</v>
      </c>
      <c r="BF453" s="6">
        <f t="shared" si="273"/>
        <v>33.331337196999996</v>
      </c>
    </row>
    <row r="454" spans="1:58" x14ac:dyDescent="0.35">
      <c r="B454" s="6" t="str">
        <f>[1]Results!E309</f>
        <v>CF_toe_chea_2</v>
      </c>
      <c r="C454" s="6">
        <f>[1]Results!F309</f>
        <v>5.1388341769999997</v>
      </c>
      <c r="D454" s="6">
        <f>[1]Results!G309</f>
        <v>5.1495826180000002</v>
      </c>
      <c r="E454" s="6">
        <f>[1]Results!H309</f>
        <v>5.1907959420000003</v>
      </c>
      <c r="F454" s="6">
        <f>[1]Results!I309</f>
        <v>5.2370620270000003</v>
      </c>
      <c r="G454" s="6">
        <f>[1]Results!J309</f>
        <v>5.2859685179999998</v>
      </c>
      <c r="H454" s="6">
        <f>[1]Results!K309</f>
        <v>5.3383670099999998</v>
      </c>
      <c r="I454" s="6">
        <f>[1]Results!L309</f>
        <v>5.391365822</v>
      </c>
      <c r="J454" s="6">
        <f>[1]Results!M309</f>
        <v>5.4445438350000002</v>
      </c>
      <c r="K454" s="6">
        <f>[1]Results!N309</f>
        <v>5.4973980710000001</v>
      </c>
      <c r="L454" s="6">
        <f>[1]Results!O309</f>
        <v>5.5499963130000003</v>
      </c>
      <c r="M454" s="6">
        <f>[1]Results!P309</f>
        <v>5.610538236</v>
      </c>
      <c r="N454" s="6">
        <f>[1]Results!Q309</f>
        <v>5.6659855129999999</v>
      </c>
      <c r="O454" s="6">
        <f>[1]Results!R309</f>
        <v>5.7196519869999998</v>
      </c>
      <c r="P454" s="6">
        <f>[1]Results!S309</f>
        <v>5.7726988209999996</v>
      </c>
      <c r="Q454" s="6">
        <f>[1]Results!T309</f>
        <v>5.8255563979999998</v>
      </c>
      <c r="R454" s="6">
        <f>[1]Results!U309</f>
        <v>5.8783763599999999</v>
      </c>
      <c r="S454" s="6">
        <f>[1]Results!V309</f>
        <v>5.9307477569999998</v>
      </c>
      <c r="T454" s="6">
        <f>[1]Results!W309</f>
        <v>5.9829579910000001</v>
      </c>
      <c r="U454" s="6">
        <f>[1]Results!X309</f>
        <v>6.0351257939999998</v>
      </c>
      <c r="V454" s="6">
        <f>[1]Results!Y309</f>
        <v>6.0873199749999998</v>
      </c>
      <c r="W454" s="6">
        <f>[1]Results!Z309</f>
        <v>6.1342007599999997</v>
      </c>
      <c r="X454" s="6">
        <f>[1]Results!AA309</f>
        <v>6.1844901209999996</v>
      </c>
      <c r="Y454" s="6">
        <f>[1]Results!AB309</f>
        <v>6.2361992639999997</v>
      </c>
      <c r="Z454" s="6">
        <f>[1]Results!AC309</f>
        <v>6.2886785009999997</v>
      </c>
      <c r="AA454" s="6">
        <f>[1]Results!AD309</f>
        <v>6.3417069880000003</v>
      </c>
      <c r="AB454" s="6">
        <f>[1]Results!AE309</f>
        <v>6.3803359159999999</v>
      </c>
      <c r="AC454" s="6">
        <f>[1]Results!AF309</f>
        <v>6.4216539099999999</v>
      </c>
      <c r="AD454" s="6">
        <f>[1]Results!AG309</f>
        <v>6.4641036859999996</v>
      </c>
      <c r="AE454" s="6">
        <f>[1]Results!AH309</f>
        <v>6.5072900049999998</v>
      </c>
      <c r="AF454" s="6">
        <f>[1]Results!AI309</f>
        <v>6.5511177979999999</v>
      </c>
      <c r="AG454" s="6">
        <f>[1]Results!AJ309</f>
        <v>6.5955852159999999</v>
      </c>
      <c r="AH454" s="6">
        <f>[1]Results!AK309</f>
        <v>6.640826036</v>
      </c>
      <c r="AI454" s="6">
        <f>[1]Results!AL309</f>
        <v>6.6868093550000003</v>
      </c>
      <c r="AJ454" s="6">
        <f>[1]Results!AM309</f>
        <v>6.7335347810000004</v>
      </c>
      <c r="AK454" s="6">
        <f>[1]Results!AN309</f>
        <v>6.7810073119999998</v>
      </c>
      <c r="AL454" s="6">
        <f>[1]Results!AO309</f>
        <v>6.8292290810000003</v>
      </c>
      <c r="AM454" s="6">
        <f>[1]Results!AP309</f>
        <v>6.8758729870000002</v>
      </c>
      <c r="AN454" s="6">
        <f>[1]Results!AQ309</f>
        <v>6.9223516639999998</v>
      </c>
      <c r="AO454" s="6">
        <f>[1]Results!AR309</f>
        <v>6.9691476410000002</v>
      </c>
      <c r="AP454" s="6">
        <f>[1]Results!AS309</f>
        <v>7.0164523059999997</v>
      </c>
      <c r="AQ454" s="6">
        <f>[1]Results!AT309</f>
        <v>7.0643458460000002</v>
      </c>
      <c r="AR454" s="6">
        <f>[1]Results!AU309</f>
        <v>7.1130120039999998</v>
      </c>
      <c r="AS454" s="6">
        <f>[1]Results!AV309</f>
        <v>7.1623805349999996</v>
      </c>
      <c r="AT454" s="6">
        <f>[1]Results!AW309</f>
        <v>7.2124203659999999</v>
      </c>
      <c r="AU454" s="6">
        <f>[1]Results!AX309</f>
        <v>7.2631152520000004</v>
      </c>
      <c r="AV454" s="6">
        <f>[1]Results!AY309</f>
        <v>7.3144540810000001</v>
      </c>
      <c r="AW454" s="6">
        <f>[1]Results!AZ309</f>
        <v>7.3672014539999999</v>
      </c>
      <c r="AX454" s="6">
        <f>[1]Results!BA309</f>
        <v>7.4209068419999999</v>
      </c>
      <c r="AY454" s="6">
        <f>[1]Results!BB309</f>
        <v>7.4753852170000004</v>
      </c>
      <c r="AZ454" s="6">
        <f>[1]Results!BC309</f>
        <v>7.530553759</v>
      </c>
      <c r="BA454" s="6">
        <f>[1]Results!BD309</f>
        <v>7.5863718000000002</v>
      </c>
      <c r="BB454" s="6">
        <f>[1]Results!BE309</f>
        <v>7.6431268340000003</v>
      </c>
      <c r="BC454" s="6">
        <f>[1]Results!BF309</f>
        <v>7.7006381270000004</v>
      </c>
      <c r="BD454" s="6">
        <f>[1]Results!BG309</f>
        <v>7.7588283210000002</v>
      </c>
      <c r="BE454" s="6">
        <f>[1]Results!BH309</f>
        <v>7.8176659129999999</v>
      </c>
      <c r="BF454" s="6">
        <f>[1]Results!BI309</f>
        <v>7.8771400209999998</v>
      </c>
    </row>
    <row r="455" spans="1:58" x14ac:dyDescent="0.35">
      <c r="B455" s="6" t="str">
        <f>[1]Results!E311</f>
        <v>CF_toe_cbio_2</v>
      </c>
      <c r="C455" s="6">
        <f>[1]Results!F311</f>
        <v>8.2039779290000006</v>
      </c>
      <c r="D455" s="6">
        <f>[1]Results!G311</f>
        <v>8.1871027450000007</v>
      </c>
      <c r="E455" s="6">
        <f>[1]Results!H311</f>
        <v>8.1615981420000008</v>
      </c>
      <c r="F455" s="6">
        <f>[1]Results!I311</f>
        <v>8.1345969789999995</v>
      </c>
      <c r="G455" s="6">
        <f>[1]Results!J311</f>
        <v>8.1125932289999998</v>
      </c>
      <c r="H455" s="6">
        <f>[1]Results!K311</f>
        <v>8.0974444279999993</v>
      </c>
      <c r="I455" s="6">
        <f>[1]Results!L311</f>
        <v>8.0846207470000007</v>
      </c>
      <c r="J455" s="6">
        <f>[1]Results!M311</f>
        <v>8.0756514839999998</v>
      </c>
      <c r="K455" s="6">
        <f>[1]Results!N311</f>
        <v>8.0710083459999993</v>
      </c>
      <c r="L455" s="6">
        <f>[1]Results!O311</f>
        <v>8.0702214380000008</v>
      </c>
      <c r="M455" s="6">
        <f>[1]Results!P311</f>
        <v>8.0776090570000001</v>
      </c>
      <c r="N455" s="6">
        <f>[1]Results!Q311</f>
        <v>8.0835671219999998</v>
      </c>
      <c r="O455" s="6">
        <f>[1]Results!R311</f>
        <v>8.0896291429999998</v>
      </c>
      <c r="P455" s="6">
        <f>[1]Results!S311</f>
        <v>8.0960720750000004</v>
      </c>
      <c r="Q455" s="6">
        <f>[1]Results!T311</f>
        <v>8.1028267629999995</v>
      </c>
      <c r="R455" s="6">
        <f>[1]Results!U311</f>
        <v>8.1097990269999993</v>
      </c>
      <c r="S455" s="6">
        <f>[1]Results!V311</f>
        <v>8.1162328660000007</v>
      </c>
      <c r="T455" s="6">
        <f>[1]Results!W311</f>
        <v>8.1225180950000002</v>
      </c>
      <c r="U455" s="6">
        <f>[1]Results!X311</f>
        <v>8.1288303240000008</v>
      </c>
      <c r="V455" s="6">
        <f>[1]Results!Y311</f>
        <v>8.1352752109999997</v>
      </c>
      <c r="W455" s="6">
        <f>[1]Results!Z311</f>
        <v>8.1384126430000006</v>
      </c>
      <c r="X455" s="6">
        <f>[1]Results!AA311</f>
        <v>8.1438749749999992</v>
      </c>
      <c r="Y455" s="6">
        <f>[1]Results!AB311</f>
        <v>8.1504984169999997</v>
      </c>
      <c r="Z455" s="6">
        <f>[1]Results!AC311</f>
        <v>8.1579203430000007</v>
      </c>
      <c r="AA455" s="6">
        <f>[1]Results!AD311</f>
        <v>8.1660370360000005</v>
      </c>
      <c r="AB455" s="6">
        <f>[1]Results!AE311</f>
        <v>8.1650941669999995</v>
      </c>
      <c r="AC455" s="6">
        <f>[1]Results!AF311</f>
        <v>8.1661411679999993</v>
      </c>
      <c r="AD455" s="6">
        <f>[1]Results!AG311</f>
        <v>8.1682076030000008</v>
      </c>
      <c r="AE455" s="6">
        <f>[1]Results!AH311</f>
        <v>8.1710715500000006</v>
      </c>
      <c r="AF455" s="6">
        <f>[1]Results!AI311</f>
        <v>8.1747156719999996</v>
      </c>
      <c r="AG455" s="6">
        <f>[1]Results!AJ311</f>
        <v>8.1791789480000006</v>
      </c>
      <c r="AH455" s="6">
        <f>[1]Results!AK311</f>
        <v>8.1846641780000002</v>
      </c>
      <c r="AI455" s="6">
        <f>[1]Results!AL311</f>
        <v>8.1911167339999995</v>
      </c>
      <c r="AJ455" s="6">
        <f>[1]Results!AM311</f>
        <v>8.1985224159999994</v>
      </c>
      <c r="AK455" s="6">
        <f>[1]Results!AN311</f>
        <v>8.2068749610000005</v>
      </c>
      <c r="AL455" s="6">
        <f>[1]Results!AO311</f>
        <v>8.2161660600000008</v>
      </c>
      <c r="AM455" s="6">
        <f>[1]Results!AP311</f>
        <v>8.2255858380000006</v>
      </c>
      <c r="AN455" s="6">
        <f>[1]Results!AQ311</f>
        <v>8.2355263090000008</v>
      </c>
      <c r="AO455" s="6">
        <f>[1]Results!AR311</f>
        <v>8.2461037449999992</v>
      </c>
      <c r="AP455" s="6">
        <f>[1]Results!AS311</f>
        <v>8.2573661129999998</v>
      </c>
      <c r="AQ455" s="6">
        <f>[1]Results!AT311</f>
        <v>8.2693400649999997</v>
      </c>
      <c r="AR455" s="6">
        <f>[1]Results!AU311</f>
        <v>8.2822550689999996</v>
      </c>
      <c r="AS455" s="6">
        <f>[1]Results!AV311</f>
        <v>8.2959970619999996</v>
      </c>
      <c r="AT455" s="6">
        <f>[1]Results!AW311</f>
        <v>8.3105187180000009</v>
      </c>
      <c r="AU455" s="6">
        <f>[1]Results!AX311</f>
        <v>8.3257966339999996</v>
      </c>
      <c r="AV455" s="6">
        <f>[1]Results!AY311</f>
        <v>8.3418157619999995</v>
      </c>
      <c r="AW455" s="6">
        <f>[1]Results!AZ311</f>
        <v>8.3594479570000004</v>
      </c>
      <c r="AX455" s="6">
        <f>[1]Results!BA311</f>
        <v>8.3781736369999997</v>
      </c>
      <c r="AY455" s="6">
        <f>[1]Results!BB311</f>
        <v>8.3977746759999992</v>
      </c>
      <c r="AZ455" s="6">
        <f>[1]Results!BC311</f>
        <v>8.4181501109999992</v>
      </c>
      <c r="BA455" s="6">
        <f>[1]Results!BD311</f>
        <v>8.4392490630000001</v>
      </c>
      <c r="BB455" s="6">
        <f>[1]Results!BE311</f>
        <v>8.4614710649999996</v>
      </c>
      <c r="BC455" s="6">
        <f>[1]Results!BF311</f>
        <v>8.4845553490000007</v>
      </c>
      <c r="BD455" s="6">
        <f>[1]Results!BG311</f>
        <v>8.5083921690000004</v>
      </c>
      <c r="BE455" s="6">
        <f>[1]Results!BH311</f>
        <v>8.532934332</v>
      </c>
      <c r="BF455" s="6">
        <f>[1]Results!BI311</f>
        <v>8.5581629259999996</v>
      </c>
    </row>
    <row r="456" spans="1:58" x14ac:dyDescent="0.35">
      <c r="B456" s="6" t="str">
        <f>[1]Results!E314</f>
        <v>CF_toe_cote_2</v>
      </c>
      <c r="C456" s="6">
        <f>[1]Results!F314</f>
        <v>8.7081799540000002</v>
      </c>
      <c r="D456" s="6">
        <f>[1]Results!G314</f>
        <v>8.5078333330000007</v>
      </c>
      <c r="E456" s="6">
        <f>[1]Results!H314</f>
        <v>8.5497995810000003</v>
      </c>
      <c r="F456" s="6">
        <f>[1]Results!I314</f>
        <v>8.6380331839999993</v>
      </c>
      <c r="G456" s="6">
        <f>[1]Results!J314</f>
        <v>8.7434156359999999</v>
      </c>
      <c r="H456" s="6">
        <f>[1]Results!K314</f>
        <v>8.8601127230000003</v>
      </c>
      <c r="I456" s="6">
        <f>[1]Results!L314</f>
        <v>8.9792817419999995</v>
      </c>
      <c r="J456" s="6">
        <f>[1]Results!M314</f>
        <v>9.1036591530000006</v>
      </c>
      <c r="K456" s="6">
        <f>[1]Results!N314</f>
        <v>9.2326252419999992</v>
      </c>
      <c r="L456" s="6">
        <f>[1]Results!O314</f>
        <v>9.3651933070000002</v>
      </c>
      <c r="M456" s="6">
        <f>[1]Results!P314</f>
        <v>9.5110752400000003</v>
      </c>
      <c r="N456" s="6">
        <f>[1]Results!Q314</f>
        <v>9.6501383690000004</v>
      </c>
      <c r="O456" s="6">
        <f>[1]Results!R314</f>
        <v>9.7889013239999993</v>
      </c>
      <c r="P456" s="6">
        <f>[1]Results!S314</f>
        <v>9.9281089349999991</v>
      </c>
      <c r="Q456" s="6">
        <f>[1]Results!T314</f>
        <v>10.06774298</v>
      </c>
      <c r="R456" s="6">
        <f>[1]Results!U314</f>
        <v>10.2077746</v>
      </c>
      <c r="S456" s="6">
        <f>[1]Results!V314</f>
        <v>10.3469607</v>
      </c>
      <c r="T456" s="6">
        <f>[1]Results!W314</f>
        <v>10.486528379999999</v>
      </c>
      <c r="U456" s="6">
        <f>[1]Results!X314</f>
        <v>10.62684625</v>
      </c>
      <c r="V456" s="6">
        <f>[1]Results!Y314</f>
        <v>10.768180879999999</v>
      </c>
      <c r="W456" s="6">
        <f>[1]Results!Z314</f>
        <v>10.90305457</v>
      </c>
      <c r="X456" s="6">
        <f>[1]Results!AA314</f>
        <v>11.04496093</v>
      </c>
      <c r="Y456" s="6">
        <f>[1]Results!AB314</f>
        <v>11.189752629999999</v>
      </c>
      <c r="Z456" s="6">
        <f>[1]Results!AC314</f>
        <v>11.336955489999999</v>
      </c>
      <c r="AA456" s="6">
        <f>[1]Results!AD314</f>
        <v>11.486643150000001</v>
      </c>
      <c r="AB456" s="6">
        <f>[1]Results!AE314</f>
        <v>11.616857789999999</v>
      </c>
      <c r="AC456" s="6">
        <f>[1]Results!AF314</f>
        <v>11.75548562</v>
      </c>
      <c r="AD456" s="6">
        <f>[1]Results!AG314</f>
        <v>11.89695751</v>
      </c>
      <c r="AE456" s="6">
        <f>[1]Results!AH314</f>
        <v>12.04073797</v>
      </c>
      <c r="AF456" s="6">
        <f>[1]Results!AI314</f>
        <v>12.187008540000001</v>
      </c>
      <c r="AG456" s="6">
        <f>[1]Results!AJ314</f>
        <v>12.33600468</v>
      </c>
      <c r="AH456" s="6">
        <f>[1]Results!AK314</f>
        <v>12.48819842</v>
      </c>
      <c r="AI456" s="6">
        <f>[1]Results!AL314</f>
        <v>12.64346632</v>
      </c>
      <c r="AJ456" s="6">
        <f>[1]Results!AM314</f>
        <v>12.801826800000001</v>
      </c>
      <c r="AK456" s="6">
        <f>[1]Results!AN314</f>
        <v>12.96328082</v>
      </c>
      <c r="AL456" s="6">
        <f>[1]Results!AO314</f>
        <v>13.127799980000001</v>
      </c>
      <c r="AM456" s="6">
        <f>[1]Results!AP314</f>
        <v>13.29263055</v>
      </c>
      <c r="AN456" s="6">
        <f>[1]Results!AQ314</f>
        <v>13.45923101</v>
      </c>
      <c r="AO456" s="6">
        <f>[1]Results!AR314</f>
        <v>13.62793108</v>
      </c>
      <c r="AP456" s="6">
        <f>[1]Results!AS314</f>
        <v>13.7988547</v>
      </c>
      <c r="AQ456" s="6">
        <f>[1]Results!AT314</f>
        <v>13.972077949999999</v>
      </c>
      <c r="AR456" s="6">
        <f>[1]Results!AU314</f>
        <v>14.14806535</v>
      </c>
      <c r="AS456" s="6">
        <f>[1]Results!AV314</f>
        <v>14.326522860000001</v>
      </c>
      <c r="AT456" s="6">
        <f>[1]Results!AW314</f>
        <v>14.50741994</v>
      </c>
      <c r="AU456" s="6">
        <f>[1]Results!AX314</f>
        <v>14.690752529999999</v>
      </c>
      <c r="AV456" s="6">
        <f>[1]Results!AY314</f>
        <v>14.876511929999999</v>
      </c>
      <c r="AW456" s="6">
        <f>[1]Results!AZ314</f>
        <v>15.066545</v>
      </c>
      <c r="AX456" s="6">
        <f>[1]Results!BA314</f>
        <v>15.25938835</v>
      </c>
      <c r="AY456" s="6">
        <f>[1]Results!BB314</f>
        <v>15.4547834</v>
      </c>
      <c r="AZ456" s="6">
        <f>[1]Results!BC314</f>
        <v>15.652655190000001</v>
      </c>
      <c r="BA456" s="6">
        <f>[1]Results!BD314</f>
        <v>15.85296486</v>
      </c>
      <c r="BB456" s="6">
        <f>[1]Results!BE314</f>
        <v>16.0565596</v>
      </c>
      <c r="BC456" s="6">
        <f>[1]Results!BF314</f>
        <v>16.26272917</v>
      </c>
      <c r="BD456" s="6">
        <f>[1]Results!BG314</f>
        <v>16.471366530000001</v>
      </c>
      <c r="BE456" s="6">
        <f>[1]Results!BH314</f>
        <v>16.68246297</v>
      </c>
      <c r="BF456" s="6">
        <f>[1]Results!BI314</f>
        <v>16.89603425</v>
      </c>
    </row>
    <row r="457" spans="1:58" x14ac:dyDescent="0.35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</row>
    <row r="458" spans="1:58" x14ac:dyDescent="0.35">
      <c r="A458" s="12" t="s">
        <v>93</v>
      </c>
      <c r="B458" s="6" t="str">
        <f>[1]Results!E317</f>
        <v>CF_toe_0</v>
      </c>
      <c r="C458" s="6">
        <f>[1]Results!F317</f>
        <v>162.32540449999999</v>
      </c>
      <c r="D458" s="6">
        <f>[1]Results!G317</f>
        <v>161.39538719999999</v>
      </c>
      <c r="E458" s="6">
        <f>[1]Results!H317</f>
        <v>161.74480740000001</v>
      </c>
      <c r="F458" s="6">
        <f>[1]Results!I317</f>
        <v>162.46692049999999</v>
      </c>
      <c r="G458" s="6">
        <f>[1]Results!J317</f>
        <v>163.4715831</v>
      </c>
      <c r="H458" s="6">
        <f>[1]Results!K317</f>
        <v>164.73868289999999</v>
      </c>
      <c r="I458" s="6">
        <f>[1]Results!L317</f>
        <v>166.15684490000001</v>
      </c>
      <c r="J458" s="6">
        <f>[1]Results!M317</f>
        <v>167.7294584</v>
      </c>
      <c r="K458" s="6">
        <f>[1]Results!N317</f>
        <v>169.4294745</v>
      </c>
      <c r="L458" s="6">
        <f>[1]Results!O317</f>
        <v>171.2246212</v>
      </c>
      <c r="M458" s="6">
        <f>[1]Results!P317</f>
        <v>173.2285411</v>
      </c>
      <c r="N458" s="6">
        <f>[1]Results!Q317</f>
        <v>175.20666019999999</v>
      </c>
      <c r="O458" s="6">
        <f>[1]Results!R317</f>
        <v>177.19523989999999</v>
      </c>
      <c r="P458" s="6">
        <f>[1]Results!S317</f>
        <v>179.19583850000001</v>
      </c>
      <c r="Q458" s="6">
        <f>[1]Results!T317</f>
        <v>181.2063459</v>
      </c>
      <c r="R458" s="6">
        <f>[1]Results!U317</f>
        <v>183.22524379999999</v>
      </c>
      <c r="S458" s="6">
        <f>[1]Results!V317</f>
        <v>185.2516962</v>
      </c>
      <c r="T458" s="6">
        <f>[1]Results!W317</f>
        <v>187.28541000000001</v>
      </c>
      <c r="U458" s="6">
        <f>[1]Results!X317</f>
        <v>189.3266065</v>
      </c>
      <c r="V458" s="6">
        <f>[1]Results!Y317</f>
        <v>191.37605919999999</v>
      </c>
      <c r="W458" s="6">
        <f>[1]Results!Z317</f>
        <v>193.33441160000001</v>
      </c>
      <c r="X458" s="6">
        <f>[1]Results!AA317</f>
        <v>195.36023159999999</v>
      </c>
      <c r="Y458" s="6">
        <f>[1]Results!AB317</f>
        <v>197.4164437</v>
      </c>
      <c r="Z458" s="6">
        <f>[1]Results!AC317</f>
        <v>199.49692039999999</v>
      </c>
      <c r="AA458" s="6">
        <f>[1]Results!AD317</f>
        <v>201.60205490000001</v>
      </c>
      <c r="AB458" s="6">
        <f>[1]Results!AE317</f>
        <v>203.44588160000001</v>
      </c>
      <c r="AC458" s="6">
        <f>[1]Results!AF317</f>
        <v>205.34211120000001</v>
      </c>
      <c r="AD458" s="6">
        <f>[1]Results!AG317</f>
        <v>207.25465149999999</v>
      </c>
      <c r="AE458" s="6">
        <f>[1]Results!AH317</f>
        <v>209.1824719</v>
      </c>
      <c r="AF458" s="6">
        <f>[1]Results!AI317</f>
        <v>211.1305965</v>
      </c>
      <c r="AG458" s="6">
        <f>[1]Results!AJ317</f>
        <v>213.1044483</v>
      </c>
      <c r="AH458" s="6">
        <f>[1]Results!AK317</f>
        <v>215.10861800000001</v>
      </c>
      <c r="AI458" s="6">
        <f>[1]Results!AL317</f>
        <v>217.14642900000001</v>
      </c>
      <c r="AJ458" s="6">
        <f>[1]Results!AM317</f>
        <v>219.22042759999999</v>
      </c>
      <c r="AK458" s="6">
        <f>[1]Results!AN317</f>
        <v>221.3323905</v>
      </c>
      <c r="AL458" s="6">
        <f>[1]Results!AO317</f>
        <v>223.48339480000001</v>
      </c>
      <c r="AM458" s="6">
        <f>[1]Results!AP317</f>
        <v>225.60574320000001</v>
      </c>
      <c r="AN458" s="6">
        <f>[1]Results!AQ317</f>
        <v>227.73664959999999</v>
      </c>
      <c r="AO458" s="6">
        <f>[1]Results!AR317</f>
        <v>229.88655729999999</v>
      </c>
      <c r="AP458" s="6">
        <f>[1]Results!AS317</f>
        <v>232.05991539999999</v>
      </c>
      <c r="AQ458" s="6">
        <f>[1]Results!AT317</f>
        <v>234.2593957</v>
      </c>
      <c r="AR458" s="6">
        <f>[1]Results!AU317</f>
        <v>236.48683209999999</v>
      </c>
      <c r="AS458" s="6">
        <f>[1]Results!AV317</f>
        <v>238.7434638</v>
      </c>
      <c r="AT458" s="6">
        <f>[1]Results!AW317</f>
        <v>241.0300494</v>
      </c>
      <c r="AU458" s="6">
        <f>[1]Results!AX317</f>
        <v>243.3469758</v>
      </c>
      <c r="AV458" s="6">
        <f>[1]Results!AY317</f>
        <v>245.69464400000001</v>
      </c>
      <c r="AW458" s="6">
        <f>[1]Results!AZ317</f>
        <v>248.08000530000001</v>
      </c>
      <c r="AX458" s="6">
        <f>[1]Results!BA317</f>
        <v>250.50071689999999</v>
      </c>
      <c r="AY458" s="6">
        <f>[1]Results!BB317</f>
        <v>252.956627</v>
      </c>
      <c r="AZ458" s="6">
        <f>[1]Results!BC317</f>
        <v>255.4478225</v>
      </c>
      <c r="BA458" s="6">
        <f>[1]Results!BD317</f>
        <v>257.974311</v>
      </c>
      <c r="BB458" s="6">
        <f>[1]Results!BE317</f>
        <v>260.53604050000001</v>
      </c>
      <c r="BC458" s="6">
        <f>[1]Results!BF317</f>
        <v>263.13297269999998</v>
      </c>
      <c r="BD458" s="6">
        <f>[1]Results!BG317</f>
        <v>265.76514470000001</v>
      </c>
      <c r="BE458" s="6">
        <f>[1]Results!BH317</f>
        <v>268.43270330000001</v>
      </c>
      <c r="BF458" s="6">
        <f>[1]Results!BI317</f>
        <v>271.13591780000002</v>
      </c>
    </row>
    <row r="459" spans="1:58" x14ac:dyDescent="0.35">
      <c r="A459" t="s">
        <v>38</v>
      </c>
      <c r="B459" s="6" t="str">
        <f>[1]Results!E318</f>
        <v>CF_toe_ccoa_0</v>
      </c>
      <c r="C459" s="6">
        <f>[1]Results!F318</f>
        <v>5.4830683029999996</v>
      </c>
      <c r="D459" s="6">
        <f>[1]Results!G318</f>
        <v>5.3869425050000004</v>
      </c>
      <c r="E459" s="6">
        <f>[1]Results!H318</f>
        <v>5.4224480939999999</v>
      </c>
      <c r="F459" s="6">
        <f>[1]Results!I318</f>
        <v>5.4880554039999998</v>
      </c>
      <c r="G459" s="6">
        <f>[1]Results!J318</f>
        <v>5.5647419019999997</v>
      </c>
      <c r="H459" s="6">
        <f>[1]Results!K318</f>
        <v>5.6482282289999999</v>
      </c>
      <c r="I459" s="6">
        <f>[1]Results!L318</f>
        <v>5.733467224</v>
      </c>
      <c r="J459" s="6">
        <f>[1]Results!M318</f>
        <v>5.8218143260000002</v>
      </c>
      <c r="K459" s="6">
        <f>[1]Results!N318</f>
        <v>5.913133277</v>
      </c>
      <c r="L459" s="6">
        <f>[1]Results!O318</f>
        <v>6.0070203879999999</v>
      </c>
      <c r="M459" s="6">
        <f>[1]Results!P318</f>
        <v>6.1093326819999998</v>
      </c>
      <c r="N459" s="6">
        <f>[1]Results!Q318</f>
        <v>6.209499664</v>
      </c>
      <c r="O459" s="6">
        <f>[1]Results!R318</f>
        <v>6.3102340549999996</v>
      </c>
      <c r="P459" s="6">
        <f>[1]Results!S318</f>
        <v>6.4119259450000001</v>
      </c>
      <c r="Q459" s="6">
        <f>[1]Results!T318</f>
        <v>6.5145642969999997</v>
      </c>
      <c r="R459" s="6">
        <f>[1]Results!U318</f>
        <v>6.6181175520000002</v>
      </c>
      <c r="S459" s="6">
        <f>[1]Results!V318</f>
        <v>6.7226009189999996</v>
      </c>
      <c r="T459" s="6">
        <f>[1]Results!W318</f>
        <v>6.828078369</v>
      </c>
      <c r="U459" s="6">
        <f>[1]Results!X318</f>
        <v>6.9346507129999999</v>
      </c>
      <c r="V459" s="6">
        <f>[1]Results!Y318</f>
        <v>7.0424421170000002</v>
      </c>
      <c r="W459" s="6">
        <f>[1]Results!Z318</f>
        <v>7.1469524489999996</v>
      </c>
      <c r="X459" s="6">
        <f>[1]Results!AA318</f>
        <v>7.2559267570000001</v>
      </c>
      <c r="Y459" s="6">
        <f>[1]Results!AB318</f>
        <v>7.3672583620000003</v>
      </c>
      <c r="Z459" s="6">
        <f>[1]Results!AC318</f>
        <v>7.4806193609999996</v>
      </c>
      <c r="AA459" s="6">
        <f>[1]Results!AD318</f>
        <v>7.5960256089999998</v>
      </c>
      <c r="AB459" s="6">
        <f>[1]Results!AE318</f>
        <v>7.7001579089999996</v>
      </c>
      <c r="AC459" s="6">
        <f>[1]Results!AF318</f>
        <v>7.8086731049999996</v>
      </c>
      <c r="AD459" s="6">
        <f>[1]Results!AG318</f>
        <v>7.9191464969999998</v>
      </c>
      <c r="AE459" s="6">
        <f>[1]Results!AH318</f>
        <v>8.0312735899999996</v>
      </c>
      <c r="AF459" s="6">
        <f>[1]Results!AI318</f>
        <v>8.1451424540000001</v>
      </c>
      <c r="AG459" s="6">
        <f>[1]Results!AJ318</f>
        <v>8.2608866509999999</v>
      </c>
      <c r="AH459" s="6">
        <f>[1]Results!AK318</f>
        <v>8.3786149860000005</v>
      </c>
      <c r="AI459" s="6">
        <f>[1]Results!AL318</f>
        <v>8.4983984849999992</v>
      </c>
      <c r="AJ459" s="6">
        <f>[1]Results!AM318</f>
        <v>8.6202716479999992</v>
      </c>
      <c r="AK459" s="6">
        <f>[1]Results!AN318</f>
        <v>8.7442385720000004</v>
      </c>
      <c r="AL459" s="6">
        <f>[1]Results!AO318</f>
        <v>8.8702802559999991</v>
      </c>
      <c r="AM459" s="6">
        <f>[1]Results!AP318</f>
        <v>8.9951098270000003</v>
      </c>
      <c r="AN459" s="6">
        <f>[1]Results!AQ318</f>
        <v>9.1207131429999997</v>
      </c>
      <c r="AO459" s="6">
        <f>[1]Results!AR318</f>
        <v>9.2475339049999992</v>
      </c>
      <c r="AP459" s="6">
        <f>[1]Results!AS318</f>
        <v>9.3757038870000002</v>
      </c>
      <c r="AQ459" s="6">
        <f>[1]Results!AT318</f>
        <v>9.5052869720000004</v>
      </c>
      <c r="AR459" s="6">
        <f>[1]Results!AU318</f>
        <v>9.6363265630000008</v>
      </c>
      <c r="AS459" s="6">
        <f>[1]Results!AV318</f>
        <v>9.7688541729999994</v>
      </c>
      <c r="AT459" s="6">
        <f>[1]Results!AW318</f>
        <v>9.9028908839999996</v>
      </c>
      <c r="AU459" s="6">
        <f>[1]Results!AX318</f>
        <v>10.038448349999999</v>
      </c>
      <c r="AV459" s="6">
        <f>[1]Results!AY318</f>
        <v>10.175530500000001</v>
      </c>
      <c r="AW459" s="6">
        <f>[1]Results!AZ318</f>
        <v>10.314432249999999</v>
      </c>
      <c r="AX459" s="6">
        <f>[1]Results!BA318</f>
        <v>10.45496466</v>
      </c>
      <c r="AY459" s="6">
        <f>[1]Results!BB318</f>
        <v>10.597079730000001</v>
      </c>
      <c r="AZ459" s="6">
        <f>[1]Results!BC318</f>
        <v>10.740760679999999</v>
      </c>
      <c r="BA459" s="6">
        <f>[1]Results!BD318</f>
        <v>10.8860016</v>
      </c>
      <c r="BB459" s="6">
        <f>[1]Results!BE318</f>
        <v>11.03280431</v>
      </c>
      <c r="BC459" s="6">
        <f>[1]Results!BF318</f>
        <v>11.18117823</v>
      </c>
      <c r="BD459" s="6">
        <f>[1]Results!BG318</f>
        <v>11.33114041</v>
      </c>
      <c r="BE459" s="6">
        <f>[1]Results!BH318</f>
        <v>11.482715369999999</v>
      </c>
      <c r="BF459" s="6">
        <f>[1]Results!BI318</f>
        <v>11.635934519999999</v>
      </c>
    </row>
    <row r="460" spans="1:58" x14ac:dyDescent="0.35">
      <c r="B460" s="6" t="s">
        <v>74</v>
      </c>
      <c r="C460" s="6">
        <f>C461+C462+C463</f>
        <v>62.315390064900001</v>
      </c>
      <c r="D460" s="6">
        <f t="shared" ref="D460:AI460" si="274">D461+D462+D463</f>
        <v>61.929253045999999</v>
      </c>
      <c r="E460" s="6">
        <f t="shared" si="274"/>
        <v>61.905438240199999</v>
      </c>
      <c r="F460" s="6">
        <f t="shared" si="274"/>
        <v>62.037175844900005</v>
      </c>
      <c r="G460" s="6">
        <f t="shared" si="274"/>
        <v>62.307688313800007</v>
      </c>
      <c r="H460" s="6">
        <f t="shared" si="274"/>
        <v>62.705029145099999</v>
      </c>
      <c r="I460" s="6">
        <f t="shared" si="274"/>
        <v>63.187131385399994</v>
      </c>
      <c r="J460" s="6">
        <f t="shared" si="274"/>
        <v>63.745079997399998</v>
      </c>
      <c r="K460" s="6">
        <f t="shared" si="274"/>
        <v>64.364030061599991</v>
      </c>
      <c r="L460" s="6">
        <f t="shared" si="274"/>
        <v>65.029560336800003</v>
      </c>
      <c r="M460" s="6">
        <f t="shared" si="274"/>
        <v>65.773943950999993</v>
      </c>
      <c r="N460" s="6">
        <f t="shared" si="274"/>
        <v>66.5282611879</v>
      </c>
      <c r="O460" s="6">
        <f t="shared" si="274"/>
        <v>67.298531328500005</v>
      </c>
      <c r="P460" s="6">
        <f t="shared" si="274"/>
        <v>68.082070573400003</v>
      </c>
      <c r="Q460" s="6">
        <f t="shared" si="274"/>
        <v>68.875680305299994</v>
      </c>
      <c r="R460" s="6">
        <f t="shared" si="274"/>
        <v>69.676908421000007</v>
      </c>
      <c r="S460" s="6">
        <f t="shared" si="274"/>
        <v>70.4840253606</v>
      </c>
      <c r="T460" s="6">
        <f t="shared" si="274"/>
        <v>71.295856937099998</v>
      </c>
      <c r="U460" s="6">
        <f t="shared" si="274"/>
        <v>72.111655529000004</v>
      </c>
      <c r="V460" s="6">
        <f t="shared" si="274"/>
        <v>72.931013177700009</v>
      </c>
      <c r="W460" s="6">
        <f t="shared" si="274"/>
        <v>73.723510921500008</v>
      </c>
      <c r="X460" s="6">
        <f t="shared" si="274"/>
        <v>74.534070619900007</v>
      </c>
      <c r="Y460" s="6">
        <f t="shared" si="274"/>
        <v>75.353071478599986</v>
      </c>
      <c r="Z460" s="6">
        <f t="shared" si="274"/>
        <v>76.178926674600007</v>
      </c>
      <c r="AA460" s="6">
        <f t="shared" si="274"/>
        <v>77.011706470600004</v>
      </c>
      <c r="AB460" s="6">
        <f t="shared" si="274"/>
        <v>77.764801638000009</v>
      </c>
      <c r="AC460" s="6">
        <f t="shared" si="274"/>
        <v>78.526203222600003</v>
      </c>
      <c r="AD460" s="6">
        <f t="shared" si="274"/>
        <v>79.287239149599998</v>
      </c>
      <c r="AE460" s="6">
        <f t="shared" si="274"/>
        <v>80.048620064200009</v>
      </c>
      <c r="AF460" s="6">
        <f t="shared" si="274"/>
        <v>80.812724840100003</v>
      </c>
      <c r="AG460" s="6">
        <f t="shared" si="274"/>
        <v>81.581919807900007</v>
      </c>
      <c r="AH460" s="6">
        <f t="shared" si="274"/>
        <v>82.358187846600003</v>
      </c>
      <c r="AI460" s="6">
        <f t="shared" si="274"/>
        <v>83.142993551200007</v>
      </c>
      <c r="AJ460" s="6">
        <f>AJ461+AJ462+AJ463</f>
        <v>83.937460749400003</v>
      </c>
      <c r="AK460" s="6">
        <f t="shared" ref="AK460" si="275">AK461+AK462+AK463</f>
        <v>84.742410477899995</v>
      </c>
      <c r="AL460" s="6">
        <f t="shared" ref="AL460:BC460" si="276">AL461+AL462+AL463</f>
        <v>85.558408609000011</v>
      </c>
      <c r="AM460" s="6">
        <f t="shared" si="276"/>
        <v>86.365030575399999</v>
      </c>
      <c r="AN460" s="6">
        <f t="shared" si="276"/>
        <v>87.172312917699998</v>
      </c>
      <c r="AO460" s="6">
        <f t="shared" si="276"/>
        <v>87.983424420900008</v>
      </c>
      <c r="AP460" s="6">
        <f t="shared" si="276"/>
        <v>88.80007625319999</v>
      </c>
      <c r="AQ460" s="6">
        <f t="shared" si="276"/>
        <v>89.623575415700003</v>
      </c>
      <c r="AR460" s="6">
        <f t="shared" si="276"/>
        <v>90.4549956587</v>
      </c>
      <c r="AS460" s="6">
        <f t="shared" si="276"/>
        <v>91.295190340099992</v>
      </c>
      <c r="AT460" s="6">
        <f t="shared" si="276"/>
        <v>92.144796628999998</v>
      </c>
      <c r="AU460" s="6">
        <f t="shared" si="276"/>
        <v>93.004257834699999</v>
      </c>
      <c r="AV460" s="6">
        <f t="shared" si="276"/>
        <v>93.873900259999985</v>
      </c>
      <c r="AW460" s="6">
        <f t="shared" si="276"/>
        <v>94.7558915093</v>
      </c>
      <c r="AX460" s="6">
        <f t="shared" si="276"/>
        <v>95.649589674999987</v>
      </c>
      <c r="AY460" s="6">
        <f t="shared" si="276"/>
        <v>96.554890518500002</v>
      </c>
      <c r="AZ460" s="6">
        <f t="shared" si="276"/>
        <v>97.471742270800007</v>
      </c>
      <c r="BA460" s="6">
        <f t="shared" si="276"/>
        <v>98.400073286799994</v>
      </c>
      <c r="BB460" s="6">
        <f t="shared" si="276"/>
        <v>99.339802426200009</v>
      </c>
      <c r="BC460" s="6">
        <f t="shared" si="276"/>
        <v>100.29085927579999</v>
      </c>
      <c r="BD460" s="6">
        <f t="shared" ref="BD460:BF460" si="277">BD461+BD462+BD463</f>
        <v>101.25319847560002</v>
      </c>
      <c r="BE460" s="6">
        <f t="shared" si="277"/>
        <v>102.226806563</v>
      </c>
      <c r="BF460" s="6">
        <f t="shared" si="277"/>
        <v>103.2117027303</v>
      </c>
    </row>
    <row r="461" spans="1:58" x14ac:dyDescent="0.35">
      <c r="B461" s="6" t="str">
        <f>[1]Results!E321</f>
        <v>CF_toe_ccoi_0</v>
      </c>
      <c r="C461" s="6">
        <f>[1]Results!F321</f>
        <v>8.4917494900000001E-2</v>
      </c>
      <c r="D461" s="6">
        <f>[1]Results!G321</f>
        <v>8.4031716000000006E-2</v>
      </c>
      <c r="E461" s="6">
        <f>[1]Results!H321</f>
        <v>8.4454870200000004E-2</v>
      </c>
      <c r="F461" s="6">
        <f>[1]Results!I321</f>
        <v>8.5202834899999996E-2</v>
      </c>
      <c r="G461" s="6">
        <f>[1]Results!J321</f>
        <v>8.6147363800000001E-2</v>
      </c>
      <c r="H461" s="6">
        <f>[1]Results!K321</f>
        <v>8.7270795100000007E-2</v>
      </c>
      <c r="I461" s="6">
        <f>[1]Results!L321</f>
        <v>8.8504275399999999E-2</v>
      </c>
      <c r="J461" s="6">
        <f>[1]Results!M321</f>
        <v>8.9857147400000004E-2</v>
      </c>
      <c r="K461" s="6">
        <f>[1]Results!N321</f>
        <v>9.1314611599999998E-2</v>
      </c>
      <c r="L461" s="6">
        <f>[1]Results!O321</f>
        <v>9.2858816799999994E-2</v>
      </c>
      <c r="M461" s="6">
        <f>[1]Results!P321</f>
        <v>9.4568950999999998E-2</v>
      </c>
      <c r="N461" s="6">
        <f>[1]Results!Q321</f>
        <v>9.6282867899999999E-2</v>
      </c>
      <c r="O461" s="6">
        <f>[1]Results!R321</f>
        <v>9.8027938499999995E-2</v>
      </c>
      <c r="P461" s="6">
        <f>[1]Results!S321</f>
        <v>9.9801503400000005E-2</v>
      </c>
      <c r="Q461" s="6">
        <f>[1]Results!T321</f>
        <v>0.1015973153</v>
      </c>
      <c r="R461" s="6">
        <f>[1]Results!U321</f>
        <v>0.103410021</v>
      </c>
      <c r="S461" s="6">
        <f>[1]Results!V321</f>
        <v>0.1052357506</v>
      </c>
      <c r="T461" s="6">
        <f>[1]Results!W321</f>
        <v>0.10707200710000001</v>
      </c>
      <c r="U461" s="6">
        <f>[1]Results!X321</f>
        <v>0.108917449</v>
      </c>
      <c r="V461" s="6">
        <f>[1]Results!Y321</f>
        <v>0.1107716777</v>
      </c>
      <c r="W461" s="6">
        <f>[1]Results!Z321</f>
        <v>0.11256274149999999</v>
      </c>
      <c r="X461" s="6">
        <f>[1]Results!AA321</f>
        <v>0.1144031199</v>
      </c>
      <c r="Y461" s="6">
        <f>[1]Results!AB321</f>
        <v>0.1162650286</v>
      </c>
      <c r="Z461" s="6">
        <f>[1]Results!AC321</f>
        <v>0.11814510459999999</v>
      </c>
      <c r="AA461" s="6">
        <f>[1]Results!AD321</f>
        <v>0.1200442406</v>
      </c>
      <c r="AB461" s="6">
        <f>[1]Results!AE321</f>
        <v>0.121754348</v>
      </c>
      <c r="AC461" s="6">
        <f>[1]Results!AF321</f>
        <v>0.1235005326</v>
      </c>
      <c r="AD461" s="6">
        <f>[1]Results!AG321</f>
        <v>0.12525269959999999</v>
      </c>
      <c r="AE461" s="6">
        <f>[1]Results!AH321</f>
        <v>0.12701102419999999</v>
      </c>
      <c r="AF461" s="6">
        <f>[1]Results!AI321</f>
        <v>0.1287804501</v>
      </c>
      <c r="AG461" s="6">
        <f>[1]Results!AJ321</f>
        <v>0.13056602789999999</v>
      </c>
      <c r="AH461" s="6">
        <f>[1]Results!AK321</f>
        <v>0.13237203659999999</v>
      </c>
      <c r="AI461" s="6">
        <f>[1]Results!AL321</f>
        <v>0.13420187119999999</v>
      </c>
      <c r="AJ461" s="6">
        <f>[1]Results!AM321</f>
        <v>0.13605809939999999</v>
      </c>
      <c r="AK461" s="6">
        <f>[1]Results!AN321</f>
        <v>0.13794256790000001</v>
      </c>
      <c r="AL461" s="6">
        <f>[1]Results!AO321</f>
        <v>0.13985651900000001</v>
      </c>
      <c r="AM461" s="6">
        <f>[1]Results!AP321</f>
        <v>0.1417498354</v>
      </c>
      <c r="AN461" s="6">
        <f>[1]Results!AQ321</f>
        <v>0.14364977770000001</v>
      </c>
      <c r="AO461" s="6">
        <f>[1]Results!AR321</f>
        <v>0.14556328090000001</v>
      </c>
      <c r="AP461" s="6">
        <f>[1]Results!AS321</f>
        <v>0.14749361320000001</v>
      </c>
      <c r="AQ461" s="6">
        <f>[1]Results!AT321</f>
        <v>0.1494431957</v>
      </c>
      <c r="AR461" s="6">
        <f>[1]Results!AU321</f>
        <v>0.15141401870000001</v>
      </c>
      <c r="AS461" s="6">
        <f>[1]Results!AV321</f>
        <v>0.1534076801</v>
      </c>
      <c r="AT461" s="6">
        <f>[1]Results!AW321</f>
        <v>0.15542539899999999</v>
      </c>
      <c r="AU461" s="6">
        <f>[1]Results!AX321</f>
        <v>0.1574680547</v>
      </c>
      <c r="AV461" s="6">
        <f>[1]Results!AY321</f>
        <v>0.15953624</v>
      </c>
      <c r="AW461" s="6">
        <f>[1]Results!AZ321</f>
        <v>0.1616349393</v>
      </c>
      <c r="AX461" s="6">
        <f>[1]Results!BA321</f>
        <v>0.16376191500000001</v>
      </c>
      <c r="AY461" s="6">
        <f>[1]Results!BB321</f>
        <v>0.1659166685</v>
      </c>
      <c r="AZ461" s="6">
        <f>[1]Results!BC321</f>
        <v>0.16809899079999999</v>
      </c>
      <c r="BA461" s="6">
        <f>[1]Results!BD321</f>
        <v>0.17030875679999999</v>
      </c>
      <c r="BB461" s="6">
        <f>[1]Results!BE321</f>
        <v>0.1725459262</v>
      </c>
      <c r="BC461" s="6">
        <f>[1]Results!BF321</f>
        <v>0.17481056580000001</v>
      </c>
      <c r="BD461" s="6">
        <f>[1]Results!BG321</f>
        <v>0.17710286559999999</v>
      </c>
      <c r="BE461" s="6">
        <f>[1]Results!BH321</f>
        <v>0.17942314300000001</v>
      </c>
      <c r="BF461" s="6">
        <f>[1]Results!BI321</f>
        <v>0.18177184029999999</v>
      </c>
    </row>
    <row r="462" spans="1:58" x14ac:dyDescent="0.35">
      <c r="B462" s="6" t="str">
        <f>[1]Results!E324</f>
        <v>CF_toe_cfut_0</v>
      </c>
      <c r="C462" s="6">
        <f>[1]Results!F324</f>
        <v>47.396219530000003</v>
      </c>
      <c r="D462" s="6">
        <f>[1]Results!G324</f>
        <v>47.04190105</v>
      </c>
      <c r="E462" s="6">
        <f>[1]Results!H324</f>
        <v>46.987253170000002</v>
      </c>
      <c r="F462" s="6">
        <f>[1]Results!I324</f>
        <v>47.070845220000002</v>
      </c>
      <c r="G462" s="6">
        <f>[1]Results!J324</f>
        <v>47.276741530000002</v>
      </c>
      <c r="H462" s="6">
        <f>[1]Results!K324</f>
        <v>47.591837480000002</v>
      </c>
      <c r="I462" s="6">
        <f>[1]Results!L324</f>
        <v>47.981917969999998</v>
      </c>
      <c r="J462" s="6">
        <f>[1]Results!M324</f>
        <v>48.436907759999997</v>
      </c>
      <c r="K462" s="6">
        <f>[1]Results!N324</f>
        <v>48.943820019999997</v>
      </c>
      <c r="L462" s="6">
        <f>[1]Results!O324</f>
        <v>49.491417769999998</v>
      </c>
      <c r="M462" s="6">
        <f>[1]Results!P324</f>
        <v>50.099977289999998</v>
      </c>
      <c r="N462" s="6">
        <f>[1]Results!Q324</f>
        <v>50.719764290000001</v>
      </c>
      <c r="O462" s="6">
        <f>[1]Results!R324</f>
        <v>51.354431490000003</v>
      </c>
      <c r="P462" s="6">
        <f>[1]Results!S324</f>
        <v>52.001215799999997</v>
      </c>
      <c r="Q462" s="6">
        <f>[1]Results!T324</f>
        <v>52.656984809999997</v>
      </c>
      <c r="R462" s="6">
        <f>[1]Results!U324</f>
        <v>53.319270850000002</v>
      </c>
      <c r="S462" s="6">
        <f>[1]Results!V324</f>
        <v>53.986319690000002</v>
      </c>
      <c r="T462" s="6">
        <f>[1]Results!W324</f>
        <v>54.65696252</v>
      </c>
      <c r="U462" s="6">
        <f>[1]Results!X324</f>
        <v>55.330478530000001</v>
      </c>
      <c r="V462" s="6">
        <f>[1]Results!Y324</f>
        <v>56.00648228</v>
      </c>
      <c r="W462" s="6">
        <f>[1]Results!Z324</f>
        <v>56.66299506</v>
      </c>
      <c r="X462" s="6">
        <f>[1]Results!AA324</f>
        <v>57.331898270000003</v>
      </c>
      <c r="Y462" s="6">
        <f>[1]Results!AB324</f>
        <v>58.006504749999998</v>
      </c>
      <c r="Z462" s="6">
        <f>[1]Results!AC324</f>
        <v>58.685920029999998</v>
      </c>
      <c r="AA462" s="6">
        <f>[1]Results!AD324</f>
        <v>59.370312599999998</v>
      </c>
      <c r="AB462" s="6">
        <f>[1]Results!AE324</f>
        <v>59.997047700000003</v>
      </c>
      <c r="AC462" s="6">
        <f>[1]Results!AF324</f>
        <v>60.628367109999999</v>
      </c>
      <c r="AD462" s="6">
        <f>[1]Results!AG324</f>
        <v>61.258035700000001</v>
      </c>
      <c r="AE462" s="6">
        <f>[1]Results!AH324</f>
        <v>61.886935950000002</v>
      </c>
      <c r="AF462" s="6">
        <f>[1]Results!AI324</f>
        <v>62.51714174</v>
      </c>
      <c r="AG462" s="6">
        <f>[1]Results!AJ324</f>
        <v>63.150652880000003</v>
      </c>
      <c r="AH462" s="6">
        <f>[1]Results!AK324</f>
        <v>63.789122599999999</v>
      </c>
      <c r="AI462" s="6">
        <f>[1]Results!AL324</f>
        <v>64.433827170000001</v>
      </c>
      <c r="AJ462" s="6">
        <f>[1]Results!AM324</f>
        <v>65.085704410000005</v>
      </c>
      <c r="AK462" s="6">
        <f>[1]Results!AN324</f>
        <v>65.745414190000005</v>
      </c>
      <c r="AL462" s="6">
        <f>[1]Results!AO324</f>
        <v>66.413401160000006</v>
      </c>
      <c r="AM462" s="6">
        <f>[1]Results!AP324</f>
        <v>67.074816499999997</v>
      </c>
      <c r="AN462" s="6">
        <f>[1]Results!AQ324</f>
        <v>67.736685420000001</v>
      </c>
      <c r="AO462" s="6">
        <f>[1]Results!AR324</f>
        <v>68.401201929999999</v>
      </c>
      <c r="AP462" s="6">
        <f>[1]Results!AS324</f>
        <v>69.069661569999994</v>
      </c>
      <c r="AQ462" s="6">
        <f>[1]Results!AT324</f>
        <v>69.743148340000005</v>
      </c>
      <c r="AR462" s="6">
        <f>[1]Results!AU324</f>
        <v>70.422604750000005</v>
      </c>
      <c r="AS462" s="6">
        <f>[1]Results!AV324</f>
        <v>71.108810199999994</v>
      </c>
      <c r="AT462" s="6">
        <f>[1]Results!AW324</f>
        <v>71.802368000000001</v>
      </c>
      <c r="AU462" s="6">
        <f>[1]Results!AX324</f>
        <v>72.503712669999999</v>
      </c>
      <c r="AV462" s="6">
        <f>[1]Results!AY324</f>
        <v>73.213131239999996</v>
      </c>
      <c r="AW462" s="6">
        <f>[1]Results!AZ324</f>
        <v>73.932156390000003</v>
      </c>
      <c r="AX462" s="6">
        <f>[1]Results!BA324</f>
        <v>74.660239689999997</v>
      </c>
      <c r="AY462" s="6">
        <f>[1]Results!BB324</f>
        <v>75.397212490000001</v>
      </c>
      <c r="AZ462" s="6">
        <f>[1]Results!BC324</f>
        <v>76.142952609999995</v>
      </c>
      <c r="BA462" s="6">
        <f>[1]Results!BD324</f>
        <v>76.897341060000002</v>
      </c>
      <c r="BB462" s="6">
        <f>[1]Results!BE324</f>
        <v>77.660269170000007</v>
      </c>
      <c r="BC462" s="6">
        <f>[1]Results!BF324</f>
        <v>78.431649109999995</v>
      </c>
      <c r="BD462" s="6">
        <f>[1]Results!BG324</f>
        <v>79.211419770000006</v>
      </c>
      <c r="BE462" s="6">
        <f>[1]Results!BH324</f>
        <v>79.999547960000001</v>
      </c>
      <c r="BF462" s="6">
        <f>[1]Results!BI324</f>
        <v>80.796026179999998</v>
      </c>
    </row>
    <row r="463" spans="1:58" x14ac:dyDescent="0.35">
      <c r="B463" s="6" t="str">
        <f>[1]Results!E327</f>
        <v>CF_toe_cfuh_0</v>
      </c>
      <c r="C463" s="6">
        <f>[1]Results!F327</f>
        <v>14.83425304</v>
      </c>
      <c r="D463" s="6">
        <f>[1]Results!G327</f>
        <v>14.803320279999999</v>
      </c>
      <c r="E463" s="6">
        <f>[1]Results!H327</f>
        <v>14.8337302</v>
      </c>
      <c r="F463" s="6">
        <f>[1]Results!I327</f>
        <v>14.881127790000001</v>
      </c>
      <c r="G463" s="6">
        <f>[1]Results!J327</f>
        <v>14.944799420000001</v>
      </c>
      <c r="H463" s="6">
        <f>[1]Results!K327</f>
        <v>15.02592087</v>
      </c>
      <c r="I463" s="6">
        <f>[1]Results!L327</f>
        <v>15.116709139999999</v>
      </c>
      <c r="J463" s="6">
        <f>[1]Results!M327</f>
        <v>15.218315090000001</v>
      </c>
      <c r="K463" s="6">
        <f>[1]Results!N327</f>
        <v>15.328895429999999</v>
      </c>
      <c r="L463" s="6">
        <f>[1]Results!O327</f>
        <v>15.44528375</v>
      </c>
      <c r="M463" s="6">
        <f>[1]Results!P327</f>
        <v>15.57939771</v>
      </c>
      <c r="N463" s="6">
        <f>[1]Results!Q327</f>
        <v>15.71221403</v>
      </c>
      <c r="O463" s="6">
        <f>[1]Results!R327</f>
        <v>15.8460719</v>
      </c>
      <c r="P463" s="6">
        <f>[1]Results!S327</f>
        <v>15.98105327</v>
      </c>
      <c r="Q463" s="6">
        <f>[1]Results!T327</f>
        <v>16.117098179999999</v>
      </c>
      <c r="R463" s="6">
        <f>[1]Results!U327</f>
        <v>16.25422755</v>
      </c>
      <c r="S463" s="6">
        <f>[1]Results!V327</f>
        <v>16.39246992</v>
      </c>
      <c r="T463" s="6">
        <f>[1]Results!W327</f>
        <v>16.53182241</v>
      </c>
      <c r="U463" s="6">
        <f>[1]Results!X327</f>
        <v>16.67225955</v>
      </c>
      <c r="V463" s="6">
        <f>[1]Results!Y327</f>
        <v>16.813759220000001</v>
      </c>
      <c r="W463" s="6">
        <f>[1]Results!Z327</f>
        <v>16.947953120000001</v>
      </c>
      <c r="X463" s="6">
        <f>[1]Results!AA327</f>
        <v>17.087769229999999</v>
      </c>
      <c r="Y463" s="6">
        <f>[1]Results!AB327</f>
        <v>17.230301699999998</v>
      </c>
      <c r="Z463" s="6">
        <f>[1]Results!AC327</f>
        <v>17.374861540000001</v>
      </c>
      <c r="AA463" s="6">
        <f>[1]Results!AD327</f>
        <v>17.52134963</v>
      </c>
      <c r="AB463" s="6">
        <f>[1]Results!AE327</f>
        <v>17.645999589999999</v>
      </c>
      <c r="AC463" s="6">
        <f>[1]Results!AF327</f>
        <v>17.774335579999999</v>
      </c>
      <c r="AD463" s="6">
        <f>[1]Results!AG327</f>
        <v>17.90395075</v>
      </c>
      <c r="AE463" s="6">
        <f>[1]Results!AH327</f>
        <v>18.034673089999998</v>
      </c>
      <c r="AF463" s="6">
        <f>[1]Results!AI327</f>
        <v>18.166802650000001</v>
      </c>
      <c r="AG463" s="6">
        <f>[1]Results!AJ327</f>
        <v>18.300700899999999</v>
      </c>
      <c r="AH463" s="6">
        <f>[1]Results!AK327</f>
        <v>18.436693210000001</v>
      </c>
      <c r="AI463" s="6">
        <f>[1]Results!AL327</f>
        <v>18.574964510000001</v>
      </c>
      <c r="AJ463" s="6">
        <f>[1]Results!AM327</f>
        <v>18.715698239999998</v>
      </c>
      <c r="AK463" s="6">
        <f>[1]Results!AN327</f>
        <v>18.859053719999999</v>
      </c>
      <c r="AL463" s="6">
        <f>[1]Results!AO327</f>
        <v>19.005150929999999</v>
      </c>
      <c r="AM463" s="6">
        <f>[1]Results!AP327</f>
        <v>19.148464239999999</v>
      </c>
      <c r="AN463" s="6">
        <f>[1]Results!AQ327</f>
        <v>19.291977719999998</v>
      </c>
      <c r="AO463" s="6">
        <f>[1]Results!AR327</f>
        <v>19.436659209999998</v>
      </c>
      <c r="AP463" s="6">
        <f>[1]Results!AS327</f>
        <v>19.582921070000001</v>
      </c>
      <c r="AQ463" s="6">
        <f>[1]Results!AT327</f>
        <v>19.73098388</v>
      </c>
      <c r="AR463" s="6">
        <f>[1]Results!AU327</f>
        <v>19.880976889999999</v>
      </c>
      <c r="AS463" s="6">
        <f>[1]Results!AV327</f>
        <v>20.03297246</v>
      </c>
      <c r="AT463" s="6">
        <f>[1]Results!AW327</f>
        <v>20.187003229999998</v>
      </c>
      <c r="AU463" s="6">
        <f>[1]Results!AX327</f>
        <v>20.343077109999999</v>
      </c>
      <c r="AV463" s="6">
        <f>[1]Results!AY327</f>
        <v>20.501232779999999</v>
      </c>
      <c r="AW463" s="6">
        <f>[1]Results!AZ327</f>
        <v>20.662100179999999</v>
      </c>
      <c r="AX463" s="6">
        <f>[1]Results!BA327</f>
        <v>20.825588069999998</v>
      </c>
      <c r="AY463" s="6">
        <f>[1]Results!BB327</f>
        <v>20.991761360000002</v>
      </c>
      <c r="AZ463" s="6">
        <f>[1]Results!BC327</f>
        <v>21.160690670000001</v>
      </c>
      <c r="BA463" s="6">
        <f>[1]Results!BD327</f>
        <v>21.332423469999998</v>
      </c>
      <c r="BB463" s="6">
        <f>[1]Results!BE327</f>
        <v>21.506987330000001</v>
      </c>
      <c r="BC463" s="6">
        <f>[1]Results!BF327</f>
        <v>21.684399599999999</v>
      </c>
      <c r="BD463" s="6">
        <f>[1]Results!BG327</f>
        <v>21.86467584</v>
      </c>
      <c r="BE463" s="6">
        <f>[1]Results!BH327</f>
        <v>22.047835460000002</v>
      </c>
      <c r="BF463" s="6">
        <f>[1]Results!BI327</f>
        <v>22.233904710000001</v>
      </c>
    </row>
    <row r="464" spans="1:58" x14ac:dyDescent="0.35">
      <c r="B464" s="6" t="str">
        <f>[1]Results!E329</f>
        <v>CF_toe_cgas_0</v>
      </c>
      <c r="C464" s="6">
        <f>[1]Results!F329</f>
        <v>34.455909939999998</v>
      </c>
      <c r="D464" s="6">
        <f>[1]Results!G329</f>
        <v>34.325235130000003</v>
      </c>
      <c r="E464" s="6">
        <f>[1]Results!H329</f>
        <v>34.459596830000002</v>
      </c>
      <c r="F464" s="6">
        <f>[1]Results!I329</f>
        <v>34.652265509999999</v>
      </c>
      <c r="G464" s="6">
        <f>[1]Results!J329</f>
        <v>34.887496540000001</v>
      </c>
      <c r="H464" s="6">
        <f>[1]Results!K329</f>
        <v>35.167239809999998</v>
      </c>
      <c r="I464" s="6">
        <f>[1]Results!L329</f>
        <v>35.470440080000003</v>
      </c>
      <c r="J464" s="6">
        <f>[1]Results!M329</f>
        <v>35.803266110000003</v>
      </c>
      <c r="K464" s="6">
        <f>[1]Results!N329</f>
        <v>36.162523129999997</v>
      </c>
      <c r="L464" s="6">
        <f>[1]Results!O329</f>
        <v>36.542296620000002</v>
      </c>
      <c r="M464" s="6">
        <f>[1]Results!P329</f>
        <v>36.97139086</v>
      </c>
      <c r="N464" s="6">
        <f>[1]Results!Q329</f>
        <v>37.391025820000003</v>
      </c>
      <c r="O464" s="6">
        <f>[1]Results!R329</f>
        <v>37.810335530000003</v>
      </c>
      <c r="P464" s="6">
        <f>[1]Results!S329</f>
        <v>38.230715539999998</v>
      </c>
      <c r="Q464" s="6">
        <f>[1]Results!T329</f>
        <v>38.653008829999997</v>
      </c>
      <c r="R464" s="6">
        <f>[1]Results!U329</f>
        <v>39.077938680000003</v>
      </c>
      <c r="S464" s="6">
        <f>[1]Results!V329</f>
        <v>39.50588673</v>
      </c>
      <c r="T464" s="6">
        <f>[1]Results!W329</f>
        <v>39.936890959999999</v>
      </c>
      <c r="U464" s="6">
        <f>[1]Results!X329</f>
        <v>40.370791539999999</v>
      </c>
      <c r="V464" s="6">
        <f>[1]Results!Y329</f>
        <v>40.807393439999998</v>
      </c>
      <c r="W464" s="6">
        <f>[1]Results!Z329</f>
        <v>41.222080339999998</v>
      </c>
      <c r="X464" s="6">
        <f>[1]Results!AA329</f>
        <v>41.653469889999997</v>
      </c>
      <c r="Y464" s="6">
        <f>[1]Results!AB329</f>
        <v>42.091675770000002</v>
      </c>
      <c r="Z464" s="6">
        <f>[1]Results!AC329</f>
        <v>42.534762450000002</v>
      </c>
      <c r="AA464" s="6">
        <f>[1]Results!AD329</f>
        <v>42.98256215</v>
      </c>
      <c r="AB464" s="6">
        <f>[1]Results!AE329</f>
        <v>43.365444170000004</v>
      </c>
      <c r="AC464" s="6">
        <f>[1]Results!AF329</f>
        <v>43.760931659999997</v>
      </c>
      <c r="AD464" s="6">
        <f>[1]Results!AG329</f>
        <v>44.159433360000001</v>
      </c>
      <c r="AE464" s="6">
        <f>[1]Results!AH329</f>
        <v>44.560242510000002</v>
      </c>
      <c r="AF464" s="6">
        <f>[1]Results!AI329</f>
        <v>44.964204459999998</v>
      </c>
      <c r="AG464" s="6">
        <f>[1]Results!AJ329</f>
        <v>45.37238309</v>
      </c>
      <c r="AH464" s="6">
        <f>[1]Results!AK329</f>
        <v>45.78575343</v>
      </c>
      <c r="AI464" s="6">
        <f>[1]Results!AL329</f>
        <v>46.204989930000004</v>
      </c>
      <c r="AJ464" s="6">
        <f>[1]Results!AM329</f>
        <v>46.630771510000002</v>
      </c>
      <c r="AK464" s="6">
        <f>[1]Results!AN329</f>
        <v>47.063688190000001</v>
      </c>
      <c r="AL464" s="6">
        <f>[1]Results!AO329</f>
        <v>47.504197089999998</v>
      </c>
      <c r="AM464" s="6">
        <f>[1]Results!AP329</f>
        <v>47.936120529999997</v>
      </c>
      <c r="AN464" s="6">
        <f>[1]Results!AQ329</f>
        <v>48.368904890000003</v>
      </c>
      <c r="AO464" s="6">
        <f>[1]Results!AR329</f>
        <v>48.805139099999998</v>
      </c>
      <c r="AP464" s="6">
        <f>[1]Results!AS329</f>
        <v>49.24582899</v>
      </c>
      <c r="AQ464" s="6">
        <f>[1]Results!AT329</f>
        <v>49.691478140000001</v>
      </c>
      <c r="AR464" s="6">
        <f>[1]Results!AU329</f>
        <v>50.142361000000001</v>
      </c>
      <c r="AS464" s="6">
        <f>[1]Results!AV329</f>
        <v>50.598614769999998</v>
      </c>
      <c r="AT464" s="6">
        <f>[1]Results!AW329</f>
        <v>51.060284609999997</v>
      </c>
      <c r="AU464" s="6">
        <f>[1]Results!AX329</f>
        <v>51.52736419</v>
      </c>
      <c r="AV464" s="6">
        <f>[1]Results!AY329</f>
        <v>51.999984019999999</v>
      </c>
      <c r="AW464" s="6">
        <f>[1]Results!AZ329</f>
        <v>52.480088309999999</v>
      </c>
      <c r="AX464" s="6">
        <f>[1]Results!BA329</f>
        <v>52.967447630000002</v>
      </c>
      <c r="AY464" s="6">
        <f>[1]Results!BB329</f>
        <v>53.462353489999998</v>
      </c>
      <c r="AZ464" s="6">
        <f>[1]Results!BC329</f>
        <v>53.965082520000003</v>
      </c>
      <c r="BA464" s="6">
        <f>[1]Results!BD329</f>
        <v>54.47581417</v>
      </c>
      <c r="BB464" s="6">
        <f>[1]Results!BE329</f>
        <v>54.99464828</v>
      </c>
      <c r="BC464" s="6">
        <f>[1]Results!BF329</f>
        <v>55.52164002</v>
      </c>
      <c r="BD464" s="6">
        <f>[1]Results!BG329</f>
        <v>56.056829790000002</v>
      </c>
      <c r="BE464" s="6">
        <f>[1]Results!BH329</f>
        <v>56.600263529999999</v>
      </c>
      <c r="BF464" s="6">
        <f>[1]Results!BI329</f>
        <v>57.152004290000001</v>
      </c>
    </row>
    <row r="465" spans="1:58" x14ac:dyDescent="0.35">
      <c r="B465" s="6" t="str">
        <f>[1]Results!E335</f>
        <v>CF_toe_cele_0</v>
      </c>
      <c r="C465" s="6">
        <f>[1]Results!F335</f>
        <v>37.992390440000001</v>
      </c>
      <c r="D465" s="6">
        <f>[1]Results!G335</f>
        <v>37.827243520000003</v>
      </c>
      <c r="E465" s="6">
        <f>[1]Results!H335</f>
        <v>37.918933770000002</v>
      </c>
      <c r="F465" s="6">
        <f>[1]Results!I335</f>
        <v>38.090107959999997</v>
      </c>
      <c r="G465" s="6">
        <f>[1]Results!J335</f>
        <v>38.327303710000002</v>
      </c>
      <c r="H465" s="6">
        <f>[1]Results!K335</f>
        <v>38.628008909999998</v>
      </c>
      <c r="I465" s="6">
        <f>[1]Results!L335</f>
        <v>38.965645459999998</v>
      </c>
      <c r="J465" s="6">
        <f>[1]Results!M335</f>
        <v>39.339126710000002</v>
      </c>
      <c r="K465" s="6">
        <f>[1]Results!N335</f>
        <v>39.740015290000002</v>
      </c>
      <c r="L465" s="6">
        <f>[1]Results!O335</f>
        <v>40.158526420000001</v>
      </c>
      <c r="M465" s="6">
        <f>[1]Results!P335</f>
        <v>40.622092909999999</v>
      </c>
      <c r="N465" s="6">
        <f>[1]Results!Q335</f>
        <v>41.075385650000001</v>
      </c>
      <c r="O465" s="6">
        <f>[1]Results!R335</f>
        <v>41.526355039999999</v>
      </c>
      <c r="P465" s="6">
        <f>[1]Results!S335</f>
        <v>41.975054290000003</v>
      </c>
      <c r="Q465" s="6">
        <f>[1]Results!T335</f>
        <v>42.420902519999999</v>
      </c>
      <c r="R465" s="6">
        <f>[1]Results!U335</f>
        <v>42.863700999999999</v>
      </c>
      <c r="S465" s="6">
        <f>[1]Results!V335</f>
        <v>43.303611080000003</v>
      </c>
      <c r="T465" s="6">
        <f>[1]Results!W335</f>
        <v>43.741067630000003</v>
      </c>
      <c r="U465" s="6">
        <f>[1]Results!X335</f>
        <v>44.17673491</v>
      </c>
      <c r="V465" s="6">
        <f>[1]Results!Y335</f>
        <v>44.611477999999998</v>
      </c>
      <c r="W465" s="6">
        <f>[1]Results!Z335</f>
        <v>45.022490070000003</v>
      </c>
      <c r="X465" s="6">
        <f>[1]Results!AA335</f>
        <v>45.448021779999998</v>
      </c>
      <c r="Y465" s="6">
        <f>[1]Results!AB335</f>
        <v>45.880162669999997</v>
      </c>
      <c r="Z465" s="6">
        <f>[1]Results!AC335</f>
        <v>46.318108090000003</v>
      </c>
      <c r="AA465" s="6">
        <f>[1]Results!AD335</f>
        <v>46.762512149999999</v>
      </c>
      <c r="AB465" s="6">
        <f>[1]Results!AE335</f>
        <v>47.14615895</v>
      </c>
      <c r="AC465" s="6">
        <f>[1]Results!AF335</f>
        <v>47.543665349999998</v>
      </c>
      <c r="AD465" s="6">
        <f>[1]Results!AG335</f>
        <v>47.947320869999999</v>
      </c>
      <c r="AE465" s="6">
        <f>[1]Results!AH335</f>
        <v>48.357367119999999</v>
      </c>
      <c r="AF465" s="6">
        <f>[1]Results!AI335</f>
        <v>48.775345590000001</v>
      </c>
      <c r="AG465" s="6">
        <f>[1]Results!AJ335</f>
        <v>49.20277754</v>
      </c>
      <c r="AH465" s="6">
        <f>[1]Results!AK335</f>
        <v>49.640885349999998</v>
      </c>
      <c r="AI465" s="6">
        <f>[1]Results!AL335</f>
        <v>50.090569899999998</v>
      </c>
      <c r="AJ465" s="6">
        <f>[1]Results!AM335</f>
        <v>50.552428200000001</v>
      </c>
      <c r="AK465" s="6">
        <f>[1]Results!AN335</f>
        <v>51.026780420000001</v>
      </c>
      <c r="AL465" s="6">
        <f>[1]Results!AO335</f>
        <v>51.51372035</v>
      </c>
      <c r="AM465" s="6">
        <f>[1]Results!AP335</f>
        <v>51.996994139999998</v>
      </c>
      <c r="AN465" s="6">
        <f>[1]Results!AQ335</f>
        <v>52.485166149999998</v>
      </c>
      <c r="AO465" s="6">
        <f>[1]Results!AR335</f>
        <v>52.980597469999999</v>
      </c>
      <c r="AP465" s="6">
        <f>[1]Results!AS335</f>
        <v>53.484233760000002</v>
      </c>
      <c r="AQ465" s="6">
        <f>[1]Results!AT335</f>
        <v>53.996593699999998</v>
      </c>
      <c r="AR465" s="6">
        <f>[1]Results!AU335</f>
        <v>54.51799166</v>
      </c>
      <c r="AS465" s="6">
        <f>[1]Results!AV335</f>
        <v>55.048598570000003</v>
      </c>
      <c r="AT465" s="6">
        <f>[1]Results!AW335</f>
        <v>55.588470350000001</v>
      </c>
      <c r="AU465" s="6">
        <f>[1]Results!AX335</f>
        <v>56.137571739999998</v>
      </c>
      <c r="AV465" s="6">
        <f>[1]Results!AY335</f>
        <v>56.695868369999999</v>
      </c>
      <c r="AW465" s="6">
        <f>[1]Results!AZ335</f>
        <v>57.264883089999998</v>
      </c>
      <c r="AX465" s="6">
        <f>[1]Results!BA335</f>
        <v>57.843936419999999</v>
      </c>
      <c r="AY465" s="6">
        <f>[1]Results!BB335</f>
        <v>58.432870540000003</v>
      </c>
      <c r="AZ465" s="6">
        <f>[1]Results!BC335</f>
        <v>59.031603930000003</v>
      </c>
      <c r="BA465" s="6">
        <f>[1]Results!BD335</f>
        <v>59.64006045</v>
      </c>
      <c r="BB465" s="6">
        <f>[1]Results!BE335</f>
        <v>60.258176149999997</v>
      </c>
      <c r="BC465" s="6">
        <f>[1]Results!BF335</f>
        <v>60.885916960000003</v>
      </c>
      <c r="BD465" s="6">
        <f>[1]Results!BG335</f>
        <v>61.523291970000002</v>
      </c>
      <c r="BE465" s="6">
        <f>[1]Results!BH335</f>
        <v>62.170359779999998</v>
      </c>
      <c r="BF465" s="6">
        <f>[1]Results!BI335</f>
        <v>62.827229119999998</v>
      </c>
    </row>
    <row r="466" spans="1:58" x14ac:dyDescent="0.35">
      <c r="B466" s="6" t="s">
        <v>75</v>
      </c>
      <c r="C466" s="6">
        <f>SUM(C467:C469)</f>
        <v>22.078645748</v>
      </c>
      <c r="D466" s="6">
        <f t="shared" ref="D466:AL466" si="278">SUM(D467:D469)</f>
        <v>21.926712997999999</v>
      </c>
      <c r="E466" s="6">
        <f t="shared" si="278"/>
        <v>22.038390463999999</v>
      </c>
      <c r="F466" s="6">
        <f t="shared" si="278"/>
        <v>22.199315762000001</v>
      </c>
      <c r="G466" s="6">
        <f t="shared" si="278"/>
        <v>22.384352616999998</v>
      </c>
      <c r="H466" s="6">
        <f t="shared" si="278"/>
        <v>22.590176777</v>
      </c>
      <c r="I466" s="6">
        <f t="shared" si="278"/>
        <v>22.800160712</v>
      </c>
      <c r="J466" s="6">
        <f t="shared" si="278"/>
        <v>23.020171231999999</v>
      </c>
      <c r="K466" s="6">
        <f t="shared" si="278"/>
        <v>23.24977277</v>
      </c>
      <c r="L466" s="6">
        <f t="shared" si="278"/>
        <v>23.487217435000002</v>
      </c>
      <c r="M466" s="6">
        <f t="shared" si="278"/>
        <v>23.751780754000002</v>
      </c>
      <c r="N466" s="6">
        <f t="shared" si="278"/>
        <v>24.002487920999997</v>
      </c>
      <c r="O466" s="6">
        <f t="shared" si="278"/>
        <v>24.249783982</v>
      </c>
      <c r="P466" s="6">
        <f t="shared" si="278"/>
        <v>24.496072107</v>
      </c>
      <c r="Q466" s="6">
        <f t="shared" si="278"/>
        <v>24.742189978999999</v>
      </c>
      <c r="R466" s="6">
        <f t="shared" si="278"/>
        <v>24.988578150000002</v>
      </c>
      <c r="S466" s="6">
        <f t="shared" si="278"/>
        <v>25.235572075999997</v>
      </c>
      <c r="T466" s="6">
        <f t="shared" si="278"/>
        <v>25.483516135999999</v>
      </c>
      <c r="U466" s="6">
        <f t="shared" si="278"/>
        <v>25.732773797</v>
      </c>
      <c r="V466" s="6">
        <f t="shared" si="278"/>
        <v>25.983732481000001</v>
      </c>
      <c r="W466" s="6">
        <f t="shared" si="278"/>
        <v>26.219377846</v>
      </c>
      <c r="X466" s="6">
        <f t="shared" si="278"/>
        <v>26.468742535000001</v>
      </c>
      <c r="Y466" s="6">
        <f t="shared" si="278"/>
        <v>26.724275437999999</v>
      </c>
      <c r="Z466" s="6">
        <f t="shared" si="278"/>
        <v>26.984503775</v>
      </c>
      <c r="AA466" s="6">
        <f t="shared" si="278"/>
        <v>27.249248511999998</v>
      </c>
      <c r="AB466" s="6">
        <f t="shared" si="278"/>
        <v>27.469318950000002</v>
      </c>
      <c r="AC466" s="6">
        <f t="shared" si="278"/>
        <v>27.702637863</v>
      </c>
      <c r="AD466" s="6">
        <f t="shared" si="278"/>
        <v>27.941511594999998</v>
      </c>
      <c r="AE466" s="6">
        <f t="shared" si="278"/>
        <v>28.184968608999998</v>
      </c>
      <c r="AF466" s="6">
        <f t="shared" si="278"/>
        <v>28.433179174000003</v>
      </c>
      <c r="AG466" s="6">
        <f t="shared" si="278"/>
        <v>28.686481217000001</v>
      </c>
      <c r="AH466" s="6">
        <f t="shared" si="278"/>
        <v>28.945176400999998</v>
      </c>
      <c r="AI466" s="6">
        <f t="shared" si="278"/>
        <v>29.209477143000001</v>
      </c>
      <c r="AJ466" s="6">
        <f t="shared" si="278"/>
        <v>29.479495467</v>
      </c>
      <c r="AK466" s="6">
        <f t="shared" si="278"/>
        <v>29.755272855999998</v>
      </c>
      <c r="AL466" s="6">
        <f t="shared" si="278"/>
        <v>30.0367885</v>
      </c>
      <c r="AM466" s="6">
        <f t="shared" ref="AM466:BC466" si="279">SUM(AM467:AM469)</f>
        <v>30.312488119000001</v>
      </c>
      <c r="AN466" s="6">
        <f t="shared" si="279"/>
        <v>30.589552480999998</v>
      </c>
      <c r="AO466" s="6">
        <f t="shared" si="279"/>
        <v>30.869862443000002</v>
      </c>
      <c r="AP466" s="6">
        <f t="shared" si="279"/>
        <v>31.154072565999996</v>
      </c>
      <c r="AQ466" s="6">
        <f t="shared" si="279"/>
        <v>31.442461496999996</v>
      </c>
      <c r="AR466" s="6">
        <f t="shared" si="279"/>
        <v>31.735157229999999</v>
      </c>
      <c r="AS466" s="6">
        <f t="shared" si="279"/>
        <v>32.032205908999998</v>
      </c>
      <c r="AT466" s="6">
        <f t="shared" si="279"/>
        <v>32.33360691</v>
      </c>
      <c r="AU466" s="6">
        <f t="shared" si="279"/>
        <v>32.639333726000004</v>
      </c>
      <c r="AV466" s="6">
        <f t="shared" si="279"/>
        <v>32.949360832000004</v>
      </c>
      <c r="AW466" s="6">
        <f t="shared" si="279"/>
        <v>33.264710190000002</v>
      </c>
      <c r="AX466" s="6">
        <f t="shared" si="279"/>
        <v>33.584778561</v>
      </c>
      <c r="AY466" s="6">
        <f t="shared" si="279"/>
        <v>33.909432691000006</v>
      </c>
      <c r="AZ466" s="6">
        <f t="shared" si="279"/>
        <v>34.238633077999999</v>
      </c>
      <c r="BA466" s="6">
        <f t="shared" si="279"/>
        <v>34.572361534000002</v>
      </c>
      <c r="BB466" s="6">
        <f t="shared" si="279"/>
        <v>34.910609280000003</v>
      </c>
      <c r="BC466" s="6">
        <f t="shared" si="279"/>
        <v>35.253378237999996</v>
      </c>
      <c r="BD466" s="6">
        <f t="shared" ref="BD466:BF466" si="280">SUM(BD467:BD469)</f>
        <v>35.600684083000004</v>
      </c>
      <c r="BE466" s="6">
        <f t="shared" si="280"/>
        <v>35.95255804</v>
      </c>
      <c r="BF466" s="6">
        <f t="shared" si="280"/>
        <v>36.309047113000005</v>
      </c>
    </row>
    <row r="467" spans="1:58" x14ac:dyDescent="0.35">
      <c r="B467" s="6" t="str">
        <f>[1]Results!E345</f>
        <v>CF_toe_chea_0</v>
      </c>
      <c r="C467" s="6">
        <f>[1]Results!F345</f>
        <v>5.1417887630000001</v>
      </c>
      <c r="D467" s="6">
        <f>[1]Results!G345</f>
        <v>5.1629662229999997</v>
      </c>
      <c r="E467" s="6">
        <f>[1]Results!H345</f>
        <v>5.2147580140000001</v>
      </c>
      <c r="F467" s="6">
        <f>[1]Results!I345</f>
        <v>5.2719615549999999</v>
      </c>
      <c r="G467" s="6">
        <f>[1]Results!J345</f>
        <v>5.3318801669999996</v>
      </c>
      <c r="H467" s="6">
        <f>[1]Results!K345</f>
        <v>5.3948207320000003</v>
      </c>
      <c r="I467" s="6">
        <f>[1]Results!L345</f>
        <v>5.4562516060000004</v>
      </c>
      <c r="J467" s="6">
        <f>[1]Results!M345</f>
        <v>5.5191372400000001</v>
      </c>
      <c r="K467" s="6">
        <f>[1]Results!N345</f>
        <v>5.5848203420000004</v>
      </c>
      <c r="L467" s="6">
        <f>[1]Results!O345</f>
        <v>5.6546372539999998</v>
      </c>
      <c r="M467" s="6">
        <f>[1]Results!P345</f>
        <v>5.7308432070000004</v>
      </c>
      <c r="N467" s="6">
        <f>[1]Results!Q345</f>
        <v>5.7998480619999997</v>
      </c>
      <c r="O467" s="6">
        <f>[1]Results!R345</f>
        <v>5.8652569080000001</v>
      </c>
      <c r="P467" s="6">
        <f>[1]Results!S345</f>
        <v>5.9288078869999996</v>
      </c>
      <c r="Q467" s="6">
        <f>[1]Results!T345</f>
        <v>5.9914555419999997</v>
      </c>
      <c r="R467" s="6">
        <f>[1]Results!U345</f>
        <v>6.0537304470000004</v>
      </c>
      <c r="S467" s="6">
        <f>[1]Results!V345</f>
        <v>6.11591883</v>
      </c>
      <c r="T467" s="6">
        <f>[1]Results!W345</f>
        <v>6.1781708359999996</v>
      </c>
      <c r="U467" s="6">
        <f>[1]Results!X345</f>
        <v>6.2405682069999999</v>
      </c>
      <c r="V467" s="6">
        <f>[1]Results!Y345</f>
        <v>6.3031647570000002</v>
      </c>
      <c r="W467" s="6">
        <f>[1]Results!Z345</f>
        <v>6.3603928439999997</v>
      </c>
      <c r="X467" s="6">
        <f>[1]Results!AA345</f>
        <v>6.4212885000000002</v>
      </c>
      <c r="Y467" s="6">
        <f>[1]Results!AB345</f>
        <v>6.4837994510000003</v>
      </c>
      <c r="Z467" s="6">
        <f>[1]Results!AC345</f>
        <v>6.5472621340000003</v>
      </c>
      <c r="AA467" s="6">
        <f>[1]Results!AD345</f>
        <v>6.6114600369999996</v>
      </c>
      <c r="AB467" s="6">
        <f>[1]Results!AE345</f>
        <v>6.660717923</v>
      </c>
      <c r="AC467" s="6">
        <f>[1]Results!AF345</f>
        <v>6.7127026560000003</v>
      </c>
      <c r="AD467" s="6">
        <f>[1]Results!AG345</f>
        <v>6.7659314979999996</v>
      </c>
      <c r="AE467" s="6">
        <f>[1]Results!AH345</f>
        <v>6.8200530749999997</v>
      </c>
      <c r="AF467" s="6">
        <f>[1]Results!AI345</f>
        <v>6.8749935469999999</v>
      </c>
      <c r="AG467" s="6">
        <f>[1]Results!AJ345</f>
        <v>6.9307620329999997</v>
      </c>
      <c r="AH467" s="6">
        <f>[1]Results!AK345</f>
        <v>6.9873926040000001</v>
      </c>
      <c r="AI467" s="6">
        <f>[1]Results!AL345</f>
        <v>7.0449174350000003</v>
      </c>
      <c r="AJ467" s="6">
        <f>[1]Results!AM345</f>
        <v>7.1033518190000002</v>
      </c>
      <c r="AK467" s="6">
        <f>[1]Results!AN345</f>
        <v>7.162711174</v>
      </c>
      <c r="AL467" s="6">
        <f>[1]Results!AO345</f>
        <v>7.2230042890000004</v>
      </c>
      <c r="AM467" s="6">
        <f>[1]Results!AP345</f>
        <v>7.280744747</v>
      </c>
      <c r="AN467" s="6">
        <f>[1]Results!AQ345</f>
        <v>7.338005474</v>
      </c>
      <c r="AO467" s="6">
        <f>[1]Results!AR345</f>
        <v>7.3955260010000003</v>
      </c>
      <c r="AP467" s="6">
        <f>[1]Results!AS345</f>
        <v>7.4535971779999999</v>
      </c>
      <c r="AQ467" s="6">
        <f>[1]Results!AT345</f>
        <v>7.5123348679999999</v>
      </c>
      <c r="AR467" s="6">
        <f>[1]Results!AU345</f>
        <v>7.5717815960000001</v>
      </c>
      <c r="AS467" s="6">
        <f>[1]Results!AV345</f>
        <v>7.6319479450000003</v>
      </c>
      <c r="AT467" s="6">
        <f>[1]Results!AW345</f>
        <v>7.692830099</v>
      </c>
      <c r="AU467" s="6">
        <f>[1]Results!AX345</f>
        <v>7.7544178639999997</v>
      </c>
      <c r="AV467" s="6">
        <f>[1]Results!AY345</f>
        <v>7.8167021109999997</v>
      </c>
      <c r="AW467" s="6">
        <f>[1]Results!AZ345</f>
        <v>7.8799795140000004</v>
      </c>
      <c r="AX467" s="6">
        <f>[1]Results!BA345</f>
        <v>7.9440880500000004</v>
      </c>
      <c r="AY467" s="6">
        <f>[1]Results!BB345</f>
        <v>8.0089809780000003</v>
      </c>
      <c r="AZ467" s="6">
        <f>[1]Results!BC345</f>
        <v>8.0746447089999993</v>
      </c>
      <c r="BA467" s="6">
        <f>[1]Results!BD345</f>
        <v>8.1410751040000005</v>
      </c>
      <c r="BB467" s="6">
        <f>[1]Results!BE345</f>
        <v>8.2082707310000007</v>
      </c>
      <c r="BC467" s="6">
        <f>[1]Results!BF345</f>
        <v>8.2762315999999991</v>
      </c>
      <c r="BD467" s="6">
        <f>[1]Results!BG345</f>
        <v>8.3449594870000006</v>
      </c>
      <c r="BE467" s="6">
        <f>[1]Results!BH345</f>
        <v>8.4144584469999995</v>
      </c>
      <c r="BF467" s="6">
        <f>[1]Results!BI345</f>
        <v>8.4847351040000003</v>
      </c>
    </row>
    <row r="468" spans="1:58" x14ac:dyDescent="0.35">
      <c r="B468" s="6" t="str">
        <f>[1]Results!E347</f>
        <v>CF_toe_cbio_0</v>
      </c>
      <c r="C468" s="6">
        <f>[1]Results!F347</f>
        <v>8.2066322199999995</v>
      </c>
      <c r="D468" s="6">
        <f>[1]Results!G347</f>
        <v>8.2097900429999999</v>
      </c>
      <c r="E468" s="6">
        <f>[1]Results!H347</f>
        <v>8.2030989109999997</v>
      </c>
      <c r="F468" s="6">
        <f>[1]Results!I347</f>
        <v>8.1935720859999996</v>
      </c>
      <c r="G468" s="6">
        <f>[1]Results!J347</f>
        <v>8.1881400679999992</v>
      </c>
      <c r="H468" s="6">
        <f>[1]Results!K347</f>
        <v>8.1891599859999999</v>
      </c>
      <c r="I468" s="6">
        <f>[1]Results!L347</f>
        <v>8.1932697589999997</v>
      </c>
      <c r="J468" s="6">
        <f>[1]Results!M347</f>
        <v>8.2008931539999992</v>
      </c>
      <c r="K468" s="6">
        <f>[1]Results!N347</f>
        <v>8.2109214989999995</v>
      </c>
      <c r="L468" s="6">
        <f>[1]Results!O347</f>
        <v>8.2212570760000006</v>
      </c>
      <c r="M468" s="6">
        <f>[1]Results!P347</f>
        <v>8.2388678100000003</v>
      </c>
      <c r="N468" s="6">
        <f>[1]Results!Q347</f>
        <v>8.2557199509999997</v>
      </c>
      <c r="O468" s="6">
        <f>[1]Results!R347</f>
        <v>8.272985984</v>
      </c>
      <c r="P468" s="6">
        <f>[1]Results!S347</f>
        <v>8.2906812500000004</v>
      </c>
      <c r="Q468" s="6">
        <f>[1]Results!T347</f>
        <v>8.3086868969999994</v>
      </c>
      <c r="R468" s="6">
        <f>[1]Results!U347</f>
        <v>8.3268976630000004</v>
      </c>
      <c r="S468" s="6">
        <f>[1]Results!V347</f>
        <v>8.3452488959999993</v>
      </c>
      <c r="T468" s="6">
        <f>[1]Results!W347</f>
        <v>8.3637331400000008</v>
      </c>
      <c r="U468" s="6">
        <f>[1]Results!X347</f>
        <v>8.3823688799999996</v>
      </c>
      <c r="V468" s="6">
        <f>[1]Results!Y347</f>
        <v>8.4011904340000001</v>
      </c>
      <c r="W468" s="6">
        <f>[1]Results!Z347</f>
        <v>8.4165816319999998</v>
      </c>
      <c r="X468" s="6">
        <f>[1]Results!AA347</f>
        <v>8.4343389549999994</v>
      </c>
      <c r="Y468" s="6">
        <f>[1]Results!AB347</f>
        <v>8.4532590970000001</v>
      </c>
      <c r="Z468" s="6">
        <f>[1]Results!AC347</f>
        <v>8.4729785409999998</v>
      </c>
      <c r="AA468" s="6">
        <f>[1]Results!AD347</f>
        <v>8.4934115049999992</v>
      </c>
      <c r="AB468" s="6">
        <f>[1]Results!AE347</f>
        <v>8.5043521969999993</v>
      </c>
      <c r="AC468" s="6">
        <f>[1]Results!AF347</f>
        <v>8.5170292869999997</v>
      </c>
      <c r="AD468" s="6">
        <f>[1]Results!AG347</f>
        <v>8.5306335170000001</v>
      </c>
      <c r="AE468" s="6">
        <f>[1]Results!AH347</f>
        <v>8.5450194939999999</v>
      </c>
      <c r="AF468" s="6">
        <f>[1]Results!AI347</f>
        <v>8.5602086669999995</v>
      </c>
      <c r="AG468" s="6">
        <f>[1]Results!AJ347</f>
        <v>8.5762640940000008</v>
      </c>
      <c r="AH468" s="6">
        <f>[1]Results!AK347</f>
        <v>8.5932517169999993</v>
      </c>
      <c r="AI468" s="6">
        <f>[1]Results!AL347</f>
        <v>8.6112268780000001</v>
      </c>
      <c r="AJ468" s="6">
        <f>[1]Results!AM347</f>
        <v>8.6302302980000007</v>
      </c>
      <c r="AK468" s="6">
        <f>[1]Results!AN347</f>
        <v>8.6502871119999991</v>
      </c>
      <c r="AL468" s="6">
        <f>[1]Results!AO347</f>
        <v>8.6714070809999999</v>
      </c>
      <c r="AM468" s="6">
        <f>[1]Results!AP347</f>
        <v>8.6912867820000006</v>
      </c>
      <c r="AN468" s="6">
        <f>[1]Results!AQ347</f>
        <v>8.7111893669999994</v>
      </c>
      <c r="AO468" s="6">
        <f>[1]Results!AR347</f>
        <v>8.7315690319999995</v>
      </c>
      <c r="AP468" s="6">
        <f>[1]Results!AS347</f>
        <v>8.7526008879999999</v>
      </c>
      <c r="AQ468" s="6">
        <f>[1]Results!AT347</f>
        <v>8.7743491089999992</v>
      </c>
      <c r="AR468" s="6">
        <f>[1]Results!AU347</f>
        <v>8.7968290140000001</v>
      </c>
      <c r="AS468" s="6">
        <f>[1]Results!AV347</f>
        <v>8.8200272040000005</v>
      </c>
      <c r="AT468" s="6">
        <f>[1]Results!AW347</f>
        <v>8.8439185610000006</v>
      </c>
      <c r="AU468" s="6">
        <f>[1]Results!AX347</f>
        <v>8.8684771520000005</v>
      </c>
      <c r="AV468" s="6">
        <f>[1]Results!AY347</f>
        <v>8.8936919910000007</v>
      </c>
      <c r="AW468" s="6">
        <f>[1]Results!AZ347</f>
        <v>8.919784666</v>
      </c>
      <c r="AX468" s="6">
        <f>[1]Results!BA347</f>
        <v>8.9466931909999996</v>
      </c>
      <c r="AY468" s="6">
        <f>[1]Results!BB347</f>
        <v>8.9744220630000004</v>
      </c>
      <c r="AZ468" s="6">
        <f>[1]Results!BC347</f>
        <v>9.0029860189999997</v>
      </c>
      <c r="BA468" s="6">
        <f>[1]Results!BD347</f>
        <v>9.0323952300000006</v>
      </c>
      <c r="BB468" s="6">
        <f>[1]Results!BE347</f>
        <v>9.0626537890000005</v>
      </c>
      <c r="BC468" s="6">
        <f>[1]Results!BF347</f>
        <v>9.0937620080000006</v>
      </c>
      <c r="BD468" s="6">
        <f>[1]Results!BG347</f>
        <v>9.125719106</v>
      </c>
      <c r="BE468" s="6">
        <f>[1]Results!BH347</f>
        <v>9.1585251830000001</v>
      </c>
      <c r="BF468" s="6">
        <f>[1]Results!BI347</f>
        <v>9.1921823590000002</v>
      </c>
    </row>
    <row r="469" spans="1:58" x14ac:dyDescent="0.35">
      <c r="B469" s="6" t="str">
        <f>[1]Results!E350</f>
        <v>CF_toe_cote_0</v>
      </c>
      <c r="C469" s="6">
        <f>[1]Results!F350</f>
        <v>8.7302247650000009</v>
      </c>
      <c r="D469" s="6">
        <f>[1]Results!G350</f>
        <v>8.5539567319999996</v>
      </c>
      <c r="E469" s="6">
        <f>[1]Results!H350</f>
        <v>8.6205335390000002</v>
      </c>
      <c r="F469" s="6">
        <f>[1]Results!I350</f>
        <v>8.7337821210000008</v>
      </c>
      <c r="G469" s="6">
        <f>[1]Results!J350</f>
        <v>8.8643323820000006</v>
      </c>
      <c r="H469" s="6">
        <f>[1]Results!K350</f>
        <v>9.0061960590000005</v>
      </c>
      <c r="I469" s="6">
        <f>[1]Results!L350</f>
        <v>9.1506393470000003</v>
      </c>
      <c r="J469" s="6">
        <f>[1]Results!M350</f>
        <v>9.3001408380000008</v>
      </c>
      <c r="K469" s="6">
        <f>[1]Results!N350</f>
        <v>9.454030929</v>
      </c>
      <c r="L469" s="6">
        <f>[1]Results!O350</f>
        <v>9.6113231050000003</v>
      </c>
      <c r="M469" s="6">
        <f>[1]Results!P350</f>
        <v>9.7820697370000005</v>
      </c>
      <c r="N469" s="6">
        <f>[1]Results!Q350</f>
        <v>9.9469199079999999</v>
      </c>
      <c r="O469" s="6">
        <f>[1]Results!R350</f>
        <v>10.111541089999999</v>
      </c>
      <c r="P469" s="6">
        <f>[1]Results!S350</f>
        <v>10.27658297</v>
      </c>
      <c r="Q469" s="6">
        <f>[1]Results!T350</f>
        <v>10.442047540000001</v>
      </c>
      <c r="R469" s="6">
        <f>[1]Results!U350</f>
        <v>10.60795004</v>
      </c>
      <c r="S469" s="6">
        <f>[1]Results!V350</f>
        <v>10.774404349999999</v>
      </c>
      <c r="T469" s="6">
        <f>[1]Results!W350</f>
        <v>10.94161216</v>
      </c>
      <c r="U469" s="6">
        <f>[1]Results!X350</f>
        <v>11.10983671</v>
      </c>
      <c r="V469" s="6">
        <f>[1]Results!Y350</f>
        <v>11.279377289999999</v>
      </c>
      <c r="W469" s="6">
        <f>[1]Results!Z350</f>
        <v>11.442403369999999</v>
      </c>
      <c r="X469" s="6">
        <f>[1]Results!AA350</f>
        <v>11.61311508</v>
      </c>
      <c r="Y469" s="6">
        <f>[1]Results!AB350</f>
        <v>11.78721689</v>
      </c>
      <c r="Z469" s="6">
        <f>[1]Results!AC350</f>
        <v>11.9642631</v>
      </c>
      <c r="AA469" s="6">
        <f>[1]Results!AD350</f>
        <v>12.14437697</v>
      </c>
      <c r="AB469" s="6">
        <f>[1]Results!AE350</f>
        <v>12.304248830000001</v>
      </c>
      <c r="AC469" s="6">
        <f>[1]Results!AF350</f>
        <v>12.472905920000001</v>
      </c>
      <c r="AD469" s="6">
        <f>[1]Results!AG350</f>
        <v>12.644946579999999</v>
      </c>
      <c r="AE469" s="6">
        <f>[1]Results!AH350</f>
        <v>12.81989604</v>
      </c>
      <c r="AF469" s="6">
        <f>[1]Results!AI350</f>
        <v>12.997976960000001</v>
      </c>
      <c r="AG469" s="6">
        <f>[1]Results!AJ350</f>
        <v>13.179455089999999</v>
      </c>
      <c r="AH469" s="6">
        <f>[1]Results!AK350</f>
        <v>13.36453208</v>
      </c>
      <c r="AI469" s="6">
        <f>[1]Results!AL350</f>
        <v>13.55333283</v>
      </c>
      <c r="AJ469" s="6">
        <f>[1]Results!AM350</f>
        <v>13.74591335</v>
      </c>
      <c r="AK469" s="6">
        <f>[1]Results!AN350</f>
        <v>13.94227457</v>
      </c>
      <c r="AL469" s="6">
        <f>[1]Results!AO350</f>
        <v>14.14237713</v>
      </c>
      <c r="AM469" s="6">
        <f>[1]Results!AP350</f>
        <v>14.340456590000001</v>
      </c>
      <c r="AN469" s="6">
        <f>[1]Results!AQ350</f>
        <v>14.54035764</v>
      </c>
      <c r="AO469" s="6">
        <f>[1]Results!AR350</f>
        <v>14.742767410000001</v>
      </c>
      <c r="AP469" s="6">
        <f>[1]Results!AS350</f>
        <v>14.947874499999999</v>
      </c>
      <c r="AQ469" s="6">
        <f>[1]Results!AT350</f>
        <v>15.155777519999999</v>
      </c>
      <c r="AR469" s="6">
        <f>[1]Results!AU350</f>
        <v>15.366546619999999</v>
      </c>
      <c r="AS469" s="6">
        <f>[1]Results!AV350</f>
        <v>15.580230759999999</v>
      </c>
      <c r="AT469" s="6">
        <f>[1]Results!AW350</f>
        <v>15.79685825</v>
      </c>
      <c r="AU469" s="6">
        <f>[1]Results!AX350</f>
        <v>16.016438709999999</v>
      </c>
      <c r="AV469" s="6">
        <f>[1]Results!AY350</f>
        <v>16.238966730000001</v>
      </c>
      <c r="AW469" s="6">
        <f>[1]Results!AZ350</f>
        <v>16.464946009999998</v>
      </c>
      <c r="AX469" s="6">
        <f>[1]Results!BA350</f>
        <v>16.693997320000001</v>
      </c>
      <c r="AY469" s="6">
        <f>[1]Results!BB350</f>
        <v>16.92602965</v>
      </c>
      <c r="AZ469" s="6">
        <f>[1]Results!BC350</f>
        <v>17.16100235</v>
      </c>
      <c r="BA469" s="6">
        <f>[1]Results!BD350</f>
        <v>17.398891200000001</v>
      </c>
      <c r="BB469" s="6">
        <f>[1]Results!BE350</f>
        <v>17.639684760000002</v>
      </c>
      <c r="BC469" s="6">
        <f>[1]Results!BF350</f>
        <v>17.883384629999998</v>
      </c>
      <c r="BD469" s="6">
        <f>[1]Results!BG350</f>
        <v>18.130005489999999</v>
      </c>
      <c r="BE469" s="6">
        <f>[1]Results!BH350</f>
        <v>18.37957441</v>
      </c>
      <c r="BF469" s="6">
        <f>[1]Results!BI350</f>
        <v>18.63212965</v>
      </c>
    </row>
    <row r="471" spans="1:58" x14ac:dyDescent="0.35">
      <c r="C471" s="2">
        <v>42005</v>
      </c>
      <c r="D471" s="2">
        <v>42370</v>
      </c>
      <c r="E471" s="2">
        <v>42736</v>
      </c>
      <c r="F471" s="2">
        <v>43101</v>
      </c>
      <c r="G471" s="2">
        <v>43466</v>
      </c>
      <c r="H471" s="2">
        <v>43831</v>
      </c>
      <c r="I471" s="2">
        <v>44197</v>
      </c>
      <c r="J471" s="2">
        <v>44562</v>
      </c>
      <c r="K471" s="2">
        <v>44927</v>
      </c>
      <c r="L471" s="2">
        <v>45292</v>
      </c>
      <c r="M471" s="2">
        <v>45658</v>
      </c>
      <c r="N471" s="2">
        <v>46023</v>
      </c>
      <c r="O471" s="2">
        <v>46388</v>
      </c>
      <c r="P471" s="2">
        <v>46753</v>
      </c>
      <c r="Q471" s="2">
        <v>47119</v>
      </c>
      <c r="R471" s="2">
        <v>47484</v>
      </c>
      <c r="S471" s="2">
        <v>47849</v>
      </c>
      <c r="T471" s="2">
        <v>48214</v>
      </c>
      <c r="U471" s="2">
        <v>48580</v>
      </c>
      <c r="V471" s="2">
        <v>48945</v>
      </c>
      <c r="W471" s="2">
        <v>49310</v>
      </c>
      <c r="X471" s="2">
        <v>49675</v>
      </c>
      <c r="Y471" s="2">
        <v>50041</v>
      </c>
      <c r="Z471" s="2">
        <v>50406</v>
      </c>
      <c r="AA471" s="2">
        <v>50771</v>
      </c>
      <c r="AB471" s="2">
        <v>51136</v>
      </c>
      <c r="AC471" s="2">
        <v>51502</v>
      </c>
      <c r="AD471" s="2">
        <v>51867</v>
      </c>
      <c r="AE471" s="2">
        <v>52232</v>
      </c>
      <c r="AF471" s="2">
        <v>52597</v>
      </c>
      <c r="AG471" s="2">
        <v>52963</v>
      </c>
      <c r="AH471" s="2">
        <v>53328</v>
      </c>
      <c r="AI471" s="2">
        <v>53693</v>
      </c>
      <c r="AJ471" s="2">
        <v>54058</v>
      </c>
      <c r="AK471" s="2">
        <v>54424</v>
      </c>
      <c r="AL471" s="2">
        <v>54789</v>
      </c>
      <c r="AM471" s="2">
        <v>54790</v>
      </c>
      <c r="AN471" s="2">
        <v>54791</v>
      </c>
      <c r="AO471" s="2">
        <v>54792</v>
      </c>
      <c r="AP471" s="2">
        <v>54793</v>
      </c>
      <c r="AQ471" s="2">
        <v>54794</v>
      </c>
      <c r="AR471" s="2">
        <v>54795</v>
      </c>
      <c r="AS471" s="2">
        <v>54796</v>
      </c>
      <c r="AT471" s="2">
        <v>54797</v>
      </c>
      <c r="AU471" s="2">
        <v>54798</v>
      </c>
      <c r="AV471" s="2">
        <v>54799</v>
      </c>
      <c r="AW471" s="2">
        <v>54800</v>
      </c>
      <c r="AX471" s="2">
        <v>54801</v>
      </c>
      <c r="AY471" s="2">
        <v>54802</v>
      </c>
      <c r="AZ471" s="2">
        <v>54803</v>
      </c>
      <c r="BA471" s="2">
        <v>54804</v>
      </c>
      <c r="BB471" s="2">
        <v>54805</v>
      </c>
      <c r="BC471" s="2">
        <v>54806</v>
      </c>
      <c r="BD471" s="2">
        <v>54807</v>
      </c>
      <c r="BE471" s="2">
        <v>54808</v>
      </c>
      <c r="BF471" s="2">
        <v>54809</v>
      </c>
    </row>
    <row r="472" spans="1:58" x14ac:dyDescent="0.35">
      <c r="A472" s="12" t="s">
        <v>93</v>
      </c>
      <c r="B472" t="s">
        <v>77</v>
      </c>
      <c r="C472" s="4">
        <f>C445/C458-1</f>
        <v>-8.7088955937275614E-4</v>
      </c>
      <c r="D472" s="4">
        <f t="shared" ref="D472:AL472" si="281">D445/D458-1</f>
        <v>-2.6755114101549848E-3</v>
      </c>
      <c r="E472" s="4">
        <f t="shared" si="281"/>
        <v>-4.5453032577539298E-3</v>
      </c>
      <c r="F472" s="4">
        <f t="shared" si="281"/>
        <v>-6.4513089604599783E-3</v>
      </c>
      <c r="G472" s="4">
        <f t="shared" si="281"/>
        <v>-8.3648813700147873E-3</v>
      </c>
      <c r="H472" s="4">
        <f t="shared" si="281"/>
        <v>-1.0265476633842696E-2</v>
      </c>
      <c r="I472" s="4">
        <f t="shared" si="281"/>
        <v>-1.2167557714620525E-2</v>
      </c>
      <c r="J472" s="4">
        <f t="shared" si="281"/>
        <v>-1.401912354830559E-2</v>
      </c>
      <c r="K472" s="4">
        <f t="shared" si="281"/>
        <v>-1.5776665234241705E-2</v>
      </c>
      <c r="L472" s="4">
        <f t="shared" si="281"/>
        <v>-1.7403985940311673E-2</v>
      </c>
      <c r="M472" s="4">
        <f t="shared" si="281"/>
        <v>-1.8905614970857632E-2</v>
      </c>
      <c r="N472" s="4">
        <f t="shared" si="281"/>
        <v>-2.0343251197935786E-2</v>
      </c>
      <c r="O472" s="4">
        <f t="shared" si="281"/>
        <v>-2.1672455773457777E-2</v>
      </c>
      <c r="P472" s="4">
        <f t="shared" si="281"/>
        <v>-2.2895058469787011E-2</v>
      </c>
      <c r="Q472" s="4">
        <f t="shared" si="281"/>
        <v>-2.4031689830571246E-2</v>
      </c>
      <c r="R472" s="4">
        <f t="shared" si="281"/>
        <v>-2.5104915155801155E-2</v>
      </c>
      <c r="S472" s="4">
        <f t="shared" si="281"/>
        <v>-2.619211699288071E-2</v>
      </c>
      <c r="T472" s="4">
        <f t="shared" si="281"/>
        <v>-2.726167671042834E-2</v>
      </c>
      <c r="U472" s="4">
        <f t="shared" si="281"/>
        <v>-2.8306990227493389E-2</v>
      </c>
      <c r="V472" s="4">
        <f t="shared" si="281"/>
        <v>-2.932621887743414E-2</v>
      </c>
      <c r="W472" s="4">
        <f t="shared" si="281"/>
        <v>-3.0315641439591534E-2</v>
      </c>
      <c r="X472" s="4">
        <f t="shared" si="281"/>
        <v>-3.1279506836948245E-2</v>
      </c>
      <c r="Y472" s="4">
        <f t="shared" si="281"/>
        <v>-3.2217051836194166E-2</v>
      </c>
      <c r="Z472" s="4">
        <f t="shared" si="281"/>
        <v>-3.3130884861518939E-2</v>
      </c>
      <c r="AA472" s="4">
        <f t="shared" si="281"/>
        <v>-3.4024804972362488E-2</v>
      </c>
      <c r="AB472" s="4">
        <f t="shared" si="281"/>
        <v>-3.4891452430364733E-2</v>
      </c>
      <c r="AC472" s="4">
        <f t="shared" si="281"/>
        <v>-3.5724975053241792E-2</v>
      </c>
      <c r="AD472" s="4">
        <f t="shared" si="281"/>
        <v>-3.6538123729396688E-2</v>
      </c>
      <c r="AE472" s="4">
        <f t="shared" si="281"/>
        <v>-3.7336406005057832E-2</v>
      </c>
      <c r="AF472" s="4">
        <f t="shared" si="281"/>
        <v>-3.8123123002686055E-2</v>
      </c>
      <c r="AG472" s="4">
        <f t="shared" si="281"/>
        <v>-3.890203825463745E-2</v>
      </c>
      <c r="AH472" s="4">
        <f t="shared" si="281"/>
        <v>-3.9664396430644233E-2</v>
      </c>
      <c r="AI472" s="4">
        <f t="shared" si="281"/>
        <v>-4.041804343925004E-2</v>
      </c>
      <c r="AJ472" s="4">
        <f t="shared" si="281"/>
        <v>-4.1166204257508721E-2</v>
      </c>
      <c r="AK472" s="4">
        <f t="shared" si="281"/>
        <v>-4.1910745549011752E-2</v>
      </c>
      <c r="AL472" s="4">
        <f t="shared" si="281"/>
        <v>-4.265270629404283E-2</v>
      </c>
      <c r="AM472" s="4">
        <f t="shared" ref="AM472:BC472" si="282">AM445/AM458-1</f>
        <v>-4.3295953203375759E-2</v>
      </c>
      <c r="AN472" s="4">
        <f t="shared" si="282"/>
        <v>-4.3901625046125159E-2</v>
      </c>
      <c r="AO472" s="4">
        <f t="shared" si="282"/>
        <v>-4.4486158825955857E-2</v>
      </c>
      <c r="AP472" s="4">
        <f t="shared" si="282"/>
        <v>-4.5054791483389423E-2</v>
      </c>
      <c r="AQ472" s="4">
        <f t="shared" si="282"/>
        <v>-4.5609414162763429E-2</v>
      </c>
      <c r="AR472" s="4">
        <f t="shared" si="282"/>
        <v>-4.6136746401957418E-2</v>
      </c>
      <c r="AS472" s="4">
        <f t="shared" si="282"/>
        <v>-4.6645249351534246E-2</v>
      </c>
      <c r="AT472" s="4">
        <f t="shared" si="282"/>
        <v>-4.7137155837134403E-2</v>
      </c>
      <c r="AU472" s="4">
        <f t="shared" si="282"/>
        <v>-4.7613095917504289E-2</v>
      </c>
      <c r="AV472" s="4">
        <f t="shared" si="282"/>
        <v>-4.8074398805372454E-2</v>
      </c>
      <c r="AW472" s="4">
        <f t="shared" si="282"/>
        <v>-4.8481429551146538E-2</v>
      </c>
      <c r="AX472" s="4">
        <f t="shared" si="282"/>
        <v>-4.8864965543737315E-2</v>
      </c>
      <c r="AY472" s="4">
        <f t="shared" si="282"/>
        <v>-4.9237209745052524E-2</v>
      </c>
      <c r="AZ472" s="4">
        <f t="shared" si="282"/>
        <v>-4.9604515223456325E-2</v>
      </c>
      <c r="BA472" s="4">
        <f t="shared" si="282"/>
        <v>-4.9970712781552851E-2</v>
      </c>
      <c r="BB472" s="4">
        <f t="shared" si="282"/>
        <v>-5.0312775824963074E-2</v>
      </c>
      <c r="BC472" s="4">
        <f t="shared" si="282"/>
        <v>-5.0647592976476807E-2</v>
      </c>
      <c r="BD472" s="4">
        <f t="shared" ref="BD472:BF472" si="283">BD445/BD458-1</f>
        <v>-5.0980991940437925E-2</v>
      </c>
      <c r="BE472" s="4">
        <f t="shared" si="283"/>
        <v>-5.1315708669838589E-2</v>
      </c>
      <c r="BF472" s="4">
        <f t="shared" si="283"/>
        <v>-5.1653427969401977E-2</v>
      </c>
    </row>
    <row r="473" spans="1:58" x14ac:dyDescent="0.35">
      <c r="A473" t="s">
        <v>88</v>
      </c>
      <c r="B473" t="s">
        <v>76</v>
      </c>
      <c r="C473" s="4">
        <f>(C446-C459)/C$458</f>
        <v>-7.6411095590400799E-5</v>
      </c>
      <c r="D473" s="4">
        <f t="shared" ref="D473:AL473" si="284">(D446-D459)/D$458</f>
        <v>-1.6511697429727289E-4</v>
      </c>
      <c r="E473" s="4">
        <f t="shared" si="284"/>
        <v>-2.5597300256824195E-4</v>
      </c>
      <c r="F473" s="4">
        <f t="shared" si="284"/>
        <v>-3.4789374862312416E-4</v>
      </c>
      <c r="G473" s="4">
        <f t="shared" si="284"/>
        <v>-4.3951163032444933E-4</v>
      </c>
      <c r="H473" s="4">
        <f t="shared" si="284"/>
        <v>-5.2990546278065234E-4</v>
      </c>
      <c r="I473" s="4">
        <f t="shared" si="284"/>
        <v>-6.1958457421334837E-4</v>
      </c>
      <c r="J473" s="4">
        <f t="shared" si="284"/>
        <v>-7.0735731893354866E-4</v>
      </c>
      <c r="K473" s="4">
        <f t="shared" si="284"/>
        <v>-7.9285906065889613E-4</v>
      </c>
      <c r="L473" s="4">
        <f t="shared" si="284"/>
        <v>-8.7598972010457425E-4</v>
      </c>
      <c r="M473" s="4">
        <f t="shared" si="284"/>
        <v>-9.5740208251398696E-4</v>
      </c>
      <c r="N473" s="4">
        <f t="shared" si="284"/>
        <v>-1.0407942642810574E-3</v>
      </c>
      <c r="O473" s="4">
        <f t="shared" si="284"/>
        <v>-1.1232487402727343E-3</v>
      </c>
      <c r="P473" s="4">
        <f t="shared" si="284"/>
        <v>-1.2042916275647765E-3</v>
      </c>
      <c r="Q473" s="4">
        <f t="shared" si="284"/>
        <v>-1.2839158741625484E-3</v>
      </c>
      <c r="R473" s="4">
        <f t="shared" si="284"/>
        <v>-1.3622245539072395E-3</v>
      </c>
      <c r="S473" s="4">
        <f t="shared" si="284"/>
        <v>-1.4432956808737691E-3</v>
      </c>
      <c r="T473" s="4">
        <f t="shared" si="284"/>
        <v>-1.5240743365967501E-3</v>
      </c>
      <c r="U473" s="4">
        <f t="shared" si="284"/>
        <v>-1.6041061402534544E-3</v>
      </c>
      <c r="V473" s="4">
        <f t="shared" si="284"/>
        <v>-1.6834167938598696E-3</v>
      </c>
      <c r="W473" s="4">
        <f t="shared" si="284"/>
        <v>-1.7618169480595445E-3</v>
      </c>
      <c r="X473" s="4">
        <f t="shared" si="284"/>
        <v>-1.8399488578411366E-3</v>
      </c>
      <c r="Y473" s="4">
        <f t="shared" si="284"/>
        <v>-1.9176861000257215E-3</v>
      </c>
      <c r="Z473" s="4">
        <f t="shared" si="284"/>
        <v>-1.9951037499824956E-3</v>
      </c>
      <c r="AA473" s="4">
        <f t="shared" si="284"/>
        <v>-2.0722866947324946E-3</v>
      </c>
      <c r="AB473" s="4">
        <f t="shared" si="284"/>
        <v>-2.1483577625785628E-3</v>
      </c>
      <c r="AC473" s="4">
        <f t="shared" si="284"/>
        <v>-2.2233296781259525E-3</v>
      </c>
      <c r="AD473" s="4">
        <f t="shared" si="284"/>
        <v>-2.2980386956478003E-3</v>
      </c>
      <c r="AE473" s="4">
        <f t="shared" si="284"/>
        <v>-2.3726433744279693E-3</v>
      </c>
      <c r="AF473" s="4">
        <f t="shared" si="284"/>
        <v>-2.4471613378878529E-3</v>
      </c>
      <c r="AG473" s="4">
        <f t="shared" si="284"/>
        <v>-2.5215675941382939E-3</v>
      </c>
      <c r="AH473" s="4">
        <f t="shared" si="284"/>
        <v>-2.5950652335091509E-3</v>
      </c>
      <c r="AI473" s="4">
        <f t="shared" si="284"/>
        <v>-2.6681965651850492E-3</v>
      </c>
      <c r="AJ473" s="4">
        <f t="shared" si="284"/>
        <v>-2.7410011264844309E-3</v>
      </c>
      <c r="AK473" s="4">
        <f t="shared" si="284"/>
        <v>-2.8134188068600838E-3</v>
      </c>
      <c r="AL473" s="4">
        <f t="shared" si="284"/>
        <v>-2.8853672756182724E-3</v>
      </c>
      <c r="AM473" s="4">
        <f t="shared" ref="AM473:BC473" si="285">(AM446-AM459)/AM$458</f>
        <v>-2.950254960530631E-3</v>
      </c>
      <c r="AN473" s="4">
        <f t="shared" si="285"/>
        <v>-3.0133622901950333E-3</v>
      </c>
      <c r="AO473" s="4">
        <f t="shared" si="285"/>
        <v>-3.0756037773766766E-3</v>
      </c>
      <c r="AP473" s="4">
        <f t="shared" si="285"/>
        <v>-3.1371145626126508E-3</v>
      </c>
      <c r="AQ473" s="4">
        <f t="shared" si="285"/>
        <v>-3.1978988111083895E-3</v>
      </c>
      <c r="AR473" s="4">
        <f t="shared" si="285"/>
        <v>-3.25698681470054E-3</v>
      </c>
      <c r="AS473" s="4">
        <f t="shared" si="285"/>
        <v>-3.3151289229137776E-3</v>
      </c>
      <c r="AT473" s="4">
        <f t="shared" si="285"/>
        <v>-3.3724633008352196E-3</v>
      </c>
      <c r="AU473" s="4">
        <f t="shared" si="285"/>
        <v>-3.4290163428445592E-3</v>
      </c>
      <c r="AV473" s="4">
        <f t="shared" si="285"/>
        <v>-3.4847894486458564E-3</v>
      </c>
      <c r="AW473" s="4">
        <f t="shared" si="285"/>
        <v>-3.5367093246349529E-3</v>
      </c>
      <c r="AX473" s="4">
        <f t="shared" si="285"/>
        <v>-3.5871868077675738E-3</v>
      </c>
      <c r="AY473" s="4">
        <f t="shared" si="285"/>
        <v>-3.6366896448220007E-3</v>
      </c>
      <c r="AZ473" s="4">
        <f t="shared" si="285"/>
        <v>-3.6853314300614136E-3</v>
      </c>
      <c r="BA473" s="4">
        <f t="shared" si="285"/>
        <v>-3.7331631636764043E-3</v>
      </c>
      <c r="BB473" s="4">
        <f t="shared" si="285"/>
        <v>-3.7783906522521958E-3</v>
      </c>
      <c r="BC473" s="4">
        <f t="shared" si="285"/>
        <v>-3.8225128522633082E-3</v>
      </c>
      <c r="BD473" s="4">
        <f t="shared" ref="BD473:BF473" si="286">(BD446-BD459)/BD$458</f>
        <v>-3.8658534066224335E-3</v>
      </c>
      <c r="BE473" s="4">
        <f t="shared" si="286"/>
        <v>-3.9085189960160818E-3</v>
      </c>
      <c r="BF473" s="4">
        <f t="shared" si="286"/>
        <v>-3.9505743049141643E-3</v>
      </c>
    </row>
    <row r="474" spans="1:58" x14ac:dyDescent="0.35">
      <c r="B474" t="s">
        <v>74</v>
      </c>
      <c r="C474" s="4">
        <f>(C447-C460)/C$458</f>
        <v>-2.8648061123420223E-4</v>
      </c>
      <c r="D474" s="4">
        <f t="shared" ref="D474:AL474" si="287">(D447-D460)/D$458</f>
        <v>-7.7195421666921918E-4</v>
      </c>
      <c r="E474" s="4">
        <f t="shared" si="287"/>
        <v>-1.3074823334328133E-3</v>
      </c>
      <c r="F474" s="4">
        <f t="shared" si="287"/>
        <v>-1.8802201830372504E-3</v>
      </c>
      <c r="G474" s="4">
        <f t="shared" si="287"/>
        <v>-2.4765749295542713E-3</v>
      </c>
      <c r="H474" s="4">
        <f t="shared" si="287"/>
        <v>-3.0858920142550128E-3</v>
      </c>
      <c r="I474" s="4">
        <f t="shared" si="287"/>
        <v>-3.7096477546318058E-3</v>
      </c>
      <c r="J474" s="4">
        <f t="shared" si="287"/>
        <v>-4.3266368324480246E-3</v>
      </c>
      <c r="K474" s="4">
        <f t="shared" si="287"/>
        <v>-4.9203762583822823E-3</v>
      </c>
      <c r="L474" s="4">
        <f t="shared" si="287"/>
        <v>-5.477402885911615E-3</v>
      </c>
      <c r="M474" s="4">
        <f t="shared" si="287"/>
        <v>-6.0082702959390749E-3</v>
      </c>
      <c r="N474" s="4">
        <f t="shared" si="287"/>
        <v>-6.53315967494253E-3</v>
      </c>
      <c r="O474" s="4">
        <f t="shared" si="287"/>
        <v>-7.0371303348990208E-3</v>
      </c>
      <c r="P474" s="4">
        <f t="shared" si="287"/>
        <v>-7.5169343009045628E-3</v>
      </c>
      <c r="Q474" s="4">
        <f t="shared" si="287"/>
        <v>-7.9735438558942041E-3</v>
      </c>
      <c r="R474" s="4">
        <f t="shared" si="287"/>
        <v>-8.4096010169969933E-3</v>
      </c>
      <c r="S474" s="4">
        <f t="shared" si="287"/>
        <v>-8.8447531915229853E-3</v>
      </c>
      <c r="T474" s="4">
        <f t="shared" si="287"/>
        <v>-9.2683220486849145E-3</v>
      </c>
      <c r="U474" s="4">
        <f t="shared" si="287"/>
        <v>-9.6782849900180785E-3</v>
      </c>
      <c r="V474" s="4">
        <f t="shared" si="287"/>
        <v>-1.0074263462522014E-2</v>
      </c>
      <c r="W474" s="4">
        <f t="shared" si="287"/>
        <v>-1.0456397586801962E-2</v>
      </c>
      <c r="X474" s="4">
        <f t="shared" si="287"/>
        <v>-1.0824515599110351E-2</v>
      </c>
      <c r="Y474" s="4">
        <f t="shared" si="287"/>
        <v>-1.1179276056424983E-2</v>
      </c>
      <c r="Z474" s="4">
        <f t="shared" si="287"/>
        <v>-1.1521872726111573E-2</v>
      </c>
      <c r="AA474" s="4">
        <f t="shared" si="287"/>
        <v>-1.1853679126858922E-2</v>
      </c>
      <c r="AB474" s="4">
        <f t="shared" si="287"/>
        <v>-1.2175934308025816E-2</v>
      </c>
      <c r="AC474" s="4">
        <f t="shared" si="287"/>
        <v>-1.2483022371886516E-2</v>
      </c>
      <c r="AD474" s="4">
        <f t="shared" si="287"/>
        <v>-1.2779790999769166E-2</v>
      </c>
      <c r="AE474" s="4">
        <f t="shared" si="287"/>
        <v>-1.306826450643926E-2</v>
      </c>
      <c r="AF474" s="4">
        <f t="shared" si="287"/>
        <v>-1.3349823582296404E-2</v>
      </c>
      <c r="AG474" s="4">
        <f t="shared" si="287"/>
        <v>-1.3625928328404601E-2</v>
      </c>
      <c r="AH474" s="4">
        <f t="shared" si="287"/>
        <v>-1.389440436180012E-2</v>
      </c>
      <c r="AI474" s="4">
        <f t="shared" si="287"/>
        <v>-1.4157881041184451E-2</v>
      </c>
      <c r="AJ474" s="4">
        <f t="shared" si="287"/>
        <v>-1.4417391023736856E-2</v>
      </c>
      <c r="AK474" s="4">
        <f t="shared" si="287"/>
        <v>-1.4673591982914038E-2</v>
      </c>
      <c r="AL474" s="4">
        <f t="shared" si="287"/>
        <v>-1.4926935572485811E-2</v>
      </c>
      <c r="AM474" s="4">
        <f t="shared" ref="AM474:BC474" si="288">(AM447-AM460)/AM$458</f>
        <v>-1.5150056155573927E-2</v>
      </c>
      <c r="AN474" s="4">
        <f t="shared" si="288"/>
        <v>-1.5361213064056628E-2</v>
      </c>
      <c r="AO474" s="4">
        <f t="shared" si="288"/>
        <v>-1.5564544845180462E-2</v>
      </c>
      <c r="AP474" s="4">
        <f t="shared" si="288"/>
        <v>-1.5761506491956526E-2</v>
      </c>
      <c r="AQ474" s="4">
        <f t="shared" si="288"/>
        <v>-1.5952970933067311E-2</v>
      </c>
      <c r="AR474" s="4">
        <f t="shared" si="288"/>
        <v>-1.613546672140485E-2</v>
      </c>
      <c r="AS474" s="4">
        <f t="shared" si="288"/>
        <v>-1.631216994515261E-2</v>
      </c>
      <c r="AT474" s="4">
        <f t="shared" si="288"/>
        <v>-1.6484126424445709E-2</v>
      </c>
      <c r="AU474" s="4">
        <f t="shared" si="288"/>
        <v>-1.6651895648912358E-2</v>
      </c>
      <c r="AV474" s="4">
        <f t="shared" si="288"/>
        <v>-1.6816036501389874E-2</v>
      </c>
      <c r="AW474" s="4">
        <f t="shared" si="288"/>
        <v>-1.6964254294539894E-2</v>
      </c>
      <c r="AX474" s="4">
        <f t="shared" si="288"/>
        <v>-1.7105847368534981E-2</v>
      </c>
      <c r="AY474" s="4">
        <f t="shared" si="288"/>
        <v>-1.7243665655772691E-2</v>
      </c>
      <c r="AZ474" s="4">
        <f t="shared" si="288"/>
        <v>-1.7379110191867126E-2</v>
      </c>
      <c r="BA474" s="4">
        <f t="shared" si="288"/>
        <v>-1.7513110387568712E-2</v>
      </c>
      <c r="BB474" s="4">
        <f t="shared" si="288"/>
        <v>-1.7638610823979325E-2</v>
      </c>
      <c r="BC474" s="4">
        <f t="shared" si="288"/>
        <v>-1.77610881389932E-2</v>
      </c>
      <c r="BD474" s="4">
        <f t="shared" ref="BD474:BF474" si="289">(BD447-BD460)/BD$458</f>
        <v>-1.7882153363130655E-2</v>
      </c>
      <c r="BE474" s="4">
        <f t="shared" si="289"/>
        <v>-1.8002593250343344E-2</v>
      </c>
      <c r="BF474" s="4">
        <f t="shared" si="289"/>
        <v>-1.812295814759815E-2</v>
      </c>
    </row>
    <row r="475" spans="1:58" x14ac:dyDescent="0.35">
      <c r="B475" t="s">
        <v>54</v>
      </c>
      <c r="C475" s="4">
        <f>(C451-C464)/C$458</f>
        <v>-1.7949433170825132E-4</v>
      </c>
      <c r="D475" s="4">
        <f t="shared" ref="D475:AL475" si="290">(D451-D464)/D$458</f>
        <v>-6.3474986353268025E-4</v>
      </c>
      <c r="E475" s="4">
        <f t="shared" si="290"/>
        <v>-1.1008154936292874E-3</v>
      </c>
      <c r="F475" s="4">
        <f t="shared" si="290"/>
        <v>-1.5734014605145561E-3</v>
      </c>
      <c r="G475" s="4">
        <f t="shared" si="290"/>
        <v>-2.0483907578919256E-3</v>
      </c>
      <c r="H475" s="4">
        <f t="shared" si="290"/>
        <v>-2.5235775391767132E-3</v>
      </c>
      <c r="I475" s="4">
        <f t="shared" si="290"/>
        <v>-3.0077413319973367E-3</v>
      </c>
      <c r="J475" s="4">
        <f t="shared" si="290"/>
        <v>-3.4747679123252021E-3</v>
      </c>
      <c r="K475" s="4">
        <f t="shared" si="290"/>
        <v>-3.9107485988218666E-3</v>
      </c>
      <c r="L475" s="4">
        <f t="shared" si="290"/>
        <v>-4.3056361569570921E-3</v>
      </c>
      <c r="M475" s="4">
        <f t="shared" si="290"/>
        <v>-4.6594346109170015E-3</v>
      </c>
      <c r="N475" s="4">
        <f t="shared" si="290"/>
        <v>-4.9779338810774527E-3</v>
      </c>
      <c r="O475" s="4">
        <f t="shared" si="290"/>
        <v>-5.2471114377830481E-3</v>
      </c>
      <c r="P475" s="4">
        <f t="shared" si="290"/>
        <v>-5.4713023371912514E-3</v>
      </c>
      <c r="Q475" s="4">
        <f t="shared" si="290"/>
        <v>-5.6635742247479279E-3</v>
      </c>
      <c r="R475" s="4">
        <f t="shared" si="290"/>
        <v>-5.8369123043295664E-3</v>
      </c>
      <c r="S475" s="4">
        <f t="shared" si="290"/>
        <v>-6.0139576740890271E-3</v>
      </c>
      <c r="T475" s="4">
        <f t="shared" si="290"/>
        <v>-6.1896163187511472E-3</v>
      </c>
      <c r="U475" s="4">
        <f t="shared" si="290"/>
        <v>-6.3625387486148212E-3</v>
      </c>
      <c r="V475" s="4">
        <f t="shared" si="290"/>
        <v>-6.53167222287542E-3</v>
      </c>
      <c r="W475" s="4">
        <f t="shared" si="290"/>
        <v>-6.6945838523450735E-3</v>
      </c>
      <c r="X475" s="4">
        <f t="shared" si="290"/>
        <v>-6.85231794125289E-3</v>
      </c>
      <c r="Y475" s="4">
        <f t="shared" si="290"/>
        <v>-7.0037070068039112E-3</v>
      </c>
      <c r="Z475" s="4">
        <f t="shared" si="290"/>
        <v>-7.1488915073999572E-3</v>
      </c>
      <c r="AA475" s="4">
        <f t="shared" si="290"/>
        <v>-7.288717621101992E-3</v>
      </c>
      <c r="AB475" s="4">
        <f t="shared" si="290"/>
        <v>-7.4192462296568031E-3</v>
      </c>
      <c r="AC475" s="4">
        <f t="shared" si="290"/>
        <v>-7.5417029704718174E-3</v>
      </c>
      <c r="AD475" s="4">
        <f t="shared" si="290"/>
        <v>-7.6585710309136495E-3</v>
      </c>
      <c r="AE475" s="4">
        <f t="shared" si="290"/>
        <v>-7.7709721815367909E-3</v>
      </c>
      <c r="AF475" s="4">
        <f t="shared" si="290"/>
        <v>-7.879618149044542E-3</v>
      </c>
      <c r="AG475" s="4">
        <f t="shared" si="290"/>
        <v>-7.9860754835308651E-3</v>
      </c>
      <c r="AH475" s="4">
        <f t="shared" si="290"/>
        <v>-8.088663421193092E-3</v>
      </c>
      <c r="AI475" s="4">
        <f t="shared" si="290"/>
        <v>-8.1889293698677451E-3</v>
      </c>
      <c r="AJ475" s="4">
        <f t="shared" si="290"/>
        <v>-8.2878936050392107E-3</v>
      </c>
      <c r="AK475" s="4">
        <f t="shared" si="290"/>
        <v>-8.386412200251386E-3</v>
      </c>
      <c r="AL475" s="4">
        <f t="shared" si="290"/>
        <v>-8.4851356034618478E-3</v>
      </c>
      <c r="AM475" s="4">
        <f t="shared" ref="AM475:BC475" si="291">(AM451-AM464)/AM$458</f>
        <v>-8.5611667176742293E-3</v>
      </c>
      <c r="AN475" s="4">
        <f t="shared" si="291"/>
        <v>-8.6289264527759316E-3</v>
      </c>
      <c r="AO475" s="4">
        <f t="shared" si="291"/>
        <v>-8.6924481512516867E-3</v>
      </c>
      <c r="AP475" s="4">
        <f t="shared" si="291"/>
        <v>-8.7526859453470312E-3</v>
      </c>
      <c r="AQ475" s="4">
        <f t="shared" si="291"/>
        <v>-8.809555167822879E-3</v>
      </c>
      <c r="AR475" s="4">
        <f t="shared" si="291"/>
        <v>-8.8593605461891531E-3</v>
      </c>
      <c r="AS475" s="4">
        <f t="shared" si="291"/>
        <v>-8.903439600678173E-3</v>
      </c>
      <c r="AT475" s="4">
        <f t="shared" si="291"/>
        <v>-8.9418312586546644E-3</v>
      </c>
      <c r="AU475" s="4">
        <f t="shared" si="291"/>
        <v>-8.9742895830965969E-3</v>
      </c>
      <c r="AV475" s="4">
        <f t="shared" si="291"/>
        <v>-9.0012379350035698E-3</v>
      </c>
      <c r="AW475" s="4">
        <f t="shared" si="291"/>
        <v>-9.0146656813216378E-3</v>
      </c>
      <c r="AX475" s="4">
        <f t="shared" si="291"/>
        <v>-9.0229019220822854E-3</v>
      </c>
      <c r="AY475" s="4">
        <f t="shared" si="291"/>
        <v>-9.030077911340903E-3</v>
      </c>
      <c r="AZ475" s="4">
        <f t="shared" si="291"/>
        <v>-9.0385304419653301E-3</v>
      </c>
      <c r="BA475" s="4">
        <f t="shared" si="291"/>
        <v>-9.0496311084245981E-3</v>
      </c>
      <c r="BB475" s="4">
        <f t="shared" si="291"/>
        <v>-9.0583169049120414E-3</v>
      </c>
      <c r="BC475" s="4">
        <f t="shared" si="291"/>
        <v>-9.0684814811123927E-3</v>
      </c>
      <c r="BD475" s="4">
        <f t="shared" ref="BD475:BF475" si="292">(BD451-BD464)/BD$458</f>
        <v>-9.0815304720431415E-3</v>
      </c>
      <c r="BE475" s="4">
        <f t="shared" si="292"/>
        <v>-9.0980504237242119E-3</v>
      </c>
      <c r="BF475" s="4">
        <f t="shared" si="292"/>
        <v>-9.1183385073447549E-3</v>
      </c>
    </row>
    <row r="476" spans="1:58" x14ac:dyDescent="0.35">
      <c r="B476" t="s">
        <v>11</v>
      </c>
      <c r="C476" s="4">
        <f>(C452-C465)/C$458</f>
        <v>-1.5814376116341848E-4</v>
      </c>
      <c r="D476" s="4">
        <f t="shared" ref="D476:AL476" si="293">(D452-D465)/D$458</f>
        <v>-5.944172981915618E-4</v>
      </c>
      <c r="E476" s="4">
        <f t="shared" si="293"/>
        <v>-1.0389851315869979E-3</v>
      </c>
      <c r="F476" s="4">
        <f t="shared" si="293"/>
        <v>-1.4826416310389412E-3</v>
      </c>
      <c r="G476" s="4">
        <f t="shared" si="293"/>
        <v>-1.9177288434787635E-3</v>
      </c>
      <c r="H476" s="4">
        <f t="shared" si="293"/>
        <v>-2.3399232239460894E-3</v>
      </c>
      <c r="I476" s="4">
        <f t="shared" si="293"/>
        <v>-2.7548800669360612E-3</v>
      </c>
      <c r="J476" s="4">
        <f t="shared" si="293"/>
        <v>-3.1475281983024614E-3</v>
      </c>
      <c r="K476" s="4">
        <f t="shared" si="293"/>
        <v>-3.5041389448445801E-3</v>
      </c>
      <c r="L476" s="4">
        <f t="shared" si="293"/>
        <v>-3.8142668117638781E-3</v>
      </c>
      <c r="M476" s="4">
        <f t="shared" si="293"/>
        <v>-4.0907438549108582E-3</v>
      </c>
      <c r="N476" s="4">
        <f t="shared" si="293"/>
        <v>-4.3508727301224057E-3</v>
      </c>
      <c r="O476" s="4">
        <f t="shared" si="293"/>
        <v>-4.5876571541016917E-3</v>
      </c>
      <c r="P476" s="4">
        <f t="shared" si="293"/>
        <v>-4.8006965853729915E-3</v>
      </c>
      <c r="Q476" s="4">
        <f t="shared" si="293"/>
        <v>-4.9934499010279975E-3</v>
      </c>
      <c r="R476" s="4">
        <f t="shared" si="293"/>
        <v>-5.1702002428990713E-3</v>
      </c>
      <c r="S476" s="4">
        <f t="shared" si="293"/>
        <v>-5.3469359272727956E-3</v>
      </c>
      <c r="T476" s="4">
        <f t="shared" si="293"/>
        <v>-5.5194870759019748E-3</v>
      </c>
      <c r="U476" s="4">
        <f t="shared" si="293"/>
        <v>-5.6866823417130157E-3</v>
      </c>
      <c r="V476" s="4">
        <f t="shared" si="293"/>
        <v>-5.8483574417755391E-3</v>
      </c>
      <c r="W476" s="4">
        <f t="shared" si="293"/>
        <v>-6.0043737707788604E-3</v>
      </c>
      <c r="X476" s="4">
        <f t="shared" si="293"/>
        <v>-6.1555623176277842E-3</v>
      </c>
      <c r="Y476" s="4">
        <f t="shared" si="293"/>
        <v>-6.3021500472911201E-3</v>
      </c>
      <c r="Z476" s="4">
        <f t="shared" si="293"/>
        <v>-6.445126708833163E-3</v>
      </c>
      <c r="AA476" s="4">
        <f t="shared" si="293"/>
        <v>-6.5856745391735371E-3</v>
      </c>
      <c r="AB476" s="4">
        <f t="shared" si="293"/>
        <v>-6.7234486598720137E-3</v>
      </c>
      <c r="AC476" s="4">
        <f t="shared" si="293"/>
        <v>-6.8569571130424785E-3</v>
      </c>
      <c r="AD476" s="4">
        <f t="shared" si="293"/>
        <v>-6.9876765588539596E-3</v>
      </c>
      <c r="AE476" s="4">
        <f t="shared" si="293"/>
        <v>-7.116916328972777E-3</v>
      </c>
      <c r="AF476" s="4">
        <f t="shared" si="293"/>
        <v>-7.2455875906171771E-3</v>
      </c>
      <c r="AG476" s="4">
        <f t="shared" si="293"/>
        <v>-7.3743819171136569E-3</v>
      </c>
      <c r="AH476" s="4">
        <f t="shared" si="293"/>
        <v>-7.5017800077168267E-3</v>
      </c>
      <c r="AI476" s="4">
        <f t="shared" si="293"/>
        <v>-7.6290897696502996E-3</v>
      </c>
      <c r="AJ476" s="4">
        <f t="shared" si="293"/>
        <v>-7.7571042927753074E-3</v>
      </c>
      <c r="AK476" s="4">
        <f t="shared" si="293"/>
        <v>-7.8861896627823343E-3</v>
      </c>
      <c r="AL476" s="4">
        <f t="shared" si="293"/>
        <v>-8.016423106527823E-3</v>
      </c>
      <c r="AM476" s="4">
        <f t="shared" ref="AM476:BC476" si="294">(AM452-AM465)/AM$458</f>
        <v>-8.1311513349807112E-3</v>
      </c>
      <c r="AN476" s="4">
        <f t="shared" si="294"/>
        <v>-8.2370511873904421E-3</v>
      </c>
      <c r="AO476" s="4">
        <f t="shared" si="294"/>
        <v>-8.3375616761215583E-3</v>
      </c>
      <c r="AP476" s="4">
        <f t="shared" si="294"/>
        <v>-8.4342518035754026E-3</v>
      </c>
      <c r="AQ476" s="4">
        <f t="shared" si="294"/>
        <v>-8.5279138283032782E-3</v>
      </c>
      <c r="AR476" s="4">
        <f t="shared" si="294"/>
        <v>-8.6166581957440053E-3</v>
      </c>
      <c r="AS476" s="4">
        <f t="shared" si="294"/>
        <v>-8.7014553903779039E-3</v>
      </c>
      <c r="AT476" s="4">
        <f t="shared" si="294"/>
        <v>-8.7828811605429619E-3</v>
      </c>
      <c r="AU476" s="4">
        <f t="shared" si="294"/>
        <v>-8.8611672403614786E-3</v>
      </c>
      <c r="AV476" s="4">
        <f t="shared" si="294"/>
        <v>-8.9366337590981414E-3</v>
      </c>
      <c r="AW476" s="4">
        <f t="shared" si="294"/>
        <v>-9.0032249366450608E-3</v>
      </c>
      <c r="AX476" s="4">
        <f t="shared" si="294"/>
        <v>-9.0639896288456437E-3</v>
      </c>
      <c r="AY476" s="4">
        <f t="shared" si="294"/>
        <v>-9.1215114123102282E-3</v>
      </c>
      <c r="AZ476" s="4">
        <f t="shared" si="294"/>
        <v>-9.1774229940832768E-3</v>
      </c>
      <c r="BA476" s="4">
        <f t="shared" si="294"/>
        <v>-9.2327772124566297E-3</v>
      </c>
      <c r="BB476" s="4">
        <f t="shared" si="294"/>
        <v>-9.2843997911298531E-3</v>
      </c>
      <c r="BC476" s="4">
        <f t="shared" si="294"/>
        <v>-9.3337697849069437E-3</v>
      </c>
      <c r="BD476" s="4">
        <f t="shared" ref="BD476:BF476" si="295">(BD452-BD465)/BD$458</f>
        <v>-9.3821832536191193E-3</v>
      </c>
      <c r="BE476" s="4">
        <f t="shared" si="295"/>
        <v>-9.4304687129379231E-3</v>
      </c>
      <c r="BF476" s="4">
        <f t="shared" si="295"/>
        <v>-9.479205451104554E-3</v>
      </c>
    </row>
    <row r="477" spans="1:58" x14ac:dyDescent="0.35">
      <c r="B477" t="s">
        <v>75</v>
      </c>
      <c r="C477" s="4">
        <f>(C453-C466)/C$458</f>
        <v>-1.7035958163899662E-4</v>
      </c>
      <c r="D477" s="4">
        <f t="shared" ref="D477:AL477" si="296">(D453-D466)/D$458</f>
        <v>-5.0927293168635107E-4</v>
      </c>
      <c r="E477" s="4">
        <f t="shared" si="296"/>
        <v>-8.4204742760725165E-4</v>
      </c>
      <c r="F477" s="4">
        <f t="shared" si="296"/>
        <v>-1.1671518818503249E-3</v>
      </c>
      <c r="G477" s="4">
        <f t="shared" si="296"/>
        <v>-1.4826750276941603E-3</v>
      </c>
      <c r="H477" s="4">
        <f t="shared" si="296"/>
        <v>-1.7861780294711914E-3</v>
      </c>
      <c r="I477" s="4">
        <f t="shared" si="296"/>
        <v>-2.0757038399927077E-3</v>
      </c>
      <c r="J477" s="4">
        <f t="shared" si="296"/>
        <v>-2.3628333614174554E-3</v>
      </c>
      <c r="K477" s="4">
        <f t="shared" si="296"/>
        <v>-2.6485421873866694E-3</v>
      </c>
      <c r="L477" s="4">
        <f t="shared" si="296"/>
        <v>-2.9306905366948341E-3</v>
      </c>
      <c r="M477" s="4">
        <f t="shared" si="296"/>
        <v>-3.1897643280446798E-3</v>
      </c>
      <c r="N477" s="4">
        <f t="shared" si="296"/>
        <v>-3.44049088266335E-3</v>
      </c>
      <c r="O477" s="4">
        <f t="shared" si="296"/>
        <v>-3.6773083090027412E-3</v>
      </c>
      <c r="P477" s="4">
        <f t="shared" si="296"/>
        <v>-3.9018332225388233E-3</v>
      </c>
      <c r="Q477" s="4">
        <f t="shared" si="296"/>
        <v>-4.1172059085155983E-3</v>
      </c>
      <c r="R477" s="4">
        <f t="shared" si="296"/>
        <v>-4.3259768499213942E-3</v>
      </c>
      <c r="S477" s="4">
        <f t="shared" si="296"/>
        <v>-4.5431743420657374E-3</v>
      </c>
      <c r="T477" s="4">
        <f t="shared" si="296"/>
        <v>-4.76017683384947E-3</v>
      </c>
      <c r="U477" s="4">
        <f t="shared" si="296"/>
        <v>-4.9753779799565504E-3</v>
      </c>
      <c r="V477" s="4">
        <f t="shared" si="296"/>
        <v>-5.1885090494119754E-3</v>
      </c>
      <c r="W477" s="4">
        <f t="shared" si="296"/>
        <v>-5.398469234537435E-3</v>
      </c>
      <c r="X477" s="4">
        <f t="shared" si="296"/>
        <v>-5.6071622153011395E-3</v>
      </c>
      <c r="Y477" s="4">
        <f t="shared" si="296"/>
        <v>-5.8142326215959526E-3</v>
      </c>
      <c r="Z477" s="4">
        <f t="shared" si="296"/>
        <v>-6.0198896233187105E-3</v>
      </c>
      <c r="AA477" s="4">
        <f t="shared" si="296"/>
        <v>-6.2244471596405049E-3</v>
      </c>
      <c r="AB477" s="4">
        <f t="shared" si="296"/>
        <v>-6.424465645216604E-3</v>
      </c>
      <c r="AC477" s="4">
        <f t="shared" si="296"/>
        <v>-6.6199629343247869E-3</v>
      </c>
      <c r="AD477" s="4">
        <f t="shared" si="296"/>
        <v>-6.8140463231050694E-3</v>
      </c>
      <c r="AE477" s="4">
        <f t="shared" si="296"/>
        <v>-7.0076095319341987E-3</v>
      </c>
      <c r="AF477" s="4">
        <f t="shared" si="296"/>
        <v>-7.2009324522512037E-3</v>
      </c>
      <c r="AG477" s="4">
        <f t="shared" si="296"/>
        <v>-7.3940848516769403E-3</v>
      </c>
      <c r="AH477" s="4">
        <f t="shared" si="296"/>
        <v>-7.5844835142774049E-3</v>
      </c>
      <c r="AI477" s="4">
        <f t="shared" si="296"/>
        <v>-7.77394655658832E-3</v>
      </c>
      <c r="AJ477" s="4">
        <f t="shared" si="296"/>
        <v>-7.9628139088622051E-3</v>
      </c>
      <c r="AK477" s="4">
        <f t="shared" si="296"/>
        <v>-8.1511330489154026E-3</v>
      </c>
      <c r="AL477" s="4">
        <f t="shared" si="296"/>
        <v>-8.3388449538623205E-3</v>
      </c>
      <c r="AM477" s="4">
        <f t="shared" ref="AM477:BC477" si="297">(AM453-AM466)/AM$458</f>
        <v>-8.50332405899497E-3</v>
      </c>
      <c r="AN477" s="4">
        <f t="shared" si="297"/>
        <v>-8.6610719068029932E-3</v>
      </c>
      <c r="AO477" s="4">
        <f t="shared" si="297"/>
        <v>-8.8160003821154444E-3</v>
      </c>
      <c r="AP477" s="4">
        <f t="shared" si="297"/>
        <v>-8.9692329819749447E-3</v>
      </c>
      <c r="AQ477" s="4">
        <f t="shared" si="297"/>
        <v>-9.1210755052758691E-3</v>
      </c>
      <c r="AR477" s="4">
        <f t="shared" si="297"/>
        <v>-9.2682742101817001E-3</v>
      </c>
      <c r="AS477" s="4">
        <f t="shared" si="297"/>
        <v>-9.4130554036135211E-3</v>
      </c>
      <c r="AT477" s="4">
        <f t="shared" si="297"/>
        <v>-9.5558536860176294E-3</v>
      </c>
      <c r="AU477" s="4">
        <f t="shared" si="297"/>
        <v>-9.6967274906237175E-3</v>
      </c>
      <c r="AV477" s="4">
        <f t="shared" si="297"/>
        <v>-9.8357010134905651E-3</v>
      </c>
      <c r="AW477" s="4">
        <f t="shared" si="297"/>
        <v>-9.9625754845144732E-3</v>
      </c>
      <c r="AX477" s="4">
        <f t="shared" si="297"/>
        <v>-1.0085039928282942E-2</v>
      </c>
      <c r="AY477" s="4">
        <f t="shared" si="297"/>
        <v>-1.020526494449187E-2</v>
      </c>
      <c r="AZ477" s="4">
        <f t="shared" si="297"/>
        <v>-1.0324120175265928E-2</v>
      </c>
      <c r="BA477" s="4">
        <f t="shared" si="297"/>
        <v>-1.0442031226124689E-2</v>
      </c>
      <c r="BB477" s="4">
        <f t="shared" si="297"/>
        <v>-1.0553057364821681E-2</v>
      </c>
      <c r="BC477" s="4">
        <f t="shared" si="297"/>
        <v>-1.0661740956343455E-2</v>
      </c>
      <c r="BD477" s="4">
        <f t="shared" ref="BD477:BF477" si="298">(BD453-BD466)/BD$458</f>
        <v>-1.0769271742653796E-2</v>
      </c>
      <c r="BE477" s="4">
        <f t="shared" si="298"/>
        <v>-1.0876077277876152E-2</v>
      </c>
      <c r="BF477" s="4">
        <f t="shared" si="298"/>
        <v>-1.0982351361491248E-2</v>
      </c>
    </row>
    <row r="479" spans="1:58" x14ac:dyDescent="0.35">
      <c r="A479" s="12" t="s">
        <v>94</v>
      </c>
      <c r="B479" s="3" t="str">
        <f>[1]Results!E205</f>
        <v>YG_toe_2</v>
      </c>
      <c r="C479" s="3">
        <f>[1]Results!F205</f>
        <v>148.541156</v>
      </c>
      <c r="D479" s="3">
        <f>[1]Results!G205</f>
        <v>146.50852449999999</v>
      </c>
      <c r="E479" s="3">
        <f>[1]Results!H205</f>
        <v>146.8157679</v>
      </c>
      <c r="F479" s="3">
        <f>[1]Results!I205</f>
        <v>147.38574729999999</v>
      </c>
      <c r="G479" s="3">
        <f>[1]Results!J205</f>
        <v>148.16739770000001</v>
      </c>
      <c r="H479" s="3">
        <f>[1]Results!K205</f>
        <v>149.14547160000001</v>
      </c>
      <c r="I479" s="3">
        <f>[1]Results!L205</f>
        <v>150.20656149999999</v>
      </c>
      <c r="J479" s="3">
        <f>[1]Results!M205</f>
        <v>151.37837279999999</v>
      </c>
      <c r="K479" s="3">
        <f>[1]Results!N205</f>
        <v>152.64393820000001</v>
      </c>
      <c r="L479" s="3">
        <f>[1]Results!O205</f>
        <v>153.98318309999999</v>
      </c>
      <c r="M479" s="3">
        <f>[1]Results!P205</f>
        <v>155.5191993</v>
      </c>
      <c r="N479" s="3">
        <f>[1]Results!Q205</f>
        <v>156.9846938</v>
      </c>
      <c r="O479" s="3">
        <f>[1]Results!R205</f>
        <v>158.45972359999999</v>
      </c>
      <c r="P479" s="3">
        <f>[1]Results!S205</f>
        <v>159.94747580000001</v>
      </c>
      <c r="Q479" s="3">
        <f>[1]Results!T205</f>
        <v>161.44588229999999</v>
      </c>
      <c r="R479" s="3">
        <f>[1]Results!U205</f>
        <v>162.95264689999999</v>
      </c>
      <c r="S479" s="3">
        <f>[1]Results!V205</f>
        <v>164.45115229999999</v>
      </c>
      <c r="T479" s="3">
        <f>[1]Results!W205</f>
        <v>165.9534026</v>
      </c>
      <c r="U479" s="3">
        <f>[1]Results!X205</f>
        <v>167.46179810000001</v>
      </c>
      <c r="V479" s="3">
        <f>[1]Results!Y205</f>
        <v>168.97837150000001</v>
      </c>
      <c r="W479" s="3">
        <f>[1]Results!Z205</f>
        <v>170.40445120000001</v>
      </c>
      <c r="X479" s="3">
        <f>[1]Results!AA205</f>
        <v>171.9131572</v>
      </c>
      <c r="Y479" s="3">
        <f>[1]Results!AB205</f>
        <v>173.44978929999999</v>
      </c>
      <c r="Z479" s="3">
        <f>[1]Results!AC205</f>
        <v>175.00979380000001</v>
      </c>
      <c r="AA479" s="3">
        <f>[1]Results!AD205</f>
        <v>176.59311030000001</v>
      </c>
      <c r="AB479" s="3">
        <f>[1]Results!AE205</f>
        <v>177.91530510000001</v>
      </c>
      <c r="AC479" s="3">
        <f>[1]Results!AF205</f>
        <v>179.3322703</v>
      </c>
      <c r="AD479" s="3">
        <f>[1]Results!AG205</f>
        <v>180.77111629999999</v>
      </c>
      <c r="AE479" s="3">
        <f>[1]Results!AH205</f>
        <v>182.23023069999999</v>
      </c>
      <c r="AF479" s="3">
        <f>[1]Results!AI205</f>
        <v>183.71222370000001</v>
      </c>
      <c r="AG479" s="3">
        <f>[1]Results!AJ205</f>
        <v>185.22002620000001</v>
      </c>
      <c r="AH479" s="3">
        <f>[1]Results!AK205</f>
        <v>186.75949700000001</v>
      </c>
      <c r="AI479" s="3">
        <f>[1]Results!AL205</f>
        <v>188.3299404</v>
      </c>
      <c r="AJ479" s="3">
        <f>[1]Results!AM205</f>
        <v>189.9322497</v>
      </c>
      <c r="AK479" s="3">
        <f>[1]Results!AN205</f>
        <v>191.56698449999999</v>
      </c>
      <c r="AL479" s="3">
        <f>[1]Results!AO205</f>
        <v>193.23435710000001</v>
      </c>
      <c r="AM479" s="3">
        <f>[1]Results!AP205</f>
        <v>194.89672859999999</v>
      </c>
      <c r="AN479" s="3">
        <f>[1]Results!AQ205</f>
        <v>196.57684309999999</v>
      </c>
      <c r="AO479" s="3">
        <f>[1]Results!AR205</f>
        <v>198.279349</v>
      </c>
      <c r="AP479" s="3">
        <f>[1]Results!AS205</f>
        <v>200.00630340000001</v>
      </c>
      <c r="AQ479" s="3">
        <f>[1]Results!AT205</f>
        <v>201.75898359999999</v>
      </c>
      <c r="AR479" s="3">
        <f>[1]Results!AU205</f>
        <v>203.54288790000001</v>
      </c>
      <c r="AS479" s="3">
        <f>[1]Results!AV205</f>
        <v>205.3551775</v>
      </c>
      <c r="AT479" s="3">
        <f>[1]Results!AW205</f>
        <v>207.195784</v>
      </c>
      <c r="AU479" s="3">
        <f>[1]Results!AX205</f>
        <v>209.0647074</v>
      </c>
      <c r="AV479" s="3">
        <f>[1]Results!AY205</f>
        <v>210.96188900000001</v>
      </c>
      <c r="AW479" s="3">
        <f>[1]Results!AZ205</f>
        <v>212.9083851</v>
      </c>
      <c r="AX479" s="3">
        <f>[1]Results!BA205</f>
        <v>214.88841550000001</v>
      </c>
      <c r="AY479" s="3">
        <f>[1]Results!BB205</f>
        <v>216.89945829999999</v>
      </c>
      <c r="AZ479" s="3">
        <f>[1]Results!BC205</f>
        <v>218.9402456</v>
      </c>
      <c r="BA479" s="3">
        <f>[1]Results!BD205</f>
        <v>221.0099946</v>
      </c>
      <c r="BB479" s="3">
        <f>[1]Results!BE205</f>
        <v>223.1176303</v>
      </c>
      <c r="BC479" s="3">
        <f>[1]Results!BF205</f>
        <v>225.25572980000001</v>
      </c>
      <c r="BD479" s="3">
        <f>[1]Results!BG205</f>
        <v>227.42318259999999</v>
      </c>
      <c r="BE479" s="3">
        <f>[1]Results!BH205</f>
        <v>229.6195467</v>
      </c>
      <c r="BF479" s="3">
        <f>[1]Results!BI205</f>
        <v>231.84470300000001</v>
      </c>
    </row>
    <row r="480" spans="1:58" x14ac:dyDescent="0.35">
      <c r="A480" t="s">
        <v>39</v>
      </c>
      <c r="B480" s="3" t="str">
        <f>[1]Results!E206</f>
        <v>YG_toe_ccoa_2</v>
      </c>
      <c r="C480" s="3">
        <f>[1]Results!F206</f>
        <v>2.3895566189999999</v>
      </c>
      <c r="D480" s="3">
        <f>[1]Results!G206</f>
        <v>2.3340990920000002</v>
      </c>
      <c r="E480" s="3">
        <f>[1]Results!H206</f>
        <v>2.3386208499999999</v>
      </c>
      <c r="F480" s="3">
        <f>[1]Results!I206</f>
        <v>2.3568529269999998</v>
      </c>
      <c r="G480" s="3">
        <f>[1]Results!J206</f>
        <v>2.379988537</v>
      </c>
      <c r="H480" s="3">
        <f>[1]Results!K206</f>
        <v>2.4060220050000001</v>
      </c>
      <c r="I480" s="3">
        <f>[1]Results!L206</f>
        <v>2.4327301509999999</v>
      </c>
      <c r="J480" s="3">
        <f>[1]Results!M206</f>
        <v>2.46077871</v>
      </c>
      <c r="K480" s="3">
        <f>[1]Results!N206</f>
        <v>2.4901295800000001</v>
      </c>
      <c r="L480" s="3">
        <f>[1]Results!O206</f>
        <v>2.5206297329999998</v>
      </c>
      <c r="M480" s="3">
        <f>[1]Results!P206</f>
        <v>2.55456181</v>
      </c>
      <c r="N480" s="3">
        <f>[1]Results!Q206</f>
        <v>2.5873377579999999</v>
      </c>
      <c r="O480" s="3">
        <f>[1]Results!R206</f>
        <v>2.6204147070000001</v>
      </c>
      <c r="P480" s="3">
        <f>[1]Results!S206</f>
        <v>2.6540076789999998</v>
      </c>
      <c r="Q480" s="3">
        <f>[1]Results!T206</f>
        <v>2.6881078060000001</v>
      </c>
      <c r="R480" s="3">
        <f>[1]Results!U206</f>
        <v>2.7226826649999998</v>
      </c>
      <c r="S480" s="3">
        <f>[1]Results!V206</f>
        <v>2.7573829860000001</v>
      </c>
      <c r="T480" s="3">
        <f>[1]Results!W206</f>
        <v>2.7924811530000002</v>
      </c>
      <c r="U480" s="3">
        <f>[1]Results!X206</f>
        <v>2.8280385030000001</v>
      </c>
      <c r="V480" s="3">
        <f>[1]Results!Y206</f>
        <v>2.8640816099999999</v>
      </c>
      <c r="W480" s="3">
        <f>[1]Results!Z206</f>
        <v>2.898857553</v>
      </c>
      <c r="X480" s="3">
        <f>[1]Results!AA206</f>
        <v>2.9353876040000002</v>
      </c>
      <c r="Y480" s="3">
        <f>[1]Results!AB206</f>
        <v>2.9727430880000001</v>
      </c>
      <c r="Z480" s="3">
        <f>[1]Results!AC206</f>
        <v>3.010758219</v>
      </c>
      <c r="AA480" s="3">
        <f>[1]Results!AD206</f>
        <v>3.0494168319999999</v>
      </c>
      <c r="AB480" s="3">
        <f>[1]Results!AE206</f>
        <v>3.083651659</v>
      </c>
      <c r="AC480" s="3">
        <f>[1]Results!AF206</f>
        <v>3.1197508630000002</v>
      </c>
      <c r="AD480" s="3">
        <f>[1]Results!AG206</f>
        <v>3.1565160250000002</v>
      </c>
      <c r="AE480" s="3">
        <f>[1]Results!AH206</f>
        <v>3.1937543900000001</v>
      </c>
      <c r="AF480" s="3">
        <f>[1]Results!AI206</f>
        <v>3.2314703420000002</v>
      </c>
      <c r="AG480" s="3">
        <f>[1]Results!AJ206</f>
        <v>3.2696984429999998</v>
      </c>
      <c r="AH480" s="3">
        <f>[1]Results!AK206</f>
        <v>3.308545429</v>
      </c>
      <c r="AI480" s="3">
        <f>[1]Results!AL206</f>
        <v>3.3479744820000001</v>
      </c>
      <c r="AJ480" s="3">
        <f>[1]Results!AM206</f>
        <v>3.3879892109999998</v>
      </c>
      <c r="AK480" s="3">
        <f>[1]Results!AN206</f>
        <v>3.4285946900000002</v>
      </c>
      <c r="AL480" s="3">
        <f>[1]Results!AO206</f>
        <v>3.469791662</v>
      </c>
      <c r="AM480" s="3">
        <f>[1]Results!AP206</f>
        <v>3.5110204280000001</v>
      </c>
      <c r="AN480" s="3">
        <f>[1]Results!AQ206</f>
        <v>3.552545474</v>
      </c>
      <c r="AO480" s="3">
        <f>[1]Results!AR206</f>
        <v>3.5944405590000001</v>
      </c>
      <c r="AP480" s="3">
        <f>[1]Results!AS206</f>
        <v>3.6367370819999998</v>
      </c>
      <c r="AQ480" s="3">
        <f>[1]Results!AT206</f>
        <v>3.6794563830000002</v>
      </c>
      <c r="AR480" s="3">
        <f>[1]Results!AU206</f>
        <v>3.7227206559999999</v>
      </c>
      <c r="AS480" s="3">
        <f>[1]Results!AV206</f>
        <v>3.7664593599999998</v>
      </c>
      <c r="AT480" s="3">
        <f>[1]Results!AW206</f>
        <v>3.8106680239999999</v>
      </c>
      <c r="AU480" s="3">
        <f>[1]Results!AX206</f>
        <v>3.8553520909999999</v>
      </c>
      <c r="AV480" s="3">
        <f>[1]Results!AY206</f>
        <v>3.900516562</v>
      </c>
      <c r="AW480" s="3">
        <f>[1]Results!AZ206</f>
        <v>3.9466280029999998</v>
      </c>
      <c r="AX480" s="3">
        <f>[1]Results!BA206</f>
        <v>3.9933286250000002</v>
      </c>
      <c r="AY480" s="3">
        <f>[1]Results!BB206</f>
        <v>4.040550283</v>
      </c>
      <c r="AZ480" s="3">
        <f>[1]Results!BC206</f>
        <v>4.0882803900000004</v>
      </c>
      <c r="BA480" s="3">
        <f>[1]Results!BD206</f>
        <v>4.1365169540000002</v>
      </c>
      <c r="BB480" s="3">
        <f>[1]Results!BE206</f>
        <v>4.1854826899999997</v>
      </c>
      <c r="BC480" s="3">
        <f>[1]Results!BF206</f>
        <v>4.2349998119999999</v>
      </c>
      <c r="BD480" s="3">
        <f>[1]Results!BG206</f>
        <v>4.2850382900000001</v>
      </c>
      <c r="BE480" s="3">
        <f>[1]Results!BH206</f>
        <v>4.3355972659999997</v>
      </c>
      <c r="BF480" s="3">
        <f>[1]Results!BI206</f>
        <v>4.3866821600000003</v>
      </c>
    </row>
    <row r="481" spans="1:58" x14ac:dyDescent="0.35">
      <c r="B481" s="3" t="s">
        <v>74</v>
      </c>
      <c r="C481" s="3">
        <f>SUM(C482:C484)</f>
        <v>51.367632914000005</v>
      </c>
      <c r="D481" s="3">
        <f t="shared" ref="D481:AL481" si="299">SUM(D482:D484)</f>
        <v>50.586805376000001</v>
      </c>
      <c r="E481" s="3">
        <f t="shared" si="299"/>
        <v>50.620212230999996</v>
      </c>
      <c r="F481" s="3">
        <f t="shared" si="299"/>
        <v>50.766410923000002</v>
      </c>
      <c r="G481" s="3">
        <f t="shared" si="299"/>
        <v>51.006086135000004</v>
      </c>
      <c r="H481" s="3">
        <f t="shared" si="299"/>
        <v>51.329581099999999</v>
      </c>
      <c r="I481" s="3">
        <f t="shared" si="299"/>
        <v>51.698110258</v>
      </c>
      <c r="J481" s="3">
        <f t="shared" si="299"/>
        <v>52.117039998000003</v>
      </c>
      <c r="K481" s="3">
        <f t="shared" si="299"/>
        <v>52.578130677999994</v>
      </c>
      <c r="L481" s="3">
        <f t="shared" si="299"/>
        <v>53.073391078999997</v>
      </c>
      <c r="M481" s="3">
        <f t="shared" si="299"/>
        <v>53.638644392000003</v>
      </c>
      <c r="N481" s="3">
        <f t="shared" si="299"/>
        <v>54.192485167000001</v>
      </c>
      <c r="O481" s="3">
        <f t="shared" si="299"/>
        <v>54.759051100999997</v>
      </c>
      <c r="P481" s="3">
        <f t="shared" si="299"/>
        <v>55.337438478999999</v>
      </c>
      <c r="Q481" s="3">
        <f t="shared" si="299"/>
        <v>55.925699649999999</v>
      </c>
      <c r="R481" s="3">
        <f t="shared" si="299"/>
        <v>56.522129252000006</v>
      </c>
      <c r="S481" s="3">
        <f t="shared" si="299"/>
        <v>57.12080598</v>
      </c>
      <c r="T481" s="3">
        <f t="shared" si="299"/>
        <v>57.724928514000005</v>
      </c>
      <c r="U481" s="3">
        <f t="shared" si="299"/>
        <v>58.334395118999993</v>
      </c>
      <c r="V481" s="3">
        <f t="shared" si="299"/>
        <v>58.949085321999995</v>
      </c>
      <c r="W481" s="3">
        <f t="shared" si="299"/>
        <v>59.538163849999997</v>
      </c>
      <c r="X481" s="3">
        <f t="shared" si="299"/>
        <v>60.153481661999997</v>
      </c>
      <c r="Y481" s="3">
        <f t="shared" si="299"/>
        <v>60.777428634000003</v>
      </c>
      <c r="Z481" s="3">
        <f t="shared" si="299"/>
        <v>61.408725943</v>
      </c>
      <c r="AA481" s="3">
        <f t="shared" si="299"/>
        <v>62.047254637999998</v>
      </c>
      <c r="AB481" s="3">
        <f t="shared" si="299"/>
        <v>62.605235832000005</v>
      </c>
      <c r="AC481" s="3">
        <f t="shared" si="299"/>
        <v>63.190534483</v>
      </c>
      <c r="AD481" s="3">
        <f t="shared" si="299"/>
        <v>63.778792525999997</v>
      </c>
      <c r="AE481" s="3">
        <f t="shared" si="299"/>
        <v>64.369931651000002</v>
      </c>
      <c r="AF481" s="3">
        <f t="shared" si="299"/>
        <v>64.965194029999992</v>
      </c>
      <c r="AG481" s="3">
        <f t="shared" si="299"/>
        <v>65.565858203999994</v>
      </c>
      <c r="AH481" s="3">
        <f t="shared" si="299"/>
        <v>66.174047403000003</v>
      </c>
      <c r="AI481" s="3">
        <f t="shared" si="299"/>
        <v>66.789738217999997</v>
      </c>
      <c r="AJ481" s="3">
        <f t="shared" si="299"/>
        <v>67.413474602000008</v>
      </c>
      <c r="AK481" s="3">
        <f t="shared" si="299"/>
        <v>68.045668798999998</v>
      </c>
      <c r="AL481" s="3">
        <f t="shared" si="299"/>
        <v>68.686604591999995</v>
      </c>
      <c r="AM481" s="3">
        <f t="shared" ref="AM481:BC481" si="300">SUM(AM482:AM484)</f>
        <v>69.324814572999998</v>
      </c>
      <c r="AN481" s="3">
        <f t="shared" si="300"/>
        <v>69.966651681999991</v>
      </c>
      <c r="AO481" s="3">
        <f t="shared" si="300"/>
        <v>70.613565769000004</v>
      </c>
      <c r="AP481" s="3">
        <f t="shared" si="300"/>
        <v>71.266433964000001</v>
      </c>
      <c r="AQ481" s="3">
        <f t="shared" si="300"/>
        <v>71.925959214000002</v>
      </c>
      <c r="AR481" s="3">
        <f t="shared" si="300"/>
        <v>72.59417943599999</v>
      </c>
      <c r="AS481" s="3">
        <f t="shared" si="300"/>
        <v>73.270377870000004</v>
      </c>
      <c r="AT481" s="3">
        <f t="shared" si="300"/>
        <v>73.954813627999997</v>
      </c>
      <c r="AU481" s="3">
        <f t="shared" si="300"/>
        <v>74.647709270000007</v>
      </c>
      <c r="AV481" s="3">
        <f t="shared" si="300"/>
        <v>75.349213065000001</v>
      </c>
      <c r="AW481" s="3">
        <f t="shared" si="300"/>
        <v>76.066117722000001</v>
      </c>
      <c r="AX481" s="3">
        <f t="shared" si="300"/>
        <v>76.793205509000003</v>
      </c>
      <c r="AY481" s="3">
        <f t="shared" si="300"/>
        <v>77.529937760999999</v>
      </c>
      <c r="AZ481" s="3">
        <f t="shared" si="300"/>
        <v>78.276078582000011</v>
      </c>
      <c r="BA481" s="3">
        <f t="shared" si="300"/>
        <v>79.031460299000003</v>
      </c>
      <c r="BB481" s="3">
        <f t="shared" si="300"/>
        <v>79.798969443999994</v>
      </c>
      <c r="BC481" s="3">
        <f t="shared" si="300"/>
        <v>80.576006030000002</v>
      </c>
      <c r="BD481" s="3">
        <f t="shared" ref="BD481:BF481" si="301">SUM(BD482:BD484)</f>
        <v>81.362275740000001</v>
      </c>
      <c r="BE481" s="3">
        <f t="shared" si="301"/>
        <v>82.157657342999997</v>
      </c>
      <c r="BF481" s="3">
        <f t="shared" si="301"/>
        <v>82.962088807000001</v>
      </c>
    </row>
    <row r="482" spans="1:58" x14ac:dyDescent="0.35">
      <c r="B482" s="3" t="str">
        <f>[1]Results!E209</f>
        <v>YG_toe_ccoi_2</v>
      </c>
      <c r="C482" s="3">
        <f>[1]Results!F209</f>
        <v>1.0954922330000001</v>
      </c>
      <c r="D482" s="3">
        <f>[1]Results!G209</f>
        <v>1.0769641379999999</v>
      </c>
      <c r="E482" s="3">
        <f>[1]Results!H209</f>
        <v>1.075797471</v>
      </c>
      <c r="F482" s="3">
        <f>[1]Results!I209</f>
        <v>1.0791897269999999</v>
      </c>
      <c r="G482" s="3">
        <f>[1]Results!J209</f>
        <v>1.0848170859999999</v>
      </c>
      <c r="H482" s="3">
        <f>[1]Results!K209</f>
        <v>1.0921622639999999</v>
      </c>
      <c r="I482" s="3">
        <f>[1]Results!L209</f>
        <v>1.100353291</v>
      </c>
      <c r="J482" s="3">
        <f>[1]Results!M209</f>
        <v>1.1094859210000001</v>
      </c>
      <c r="K482" s="3">
        <f>[1]Results!N209</f>
        <v>1.119435958</v>
      </c>
      <c r="L482" s="3">
        <f>[1]Results!O209</f>
        <v>1.13004971</v>
      </c>
      <c r="M482" s="3">
        <f>[1]Results!P209</f>
        <v>1.142110527</v>
      </c>
      <c r="N482" s="3">
        <f>[1]Results!Q209</f>
        <v>1.1539052480000001</v>
      </c>
      <c r="O482" s="3">
        <f>[1]Results!R209</f>
        <v>1.1658511739999999</v>
      </c>
      <c r="P482" s="3">
        <f>[1]Results!S209</f>
        <v>1.1780042589999999</v>
      </c>
      <c r="Q482" s="3">
        <f>[1]Results!T209</f>
        <v>1.19034354</v>
      </c>
      <c r="R482" s="3">
        <f>[1]Results!U209</f>
        <v>1.2028407249999999</v>
      </c>
      <c r="S482" s="3">
        <f>[1]Results!V209</f>
        <v>1.215358632</v>
      </c>
      <c r="T482" s="3">
        <f>[1]Results!W209</f>
        <v>1.2279746739999999</v>
      </c>
      <c r="U482" s="3">
        <f>[1]Results!X209</f>
        <v>1.2407027930000001</v>
      </c>
      <c r="V482" s="3">
        <f>[1]Results!Y209</f>
        <v>1.2535463140000001</v>
      </c>
      <c r="W482" s="3">
        <f>[1]Results!Z209</f>
        <v>1.265845922</v>
      </c>
      <c r="X482" s="3">
        <f>[1]Results!AA209</f>
        <v>1.2786843379999999</v>
      </c>
      <c r="Y482" s="3">
        <f>[1]Results!AB209</f>
        <v>1.291767143</v>
      </c>
      <c r="Z482" s="3">
        <f>[1]Results!AC209</f>
        <v>1.305027878</v>
      </c>
      <c r="AA482" s="3">
        <f>[1]Results!AD209</f>
        <v>1.3184567599999999</v>
      </c>
      <c r="AB482" s="3">
        <f>[1]Results!AE209</f>
        <v>1.330169537</v>
      </c>
      <c r="AC482" s="3">
        <f>[1]Results!AF209</f>
        <v>1.342389504</v>
      </c>
      <c r="AD482" s="3">
        <f>[1]Results!AG209</f>
        <v>1.3547775200000001</v>
      </c>
      <c r="AE482" s="3">
        <f>[1]Results!AH209</f>
        <v>1.3672740910000001</v>
      </c>
      <c r="AF482" s="3">
        <f>[1]Results!AI209</f>
        <v>1.379889369</v>
      </c>
      <c r="AG482" s="3">
        <f>[1]Results!AJ209</f>
        <v>1.392644131</v>
      </c>
      <c r="AH482" s="3">
        <f>[1]Results!AK209</f>
        <v>1.40558374</v>
      </c>
      <c r="AI482" s="3">
        <f>[1]Results!AL209</f>
        <v>1.418703804</v>
      </c>
      <c r="AJ482" s="3">
        <f>[1]Results!AM209</f>
        <v>1.432011256</v>
      </c>
      <c r="AK482" s="3">
        <f>[1]Results!AN209</f>
        <v>1.445512769</v>
      </c>
      <c r="AL482" s="3">
        <f>[1]Results!AO209</f>
        <v>1.459212932</v>
      </c>
      <c r="AM482" s="3">
        <f>[1]Results!AP209</f>
        <v>1.472898603</v>
      </c>
      <c r="AN482" s="3">
        <f>[1]Results!AQ209</f>
        <v>1.486670172</v>
      </c>
      <c r="AO482" s="3">
        <f>[1]Results!AR209</f>
        <v>1.500565809</v>
      </c>
      <c r="AP482" s="3">
        <f>[1]Results!AS209</f>
        <v>1.5146040540000001</v>
      </c>
      <c r="AQ482" s="3">
        <f>[1]Results!AT209</f>
        <v>1.528797934</v>
      </c>
      <c r="AR482" s="3">
        <f>[1]Results!AU209</f>
        <v>1.543194476</v>
      </c>
      <c r="AS482" s="3">
        <f>[1]Results!AV209</f>
        <v>1.5577748300000001</v>
      </c>
      <c r="AT482" s="3">
        <f>[1]Results!AW209</f>
        <v>1.572539608</v>
      </c>
      <c r="AU482" s="3">
        <f>[1]Results!AX209</f>
        <v>1.58749205</v>
      </c>
      <c r="AV482" s="3">
        <f>[1]Results!AY209</f>
        <v>1.6026346849999999</v>
      </c>
      <c r="AW482" s="3">
        <f>[1]Results!AZ209</f>
        <v>1.6181314520000001</v>
      </c>
      <c r="AX482" s="3">
        <f>[1]Results!BA209</f>
        <v>1.6338664789999999</v>
      </c>
      <c r="AY482" s="3">
        <f>[1]Results!BB209</f>
        <v>1.6498132910000001</v>
      </c>
      <c r="AZ482" s="3">
        <f>[1]Results!BC209</f>
        <v>1.6659645620000001</v>
      </c>
      <c r="BA482" s="3">
        <f>[1]Results!BD209</f>
        <v>1.682316919</v>
      </c>
      <c r="BB482" s="3">
        <f>[1]Results!BE209</f>
        <v>1.698944714</v>
      </c>
      <c r="BC482" s="3">
        <f>[1]Results!BF209</f>
        <v>1.7157889399999999</v>
      </c>
      <c r="BD482" s="3">
        <f>[1]Results!BG209</f>
        <v>1.7328363</v>
      </c>
      <c r="BE482" s="3">
        <f>[1]Results!BH209</f>
        <v>1.7500835029999999</v>
      </c>
      <c r="BF482" s="3">
        <f>[1]Results!BI209</f>
        <v>1.767529677</v>
      </c>
    </row>
    <row r="483" spans="1:58" x14ac:dyDescent="0.35">
      <c r="B483" s="3" t="str">
        <f>[1]Results!E212</f>
        <v>YG_toe_cfut_2</v>
      </c>
      <c r="C483" s="3">
        <f>[1]Results!F212</f>
        <v>42.337050320000003</v>
      </c>
      <c r="D483" s="3">
        <f>[1]Results!G212</f>
        <v>41.629498320000003</v>
      </c>
      <c r="E483" s="3">
        <f>[1]Results!H212</f>
        <v>41.654269909999996</v>
      </c>
      <c r="F483" s="3">
        <f>[1]Results!I212</f>
        <v>41.776271360000003</v>
      </c>
      <c r="G483" s="3">
        <f>[1]Results!J212</f>
        <v>41.980629290000003</v>
      </c>
      <c r="H483" s="3">
        <f>[1]Results!K212</f>
        <v>42.258291679999999</v>
      </c>
      <c r="I483" s="3">
        <f>[1]Results!L212</f>
        <v>42.576524599999999</v>
      </c>
      <c r="J483" s="3">
        <f>[1]Results!M212</f>
        <v>42.938652320000003</v>
      </c>
      <c r="K483" s="3">
        <f>[1]Results!N212</f>
        <v>43.336600300000001</v>
      </c>
      <c r="L483" s="3">
        <f>[1]Results!O212</f>
        <v>43.763237259999997</v>
      </c>
      <c r="M483" s="3">
        <f>[1]Results!P212</f>
        <v>44.24786074</v>
      </c>
      <c r="N483" s="3">
        <f>[1]Results!Q212</f>
        <v>44.722813129999999</v>
      </c>
      <c r="O483" s="3">
        <f>[1]Results!R212</f>
        <v>45.209166770000003</v>
      </c>
      <c r="P483" s="3">
        <f>[1]Results!S212</f>
        <v>45.70578287</v>
      </c>
      <c r="Q483" s="3">
        <f>[1]Results!T212</f>
        <v>46.210904669999998</v>
      </c>
      <c r="R483" s="3">
        <f>[1]Results!U212</f>
        <v>46.723096660000003</v>
      </c>
      <c r="S483" s="3">
        <f>[1]Results!V212</f>
        <v>47.237402090000003</v>
      </c>
      <c r="T483" s="3">
        <f>[1]Results!W212</f>
        <v>47.756534790000003</v>
      </c>
      <c r="U483" s="3">
        <f>[1]Results!X212</f>
        <v>48.280291609999999</v>
      </c>
      <c r="V483" s="3">
        <f>[1]Results!Y212</f>
        <v>48.808498739999997</v>
      </c>
      <c r="W483" s="3">
        <f>[1]Results!Z212</f>
        <v>49.315657819999998</v>
      </c>
      <c r="X483" s="3">
        <f>[1]Results!AA212</f>
        <v>49.844917969999997</v>
      </c>
      <c r="Y483" s="3">
        <f>[1]Results!AB212</f>
        <v>50.380948230000001</v>
      </c>
      <c r="Z483" s="3">
        <f>[1]Results!AC212</f>
        <v>50.922887950000003</v>
      </c>
      <c r="AA483" s="3">
        <f>[1]Results!AD212</f>
        <v>51.470698380000002</v>
      </c>
      <c r="AB483" s="3">
        <f>[1]Results!AE212</f>
        <v>51.951879740000003</v>
      </c>
      <c r="AC483" s="3">
        <f>[1]Results!AF212</f>
        <v>52.456700499999997</v>
      </c>
      <c r="AD483" s="3">
        <f>[1]Results!AG212</f>
        <v>52.96337638</v>
      </c>
      <c r="AE483" s="3">
        <f>[1]Results!AH212</f>
        <v>53.472035920000003</v>
      </c>
      <c r="AF483" s="3">
        <f>[1]Results!AI212</f>
        <v>53.983785400000002</v>
      </c>
      <c r="AG483" s="3">
        <f>[1]Results!AJ212</f>
        <v>54.49975105</v>
      </c>
      <c r="AH483" s="3">
        <f>[1]Results!AK212</f>
        <v>55.021735839999998</v>
      </c>
      <c r="AI483" s="3">
        <f>[1]Results!AL212</f>
        <v>55.549722269999997</v>
      </c>
      <c r="AJ483" s="3">
        <f>[1]Results!AM212</f>
        <v>56.084193640000002</v>
      </c>
      <c r="AK483" s="3">
        <f>[1]Results!AN212</f>
        <v>56.625509800000003</v>
      </c>
      <c r="AL483" s="3">
        <f>[1]Results!AO212</f>
        <v>57.173918239999999</v>
      </c>
      <c r="AM483" s="3">
        <f>[1]Results!AP212</f>
        <v>57.71995149</v>
      </c>
      <c r="AN483" s="3">
        <f>[1]Results!AQ212</f>
        <v>58.268950750000002</v>
      </c>
      <c r="AO483" s="3">
        <f>[1]Results!AR212</f>
        <v>58.822047050000002</v>
      </c>
      <c r="AP483" s="3">
        <f>[1]Results!AS212</f>
        <v>59.379948910000003</v>
      </c>
      <c r="AQ483" s="3">
        <f>[1]Results!AT212</f>
        <v>59.943239179999999</v>
      </c>
      <c r="AR483" s="3">
        <f>[1]Results!AU212</f>
        <v>60.513617289999999</v>
      </c>
      <c r="AS483" s="3">
        <f>[1]Results!AV212</f>
        <v>61.090467199999999</v>
      </c>
      <c r="AT483" s="3">
        <f>[1]Results!AW212</f>
        <v>61.674037040000002</v>
      </c>
      <c r="AU483" s="3">
        <f>[1]Results!AX212</f>
        <v>62.264529969999998</v>
      </c>
      <c r="AV483" s="3">
        <f>[1]Results!AY212</f>
        <v>62.862080640000002</v>
      </c>
      <c r="AW483" s="3">
        <f>[1]Results!AZ212</f>
        <v>63.472341149999998</v>
      </c>
      <c r="AX483" s="3">
        <f>[1]Results!BA212</f>
        <v>64.090851729999997</v>
      </c>
      <c r="AY483" s="3">
        <f>[1]Results!BB212</f>
        <v>64.717259580000004</v>
      </c>
      <c r="AZ483" s="3">
        <f>[1]Results!BC212</f>
        <v>65.351403360000006</v>
      </c>
      <c r="BA483" s="3">
        <f>[1]Results!BD212</f>
        <v>65.993154779999998</v>
      </c>
      <c r="BB483" s="3">
        <f>[1]Results!BE212</f>
        <v>66.644918739999994</v>
      </c>
      <c r="BC483" s="3">
        <f>[1]Results!BF212</f>
        <v>67.304462839999999</v>
      </c>
      <c r="BD483" s="3">
        <f>[1]Results!BG212</f>
        <v>67.971580130000007</v>
      </c>
      <c r="BE483" s="3">
        <f>[1]Results!BH212</f>
        <v>68.646177399999999</v>
      </c>
      <c r="BF483" s="3">
        <f>[1]Results!BI212</f>
        <v>69.328198630000003</v>
      </c>
    </row>
    <row r="484" spans="1:58" x14ac:dyDescent="0.35">
      <c r="B484" s="3" t="str">
        <f>[1]Results!E215</f>
        <v>YG_toe_cfuh_2</v>
      </c>
      <c r="C484" s="3">
        <f>[1]Results!F215</f>
        <v>7.9350903610000003</v>
      </c>
      <c r="D484" s="3">
        <f>[1]Results!G215</f>
        <v>7.8803429180000002</v>
      </c>
      <c r="E484" s="3">
        <f>[1]Results!H215</f>
        <v>7.8901448500000004</v>
      </c>
      <c r="F484" s="3">
        <f>[1]Results!I215</f>
        <v>7.9109498360000003</v>
      </c>
      <c r="G484" s="3">
        <f>[1]Results!J215</f>
        <v>7.9406397589999997</v>
      </c>
      <c r="H484" s="3">
        <f>[1]Results!K215</f>
        <v>7.9791271559999997</v>
      </c>
      <c r="I484" s="3">
        <f>[1]Results!L215</f>
        <v>8.0212323669999996</v>
      </c>
      <c r="J484" s="3">
        <f>[1]Results!M215</f>
        <v>8.0689017570000008</v>
      </c>
      <c r="K484" s="3">
        <f>[1]Results!N215</f>
        <v>8.1220944199999998</v>
      </c>
      <c r="L484" s="3">
        <f>[1]Results!O215</f>
        <v>8.1801041090000002</v>
      </c>
      <c r="M484" s="3">
        <f>[1]Results!P215</f>
        <v>8.2486731249999998</v>
      </c>
      <c r="N484" s="3">
        <f>[1]Results!Q215</f>
        <v>8.3157667889999995</v>
      </c>
      <c r="O484" s="3">
        <f>[1]Results!R215</f>
        <v>8.3840331569999993</v>
      </c>
      <c r="P484" s="3">
        <f>[1]Results!S215</f>
        <v>8.4536513499999995</v>
      </c>
      <c r="Q484" s="3">
        <f>[1]Results!T215</f>
        <v>8.52445144</v>
      </c>
      <c r="R484" s="3">
        <f>[1]Results!U215</f>
        <v>8.5961918669999999</v>
      </c>
      <c r="S484" s="3">
        <f>[1]Results!V215</f>
        <v>8.6680452579999994</v>
      </c>
      <c r="T484" s="3">
        <f>[1]Results!W215</f>
        <v>8.7404190499999999</v>
      </c>
      <c r="U484" s="3">
        <f>[1]Results!X215</f>
        <v>8.8134007160000003</v>
      </c>
      <c r="V484" s="3">
        <f>[1]Results!Y215</f>
        <v>8.8870402679999998</v>
      </c>
      <c r="W484" s="3">
        <f>[1]Results!Z215</f>
        <v>8.9566601079999995</v>
      </c>
      <c r="X484" s="3">
        <f>[1]Results!AA215</f>
        <v>9.0298793540000002</v>
      </c>
      <c r="Y484" s="3">
        <f>[1]Results!AB215</f>
        <v>9.1047132610000006</v>
      </c>
      <c r="Z484" s="3">
        <f>[1]Results!AC215</f>
        <v>9.1808101149999999</v>
      </c>
      <c r="AA484" s="3">
        <f>[1]Results!AD215</f>
        <v>9.258099498</v>
      </c>
      <c r="AB484" s="3">
        <f>[1]Results!AE215</f>
        <v>9.3231865549999995</v>
      </c>
      <c r="AC484" s="3">
        <f>[1]Results!AF215</f>
        <v>9.3914444790000005</v>
      </c>
      <c r="AD484" s="3">
        <f>[1]Results!AG215</f>
        <v>9.4606386259999997</v>
      </c>
      <c r="AE484" s="3">
        <f>[1]Results!AH215</f>
        <v>9.5306216399999997</v>
      </c>
      <c r="AF484" s="3">
        <f>[1]Results!AI215</f>
        <v>9.601519261</v>
      </c>
      <c r="AG484" s="3">
        <f>[1]Results!AJ215</f>
        <v>9.673463023</v>
      </c>
      <c r="AH484" s="3">
        <f>[1]Results!AK215</f>
        <v>9.7467278230000005</v>
      </c>
      <c r="AI484" s="3">
        <f>[1]Results!AL215</f>
        <v>9.8213121440000002</v>
      </c>
      <c r="AJ484" s="3">
        <f>[1]Results!AM215</f>
        <v>9.8972697059999994</v>
      </c>
      <c r="AK484" s="3">
        <f>[1]Results!AN215</f>
        <v>9.9746462299999994</v>
      </c>
      <c r="AL484" s="3">
        <f>[1]Results!AO215</f>
        <v>10.05347342</v>
      </c>
      <c r="AM484" s="3">
        <f>[1]Results!AP215</f>
        <v>10.131964480000001</v>
      </c>
      <c r="AN484" s="3">
        <f>[1]Results!AQ215</f>
        <v>10.21103076</v>
      </c>
      <c r="AO484" s="3">
        <f>[1]Results!AR215</f>
        <v>10.29095291</v>
      </c>
      <c r="AP484" s="3">
        <f>[1]Results!AS215</f>
        <v>10.371881</v>
      </c>
      <c r="AQ484" s="3">
        <f>[1]Results!AT215</f>
        <v>10.4539221</v>
      </c>
      <c r="AR484" s="3">
        <f>[1]Results!AU215</f>
        <v>10.53736767</v>
      </c>
      <c r="AS484" s="3">
        <f>[1]Results!AV215</f>
        <v>10.62213584</v>
      </c>
      <c r="AT484" s="3">
        <f>[1]Results!AW215</f>
        <v>10.708236980000001</v>
      </c>
      <c r="AU484" s="3">
        <f>[1]Results!AX215</f>
        <v>10.79568725</v>
      </c>
      <c r="AV484" s="3">
        <f>[1]Results!AY215</f>
        <v>10.88449774</v>
      </c>
      <c r="AW484" s="3">
        <f>[1]Results!AZ215</f>
        <v>10.975645119999999</v>
      </c>
      <c r="AX484" s="3">
        <f>[1]Results!BA215</f>
        <v>11.068487299999999</v>
      </c>
      <c r="AY484" s="3">
        <f>[1]Results!BB215</f>
        <v>11.16286489</v>
      </c>
      <c r="AZ484" s="3">
        <f>[1]Results!BC215</f>
        <v>11.25871066</v>
      </c>
      <c r="BA484" s="3">
        <f>[1]Results!BD215</f>
        <v>11.3559886</v>
      </c>
      <c r="BB484" s="3">
        <f>[1]Results!BE215</f>
        <v>11.45510599</v>
      </c>
      <c r="BC484" s="3">
        <f>[1]Results!BF215</f>
        <v>11.55575425</v>
      </c>
      <c r="BD484" s="3">
        <f>[1]Results!BG215</f>
        <v>11.657859309999999</v>
      </c>
      <c r="BE484" s="3">
        <f>[1]Results!BH215</f>
        <v>11.76139644</v>
      </c>
      <c r="BF484" s="3">
        <f>[1]Results!BI215</f>
        <v>11.866360500000001</v>
      </c>
    </row>
    <row r="485" spans="1:58" x14ac:dyDescent="0.35">
      <c r="B485" s="3" t="str">
        <f>[1]Results!E217</f>
        <v>YG_toe_cgas_2</v>
      </c>
      <c r="C485" s="3">
        <f>[1]Results!F217</f>
        <v>6.5892954929999998</v>
      </c>
      <c r="D485" s="3">
        <f>[1]Results!G217</f>
        <v>6.4160818040000001</v>
      </c>
      <c r="E485" s="3">
        <f>[1]Results!H217</f>
        <v>6.4581917789999999</v>
      </c>
      <c r="F485" s="3">
        <f>[1]Results!I217</f>
        <v>6.4663466329999997</v>
      </c>
      <c r="G485" s="3">
        <f>[1]Results!J217</f>
        <v>6.4623947629999998</v>
      </c>
      <c r="H485" s="3">
        <f>[1]Results!K217</f>
        <v>6.4512272260000003</v>
      </c>
      <c r="I485" s="3">
        <f>[1]Results!L217</f>
        <v>6.4290586840000001</v>
      </c>
      <c r="J485" s="3">
        <f>[1]Results!M217</f>
        <v>6.4037779099999996</v>
      </c>
      <c r="K485" s="3">
        <f>[1]Results!N217</f>
        <v>6.377074575</v>
      </c>
      <c r="L485" s="3">
        <f>[1]Results!O217</f>
        <v>6.3497855569999997</v>
      </c>
      <c r="M485" s="3">
        <f>[1]Results!P217</f>
        <v>6.3295227440000001</v>
      </c>
      <c r="N485" s="3">
        <f>[1]Results!Q217</f>
        <v>6.3000222050000003</v>
      </c>
      <c r="O485" s="3">
        <f>[1]Results!R217</f>
        <v>6.2708890449999997</v>
      </c>
      <c r="P485" s="3">
        <f>[1]Results!S217</f>
        <v>6.2423656669999996</v>
      </c>
      <c r="Q485" s="3">
        <f>[1]Results!T217</f>
        <v>6.2146973870000002</v>
      </c>
      <c r="R485" s="3">
        <f>[1]Results!U217</f>
        <v>6.1879562740000003</v>
      </c>
      <c r="S485" s="3">
        <f>[1]Results!V217</f>
        <v>6.1606631260000002</v>
      </c>
      <c r="T485" s="3">
        <f>[1]Results!W217</f>
        <v>6.1343229929999996</v>
      </c>
      <c r="U485" s="3">
        <f>[1]Results!X217</f>
        <v>6.1089755730000004</v>
      </c>
      <c r="V485" s="3">
        <f>[1]Results!Y217</f>
        <v>6.0846088610000004</v>
      </c>
      <c r="W485" s="3">
        <f>[1]Results!Z217</f>
        <v>6.0564209279999996</v>
      </c>
      <c r="X485" s="3">
        <f>[1]Results!AA217</f>
        <v>6.034559453</v>
      </c>
      <c r="Y485" s="3">
        <f>[1]Results!AB217</f>
        <v>6.0133258769999998</v>
      </c>
      <c r="Z485" s="3">
        <f>[1]Results!AC217</f>
        <v>5.9926639289999999</v>
      </c>
      <c r="AA485" s="3">
        <f>[1]Results!AD217</f>
        <v>5.9723691480000003</v>
      </c>
      <c r="AB485" s="3">
        <f>[1]Results!AE217</f>
        <v>5.9392583029999999</v>
      </c>
      <c r="AC485" s="3">
        <f>[1]Results!AF217</f>
        <v>5.9161432300000003</v>
      </c>
      <c r="AD485" s="3">
        <f>[1]Results!AG217</f>
        <v>5.8937686310000004</v>
      </c>
      <c r="AE485" s="3">
        <f>[1]Results!AH217</f>
        <v>5.8721163440000002</v>
      </c>
      <c r="AF485" s="3">
        <f>[1]Results!AI217</f>
        <v>5.8508349800000001</v>
      </c>
      <c r="AG485" s="3">
        <f>[1]Results!AJ217</f>
        <v>5.829524213</v>
      </c>
      <c r="AH485" s="3">
        <f>[1]Results!AK217</f>
        <v>5.8082785670000003</v>
      </c>
      <c r="AI485" s="3">
        <f>[1]Results!AL217</f>
        <v>5.7865982850000002</v>
      </c>
      <c r="AJ485" s="3">
        <f>[1]Results!AM217</f>
        <v>5.7643786889999999</v>
      </c>
      <c r="AK485" s="3">
        <f>[1]Results!AN217</f>
        <v>5.7415698099999997</v>
      </c>
      <c r="AL485" s="3">
        <f>[1]Results!AO217</f>
        <v>5.7181613540000003</v>
      </c>
      <c r="AM485" s="3">
        <f>[1]Results!AP217</f>
        <v>5.6944707179999998</v>
      </c>
      <c r="AN485" s="3">
        <f>[1]Results!AQ217</f>
        <v>5.6709870049999997</v>
      </c>
      <c r="AO485" s="3">
        <f>[1]Results!AR217</f>
        <v>5.6474754159999998</v>
      </c>
      <c r="AP485" s="3">
        <f>[1]Results!AS217</f>
        <v>5.6238492500000001</v>
      </c>
      <c r="AQ485" s="3">
        <f>[1]Results!AT217</f>
        <v>5.6000467220000001</v>
      </c>
      <c r="AR485" s="3">
        <f>[1]Results!AU217</f>
        <v>5.5765255519999997</v>
      </c>
      <c r="AS485" s="3">
        <f>[1]Results!AV217</f>
        <v>5.5527739150000004</v>
      </c>
      <c r="AT485" s="3">
        <f>[1]Results!AW217</f>
        <v>5.5287501050000003</v>
      </c>
      <c r="AU485" s="3">
        <f>[1]Results!AX217</f>
        <v>5.5044364589999999</v>
      </c>
      <c r="AV485" s="3">
        <f>[1]Results!AY217</f>
        <v>5.4798371829999999</v>
      </c>
      <c r="AW485" s="3">
        <f>[1]Results!AZ217</f>
        <v>5.4569172049999999</v>
      </c>
      <c r="AX485" s="3">
        <f>[1]Results!BA217</f>
        <v>5.4337957279999998</v>
      </c>
      <c r="AY485" s="3">
        <f>[1]Results!BB217</f>
        <v>5.4104406049999998</v>
      </c>
      <c r="AZ485" s="3">
        <f>[1]Results!BC217</f>
        <v>5.3868414089999996</v>
      </c>
      <c r="BA485" s="3">
        <f>[1]Results!BD217</f>
        <v>5.3630219290000003</v>
      </c>
      <c r="BB485" s="3">
        <f>[1]Results!BE217</f>
        <v>5.3400799409999999</v>
      </c>
      <c r="BC485" s="3">
        <f>[1]Results!BF217</f>
        <v>5.3170547839999998</v>
      </c>
      <c r="BD485" s="3">
        <f>[1]Results!BG217</f>
        <v>5.2939333910000004</v>
      </c>
      <c r="BE485" s="3">
        <f>[1]Results!BH217</f>
        <v>5.2707135550000004</v>
      </c>
      <c r="BF485" s="3">
        <f>[1]Results!BI217</f>
        <v>5.2474056920000001</v>
      </c>
    </row>
    <row r="486" spans="1:58" x14ac:dyDescent="0.35">
      <c r="B486" s="3" t="str">
        <f>[1]Results!E223</f>
        <v>YG_toe_cele_2</v>
      </c>
      <c r="C486" s="3">
        <f>[1]Results!F223</f>
        <v>57.463026259999999</v>
      </c>
      <c r="D486" s="3">
        <f>[1]Results!G223</f>
        <v>56.828193880000001</v>
      </c>
      <c r="E486" s="3">
        <f>[1]Results!H223</f>
        <v>56.941554410000002</v>
      </c>
      <c r="F486" s="3">
        <f>[1]Results!I223</f>
        <v>57.171219239999999</v>
      </c>
      <c r="G486" s="3">
        <f>[1]Results!J223</f>
        <v>57.495671360000003</v>
      </c>
      <c r="H486" s="3">
        <f>[1]Results!K223</f>
        <v>57.908816389999998</v>
      </c>
      <c r="I486" s="3">
        <f>[1]Results!L223</f>
        <v>58.364749099999997</v>
      </c>
      <c r="J486" s="3">
        <f>[1]Results!M223</f>
        <v>58.870153360000003</v>
      </c>
      <c r="K486" s="3">
        <f>[1]Results!N223</f>
        <v>59.416014369999999</v>
      </c>
      <c r="L486" s="3">
        <f>[1]Results!O223</f>
        <v>59.99140689</v>
      </c>
      <c r="M486" s="3">
        <f>[1]Results!P223</f>
        <v>60.640523129999998</v>
      </c>
      <c r="N486" s="3">
        <f>[1]Results!Q223</f>
        <v>61.262567349999998</v>
      </c>
      <c r="O486" s="3">
        <f>[1]Results!R223</f>
        <v>61.882572179999997</v>
      </c>
      <c r="P486" s="3">
        <f>[1]Results!S223</f>
        <v>62.501398799999997</v>
      </c>
      <c r="Q486" s="3">
        <f>[1]Results!T223</f>
        <v>63.118128370000001</v>
      </c>
      <c r="R486" s="3">
        <f>[1]Results!U223</f>
        <v>63.732065339999998</v>
      </c>
      <c r="S486" s="3">
        <f>[1]Results!V223</f>
        <v>64.338084309999999</v>
      </c>
      <c r="T486" s="3">
        <f>[1]Results!W223</f>
        <v>64.940177430000006</v>
      </c>
      <c r="U486" s="3">
        <f>[1]Results!X223</f>
        <v>65.540021469999999</v>
      </c>
      <c r="V486" s="3">
        <f>[1]Results!Y223</f>
        <v>66.13927142</v>
      </c>
      <c r="W486" s="3">
        <f>[1]Results!Z223</f>
        <v>66.700771140000001</v>
      </c>
      <c r="X486" s="3">
        <f>[1]Results!AA223</f>
        <v>67.290581230000001</v>
      </c>
      <c r="Y486" s="3">
        <f>[1]Results!AB223</f>
        <v>67.890875489999999</v>
      </c>
      <c r="Z486" s="3">
        <f>[1]Results!AC223</f>
        <v>68.500486629999997</v>
      </c>
      <c r="AA486" s="3">
        <f>[1]Results!AD223</f>
        <v>69.120099640000007</v>
      </c>
      <c r="AB486" s="3">
        <f>[1]Results!AE223</f>
        <v>69.6402815</v>
      </c>
      <c r="AC486" s="3">
        <f>[1]Results!AF223</f>
        <v>70.194010770000006</v>
      </c>
      <c r="AD486" s="3">
        <f>[1]Results!AG223</f>
        <v>70.758812730000002</v>
      </c>
      <c r="AE486" s="3">
        <f>[1]Results!AH223</f>
        <v>71.334655729999994</v>
      </c>
      <c r="AF486" s="3">
        <f>[1]Results!AI223</f>
        <v>71.923223210000003</v>
      </c>
      <c r="AG486" s="3">
        <f>[1]Results!AJ223</f>
        <v>72.526229439999994</v>
      </c>
      <c r="AH486" s="3">
        <f>[1]Results!AK223</f>
        <v>73.146055000000004</v>
      </c>
      <c r="AI486" s="3">
        <f>[1]Results!AL223</f>
        <v>73.782973560000002</v>
      </c>
      <c r="AJ486" s="3">
        <f>[1]Results!AM223</f>
        <v>74.437402030000001</v>
      </c>
      <c r="AK486" s="3">
        <f>[1]Results!AN223</f>
        <v>75.109505179999999</v>
      </c>
      <c r="AL486" s="3">
        <f>[1]Results!AO223</f>
        <v>75.799232509999996</v>
      </c>
      <c r="AM486" s="3">
        <f>[1]Results!AP223</f>
        <v>76.489106750000005</v>
      </c>
      <c r="AN486" s="3">
        <f>[1]Results!AQ223</f>
        <v>77.189677180000004</v>
      </c>
      <c r="AO486" s="3">
        <f>[1]Results!AR223</f>
        <v>77.90300981</v>
      </c>
      <c r="AP486" s="3">
        <f>[1]Results!AS223</f>
        <v>78.629817680000002</v>
      </c>
      <c r="AQ486" s="3">
        <f>[1]Results!AT223</f>
        <v>79.370457610000003</v>
      </c>
      <c r="AR486" s="3">
        <f>[1]Results!AU223</f>
        <v>80.126485369999997</v>
      </c>
      <c r="AS486" s="3">
        <f>[1]Results!AV223</f>
        <v>80.89716378</v>
      </c>
      <c r="AT486" s="3">
        <f>[1]Results!AW223</f>
        <v>81.682324140000006</v>
      </c>
      <c r="AU486" s="3">
        <f>[1]Results!AX223</f>
        <v>82.481798749999996</v>
      </c>
      <c r="AV486" s="3">
        <f>[1]Results!AY223</f>
        <v>83.295402019999997</v>
      </c>
      <c r="AW486" s="3">
        <f>[1]Results!AZ223</f>
        <v>84.129669190000001</v>
      </c>
      <c r="AX486" s="3">
        <f>[1]Results!BA223</f>
        <v>84.980233159999997</v>
      </c>
      <c r="AY486" s="3">
        <f>[1]Results!BB223</f>
        <v>85.845984569999999</v>
      </c>
      <c r="AZ486" s="3">
        <f>[1]Results!BC223</f>
        <v>86.726231549999994</v>
      </c>
      <c r="BA486" s="3">
        <f>[1]Results!BD223</f>
        <v>87.620493510000003</v>
      </c>
      <c r="BB486" s="3">
        <f>[1]Results!BE223</f>
        <v>88.531120729999998</v>
      </c>
      <c r="BC486" s="3">
        <f>[1]Results!BF223</f>
        <v>89.456307589999994</v>
      </c>
      <c r="BD486" s="3">
        <f>[1]Results!BG223</f>
        <v>90.395614780000002</v>
      </c>
      <c r="BE486" s="3">
        <f>[1]Results!BH223</f>
        <v>91.348829100000003</v>
      </c>
      <c r="BF486" s="3">
        <f>[1]Results!BI223</f>
        <v>92.315892430000005</v>
      </c>
    </row>
    <row r="487" spans="1:58" x14ac:dyDescent="0.35">
      <c r="B487" s="3" t="s">
        <v>75</v>
      </c>
      <c r="C487" s="3">
        <f>SUM(C488:C490)</f>
        <v>30.731644674000002</v>
      </c>
      <c r="D487" s="3">
        <f t="shared" ref="D487:AL487" si="302">SUM(D488:D490)</f>
        <v>30.343344323</v>
      </c>
      <c r="E487" s="3">
        <f t="shared" si="302"/>
        <v>30.457188663000004</v>
      </c>
      <c r="F487" s="3">
        <f t="shared" si="302"/>
        <v>30.624917579999998</v>
      </c>
      <c r="G487" s="3">
        <f t="shared" si="302"/>
        <v>30.823256867000001</v>
      </c>
      <c r="H487" s="3">
        <f t="shared" si="302"/>
        <v>31.049824863000001</v>
      </c>
      <c r="I487" s="3">
        <f t="shared" si="302"/>
        <v>31.281913320000001</v>
      </c>
      <c r="J487" s="3">
        <f t="shared" si="302"/>
        <v>31.526622799000002</v>
      </c>
      <c r="K487" s="3">
        <f t="shared" si="302"/>
        <v>31.782588982</v>
      </c>
      <c r="L487" s="3">
        <f t="shared" si="302"/>
        <v>32.047969860000002</v>
      </c>
      <c r="M487" s="3">
        <f t="shared" si="302"/>
        <v>32.355947205999996</v>
      </c>
      <c r="N487" s="3">
        <f t="shared" si="302"/>
        <v>32.642281367999999</v>
      </c>
      <c r="O487" s="3">
        <f t="shared" si="302"/>
        <v>32.926796525999997</v>
      </c>
      <c r="P487" s="3">
        <f t="shared" si="302"/>
        <v>33.212265135999999</v>
      </c>
      <c r="Q487" s="3">
        <f t="shared" si="302"/>
        <v>33.499249110999997</v>
      </c>
      <c r="R487" s="3">
        <f t="shared" si="302"/>
        <v>33.787813327999999</v>
      </c>
      <c r="S487" s="3">
        <f t="shared" si="302"/>
        <v>34.074215883000001</v>
      </c>
      <c r="T487" s="3">
        <f t="shared" si="302"/>
        <v>34.361492556000002</v>
      </c>
      <c r="U487" s="3">
        <f t="shared" si="302"/>
        <v>34.650367435999996</v>
      </c>
      <c r="V487" s="3">
        <f t="shared" si="302"/>
        <v>34.941324322</v>
      </c>
      <c r="W487" s="3">
        <f t="shared" si="302"/>
        <v>35.210237743999997</v>
      </c>
      <c r="X487" s="3">
        <f t="shared" si="302"/>
        <v>35.499147284000003</v>
      </c>
      <c r="Y487" s="3">
        <f t="shared" si="302"/>
        <v>35.795416224</v>
      </c>
      <c r="Z487" s="3">
        <f t="shared" si="302"/>
        <v>36.097159043000005</v>
      </c>
      <c r="AA487" s="3">
        <f t="shared" si="302"/>
        <v>36.403970099999995</v>
      </c>
      <c r="AB487" s="3">
        <f t="shared" si="302"/>
        <v>36.646877830999998</v>
      </c>
      <c r="AC487" s="3">
        <f t="shared" si="302"/>
        <v>36.911830956000003</v>
      </c>
      <c r="AD487" s="3">
        <f t="shared" si="302"/>
        <v>37.183226392000002</v>
      </c>
      <c r="AE487" s="3">
        <f t="shared" si="302"/>
        <v>37.459772592999997</v>
      </c>
      <c r="AF487" s="3">
        <f t="shared" si="302"/>
        <v>37.741501174999996</v>
      </c>
      <c r="AG487" s="3">
        <f t="shared" si="302"/>
        <v>38.028715880999997</v>
      </c>
      <c r="AH487" s="3">
        <f t="shared" si="302"/>
        <v>38.322570562999999</v>
      </c>
      <c r="AI487" s="3">
        <f t="shared" si="302"/>
        <v>38.622655817999998</v>
      </c>
      <c r="AJ487" s="3">
        <f t="shared" si="302"/>
        <v>38.929005184000005</v>
      </c>
      <c r="AK487" s="3">
        <f t="shared" si="302"/>
        <v>39.241646048999996</v>
      </c>
      <c r="AL487" s="3">
        <f t="shared" si="302"/>
        <v>39.560567026000001</v>
      </c>
      <c r="AM487" s="3">
        <f t="shared" ref="AM487:BC487" si="303">SUM(AM488:AM490)</f>
        <v>39.877316184000001</v>
      </c>
      <c r="AN487" s="3">
        <f t="shared" si="303"/>
        <v>40.196981785000006</v>
      </c>
      <c r="AO487" s="3">
        <f t="shared" si="303"/>
        <v>40.520857394000004</v>
      </c>
      <c r="AP487" s="3">
        <f t="shared" si="303"/>
        <v>40.849465409000004</v>
      </c>
      <c r="AQ487" s="3">
        <f t="shared" si="303"/>
        <v>41.183063709999999</v>
      </c>
      <c r="AR487" s="3">
        <f t="shared" si="303"/>
        <v>41.522976889999995</v>
      </c>
      <c r="AS487" s="3">
        <f t="shared" si="303"/>
        <v>41.868402591999995</v>
      </c>
      <c r="AT487" s="3">
        <f t="shared" si="303"/>
        <v>42.219228085000005</v>
      </c>
      <c r="AU487" s="3">
        <f t="shared" si="303"/>
        <v>42.575410794</v>
      </c>
      <c r="AV487" s="3">
        <f t="shared" si="303"/>
        <v>42.936920211</v>
      </c>
      <c r="AW487" s="3">
        <f t="shared" si="303"/>
        <v>43.309053009000003</v>
      </c>
      <c r="AX487" s="3">
        <f t="shared" si="303"/>
        <v>43.687852438999997</v>
      </c>
      <c r="AY487" s="3">
        <f t="shared" si="303"/>
        <v>44.072545058000003</v>
      </c>
      <c r="AZ487" s="3">
        <f t="shared" si="303"/>
        <v>44.462813699000002</v>
      </c>
      <c r="BA487" s="3">
        <f t="shared" si="303"/>
        <v>44.858501947999997</v>
      </c>
      <c r="BB487" s="3">
        <f t="shared" si="303"/>
        <v>45.261977528999999</v>
      </c>
      <c r="BC487" s="3">
        <f t="shared" si="303"/>
        <v>45.671361570999998</v>
      </c>
      <c r="BD487" s="3">
        <f t="shared" ref="BD487:BF487" si="304">SUM(BD488:BD490)</f>
        <v>46.086320408000006</v>
      </c>
      <c r="BE487" s="3">
        <f t="shared" si="304"/>
        <v>46.506749455999994</v>
      </c>
      <c r="BF487" s="3">
        <f t="shared" si="304"/>
        <v>46.932633902999996</v>
      </c>
    </row>
    <row r="488" spans="1:58" x14ac:dyDescent="0.35">
      <c r="B488" s="3" t="str">
        <f>[1]Results!E233</f>
        <v>YG_toe_chea_2</v>
      </c>
      <c r="C488" s="3">
        <f>[1]Results!F233</f>
        <v>5.7098781040000004</v>
      </c>
      <c r="D488" s="3">
        <f>[1]Results!G233</f>
        <v>5.7218157830000003</v>
      </c>
      <c r="E488" s="3">
        <f>[1]Results!H233</f>
        <v>5.7675736029999998</v>
      </c>
      <c r="F488" s="3">
        <f>[1]Results!I233</f>
        <v>5.8189458099999998</v>
      </c>
      <c r="G488" s="3">
        <f>[1]Results!J233</f>
        <v>5.8732544769999997</v>
      </c>
      <c r="H488" s="3">
        <f>[1]Results!K233</f>
        <v>5.9314454530000003</v>
      </c>
      <c r="I488" s="3">
        <f>[1]Results!L233</f>
        <v>5.9903061800000001</v>
      </c>
      <c r="J488" s="3">
        <f>[1]Results!M233</f>
        <v>6.049368619</v>
      </c>
      <c r="K488" s="3">
        <f>[1]Results!N233</f>
        <v>6.1080738219999997</v>
      </c>
      <c r="L488" s="3">
        <f>[1]Results!O233</f>
        <v>6.1664964099999997</v>
      </c>
      <c r="M488" s="3">
        <f>[1]Results!P233</f>
        <v>6.2337425360000003</v>
      </c>
      <c r="N488" s="3">
        <f>[1]Results!Q233</f>
        <v>6.2953323579999996</v>
      </c>
      <c r="O488" s="3">
        <f>[1]Results!R233</f>
        <v>6.3549440559999999</v>
      </c>
      <c r="P488" s="3">
        <f>[1]Results!S233</f>
        <v>6.413867346</v>
      </c>
      <c r="Q488" s="3">
        <f>[1]Results!T233</f>
        <v>6.4725803109999998</v>
      </c>
      <c r="R488" s="3">
        <f>[1]Results!U233</f>
        <v>6.5312513980000002</v>
      </c>
      <c r="S488" s="3">
        <f>[1]Results!V233</f>
        <v>6.5894241530000004</v>
      </c>
      <c r="T488" s="3">
        <f>[1]Results!W233</f>
        <v>6.6474177259999996</v>
      </c>
      <c r="U488" s="3">
        <f>[1]Results!X233</f>
        <v>6.7053640659999996</v>
      </c>
      <c r="V488" s="3">
        <f>[1]Results!Y233</f>
        <v>6.7633396719999999</v>
      </c>
      <c r="W488" s="3">
        <f>[1]Results!Z233</f>
        <v>6.8154140639999996</v>
      </c>
      <c r="X488" s="3">
        <f>[1]Results!AA233</f>
        <v>6.8712733640000003</v>
      </c>
      <c r="Y488" s="3">
        <f>[1]Results!AB233</f>
        <v>6.9287101040000003</v>
      </c>
      <c r="Z488" s="3">
        <f>[1]Results!AC233</f>
        <v>6.9870026129999996</v>
      </c>
      <c r="AA488" s="3">
        <f>[1]Results!AD233</f>
        <v>7.0459055399999997</v>
      </c>
      <c r="AB488" s="3">
        <f>[1]Results!AE233</f>
        <v>7.088816091</v>
      </c>
      <c r="AC488" s="3">
        <f>[1]Results!AF233</f>
        <v>7.1347112060000004</v>
      </c>
      <c r="AD488" s="3">
        <f>[1]Results!AG233</f>
        <v>7.1818638119999996</v>
      </c>
      <c r="AE488" s="3">
        <f>[1]Results!AH233</f>
        <v>7.2298350229999997</v>
      </c>
      <c r="AF488" s="3">
        <f>[1]Results!AI233</f>
        <v>7.278519245</v>
      </c>
      <c r="AG488" s="3">
        <f>[1]Results!AJ233</f>
        <v>7.3279144409999999</v>
      </c>
      <c r="AH488" s="3">
        <f>[1]Results!AK233</f>
        <v>7.3781692230000004</v>
      </c>
      <c r="AI488" s="3">
        <f>[1]Results!AL233</f>
        <v>7.4292493080000002</v>
      </c>
      <c r="AJ488" s="3">
        <f>[1]Results!AM233</f>
        <v>7.4811542639999997</v>
      </c>
      <c r="AK488" s="3">
        <f>[1]Results!AN233</f>
        <v>7.5338896389999999</v>
      </c>
      <c r="AL488" s="3">
        <f>[1]Results!AO233</f>
        <v>7.5874577959999998</v>
      </c>
      <c r="AM488" s="3">
        <f>[1]Results!AP233</f>
        <v>7.6392741040000001</v>
      </c>
      <c r="AN488" s="3">
        <f>[1]Results!AQ233</f>
        <v>7.6909071649999996</v>
      </c>
      <c r="AO488" s="3">
        <f>[1]Results!AR233</f>
        <v>7.7428930640000004</v>
      </c>
      <c r="AP488" s="3">
        <f>[1]Results!AS233</f>
        <v>7.7954444389999997</v>
      </c>
      <c r="AQ488" s="3">
        <f>[1]Results!AT233</f>
        <v>7.8486503799999996</v>
      </c>
      <c r="AR488" s="3">
        <f>[1]Results!AU233</f>
        <v>7.9027149699999999</v>
      </c>
      <c r="AS488" s="3">
        <f>[1]Results!AV233</f>
        <v>7.9575602319999996</v>
      </c>
      <c r="AT488" s="3">
        <f>[1]Results!AW233</f>
        <v>8.0131516450000007</v>
      </c>
      <c r="AU488" s="3">
        <f>[1]Results!AX233</f>
        <v>8.0694711540000004</v>
      </c>
      <c r="AV488" s="3">
        <f>[1]Results!AY233</f>
        <v>8.1265064109999994</v>
      </c>
      <c r="AW488" s="3">
        <f>[1]Results!AZ233</f>
        <v>8.1851065989999992</v>
      </c>
      <c r="AX488" s="3">
        <f>[1]Results!BA233</f>
        <v>8.2447714990000005</v>
      </c>
      <c r="AY488" s="3">
        <f>[1]Results!BB233</f>
        <v>8.3052955480000001</v>
      </c>
      <c r="AZ488" s="3">
        <f>[1]Results!BC233</f>
        <v>8.3665867089999999</v>
      </c>
      <c r="BA488" s="3">
        <f>[1]Results!BD233</f>
        <v>8.4285997879999996</v>
      </c>
      <c r="BB488" s="3">
        <f>[1]Results!BE233</f>
        <v>8.491654059</v>
      </c>
      <c r="BC488" s="3">
        <f>[1]Results!BF233</f>
        <v>8.5555488610000001</v>
      </c>
      <c r="BD488" s="3">
        <f>[1]Results!BG233</f>
        <v>8.6201982580000003</v>
      </c>
      <c r="BE488" s="3">
        <f>[1]Results!BH233</f>
        <v>8.6855672459999997</v>
      </c>
      <c r="BF488" s="3">
        <f>[1]Results!BI233</f>
        <v>8.7516437329999999</v>
      </c>
    </row>
    <row r="489" spans="1:58" x14ac:dyDescent="0.35">
      <c r="B489" s="3" t="str">
        <f>[1]Results!E235</f>
        <v>YG_toe_cbio_2</v>
      </c>
      <c r="C489" s="3">
        <f>[1]Results!F235</f>
        <v>11.178279010000001</v>
      </c>
      <c r="D489" s="3">
        <f>[1]Results!G235</f>
        <v>11.14707134</v>
      </c>
      <c r="E489" s="3">
        <f>[1]Results!H235</f>
        <v>11.137505880000001</v>
      </c>
      <c r="F489" s="3">
        <f>[1]Results!I235</f>
        <v>11.13061853</v>
      </c>
      <c r="G489" s="3">
        <f>[1]Results!J235</f>
        <v>11.131727550000001</v>
      </c>
      <c r="H489" s="3">
        <f>[1]Results!K235</f>
        <v>11.14275188</v>
      </c>
      <c r="I489" s="3">
        <f>[1]Results!L235</f>
        <v>11.15725114</v>
      </c>
      <c r="J489" s="3">
        <f>[1]Results!M235</f>
        <v>11.176719459999999</v>
      </c>
      <c r="K489" s="3">
        <f>[1]Results!N235</f>
        <v>11.20122303</v>
      </c>
      <c r="L489" s="3">
        <f>[1]Results!O235</f>
        <v>11.23002967</v>
      </c>
      <c r="M489" s="3">
        <f>[1]Results!P235</f>
        <v>11.270885959999999</v>
      </c>
      <c r="N489" s="3">
        <f>[1]Results!Q235</f>
        <v>11.308202</v>
      </c>
      <c r="O489" s="3">
        <f>[1]Results!R235</f>
        <v>11.34479032</v>
      </c>
      <c r="P489" s="3">
        <f>[1]Results!S235</f>
        <v>11.381363090000001</v>
      </c>
      <c r="Q489" s="3">
        <f>[1]Results!T235</f>
        <v>11.41802347</v>
      </c>
      <c r="R489" s="3">
        <f>[1]Results!U235</f>
        <v>11.454740279999999</v>
      </c>
      <c r="S489" s="3">
        <f>[1]Results!V235</f>
        <v>11.49051379</v>
      </c>
      <c r="T489" s="3">
        <f>[1]Results!W235</f>
        <v>11.52593437</v>
      </c>
      <c r="U489" s="3">
        <f>[1]Results!X235</f>
        <v>11.56126662</v>
      </c>
      <c r="V489" s="3">
        <f>[1]Results!Y235</f>
        <v>11.59668843</v>
      </c>
      <c r="W489" s="3">
        <f>[1]Results!Z235</f>
        <v>11.62634254</v>
      </c>
      <c r="X489" s="3">
        <f>[1]Results!AA235</f>
        <v>11.65984372</v>
      </c>
      <c r="Y489" s="3">
        <f>[1]Results!AB235</f>
        <v>11.695239279999999</v>
      </c>
      <c r="Z489" s="3">
        <f>[1]Results!AC235</f>
        <v>11.73192034</v>
      </c>
      <c r="AA489" s="3">
        <f>[1]Results!AD235</f>
        <v>11.76970923</v>
      </c>
      <c r="AB489" s="3">
        <f>[1]Results!AE235</f>
        <v>11.79191999</v>
      </c>
      <c r="AC489" s="3">
        <f>[1]Results!AF235</f>
        <v>11.81739621</v>
      </c>
      <c r="AD489" s="3">
        <f>[1]Results!AG235</f>
        <v>11.844578419999999</v>
      </c>
      <c r="AE489" s="3">
        <f>[1]Results!AH235</f>
        <v>11.873135680000001</v>
      </c>
      <c r="AF489" s="3">
        <f>[1]Results!AI235</f>
        <v>11.90303567</v>
      </c>
      <c r="AG489" s="3">
        <f>[1]Results!AJ235</f>
        <v>11.934341229999999</v>
      </c>
      <c r="AH489" s="3">
        <f>[1]Results!AK235</f>
        <v>11.9673464</v>
      </c>
      <c r="AI489" s="3">
        <f>[1]Results!AL235</f>
        <v>12.001985230000001</v>
      </c>
      <c r="AJ489" s="3">
        <f>[1]Results!AM235</f>
        <v>12.038247569999999</v>
      </c>
      <c r="AK489" s="3">
        <f>[1]Results!AN235</f>
        <v>12.07612754</v>
      </c>
      <c r="AL489" s="3">
        <f>[1]Results!AO235</f>
        <v>12.115612260000001</v>
      </c>
      <c r="AM489" s="3">
        <f>[1]Results!AP235</f>
        <v>12.154847800000001</v>
      </c>
      <c r="AN489" s="3">
        <f>[1]Results!AQ235</f>
        <v>12.194791220000001</v>
      </c>
      <c r="AO489" s="3">
        <f>[1]Results!AR235</f>
        <v>12.235785740000001</v>
      </c>
      <c r="AP489" s="3">
        <f>[1]Results!AS235</f>
        <v>12.277967390000001</v>
      </c>
      <c r="AQ489" s="3">
        <f>[1]Results!AT235</f>
        <v>12.32139667</v>
      </c>
      <c r="AR489" s="3">
        <f>[1]Results!AU235</f>
        <v>12.36639871</v>
      </c>
      <c r="AS489" s="3">
        <f>[1]Results!AV235</f>
        <v>12.41281408</v>
      </c>
      <c r="AT489" s="3">
        <f>[1]Results!AW235</f>
        <v>12.460578140000001</v>
      </c>
      <c r="AU489" s="3">
        <f>[1]Results!AX235</f>
        <v>12.509654749999999</v>
      </c>
      <c r="AV489" s="3">
        <f>[1]Results!AY235</f>
        <v>12.560018510000001</v>
      </c>
      <c r="AW489" s="3">
        <f>[1]Results!AZ235</f>
        <v>12.612942990000001</v>
      </c>
      <c r="AX489" s="3">
        <f>[1]Results!BA235</f>
        <v>12.66766374</v>
      </c>
      <c r="AY489" s="3">
        <f>[1]Results!BB235</f>
        <v>12.723874240000001</v>
      </c>
      <c r="AZ489" s="3">
        <f>[1]Results!BC235</f>
        <v>12.781425670000001</v>
      </c>
      <c r="BA489" s="3">
        <f>[1]Results!BD235</f>
        <v>12.840240700000001</v>
      </c>
      <c r="BB489" s="3">
        <f>[1]Results!BE235</f>
        <v>12.900873969999999</v>
      </c>
      <c r="BC489" s="3">
        <f>[1]Results!BF235</f>
        <v>12.962959789999999</v>
      </c>
      <c r="BD489" s="3">
        <f>[1]Results!BG235</f>
        <v>13.02635401</v>
      </c>
      <c r="BE489" s="3">
        <f>[1]Results!BH235</f>
        <v>13.09099294</v>
      </c>
      <c r="BF489" s="3">
        <f>[1]Results!BI235</f>
        <v>13.156852349999999</v>
      </c>
    </row>
    <row r="490" spans="1:58" x14ac:dyDescent="0.35">
      <c r="B490" s="3" t="str">
        <f>[1]Results!E238</f>
        <v>YG_toe_cote_2</v>
      </c>
      <c r="C490" s="3">
        <f>[1]Results!F238</f>
        <v>13.84348756</v>
      </c>
      <c r="D490" s="3">
        <f>[1]Results!G238</f>
        <v>13.4744572</v>
      </c>
      <c r="E490" s="3">
        <f>[1]Results!H238</f>
        <v>13.55210918</v>
      </c>
      <c r="F490" s="3">
        <f>[1]Results!I238</f>
        <v>13.67535324</v>
      </c>
      <c r="G490" s="3">
        <f>[1]Results!J238</f>
        <v>13.818274840000001</v>
      </c>
      <c r="H490" s="3">
        <f>[1]Results!K238</f>
        <v>13.975627530000001</v>
      </c>
      <c r="I490" s="3">
        <f>[1]Results!L238</f>
        <v>14.134356</v>
      </c>
      <c r="J490" s="3">
        <f>[1]Results!M238</f>
        <v>14.30053472</v>
      </c>
      <c r="K490" s="3">
        <f>[1]Results!N238</f>
        <v>14.473292130000001</v>
      </c>
      <c r="L490" s="3">
        <f>[1]Results!O238</f>
        <v>14.651443779999999</v>
      </c>
      <c r="M490" s="3">
        <f>[1]Results!P238</f>
        <v>14.851318709999999</v>
      </c>
      <c r="N490" s="3">
        <f>[1]Results!Q238</f>
        <v>15.03874701</v>
      </c>
      <c r="O490" s="3">
        <f>[1]Results!R238</f>
        <v>15.22706215</v>
      </c>
      <c r="P490" s="3">
        <f>[1]Results!S238</f>
        <v>15.4170347</v>
      </c>
      <c r="Q490" s="3">
        <f>[1]Results!T238</f>
        <v>15.60864533</v>
      </c>
      <c r="R490" s="3">
        <f>[1]Results!U238</f>
        <v>15.801821650000001</v>
      </c>
      <c r="S490" s="3">
        <f>[1]Results!V238</f>
        <v>15.99427794</v>
      </c>
      <c r="T490" s="3">
        <f>[1]Results!W238</f>
        <v>16.18814046</v>
      </c>
      <c r="U490" s="3">
        <f>[1]Results!X238</f>
        <v>16.383736750000001</v>
      </c>
      <c r="V490" s="3">
        <f>[1]Results!Y238</f>
        <v>16.581296219999999</v>
      </c>
      <c r="W490" s="3">
        <f>[1]Results!Z238</f>
        <v>16.768481139999999</v>
      </c>
      <c r="X490" s="3">
        <f>[1]Results!AA238</f>
        <v>16.968030200000001</v>
      </c>
      <c r="Y490" s="3">
        <f>[1]Results!AB238</f>
        <v>17.171466840000001</v>
      </c>
      <c r="Z490" s="3">
        <f>[1]Results!AC238</f>
        <v>17.378236090000001</v>
      </c>
      <c r="AA490" s="3">
        <f>[1]Results!AD238</f>
        <v>17.588355329999999</v>
      </c>
      <c r="AB490" s="3">
        <f>[1]Results!AE238</f>
        <v>17.766141749999999</v>
      </c>
      <c r="AC490" s="3">
        <f>[1]Results!AF238</f>
        <v>17.959723539999999</v>
      </c>
      <c r="AD490" s="3">
        <f>[1]Results!AG238</f>
        <v>18.156784160000001</v>
      </c>
      <c r="AE490" s="3">
        <f>[1]Results!AH238</f>
        <v>18.35680189</v>
      </c>
      <c r="AF490" s="3">
        <f>[1]Results!AI238</f>
        <v>18.55994626</v>
      </c>
      <c r="AG490" s="3">
        <f>[1]Results!AJ238</f>
        <v>18.766460210000002</v>
      </c>
      <c r="AH490" s="3">
        <f>[1]Results!AK238</f>
        <v>18.977054939999999</v>
      </c>
      <c r="AI490" s="3">
        <f>[1]Results!AL238</f>
        <v>19.19142128</v>
      </c>
      <c r="AJ490" s="3">
        <f>[1]Results!AM238</f>
        <v>19.409603350000001</v>
      </c>
      <c r="AK490" s="3">
        <f>[1]Results!AN238</f>
        <v>19.63162887</v>
      </c>
      <c r="AL490" s="3">
        <f>[1]Results!AO238</f>
        <v>19.85749697</v>
      </c>
      <c r="AM490" s="3">
        <f>[1]Results!AP238</f>
        <v>20.083194280000001</v>
      </c>
      <c r="AN490" s="3">
        <f>[1]Results!AQ238</f>
        <v>20.311283400000001</v>
      </c>
      <c r="AO490" s="3">
        <f>[1]Results!AR238</f>
        <v>20.542178589999999</v>
      </c>
      <c r="AP490" s="3">
        <f>[1]Results!AS238</f>
        <v>20.776053579999999</v>
      </c>
      <c r="AQ490" s="3">
        <f>[1]Results!AT238</f>
        <v>21.013016660000002</v>
      </c>
      <c r="AR490" s="3">
        <f>[1]Results!AU238</f>
        <v>21.253863209999999</v>
      </c>
      <c r="AS490" s="3">
        <f>[1]Results!AV238</f>
        <v>21.49802828</v>
      </c>
      <c r="AT490" s="3">
        <f>[1]Results!AW238</f>
        <v>21.745498300000001</v>
      </c>
      <c r="AU490" s="3">
        <f>[1]Results!AX238</f>
        <v>21.996284889999998</v>
      </c>
      <c r="AV490" s="3">
        <f>[1]Results!AY238</f>
        <v>22.25039529</v>
      </c>
      <c r="AW490" s="3">
        <f>[1]Results!AZ238</f>
        <v>22.511003420000002</v>
      </c>
      <c r="AX490" s="3">
        <f>[1]Results!BA238</f>
        <v>22.7754172</v>
      </c>
      <c r="AY490" s="3">
        <f>[1]Results!BB238</f>
        <v>23.043375269999999</v>
      </c>
      <c r="AZ490" s="3">
        <f>[1]Results!BC238</f>
        <v>23.314801320000001</v>
      </c>
      <c r="BA490" s="3">
        <f>[1]Results!BD238</f>
        <v>23.589661459999999</v>
      </c>
      <c r="BB490" s="3">
        <f>[1]Results!BE238</f>
        <v>23.869449500000002</v>
      </c>
      <c r="BC490" s="3">
        <f>[1]Results!BF238</f>
        <v>24.152852920000001</v>
      </c>
      <c r="BD490" s="3">
        <f>[1]Results!BG238</f>
        <v>24.439768140000002</v>
      </c>
      <c r="BE490" s="3">
        <f>[1]Results!BH238</f>
        <v>24.73018927</v>
      </c>
      <c r="BF490" s="3">
        <f>[1]Results!BI238</f>
        <v>25.02413782</v>
      </c>
    </row>
    <row r="491" spans="1:58" x14ac:dyDescent="0.3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</row>
    <row r="492" spans="1:58" x14ac:dyDescent="0.35">
      <c r="A492" s="12" t="s">
        <v>94</v>
      </c>
      <c r="B492" s="3" t="str">
        <f>[1]Results!E241</f>
        <v>YG_toe_0</v>
      </c>
      <c r="C492" s="3">
        <f>[1]Results!F241</f>
        <v>148.75390949999999</v>
      </c>
      <c r="D492" s="3">
        <f>[1]Results!G241</f>
        <v>147.05079620000001</v>
      </c>
      <c r="E492" s="3">
        <f>[1]Results!H241</f>
        <v>147.69487839999999</v>
      </c>
      <c r="F492" s="3">
        <f>[1]Results!I241</f>
        <v>148.60496240000001</v>
      </c>
      <c r="G492" s="3">
        <f>[1]Results!J241</f>
        <v>149.7280547</v>
      </c>
      <c r="H492" s="3">
        <f>[1]Results!K241</f>
        <v>151.04792879999999</v>
      </c>
      <c r="I492" s="3">
        <f>[1]Results!L241</f>
        <v>152.4538244</v>
      </c>
      <c r="J492" s="3">
        <f>[1]Results!M241</f>
        <v>153.96914559999999</v>
      </c>
      <c r="K492" s="3">
        <f>[1]Results!N241</f>
        <v>155.5725334</v>
      </c>
      <c r="L492" s="3">
        <f>[1]Results!O241</f>
        <v>157.2395271</v>
      </c>
      <c r="M492" s="3">
        <f>[1]Results!P241</f>
        <v>159.09457889999999</v>
      </c>
      <c r="N492" s="3">
        <f>[1]Results!Q241</f>
        <v>160.87909339999999</v>
      </c>
      <c r="O492" s="3">
        <f>[1]Results!R241</f>
        <v>162.6631907</v>
      </c>
      <c r="P492" s="3">
        <f>[1]Results!S241</f>
        <v>164.45035490000001</v>
      </c>
      <c r="Q492" s="3">
        <f>[1]Results!T241</f>
        <v>166.241195</v>
      </c>
      <c r="R492" s="3">
        <f>[1]Results!U241</f>
        <v>168.03641930000001</v>
      </c>
      <c r="S492" s="3">
        <f>[1]Results!V241</f>
        <v>169.83702640000001</v>
      </c>
      <c r="T492" s="3">
        <f>[1]Results!W241</f>
        <v>171.64427319999999</v>
      </c>
      <c r="U492" s="3">
        <f>[1]Results!X241</f>
        <v>173.4596779</v>
      </c>
      <c r="V492" s="3">
        <f>[1]Results!Y241</f>
        <v>175.28505770000001</v>
      </c>
      <c r="W492" s="3">
        <f>[1]Results!Z241</f>
        <v>177.01668219999999</v>
      </c>
      <c r="X492" s="3">
        <f>[1]Results!AA241</f>
        <v>178.83608609999999</v>
      </c>
      <c r="Y492" s="3">
        <f>[1]Results!AB241</f>
        <v>180.6858029</v>
      </c>
      <c r="Z492" s="3">
        <f>[1]Results!AC241</f>
        <v>182.561578</v>
      </c>
      <c r="AA492" s="3">
        <f>[1]Results!AD241</f>
        <v>184.46396200000001</v>
      </c>
      <c r="AB492" s="3">
        <f>[1]Results!AE241</f>
        <v>186.09191290000001</v>
      </c>
      <c r="AC492" s="3">
        <f>[1]Results!AF241</f>
        <v>187.81679800000001</v>
      </c>
      <c r="AD492" s="3">
        <f>[1]Results!AG241</f>
        <v>189.56590610000001</v>
      </c>
      <c r="AE492" s="3">
        <f>[1]Results!AH241</f>
        <v>191.3385031</v>
      </c>
      <c r="AF492" s="3">
        <f>[1]Results!AI241</f>
        <v>193.13787239999999</v>
      </c>
      <c r="AG492" s="3">
        <f>[1]Results!AJ241</f>
        <v>194.96763050000001</v>
      </c>
      <c r="AH492" s="3">
        <f>[1]Results!AK241</f>
        <v>196.83081189999999</v>
      </c>
      <c r="AI492" s="3">
        <f>[1]Results!AL241</f>
        <v>198.72958940000001</v>
      </c>
      <c r="AJ492" s="3">
        <f>[1]Results!AM241</f>
        <v>200.6655092</v>
      </c>
      <c r="AK492" s="3">
        <f>[1]Results!AN241</f>
        <v>202.6395334</v>
      </c>
      <c r="AL492" s="3">
        <f>[1]Results!AO241</f>
        <v>204.6521128</v>
      </c>
      <c r="AM492" s="3">
        <f>[1]Results!AP241</f>
        <v>206.6313237</v>
      </c>
      <c r="AN492" s="3">
        <f>[1]Results!AQ241</f>
        <v>208.62628369999999</v>
      </c>
      <c r="AO492" s="3">
        <f>[1]Results!AR241</f>
        <v>210.6449466</v>
      </c>
      <c r="AP492" s="3">
        <f>[1]Results!AS241</f>
        <v>212.69059200000001</v>
      </c>
      <c r="AQ492" s="3">
        <f>[1]Results!AT241</f>
        <v>214.76498520000001</v>
      </c>
      <c r="AR492" s="3">
        <f>[1]Results!AU241</f>
        <v>216.8692102</v>
      </c>
      <c r="AS492" s="3">
        <f>[1]Results!AV241</f>
        <v>219.0039146</v>
      </c>
      <c r="AT492" s="3">
        <f>[1]Results!AW241</f>
        <v>221.16942209999999</v>
      </c>
      <c r="AU492" s="3">
        <f>[1]Results!AX241</f>
        <v>223.36581749999999</v>
      </c>
      <c r="AV492" s="3">
        <f>[1]Results!AY241</f>
        <v>225.593233</v>
      </c>
      <c r="AW492" s="3">
        <f>[1]Results!AZ241</f>
        <v>227.85862710000001</v>
      </c>
      <c r="AX492" s="3">
        <f>[1]Results!BA241</f>
        <v>230.15821639999999</v>
      </c>
      <c r="AY492" s="3">
        <f>[1]Results!BB241</f>
        <v>232.4918208</v>
      </c>
      <c r="AZ492" s="3">
        <f>[1]Results!BC241</f>
        <v>234.85948389999999</v>
      </c>
      <c r="BA492" s="3">
        <f>[1]Results!BD241</f>
        <v>237.26123079999999</v>
      </c>
      <c r="BB492" s="3">
        <f>[1]Results!BE241</f>
        <v>239.69706909999999</v>
      </c>
      <c r="BC492" s="3">
        <f>[1]Results!BF241</f>
        <v>242.16703759999999</v>
      </c>
      <c r="BD492" s="3">
        <f>[1]Results!BG241</f>
        <v>244.6712473</v>
      </c>
      <c r="BE492" s="3">
        <f>[1]Results!BH241</f>
        <v>247.20990420000001</v>
      </c>
      <c r="BF492" s="3">
        <f>[1]Results!BI241</f>
        <v>249.7833158</v>
      </c>
    </row>
    <row r="493" spans="1:58" x14ac:dyDescent="0.35">
      <c r="A493" t="s">
        <v>38</v>
      </c>
      <c r="B493" s="3" t="str">
        <f>[1]Results!E242</f>
        <v>YG_toe_ccoa_0</v>
      </c>
      <c r="C493" s="3">
        <f>[1]Results!F242</f>
        <v>2.3953103800000002</v>
      </c>
      <c r="D493" s="3">
        <f>[1]Results!G242</f>
        <v>2.3460811349999999</v>
      </c>
      <c r="E493" s="3">
        <f>[1]Results!H242</f>
        <v>2.356987438</v>
      </c>
      <c r="F493" s="3">
        <f>[1]Results!I242</f>
        <v>2.381759508</v>
      </c>
      <c r="G493" s="3">
        <f>[1]Results!J242</f>
        <v>2.4115504959999998</v>
      </c>
      <c r="H493" s="3">
        <f>[1]Results!K242</f>
        <v>2.4443356719999998</v>
      </c>
      <c r="I493" s="3">
        <f>[1]Results!L242</f>
        <v>2.4779525640000002</v>
      </c>
      <c r="J493" s="3">
        <f>[1]Results!M242</f>
        <v>2.5129637809999998</v>
      </c>
      <c r="K493" s="3">
        <f>[1]Results!N242</f>
        <v>2.5492907370000002</v>
      </c>
      <c r="L493" s="3">
        <f>[1]Results!O242</f>
        <v>2.58675699</v>
      </c>
      <c r="M493" s="3">
        <f>[1]Results!P242</f>
        <v>2.6278004469999998</v>
      </c>
      <c r="N493" s="3">
        <f>[1]Results!Q242</f>
        <v>2.668037757</v>
      </c>
      <c r="O493" s="3">
        <f>[1]Results!R242</f>
        <v>2.7086944119999998</v>
      </c>
      <c r="P493" s="3">
        <f>[1]Results!S242</f>
        <v>2.7499378970000001</v>
      </c>
      <c r="Q493" s="3">
        <f>[1]Results!T242</f>
        <v>2.7917499100000001</v>
      </c>
      <c r="R493" s="3">
        <f>[1]Results!U242</f>
        <v>2.8340997780000001</v>
      </c>
      <c r="S493" s="3">
        <f>[1]Results!V242</f>
        <v>2.8769742169999999</v>
      </c>
      <c r="T493" s="3">
        <f>[1]Results!W242</f>
        <v>2.9203780269999999</v>
      </c>
      <c r="U493" s="3">
        <f>[1]Results!X242</f>
        <v>2.9643292460000001</v>
      </c>
      <c r="V493" s="3">
        <f>[1]Results!Y242</f>
        <v>3.008854071</v>
      </c>
      <c r="W493" s="3">
        <f>[1]Results!Z242</f>
        <v>3.0520962759999999</v>
      </c>
      <c r="X493" s="3">
        <f>[1]Results!AA242</f>
        <v>3.0972614730000001</v>
      </c>
      <c r="Y493" s="3">
        <f>[1]Results!AB242</f>
        <v>3.143375925</v>
      </c>
      <c r="Z493" s="3">
        <f>[1]Results!AC242</f>
        <v>3.1902725279999999</v>
      </c>
      <c r="AA493" s="3">
        <f>[1]Results!AD242</f>
        <v>3.2379413819999998</v>
      </c>
      <c r="AB493" s="3">
        <f>[1]Results!AE242</f>
        <v>3.2809396049999999</v>
      </c>
      <c r="AC493" s="3">
        <f>[1]Results!AF242</f>
        <v>3.3258700750000001</v>
      </c>
      <c r="AD493" s="3">
        <f>[1]Results!AG242</f>
        <v>3.3715749169999998</v>
      </c>
      <c r="AE493" s="3">
        <f>[1]Results!AH242</f>
        <v>3.4178725089999999</v>
      </c>
      <c r="AF493" s="3">
        <f>[1]Results!AI242</f>
        <v>3.4647725710000001</v>
      </c>
      <c r="AG493" s="3">
        <f>[1]Results!AJ242</f>
        <v>3.5123142610000002</v>
      </c>
      <c r="AH493" s="3">
        <f>[1]Results!AK242</f>
        <v>3.5605329480000001</v>
      </c>
      <c r="AI493" s="3">
        <f>[1]Results!AL242</f>
        <v>3.6094522410000001</v>
      </c>
      <c r="AJ493" s="3">
        <f>[1]Results!AM242</f>
        <v>3.6590858119999998</v>
      </c>
      <c r="AK493" s="3">
        <f>[1]Results!AN242</f>
        <v>3.7094387580000001</v>
      </c>
      <c r="AL493" s="3">
        <f>[1]Results!AO242</f>
        <v>3.760509528</v>
      </c>
      <c r="AM493" s="3">
        <f>[1]Results!AP242</f>
        <v>3.8109620959999999</v>
      </c>
      <c r="AN493" s="3">
        <f>[1]Results!AQ242</f>
        <v>3.8616758560000002</v>
      </c>
      <c r="AO493" s="3">
        <f>[1]Results!AR242</f>
        <v>3.9128348169999998</v>
      </c>
      <c r="AP493" s="3">
        <f>[1]Results!AS242</f>
        <v>3.9644866560000001</v>
      </c>
      <c r="AQ493" s="3">
        <f>[1]Results!AT242</f>
        <v>4.0166533040000001</v>
      </c>
      <c r="AR493" s="3">
        <f>[1]Results!AU242</f>
        <v>4.069351181</v>
      </c>
      <c r="AS493" s="3">
        <f>[1]Results!AV242</f>
        <v>4.1225940400000001</v>
      </c>
      <c r="AT493" s="3">
        <f>[1]Results!AW242</f>
        <v>4.1763928850000003</v>
      </c>
      <c r="AU493" s="3">
        <f>[1]Results!AX242</f>
        <v>4.2307559010000002</v>
      </c>
      <c r="AV493" s="3">
        <f>[1]Results!AY242</f>
        <v>4.2856886669999996</v>
      </c>
      <c r="AW493" s="3">
        <f>[1]Results!AZ242</f>
        <v>4.3413158960000002</v>
      </c>
      <c r="AX493" s="3">
        <f>[1]Results!BA242</f>
        <v>4.3975585969999997</v>
      </c>
      <c r="AY493" s="3">
        <f>[1]Results!BB242</f>
        <v>4.4544009210000004</v>
      </c>
      <c r="AZ493" s="3">
        <f>[1]Results!BC242</f>
        <v>4.511840104</v>
      </c>
      <c r="BA493" s="3">
        <f>[1]Results!BD242</f>
        <v>4.5698769410000004</v>
      </c>
      <c r="BB493" s="3">
        <f>[1]Results!BE242</f>
        <v>4.6285142549999998</v>
      </c>
      <c r="BC493" s="3">
        <f>[1]Results!BF242</f>
        <v>4.6877567879999997</v>
      </c>
      <c r="BD493" s="3">
        <f>[1]Results!BG242</f>
        <v>4.7476112439999998</v>
      </c>
      <c r="BE493" s="3">
        <f>[1]Results!BH242</f>
        <v>4.8080862529999999</v>
      </c>
      <c r="BF493" s="3">
        <f>[1]Results!BI242</f>
        <v>4.8691922239999998</v>
      </c>
    </row>
    <row r="494" spans="1:58" x14ac:dyDescent="0.35">
      <c r="B494" s="3" t="s">
        <v>74</v>
      </c>
      <c r="C494" s="3">
        <f>SUM(C495:C497)</f>
        <v>51.443956</v>
      </c>
      <c r="D494" s="3">
        <f t="shared" ref="D494:AL494" si="305">SUM(D495:D497)</f>
        <v>50.754609343000006</v>
      </c>
      <c r="E494" s="3">
        <f t="shared" si="305"/>
        <v>50.885511219000001</v>
      </c>
      <c r="F494" s="3">
        <f t="shared" si="305"/>
        <v>51.133984453999993</v>
      </c>
      <c r="G494" s="3">
        <f t="shared" si="305"/>
        <v>51.479628147000007</v>
      </c>
      <c r="H494" s="3">
        <f t="shared" si="305"/>
        <v>51.911984924000002</v>
      </c>
      <c r="I494" s="3">
        <f t="shared" si="305"/>
        <v>52.392752131999998</v>
      </c>
      <c r="J494" s="3">
        <f t="shared" si="305"/>
        <v>52.925094858000001</v>
      </c>
      <c r="K494" s="3">
        <f t="shared" si="305"/>
        <v>53.499343214</v>
      </c>
      <c r="L494" s="3">
        <f t="shared" si="305"/>
        <v>54.106258506000003</v>
      </c>
      <c r="M494" s="3">
        <f t="shared" si="305"/>
        <v>54.783618586000003</v>
      </c>
      <c r="N494" s="3">
        <f t="shared" si="305"/>
        <v>55.452588828000003</v>
      </c>
      <c r="O494" s="3">
        <f t="shared" si="305"/>
        <v>56.133839657999999</v>
      </c>
      <c r="P494" s="3">
        <f t="shared" si="305"/>
        <v>56.826045813999997</v>
      </c>
      <c r="Q494" s="3">
        <f t="shared" si="305"/>
        <v>57.527273481999998</v>
      </c>
      <c r="R494" s="3">
        <f t="shared" si="305"/>
        <v>58.236008313000006</v>
      </c>
      <c r="S494" s="3">
        <f t="shared" si="305"/>
        <v>58.951202823000003</v>
      </c>
      <c r="T494" s="3">
        <f t="shared" si="305"/>
        <v>59.672180576999999</v>
      </c>
      <c r="U494" s="3">
        <f t="shared" si="305"/>
        <v>60.398549447999997</v>
      </c>
      <c r="V494" s="3">
        <f t="shared" si="305"/>
        <v>61.130138661000004</v>
      </c>
      <c r="W494" s="3">
        <f t="shared" si="305"/>
        <v>61.834476033000001</v>
      </c>
      <c r="X494" s="3">
        <f t="shared" si="305"/>
        <v>62.566221507000002</v>
      </c>
      <c r="Y494" s="3">
        <f t="shared" si="305"/>
        <v>63.306819897999993</v>
      </c>
      <c r="Z494" s="3">
        <f t="shared" si="305"/>
        <v>64.055090097000004</v>
      </c>
      <c r="AA494" s="3">
        <f t="shared" si="305"/>
        <v>64.811087740000005</v>
      </c>
      <c r="AB494" s="3">
        <f t="shared" si="305"/>
        <v>65.481546058000006</v>
      </c>
      <c r="AC494" s="3">
        <f t="shared" si="305"/>
        <v>66.17962819600001</v>
      </c>
      <c r="AD494" s="3">
        <f t="shared" si="305"/>
        <v>66.880952983</v>
      </c>
      <c r="AE494" s="3">
        <f t="shared" si="305"/>
        <v>67.585694900000007</v>
      </c>
      <c r="AF494" s="3">
        <f t="shared" si="305"/>
        <v>68.295319883000005</v>
      </c>
      <c r="AG494" s="3">
        <f t="shared" si="305"/>
        <v>69.011341260000009</v>
      </c>
      <c r="AH494" s="3">
        <f t="shared" si="305"/>
        <v>69.735038302999996</v>
      </c>
      <c r="AI494" s="3">
        <f t="shared" si="305"/>
        <v>70.467374300000003</v>
      </c>
      <c r="AJ494" s="3">
        <f t="shared" si="305"/>
        <v>71.209084773000001</v>
      </c>
      <c r="AK494" s="3">
        <f t="shared" si="305"/>
        <v>71.960707447000004</v>
      </c>
      <c r="AL494" s="3">
        <f t="shared" si="305"/>
        <v>72.722617808999999</v>
      </c>
      <c r="AM494" s="3">
        <f t="shared" ref="AM494:BC494" si="306">SUM(AM495:AM497)</f>
        <v>73.47255973099999</v>
      </c>
      <c r="AN494" s="3">
        <f t="shared" si="306"/>
        <v>74.225865771000002</v>
      </c>
      <c r="AO494" s="3">
        <f t="shared" si="306"/>
        <v>74.98477235499999</v>
      </c>
      <c r="AP494" s="3">
        <f t="shared" si="306"/>
        <v>75.750425356000008</v>
      </c>
      <c r="AQ494" s="3">
        <f t="shared" si="306"/>
        <v>76.523685220999994</v>
      </c>
      <c r="AR494" s="3">
        <f t="shared" si="306"/>
        <v>77.305264761999993</v>
      </c>
      <c r="AS494" s="3">
        <f t="shared" si="306"/>
        <v>78.095741217000011</v>
      </c>
      <c r="AT494" s="3">
        <f t="shared" si="306"/>
        <v>78.895557552000014</v>
      </c>
      <c r="AU494" s="3">
        <f t="shared" si="306"/>
        <v>79.705034632000007</v>
      </c>
      <c r="AV494" s="3">
        <f t="shared" si="306"/>
        <v>80.524413304000007</v>
      </c>
      <c r="AW494" s="3">
        <f t="shared" si="306"/>
        <v>81.355935118000005</v>
      </c>
      <c r="AX494" s="3">
        <f t="shared" si="306"/>
        <v>82.198396696000003</v>
      </c>
      <c r="AY494" s="3">
        <f t="shared" si="306"/>
        <v>83.051734058000008</v>
      </c>
      <c r="AZ494" s="3">
        <f t="shared" si="306"/>
        <v>83.915937229000008</v>
      </c>
      <c r="BA494" s="3">
        <f t="shared" si="306"/>
        <v>84.790991418999994</v>
      </c>
      <c r="BB494" s="3">
        <f t="shared" si="306"/>
        <v>85.676879716000002</v>
      </c>
      <c r="BC494" s="3">
        <f t="shared" si="306"/>
        <v>86.573594081999985</v>
      </c>
      <c r="BD494" s="3">
        <f t="shared" ref="BD494:BF494" si="307">SUM(BD495:BD497)</f>
        <v>87.481143502999998</v>
      </c>
      <c r="BE494" s="3">
        <f t="shared" si="307"/>
        <v>88.399557554000012</v>
      </c>
      <c r="BF494" s="3">
        <f t="shared" si="307"/>
        <v>89.328886485999988</v>
      </c>
    </row>
    <row r="495" spans="1:58" x14ac:dyDescent="0.35">
      <c r="B495" s="3" t="str">
        <f>[1]Results!E245</f>
        <v>YG_toe_ccoi_0</v>
      </c>
      <c r="C495" s="3">
        <f>[1]Results!F245</f>
        <v>1.0973689259999999</v>
      </c>
      <c r="D495" s="3">
        <f>[1]Results!G245</f>
        <v>1.081231807</v>
      </c>
      <c r="E495" s="3">
        <f>[1]Results!H245</f>
        <v>1.0825688149999999</v>
      </c>
      <c r="F495" s="3">
        <f>[1]Results!I245</f>
        <v>1.088538185</v>
      </c>
      <c r="G495" s="3">
        <f>[1]Results!J245</f>
        <v>1.0967973150000001</v>
      </c>
      <c r="H495" s="3">
        <f>[1]Results!K245</f>
        <v>1.1068189159999999</v>
      </c>
      <c r="I495" s="3">
        <f>[1]Results!L245</f>
        <v>1.1177504309999999</v>
      </c>
      <c r="J495" s="3">
        <f>[1]Results!M245</f>
        <v>1.1296438980000001</v>
      </c>
      <c r="K495" s="3">
        <f>[1]Results!N245</f>
        <v>1.142343551</v>
      </c>
      <c r="L495" s="3">
        <f>[1]Results!O245</f>
        <v>1.1556687569999999</v>
      </c>
      <c r="M495" s="3">
        <f>[1]Results!P245</f>
        <v>1.1704462470000001</v>
      </c>
      <c r="N495" s="3">
        <f>[1]Results!Q245</f>
        <v>1.1850323819999999</v>
      </c>
      <c r="O495" s="3">
        <f>[1]Results!R245</f>
        <v>1.199765129</v>
      </c>
      <c r="P495" s="3">
        <f>[1]Results!S245</f>
        <v>1.2146845040000001</v>
      </c>
      <c r="Q495" s="3">
        <f>[1]Results!T245</f>
        <v>1.229772262</v>
      </c>
      <c r="R495" s="3">
        <f>[1]Results!U245</f>
        <v>1.245008447</v>
      </c>
      <c r="S495" s="3">
        <f>[1]Results!V245</f>
        <v>1.2603797349999999</v>
      </c>
      <c r="T495" s="3">
        <f>[1]Results!W245</f>
        <v>1.2758788940000001</v>
      </c>
      <c r="U495" s="3">
        <f>[1]Results!X245</f>
        <v>1.291503426</v>
      </c>
      <c r="V495" s="3">
        <f>[1]Results!Y245</f>
        <v>1.307254524</v>
      </c>
      <c r="W495" s="3">
        <f>[1]Results!Z245</f>
        <v>1.3224335190000001</v>
      </c>
      <c r="X495" s="3">
        <f>[1]Results!AA245</f>
        <v>1.338187818</v>
      </c>
      <c r="Y495" s="3">
        <f>[1]Results!AB245</f>
        <v>1.3542071470000001</v>
      </c>
      <c r="Z495" s="3">
        <f>[1]Results!AC245</f>
        <v>1.3704246309999999</v>
      </c>
      <c r="AA495" s="3">
        <f>[1]Results!AD245</f>
        <v>1.3868338870000001</v>
      </c>
      <c r="AB495" s="3">
        <f>[1]Results!AE245</f>
        <v>1.4014167319999999</v>
      </c>
      <c r="AC495" s="3">
        <f>[1]Results!AF245</f>
        <v>1.4165107779999999</v>
      </c>
      <c r="AD495" s="3">
        <f>[1]Results!AG245</f>
        <v>1.431791732</v>
      </c>
      <c r="AE495" s="3">
        <f>[1]Results!AH245</f>
        <v>1.447206196</v>
      </c>
      <c r="AF495" s="3">
        <f>[1]Results!AI245</f>
        <v>1.4627687629999999</v>
      </c>
      <c r="AG495" s="3">
        <f>[1]Results!AJ245</f>
        <v>1.47850496</v>
      </c>
      <c r="AH495" s="3">
        <f>[1]Results!AK245</f>
        <v>1.4944380930000001</v>
      </c>
      <c r="AI495" s="3">
        <f>[1]Results!AL245</f>
        <v>1.5105857</v>
      </c>
      <c r="AJ495" s="3">
        <f>[1]Results!AM245</f>
        <v>1.526961083</v>
      </c>
      <c r="AK495" s="3">
        <f>[1]Results!AN245</f>
        <v>1.5435738569999999</v>
      </c>
      <c r="AL495" s="3">
        <f>[1]Results!AO245</f>
        <v>1.5604305089999999</v>
      </c>
      <c r="AM495" s="3">
        <f>[1]Results!AP245</f>
        <v>1.5770477009999999</v>
      </c>
      <c r="AN495" s="3">
        <f>[1]Results!AQ245</f>
        <v>1.593728721</v>
      </c>
      <c r="AO495" s="3">
        <f>[1]Results!AR245</f>
        <v>1.6105551549999999</v>
      </c>
      <c r="AP495" s="3">
        <f>[1]Results!AS245</f>
        <v>1.6275552959999999</v>
      </c>
      <c r="AQ495" s="3">
        <f>[1]Results!AT245</f>
        <v>1.6447452010000001</v>
      </c>
      <c r="AR495" s="3">
        <f>[1]Results!AU245</f>
        <v>1.6621370120000001</v>
      </c>
      <c r="AS495" s="3">
        <f>[1]Results!AV245</f>
        <v>1.6797403470000001</v>
      </c>
      <c r="AT495" s="3">
        <f>[1]Results!AW245</f>
        <v>1.697562512</v>
      </c>
      <c r="AU495" s="3">
        <f>[1]Results!AX245</f>
        <v>1.715608732</v>
      </c>
      <c r="AV495" s="3">
        <f>[1]Results!AY245</f>
        <v>1.7338830940000001</v>
      </c>
      <c r="AW495" s="3">
        <f>[1]Results!AZ245</f>
        <v>1.7524337780000001</v>
      </c>
      <c r="AX495" s="3">
        <f>[1]Results!BA245</f>
        <v>1.7712373159999999</v>
      </c>
      <c r="AY495" s="3">
        <f>[1]Results!BB245</f>
        <v>1.790289528</v>
      </c>
      <c r="AZ495" s="3">
        <f>[1]Results!BC245</f>
        <v>1.8095901190000001</v>
      </c>
      <c r="BA495" s="3">
        <f>[1]Results!BD245</f>
        <v>1.829139179</v>
      </c>
      <c r="BB495" s="3">
        <f>[1]Results!BE245</f>
        <v>1.8489367560000001</v>
      </c>
      <c r="BC495" s="3">
        <f>[1]Results!BF245</f>
        <v>1.8689830220000001</v>
      </c>
      <c r="BD495" s="3">
        <f>[1]Results!BG245</f>
        <v>1.8892784629999999</v>
      </c>
      <c r="BE495" s="3">
        <f>[1]Results!BH245</f>
        <v>1.909823974</v>
      </c>
      <c r="BF495" s="3">
        <f>[1]Results!BI245</f>
        <v>1.930620886</v>
      </c>
    </row>
    <row r="496" spans="1:58" x14ac:dyDescent="0.35">
      <c r="B496" s="3" t="str">
        <f>[1]Results!E248</f>
        <v>YG_toe_cfut_0</v>
      </c>
      <c r="C496" s="3">
        <f>[1]Results!F248</f>
        <v>42.403763189999999</v>
      </c>
      <c r="D496" s="3">
        <f>[1]Results!G248</f>
        <v>41.768581060000002</v>
      </c>
      <c r="E496" s="3">
        <f>[1]Results!H248</f>
        <v>41.871391510000002</v>
      </c>
      <c r="F496" s="3">
        <f>[1]Results!I248</f>
        <v>42.076055959999998</v>
      </c>
      <c r="G496" s="3">
        <f>[1]Results!J248</f>
        <v>42.366661440000001</v>
      </c>
      <c r="H496" s="3">
        <f>[1]Results!K248</f>
        <v>42.73327518</v>
      </c>
      <c r="I496" s="3">
        <f>[1]Results!L248</f>
        <v>43.143070160000001</v>
      </c>
      <c r="J496" s="3">
        <f>[1]Results!M248</f>
        <v>43.598111090000003</v>
      </c>
      <c r="K496" s="3">
        <f>[1]Results!N248</f>
        <v>44.089741619999998</v>
      </c>
      <c r="L496" s="3">
        <f>[1]Results!O248</f>
        <v>44.61037838</v>
      </c>
      <c r="M496" s="3">
        <f>[1]Results!P248</f>
        <v>45.190135179999999</v>
      </c>
      <c r="N496" s="3">
        <f>[1]Results!Q248</f>
        <v>45.763196090000001</v>
      </c>
      <c r="O496" s="3">
        <f>[1]Results!R248</f>
        <v>46.347822770000001</v>
      </c>
      <c r="P496" s="3">
        <f>[1]Results!S248</f>
        <v>46.942564249999997</v>
      </c>
      <c r="Q496" s="3">
        <f>[1]Results!T248</f>
        <v>47.545530720000002</v>
      </c>
      <c r="R496" s="3">
        <f>[1]Results!U248</f>
        <v>48.155218660000003</v>
      </c>
      <c r="S496" s="3">
        <f>[1]Results!V248</f>
        <v>48.770573509999998</v>
      </c>
      <c r="T496" s="3">
        <f>[1]Results!W248</f>
        <v>49.390912319999998</v>
      </c>
      <c r="U496" s="3">
        <f>[1]Results!X248</f>
        <v>50.015836929999999</v>
      </c>
      <c r="V496" s="3">
        <f>[1]Results!Y248</f>
        <v>50.64516287</v>
      </c>
      <c r="W496" s="3">
        <f>[1]Results!Z248</f>
        <v>51.252015229999998</v>
      </c>
      <c r="X496" s="3">
        <f>[1]Results!AA248</f>
        <v>51.882012830000001</v>
      </c>
      <c r="Y496" s="3">
        <f>[1]Results!AB248</f>
        <v>52.518984289999999</v>
      </c>
      <c r="Z496" s="3">
        <f>[1]Results!AC248</f>
        <v>53.162162960000003</v>
      </c>
      <c r="AA496" s="3">
        <f>[1]Results!AD248</f>
        <v>53.811652979999998</v>
      </c>
      <c r="AB496" s="3">
        <f>[1]Results!AE248</f>
        <v>54.39023057</v>
      </c>
      <c r="AC496" s="3">
        <f>[1]Results!AF248</f>
        <v>54.992876600000002</v>
      </c>
      <c r="AD496" s="3">
        <f>[1]Results!AG248</f>
        <v>55.59767592</v>
      </c>
      <c r="AE496" s="3">
        <f>[1]Results!AH248</f>
        <v>56.204946960000001</v>
      </c>
      <c r="AF496" s="3">
        <f>[1]Results!AI248</f>
        <v>56.81597764</v>
      </c>
      <c r="AG496" s="3">
        <f>[1]Results!AJ248</f>
        <v>57.432063120000002</v>
      </c>
      <c r="AH496" s="3">
        <f>[1]Results!AK248</f>
        <v>58.054290350000002</v>
      </c>
      <c r="AI496" s="3">
        <f>[1]Results!AL248</f>
        <v>58.683506749999999</v>
      </c>
      <c r="AJ496" s="3">
        <f>[1]Results!AM248</f>
        <v>59.320344040000002</v>
      </c>
      <c r="AK496" s="3">
        <f>[1]Results!AN248</f>
        <v>59.965255790000001</v>
      </c>
      <c r="AL496" s="3">
        <f>[1]Results!AO248</f>
        <v>60.61855722</v>
      </c>
      <c r="AM496" s="3">
        <f>[1]Results!AP248</f>
        <v>61.261773239999997</v>
      </c>
      <c r="AN496" s="3">
        <f>[1]Results!AQ248</f>
        <v>61.90797096</v>
      </c>
      <c r="AO496" s="3">
        <f>[1]Results!AR248</f>
        <v>62.558797159999997</v>
      </c>
      <c r="AP496" s="3">
        <f>[1]Results!AS248</f>
        <v>63.21515059</v>
      </c>
      <c r="AQ496" s="3">
        <f>[1]Results!AT248</f>
        <v>63.87775371</v>
      </c>
      <c r="AR496" s="3">
        <f>[1]Results!AU248</f>
        <v>64.547231159999995</v>
      </c>
      <c r="AS496" s="3">
        <f>[1]Results!AV248</f>
        <v>65.224104019999999</v>
      </c>
      <c r="AT496" s="3">
        <f>[1]Results!AW248</f>
        <v>65.908782970000004</v>
      </c>
      <c r="AU496" s="3">
        <f>[1]Results!AX248</f>
        <v>66.601573000000002</v>
      </c>
      <c r="AV496" s="3">
        <f>[1]Results!AY248</f>
        <v>67.302689360000002</v>
      </c>
      <c r="AW496" s="3">
        <f>[1]Results!AZ248</f>
        <v>68.013967050000005</v>
      </c>
      <c r="AX496" s="3">
        <f>[1]Results!BA248</f>
        <v>68.734323860000003</v>
      </c>
      <c r="AY496" s="3">
        <f>[1]Results!BB248</f>
        <v>69.463677820000001</v>
      </c>
      <c r="AZ496" s="3">
        <f>[1]Results!BC248</f>
        <v>70.201990469999998</v>
      </c>
      <c r="BA496" s="3">
        <f>[1]Results!BD248</f>
        <v>70.949226870000004</v>
      </c>
      <c r="BB496" s="3">
        <f>[1]Results!BE248</f>
        <v>71.705357680000006</v>
      </c>
      <c r="BC496" s="3">
        <f>[1]Results!BF248</f>
        <v>72.470365799999996</v>
      </c>
      <c r="BD496" s="3">
        <f>[1]Results!BG248</f>
        <v>73.244250600000001</v>
      </c>
      <c r="BE496" s="3">
        <f>[1]Results!BH248</f>
        <v>74.027029040000002</v>
      </c>
      <c r="BF496" s="3">
        <f>[1]Results!BI248</f>
        <v>74.818734539999994</v>
      </c>
    </row>
    <row r="497" spans="1:58" x14ac:dyDescent="0.35">
      <c r="B497" s="3" t="str">
        <f>[1]Results!E251</f>
        <v>YG_toe_cfuh_0</v>
      </c>
      <c r="C497" s="3">
        <f>[1]Results!F251</f>
        <v>7.9428238840000001</v>
      </c>
      <c r="D497" s="3">
        <f>[1]Results!G251</f>
        <v>7.9047964759999996</v>
      </c>
      <c r="E497" s="3">
        <f>[1]Results!H251</f>
        <v>7.9315508939999999</v>
      </c>
      <c r="F497" s="3">
        <f>[1]Results!I251</f>
        <v>7.9693903089999996</v>
      </c>
      <c r="G497" s="3">
        <f>[1]Results!J251</f>
        <v>8.0161693920000001</v>
      </c>
      <c r="H497" s="3">
        <f>[1]Results!K251</f>
        <v>8.0718908280000008</v>
      </c>
      <c r="I497" s="3">
        <f>[1]Results!L251</f>
        <v>8.1319315410000002</v>
      </c>
      <c r="J497" s="3">
        <f>[1]Results!M251</f>
        <v>8.1973398700000004</v>
      </c>
      <c r="K497" s="3">
        <f>[1]Results!N251</f>
        <v>8.267258043</v>
      </c>
      <c r="L497" s="3">
        <f>[1]Results!O251</f>
        <v>8.3402113690000004</v>
      </c>
      <c r="M497" s="3">
        <f>[1]Results!P251</f>
        <v>8.4230371589999997</v>
      </c>
      <c r="N497" s="3">
        <f>[1]Results!Q251</f>
        <v>8.5043603559999994</v>
      </c>
      <c r="O497" s="3">
        <f>[1]Results!R251</f>
        <v>8.5862517589999996</v>
      </c>
      <c r="P497" s="3">
        <f>[1]Results!S251</f>
        <v>8.6687970599999993</v>
      </c>
      <c r="Q497" s="3">
        <f>[1]Results!T251</f>
        <v>8.7519705000000005</v>
      </c>
      <c r="R497" s="3">
        <f>[1]Results!U251</f>
        <v>8.8357812060000001</v>
      </c>
      <c r="S497" s="3">
        <f>[1]Results!V251</f>
        <v>8.920249578</v>
      </c>
      <c r="T497" s="3">
        <f>[1]Results!W251</f>
        <v>9.0053893630000008</v>
      </c>
      <c r="U497" s="3">
        <f>[1]Results!X251</f>
        <v>9.0912090919999997</v>
      </c>
      <c r="V497" s="3">
        <f>[1]Results!Y251</f>
        <v>9.1777212670000008</v>
      </c>
      <c r="W497" s="3">
        <f>[1]Results!Z251</f>
        <v>9.2600272839999995</v>
      </c>
      <c r="X497" s="3">
        <f>[1]Results!AA251</f>
        <v>9.3460208589999993</v>
      </c>
      <c r="Y497" s="3">
        <f>[1]Results!AB251</f>
        <v>9.4336284609999996</v>
      </c>
      <c r="Z497" s="3">
        <f>[1]Results!AC251</f>
        <v>9.5225025060000004</v>
      </c>
      <c r="AA497" s="3">
        <f>[1]Results!AD251</f>
        <v>9.6126008729999999</v>
      </c>
      <c r="AB497" s="3">
        <f>[1]Results!AE251</f>
        <v>9.6898987559999998</v>
      </c>
      <c r="AC497" s="3">
        <f>[1]Results!AF251</f>
        <v>9.7702408179999995</v>
      </c>
      <c r="AD497" s="3">
        <f>[1]Results!AG251</f>
        <v>9.8514853309999992</v>
      </c>
      <c r="AE497" s="3">
        <f>[1]Results!AH251</f>
        <v>9.9335417439999993</v>
      </c>
      <c r="AF497" s="3">
        <f>[1]Results!AI251</f>
        <v>10.01657348</v>
      </c>
      <c r="AG497" s="3">
        <f>[1]Results!AJ251</f>
        <v>10.100773179999999</v>
      </c>
      <c r="AH497" s="3">
        <f>[1]Results!AK251</f>
        <v>10.18630986</v>
      </c>
      <c r="AI497" s="3">
        <f>[1]Results!AL251</f>
        <v>10.27328185</v>
      </c>
      <c r="AJ497" s="3">
        <f>[1]Results!AM251</f>
        <v>10.361779650000001</v>
      </c>
      <c r="AK497" s="3">
        <f>[1]Results!AN251</f>
        <v>10.4518778</v>
      </c>
      <c r="AL497" s="3">
        <f>[1]Results!AO251</f>
        <v>10.54363008</v>
      </c>
      <c r="AM497" s="3">
        <f>[1]Results!AP251</f>
        <v>10.633738790000001</v>
      </c>
      <c r="AN497" s="3">
        <f>[1]Results!AQ251</f>
        <v>10.724166090000001</v>
      </c>
      <c r="AO497" s="3">
        <f>[1]Results!AR251</f>
        <v>10.815420039999999</v>
      </c>
      <c r="AP497" s="3">
        <f>[1]Results!AS251</f>
        <v>10.90771947</v>
      </c>
      <c r="AQ497" s="3">
        <f>[1]Results!AT251</f>
        <v>11.00118631</v>
      </c>
      <c r="AR497" s="3">
        <f>[1]Results!AU251</f>
        <v>11.095896590000001</v>
      </c>
      <c r="AS497" s="3">
        <f>[1]Results!AV251</f>
        <v>11.191896849999999</v>
      </c>
      <c r="AT497" s="3">
        <f>[1]Results!AW251</f>
        <v>11.28921207</v>
      </c>
      <c r="AU497" s="3">
        <f>[1]Results!AX251</f>
        <v>11.3878529</v>
      </c>
      <c r="AV497" s="3">
        <f>[1]Results!AY251</f>
        <v>11.48784085</v>
      </c>
      <c r="AW497" s="3">
        <f>[1]Results!AZ251</f>
        <v>11.58953429</v>
      </c>
      <c r="AX497" s="3">
        <f>[1]Results!BA251</f>
        <v>11.692835519999999</v>
      </c>
      <c r="AY497" s="3">
        <f>[1]Results!BB251</f>
        <v>11.797766709999999</v>
      </c>
      <c r="AZ497" s="3">
        <f>[1]Results!BC251</f>
        <v>11.90435664</v>
      </c>
      <c r="BA497" s="3">
        <f>[1]Results!BD251</f>
        <v>12.01262537</v>
      </c>
      <c r="BB497" s="3">
        <f>[1]Results!BE251</f>
        <v>12.122585279999999</v>
      </c>
      <c r="BC497" s="3">
        <f>[1]Results!BF251</f>
        <v>12.23424526</v>
      </c>
      <c r="BD497" s="3">
        <f>[1]Results!BG251</f>
        <v>12.347614439999999</v>
      </c>
      <c r="BE497" s="3">
        <f>[1]Results!BH251</f>
        <v>12.462704540000001</v>
      </c>
      <c r="BF497" s="3">
        <f>[1]Results!BI251</f>
        <v>12.579531060000001</v>
      </c>
    </row>
    <row r="498" spans="1:58" x14ac:dyDescent="0.35">
      <c r="B498" s="3" t="str">
        <f>[1]Results!E253</f>
        <v>YG_toe_cgas_0</v>
      </c>
      <c r="C498" s="3">
        <f>[1]Results!F253</f>
        <v>6.6062603260000001</v>
      </c>
      <c r="D498" s="3">
        <f>[1]Results!G253</f>
        <v>6.4631010529999999</v>
      </c>
      <c r="E498" s="3">
        <f>[1]Results!H253</f>
        <v>6.5330241029999998</v>
      </c>
      <c r="F498" s="3">
        <f>[1]Results!I253</f>
        <v>6.5673077400000004</v>
      </c>
      <c r="G498" s="3">
        <f>[1]Results!J253</f>
        <v>6.5885733340000003</v>
      </c>
      <c r="H498" s="3">
        <f>[1]Results!K253</f>
        <v>6.6024655619999999</v>
      </c>
      <c r="I498" s="3">
        <f>[1]Results!L253</f>
        <v>6.6066502070000004</v>
      </c>
      <c r="J498" s="3">
        <f>[1]Results!M253</f>
        <v>6.607018418</v>
      </c>
      <c r="K498" s="3">
        <f>[1]Results!N253</f>
        <v>6.6042653199999997</v>
      </c>
      <c r="L498" s="3">
        <f>[1]Results!O253</f>
        <v>6.5984277809999998</v>
      </c>
      <c r="M498" s="3">
        <f>[1]Results!P253</f>
        <v>6.5979852020000003</v>
      </c>
      <c r="N498" s="3">
        <f>[1]Results!Q253</f>
        <v>6.5869173569999999</v>
      </c>
      <c r="O498" s="3">
        <f>[1]Results!R253</f>
        <v>6.5731744020000002</v>
      </c>
      <c r="P498" s="3">
        <f>[1]Results!S253</f>
        <v>6.557424299</v>
      </c>
      <c r="Q498" s="3">
        <f>[1]Results!T253</f>
        <v>6.5410113330000001</v>
      </c>
      <c r="R498" s="3">
        <f>[1]Results!U253</f>
        <v>6.5251263169999998</v>
      </c>
      <c r="S498" s="3">
        <f>[1]Results!V253</f>
        <v>6.5105494720000001</v>
      </c>
      <c r="T498" s="3">
        <f>[1]Results!W253</f>
        <v>6.4976582680000003</v>
      </c>
      <c r="U498" s="3">
        <f>[1]Results!X253</f>
        <v>6.4865348049999998</v>
      </c>
      <c r="V498" s="3">
        <f>[1]Results!Y253</f>
        <v>6.4770835800000004</v>
      </c>
      <c r="W498" s="3">
        <f>[1]Results!Z253</f>
        <v>6.4638852619999998</v>
      </c>
      <c r="X498" s="3">
        <f>[1]Results!AA253</f>
        <v>6.457850884</v>
      </c>
      <c r="Y498" s="3">
        <f>[1]Results!AB253</f>
        <v>6.4527640450000003</v>
      </c>
      <c r="Z498" s="3">
        <f>[1]Results!AC253</f>
        <v>6.4485159879999996</v>
      </c>
      <c r="AA498" s="3">
        <f>[1]Results!AD253</f>
        <v>6.44489365</v>
      </c>
      <c r="AB498" s="3">
        <f>[1]Results!AE253</f>
        <v>6.427011051</v>
      </c>
      <c r="AC498" s="3">
        <f>[1]Results!AF253</f>
        <v>6.4194145249999996</v>
      </c>
      <c r="AD498" s="3">
        <f>[1]Results!AG253</f>
        <v>6.4126802620000003</v>
      </c>
      <c r="AE498" s="3">
        <f>[1]Results!AH253</f>
        <v>6.4067986130000003</v>
      </c>
      <c r="AF498" s="3">
        <f>[1]Results!AI253</f>
        <v>6.4014018540000004</v>
      </c>
      <c r="AG498" s="3">
        <f>[1]Results!AJ253</f>
        <v>6.3961726829999996</v>
      </c>
      <c r="AH498" s="3">
        <f>[1]Results!AK253</f>
        <v>6.3908830920000002</v>
      </c>
      <c r="AI498" s="3">
        <f>[1]Results!AL253</f>
        <v>6.3853164759999999</v>
      </c>
      <c r="AJ498" s="3">
        <f>[1]Results!AM253</f>
        <v>6.3794058890000001</v>
      </c>
      <c r="AK498" s="3">
        <f>[1]Results!AN253</f>
        <v>6.373166264</v>
      </c>
      <c r="AL498" s="3">
        <f>[1]Results!AO253</f>
        <v>6.3666507579999996</v>
      </c>
      <c r="AM498" s="3">
        <f>[1]Results!AP253</f>
        <v>6.3565130109999997</v>
      </c>
      <c r="AN498" s="3">
        <f>[1]Results!AQ253</f>
        <v>6.3467430770000002</v>
      </c>
      <c r="AO498" s="3">
        <f>[1]Results!AR253</f>
        <v>6.3372049549999998</v>
      </c>
      <c r="AP498" s="3">
        <f>[1]Results!AS253</f>
        <v>6.3278207630000001</v>
      </c>
      <c r="AQ498" s="3">
        <f>[1]Results!AT253</f>
        <v>6.3184459730000002</v>
      </c>
      <c r="AR498" s="3">
        <f>[1]Results!AU253</f>
        <v>6.3089042539999998</v>
      </c>
      <c r="AS498" s="3">
        <f>[1]Results!AV253</f>
        <v>6.2990214330000001</v>
      </c>
      <c r="AT498" s="3">
        <f>[1]Results!AW253</f>
        <v>6.2886448880000003</v>
      </c>
      <c r="AU498" s="3">
        <f>[1]Results!AX253</f>
        <v>6.2776569389999999</v>
      </c>
      <c r="AV498" s="3">
        <f>[1]Results!AY253</f>
        <v>6.2660579739999998</v>
      </c>
      <c r="AW498" s="3">
        <f>[1]Results!AZ253</f>
        <v>6.2543559850000001</v>
      </c>
      <c r="AX498" s="3">
        <f>[1]Results!BA253</f>
        <v>6.2424982529999999</v>
      </c>
      <c r="AY498" s="3">
        <f>[1]Results!BB253</f>
        <v>6.2307766649999996</v>
      </c>
      <c r="AZ498" s="3">
        <f>[1]Results!BC253</f>
        <v>6.2194093529999996</v>
      </c>
      <c r="BA498" s="3">
        <f>[1]Results!BD253</f>
        <v>6.2085511840000001</v>
      </c>
      <c r="BB498" s="3">
        <f>[1]Results!BE253</f>
        <v>6.1983049689999996</v>
      </c>
      <c r="BC498" s="3">
        <f>[1]Results!BF253</f>
        <v>6.1887351170000002</v>
      </c>
      <c r="BD498" s="3">
        <f>[1]Results!BG253</f>
        <v>6.1798797910000003</v>
      </c>
      <c r="BE498" s="3">
        <f>[1]Results!BH253</f>
        <v>6.1717600270000004</v>
      </c>
      <c r="BF498" s="3">
        <f>[1]Results!BI253</f>
        <v>6.1643859570000004</v>
      </c>
    </row>
    <row r="499" spans="1:58" x14ac:dyDescent="0.35">
      <c r="B499" s="3" t="str">
        <f>[1]Results!E259</f>
        <v>YG_toe_cele_0</v>
      </c>
      <c r="C499" s="3">
        <f>[1]Results!F259</f>
        <v>57.52966223</v>
      </c>
      <c r="D499" s="3">
        <f>[1]Results!G259</f>
        <v>57.017870780000003</v>
      </c>
      <c r="E499" s="3">
        <f>[1]Results!H259</f>
        <v>57.257272219999997</v>
      </c>
      <c r="F499" s="3">
        <f>[1]Results!I259</f>
        <v>57.613241000000002</v>
      </c>
      <c r="G499" s="3">
        <f>[1]Results!J259</f>
        <v>58.062964280000003</v>
      </c>
      <c r="H499" s="3">
        <f>[1]Results!K259</f>
        <v>58.59987684</v>
      </c>
      <c r="I499" s="3">
        <f>[1]Results!L259</f>
        <v>59.179648540000002</v>
      </c>
      <c r="J499" s="3">
        <f>[1]Results!M259</f>
        <v>59.805696910000002</v>
      </c>
      <c r="K499" s="3">
        <f>[1]Results!N259</f>
        <v>60.466002209999999</v>
      </c>
      <c r="L499" s="3">
        <f>[1]Results!O259</f>
        <v>61.147127609999998</v>
      </c>
      <c r="M499" s="3">
        <f>[1]Results!P259</f>
        <v>61.89698886</v>
      </c>
      <c r="N499" s="3">
        <f>[1]Results!Q259</f>
        <v>62.61861313</v>
      </c>
      <c r="O499" s="3">
        <f>[1]Results!R259</f>
        <v>63.334075970000001</v>
      </c>
      <c r="P499" s="3">
        <f>[1]Results!S259</f>
        <v>64.044063949999995</v>
      </c>
      <c r="Q499" s="3">
        <f>[1]Results!T259</f>
        <v>64.748408280000007</v>
      </c>
      <c r="R499" s="3">
        <f>[1]Results!U259</f>
        <v>65.447418150000004</v>
      </c>
      <c r="S499" s="3">
        <f>[1]Results!V259</f>
        <v>66.141868639999998</v>
      </c>
      <c r="T499" s="3">
        <f>[1]Results!W259</f>
        <v>66.832883010000003</v>
      </c>
      <c r="U499" s="3">
        <f>[1]Results!X259</f>
        <v>67.52186657</v>
      </c>
      <c r="V499" s="3">
        <f>[1]Results!Y259</f>
        <v>68.210461420000001</v>
      </c>
      <c r="W499" s="3">
        <f>[1]Results!Z259</f>
        <v>68.860094970000006</v>
      </c>
      <c r="X499" s="3">
        <f>[1]Results!AA259</f>
        <v>69.539407060000002</v>
      </c>
      <c r="Y499" s="3">
        <f>[1]Results!AB259</f>
        <v>70.229915320000003</v>
      </c>
      <c r="Z499" s="3">
        <f>[1]Results!AC259</f>
        <v>70.930692980000003</v>
      </c>
      <c r="AA499" s="3">
        <f>[1]Results!AD259</f>
        <v>71.642775319999998</v>
      </c>
      <c r="AB499" s="3">
        <f>[1]Results!AE259</f>
        <v>72.251980770000003</v>
      </c>
      <c r="AC499" s="3">
        <f>[1]Results!AF259</f>
        <v>72.895712290000006</v>
      </c>
      <c r="AD499" s="3">
        <f>[1]Results!AG259</f>
        <v>73.551545640000001</v>
      </c>
      <c r="AE499" s="3">
        <f>[1]Results!AH259</f>
        <v>74.219831279999994</v>
      </c>
      <c r="AF499" s="3">
        <f>[1]Results!AI259</f>
        <v>74.902582530000004</v>
      </c>
      <c r="AG499" s="3">
        <f>[1]Results!AJ259</f>
        <v>75.601787119999997</v>
      </c>
      <c r="AH499" s="3">
        <f>[1]Results!AK259</f>
        <v>76.319016910000002</v>
      </c>
      <c r="AI499" s="3">
        <f>[1]Results!AL259</f>
        <v>77.055390970000005</v>
      </c>
      <c r="AJ499" s="3">
        <f>[1]Results!AM259</f>
        <v>77.811602100000002</v>
      </c>
      <c r="AK499" s="3">
        <f>[1]Results!AN259</f>
        <v>78.58795997</v>
      </c>
      <c r="AL499" s="3">
        <f>[1]Results!AO259</f>
        <v>79.384465300000002</v>
      </c>
      <c r="AM499" s="3">
        <f>[1]Results!AP259</f>
        <v>80.173334990000001</v>
      </c>
      <c r="AN499" s="3">
        <f>[1]Results!AQ259</f>
        <v>80.97179002</v>
      </c>
      <c r="AO499" s="3">
        <f>[1]Results!AR259</f>
        <v>81.783076510000001</v>
      </c>
      <c r="AP499" s="3">
        <f>[1]Results!AS259</f>
        <v>82.608453589999996</v>
      </c>
      <c r="AQ499" s="3">
        <f>[1]Results!AT259</f>
        <v>83.448556030000006</v>
      </c>
      <c r="AR499" s="3">
        <f>[1]Results!AU259</f>
        <v>84.303730079999994</v>
      </c>
      <c r="AS499" s="3">
        <f>[1]Results!AV259</f>
        <v>85.174129379999997</v>
      </c>
      <c r="AT499" s="3">
        <f>[1]Results!AW259</f>
        <v>86.059757629999993</v>
      </c>
      <c r="AU499" s="3">
        <f>[1]Results!AX259</f>
        <v>86.960502099999999</v>
      </c>
      <c r="AV499" s="3">
        <f>[1]Results!AY259</f>
        <v>87.87625663</v>
      </c>
      <c r="AW499" s="3">
        <f>[1]Results!AZ259</f>
        <v>88.809545630000002</v>
      </c>
      <c r="AX499" s="3">
        <f>[1]Results!BA259</f>
        <v>89.758880250000004</v>
      </c>
      <c r="AY499" s="3">
        <f>[1]Results!BB259</f>
        <v>90.724000129999993</v>
      </c>
      <c r="AZ499" s="3">
        <f>[1]Results!BC259</f>
        <v>91.704764850000004</v>
      </c>
      <c r="BA499" s="3">
        <f>[1]Results!BD259</f>
        <v>92.701054970000001</v>
      </c>
      <c r="BB499" s="3">
        <f>[1]Results!BE259</f>
        <v>93.712777540000005</v>
      </c>
      <c r="BC499" s="3">
        <f>[1]Results!BF259</f>
        <v>94.739888339999993</v>
      </c>
      <c r="BD499" s="3">
        <f>[1]Results!BG259</f>
        <v>95.782408380000007</v>
      </c>
      <c r="BE499" s="3">
        <f>[1]Results!BH259</f>
        <v>96.840431150000001</v>
      </c>
      <c r="BF499" s="3">
        <f>[1]Results!BI259</f>
        <v>97.9141221</v>
      </c>
    </row>
    <row r="500" spans="1:58" x14ac:dyDescent="0.35">
      <c r="B500" s="3" t="s">
        <v>75</v>
      </c>
      <c r="C500" s="3">
        <f>SUM(C501:C503)</f>
        <v>30.778720540000002</v>
      </c>
      <c r="D500" s="3">
        <f t="shared" ref="D500:AL500" si="308">SUM(D501:D503)</f>
        <v>30.469133876000001</v>
      </c>
      <c r="E500" s="3">
        <f t="shared" si="308"/>
        <v>30.662083402999997</v>
      </c>
      <c r="F500" s="3">
        <f t="shared" si="308"/>
        <v>30.908669701000001</v>
      </c>
      <c r="G500" s="3">
        <f t="shared" si="308"/>
        <v>31.185338396999999</v>
      </c>
      <c r="H500" s="3">
        <f t="shared" si="308"/>
        <v>31.489265826</v>
      </c>
      <c r="I500" s="3">
        <f t="shared" si="308"/>
        <v>31.796820947000001</v>
      </c>
      <c r="J500" s="3">
        <f t="shared" si="308"/>
        <v>32.118371644999996</v>
      </c>
      <c r="K500" s="3">
        <f t="shared" si="308"/>
        <v>32.453631927000004</v>
      </c>
      <c r="L500" s="3">
        <f t="shared" si="308"/>
        <v>32.800956169000003</v>
      </c>
      <c r="M500" s="3">
        <f t="shared" si="308"/>
        <v>33.188185782000005</v>
      </c>
      <c r="N500" s="3">
        <f t="shared" si="308"/>
        <v>33.552936351999996</v>
      </c>
      <c r="O500" s="3">
        <f t="shared" si="308"/>
        <v>33.913406233000003</v>
      </c>
      <c r="P500" s="3">
        <f t="shared" si="308"/>
        <v>34.272882942999999</v>
      </c>
      <c r="Q500" s="3">
        <f t="shared" si="308"/>
        <v>34.632752015000001</v>
      </c>
      <c r="R500" s="3">
        <f t="shared" si="308"/>
        <v>34.993766764</v>
      </c>
      <c r="S500" s="3">
        <f t="shared" si="308"/>
        <v>35.356431251000004</v>
      </c>
      <c r="T500" s="3">
        <f t="shared" si="308"/>
        <v>35.721173328999996</v>
      </c>
      <c r="U500" s="3">
        <f t="shared" si="308"/>
        <v>36.088397827000001</v>
      </c>
      <c r="V500" s="3">
        <f t="shared" si="308"/>
        <v>36.458519972999994</v>
      </c>
      <c r="W500" s="3">
        <f t="shared" si="308"/>
        <v>36.806129635999994</v>
      </c>
      <c r="X500" s="3">
        <f t="shared" si="308"/>
        <v>37.175345198000002</v>
      </c>
      <c r="Y500" s="3">
        <f t="shared" si="308"/>
        <v>37.552927681</v>
      </c>
      <c r="Z500" s="3">
        <f t="shared" si="308"/>
        <v>37.937006405999995</v>
      </c>
      <c r="AA500" s="3">
        <f t="shared" si="308"/>
        <v>38.327263963000007</v>
      </c>
      <c r="AB500" s="3">
        <f t="shared" si="308"/>
        <v>38.650435400999996</v>
      </c>
      <c r="AC500" s="3">
        <f t="shared" si="308"/>
        <v>38.996172951999995</v>
      </c>
      <c r="AD500" s="3">
        <f t="shared" si="308"/>
        <v>39.349152271000001</v>
      </c>
      <c r="AE500" s="3">
        <f t="shared" si="308"/>
        <v>39.70830582</v>
      </c>
      <c r="AF500" s="3">
        <f t="shared" si="308"/>
        <v>40.073795582000002</v>
      </c>
      <c r="AG500" s="3">
        <f t="shared" si="308"/>
        <v>40.446015138000007</v>
      </c>
      <c r="AH500" s="3">
        <f t="shared" si="308"/>
        <v>40.825340674000003</v>
      </c>
      <c r="AI500" s="3">
        <f t="shared" si="308"/>
        <v>41.212055380999999</v>
      </c>
      <c r="AJ500" s="3">
        <f t="shared" si="308"/>
        <v>41.606330608</v>
      </c>
      <c r="AK500" s="3">
        <f t="shared" si="308"/>
        <v>42.008260970999999</v>
      </c>
      <c r="AL500" s="3">
        <f t="shared" si="308"/>
        <v>42.417869433000007</v>
      </c>
      <c r="AM500" s="3">
        <f t="shared" ref="AM500:BC500" si="309">SUM(AM501:AM503)</f>
        <v>42.817953860999999</v>
      </c>
      <c r="AN500" s="3">
        <f t="shared" si="309"/>
        <v>43.220209018000006</v>
      </c>
      <c r="AO500" s="3">
        <f t="shared" si="309"/>
        <v>43.627058007999999</v>
      </c>
      <c r="AP500" s="3">
        <f t="shared" si="309"/>
        <v>44.039405617</v>
      </c>
      <c r="AQ500" s="3">
        <f t="shared" si="309"/>
        <v>44.457644721000001</v>
      </c>
      <c r="AR500" s="3">
        <f t="shared" si="309"/>
        <v>44.881959918000007</v>
      </c>
      <c r="AS500" s="3">
        <f t="shared" si="309"/>
        <v>45.312428573999995</v>
      </c>
      <c r="AT500" s="3">
        <f t="shared" si="309"/>
        <v>45.749069091000003</v>
      </c>
      <c r="AU500" s="3">
        <f t="shared" si="309"/>
        <v>46.191867897000002</v>
      </c>
      <c r="AV500" s="3">
        <f t="shared" si="309"/>
        <v>46.640816446999999</v>
      </c>
      <c r="AW500" s="3">
        <f t="shared" si="309"/>
        <v>47.097474437999999</v>
      </c>
      <c r="AX500" s="3">
        <f t="shared" si="309"/>
        <v>47.560882609000004</v>
      </c>
      <c r="AY500" s="3">
        <f t="shared" si="309"/>
        <v>48.030908976999996</v>
      </c>
      <c r="AZ500" s="3">
        <f t="shared" si="309"/>
        <v>48.507532382000008</v>
      </c>
      <c r="BA500" s="3">
        <f t="shared" si="309"/>
        <v>48.990756284</v>
      </c>
      <c r="BB500" s="3">
        <f t="shared" si="309"/>
        <v>49.480592623</v>
      </c>
      <c r="BC500" s="3">
        <f t="shared" si="309"/>
        <v>49.977063274000002</v>
      </c>
      <c r="BD500" s="3">
        <f t="shared" ref="BD500:BF500" si="310">SUM(BD501:BD503)</f>
        <v>50.480204393000001</v>
      </c>
      <c r="BE500" s="3">
        <f t="shared" si="310"/>
        <v>50.990069219000006</v>
      </c>
      <c r="BF500" s="3">
        <f t="shared" si="310"/>
        <v>51.506728996</v>
      </c>
    </row>
    <row r="501" spans="1:58" x14ac:dyDescent="0.35">
      <c r="B501" s="3" t="str">
        <f>[1]Results!E269</f>
        <v>YG_toe_chea_0</v>
      </c>
      <c r="C501" s="3">
        <f>[1]Results!F269</f>
        <v>5.7131595600000002</v>
      </c>
      <c r="D501" s="3">
        <f>[1]Results!G269</f>
        <v>5.7366835160000003</v>
      </c>
      <c r="E501" s="3">
        <f>[1]Results!H269</f>
        <v>5.7941949230000001</v>
      </c>
      <c r="F501" s="3">
        <f>[1]Results!I269</f>
        <v>5.8577191109999998</v>
      </c>
      <c r="G501" s="3">
        <f>[1]Results!J269</f>
        <v>5.924262347</v>
      </c>
      <c r="H501" s="3">
        <f>[1]Results!K269</f>
        <v>5.9941656959999996</v>
      </c>
      <c r="I501" s="3">
        <f>[1]Results!L269</f>
        <v>6.0623958069999997</v>
      </c>
      <c r="J501" s="3">
        <f>[1]Results!M269</f>
        <v>6.1322434049999996</v>
      </c>
      <c r="K501" s="3">
        <f>[1]Results!N269</f>
        <v>6.2051990469999998</v>
      </c>
      <c r="L501" s="3">
        <f>[1]Results!O269</f>
        <v>6.282745899</v>
      </c>
      <c r="M501" s="3">
        <f>[1]Results!P269</f>
        <v>6.3673901219999998</v>
      </c>
      <c r="N501" s="3">
        <f>[1]Results!Q269</f>
        <v>6.4440386319999998</v>
      </c>
      <c r="O501" s="3">
        <f>[1]Results!R269</f>
        <v>6.5166927929999998</v>
      </c>
      <c r="P501" s="3">
        <f>[1]Results!S269</f>
        <v>6.5872830029999996</v>
      </c>
      <c r="Q501" s="3">
        <f>[1]Results!T269</f>
        <v>6.6568695250000003</v>
      </c>
      <c r="R501" s="3">
        <f>[1]Results!U269</f>
        <v>6.7260417339999998</v>
      </c>
      <c r="S501" s="3">
        <f>[1]Results!V269</f>
        <v>6.7951176110000002</v>
      </c>
      <c r="T501" s="3">
        <f>[1]Results!W269</f>
        <v>6.8642639790000004</v>
      </c>
      <c r="U501" s="3">
        <f>[1]Results!X269</f>
        <v>6.9335716769999998</v>
      </c>
      <c r="V501" s="3">
        <f>[1]Results!Y269</f>
        <v>7.0031005229999996</v>
      </c>
      <c r="W501" s="3">
        <f>[1]Results!Z269</f>
        <v>7.0666669659999997</v>
      </c>
      <c r="X501" s="3">
        <f>[1]Results!AA269</f>
        <v>7.1343058580000003</v>
      </c>
      <c r="Y501" s="3">
        <f>[1]Results!AB269</f>
        <v>7.2037392709999999</v>
      </c>
      <c r="Z501" s="3">
        <f>[1]Results!AC269</f>
        <v>7.274230126</v>
      </c>
      <c r="AA501" s="3">
        <f>[1]Results!AD269</f>
        <v>7.3455378930000004</v>
      </c>
      <c r="AB501" s="3">
        <f>[1]Results!AE269</f>
        <v>7.4002530809999998</v>
      </c>
      <c r="AC501" s="3">
        <f>[1]Results!AF269</f>
        <v>7.457994652</v>
      </c>
      <c r="AD501" s="3">
        <f>[1]Results!AG269</f>
        <v>7.5171183910000003</v>
      </c>
      <c r="AE501" s="3">
        <f>[1]Results!AH269</f>
        <v>7.5772341599999997</v>
      </c>
      <c r="AF501" s="3">
        <f>[1]Results!AI269</f>
        <v>7.6382599620000002</v>
      </c>
      <c r="AG501" s="3">
        <f>[1]Results!AJ269</f>
        <v>7.7002059579999997</v>
      </c>
      <c r="AH501" s="3">
        <f>[1]Results!AK269</f>
        <v>7.7631100240000004</v>
      </c>
      <c r="AI501" s="3">
        <f>[1]Results!AL269</f>
        <v>7.8270079309999998</v>
      </c>
      <c r="AJ501" s="3">
        <f>[1]Results!AM269</f>
        <v>7.8919166880000002</v>
      </c>
      <c r="AK501" s="3">
        <f>[1]Results!AN269</f>
        <v>7.9578534310000002</v>
      </c>
      <c r="AL501" s="3">
        <f>[1]Results!AO269</f>
        <v>8.0248279230000001</v>
      </c>
      <c r="AM501" s="3">
        <f>[1]Results!AP269</f>
        <v>8.0889679710000006</v>
      </c>
      <c r="AN501" s="3">
        <f>[1]Results!AQ269</f>
        <v>8.1525752780000005</v>
      </c>
      <c r="AO501" s="3">
        <f>[1]Results!AR269</f>
        <v>8.2164714480000001</v>
      </c>
      <c r="AP501" s="3">
        <f>[1]Results!AS269</f>
        <v>8.2809796470000006</v>
      </c>
      <c r="AQ501" s="3">
        <f>[1]Results!AT269</f>
        <v>8.3462286110000008</v>
      </c>
      <c r="AR501" s="3">
        <f>[1]Results!AU269</f>
        <v>8.4122655880000003</v>
      </c>
      <c r="AS501" s="3">
        <f>[1]Results!AV269</f>
        <v>8.4791023340000002</v>
      </c>
      <c r="AT501" s="3">
        <f>[1]Results!AW269</f>
        <v>8.5467346010000007</v>
      </c>
      <c r="AU501" s="3">
        <f>[1]Results!AX269</f>
        <v>8.6151510570000003</v>
      </c>
      <c r="AV501" s="3">
        <f>[1]Results!AY269</f>
        <v>8.6843415569999998</v>
      </c>
      <c r="AW501" s="3">
        <f>[1]Results!AZ269</f>
        <v>8.754635618</v>
      </c>
      <c r="AX501" s="3">
        <f>[1]Results!BA269</f>
        <v>8.8258533589999999</v>
      </c>
      <c r="AY501" s="3">
        <f>[1]Results!BB269</f>
        <v>8.8979428669999994</v>
      </c>
      <c r="AZ501" s="3">
        <f>[1]Results!BC269</f>
        <v>8.9708890520000004</v>
      </c>
      <c r="BA501" s="3">
        <f>[1]Results!BD269</f>
        <v>9.0446873239999999</v>
      </c>
      <c r="BB501" s="3">
        <f>[1]Results!BE269</f>
        <v>9.1193360929999994</v>
      </c>
      <c r="BC501" s="3">
        <f>[1]Results!BF269</f>
        <v>9.1948353740000002</v>
      </c>
      <c r="BD501" s="3">
        <f>[1]Results!BG269</f>
        <v>9.2711871430000006</v>
      </c>
      <c r="BE501" s="3">
        <f>[1]Results!BH269</f>
        <v>9.3483959090000006</v>
      </c>
      <c r="BF501" s="3">
        <f>[1]Results!BI269</f>
        <v>9.4264690360000003</v>
      </c>
    </row>
    <row r="502" spans="1:58" x14ac:dyDescent="0.35">
      <c r="B502" s="3" t="str">
        <f>[1]Results!E271</f>
        <v>YG_toe_cbio_0</v>
      </c>
      <c r="C502" s="3">
        <f>[1]Results!F271</f>
        <v>11.18379972</v>
      </c>
      <c r="D502" s="3">
        <f>[1]Results!G271</f>
        <v>11.1788293</v>
      </c>
      <c r="E502" s="3">
        <f>[1]Results!H271</f>
        <v>11.19475211</v>
      </c>
      <c r="F502" s="3">
        <f>[1]Results!I271</f>
        <v>11.212095809999999</v>
      </c>
      <c r="G502" s="3">
        <f>[1]Results!J271</f>
        <v>11.23647669</v>
      </c>
      <c r="H502" s="3">
        <f>[1]Results!K271</f>
        <v>11.27014473</v>
      </c>
      <c r="I502" s="3">
        <f>[1]Results!L271</f>
        <v>11.30737854</v>
      </c>
      <c r="J502" s="3">
        <f>[1]Results!M271</f>
        <v>11.349431940000001</v>
      </c>
      <c r="K502" s="3">
        <f>[1]Results!N271</f>
        <v>11.395375100000001</v>
      </c>
      <c r="L502" s="3">
        <f>[1]Results!O271</f>
        <v>11.44324265</v>
      </c>
      <c r="M502" s="3">
        <f>[1]Results!P271</f>
        <v>11.50179968</v>
      </c>
      <c r="N502" s="3">
        <f>[1]Results!Q271</f>
        <v>11.55677305</v>
      </c>
      <c r="O502" s="3">
        <f>[1]Results!R271</f>
        <v>11.61058251</v>
      </c>
      <c r="P502" s="3">
        <f>[1]Results!S271</f>
        <v>11.663862630000001</v>
      </c>
      <c r="Q502" s="3">
        <f>[1]Results!T271</f>
        <v>11.716871080000001</v>
      </c>
      <c r="R502" s="3">
        <f>[1]Results!U271</f>
        <v>11.769735020000001</v>
      </c>
      <c r="S502" s="3">
        <f>[1]Results!V271</f>
        <v>11.82253811</v>
      </c>
      <c r="T502" s="3">
        <f>[1]Results!W271</f>
        <v>11.87537266</v>
      </c>
      <c r="U502" s="3">
        <f>[1]Results!X271</f>
        <v>11.928332960000001</v>
      </c>
      <c r="V502" s="3">
        <f>[1]Results!Y271</f>
        <v>11.981520359999999</v>
      </c>
      <c r="W502" s="3">
        <f>[1]Results!Z271</f>
        <v>12.028793589999999</v>
      </c>
      <c r="X502" s="3">
        <f>[1]Results!AA271</f>
        <v>12.080092799999999</v>
      </c>
      <c r="Y502" s="3">
        <f>[1]Results!AB271</f>
        <v>12.133390090000001</v>
      </c>
      <c r="Z502" s="3">
        <f>[1]Results!AC271</f>
        <v>12.18807623</v>
      </c>
      <c r="AA502" s="3">
        <f>[1]Results!AD271</f>
        <v>12.243999990000001</v>
      </c>
      <c r="AB502" s="3">
        <f>[1]Results!AE271</f>
        <v>12.28367364</v>
      </c>
      <c r="AC502" s="3">
        <f>[1]Results!AF271</f>
        <v>12.32640803</v>
      </c>
      <c r="AD502" s="3">
        <f>[1]Results!AG271</f>
        <v>12.37083329</v>
      </c>
      <c r="AE502" s="3">
        <f>[1]Results!AH271</f>
        <v>12.41671968</v>
      </c>
      <c r="AF502" s="3">
        <f>[1]Results!AI271</f>
        <v>12.46408832</v>
      </c>
      <c r="AG502" s="3">
        <f>[1]Results!AJ271</f>
        <v>12.513035540000001</v>
      </c>
      <c r="AH502" s="3">
        <f>[1]Results!AK271</f>
        <v>12.563664490000001</v>
      </c>
      <c r="AI502" s="3">
        <f>[1]Results!AL271</f>
        <v>12.61605988</v>
      </c>
      <c r="AJ502" s="3">
        <f>[1]Results!AM271</f>
        <v>12.67027858</v>
      </c>
      <c r="AK502" s="3">
        <f>[1]Results!AN271</f>
        <v>12.726353420000001</v>
      </c>
      <c r="AL502" s="3">
        <f>[1]Results!AO271</f>
        <v>12.784293440000001</v>
      </c>
      <c r="AM502" s="3">
        <f>[1]Results!AP271</f>
        <v>12.84011454</v>
      </c>
      <c r="AN502" s="3">
        <f>[1]Results!AQ271</f>
        <v>12.8960244</v>
      </c>
      <c r="AO502" s="3">
        <f>[1]Results!AR271</f>
        <v>12.95281743</v>
      </c>
      <c r="AP502" s="3">
        <f>[1]Results!AS271</f>
        <v>13.01080889</v>
      </c>
      <c r="AQ502" s="3">
        <f>[1]Results!AT271</f>
        <v>13.07011777</v>
      </c>
      <c r="AR502" s="3">
        <f>[1]Results!AU271</f>
        <v>13.13077824</v>
      </c>
      <c r="AS502" s="3">
        <f>[1]Results!AV271</f>
        <v>13.192779679999999</v>
      </c>
      <c r="AT502" s="3">
        <f>[1]Results!AW271</f>
        <v>13.256091720000001</v>
      </c>
      <c r="AU502" s="3">
        <f>[1]Results!AX271</f>
        <v>13.320678880000001</v>
      </c>
      <c r="AV502" s="3">
        <f>[1]Results!AY271</f>
        <v>13.38652209</v>
      </c>
      <c r="AW502" s="3">
        <f>[1]Results!AZ271</f>
        <v>13.45398881</v>
      </c>
      <c r="AX502" s="3">
        <f>[1]Results!BA271</f>
        <v>13.522940520000001</v>
      </c>
      <c r="AY502" s="3">
        <f>[1]Results!BB271</f>
        <v>13.59335958</v>
      </c>
      <c r="AZ502" s="3">
        <f>[1]Results!BC271</f>
        <v>13.665252990000001</v>
      </c>
      <c r="BA502" s="3">
        <f>[1]Results!BD271</f>
        <v>13.738627559999999</v>
      </c>
      <c r="BB502" s="3">
        <f>[1]Results!BE271</f>
        <v>13.81348558</v>
      </c>
      <c r="BC502" s="3">
        <f>[1]Results!BF271</f>
        <v>13.889826960000001</v>
      </c>
      <c r="BD502" s="3">
        <f>[1]Results!BG271</f>
        <v>13.96765246</v>
      </c>
      <c r="BE502" s="3">
        <f>[1]Results!BH271</f>
        <v>14.04696599</v>
      </c>
      <c r="BF502" s="3">
        <f>[1]Results!BI271</f>
        <v>14.12777593</v>
      </c>
    </row>
    <row r="503" spans="1:58" x14ac:dyDescent="0.35">
      <c r="B503" s="3" t="str">
        <f>[1]Results!E274</f>
        <v>YG_toe_cote_0</v>
      </c>
      <c r="C503" s="3">
        <f>[1]Results!F274</f>
        <v>13.881761259999999</v>
      </c>
      <c r="D503" s="3">
        <f>[1]Results!G274</f>
        <v>13.553621059999999</v>
      </c>
      <c r="E503" s="3">
        <f>[1]Results!H274</f>
        <v>13.67313637</v>
      </c>
      <c r="F503" s="3">
        <f>[1]Results!I274</f>
        <v>13.83885478</v>
      </c>
      <c r="G503" s="3">
        <f>[1]Results!J274</f>
        <v>14.02459936</v>
      </c>
      <c r="H503" s="3">
        <f>[1]Results!K274</f>
        <v>14.224955400000001</v>
      </c>
      <c r="I503" s="3">
        <f>[1]Results!L274</f>
        <v>14.427046600000001</v>
      </c>
      <c r="J503" s="3">
        <f>[1]Results!M274</f>
        <v>14.636696300000001</v>
      </c>
      <c r="K503" s="3">
        <f>[1]Results!N274</f>
        <v>14.85305778</v>
      </c>
      <c r="L503" s="3">
        <f>[1]Results!O274</f>
        <v>15.074967620000001</v>
      </c>
      <c r="M503" s="3">
        <f>[1]Results!P274</f>
        <v>15.31899598</v>
      </c>
      <c r="N503" s="3">
        <f>[1]Results!Q274</f>
        <v>15.55212467</v>
      </c>
      <c r="O503" s="3">
        <f>[1]Results!R274</f>
        <v>15.786130930000001</v>
      </c>
      <c r="P503" s="3">
        <f>[1]Results!S274</f>
        <v>16.021737309999999</v>
      </c>
      <c r="Q503" s="3">
        <f>[1]Results!T274</f>
        <v>16.259011409999999</v>
      </c>
      <c r="R503" s="3">
        <f>[1]Results!U274</f>
        <v>16.497990009999999</v>
      </c>
      <c r="S503" s="3">
        <f>[1]Results!V274</f>
        <v>16.738775530000002</v>
      </c>
      <c r="T503" s="3">
        <f>[1]Results!W274</f>
        <v>16.981536689999999</v>
      </c>
      <c r="U503" s="3">
        <f>[1]Results!X274</f>
        <v>17.226493189999999</v>
      </c>
      <c r="V503" s="3">
        <f>[1]Results!Y274</f>
        <v>17.47389909</v>
      </c>
      <c r="W503" s="3">
        <f>[1]Results!Z274</f>
        <v>17.710669079999999</v>
      </c>
      <c r="X503" s="3">
        <f>[1]Results!AA274</f>
        <v>17.960946539999998</v>
      </c>
      <c r="Y503" s="3">
        <f>[1]Results!AB274</f>
        <v>18.215798320000001</v>
      </c>
      <c r="Z503" s="3">
        <f>[1]Results!AC274</f>
        <v>18.474700049999999</v>
      </c>
      <c r="AA503" s="3">
        <f>[1]Results!AD274</f>
        <v>18.737726080000002</v>
      </c>
      <c r="AB503" s="3">
        <f>[1]Results!AE274</f>
        <v>18.96650868</v>
      </c>
      <c r="AC503" s="3">
        <f>[1]Results!AF274</f>
        <v>19.211770269999999</v>
      </c>
      <c r="AD503" s="3">
        <f>[1]Results!AG274</f>
        <v>19.461200590000001</v>
      </c>
      <c r="AE503" s="3">
        <f>[1]Results!AH274</f>
        <v>19.71435198</v>
      </c>
      <c r="AF503" s="3">
        <f>[1]Results!AI274</f>
        <v>19.971447300000001</v>
      </c>
      <c r="AG503" s="3">
        <f>[1]Results!AJ274</f>
        <v>20.232773640000001</v>
      </c>
      <c r="AH503" s="3">
        <f>[1]Results!AK274</f>
        <v>20.498566159999999</v>
      </c>
      <c r="AI503" s="3">
        <f>[1]Results!AL274</f>
        <v>20.76898757</v>
      </c>
      <c r="AJ503" s="3">
        <f>[1]Results!AM274</f>
        <v>21.04413534</v>
      </c>
      <c r="AK503" s="3">
        <f>[1]Results!AN274</f>
        <v>21.32405412</v>
      </c>
      <c r="AL503" s="3">
        <f>[1]Results!AO274</f>
        <v>21.608748070000001</v>
      </c>
      <c r="AM503" s="3">
        <f>[1]Results!AP274</f>
        <v>21.888871349999999</v>
      </c>
      <c r="AN503" s="3">
        <f>[1]Results!AQ274</f>
        <v>22.17160934</v>
      </c>
      <c r="AO503" s="3">
        <f>[1]Results!AR274</f>
        <v>22.457769129999999</v>
      </c>
      <c r="AP503" s="3">
        <f>[1]Results!AS274</f>
        <v>22.747617080000001</v>
      </c>
      <c r="AQ503" s="3">
        <f>[1]Results!AT274</f>
        <v>23.041298340000001</v>
      </c>
      <c r="AR503" s="3">
        <f>[1]Results!AU274</f>
        <v>23.338916090000001</v>
      </c>
      <c r="AS503" s="3">
        <f>[1]Results!AV274</f>
        <v>23.640546560000001</v>
      </c>
      <c r="AT503" s="3">
        <f>[1]Results!AW274</f>
        <v>23.946242770000001</v>
      </c>
      <c r="AU503" s="3">
        <f>[1]Results!AX274</f>
        <v>24.25603796</v>
      </c>
      <c r="AV503" s="3">
        <f>[1]Results!AY274</f>
        <v>24.569952799999999</v>
      </c>
      <c r="AW503" s="3">
        <f>[1]Results!AZ274</f>
        <v>24.888850009999999</v>
      </c>
      <c r="AX503" s="3">
        <f>[1]Results!BA274</f>
        <v>25.212088730000001</v>
      </c>
      <c r="AY503" s="3">
        <f>[1]Results!BB274</f>
        <v>25.53960653</v>
      </c>
      <c r="AZ503" s="3">
        <f>[1]Results!BC274</f>
        <v>25.871390340000001</v>
      </c>
      <c r="BA503" s="3">
        <f>[1]Results!BD274</f>
        <v>26.2074414</v>
      </c>
      <c r="BB503" s="3">
        <f>[1]Results!BE274</f>
        <v>26.54777095</v>
      </c>
      <c r="BC503" s="3">
        <f>[1]Results!BF274</f>
        <v>26.892400940000002</v>
      </c>
      <c r="BD503" s="3">
        <f>[1]Results!BG274</f>
        <v>27.241364789999999</v>
      </c>
      <c r="BE503" s="3">
        <f>[1]Results!BH274</f>
        <v>27.594707320000001</v>
      </c>
      <c r="BF503" s="3">
        <f>[1]Results!BI274</f>
        <v>27.952484030000001</v>
      </c>
    </row>
    <row r="504" spans="1:58" x14ac:dyDescent="0.3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</row>
    <row r="505" spans="1:58" x14ac:dyDescent="0.35">
      <c r="A505" s="12" t="s">
        <v>94</v>
      </c>
      <c r="C505" s="2">
        <v>42005</v>
      </c>
      <c r="D505" s="2">
        <v>42370</v>
      </c>
      <c r="E505" s="2">
        <v>42736</v>
      </c>
      <c r="F505" s="2">
        <v>43101</v>
      </c>
      <c r="G505" s="2">
        <v>43466</v>
      </c>
      <c r="H505" s="2">
        <v>43831</v>
      </c>
      <c r="I505" s="2">
        <v>44197</v>
      </c>
      <c r="J505" s="2">
        <v>44562</v>
      </c>
      <c r="K505" s="2">
        <v>44927</v>
      </c>
      <c r="L505" s="2">
        <v>45292</v>
      </c>
      <c r="M505" s="2">
        <v>45658</v>
      </c>
      <c r="N505" s="2">
        <v>46023</v>
      </c>
      <c r="O505" s="2">
        <v>46388</v>
      </c>
      <c r="P505" s="2">
        <v>46753</v>
      </c>
      <c r="Q505" s="2">
        <v>47119</v>
      </c>
      <c r="R505" s="2">
        <v>47484</v>
      </c>
      <c r="S505" s="2">
        <v>47849</v>
      </c>
      <c r="T505" s="2">
        <v>48214</v>
      </c>
      <c r="U505" s="2">
        <v>48580</v>
      </c>
      <c r="V505" s="2">
        <v>48945</v>
      </c>
      <c r="W505" s="2">
        <v>49310</v>
      </c>
      <c r="X505" s="2">
        <v>49675</v>
      </c>
      <c r="Y505" s="2">
        <v>50041</v>
      </c>
      <c r="Z505" s="2">
        <v>50406</v>
      </c>
      <c r="AA505" s="2">
        <v>50771</v>
      </c>
      <c r="AB505" s="2">
        <v>51136</v>
      </c>
      <c r="AC505" s="2">
        <v>51502</v>
      </c>
      <c r="AD505" s="2">
        <v>51867</v>
      </c>
      <c r="AE505" s="2">
        <v>52232</v>
      </c>
      <c r="AF505" s="2">
        <v>52597</v>
      </c>
      <c r="AG505" s="2">
        <v>52963</v>
      </c>
      <c r="AH505" s="2">
        <v>53328</v>
      </c>
      <c r="AI505" s="2">
        <v>53693</v>
      </c>
      <c r="AJ505" s="2">
        <v>54058</v>
      </c>
      <c r="AK505" s="2">
        <v>54424</v>
      </c>
      <c r="AL505" s="2">
        <v>54789</v>
      </c>
      <c r="AM505" s="2">
        <v>54790</v>
      </c>
      <c r="AN505" s="2">
        <v>54791</v>
      </c>
      <c r="AO505" s="2">
        <v>54792</v>
      </c>
      <c r="AP505" s="2">
        <v>54793</v>
      </c>
      <c r="AQ505" s="2">
        <v>54794</v>
      </c>
      <c r="AR505" s="2">
        <v>54795</v>
      </c>
      <c r="AS505" s="2">
        <v>54796</v>
      </c>
      <c r="AT505" s="2">
        <v>54797</v>
      </c>
      <c r="AU505" s="2">
        <v>54798</v>
      </c>
      <c r="AV505" s="2">
        <v>54799</v>
      </c>
      <c r="AW505" s="2">
        <v>54800</v>
      </c>
      <c r="AX505" s="2">
        <v>54801</v>
      </c>
      <c r="AY505" s="2">
        <v>54802</v>
      </c>
      <c r="AZ505" s="2">
        <v>54803</v>
      </c>
      <c r="BA505" s="2">
        <v>54804</v>
      </c>
      <c r="BB505" s="2">
        <v>54805</v>
      </c>
      <c r="BC505" s="2">
        <v>54806</v>
      </c>
      <c r="BD505" s="2">
        <v>54807</v>
      </c>
      <c r="BE505" s="2">
        <v>54808</v>
      </c>
      <c r="BF505" s="2">
        <v>54809</v>
      </c>
    </row>
    <row r="506" spans="1:58" x14ac:dyDescent="0.35">
      <c r="A506" t="s">
        <v>95</v>
      </c>
      <c r="B506" t="s">
        <v>94</v>
      </c>
      <c r="C506" s="4">
        <f>C479/C492-1</f>
        <v>-1.4302380402311243E-3</v>
      </c>
      <c r="D506" s="4">
        <f t="shared" ref="D506" si="311">D479/D492-1</f>
        <v>-3.6876488534104412E-3</v>
      </c>
      <c r="E506" s="4">
        <f t="shared" ref="E506:AL506" si="312">E479/E492-1</f>
        <v>-5.9522070739590482E-3</v>
      </c>
      <c r="F506" s="4">
        <f t="shared" si="312"/>
        <v>-8.2044036774374662E-3</v>
      </c>
      <c r="G506" s="4">
        <f t="shared" si="312"/>
        <v>-1.0423277074740445E-2</v>
      </c>
      <c r="H506" s="4">
        <f t="shared" si="312"/>
        <v>-1.2595056516921832E-2</v>
      </c>
      <c r="I506" s="4">
        <f t="shared" si="312"/>
        <v>-1.4740613486374454E-2</v>
      </c>
      <c r="J506" s="4">
        <f t="shared" si="312"/>
        <v>-1.682657125818332E-2</v>
      </c>
      <c r="K506" s="4">
        <f t="shared" si="312"/>
        <v>-1.8824628846726643E-2</v>
      </c>
      <c r="L506" s="4">
        <f t="shared" si="312"/>
        <v>-2.0709449208207498E-2</v>
      </c>
      <c r="M506" s="4">
        <f t="shared" si="312"/>
        <v>-2.247329622870009E-2</v>
      </c>
      <c r="N506" s="4">
        <f t="shared" si="312"/>
        <v>-2.4206996183880669E-2</v>
      </c>
      <c r="O506" s="4">
        <f t="shared" si="312"/>
        <v>-2.5841538469219327E-2</v>
      </c>
      <c r="P506" s="4">
        <f t="shared" si="312"/>
        <v>-2.7381388764640469E-2</v>
      </c>
      <c r="Q506" s="4">
        <f t="shared" si="312"/>
        <v>-2.8845513893232089E-2</v>
      </c>
      <c r="R506" s="4">
        <f t="shared" si="312"/>
        <v>-3.0253991492902643E-2</v>
      </c>
      <c r="S506" s="4">
        <f t="shared" si="312"/>
        <v>-3.1712013653107718E-2</v>
      </c>
      <c r="T506" s="4">
        <f t="shared" si="312"/>
        <v>-3.315502751069932E-2</v>
      </c>
      <c r="U506" s="4">
        <f t="shared" si="312"/>
        <v>-3.4577948446657403E-2</v>
      </c>
      <c r="V506" s="4">
        <f t="shared" si="312"/>
        <v>-3.597959964615971E-2</v>
      </c>
      <c r="W506" s="4">
        <f t="shared" si="312"/>
        <v>-3.7353716710887386E-2</v>
      </c>
      <c r="X506" s="4">
        <f t="shared" si="312"/>
        <v>-3.8711028914650281E-2</v>
      </c>
      <c r="Y506" s="4">
        <f t="shared" si="312"/>
        <v>-4.0047493958364599E-2</v>
      </c>
      <c r="Z506" s="4">
        <f t="shared" si="312"/>
        <v>-4.1365682104259616E-2</v>
      </c>
      <c r="AA506" s="4">
        <f t="shared" si="312"/>
        <v>-4.2668777221645082E-2</v>
      </c>
      <c r="AB506" s="4">
        <f t="shared" si="312"/>
        <v>-4.393854452124335E-2</v>
      </c>
      <c r="AC506" s="4">
        <f t="shared" si="312"/>
        <v>-4.5174488066823559E-2</v>
      </c>
      <c r="AD506" s="4">
        <f t="shared" si="312"/>
        <v>-4.6394364793427512E-2</v>
      </c>
      <c r="AE506" s="4">
        <f t="shared" si="312"/>
        <v>-4.7602924933721869E-2</v>
      </c>
      <c r="AF506" s="4">
        <f t="shared" si="312"/>
        <v>-4.8802695105178096E-2</v>
      </c>
      <c r="AG506" s="4">
        <f t="shared" si="312"/>
        <v>-4.9996013569031938E-2</v>
      </c>
      <c r="AH506" s="4">
        <f t="shared" si="312"/>
        <v>-5.116736959412993E-2</v>
      </c>
      <c r="AI506" s="4">
        <f t="shared" si="312"/>
        <v>-5.2330652075508244E-2</v>
      </c>
      <c r="AJ506" s="4">
        <f t="shared" si="312"/>
        <v>-5.3488312679097927E-2</v>
      </c>
      <c r="AK506" s="4">
        <f t="shared" si="312"/>
        <v>-5.4641602821614121E-2</v>
      </c>
      <c r="AL506" s="4">
        <f t="shared" si="312"/>
        <v>-5.5791047274250216E-2</v>
      </c>
      <c r="AM506" s="4">
        <f t="shared" ref="AM506:BC506" si="313">AM479/AM492-1</f>
        <v>-5.679001077802226E-2</v>
      </c>
      <c r="AN506" s="4">
        <f t="shared" si="313"/>
        <v>-5.7756100460126247E-2</v>
      </c>
      <c r="AO506" s="4">
        <f t="shared" si="313"/>
        <v>-5.8703509386728414E-2</v>
      </c>
      <c r="AP506" s="4">
        <f t="shared" si="313"/>
        <v>-5.9637280994544462E-2</v>
      </c>
      <c r="AQ506" s="4">
        <f t="shared" si="313"/>
        <v>-6.055922751042575E-2</v>
      </c>
      <c r="AR506" s="4">
        <f t="shared" si="313"/>
        <v>-6.1448659713890463E-2</v>
      </c>
      <c r="AS506" s="4">
        <f t="shared" si="313"/>
        <v>-6.2321886460014908E-2</v>
      </c>
      <c r="AT506" s="4">
        <f t="shared" si="313"/>
        <v>-6.3180696351785581E-2</v>
      </c>
      <c r="AU506" s="4">
        <f t="shared" si="313"/>
        <v>-6.4025508737477255E-2</v>
      </c>
      <c r="AV506" s="4">
        <f t="shared" si="313"/>
        <v>-6.4857193655272427E-2</v>
      </c>
      <c r="AW506" s="4">
        <f t="shared" si="313"/>
        <v>-6.5611919944724373E-2</v>
      </c>
      <c r="AX506" s="4">
        <f t="shared" si="313"/>
        <v>-6.6344800280612404E-2</v>
      </c>
      <c r="AY506" s="4">
        <f t="shared" si="313"/>
        <v>-6.7066284079788208E-2</v>
      </c>
      <c r="AZ506" s="4">
        <f t="shared" si="313"/>
        <v>-6.7781969182807988E-2</v>
      </c>
      <c r="BA506" s="4">
        <f t="shared" si="313"/>
        <v>-6.8495118840966596E-2</v>
      </c>
      <c r="BB506" s="4">
        <f t="shared" si="313"/>
        <v>-6.9168300064124555E-2</v>
      </c>
      <c r="BC506" s="4">
        <f t="shared" si="313"/>
        <v>-6.9833235636029278E-2</v>
      </c>
      <c r="BD506" s="4">
        <f t="shared" ref="BD506:BF506" si="314">BD479/BD492-1</f>
        <v>-7.0494857447845338E-2</v>
      </c>
      <c r="BE506" s="4">
        <f t="shared" si="314"/>
        <v>-7.1155553240977332E-2</v>
      </c>
      <c r="BF506" s="4">
        <f t="shared" si="314"/>
        <v>-7.181669737446883E-2</v>
      </c>
    </row>
    <row r="507" spans="1:58" x14ac:dyDescent="0.35">
      <c r="B507" t="s">
        <v>76</v>
      </c>
      <c r="C507" s="4">
        <f>(C480-C493)/C$492</f>
        <v>-3.8679729624183398E-5</v>
      </c>
      <c r="D507" s="4">
        <f>(D480-D493)/D$492</f>
        <v>-8.1482340181982088E-5</v>
      </c>
      <c r="E507" s="4">
        <f t="shared" ref="E507:AL507" si="315">(E480-E493)/E$492</f>
        <v>-1.2435494174861062E-4</v>
      </c>
      <c r="F507" s="4">
        <f t="shared" si="315"/>
        <v>-1.6760261970901857E-4</v>
      </c>
      <c r="G507" s="4">
        <f t="shared" si="315"/>
        <v>-2.1079522513825732E-4</v>
      </c>
      <c r="H507" s="4">
        <f t="shared" si="315"/>
        <v>-2.5365238242180862E-4</v>
      </c>
      <c r="I507" s="4">
        <f t="shared" si="315"/>
        <v>-2.9663023002524488E-4</v>
      </c>
      <c r="J507" s="4">
        <f t="shared" si="315"/>
        <v>-3.3893200352993195E-4</v>
      </c>
      <c r="K507" s="4">
        <f t="shared" si="315"/>
        <v>-3.8028021853888592E-4</v>
      </c>
      <c r="L507" s="4">
        <f t="shared" si="315"/>
        <v>-4.2055110581670156E-4</v>
      </c>
      <c r="M507" s="4">
        <f t="shared" si="315"/>
        <v>-4.6034652787279716E-4</v>
      </c>
      <c r="N507" s="4">
        <f t="shared" si="315"/>
        <v>-5.0161893192269907E-4</v>
      </c>
      <c r="O507" s="4">
        <f t="shared" si="315"/>
        <v>-5.4271470158736841E-4</v>
      </c>
      <c r="P507" s="4">
        <f t="shared" si="315"/>
        <v>-5.8333846745623743E-4</v>
      </c>
      <c r="Q507" s="4">
        <f t="shared" si="315"/>
        <v>-6.2344417098301032E-4</v>
      </c>
      <c r="R507" s="4">
        <f t="shared" si="315"/>
        <v>-6.6305336345619421E-4</v>
      </c>
      <c r="S507" s="4">
        <f t="shared" si="315"/>
        <v>-7.0415287840908515E-4</v>
      </c>
      <c r="T507" s="4">
        <f t="shared" si="315"/>
        <v>-7.4512753391413312E-4</v>
      </c>
      <c r="U507" s="4">
        <f t="shared" si="315"/>
        <v>-7.8572002813571463E-4</v>
      </c>
      <c r="V507" s="4">
        <f t="shared" si="315"/>
        <v>-8.2592585414655148E-4</v>
      </c>
      <c r="W507" s="4">
        <f t="shared" si="315"/>
        <v>-8.6567390765388474E-4</v>
      </c>
      <c r="X507" s="4">
        <f t="shared" si="315"/>
        <v>-9.0515215653671089E-4</v>
      </c>
      <c r="Y507" s="4">
        <f t="shared" si="315"/>
        <v>-9.443621704713352E-4</v>
      </c>
      <c r="Z507" s="4">
        <f t="shared" si="315"/>
        <v>-9.8330826763559187E-4</v>
      </c>
      <c r="AA507" s="4">
        <f t="shared" si="315"/>
        <v>-1.0220129067812166E-3</v>
      </c>
      <c r="AB507" s="4">
        <f t="shared" si="315"/>
        <v>-1.0601639959820085E-3</v>
      </c>
      <c r="AC507" s="4">
        <f t="shared" si="315"/>
        <v>-1.0974482271814683E-3</v>
      </c>
      <c r="AD507" s="4">
        <f t="shared" si="315"/>
        <v>-1.134480859055697E-3</v>
      </c>
      <c r="AE507" s="4">
        <f t="shared" si="315"/>
        <v>-1.1713174053779869E-3</v>
      </c>
      <c r="AF507" s="4">
        <f t="shared" si="315"/>
        <v>-1.2079569175165047E-3</v>
      </c>
      <c r="AG507" s="4">
        <f t="shared" si="315"/>
        <v>-1.2443902476416485E-3</v>
      </c>
      <c r="AH507" s="4">
        <f t="shared" si="315"/>
        <v>-1.2802239474987405E-3</v>
      </c>
      <c r="AI507" s="4">
        <f t="shared" si="315"/>
        <v>-1.3157464864162794E-3</v>
      </c>
      <c r="AJ507" s="4">
        <f t="shared" si="315"/>
        <v>-1.350987531842368E-3</v>
      </c>
      <c r="AK507" s="4">
        <f t="shared" si="315"/>
        <v>-1.3859293065269166E-3</v>
      </c>
      <c r="AL507" s="4">
        <f t="shared" si="315"/>
        <v>-1.4205466145571113E-3</v>
      </c>
      <c r="AM507" s="4">
        <f t="shared" ref="AM507:BC507" si="316">(AM480-AM493)/AM$492</f>
        <v>-1.4515788924406904E-3</v>
      </c>
      <c r="AN507" s="4">
        <f t="shared" si="316"/>
        <v>-1.4817422642897809E-3</v>
      </c>
      <c r="AO507" s="4">
        <f t="shared" si="316"/>
        <v>-1.5115209889397824E-3</v>
      </c>
      <c r="AP507" s="4">
        <f t="shared" si="316"/>
        <v>-1.5409688360827933E-3</v>
      </c>
      <c r="AQ507" s="4">
        <f t="shared" si="316"/>
        <v>-1.5700740075761655E-3</v>
      </c>
      <c r="AR507" s="4">
        <f t="shared" si="316"/>
        <v>-1.5983390389088996E-3</v>
      </c>
      <c r="AS507" s="4">
        <f t="shared" si="316"/>
        <v>-1.6261566860595296E-3</v>
      </c>
      <c r="AT507" s="4">
        <f t="shared" si="316"/>
        <v>-1.6535959515897309E-3</v>
      </c>
      <c r="AU507" s="4">
        <f t="shared" si="316"/>
        <v>-1.6806681264021088E-3</v>
      </c>
      <c r="AV507" s="4">
        <f t="shared" si="316"/>
        <v>-1.7073743741240664E-3</v>
      </c>
      <c r="AW507" s="4">
        <f t="shared" si="316"/>
        <v>-1.7321612880024256E-3</v>
      </c>
      <c r="AX507" s="4">
        <f t="shared" si="316"/>
        <v>-1.7563134539480189E-3</v>
      </c>
      <c r="AY507" s="4">
        <f t="shared" si="316"/>
        <v>-1.7800653656371572E-3</v>
      </c>
      <c r="AZ507" s="4">
        <f t="shared" si="316"/>
        <v>-1.8034601241836402E-3</v>
      </c>
      <c r="BA507" s="4">
        <f t="shared" si="316"/>
        <v>-1.826509900242835E-3</v>
      </c>
      <c r="BB507" s="4">
        <f t="shared" si="316"/>
        <v>-1.848297797980877E-3</v>
      </c>
      <c r="BC507" s="4">
        <f t="shared" si="316"/>
        <v>-1.8696061218201065E-3</v>
      </c>
      <c r="BD507" s="4">
        <f t="shared" ref="BD507:BF507" si="317">(BD480-BD493)/BD$492</f>
        <v>-1.8905897570907575E-3</v>
      </c>
      <c r="BE507" s="4">
        <f t="shared" si="317"/>
        <v>-1.9112866392996246E-3</v>
      </c>
      <c r="BF507" s="4">
        <f t="shared" si="317"/>
        <v>-1.9317145440824496E-3</v>
      </c>
    </row>
    <row r="508" spans="1:58" x14ac:dyDescent="0.35">
      <c r="B508" t="s">
        <v>74</v>
      </c>
      <c r="C508" s="4">
        <f>(C481-C494)/C$493</f>
        <v>-3.1863547470618418E-2</v>
      </c>
      <c r="D508" s="4">
        <f>(D481-D494)/D$492</f>
        <v>-1.1411292650995157E-3</v>
      </c>
      <c r="E508" s="4">
        <f t="shared" ref="E508:AL508" si="318">(E481-E494)/E$492</f>
        <v>-1.7962639657788226E-3</v>
      </c>
      <c r="F508" s="4">
        <f t="shared" si="318"/>
        <v>-2.4734943239014661E-3</v>
      </c>
      <c r="G508" s="4">
        <f t="shared" si="318"/>
        <v>-3.1626805874744521E-3</v>
      </c>
      <c r="H508" s="4">
        <f t="shared" si="318"/>
        <v>-3.8557551144653866E-3</v>
      </c>
      <c r="I508" s="4">
        <f t="shared" si="318"/>
        <v>-4.5564083205773516E-3</v>
      </c>
      <c r="J508" s="4">
        <f t="shared" si="318"/>
        <v>-5.2481609666086152E-3</v>
      </c>
      <c r="K508" s="4">
        <f t="shared" si="318"/>
        <v>-5.9214343037754108E-3</v>
      </c>
      <c r="L508" s="4">
        <f t="shared" si="318"/>
        <v>-6.5687518021033684E-3</v>
      </c>
      <c r="M508" s="4">
        <f t="shared" si="318"/>
        <v>-7.1968146364036773E-3</v>
      </c>
      <c r="N508" s="4">
        <f t="shared" si="318"/>
        <v>-7.8326128918874329E-3</v>
      </c>
      <c r="O508" s="4">
        <f t="shared" si="318"/>
        <v>-8.4517496004091492E-3</v>
      </c>
      <c r="P508" s="4">
        <f t="shared" si="318"/>
        <v>-9.0520165548149713E-3</v>
      </c>
      <c r="Q508" s="4">
        <f t="shared" si="318"/>
        <v>-9.6340370508044022E-3</v>
      </c>
      <c r="R508" s="4">
        <f t="shared" si="318"/>
        <v>-1.0199450024819709E-2</v>
      </c>
      <c r="S508" s="4">
        <f t="shared" si="318"/>
        <v>-1.0777372177307518E-2</v>
      </c>
      <c r="T508" s="4">
        <f t="shared" si="318"/>
        <v>-1.1344695786797702E-2</v>
      </c>
      <c r="U508" s="4">
        <f t="shared" si="318"/>
        <v>-1.1899908693419777E-2</v>
      </c>
      <c r="V508" s="4">
        <f t="shared" si="318"/>
        <v>-1.2442893693385302E-2</v>
      </c>
      <c r="W508" s="4">
        <f t="shared" si="318"/>
        <v>-1.2972292523286287E-2</v>
      </c>
      <c r="X508" s="4">
        <f t="shared" si="318"/>
        <v>-1.3491347846043051E-2</v>
      </c>
      <c r="Y508" s="4">
        <f t="shared" si="318"/>
        <v>-1.399883789098734E-2</v>
      </c>
      <c r="Z508" s="4">
        <f t="shared" si="318"/>
        <v>-1.449573444199745E-2</v>
      </c>
      <c r="AA508" s="4">
        <f t="shared" si="318"/>
        <v>-1.4983051822339187E-2</v>
      </c>
      <c r="AB508" s="4">
        <f t="shared" si="318"/>
        <v>-1.545639561212765E-2</v>
      </c>
      <c r="AC508" s="4">
        <f t="shared" si="318"/>
        <v>-1.5914943417361473E-2</v>
      </c>
      <c r="AD508" s="4">
        <f t="shared" si="318"/>
        <v>-1.636454846138603E-2</v>
      </c>
      <c r="AE508" s="4">
        <f t="shared" si="318"/>
        <v>-1.6806670883796653E-2</v>
      </c>
      <c r="AF508" s="4">
        <f t="shared" si="318"/>
        <v>-1.7242220863358814E-2</v>
      </c>
      <c r="AG508" s="4">
        <f t="shared" si="318"/>
        <v>-1.7672077396457944E-2</v>
      </c>
      <c r="AH508" s="4">
        <f t="shared" si="318"/>
        <v>-1.8091633447151336E-2</v>
      </c>
      <c r="AI508" s="4">
        <f t="shared" si="318"/>
        <v>-1.8505729786406966E-2</v>
      </c>
      <c r="AJ508" s="4">
        <f t="shared" si="318"/>
        <v>-1.8915109956524571E-2</v>
      </c>
      <c r="AK508" s="4">
        <f t="shared" si="318"/>
        <v>-1.9320211521963594E-2</v>
      </c>
      <c r="AL508" s="4">
        <f t="shared" si="318"/>
        <v>-1.9721336671194162E-2</v>
      </c>
      <c r="AM508" s="4">
        <f t="shared" ref="AM508:BC508" si="319">(AM481-AM494)/AM$492</f>
        <v>-2.0073167435262343E-2</v>
      </c>
      <c r="AN508" s="4">
        <f t="shared" si="319"/>
        <v>-2.0415520103519973E-2</v>
      </c>
      <c r="AO508" s="4">
        <f t="shared" si="319"/>
        <v>-2.0751537867654622E-2</v>
      </c>
      <c r="AP508" s="4">
        <f t="shared" si="319"/>
        <v>-2.1082227238335052E-2</v>
      </c>
      <c r="AQ508" s="4">
        <f t="shared" si="319"/>
        <v>-2.1408173230465649E-2</v>
      </c>
      <c r="AR508" s="4">
        <f t="shared" si="319"/>
        <v>-2.1723163567826758E-2</v>
      </c>
      <c r="AS508" s="4">
        <f t="shared" si="319"/>
        <v>-2.2033228747592472E-2</v>
      </c>
      <c r="AT508" s="4">
        <f t="shared" si="319"/>
        <v>-2.2339181777877502E-2</v>
      </c>
      <c r="AU508" s="4">
        <f t="shared" si="319"/>
        <v>-2.2641447194578019E-2</v>
      </c>
      <c r="AV508" s="4">
        <f t="shared" si="319"/>
        <v>-2.2940405481932189E-2</v>
      </c>
      <c r="AW508" s="4">
        <f t="shared" si="319"/>
        <v>-2.3215348320686884E-2</v>
      </c>
      <c r="AX508" s="4">
        <f t="shared" si="319"/>
        <v>-2.348467620033225E-2</v>
      </c>
      <c r="AY508" s="4">
        <f t="shared" si="319"/>
        <v>-2.3750497019635407E-2</v>
      </c>
      <c r="AZ508" s="4">
        <f t="shared" si="319"/>
        <v>-2.4013757304352134E-2</v>
      </c>
      <c r="BA508" s="4">
        <f t="shared" si="319"/>
        <v>-2.4275062135435871E-2</v>
      </c>
      <c r="BB508" s="4">
        <f t="shared" si="319"/>
        <v>-2.4522245074042954E-2</v>
      </c>
      <c r="BC508" s="4">
        <f t="shared" si="319"/>
        <v>-2.4766327042025079E-2</v>
      </c>
      <c r="BD508" s="4">
        <f t="shared" ref="BD508:BF508" si="320">(BD481-BD494)/BD$492</f>
        <v>-2.5008528098511871E-2</v>
      </c>
      <c r="BE508" s="4">
        <f t="shared" si="320"/>
        <v>-2.5249393753860833E-2</v>
      </c>
      <c r="BF508" s="4">
        <f t="shared" si="320"/>
        <v>-2.5489283215768679E-2</v>
      </c>
    </row>
    <row r="509" spans="1:58" x14ac:dyDescent="0.35">
      <c r="B509" t="s">
        <v>54</v>
      </c>
      <c r="C509" s="4">
        <f>(C485-C498)/C$492</f>
        <v>-1.1404630007388337E-4</v>
      </c>
      <c r="D509" s="4">
        <f>(D485-D498)/D$492</f>
        <v>-3.1974834693210502E-4</v>
      </c>
      <c r="E509" s="4">
        <f t="shared" ref="E509:AL509" si="321">(E485-E498)/E$492</f>
        <v>-5.0666837476471323E-4</v>
      </c>
      <c r="F509" s="4">
        <f t="shared" si="321"/>
        <v>-6.7939256784873496E-4</v>
      </c>
      <c r="G509" s="4">
        <f t="shared" si="321"/>
        <v>-8.4271829519735636E-4</v>
      </c>
      <c r="H509" s="4">
        <f t="shared" si="321"/>
        <v>-1.0012605747163319E-3</v>
      </c>
      <c r="I509" s="4">
        <f t="shared" si="321"/>
        <v>-1.1648872942278269E-3</v>
      </c>
      <c r="J509" s="4">
        <f t="shared" si="321"/>
        <v>-1.3200080263353776E-3</v>
      </c>
      <c r="K509" s="4">
        <f t="shared" si="321"/>
        <v>-1.4603525444678508E-3</v>
      </c>
      <c r="L509" s="4">
        <f t="shared" si="321"/>
        <v>-1.5812959284841306E-3</v>
      </c>
      <c r="M509" s="4">
        <f t="shared" si="321"/>
        <v>-1.6874393826375698E-3</v>
      </c>
      <c r="N509" s="4">
        <f t="shared" si="321"/>
        <v>-1.7832966729037995E-3</v>
      </c>
      <c r="O509" s="4">
        <f t="shared" si="321"/>
        <v>-1.85835133135625E-3</v>
      </c>
      <c r="P509" s="4">
        <f t="shared" si="321"/>
        <v>-1.9158282278659915E-3</v>
      </c>
      <c r="Q509" s="4">
        <f t="shared" si="321"/>
        <v>-1.9628946122529976E-3</v>
      </c>
      <c r="R509" s="4">
        <f t="shared" si="321"/>
        <v>-2.0065295630826356E-3</v>
      </c>
      <c r="S509" s="4">
        <f t="shared" si="321"/>
        <v>-2.0601299576215371E-3</v>
      </c>
      <c r="T509" s="4">
        <f t="shared" si="321"/>
        <v>-2.1167922950545651E-3</v>
      </c>
      <c r="U509" s="4">
        <f t="shared" si="321"/>
        <v>-2.1766397618797804E-3</v>
      </c>
      <c r="V509" s="4">
        <f t="shared" si="321"/>
        <v>-2.2390654637072351E-3</v>
      </c>
      <c r="W509" s="4">
        <f t="shared" si="321"/>
        <v>-2.3018414362756608E-3</v>
      </c>
      <c r="X509" s="4">
        <f t="shared" si="321"/>
        <v>-2.3669240377096356E-3</v>
      </c>
      <c r="Y509" s="4">
        <f t="shared" si="321"/>
        <v>-2.4320569792813567E-3</v>
      </c>
      <c r="Z509" s="4">
        <f t="shared" si="321"/>
        <v>-2.4969769871292396E-3</v>
      </c>
      <c r="AA509" s="4">
        <f t="shared" si="321"/>
        <v>-2.5616087656189436E-3</v>
      </c>
      <c r="AB509" s="4">
        <f t="shared" si="321"/>
        <v>-2.6210314053899978E-3</v>
      </c>
      <c r="AC509" s="4">
        <f t="shared" si="321"/>
        <v>-2.6795861731174829E-3</v>
      </c>
      <c r="AD509" s="4">
        <f t="shared" si="321"/>
        <v>-2.7373679248327656E-3</v>
      </c>
      <c r="AE509" s="4">
        <f t="shared" si="321"/>
        <v>-2.7944311277514127E-3</v>
      </c>
      <c r="AF509" s="4">
        <f t="shared" si="321"/>
        <v>-2.8506417056295597E-3</v>
      </c>
      <c r="AG509" s="4">
        <f t="shared" si="321"/>
        <v>-2.9063720400499997E-3</v>
      </c>
      <c r="AH509" s="4">
        <f t="shared" si="321"/>
        <v>-2.9599254272039094E-3</v>
      </c>
      <c r="AI509" s="4">
        <f t="shared" si="321"/>
        <v>-3.0127279626936099E-3</v>
      </c>
      <c r="AJ509" s="4">
        <f t="shared" si="321"/>
        <v>-3.0649372802129767E-3</v>
      </c>
      <c r="AK509" s="4">
        <f t="shared" si="321"/>
        <v>-3.1168471591042474E-3</v>
      </c>
      <c r="AL509" s="4">
        <f t="shared" si="321"/>
        <v>-3.1687403326920325E-3</v>
      </c>
      <c r="AM509" s="4">
        <f t="shared" ref="AM509:BC509" si="322">(AM485-AM498)/AM$492</f>
        <v>-3.2039783762949385E-3</v>
      </c>
      <c r="AN509" s="4">
        <f t="shared" si="322"/>
        <v>-3.2390744829243223E-3</v>
      </c>
      <c r="AO509" s="4">
        <f t="shared" si="322"/>
        <v>-3.2743702145855325E-3</v>
      </c>
      <c r="AP509" s="4">
        <f t="shared" si="322"/>
        <v>-3.3098385141548709E-3</v>
      </c>
      <c r="AQ509" s="4">
        <f t="shared" si="322"/>
        <v>-3.3450483109757879E-3</v>
      </c>
      <c r="AR509" s="4">
        <f t="shared" si="322"/>
        <v>-3.3770524701251486E-3</v>
      </c>
      <c r="AS509" s="4">
        <f t="shared" si="322"/>
        <v>-3.4074620052476435E-3</v>
      </c>
      <c r="AT509" s="4">
        <f t="shared" si="322"/>
        <v>-3.4358039903744906E-3</v>
      </c>
      <c r="AU509" s="4">
        <f t="shared" si="322"/>
        <v>-3.4616777475362809E-3</v>
      </c>
      <c r="AV509" s="4">
        <f t="shared" si="322"/>
        <v>-3.4851257750271253E-3</v>
      </c>
      <c r="AW509" s="4">
        <f t="shared" si="322"/>
        <v>-3.4997085260679173E-3</v>
      </c>
      <c r="AX509" s="4">
        <f t="shared" si="322"/>
        <v>-3.5136808828694077E-3</v>
      </c>
      <c r="AY509" s="4">
        <f t="shared" si="322"/>
        <v>-3.5284512684241485E-3</v>
      </c>
      <c r="AZ509" s="4">
        <f t="shared" si="322"/>
        <v>-3.5449619924843921E-3</v>
      </c>
      <c r="BA509" s="4">
        <f t="shared" si="322"/>
        <v>-3.563705929321175E-3</v>
      </c>
      <c r="BB509" s="4">
        <f t="shared" si="322"/>
        <v>-3.580456912645661E-3</v>
      </c>
      <c r="BC509" s="4">
        <f t="shared" si="322"/>
        <v>-3.5995003351356209E-3</v>
      </c>
      <c r="BD509" s="4">
        <f t="shared" ref="BD509:BF509" si="323">(BD485-BD498)/BD$492</f>
        <v>-3.6209665409262818E-3</v>
      </c>
      <c r="BE509" s="4">
        <f t="shared" si="323"/>
        <v>-3.6448639665788924E-3</v>
      </c>
      <c r="BF509" s="4">
        <f t="shared" si="323"/>
        <v>-3.6711029400147001E-3</v>
      </c>
    </row>
    <row r="510" spans="1:58" x14ac:dyDescent="0.35">
      <c r="B510" t="s">
        <v>11</v>
      </c>
      <c r="C510" s="4">
        <f>(C486-C499)/C$493</f>
        <v>-2.7819346735348801E-2</v>
      </c>
      <c r="D510" s="4">
        <f>(D486-D499)/D$492</f>
        <v>-1.2898733288191609E-3</v>
      </c>
      <c r="E510" s="4">
        <f t="shared" ref="E510:AL510" si="324">(E486-E499)/E$492</f>
        <v>-2.1376354645483452E-3</v>
      </c>
      <c r="F510" s="4">
        <f t="shared" si="324"/>
        <v>-2.9744750973403761E-3</v>
      </c>
      <c r="G510" s="4">
        <f t="shared" si="324"/>
        <v>-3.7888218152346024E-3</v>
      </c>
      <c r="H510" s="4">
        <f t="shared" si="324"/>
        <v>-4.5751070901145783E-3</v>
      </c>
      <c r="I510" s="4">
        <f t="shared" si="324"/>
        <v>-5.3452213692056442E-3</v>
      </c>
      <c r="J510" s="4">
        <f t="shared" si="324"/>
        <v>-6.0761754983720481E-3</v>
      </c>
      <c r="K510" s="4">
        <f t="shared" si="324"/>
        <v>-6.749185200322771E-3</v>
      </c>
      <c r="L510" s="4">
        <f t="shared" si="324"/>
        <v>-7.3500648425697144E-3</v>
      </c>
      <c r="M510" s="4">
        <f t="shared" si="324"/>
        <v>-7.8976024116432179E-3</v>
      </c>
      <c r="N510" s="4">
        <f t="shared" si="324"/>
        <v>-8.4289745257851035E-3</v>
      </c>
      <c r="O510" s="4">
        <f t="shared" si="324"/>
        <v>-8.9233697172276354E-3</v>
      </c>
      <c r="P510" s="4">
        <f t="shared" si="324"/>
        <v>-9.3807346961219465E-3</v>
      </c>
      <c r="Q510" s="4">
        <f t="shared" si="324"/>
        <v>-9.8067143345547166E-3</v>
      </c>
      <c r="R510" s="4">
        <f t="shared" si="324"/>
        <v>-1.0208220439031968E-2</v>
      </c>
      <c r="S510" s="4">
        <f t="shared" si="324"/>
        <v>-1.0620677765234348E-2</v>
      </c>
      <c r="T510" s="4">
        <f t="shared" si="324"/>
        <v>-1.1026907829279082E-2</v>
      </c>
      <c r="U510" s="4">
        <f t="shared" si="324"/>
        <v>-1.1425393636107986E-2</v>
      </c>
      <c r="V510" s="4">
        <f t="shared" si="324"/>
        <v>-1.1816124130471169E-2</v>
      </c>
      <c r="W510" s="4">
        <f t="shared" si="324"/>
        <v>-1.2198419963381313E-2</v>
      </c>
      <c r="X510" s="4">
        <f t="shared" si="324"/>
        <v>-1.2574787779366423E-2</v>
      </c>
      <c r="Y510" s="4">
        <f t="shared" si="324"/>
        <v>-1.2945343753955804E-2</v>
      </c>
      <c r="Z510" s="4">
        <f t="shared" si="324"/>
        <v>-1.3311707625577195E-2</v>
      </c>
      <c r="AA510" s="4">
        <f t="shared" si="324"/>
        <v>-1.3675710163918043E-2</v>
      </c>
      <c r="AB510" s="4">
        <f t="shared" si="324"/>
        <v>-1.4034458721499887E-2</v>
      </c>
      <c r="AC510" s="4">
        <f t="shared" si="324"/>
        <v>-1.4384770418671498E-2</v>
      </c>
      <c r="AD510" s="4">
        <f t="shared" si="324"/>
        <v>-1.4732253111626374E-2</v>
      </c>
      <c r="AE510" s="4">
        <f t="shared" si="324"/>
        <v>-1.5078907293907848E-2</v>
      </c>
      <c r="AF510" s="4">
        <f t="shared" si="324"/>
        <v>-1.5426075077753629E-2</v>
      </c>
      <c r="AG510" s="4">
        <f t="shared" si="324"/>
        <v>-1.5774709227950549E-2</v>
      </c>
      <c r="AH510" s="4">
        <f t="shared" si="324"/>
        <v>-1.6120250073509951E-2</v>
      </c>
      <c r="AI510" s="4">
        <f t="shared" si="324"/>
        <v>-1.646668430141688E-2</v>
      </c>
      <c r="AJ510" s="4">
        <f t="shared" si="324"/>
        <v>-1.6815047505931831E-2</v>
      </c>
      <c r="AK510" s="4">
        <f t="shared" si="324"/>
        <v>-1.7165726409040381E-2</v>
      </c>
      <c r="AL510" s="4">
        <f t="shared" si="324"/>
        <v>-1.7518669809696713E-2</v>
      </c>
      <c r="AM510" s="4">
        <f t="shared" ref="AM510:BC510" si="325">(AM486-AM499)/AM$492</f>
        <v>-1.7829960017818905E-2</v>
      </c>
      <c r="AN510" s="4">
        <f t="shared" si="325"/>
        <v>-1.8128649817865671E-2</v>
      </c>
      <c r="AO510" s="4">
        <f t="shared" si="325"/>
        <v>-1.8419937257588122E-2</v>
      </c>
      <c r="AP510" s="4">
        <f t="shared" si="325"/>
        <v>-1.8706214847528348E-2</v>
      </c>
      <c r="AQ510" s="4">
        <f t="shared" si="325"/>
        <v>-1.8988655977613258E-2</v>
      </c>
      <c r="AR510" s="4">
        <f t="shared" si="325"/>
        <v>-1.9261584925530366E-2</v>
      </c>
      <c r="AS510" s="4">
        <f t="shared" si="325"/>
        <v>-1.9529174205911645E-2</v>
      </c>
      <c r="AT510" s="4">
        <f t="shared" si="325"/>
        <v>-1.9792218329443233E-2</v>
      </c>
      <c r="AU510" s="4">
        <f t="shared" si="325"/>
        <v>-2.0050979152170426E-2</v>
      </c>
      <c r="AV510" s="4">
        <f t="shared" si="325"/>
        <v>-2.0305815689072568E-2</v>
      </c>
      <c r="AW510" s="4">
        <f t="shared" si="325"/>
        <v>-2.0538508897212614E-2</v>
      </c>
      <c r="AX510" s="4">
        <f t="shared" si="325"/>
        <v>-2.0762444047163753E-2</v>
      </c>
      <c r="AY510" s="4">
        <f t="shared" si="325"/>
        <v>-2.0981450199903093E-2</v>
      </c>
      <c r="AZ510" s="4">
        <f t="shared" si="325"/>
        <v>-2.1197923189339045E-2</v>
      </c>
      <c r="BA510" s="4">
        <f t="shared" si="325"/>
        <v>-2.1413365524866015E-2</v>
      </c>
      <c r="BB510" s="4">
        <f t="shared" si="325"/>
        <v>-2.1617522606579117E-2</v>
      </c>
      <c r="BC510" s="4">
        <f t="shared" si="325"/>
        <v>-2.1817918748823144E-2</v>
      </c>
      <c r="BD510" s="4">
        <f t="shared" ref="BD510:BF510" si="326">(BD486-BD499)/BD$492</f>
        <v>-2.2016455384293962E-2</v>
      </c>
      <c r="BE510" s="4">
        <f t="shared" si="326"/>
        <v>-2.2214328619929124E-2</v>
      </c>
      <c r="BF510" s="4">
        <f t="shared" si="326"/>
        <v>-2.2412344283564815E-2</v>
      </c>
    </row>
    <row r="511" spans="1:58" x14ac:dyDescent="0.35">
      <c r="B511" t="s">
        <v>75</v>
      </c>
      <c r="C511" s="4">
        <f>(C487-C500)/C$494</f>
        <v>-9.1509031692664023E-4</v>
      </c>
      <c r="D511" s="4">
        <f>(D487-D500)/D$492</f>
        <v>-8.5541565398202586E-4</v>
      </c>
      <c r="E511" s="4">
        <f t="shared" ref="E511:AL511" si="327">(E487-E500)/E$492</f>
        <v>-1.3872839885827294E-3</v>
      </c>
      <c r="F511" s="4">
        <f t="shared" si="327"/>
        <v>-1.9094390686377422E-3</v>
      </c>
      <c r="G511" s="4">
        <f t="shared" si="327"/>
        <v>-2.4182610982656249E-3</v>
      </c>
      <c r="H511" s="4">
        <f t="shared" si="327"/>
        <v>-2.9092816200204604E-3</v>
      </c>
      <c r="I511" s="4">
        <f t="shared" si="327"/>
        <v>-3.3774661214730373E-3</v>
      </c>
      <c r="J511" s="4">
        <f t="shared" si="327"/>
        <v>-3.8432949906555464E-3</v>
      </c>
      <c r="K511" s="4">
        <f t="shared" si="327"/>
        <v>-4.3133767274628927E-3</v>
      </c>
      <c r="L511" s="4">
        <f t="shared" si="327"/>
        <v>-4.7887851285708972E-3</v>
      </c>
      <c r="M511" s="4">
        <f t="shared" si="327"/>
        <v>-5.2310932387150556E-3</v>
      </c>
      <c r="N511" s="4">
        <f t="shared" si="327"/>
        <v>-5.6604930122014048E-3</v>
      </c>
      <c r="O511" s="4">
        <f t="shared" si="327"/>
        <v>-6.0653532170017038E-3</v>
      </c>
      <c r="P511" s="4">
        <f t="shared" si="327"/>
        <v>-6.4494710737775353E-3</v>
      </c>
      <c r="Q511" s="4">
        <f t="shared" si="327"/>
        <v>-6.8184237005755625E-3</v>
      </c>
      <c r="R511" s="4">
        <f t="shared" si="327"/>
        <v>-7.1767384774307757E-3</v>
      </c>
      <c r="S511" s="4">
        <f t="shared" si="327"/>
        <v>-7.5496809805191143E-3</v>
      </c>
      <c r="T511" s="4">
        <f t="shared" si="327"/>
        <v>-7.9215038617437197E-3</v>
      </c>
      <c r="U511" s="4">
        <f t="shared" si="327"/>
        <v>-8.2902862982890679E-3</v>
      </c>
      <c r="V511" s="4">
        <f t="shared" si="327"/>
        <v>-8.6555903332996668E-3</v>
      </c>
      <c r="W511" s="4">
        <f t="shared" si="327"/>
        <v>-9.0154886656213552E-3</v>
      </c>
      <c r="X511" s="4">
        <f t="shared" si="327"/>
        <v>-9.3728170334857232E-3</v>
      </c>
      <c r="Y511" s="4">
        <f t="shared" si="327"/>
        <v>-9.7268929201520544E-3</v>
      </c>
      <c r="Z511" s="4">
        <f t="shared" si="327"/>
        <v>-1.0077954973636291E-2</v>
      </c>
      <c r="AA511" s="4">
        <f t="shared" si="327"/>
        <v>-1.0426393546724384E-2</v>
      </c>
      <c r="AB511" s="4">
        <f t="shared" si="327"/>
        <v>-1.0766494571296322E-2</v>
      </c>
      <c r="AC511" s="4">
        <f t="shared" si="327"/>
        <v>-1.1097740022167729E-2</v>
      </c>
      <c r="AD511" s="4">
        <f t="shared" si="327"/>
        <v>-1.1425714272994998E-2</v>
      </c>
      <c r="AE511" s="4">
        <f t="shared" si="327"/>
        <v>-1.1751598296056718E-2</v>
      </c>
      <c r="AF511" s="4">
        <f t="shared" si="327"/>
        <v>-1.207580045289971E-2</v>
      </c>
      <c r="AG511" s="4">
        <f t="shared" si="327"/>
        <v>-1.2398464559479837E-2</v>
      </c>
      <c r="AH511" s="4">
        <f t="shared" si="327"/>
        <v>-1.2715337028998984E-2</v>
      </c>
      <c r="AI511" s="4">
        <f t="shared" si="327"/>
        <v>-1.3029763563734312E-2</v>
      </c>
      <c r="AJ511" s="4">
        <f t="shared" si="327"/>
        <v>-1.3342230235149926E-2</v>
      </c>
      <c r="AK511" s="4">
        <f t="shared" si="327"/>
        <v>-1.3652888336151301E-2</v>
      </c>
      <c r="AL511" s="4">
        <f t="shared" si="327"/>
        <v>-1.3961753767928879E-2</v>
      </c>
      <c r="AM511" s="4">
        <f t="shared" ref="AM511:BC511" si="328">(AM487-AM500)/AM$492</f>
        <v>-1.4231325746474895E-2</v>
      </c>
      <c r="AN511" s="4">
        <f t="shared" si="328"/>
        <v>-1.4491113868218707E-2</v>
      </c>
      <c r="AO511" s="4">
        <f t="shared" si="328"/>
        <v>-1.4746143518450754E-2</v>
      </c>
      <c r="AP511" s="4">
        <f t="shared" si="328"/>
        <v>-1.499803154433834E-2</v>
      </c>
      <c r="AQ511" s="4">
        <f t="shared" si="328"/>
        <v>-1.5247276030357308E-2</v>
      </c>
      <c r="AR511" s="4">
        <f t="shared" si="328"/>
        <v>-1.5488519669999755E-2</v>
      </c>
      <c r="AS511" s="4">
        <f t="shared" si="328"/>
        <v>-1.5725864938489091E-2</v>
      </c>
      <c r="AT511" s="4">
        <f t="shared" si="328"/>
        <v>-1.5959896139729517E-2</v>
      </c>
      <c r="AU511" s="4">
        <f t="shared" si="328"/>
        <v>-1.6190736539175257E-2</v>
      </c>
      <c r="AV511" s="4">
        <f t="shared" si="328"/>
        <v>-1.6418472250894149E-2</v>
      </c>
      <c r="AW511" s="4">
        <f t="shared" si="328"/>
        <v>-1.6626192640655985E-2</v>
      </c>
      <c r="AX511" s="4">
        <f t="shared" si="328"/>
        <v>-1.6827685887472001E-2</v>
      </c>
      <c r="AY511" s="4">
        <f t="shared" si="328"/>
        <v>-1.7025820114356438E-2</v>
      </c>
      <c r="AZ511" s="4">
        <f t="shared" si="328"/>
        <v>-1.72218665213545E-2</v>
      </c>
      <c r="BA511" s="4">
        <f t="shared" si="328"/>
        <v>-1.7416475174080581E-2</v>
      </c>
      <c r="BB511" s="4">
        <f t="shared" si="328"/>
        <v>-1.7599777543546111E-2</v>
      </c>
      <c r="BC511" s="4">
        <f t="shared" si="328"/>
        <v>-1.777988344603677E-2</v>
      </c>
      <c r="BD511" s="4">
        <f t="shared" ref="BD511:BF511" si="329">(BD487-BD500)/BD$492</f>
        <v>-1.7958317675196626E-2</v>
      </c>
      <c r="BE511" s="4">
        <f t="shared" si="329"/>
        <v>-1.8135680192541456E-2</v>
      </c>
      <c r="BF511" s="4">
        <f t="shared" si="329"/>
        <v>-1.8312252274937588E-2</v>
      </c>
    </row>
    <row r="513" spans="2:58" x14ac:dyDescent="0.35">
      <c r="B513" s="6" t="str">
        <f>[1]Macro!A100</f>
        <v>y_toe_2</v>
      </c>
      <c r="C513" s="6">
        <f>[1]Macro!B100</f>
        <v>139.40688470000001</v>
      </c>
      <c r="D513" s="6">
        <f>[1]Macro!C100</f>
        <v>137.51003789999999</v>
      </c>
      <c r="E513" s="6">
        <f>[1]Macro!D100</f>
        <v>137.7842249</v>
      </c>
      <c r="F513" s="6">
        <f>[1]Macro!E100</f>
        <v>138.31924190000001</v>
      </c>
      <c r="G513" s="6">
        <f>[1]Macro!F100</f>
        <v>139.0596213</v>
      </c>
      <c r="H513" s="6">
        <f>[1]Macro!G100</f>
        <v>139.9890991</v>
      </c>
      <c r="I513" s="6">
        <f>[1]Macro!H100</f>
        <v>141.00097389999999</v>
      </c>
      <c r="J513" s="6">
        <f>[1]Macro!I100</f>
        <v>142.11937090000001</v>
      </c>
      <c r="K513" s="6">
        <f>[1]Macro!J100</f>
        <v>143.3277315</v>
      </c>
      <c r="L513" s="6">
        <f>[1]Macro!K100</f>
        <v>144.60682550000001</v>
      </c>
      <c r="M513" s="6">
        <f>[1]Macro!L100</f>
        <v>146.0711953</v>
      </c>
      <c r="N513" s="6">
        <f>[1]Macro!M100</f>
        <v>147.4719509</v>
      </c>
      <c r="O513" s="6">
        <f>[1]Macro!N100</f>
        <v>148.8824645</v>
      </c>
      <c r="P513" s="6">
        <f>[1]Macro!O100</f>
        <v>150.30560360000001</v>
      </c>
      <c r="Q513" s="6">
        <f>[1]Macro!P100</f>
        <v>151.7392629</v>
      </c>
      <c r="R513" s="6">
        <f>[1]Macro!Q100</f>
        <v>153.1811787</v>
      </c>
      <c r="S513" s="6">
        <f>[1]Macro!R100</f>
        <v>154.61589029999999</v>
      </c>
      <c r="T513" s="6">
        <f>[1]Macro!S100</f>
        <v>156.0543725</v>
      </c>
      <c r="U513" s="6">
        <f>[1]Macro!T100</f>
        <v>157.49882059999999</v>
      </c>
      <c r="V513" s="6">
        <f>[1]Macro!U100</f>
        <v>158.95109149999999</v>
      </c>
      <c r="W513" s="6">
        <f>[1]Macro!V100</f>
        <v>160.31893059999999</v>
      </c>
      <c r="X513" s="6">
        <f>[1]Macro!W100</f>
        <v>161.76354850000001</v>
      </c>
      <c r="Y513" s="6">
        <f>[1]Macro!X100</f>
        <v>163.2345339</v>
      </c>
      <c r="Z513" s="6">
        <f>[1]Macro!Y100</f>
        <v>164.72755960000001</v>
      </c>
      <c r="AA513" s="6">
        <f>[1]Macro!Z100</f>
        <v>166.242592</v>
      </c>
      <c r="AB513" s="6">
        <f>[1]Macro!AA100</f>
        <v>167.51365129999999</v>
      </c>
      <c r="AC513" s="6">
        <f>[1]Macro!AB100</f>
        <v>168.87179370000001</v>
      </c>
      <c r="AD513" s="6">
        <f>[1]Macro!AC100</f>
        <v>170.25021280000001</v>
      </c>
      <c r="AE513" s="6">
        <f>[1]Macro!AD100</f>
        <v>171.6473647</v>
      </c>
      <c r="AF513" s="6">
        <f>[1]Macro!AE100</f>
        <v>173.0658172</v>
      </c>
      <c r="AG513" s="6">
        <f>[1]Macro!AF100</f>
        <v>174.50846000000001</v>
      </c>
      <c r="AH513" s="6">
        <f>[1]Macro!AG100</f>
        <v>175.98084030000001</v>
      </c>
      <c r="AI513" s="6">
        <f>[1]Macro!AH100</f>
        <v>177.48242300000001</v>
      </c>
      <c r="AJ513" s="6">
        <f>[1]Macro!AI100</f>
        <v>179.01409409999999</v>
      </c>
      <c r="AK513" s="6">
        <f>[1]Macro!AJ100</f>
        <v>180.576412</v>
      </c>
      <c r="AL513" s="6">
        <f>[1]Macro!AK100</f>
        <v>182.1695971</v>
      </c>
      <c r="AM513" s="6">
        <f>[1]Macro!AL100</f>
        <v>183.758047</v>
      </c>
      <c r="AN513" s="6">
        <f>[1]Macro!AM100</f>
        <v>185.36303369999999</v>
      </c>
      <c r="AO513" s="6">
        <f>[1]Macro!AN100</f>
        <v>186.98901309999999</v>
      </c>
      <c r="AP513" s="6">
        <f>[1]Macro!AO100</f>
        <v>188.6379737</v>
      </c>
      <c r="AQ513" s="6">
        <f>[1]Macro!AP100</f>
        <v>190.31116549999999</v>
      </c>
      <c r="AR513" s="6">
        <f>[1]Macro!AQ100</f>
        <v>192.01372259999999</v>
      </c>
      <c r="AS513" s="6">
        <f>[1]Macro!AR100</f>
        <v>193.74308590000001</v>
      </c>
      <c r="AT513" s="6">
        <f>[1]Macro!AS100</f>
        <v>195.4992216</v>
      </c>
      <c r="AU513" s="6">
        <f>[1]Macro!AT100</f>
        <v>197.2821539</v>
      </c>
      <c r="AV513" s="6">
        <f>[1]Macro!AU100</f>
        <v>199.09184210000001</v>
      </c>
      <c r="AW513" s="6">
        <f>[1]Macro!AV100</f>
        <v>200.94780729999999</v>
      </c>
      <c r="AX513" s="6">
        <f>[1]Macro!AW100</f>
        <v>202.8355061</v>
      </c>
      <c r="AY513" s="6">
        <f>[1]Macro!AX100</f>
        <v>204.75256809999999</v>
      </c>
      <c r="AZ513" s="6">
        <f>[1]Macro!AY100</f>
        <v>206.69781029999999</v>
      </c>
      <c r="BA513" s="6">
        <f>[1]Macro!AZ100</f>
        <v>208.67049510000001</v>
      </c>
      <c r="BB513" s="6">
        <f>[1]Macro!BA100</f>
        <v>210.6788459</v>
      </c>
      <c r="BC513" s="6">
        <f>[1]Macro!BB100</f>
        <v>212.71602139999999</v>
      </c>
      <c r="BD513" s="6">
        <f>[1]Macro!BC100</f>
        <v>214.78097170000001</v>
      </c>
      <c r="BE513" s="6">
        <f>[1]Macro!BD100</f>
        <v>216.8732809</v>
      </c>
      <c r="BF513" s="6">
        <f>[1]Macro!BE100</f>
        <v>218.99283249999999</v>
      </c>
    </row>
    <row r="514" spans="2:58" x14ac:dyDescent="0.35">
      <c r="B514" s="6" t="str">
        <f>[1]Macro!A101</f>
        <v>m_toe_2</v>
      </c>
      <c r="C514" s="6">
        <f>[1]Macro!B101</f>
        <v>151.17173529999999</v>
      </c>
      <c r="D514" s="6">
        <f>[1]Macro!C101</f>
        <v>149.0082286</v>
      </c>
      <c r="E514" s="6">
        <f>[1]Macro!D101</f>
        <v>149.15143470000001</v>
      </c>
      <c r="F514" s="6">
        <f>[1]Macro!E101</f>
        <v>149.7501168</v>
      </c>
      <c r="G514" s="6">
        <f>[1]Macro!F101</f>
        <v>150.61296440000001</v>
      </c>
      <c r="H514" s="6">
        <f>[1]Macro!G101</f>
        <v>151.70298790000001</v>
      </c>
      <c r="I514" s="6">
        <f>[1]Macro!H101</f>
        <v>152.90464729999999</v>
      </c>
      <c r="J514" s="6">
        <f>[1]Macro!I101</f>
        <v>154.24292650000001</v>
      </c>
      <c r="K514" s="6">
        <f>[1]Macro!J101</f>
        <v>155.70201689999999</v>
      </c>
      <c r="L514" s="6">
        <f>[1]Macro!K101</f>
        <v>157.26093560000001</v>
      </c>
      <c r="M514" s="6">
        <f>[1]Macro!L101</f>
        <v>159.04157499999999</v>
      </c>
      <c r="N514" s="6">
        <f>[1]Macro!M101</f>
        <v>160.78306230000001</v>
      </c>
      <c r="O514" s="6">
        <f>[1]Macro!N101</f>
        <v>162.55142029999999</v>
      </c>
      <c r="P514" s="6">
        <f>[1]Macro!O101</f>
        <v>164.35081980000001</v>
      </c>
      <c r="Q514" s="6">
        <f>[1]Macro!P101</f>
        <v>166.17713309999999</v>
      </c>
      <c r="R514" s="6">
        <f>[1]Macro!Q101</f>
        <v>168.02573340000001</v>
      </c>
      <c r="S514" s="6">
        <f>[1]Macro!R101</f>
        <v>169.87836519999999</v>
      </c>
      <c r="T514" s="6">
        <f>[1]Macro!S101</f>
        <v>171.74442719999999</v>
      </c>
      <c r="U514" s="6">
        <f>[1]Macro!T101</f>
        <v>173.6250805</v>
      </c>
      <c r="V514" s="6">
        <f>[1]Macro!U101</f>
        <v>175.5207939</v>
      </c>
      <c r="W514" s="6">
        <f>[1]Macro!V101</f>
        <v>177.33016319999999</v>
      </c>
      <c r="X514" s="6">
        <f>[1]Macro!W101</f>
        <v>179.22077630000001</v>
      </c>
      <c r="Y514" s="6">
        <f>[1]Macro!X101</f>
        <v>181.1447512</v>
      </c>
      <c r="Z514" s="6">
        <f>[1]Macro!Y101</f>
        <v>183.094705</v>
      </c>
      <c r="AA514" s="6">
        <f>[1]Macro!Z101</f>
        <v>185.0698065</v>
      </c>
      <c r="AB514" s="6">
        <f>[1]Macro!AA101</f>
        <v>186.77984259999999</v>
      </c>
      <c r="AC514" s="6">
        <f>[1]Macro!AB101</f>
        <v>188.5678121</v>
      </c>
      <c r="AD514" s="6">
        <f>[1]Macro!AC101</f>
        <v>190.3754754</v>
      </c>
      <c r="AE514" s="6">
        <f>[1]Macro!AD101</f>
        <v>192.1983232</v>
      </c>
      <c r="AF514" s="6">
        <f>[1]Macro!AE101</f>
        <v>194.0392362</v>
      </c>
      <c r="AG514" s="6">
        <f>[1]Macro!AF101</f>
        <v>195.90184239999999</v>
      </c>
      <c r="AH514" s="6">
        <f>[1]Macro!AG101</f>
        <v>197.7926923</v>
      </c>
      <c r="AI514" s="6">
        <f>[1]Macro!AH101</f>
        <v>199.71197219999999</v>
      </c>
      <c r="AJ514" s="6">
        <f>[1]Macro!AI101</f>
        <v>201.66119739999999</v>
      </c>
      <c r="AK514" s="6">
        <f>[1]Macro!AJ101</f>
        <v>203.64161390000001</v>
      </c>
      <c r="AL514" s="6">
        <f>[1]Macro!AK101</f>
        <v>205.65407400000001</v>
      </c>
      <c r="AM514" s="6">
        <f>[1]Macro!AL101</f>
        <v>207.65913280000001</v>
      </c>
      <c r="AN514" s="6">
        <f>[1]Macro!AM101</f>
        <v>209.67792919999999</v>
      </c>
      <c r="AO514" s="6">
        <f>[1]Macro!AN101</f>
        <v>211.71651370000001</v>
      </c>
      <c r="AP514" s="6">
        <f>[1]Macro!AO101</f>
        <v>213.77787190000001</v>
      </c>
      <c r="AQ514" s="6">
        <f>[1]Macro!AP101</f>
        <v>215.8640805</v>
      </c>
      <c r="AR514" s="6">
        <f>[1]Macro!AQ101</f>
        <v>217.9812834</v>
      </c>
      <c r="AS514" s="6">
        <f>[1]Macro!AR101</f>
        <v>220.1274076</v>
      </c>
      <c r="AT514" s="6">
        <f>[1]Macro!AS101</f>
        <v>222.30277359999999</v>
      </c>
      <c r="AU514" s="6">
        <f>[1]Macro!AT101</f>
        <v>224.5078326</v>
      </c>
      <c r="AV514" s="6">
        <f>[1]Macro!AU101</f>
        <v>226.74289329999999</v>
      </c>
      <c r="AW514" s="6">
        <f>[1]Macro!AV101</f>
        <v>229.02933469999999</v>
      </c>
      <c r="AX514" s="6">
        <f>[1]Macro!AW101</f>
        <v>231.35229409999999</v>
      </c>
      <c r="AY514" s="6">
        <f>[1]Macro!AX101</f>
        <v>233.70881199999999</v>
      </c>
      <c r="AZ514" s="6">
        <f>[1]Macro!AY101</f>
        <v>236.0978044</v>
      </c>
      <c r="BA514" s="6">
        <f>[1]Macro!AZ101</f>
        <v>238.51864570000001</v>
      </c>
      <c r="BB514" s="6">
        <f>[1]Macro!BA101</f>
        <v>240.9802674</v>
      </c>
      <c r="BC514" s="6">
        <f>[1]Macro!BB101</f>
        <v>243.47547890000001</v>
      </c>
      <c r="BD514" s="6">
        <f>[1]Macro!BC101</f>
        <v>246.0028547</v>
      </c>
      <c r="BE514" s="6">
        <f>[1]Macro!BD101</f>
        <v>248.5619605</v>
      </c>
      <c r="BF514" s="6">
        <f>[1]Macro!BE101</f>
        <v>251.1526762</v>
      </c>
    </row>
    <row r="515" spans="2:58" x14ac:dyDescent="0.35">
      <c r="B515" s="6" t="str">
        <f>[1]Macro!A102</f>
        <v>ci_toe_2</v>
      </c>
      <c r="C515" s="6">
        <f>[1]Macro!B102</f>
        <v>192.9306631</v>
      </c>
      <c r="D515" s="6">
        <f>[1]Macro!C102</f>
        <v>190.4624513</v>
      </c>
      <c r="E515" s="6">
        <f>[1]Macro!D102</f>
        <v>190.80971020000001</v>
      </c>
      <c r="F515" s="6">
        <f>[1]Macro!E102</f>
        <v>191.89086459999999</v>
      </c>
      <c r="G515" s="6">
        <f>[1]Macro!F102</f>
        <v>193.37290060000001</v>
      </c>
      <c r="H515" s="6">
        <f>[1]Macro!G102</f>
        <v>195.187107</v>
      </c>
      <c r="I515" s="6">
        <f>[1]Macro!H102</f>
        <v>197.17515159999999</v>
      </c>
      <c r="J515" s="6">
        <f>[1]Macro!I102</f>
        <v>199.35310999999999</v>
      </c>
      <c r="K515" s="6">
        <f>[1]Macro!J102</f>
        <v>201.6938553</v>
      </c>
      <c r="L515" s="6">
        <f>[1]Macro!K102</f>
        <v>204.16509020000001</v>
      </c>
      <c r="M515" s="6">
        <f>[1]Macro!L102</f>
        <v>206.92637719999999</v>
      </c>
      <c r="N515" s="6">
        <f>[1]Macro!M102</f>
        <v>209.64003890000001</v>
      </c>
      <c r="O515" s="6">
        <f>[1]Macro!N102</f>
        <v>212.3765483</v>
      </c>
      <c r="P515" s="6">
        <f>[1]Macro!O102</f>
        <v>215.14203069999999</v>
      </c>
      <c r="Q515" s="6">
        <f>[1]Macro!P102</f>
        <v>217.93121210000001</v>
      </c>
      <c r="R515" s="6">
        <f>[1]Macro!Q102</f>
        <v>220.73872270000001</v>
      </c>
      <c r="S515" s="6">
        <f>[1]Macro!R102</f>
        <v>223.54444050000001</v>
      </c>
      <c r="T515" s="6">
        <f>[1]Macro!S102</f>
        <v>226.3586301</v>
      </c>
      <c r="U515" s="6">
        <f>[1]Macro!T102</f>
        <v>229.18431459999999</v>
      </c>
      <c r="V515" s="6">
        <f>[1]Macro!U102</f>
        <v>232.0238568</v>
      </c>
      <c r="W515" s="6">
        <f>[1]Macro!V102</f>
        <v>234.7424992</v>
      </c>
      <c r="X515" s="6">
        <f>[1]Macro!W102</f>
        <v>237.56101720000001</v>
      </c>
      <c r="Y515" s="6">
        <f>[1]Macro!X102</f>
        <v>240.42623180000001</v>
      </c>
      <c r="Z515" s="6">
        <f>[1]Macro!Y102</f>
        <v>243.3288427</v>
      </c>
      <c r="AA515" s="6">
        <f>[1]Macro!Z102</f>
        <v>246.26906690000001</v>
      </c>
      <c r="AB515" s="6">
        <f>[1]Macro!AA102</f>
        <v>248.8559396</v>
      </c>
      <c r="AC515" s="6">
        <f>[1]Macro!AB102</f>
        <v>251.53261499999999</v>
      </c>
      <c r="AD515" s="6">
        <f>[1]Macro!AC102</f>
        <v>254.24090169999999</v>
      </c>
      <c r="AE515" s="6">
        <f>[1]Macro!AD102</f>
        <v>256.97575380000001</v>
      </c>
      <c r="AF515" s="6">
        <f>[1]Macro!AE102</f>
        <v>259.74280229999999</v>
      </c>
      <c r="AG515" s="6">
        <f>[1]Macro!AF102</f>
        <v>262.54861929999998</v>
      </c>
      <c r="AH515" s="6">
        <f>[1]Macro!AG102</f>
        <v>265.40225120000002</v>
      </c>
      <c r="AI515" s="6">
        <f>[1]Macro!AH102</f>
        <v>268.30545189999998</v>
      </c>
      <c r="AJ515" s="6">
        <f>[1]Macro!AI102</f>
        <v>271.2604844</v>
      </c>
      <c r="AK515" s="6">
        <f>[1]Macro!AJ102</f>
        <v>274.2689196</v>
      </c>
      <c r="AL515" s="6">
        <f>[1]Macro!AK102</f>
        <v>277.3315796</v>
      </c>
      <c r="AM515" s="6">
        <f>[1]Macro!AL102</f>
        <v>280.38607539999998</v>
      </c>
      <c r="AN515" s="6">
        <f>[1]Macro!AM102</f>
        <v>283.46447430000001</v>
      </c>
      <c r="AO515" s="6">
        <f>[1]Macro!AN102</f>
        <v>286.5765308</v>
      </c>
      <c r="AP515" s="6">
        <f>[1]Macro!AO102</f>
        <v>289.72664959999997</v>
      </c>
      <c r="AQ515" s="6">
        <f>[1]Macro!AP102</f>
        <v>292.91767850000002</v>
      </c>
      <c r="AR515" s="6">
        <f>[1]Macro!AQ102</f>
        <v>296.15653479999997</v>
      </c>
      <c r="AS515" s="6">
        <f>[1]Macro!AR102</f>
        <v>299.44162440000002</v>
      </c>
      <c r="AT515" s="6">
        <f>[1]Macro!AS102</f>
        <v>302.77322570000001</v>
      </c>
      <c r="AU515" s="6">
        <f>[1]Macro!AT102</f>
        <v>306.1516876</v>
      </c>
      <c r="AV515" s="6">
        <f>[1]Macro!AU102</f>
        <v>309.5771244</v>
      </c>
      <c r="AW515" s="6">
        <f>[1]Macro!AV102</f>
        <v>313.07378779999999</v>
      </c>
      <c r="AX515" s="6">
        <f>[1]Macro!AW102</f>
        <v>316.62635490000002</v>
      </c>
      <c r="AY515" s="6">
        <f>[1]Macro!AX102</f>
        <v>320.2306021</v>
      </c>
      <c r="AZ515" s="6">
        <f>[1]Macro!AY102</f>
        <v>323.88471470000002</v>
      </c>
      <c r="BA515" s="6">
        <f>[1]Macro!AZ102</f>
        <v>327.58749119999999</v>
      </c>
      <c r="BB515" s="6">
        <f>[1]Macro!BA102</f>
        <v>331.3479178</v>
      </c>
      <c r="BC515" s="6">
        <f>[1]Macro!BB102</f>
        <v>335.15903909999997</v>
      </c>
      <c r="BD515" s="6">
        <f>[1]Macro!BC102</f>
        <v>339.01895739999998</v>
      </c>
      <c r="BE515" s="6">
        <f>[1]Macro!BD102</f>
        <v>342.92704629999997</v>
      </c>
      <c r="BF515" s="6">
        <f>[1]Macro!BE102</f>
        <v>346.8831338</v>
      </c>
    </row>
    <row r="516" spans="2:58" x14ac:dyDescent="0.35">
      <c r="B516" s="6" t="str">
        <f>[1]Macro!A103</f>
        <v>ch_toe_2</v>
      </c>
      <c r="C516" s="6">
        <f>[1]Macro!B103</f>
        <v>64.301440170000006</v>
      </c>
      <c r="D516" s="6">
        <f>[1]Macro!C103</f>
        <v>64.265913170000005</v>
      </c>
      <c r="E516" s="6">
        <f>[1]Macro!D103</f>
        <v>63.93796511</v>
      </c>
      <c r="F516" s="6">
        <f>[1]Macro!E103</f>
        <v>63.578523250000003</v>
      </c>
      <c r="G516" s="6">
        <f>[1]Macro!F103</f>
        <v>63.275338130000002</v>
      </c>
      <c r="H516" s="6">
        <f>[1]Macro!G103</f>
        <v>63.045923700000003</v>
      </c>
      <c r="I516" s="6">
        <f>[1]Macro!H103</f>
        <v>62.86278128</v>
      </c>
      <c r="J516" s="6">
        <f>[1]Macro!I103</f>
        <v>62.726596890000003</v>
      </c>
      <c r="K516" s="6">
        <f>[1]Macro!J103</f>
        <v>62.63310637</v>
      </c>
      <c r="L516" s="6">
        <f>[1]Macro!K103</f>
        <v>62.574986410000001</v>
      </c>
      <c r="M516" s="6">
        <f>[1]Macro!L103</f>
        <v>62.573893220000002</v>
      </c>
      <c r="N516" s="6">
        <f>[1]Macro!M103</f>
        <v>62.57721978</v>
      </c>
      <c r="O516" s="6">
        <f>[1]Macro!N103</f>
        <v>62.589960380000001</v>
      </c>
      <c r="P516" s="6">
        <f>[1]Macro!O103</f>
        <v>62.61284216</v>
      </c>
      <c r="Q516" s="6">
        <f>[1]Macro!P103</f>
        <v>62.64464779</v>
      </c>
      <c r="R516" s="6">
        <f>[1]Macro!Q103</f>
        <v>62.683549839999998</v>
      </c>
      <c r="S516" s="6">
        <f>[1]Macro!R103</f>
        <v>62.724347690000002</v>
      </c>
      <c r="T516" s="6">
        <f>[1]Macro!S103</f>
        <v>62.767952800000003</v>
      </c>
      <c r="U516" s="6">
        <f>[1]Macro!T103</f>
        <v>62.814326029999997</v>
      </c>
      <c r="V516" s="6">
        <f>[1]Macro!U103</f>
        <v>62.863060359999999</v>
      </c>
      <c r="W516" s="6">
        <f>[1]Macro!V103</f>
        <v>62.894838649999997</v>
      </c>
      <c r="X516" s="6">
        <f>[1]Macro!W103</f>
        <v>62.937369750000002</v>
      </c>
      <c r="Y516" s="6">
        <f>[1]Macro!X103</f>
        <v>62.985190320000001</v>
      </c>
      <c r="Z516" s="6">
        <f>[1]Macro!Y103</f>
        <v>63.03562668</v>
      </c>
      <c r="AA516" s="6">
        <f>[1]Macro!Z103</f>
        <v>63.087358180000003</v>
      </c>
      <c r="AB516" s="6">
        <f>[1]Macro!AA103</f>
        <v>63.088691150000002</v>
      </c>
      <c r="AC516" s="6">
        <f>[1]Macro!AB103</f>
        <v>63.093231770000003</v>
      </c>
      <c r="AD516" s="6">
        <f>[1]Macro!AC103</f>
        <v>63.098130619999999</v>
      </c>
      <c r="AE516" s="6">
        <f>[1]Macro!AD103</f>
        <v>63.102216509999998</v>
      </c>
      <c r="AF516" s="6">
        <f>[1]Macro!AE103</f>
        <v>63.105188259999998</v>
      </c>
      <c r="AG516" s="6">
        <f>[1]Macro!AF103</f>
        <v>63.106907130000003</v>
      </c>
      <c r="AH516" s="6">
        <f>[1]Macro!AG103</f>
        <v>63.108415909999998</v>
      </c>
      <c r="AI516" s="6">
        <f>[1]Macro!AH103</f>
        <v>63.10953679</v>
      </c>
      <c r="AJ516" s="6">
        <f>[1]Macro!AI103</f>
        <v>63.110398920000002</v>
      </c>
      <c r="AK516" s="6">
        <f>[1]Macro!AJ103</f>
        <v>63.111241020000001</v>
      </c>
      <c r="AL516" s="6">
        <f>[1]Macro!AK103</f>
        <v>63.112326299999999</v>
      </c>
      <c r="AM516" s="6">
        <f>[1]Macro!AL103</f>
        <v>63.110736930000002</v>
      </c>
      <c r="AN516" s="6">
        <f>[1]Macro!AM103</f>
        <v>63.107536140000001</v>
      </c>
      <c r="AO516" s="6">
        <f>[1]Macro!AN103</f>
        <v>63.103451370000002</v>
      </c>
      <c r="AP516" s="6">
        <f>[1]Macro!AO103</f>
        <v>63.09904075</v>
      </c>
      <c r="AQ516" s="6">
        <f>[1]Macro!AP103</f>
        <v>63.09477339</v>
      </c>
      <c r="AR516" s="6">
        <f>[1]Macro!AQ103</f>
        <v>63.09225155</v>
      </c>
      <c r="AS516" s="6">
        <f>[1]Macro!AR103</f>
        <v>63.091139239999997</v>
      </c>
      <c r="AT516" s="6">
        <f>[1]Macro!AS103</f>
        <v>63.091419979999998</v>
      </c>
      <c r="AU516" s="6">
        <f>[1]Macro!AT103</f>
        <v>63.093189850000002</v>
      </c>
      <c r="AV516" s="6">
        <f>[1]Macro!AU103</f>
        <v>63.096565320000003</v>
      </c>
      <c r="AW516" s="6">
        <f>[1]Macro!AV103</f>
        <v>63.106465020000002</v>
      </c>
      <c r="AX516" s="6">
        <f>[1]Macro!AW103</f>
        <v>63.12028901</v>
      </c>
      <c r="AY516" s="6">
        <f>[1]Macro!AX103</f>
        <v>63.136884000000002</v>
      </c>
      <c r="AZ516" s="6">
        <f>[1]Macro!AY103</f>
        <v>63.155744830000003</v>
      </c>
      <c r="BA516" s="6">
        <f>[1]Macro!AZ103</f>
        <v>63.176646050000002</v>
      </c>
      <c r="BB516" s="6">
        <f>[1]Macro!BA103</f>
        <v>63.201877080000003</v>
      </c>
      <c r="BC516" s="6">
        <f>[1]Macro!BB103</f>
        <v>63.229993049999997</v>
      </c>
      <c r="BD516" s="6">
        <f>[1]Macro!BC103</f>
        <v>63.26032395</v>
      </c>
      <c r="BE516" s="6">
        <f>[1]Macro!BD103</f>
        <v>63.292547689999999</v>
      </c>
      <c r="BF516" s="6">
        <f>[1]Macro!BE103</f>
        <v>63.326493800000001</v>
      </c>
    </row>
    <row r="517" spans="2:58" x14ac:dyDescent="0.35">
      <c r="B517" s="6" t="str">
        <f>[1]Macro!A104</f>
        <v>x_toe_2</v>
      </c>
      <c r="C517" s="6">
        <f>[1]Macro!B104</f>
        <v>33.346516739999998</v>
      </c>
      <c r="D517" s="6">
        <f>[1]Macro!C104</f>
        <v>31.78990202</v>
      </c>
      <c r="E517" s="6">
        <f>[1]Macro!D104</f>
        <v>32.187984270000001</v>
      </c>
      <c r="F517" s="6">
        <f>[1]Macro!E104</f>
        <v>32.599970810000002</v>
      </c>
      <c r="G517" s="6">
        <f>[1]Macro!F104</f>
        <v>33.024346999999999</v>
      </c>
      <c r="H517" s="6">
        <f>[1]Macro!G104</f>
        <v>33.4590563</v>
      </c>
      <c r="I517" s="6">
        <f>[1]Macro!H104</f>
        <v>33.867688389999998</v>
      </c>
      <c r="J517" s="6">
        <f>[1]Macro!I104</f>
        <v>34.282590630000001</v>
      </c>
      <c r="K517" s="6">
        <f>[1]Macro!J104</f>
        <v>34.702786750000001</v>
      </c>
      <c r="L517" s="6">
        <f>[1]Macro!K104</f>
        <v>35.127684500000001</v>
      </c>
      <c r="M517" s="6">
        <f>[1]Macro!L104</f>
        <v>35.612499939999999</v>
      </c>
      <c r="N517" s="6">
        <f>[1]Macro!M104</f>
        <v>36.0377546</v>
      </c>
      <c r="O517" s="6">
        <f>[1]Macro!N104</f>
        <v>36.467376180000002</v>
      </c>
      <c r="P517" s="6">
        <f>[1]Macro!O104</f>
        <v>36.901550499999999</v>
      </c>
      <c r="Q517" s="6">
        <f>[1]Macro!P104</f>
        <v>37.340536069999999</v>
      </c>
      <c r="R517" s="6">
        <f>[1]Macro!Q104</f>
        <v>37.784639669999997</v>
      </c>
      <c r="S517" s="6">
        <f>[1]Macro!R104</f>
        <v>38.225467340000002</v>
      </c>
      <c r="T517" s="6">
        <f>[1]Macro!S104</f>
        <v>38.672216839999997</v>
      </c>
      <c r="U517" s="6">
        <f>[1]Macro!T104</f>
        <v>39.125260400000002</v>
      </c>
      <c r="V517" s="6">
        <f>[1]Macro!U104</f>
        <v>39.584968230000001</v>
      </c>
      <c r="W517" s="6">
        <f>[1]Macro!V104</f>
        <v>40.011755989999997</v>
      </c>
      <c r="X517" s="6">
        <f>[1]Macro!W104</f>
        <v>40.485937810000003</v>
      </c>
      <c r="Y517" s="6">
        <f>[1]Macro!X104</f>
        <v>40.967863029999997</v>
      </c>
      <c r="Z517" s="6">
        <f>[1]Macro!Y104</f>
        <v>41.45779529</v>
      </c>
      <c r="AA517" s="6">
        <f>[1]Macro!Z104</f>
        <v>41.955973329999999</v>
      </c>
      <c r="AB517" s="6">
        <f>[1]Macro!AA104</f>
        <v>42.348863219999998</v>
      </c>
      <c r="AC517" s="6">
        <f>[1]Macro!AB104</f>
        <v>42.813758980000003</v>
      </c>
      <c r="AD517" s="6">
        <f>[1]Macro!AC104</f>
        <v>43.286655830000001</v>
      </c>
      <c r="AE517" s="6">
        <f>[1]Macro!AD104</f>
        <v>43.767717619999999</v>
      </c>
      <c r="AF517" s="6">
        <f>[1]Macro!AE104</f>
        <v>44.257062900000001</v>
      </c>
      <c r="AG517" s="6">
        <f>[1]Macro!AF104</f>
        <v>44.754775950000003</v>
      </c>
      <c r="AH517" s="6">
        <f>[1]Macro!AG104</f>
        <v>45.26286554</v>
      </c>
      <c r="AI517" s="6">
        <f>[1]Macro!AH104</f>
        <v>45.779406530000003</v>
      </c>
      <c r="AJ517" s="6">
        <f>[1]Macro!AI104</f>
        <v>46.304408180000003</v>
      </c>
      <c r="AK517" s="6">
        <f>[1]Macro!AJ104</f>
        <v>46.837865270000002</v>
      </c>
      <c r="AL517" s="6">
        <f>[1]Macro!AK104</f>
        <v>47.379765140000003</v>
      </c>
      <c r="AM517" s="6">
        <f>[1]Macro!AL104</f>
        <v>47.92036744</v>
      </c>
      <c r="AN517" s="6">
        <f>[1]Macro!AM104</f>
        <v>48.4689525</v>
      </c>
      <c r="AO517" s="6">
        <f>[1]Macro!AN104</f>
        <v>49.025544719999999</v>
      </c>
      <c r="AP517" s="6">
        <f>[1]Macro!AO104</f>
        <v>49.590155340000003</v>
      </c>
      <c r="AQ517" s="6">
        <f>[1]Macro!AP104</f>
        <v>50.16279411</v>
      </c>
      <c r="AR517" s="6">
        <f>[1]Macro!AQ104</f>
        <v>50.746219619999998</v>
      </c>
      <c r="AS517" s="6">
        <f>[1]Macro!AR104</f>
        <v>51.337729799999998</v>
      </c>
      <c r="AT517" s="6">
        <f>[1]Macro!AS104</f>
        <v>51.937349509999997</v>
      </c>
      <c r="AU517" s="6">
        <f>[1]Macro!AT104</f>
        <v>52.545109029999999</v>
      </c>
      <c r="AV517" s="6">
        <f>[1]Macro!AU104</f>
        <v>53.161045629999997</v>
      </c>
      <c r="AW517" s="6">
        <f>[1]Macro!AV104</f>
        <v>53.796889219999997</v>
      </c>
      <c r="AX517" s="6">
        <f>[1]Macro!AW104</f>
        <v>54.441156239999998</v>
      </c>
      <c r="AY517" s="6">
        <f>[1]Macro!AX104</f>
        <v>55.093893999999999</v>
      </c>
      <c r="AZ517" s="6">
        <f>[1]Macro!AY104</f>
        <v>55.755155129999999</v>
      </c>
      <c r="BA517" s="6">
        <f>[1]Macro!AZ104</f>
        <v>56.425003490000002</v>
      </c>
      <c r="BB517" s="6">
        <f>[1]Macro!BA104</f>
        <v>57.10931849</v>
      </c>
      <c r="BC517" s="6">
        <f>[1]Macro!BB104</f>
        <v>57.802468159999997</v>
      </c>
      <c r="BD517" s="6">
        <f>[1]Macro!BC104</f>
        <v>58.504545129999997</v>
      </c>
      <c r="BE517" s="6">
        <f>[1]Macro!BD104</f>
        <v>59.215647439999998</v>
      </c>
      <c r="BF517" s="6">
        <f>[1]Macro!BE104</f>
        <v>59.935881070000001</v>
      </c>
    </row>
    <row r="518" spans="2:58" x14ac:dyDescent="0.35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</row>
    <row r="519" spans="2:58" x14ac:dyDescent="0.35">
      <c r="B519" s="6" t="str">
        <f>[1]Macro!A105</f>
        <v>y_toe_0</v>
      </c>
      <c r="C519" s="6">
        <f>[1]Macro!B105</f>
        <v>139.60539299999999</v>
      </c>
      <c r="D519" s="6">
        <f>[1]Macro!C105</f>
        <v>138.01267060000001</v>
      </c>
      <c r="E519" s="6">
        <f>[1]Macro!D105</f>
        <v>138.59873010000001</v>
      </c>
      <c r="F519" s="6">
        <f>[1]Macro!E105</f>
        <v>139.4493827</v>
      </c>
      <c r="G519" s="6">
        <f>[1]Macro!F105</f>
        <v>140.50713229999999</v>
      </c>
      <c r="H519" s="6">
        <f>[1]Macro!G105</f>
        <v>141.75458570000001</v>
      </c>
      <c r="I519" s="6">
        <f>[1]Macro!H105</f>
        <v>143.08719619999999</v>
      </c>
      <c r="J519" s="6">
        <f>[1]Macro!I105</f>
        <v>144.52545520000001</v>
      </c>
      <c r="K519" s="6">
        <f>[1]Macro!J105</f>
        <v>146.04886049999999</v>
      </c>
      <c r="L519" s="6">
        <f>[1]Macro!K105</f>
        <v>147.6341893</v>
      </c>
      <c r="M519" s="6">
        <f>[1]Macro!L105</f>
        <v>149.3973081</v>
      </c>
      <c r="N519" s="6">
        <f>[1]Macro!M105</f>
        <v>151.09757669999999</v>
      </c>
      <c r="O519" s="6">
        <f>[1]Macro!N105</f>
        <v>152.799328</v>
      </c>
      <c r="P519" s="6">
        <f>[1]Macro!O105</f>
        <v>154.50553389999999</v>
      </c>
      <c r="Q519" s="6">
        <f>[1]Macro!P105</f>
        <v>156.21624650000001</v>
      </c>
      <c r="R519" s="6">
        <f>[1]Macro!Q105</f>
        <v>157.9316695</v>
      </c>
      <c r="S519" s="6">
        <f>[1]Macro!R105</f>
        <v>159.65241810000001</v>
      </c>
      <c r="T519" s="6">
        <f>[1]Macro!S105</f>
        <v>161.37948399999999</v>
      </c>
      <c r="U519" s="6">
        <f>[1]Macro!T105</f>
        <v>163.1142007</v>
      </c>
      <c r="V519" s="6">
        <f>[1]Macro!U105</f>
        <v>164.85824070000001</v>
      </c>
      <c r="W519" s="6">
        <f>[1]Macro!V105</f>
        <v>166.51469950000001</v>
      </c>
      <c r="X519" s="6">
        <f>[1]Macro!W105</f>
        <v>168.2525943</v>
      </c>
      <c r="Y519" s="6">
        <f>[1]Macro!X105</f>
        <v>170.01901720000001</v>
      </c>
      <c r="Z519" s="6">
        <f>[1]Macro!Y105</f>
        <v>171.80993470000001</v>
      </c>
      <c r="AA519" s="6">
        <f>[1]Macro!Z105</f>
        <v>173.6258895</v>
      </c>
      <c r="AB519" s="6">
        <f>[1]Macro!AA105</f>
        <v>175.18553689999999</v>
      </c>
      <c r="AC519" s="6">
        <f>[1]Macro!AB105</f>
        <v>176.8342054</v>
      </c>
      <c r="AD519" s="6">
        <f>[1]Macro!AC105</f>
        <v>178.50531269999999</v>
      </c>
      <c r="AE519" s="6">
        <f>[1]Macro!AD105</f>
        <v>180.19814489999999</v>
      </c>
      <c r="AF519" s="6">
        <f>[1]Macro!AE105</f>
        <v>181.91591080000001</v>
      </c>
      <c r="AG519" s="6">
        <f>[1]Macro!AF105</f>
        <v>183.66212680000001</v>
      </c>
      <c r="AH519" s="6">
        <f>[1]Macro!AG105</f>
        <v>185.4397366</v>
      </c>
      <c r="AI519" s="6">
        <f>[1]Macro!AH105</f>
        <v>187.2508665</v>
      </c>
      <c r="AJ519" s="6">
        <f>[1]Macro!AI105</f>
        <v>189.09701100000001</v>
      </c>
      <c r="AK519" s="6">
        <f>[1]Macro!AJ105</f>
        <v>190.97909200000001</v>
      </c>
      <c r="AL519" s="6">
        <f>[1]Macro!AK105</f>
        <v>192.8975399</v>
      </c>
      <c r="AM519" s="6">
        <f>[1]Macro!AL105</f>
        <v>194.78509120000001</v>
      </c>
      <c r="AN519" s="6">
        <f>[1]Macro!AM105</f>
        <v>196.68726810000001</v>
      </c>
      <c r="AO519" s="6">
        <f>[1]Macro!AN105</f>
        <v>198.61163769999999</v>
      </c>
      <c r="AP519" s="6">
        <f>[1]Macro!AO105</f>
        <v>200.56133879999999</v>
      </c>
      <c r="AQ519" s="6">
        <f>[1]Macro!AP105</f>
        <v>202.53810559999999</v>
      </c>
      <c r="AR519" s="6">
        <f>[1]Macro!AQ105</f>
        <v>204.5430398</v>
      </c>
      <c r="AS519" s="6">
        <f>[1]Macro!AR105</f>
        <v>206.5768305</v>
      </c>
      <c r="AT519" s="6">
        <f>[1]Macro!AS105</f>
        <v>208.63985210000001</v>
      </c>
      <c r="AU519" s="6">
        <f>[1]Macro!AT105</f>
        <v>210.73224189999999</v>
      </c>
      <c r="AV519" s="6">
        <f>[1]Macro!AU105</f>
        <v>212.85414230000001</v>
      </c>
      <c r="AW519" s="6">
        <f>[1]Macro!AV105</f>
        <v>215.01201850000001</v>
      </c>
      <c r="AX519" s="6">
        <f>[1]Macro!AW105</f>
        <v>217.20229449999999</v>
      </c>
      <c r="AY519" s="6">
        <f>[1]Macro!AX105</f>
        <v>219.42472090000001</v>
      </c>
      <c r="AZ519" s="6">
        <f>[1]Macro!AY105</f>
        <v>221.67928119999999</v>
      </c>
      <c r="BA519" s="6">
        <f>[1]Macro!AZ105</f>
        <v>223.96595859999999</v>
      </c>
      <c r="BB519" s="6">
        <f>[1]Macro!BA105</f>
        <v>226.28473399999999</v>
      </c>
      <c r="BC519" s="6">
        <f>[1]Macro!BB105</f>
        <v>228.6356274</v>
      </c>
      <c r="BD519" s="6">
        <f>[1]Macro!BC105</f>
        <v>231.018733</v>
      </c>
      <c r="BE519" s="6">
        <f>[1]Macro!BD105</f>
        <v>233.4342383</v>
      </c>
      <c r="BF519" s="6">
        <f>[1]Macro!BE105</f>
        <v>235.8824281</v>
      </c>
    </row>
    <row r="520" spans="2:58" x14ac:dyDescent="0.35">
      <c r="B520" s="6" t="str">
        <f>[1]Macro!A106</f>
        <v>m_toe_0</v>
      </c>
      <c r="C520" s="6">
        <f>[1]Macro!B106</f>
        <v>151.40128480000001</v>
      </c>
      <c r="D520" s="6">
        <f>[1]Macro!C106</f>
        <v>149.55953830000001</v>
      </c>
      <c r="E520" s="6">
        <f>[1]Macro!D106</f>
        <v>150.04201610000001</v>
      </c>
      <c r="F520" s="6">
        <f>[1]Macro!E106</f>
        <v>150.991997</v>
      </c>
      <c r="G520" s="6">
        <f>[1]Macro!F106</f>
        <v>152.21473570000001</v>
      </c>
      <c r="H520" s="6">
        <f>[1]Macro!G106</f>
        <v>153.67110880000001</v>
      </c>
      <c r="I520" s="6">
        <f>[1]Macro!H106</f>
        <v>155.2474857</v>
      </c>
      <c r="J520" s="6">
        <f>[1]Macro!I106</f>
        <v>156.96221209999999</v>
      </c>
      <c r="K520" s="6">
        <f>[1]Macro!J106</f>
        <v>158.79511310000001</v>
      </c>
      <c r="L520" s="6">
        <f>[1]Macro!K106</f>
        <v>160.72134410000001</v>
      </c>
      <c r="M520" s="6">
        <f>[1]Macro!L106</f>
        <v>162.86546949999999</v>
      </c>
      <c r="N520" s="6">
        <f>[1]Macro!M106</f>
        <v>164.97339199999999</v>
      </c>
      <c r="O520" s="6">
        <f>[1]Macro!N106</f>
        <v>167.10065280000001</v>
      </c>
      <c r="P520" s="6">
        <f>[1]Macro!O106</f>
        <v>169.25062070000001</v>
      </c>
      <c r="Q520" s="6">
        <f>[1]Macro!P106</f>
        <v>171.42114900000001</v>
      </c>
      <c r="R520" s="6">
        <f>[1]Macro!Q106</f>
        <v>173.6101366</v>
      </c>
      <c r="S520" s="6">
        <f>[1]Macro!R106</f>
        <v>175.81610889999999</v>
      </c>
      <c r="T520" s="6">
        <f>[1]Macro!S106</f>
        <v>178.03815230000001</v>
      </c>
      <c r="U520" s="6">
        <f>[1]Macro!T106</f>
        <v>180.27587560000001</v>
      </c>
      <c r="V520" s="6">
        <f>[1]Macro!U106</f>
        <v>182.52940670000001</v>
      </c>
      <c r="W520" s="6">
        <f>[1]Macro!V106</f>
        <v>184.69195450000001</v>
      </c>
      <c r="X520" s="6">
        <f>[1]Macro!W106</f>
        <v>186.93956679999999</v>
      </c>
      <c r="Y520" s="6">
        <f>[1]Macro!X106</f>
        <v>189.22191549999999</v>
      </c>
      <c r="Z520" s="6">
        <f>[1]Macro!Y106</f>
        <v>191.5317082</v>
      </c>
      <c r="AA520" s="6">
        <f>[1]Macro!Z106</f>
        <v>193.86868430000001</v>
      </c>
      <c r="AB520" s="6">
        <f>[1]Macro!AA106</f>
        <v>195.92516649999999</v>
      </c>
      <c r="AC520" s="6">
        <f>[1]Macro!AB106</f>
        <v>198.05971969999999</v>
      </c>
      <c r="AD520" s="6">
        <f>[1]Macro!AC106</f>
        <v>200.2151112</v>
      </c>
      <c r="AE520" s="6">
        <f>[1]Macro!AD106</f>
        <v>202.38770099999999</v>
      </c>
      <c r="AF520" s="6">
        <f>[1]Macro!AE106</f>
        <v>204.581086</v>
      </c>
      <c r="AG520" s="6">
        <f>[1]Macro!AF106</f>
        <v>206.7997579</v>
      </c>
      <c r="AH520" s="6">
        <f>[1]Macro!AG106</f>
        <v>209.04767279999999</v>
      </c>
      <c r="AI520" s="6">
        <f>[1]Macro!AH106</f>
        <v>211.32778350000001</v>
      </c>
      <c r="AJ520" s="6">
        <f>[1]Macro!AI106</f>
        <v>213.64242640000001</v>
      </c>
      <c r="AK520" s="6">
        <f>[1]Macro!AJ106</f>
        <v>215.99333709999999</v>
      </c>
      <c r="AL520" s="6">
        <f>[1]Macro!AK106</f>
        <v>218.38170339999999</v>
      </c>
      <c r="AM520" s="6">
        <f>[1]Macro!AL106</f>
        <v>220.7341788</v>
      </c>
      <c r="AN520" s="6">
        <f>[1]Macro!AM106</f>
        <v>223.09709040000001</v>
      </c>
      <c r="AO520" s="6">
        <f>[1]Macro!AN106</f>
        <v>225.48091590000001</v>
      </c>
      <c r="AP520" s="6">
        <f>[1]Macro!AO106</f>
        <v>227.8898317</v>
      </c>
      <c r="AQ520" s="6">
        <f>[1]Macro!AP106</f>
        <v>230.3263518</v>
      </c>
      <c r="AR520" s="6">
        <f>[1]Macro!AQ106</f>
        <v>232.79231150000001</v>
      </c>
      <c r="AS520" s="6">
        <f>[1]Macro!AR106</f>
        <v>235.28908039999999</v>
      </c>
      <c r="AT520" s="6">
        <f>[1]Macro!AS106</f>
        <v>237.81763480000001</v>
      </c>
      <c r="AU520" s="6">
        <f>[1]Macro!AT106</f>
        <v>240.37862770000001</v>
      </c>
      <c r="AV520" s="6">
        <f>[1]Macro!AU106</f>
        <v>242.97264530000001</v>
      </c>
      <c r="AW520" s="6">
        <f>[1]Macro!AV106</f>
        <v>245.60717539999999</v>
      </c>
      <c r="AX520" s="6">
        <f>[1]Macro!AW106</f>
        <v>248.27892109999999</v>
      </c>
      <c r="AY520" s="6">
        <f>[1]Macro!AX106</f>
        <v>250.98766269999999</v>
      </c>
      <c r="AZ520" s="6">
        <f>[1]Macro!AY106</f>
        <v>253.73353180000001</v>
      </c>
      <c r="BA520" s="6">
        <f>[1]Macro!AZ106</f>
        <v>256.51663689999998</v>
      </c>
      <c r="BB520" s="6">
        <f>[1]Macro!BA106</f>
        <v>259.33704840000001</v>
      </c>
      <c r="BC520" s="6">
        <f>[1]Macro!BB106</f>
        <v>262.19484779999999</v>
      </c>
      <c r="BD520" s="6">
        <f>[1]Macro!BC106</f>
        <v>265.09017160000002</v>
      </c>
      <c r="BE520" s="6">
        <f>[1]Macro!BD106</f>
        <v>268.02323669999998</v>
      </c>
      <c r="BF520" s="6">
        <f>[1]Macro!BE106</f>
        <v>270.9943505</v>
      </c>
    </row>
    <row r="521" spans="2:58" x14ac:dyDescent="0.35">
      <c r="B521" s="6" t="str">
        <f>[1]Macro!A107</f>
        <v>ci_toe_0</v>
      </c>
      <c r="C521" s="6">
        <f>[1]Macro!B107</f>
        <v>193.2084213</v>
      </c>
      <c r="D521" s="6">
        <f>[1]Macro!C107</f>
        <v>191.11555749999999</v>
      </c>
      <c r="E521" s="6">
        <f>[1]Macro!D107</f>
        <v>191.87007299999999</v>
      </c>
      <c r="F521" s="6">
        <f>[1]Macro!E107</f>
        <v>193.3786594</v>
      </c>
      <c r="G521" s="6">
        <f>[1]Macro!F107</f>
        <v>195.30028350000001</v>
      </c>
      <c r="H521" s="6">
        <f>[1]Macro!G107</f>
        <v>197.56061879999999</v>
      </c>
      <c r="I521" s="6">
        <f>[1]Macro!H107</f>
        <v>199.99967269999999</v>
      </c>
      <c r="J521" s="6">
        <f>[1]Macro!I107</f>
        <v>202.62951269999999</v>
      </c>
      <c r="K521" s="6">
        <f>[1]Macro!J107</f>
        <v>205.42017430000001</v>
      </c>
      <c r="L521" s="6">
        <f>[1]Macro!K107</f>
        <v>208.33700519999999</v>
      </c>
      <c r="M521" s="6">
        <f>[1]Macro!L107</f>
        <v>211.54008379999999</v>
      </c>
      <c r="N521" s="6">
        <f>[1]Macro!M107</f>
        <v>214.70002299999999</v>
      </c>
      <c r="O521" s="6">
        <f>[1]Macro!N107</f>
        <v>217.8776594</v>
      </c>
      <c r="P521" s="6">
        <f>[1]Macro!O107</f>
        <v>221.07752350000001</v>
      </c>
      <c r="Q521" s="6">
        <f>[1]Macro!P107</f>
        <v>224.29489359999999</v>
      </c>
      <c r="R521" s="6">
        <f>[1]Macro!Q107</f>
        <v>227.52551399999999</v>
      </c>
      <c r="S521" s="6">
        <f>[1]Macro!R107</f>
        <v>230.76708239999999</v>
      </c>
      <c r="T521" s="6">
        <f>[1]Macro!S107</f>
        <v>234.0191514</v>
      </c>
      <c r="U521" s="6">
        <f>[1]Macro!T107</f>
        <v>237.28279520000001</v>
      </c>
      <c r="V521" s="6">
        <f>[1]Macro!U107</f>
        <v>240.56027889999999</v>
      </c>
      <c r="W521" s="6">
        <f>[1]Macro!V107</f>
        <v>243.71115829999999</v>
      </c>
      <c r="X521" s="6">
        <f>[1]Macro!W107</f>
        <v>246.9660792</v>
      </c>
      <c r="Y521" s="6">
        <f>[1]Macro!X107</f>
        <v>250.26986500000001</v>
      </c>
      <c r="Z521" s="6">
        <f>[1]Macro!Y107</f>
        <v>253.61364689999999</v>
      </c>
      <c r="AA521" s="6">
        <f>[1]Macro!Z107</f>
        <v>256.99858440000003</v>
      </c>
      <c r="AB521" s="6">
        <f>[1]Macro!AA107</f>
        <v>260.01415830000002</v>
      </c>
      <c r="AC521" s="6">
        <f>[1]Macro!AB107</f>
        <v>263.1206909</v>
      </c>
      <c r="AD521" s="6">
        <f>[1]Macro!AC107</f>
        <v>266.26135950000003</v>
      </c>
      <c r="AE521" s="6">
        <f>[1]Macro!AD107</f>
        <v>269.4323119</v>
      </c>
      <c r="AF521" s="6">
        <f>[1]Macro!AE107</f>
        <v>272.640244</v>
      </c>
      <c r="AG521" s="6">
        <f>[1]Macro!AF107</f>
        <v>275.8927104</v>
      </c>
      <c r="AH521" s="6">
        <f>[1]Macro!AG107</f>
        <v>279.19602259999999</v>
      </c>
      <c r="AI521" s="6">
        <f>[1]Macro!AH107</f>
        <v>282.55485879999998</v>
      </c>
      <c r="AJ521" s="6">
        <f>[1]Macro!AI107</f>
        <v>285.9724453</v>
      </c>
      <c r="AK521" s="6">
        <f>[1]Macro!AJ107</f>
        <v>289.4507863</v>
      </c>
      <c r="AL521" s="6">
        <f>[1]Macro!AK107</f>
        <v>292.99089939999999</v>
      </c>
      <c r="AM521" s="6">
        <f>[1]Macro!AL107</f>
        <v>296.49356360000002</v>
      </c>
      <c r="AN521" s="6">
        <f>[1]Macro!AM107</f>
        <v>300.01517510000002</v>
      </c>
      <c r="AO521" s="6">
        <f>[1]Macro!AN107</f>
        <v>303.57105100000001</v>
      </c>
      <c r="AP521" s="6">
        <f>[1]Macro!AO107</f>
        <v>307.16729839999999</v>
      </c>
      <c r="AQ521" s="6">
        <f>[1]Macro!AP107</f>
        <v>310.8076777</v>
      </c>
      <c r="AR521" s="6">
        <f>[1]Macro!AQ107</f>
        <v>314.4949757</v>
      </c>
      <c r="AS521" s="6">
        <f>[1]Macro!AR107</f>
        <v>318.23126359999998</v>
      </c>
      <c r="AT521" s="6">
        <f>[1]Macro!AS107</f>
        <v>322.0179746</v>
      </c>
      <c r="AU521" s="6">
        <f>[1]Macro!AT107</f>
        <v>325.85598779999998</v>
      </c>
      <c r="AV521" s="6">
        <f>[1]Macro!AU107</f>
        <v>329.74580350000002</v>
      </c>
      <c r="AW521" s="6">
        <f>[1]Macro!AV107</f>
        <v>333.69674889999999</v>
      </c>
      <c r="AX521" s="6">
        <f>[1]Macro!AW107</f>
        <v>337.70388270000001</v>
      </c>
      <c r="AY521" s="6">
        <f>[1]Macro!AX107</f>
        <v>341.76584980000001</v>
      </c>
      <c r="AZ521" s="6">
        <f>[1]Macro!AY107</f>
        <v>345.88203279999999</v>
      </c>
      <c r="BA521" s="6">
        <f>[1]Macro!AZ107</f>
        <v>350.0520075</v>
      </c>
      <c r="BB521" s="6">
        <f>[1]Macro!BA107</f>
        <v>354.27549449999998</v>
      </c>
      <c r="BC521" s="6">
        <f>[1]Macro!BB107</f>
        <v>358.55239210000002</v>
      </c>
      <c r="BD521" s="6">
        <f>[1]Macro!BC107</f>
        <v>362.88280429999998</v>
      </c>
      <c r="BE521" s="6">
        <f>[1]Macro!BD107</f>
        <v>367.2670483</v>
      </c>
      <c r="BF521" s="6">
        <f>[1]Macro!BE107</f>
        <v>371.70564580000001</v>
      </c>
    </row>
    <row r="522" spans="2:58" x14ac:dyDescent="0.35">
      <c r="B522" s="6" t="str">
        <f>[1]Macro!A108</f>
        <v>ch_toe_0</v>
      </c>
      <c r="C522" s="6">
        <f>[1]Macro!B108</f>
        <v>64.301440170000006</v>
      </c>
      <c r="D522" s="6">
        <f>[1]Macro!C108</f>
        <v>64.379189030000006</v>
      </c>
      <c r="E522" s="6">
        <f>[1]Macro!D108</f>
        <v>64.157349830000001</v>
      </c>
      <c r="F522" s="6">
        <f>[1]Macro!E108</f>
        <v>63.899233590000001</v>
      </c>
      <c r="G522" s="6">
        <f>[1]Macro!F108</f>
        <v>63.695062870000001</v>
      </c>
      <c r="H522" s="6">
        <f>[1]Macro!G108</f>
        <v>63.56460414</v>
      </c>
      <c r="I522" s="6">
        <f>[1]Macro!H108</f>
        <v>63.484673549999997</v>
      </c>
      <c r="J522" s="6">
        <f>[1]Macro!I108</f>
        <v>63.451191870000002</v>
      </c>
      <c r="K522" s="6">
        <f>[1]Macro!J108</f>
        <v>63.454294179999998</v>
      </c>
      <c r="L522" s="6">
        <f>[1]Macro!K108</f>
        <v>63.481009759999999</v>
      </c>
      <c r="M522" s="6">
        <f>[1]Macro!L108</f>
        <v>63.55388834</v>
      </c>
      <c r="N522" s="6">
        <f>[1]Macro!M108</f>
        <v>63.622740610000001</v>
      </c>
      <c r="O522" s="6">
        <f>[1]Macro!N108</f>
        <v>63.689226560000002</v>
      </c>
      <c r="P522" s="6">
        <f>[1]Macro!O108</f>
        <v>63.754814590000002</v>
      </c>
      <c r="Q522" s="6">
        <f>[1]Macro!P108</f>
        <v>63.821719260000002</v>
      </c>
      <c r="R522" s="6">
        <f>[1]Macro!Q108</f>
        <v>63.891840250000001</v>
      </c>
      <c r="S522" s="6">
        <f>[1]Macro!R108</f>
        <v>63.96613</v>
      </c>
      <c r="T522" s="6">
        <f>[1]Macro!S108</f>
        <v>64.044604680000006</v>
      </c>
      <c r="U522" s="6">
        <f>[1]Macro!T108</f>
        <v>64.126615810000004</v>
      </c>
      <c r="V522" s="6">
        <f>[1]Macro!U108</f>
        <v>64.211186850000004</v>
      </c>
      <c r="W522" s="6">
        <f>[1]Macro!V108</f>
        <v>64.277716229999996</v>
      </c>
      <c r="X522" s="6">
        <f>[1]Macro!W108</f>
        <v>64.354334140000006</v>
      </c>
      <c r="Y522" s="6">
        <f>[1]Macro!X108</f>
        <v>64.435128500000005</v>
      </c>
      <c r="Z522" s="6">
        <f>[1]Macro!Y108</f>
        <v>64.517253060000002</v>
      </c>
      <c r="AA522" s="6">
        <f>[1]Macro!Z108</f>
        <v>64.59947477</v>
      </c>
      <c r="AB522" s="6">
        <f>[1]Macro!AA108</f>
        <v>64.627800399999998</v>
      </c>
      <c r="AC522" s="6">
        <f>[1]Macro!AB108</f>
        <v>64.656553130000006</v>
      </c>
      <c r="AD522" s="6">
        <f>[1]Macro!AC108</f>
        <v>64.683873869999999</v>
      </c>
      <c r="AE522" s="6">
        <f>[1]Macro!AD108</f>
        <v>64.709007790000001</v>
      </c>
      <c r="AF522" s="6">
        <f>[1]Macro!AE108</f>
        <v>64.731862430000007</v>
      </c>
      <c r="AG522" s="6">
        <f>[1]Macro!AF108</f>
        <v>64.752730220000004</v>
      </c>
      <c r="AH522" s="6">
        <f>[1]Macro!AG108</f>
        <v>64.77207654</v>
      </c>
      <c r="AI522" s="6">
        <f>[1]Macro!AH108</f>
        <v>64.790212710000006</v>
      </c>
      <c r="AJ522" s="6">
        <f>[1]Macro!AI108</f>
        <v>64.807680669999996</v>
      </c>
      <c r="AK522" s="6">
        <f>[1]Macro!AJ108</f>
        <v>64.825091060000005</v>
      </c>
      <c r="AL522" s="6">
        <f>[1]Macro!AK108</f>
        <v>64.843013229999997</v>
      </c>
      <c r="AM522" s="6">
        <f>[1]Macro!AL108</f>
        <v>64.850382699999997</v>
      </c>
      <c r="AN522" s="6">
        <f>[1]Macro!AM108</f>
        <v>64.852994629999998</v>
      </c>
      <c r="AO522" s="6">
        <f>[1]Macro!AN108</f>
        <v>64.853498009999996</v>
      </c>
      <c r="AP522" s="6">
        <f>[1]Macro!AO108</f>
        <v>64.853027420000004</v>
      </c>
      <c r="AQ522" s="6">
        <f>[1]Macro!AP108</f>
        <v>64.852000029999999</v>
      </c>
      <c r="AR522" s="6">
        <f>[1]Macro!AQ108</f>
        <v>64.850496010000001</v>
      </c>
      <c r="AS522" s="6">
        <f>[1]Macro!AR108</f>
        <v>64.848431599999998</v>
      </c>
      <c r="AT522" s="6">
        <f>[1]Macro!AS108</f>
        <v>64.845651459999999</v>
      </c>
      <c r="AU522" s="6">
        <f>[1]Macro!AT108</f>
        <v>64.841991699999994</v>
      </c>
      <c r="AV522" s="6">
        <f>[1]Macro!AU108</f>
        <v>64.83760255</v>
      </c>
      <c r="AW522" s="6">
        <f>[1]Macro!AV108</f>
        <v>64.834268690000002</v>
      </c>
      <c r="AX522" s="6">
        <f>[1]Macro!AW108</f>
        <v>64.832666489999994</v>
      </c>
      <c r="AY522" s="6">
        <f>[1]Macro!AX108</f>
        <v>64.83359274</v>
      </c>
      <c r="AZ522" s="6">
        <f>[1]Macro!AY108</f>
        <v>64.837680449999993</v>
      </c>
      <c r="BA522" s="6">
        <f>[1]Macro!AZ108</f>
        <v>64.845334649999998</v>
      </c>
      <c r="BB522" s="6">
        <f>[1]Macro!BA108</f>
        <v>64.856764060000003</v>
      </c>
      <c r="BC522" s="6">
        <f>[1]Macro!BB108</f>
        <v>64.872038489999994</v>
      </c>
      <c r="BD522" s="6">
        <f>[1]Macro!BC108</f>
        <v>64.89114112</v>
      </c>
      <c r="BE522" s="6">
        <f>[1]Macro!BD108</f>
        <v>64.914006610000001</v>
      </c>
      <c r="BF522" s="6">
        <f>[1]Macro!BE108</f>
        <v>64.940545330000006</v>
      </c>
    </row>
    <row r="523" spans="2:58" x14ac:dyDescent="0.35">
      <c r="B523" s="6" t="str">
        <f>[1]Macro!A109</f>
        <v>x_toe_0</v>
      </c>
      <c r="C523" s="6">
        <f>[1]Macro!B109</f>
        <v>33.496816289999998</v>
      </c>
      <c r="D523" s="6">
        <f>[1]Macro!C109</f>
        <v>32.077462320000002</v>
      </c>
      <c r="E523" s="6">
        <f>[1]Macro!D109</f>
        <v>32.613323430000001</v>
      </c>
      <c r="F523" s="6">
        <f>[1]Macro!E109</f>
        <v>33.163486659999997</v>
      </c>
      <c r="G523" s="6">
        <f>[1]Macro!F109</f>
        <v>33.726521660000003</v>
      </c>
      <c r="H523" s="6">
        <f>[1]Macro!G109</f>
        <v>34.300471610000002</v>
      </c>
      <c r="I523" s="6">
        <f>[1]Macro!H109</f>
        <v>34.850335690000001</v>
      </c>
      <c r="J523" s="6">
        <f>[1]Macro!I109</f>
        <v>35.406962810000003</v>
      </c>
      <c r="K523" s="6">
        <f>[1]Macro!J109</f>
        <v>35.969505120000001</v>
      </c>
      <c r="L523" s="6">
        <f>[1]Macro!K109</f>
        <v>36.537518460000001</v>
      </c>
      <c r="M523" s="6">
        <f>[1]Macro!L109</f>
        <v>37.168805429999999</v>
      </c>
      <c r="N523" s="6">
        <f>[1]Macro!M109</f>
        <v>37.748205089999999</v>
      </c>
      <c r="O523" s="6">
        <f>[1]Macro!N109</f>
        <v>38.333094809999999</v>
      </c>
      <c r="P523" s="6">
        <f>[1]Macro!O109</f>
        <v>38.923816500000001</v>
      </c>
      <c r="Q523" s="6">
        <f>[1]Macro!P109</f>
        <v>39.520782590000003</v>
      </c>
      <c r="R523" s="6">
        <f>[1]Macro!Q109</f>
        <v>40.124451880000002</v>
      </c>
      <c r="S523" s="6">
        <f>[1]Macro!R109</f>
        <v>40.735314629999998</v>
      </c>
      <c r="T523" s="6">
        <f>[1]Macro!S109</f>
        <v>41.353880259999997</v>
      </c>
      <c r="U523" s="6">
        <f>[1]Macro!T109</f>
        <v>41.980665299999998</v>
      </c>
      <c r="V523" s="6">
        <f>[1]Macro!U109</f>
        <v>42.616181689999998</v>
      </c>
      <c r="W523" s="6">
        <f>[1]Macro!V109</f>
        <v>43.217779530000001</v>
      </c>
      <c r="X523" s="6">
        <f>[1]Macro!W109</f>
        <v>43.871747859999999</v>
      </c>
      <c r="Y523" s="6">
        <f>[1]Macro!X109</f>
        <v>44.535939249999998</v>
      </c>
      <c r="Z523" s="6">
        <f>[1]Macro!Y109</f>
        <v>45.210742949999997</v>
      </c>
      <c r="AA523" s="6">
        <f>[1]Macro!Z109</f>
        <v>45.896514619999998</v>
      </c>
      <c r="AB523" s="6">
        <f>[1]Macro!AA109</f>
        <v>46.468744700000002</v>
      </c>
      <c r="AC523" s="6">
        <f>[1]Macro!AB109</f>
        <v>47.116681030000002</v>
      </c>
      <c r="AD523" s="6">
        <f>[1]Macro!AC109</f>
        <v>47.775190610000003</v>
      </c>
      <c r="AE523" s="6">
        <f>[1]Macro!AD109</f>
        <v>48.444526170000003</v>
      </c>
      <c r="AF523" s="6">
        <f>[1]Macro!AE109</f>
        <v>49.12489042</v>
      </c>
      <c r="AG523" s="6">
        <f>[1]Macro!AF109</f>
        <v>49.816444099999998</v>
      </c>
      <c r="AH523" s="6">
        <f>[1]Macro!AG109</f>
        <v>50.519310249999997</v>
      </c>
      <c r="AI523" s="6">
        <f>[1]Macro!AH109</f>
        <v>51.233578520000002</v>
      </c>
      <c r="AJ523" s="6">
        <f>[1]Macro!AI109</f>
        <v>51.959311399999997</v>
      </c>
      <c r="AK523" s="6">
        <f>[1]Macro!AJ109</f>
        <v>52.696551739999997</v>
      </c>
      <c r="AL523" s="6">
        <f>[1]Macro!AK109</f>
        <v>53.445330689999999</v>
      </c>
      <c r="AM523" s="6">
        <f>[1]Macro!AL109</f>
        <v>54.175323669999997</v>
      </c>
      <c r="AN523" s="6">
        <f>[1]Macro!AM109</f>
        <v>54.91618871</v>
      </c>
      <c r="AO523" s="6">
        <f>[1]Macro!AN109</f>
        <v>55.668004609999997</v>
      </c>
      <c r="AP523" s="6">
        <f>[1]Macro!AO109</f>
        <v>56.430844729999997</v>
      </c>
      <c r="AQ523" s="6">
        <f>[1]Macro!AP109</f>
        <v>57.204779629999997</v>
      </c>
      <c r="AR523" s="6">
        <f>[1]Macro!AQ109</f>
        <v>57.989879549999998</v>
      </c>
      <c r="AS523" s="6">
        <f>[1]Macro!AR109</f>
        <v>58.786215689999999</v>
      </c>
      <c r="AT523" s="6">
        <f>[1]Macro!AS109</f>
        <v>59.593860849999999</v>
      </c>
      <c r="AU523" s="6">
        <f>[1]Macro!AT109</f>
        <v>60.412890079999997</v>
      </c>
      <c r="AV523" s="6">
        <f>[1]Macro!AU109</f>
        <v>61.243381560000003</v>
      </c>
      <c r="AW523" s="6">
        <f>[1]Macro!AV109</f>
        <v>62.088176300000001</v>
      </c>
      <c r="AX523" s="6">
        <f>[1]Macro!AW109</f>
        <v>62.944666310000002</v>
      </c>
      <c r="AY523" s="6">
        <f>[1]Macro!AX109</f>
        <v>63.812941000000002</v>
      </c>
      <c r="AZ523" s="6">
        <f>[1]Macro!AY109</f>
        <v>64.693099810000007</v>
      </c>
      <c r="BA523" s="6">
        <f>[1]Macro!AZ109</f>
        <v>65.585253379999997</v>
      </c>
      <c r="BB523" s="6">
        <f>[1]Macro!BA109</f>
        <v>66.489523869999999</v>
      </c>
      <c r="BC523" s="6">
        <f>[1]Macro!BB109</f>
        <v>67.406044620000003</v>
      </c>
      <c r="BD523" s="6">
        <f>[1]Macro!BC109</f>
        <v>68.334959190000006</v>
      </c>
      <c r="BE523" s="6">
        <f>[1]Macro!BD109</f>
        <v>69.276420119999997</v>
      </c>
      <c r="BF523" s="6">
        <f>[1]Macro!BE109</f>
        <v>70.230587540000002</v>
      </c>
    </row>
    <row r="525" spans="2:58" x14ac:dyDescent="0.35">
      <c r="C525" s="2">
        <v>42005</v>
      </c>
      <c r="D525" s="2">
        <v>42370</v>
      </c>
      <c r="E525" s="2">
        <v>42736</v>
      </c>
      <c r="F525" s="2">
        <v>43101</v>
      </c>
      <c r="G525" s="2">
        <v>43466</v>
      </c>
      <c r="H525" s="2">
        <v>43831</v>
      </c>
      <c r="I525" s="2">
        <v>44197</v>
      </c>
      <c r="J525" s="2">
        <v>44562</v>
      </c>
      <c r="K525" s="2">
        <v>44927</v>
      </c>
      <c r="L525" s="2">
        <v>45292</v>
      </c>
      <c r="M525" s="2">
        <v>45658</v>
      </c>
      <c r="N525" s="2">
        <v>46023</v>
      </c>
      <c r="O525" s="2">
        <v>46388</v>
      </c>
      <c r="P525" s="2">
        <v>46753</v>
      </c>
      <c r="Q525" s="2">
        <v>47119</v>
      </c>
      <c r="R525" s="2">
        <v>47484</v>
      </c>
      <c r="S525" s="2">
        <v>47849</v>
      </c>
      <c r="T525" s="2">
        <v>48214</v>
      </c>
      <c r="U525" s="2">
        <v>48580</v>
      </c>
      <c r="V525" s="2">
        <v>48945</v>
      </c>
      <c r="W525" s="2">
        <v>49310</v>
      </c>
      <c r="X525" s="2">
        <v>49675</v>
      </c>
      <c r="Y525" s="2">
        <v>50041</v>
      </c>
      <c r="Z525" s="2">
        <v>50406</v>
      </c>
      <c r="AA525" s="2">
        <v>50771</v>
      </c>
      <c r="AB525" s="2">
        <v>51136</v>
      </c>
      <c r="AC525" s="2">
        <v>51502</v>
      </c>
      <c r="AD525" s="2">
        <v>51867</v>
      </c>
      <c r="AE525" s="2">
        <v>52232</v>
      </c>
      <c r="AF525" s="2">
        <v>52597</v>
      </c>
      <c r="AG525" s="2">
        <v>52963</v>
      </c>
      <c r="AH525" s="2">
        <v>53328</v>
      </c>
      <c r="AI525" s="2">
        <v>53693</v>
      </c>
      <c r="AJ525" s="2">
        <v>54058</v>
      </c>
      <c r="AK525" s="2">
        <v>54424</v>
      </c>
      <c r="AL525" s="2">
        <v>54789</v>
      </c>
      <c r="AM525" s="2">
        <v>54790</v>
      </c>
      <c r="AN525" s="2">
        <v>54791</v>
      </c>
      <c r="AO525" s="2">
        <v>54792</v>
      </c>
      <c r="AP525" s="2">
        <v>54793</v>
      </c>
      <c r="AQ525" s="2">
        <v>54794</v>
      </c>
      <c r="AR525" s="2">
        <v>54795</v>
      </c>
      <c r="AS525" s="2">
        <v>54796</v>
      </c>
      <c r="AT525" s="2">
        <v>54797</v>
      </c>
      <c r="AU525" s="2">
        <v>54798</v>
      </c>
      <c r="AV525" s="2">
        <v>54799</v>
      </c>
      <c r="AW525" s="2">
        <v>54800</v>
      </c>
      <c r="AX525" s="2">
        <v>54801</v>
      </c>
      <c r="AY525" s="2">
        <v>54802</v>
      </c>
      <c r="AZ525" s="2">
        <v>54803</v>
      </c>
      <c r="BA525" s="2">
        <v>54804</v>
      </c>
      <c r="BB525" s="2">
        <v>54805</v>
      </c>
      <c r="BC525" s="2">
        <v>54806</v>
      </c>
      <c r="BD525" s="2">
        <v>54807</v>
      </c>
      <c r="BE525" s="2">
        <v>54808</v>
      </c>
      <c r="BF525" s="2">
        <v>54809</v>
      </c>
    </row>
    <row r="526" spans="2:58" x14ac:dyDescent="0.35">
      <c r="B526" t="s">
        <v>105</v>
      </c>
      <c r="C526" s="9">
        <f>C513/C519-1</f>
        <v>-1.4219242948586563E-3</v>
      </c>
      <c r="D526" s="9">
        <f t="shared" ref="D526:AL526" si="330">D513/D519-1</f>
        <v>-3.6419315546526443E-3</v>
      </c>
      <c r="E526" s="9">
        <f t="shared" si="330"/>
        <v>-5.8767147391057817E-3</v>
      </c>
      <c r="F526" s="9">
        <f t="shared" si="330"/>
        <v>-8.1043083742527999E-3</v>
      </c>
      <c r="G526" s="9">
        <f t="shared" si="330"/>
        <v>-1.0302046425012645E-2</v>
      </c>
      <c r="H526" s="9">
        <f t="shared" si="330"/>
        <v>-1.2454529010697102E-2</v>
      </c>
      <c r="I526" s="9">
        <f t="shared" si="330"/>
        <v>-1.4580076732260472E-2</v>
      </c>
      <c r="J526" s="9">
        <f t="shared" si="330"/>
        <v>-1.664816967135907E-2</v>
      </c>
      <c r="K526" s="9">
        <f t="shared" si="330"/>
        <v>-1.8631634582318313E-2</v>
      </c>
      <c r="L526" s="9">
        <f t="shared" si="330"/>
        <v>-2.0505844983157884E-2</v>
      </c>
      <c r="M526" s="9">
        <f t="shared" si="330"/>
        <v>-2.2263539030928481E-2</v>
      </c>
      <c r="N526" s="9">
        <f t="shared" si="330"/>
        <v>-2.3995261070259066E-2</v>
      </c>
      <c r="O526" s="9">
        <f t="shared" si="330"/>
        <v>-2.5634036165394725E-2</v>
      </c>
      <c r="P526" s="9">
        <f t="shared" si="330"/>
        <v>-2.7183041241217176E-2</v>
      </c>
      <c r="Q526" s="9">
        <f t="shared" si="330"/>
        <v>-2.8658886001335371E-2</v>
      </c>
      <c r="R526" s="9">
        <f t="shared" si="330"/>
        <v>-3.0079405954737903E-2</v>
      </c>
      <c r="S526" s="9">
        <f t="shared" si="330"/>
        <v>-3.1546830670897363E-2</v>
      </c>
      <c r="T526" s="9">
        <f t="shared" si="330"/>
        <v>-3.2997450283085539E-2</v>
      </c>
      <c r="U526" s="9">
        <f t="shared" si="330"/>
        <v>-3.4426065148845164E-2</v>
      </c>
      <c r="V526" s="9">
        <f t="shared" si="330"/>
        <v>-3.5831688940254569E-2</v>
      </c>
      <c r="W526" s="9">
        <f t="shared" si="330"/>
        <v>-3.7208540258633516E-2</v>
      </c>
      <c r="X526" s="9">
        <f t="shared" si="330"/>
        <v>-3.8567285259386797E-2</v>
      </c>
      <c r="Y526" s="9">
        <f t="shared" si="330"/>
        <v>-3.9904261368710059E-2</v>
      </c>
      <c r="Z526" s="9">
        <f t="shared" si="330"/>
        <v>-4.1222151165860366E-2</v>
      </c>
      <c r="AA526" s="9">
        <f t="shared" si="330"/>
        <v>-4.2524173792641617E-2</v>
      </c>
      <c r="AB526" s="9">
        <f t="shared" si="330"/>
        <v>-4.3792916560111306E-2</v>
      </c>
      <c r="AC526" s="9">
        <f t="shared" si="330"/>
        <v>-4.5027553815105925E-2</v>
      </c>
      <c r="AD526" s="9">
        <f t="shared" si="330"/>
        <v>-4.6245681851910359E-2</v>
      </c>
      <c r="AE526" s="9">
        <f t="shared" si="330"/>
        <v>-4.7452098936674458E-2</v>
      </c>
      <c r="AF526" s="9">
        <f t="shared" si="330"/>
        <v>-4.8649365308842452E-2</v>
      </c>
      <c r="AG526" s="9">
        <f t="shared" si="330"/>
        <v>-4.9839708161323548E-2</v>
      </c>
      <c r="AH526" s="9">
        <f t="shared" si="330"/>
        <v>-5.1007925665916831E-2</v>
      </c>
      <c r="AI526" s="9">
        <f t="shared" si="330"/>
        <v>-5.2167681157299195E-2</v>
      </c>
      <c r="AJ526" s="9">
        <f t="shared" si="330"/>
        <v>-5.3321397555035954E-2</v>
      </c>
      <c r="AK526" s="9">
        <f t="shared" si="330"/>
        <v>-5.4470255833031223E-2</v>
      </c>
      <c r="AL526" s="9">
        <f t="shared" si="330"/>
        <v>-5.5614720672754414E-2</v>
      </c>
      <c r="AM526" s="9">
        <f t="shared" ref="AM526:BC526" si="331">AM513/AM519-1</f>
        <v>-5.661133576531141E-2</v>
      </c>
      <c r="AN526" s="9">
        <f t="shared" si="331"/>
        <v>-5.7574821743126448E-2</v>
      </c>
      <c r="AO526" s="9">
        <f t="shared" si="331"/>
        <v>-5.8519353319848255E-2</v>
      </c>
      <c r="AP526" s="9">
        <f t="shared" si="331"/>
        <v>-5.9449967632545508E-2</v>
      </c>
      <c r="AQ526" s="9">
        <f t="shared" si="331"/>
        <v>-6.036859120301763E-2</v>
      </c>
      <c r="AR526" s="9">
        <f t="shared" si="331"/>
        <v>-6.1255162787504536E-2</v>
      </c>
      <c r="AS526" s="9">
        <f t="shared" si="331"/>
        <v>-6.2125769714527546E-2</v>
      </c>
      <c r="AT526" s="9">
        <f t="shared" si="331"/>
        <v>-6.2982361076932558E-2</v>
      </c>
      <c r="AU526" s="9">
        <f t="shared" si="331"/>
        <v>-6.3825487161962347E-2</v>
      </c>
      <c r="AV526" s="9">
        <f t="shared" si="331"/>
        <v>-6.4656013039216309E-2</v>
      </c>
      <c r="AW526" s="9">
        <f t="shared" si="331"/>
        <v>-6.5411279323439375E-2</v>
      </c>
      <c r="AX526" s="9">
        <f t="shared" si="331"/>
        <v>-6.6144735869721583E-2</v>
      </c>
      <c r="AY526" s="9">
        <f t="shared" si="331"/>
        <v>-6.6866453058799458E-2</v>
      </c>
      <c r="AZ526" s="9">
        <f t="shared" si="331"/>
        <v>-6.7581737088382443E-2</v>
      </c>
      <c r="BA526" s="9">
        <f t="shared" si="331"/>
        <v>-6.8293697826273037E-2</v>
      </c>
      <c r="BB526" s="9">
        <f t="shared" si="331"/>
        <v>-6.8965713347679869E-2</v>
      </c>
      <c r="BC526" s="9">
        <f t="shared" si="331"/>
        <v>-6.9628719640218328E-2</v>
      </c>
      <c r="BD526" s="9">
        <f t="shared" ref="BD526:BF526" si="332">BD513/BD519-1</f>
        <v>-7.0287638968221655E-2</v>
      </c>
      <c r="BE526" s="9">
        <f t="shared" si="332"/>
        <v>-7.0944851623336191E-2</v>
      </c>
      <c r="BF526" s="9">
        <f t="shared" si="332"/>
        <v>-7.1601754043500998E-2</v>
      </c>
    </row>
    <row r="527" spans="2:58" x14ac:dyDescent="0.35">
      <c r="B527" t="s">
        <v>103</v>
      </c>
      <c r="C527" s="9">
        <f>(C516-C522)/C519</f>
        <v>0</v>
      </c>
      <c r="D527" s="9">
        <f t="shared" ref="D527:AL527" si="333">(D516-D522)/D519</f>
        <v>-8.2076420597864774E-4</v>
      </c>
      <c r="E527" s="9">
        <f t="shared" si="333"/>
        <v>-1.5828768405144336E-3</v>
      </c>
      <c r="F527" s="9">
        <f t="shared" si="333"/>
        <v>-2.2998333430413816E-3</v>
      </c>
      <c r="G527" s="9">
        <f t="shared" si="333"/>
        <v>-2.9872130555183177E-3</v>
      </c>
      <c r="H527" s="9">
        <f t="shared" si="333"/>
        <v>-3.6590028988388282E-3</v>
      </c>
      <c r="I527" s="9">
        <f t="shared" si="333"/>
        <v>-4.3462468097477227E-3</v>
      </c>
      <c r="J527" s="9">
        <f t="shared" si="333"/>
        <v>-5.0136149303060566E-3</v>
      </c>
      <c r="K527" s="9">
        <f t="shared" si="333"/>
        <v>-5.6226923454839135E-3</v>
      </c>
      <c r="L527" s="9">
        <f t="shared" si="333"/>
        <v>-6.1369480490654753E-3</v>
      </c>
      <c r="M527" s="9">
        <f t="shared" si="333"/>
        <v>-6.5596571481999688E-3</v>
      </c>
      <c r="N527" s="9">
        <f t="shared" si="333"/>
        <v>-6.9195075979004836E-3</v>
      </c>
      <c r="O527" s="9">
        <f t="shared" si="333"/>
        <v>-7.1941820320047525E-3</v>
      </c>
      <c r="P527" s="9">
        <f t="shared" si="333"/>
        <v>-7.3911425770621072E-3</v>
      </c>
      <c r="Q527" s="9">
        <f t="shared" si="333"/>
        <v>-7.5348851119656189E-3</v>
      </c>
      <c r="R527" s="9">
        <f t="shared" si="333"/>
        <v>-7.6507163751599779E-3</v>
      </c>
      <c r="S527" s="9">
        <f t="shared" si="333"/>
        <v>-7.7780363415616682E-3</v>
      </c>
      <c r="T527" s="9">
        <f t="shared" si="333"/>
        <v>-7.9108685215526098E-3</v>
      </c>
      <c r="U527" s="9">
        <f t="shared" si="333"/>
        <v>-8.045220921099161E-3</v>
      </c>
      <c r="V527" s="9">
        <f t="shared" si="333"/>
        <v>-8.177489243338781E-3</v>
      </c>
      <c r="W527" s="9">
        <f t="shared" si="333"/>
        <v>-8.3048378560716726E-3</v>
      </c>
      <c r="X527" s="9">
        <f t="shared" si="333"/>
        <v>-8.4216495792838065E-3</v>
      </c>
      <c r="Y527" s="9">
        <f t="shared" si="333"/>
        <v>-8.528094114874131E-3</v>
      </c>
      <c r="Z527" s="9">
        <f t="shared" si="333"/>
        <v>-8.6236362442433396E-3</v>
      </c>
      <c r="AA527" s="9">
        <f t="shared" si="333"/>
        <v>-8.7090502133899683E-3</v>
      </c>
      <c r="AB527" s="9">
        <f t="shared" si="333"/>
        <v>-8.7855954163530928E-3</v>
      </c>
      <c r="AC527" s="9">
        <f t="shared" si="333"/>
        <v>-8.8406049975668522E-3</v>
      </c>
      <c r="AD527" s="9">
        <f t="shared" si="333"/>
        <v>-8.8834512878898774E-3</v>
      </c>
      <c r="AE527" s="9">
        <f t="shared" si="333"/>
        <v>-8.916802561378662E-3</v>
      </c>
      <c r="AF527" s="9">
        <f t="shared" si="333"/>
        <v>-8.9419015788475397E-3</v>
      </c>
      <c r="AG527" s="9">
        <f t="shared" si="333"/>
        <v>-8.9611457662810874E-3</v>
      </c>
      <c r="AH527" s="9">
        <f t="shared" si="333"/>
        <v>-8.9714354674078119E-3</v>
      </c>
      <c r="AI527" s="9">
        <f t="shared" si="333"/>
        <v>-8.9755308021498836E-3</v>
      </c>
      <c r="AJ527" s="9">
        <f t="shared" si="333"/>
        <v>-8.9757196109249704E-3</v>
      </c>
      <c r="AK527" s="9">
        <f t="shared" si="333"/>
        <v>-8.9740192083435193E-3</v>
      </c>
      <c r="AL527" s="9">
        <f t="shared" si="333"/>
        <v>-8.9720528882701288E-3</v>
      </c>
      <c r="AM527" s="9">
        <f t="shared" ref="AM527:BC527" si="334">(AM516-AM522)/AM519</f>
        <v>-8.9311032958563283E-3</v>
      </c>
      <c r="AN527" s="9">
        <f t="shared" si="334"/>
        <v>-8.8742830527930704E-3</v>
      </c>
      <c r="AO527" s="9">
        <f t="shared" si="334"/>
        <v>-8.8114002797933418E-3</v>
      </c>
      <c r="AP527" s="9">
        <f t="shared" si="334"/>
        <v>-8.7453877227508976E-3</v>
      </c>
      <c r="AQ527" s="9">
        <f t="shared" si="334"/>
        <v>-8.6760298008830544E-3</v>
      </c>
      <c r="AR527" s="9">
        <f t="shared" si="334"/>
        <v>-8.5959632834204137E-3</v>
      </c>
      <c r="AS527" s="9">
        <f t="shared" si="334"/>
        <v>-8.5067253464323096E-3</v>
      </c>
      <c r="AT527" s="9">
        <f t="shared" si="334"/>
        <v>-8.4079405844249121E-3</v>
      </c>
      <c r="AU527" s="9">
        <f t="shared" si="334"/>
        <v>-8.2986914305683782E-3</v>
      </c>
      <c r="AV527" s="9">
        <f t="shared" si="334"/>
        <v>-8.1794848396520795E-3</v>
      </c>
      <c r="AW527" s="9">
        <f t="shared" si="334"/>
        <v>-8.0358469356911783E-3</v>
      </c>
      <c r="AX527" s="9">
        <f t="shared" si="334"/>
        <v>-7.8837909329728256E-3</v>
      </c>
      <c r="AY527" s="9">
        <f t="shared" si="334"/>
        <v>-7.7325322918981925E-3</v>
      </c>
      <c r="AZ527" s="9">
        <f t="shared" si="334"/>
        <v>-7.5872477161387977E-3</v>
      </c>
      <c r="BA527" s="9">
        <f t="shared" si="334"/>
        <v>-7.4506349555570183E-3</v>
      </c>
      <c r="BB527" s="9">
        <f t="shared" si="334"/>
        <v>-7.3132948509023179E-3</v>
      </c>
      <c r="BC527" s="9">
        <f t="shared" si="334"/>
        <v>-7.1819316117659312E-3</v>
      </c>
      <c r="BD527" s="9">
        <f t="shared" ref="BD527:BF527" si="335">(BD516-BD522)/BD519</f>
        <v>-7.0592421178242732E-3</v>
      </c>
      <c r="BE527" s="9">
        <f t="shared" si="335"/>
        <v>-6.9461058146756101E-3</v>
      </c>
      <c r="BF527" s="9">
        <f t="shared" si="335"/>
        <v>-6.8426102910715486E-3</v>
      </c>
    </row>
    <row r="528" spans="2:58" x14ac:dyDescent="0.35">
      <c r="B528" t="s">
        <v>104</v>
      </c>
      <c r="C528" s="9">
        <f>(C515-C521)/C519</f>
        <v>-1.989595058122102E-3</v>
      </c>
      <c r="D528" s="9">
        <f t="shared" ref="D528:AL528" si="336">(D515-D521)/D519</f>
        <v>-4.7322191300310677E-3</v>
      </c>
      <c r="E528" s="9">
        <f t="shared" si="336"/>
        <v>-7.6505953498630114E-3</v>
      </c>
      <c r="F528" s="9">
        <f t="shared" si="336"/>
        <v>-1.0669066948835029E-2</v>
      </c>
      <c r="G528" s="9">
        <f t="shared" si="336"/>
        <v>-1.3717331415495681E-2</v>
      </c>
      <c r="H528" s="9">
        <f t="shared" si="336"/>
        <v>-1.6743809650173375E-2</v>
      </c>
      <c r="I528" s="9">
        <f t="shared" si="336"/>
        <v>-1.973985915589559E-2</v>
      </c>
      <c r="J528" s="9">
        <f t="shared" si="336"/>
        <v>-2.2670073555319307E-2</v>
      </c>
      <c r="K528" s="9">
        <f t="shared" si="336"/>
        <v>-2.5514194271991721E-2</v>
      </c>
      <c r="L528" s="9">
        <f t="shared" si="336"/>
        <v>-2.825846113140125E-2</v>
      </c>
      <c r="M528" s="9">
        <f t="shared" si="336"/>
        <v>-3.088212671751614E-2</v>
      </c>
      <c r="N528" s="9">
        <f t="shared" si="336"/>
        <v>-3.348818829865443E-2</v>
      </c>
      <c r="O528" s="9">
        <f t="shared" si="336"/>
        <v>-3.60021943290222E-2</v>
      </c>
      <c r="P528" s="9">
        <f t="shared" si="336"/>
        <v>-3.8416053135298223E-2</v>
      </c>
      <c r="Q528" s="9">
        <f t="shared" si="336"/>
        <v>-4.0736361566592778E-2</v>
      </c>
      <c r="R528" s="9">
        <f t="shared" si="336"/>
        <v>-4.2972959897697886E-2</v>
      </c>
      <c r="S528" s="9">
        <f t="shared" si="336"/>
        <v>-4.5239790201461315E-2</v>
      </c>
      <c r="T528" s="9">
        <f t="shared" si="336"/>
        <v>-4.7468991163709506E-2</v>
      </c>
      <c r="U528" s="9">
        <f t="shared" si="336"/>
        <v>-4.9649144987043523E-2</v>
      </c>
      <c r="V528" s="9">
        <f t="shared" si="336"/>
        <v>-5.1780378486108523E-2</v>
      </c>
      <c r="W528" s="9">
        <f t="shared" si="336"/>
        <v>-5.3861065280906305E-2</v>
      </c>
      <c r="X528" s="9">
        <f t="shared" si="336"/>
        <v>-5.5898466464240348E-2</v>
      </c>
      <c r="Y528" s="9">
        <f t="shared" si="336"/>
        <v>-5.7897247979151349E-2</v>
      </c>
      <c r="Z528" s="9">
        <f t="shared" si="336"/>
        <v>-5.9861522082285012E-2</v>
      </c>
      <c r="AA528" s="9">
        <f t="shared" si="336"/>
        <v>-6.1796760442226643E-2</v>
      </c>
      <c r="AB528" s="9">
        <f t="shared" si="336"/>
        <v>-6.3693720939813611E-2</v>
      </c>
      <c r="AC528" s="9">
        <f t="shared" si="336"/>
        <v>-6.5530737527774746E-2</v>
      </c>
      <c r="AD528" s="9">
        <f t="shared" si="336"/>
        <v>-6.7339496052993567E-2</v>
      </c>
      <c r="AE528" s="9">
        <f t="shared" si="336"/>
        <v>-6.9127005202593489E-2</v>
      </c>
      <c r="AF528" s="9">
        <f t="shared" si="336"/>
        <v>-7.0897821104716707E-2</v>
      </c>
      <c r="AG528" s="9">
        <f t="shared" si="336"/>
        <v>-7.2655649438989361E-2</v>
      </c>
      <c r="AH528" s="9">
        <f t="shared" si="336"/>
        <v>-7.4384118813507677E-2</v>
      </c>
      <c r="AI528" s="9">
        <f t="shared" si="336"/>
        <v>-7.6097949058088851E-2</v>
      </c>
      <c r="AJ528" s="9">
        <f t="shared" si="336"/>
        <v>-7.7801128755017754E-2</v>
      </c>
      <c r="AK528" s="9">
        <f t="shared" si="336"/>
        <v>-7.949491507688182E-2</v>
      </c>
      <c r="AL528" s="9">
        <f t="shared" si="336"/>
        <v>-8.1179468686422535E-2</v>
      </c>
      <c r="AM528" s="9">
        <f t="shared" ref="AM528:BC528" si="337">(AM515-AM521)/AM519</f>
        <v>-8.2693639953487538E-2</v>
      </c>
      <c r="AN528" s="9">
        <f t="shared" si="337"/>
        <v>-8.4147291077251052E-2</v>
      </c>
      <c r="AO528" s="9">
        <f t="shared" si="337"/>
        <v>-8.5566588125465179E-2</v>
      </c>
      <c r="AP528" s="9">
        <f t="shared" si="337"/>
        <v>-8.6959176201909266E-2</v>
      </c>
      <c r="AQ528" s="9">
        <f t="shared" si="337"/>
        <v>-8.8329053671172372E-2</v>
      </c>
      <c r="AR528" s="9">
        <f t="shared" si="337"/>
        <v>-8.9655658378457431E-2</v>
      </c>
      <c r="AS528" s="9">
        <f t="shared" si="337"/>
        <v>-9.0957147297310068E-2</v>
      </c>
      <c r="AT528" s="9">
        <f t="shared" si="337"/>
        <v>-9.2239084270324734E-2</v>
      </c>
      <c r="AU528" s="9">
        <f t="shared" si="337"/>
        <v>-9.3503965137666858E-2</v>
      </c>
      <c r="AV528" s="9">
        <f t="shared" si="337"/>
        <v>-9.4753519391574559E-2</v>
      </c>
      <c r="AW528" s="9">
        <f t="shared" si="337"/>
        <v>-9.5915387632156929E-2</v>
      </c>
      <c r="AX528" s="9">
        <f t="shared" si="337"/>
        <v>-9.7040999721114754E-2</v>
      </c>
      <c r="AY528" s="9">
        <f t="shared" si="337"/>
        <v>-9.8144127114166077E-2</v>
      </c>
      <c r="AZ528" s="9">
        <f t="shared" si="337"/>
        <v>-9.9230374534433369E-2</v>
      </c>
      <c r="BA528" s="9">
        <f t="shared" si="337"/>
        <v>-0.10030326233693987</v>
      </c>
      <c r="BB528" s="9">
        <f t="shared" si="337"/>
        <v>-0.10132180061249725</v>
      </c>
      <c r="BC528" s="9">
        <f t="shared" si="337"/>
        <v>-0.10231718156100482</v>
      </c>
      <c r="BD528" s="9">
        <f t="shared" ref="BD528:BF528" si="338">(BD515-BD521)/BD519</f>
        <v>-0.10329831953497901</v>
      </c>
      <c r="BE528" s="9">
        <f t="shared" si="338"/>
        <v>-0.10426920308373644</v>
      </c>
      <c r="BF528" s="9">
        <f t="shared" si="338"/>
        <v>-0.10523256098363021</v>
      </c>
    </row>
    <row r="529" spans="2:58" x14ac:dyDescent="0.35">
      <c r="B529" t="s">
        <v>20</v>
      </c>
      <c r="C529" s="9">
        <f>(C517-C514-(C523-C520))/C519</f>
        <v>5.6767112141591124E-4</v>
      </c>
      <c r="D529" s="9">
        <f t="shared" ref="D529:AL529" si="339">(D517-D514-(D523-D520))/D519</f>
        <v>1.9110520711858692E-3</v>
      </c>
      <c r="E529" s="9">
        <f t="shared" si="339"/>
        <v>3.3567568740660121E-3</v>
      </c>
      <c r="F529" s="9">
        <f t="shared" si="339"/>
        <v>4.8645919893341317E-3</v>
      </c>
      <c r="G529" s="9">
        <f t="shared" si="339"/>
        <v>6.4024980460013177E-3</v>
      </c>
      <c r="H529" s="9">
        <f t="shared" si="339"/>
        <v>7.9482831855929165E-3</v>
      </c>
      <c r="I529" s="9">
        <f t="shared" si="339"/>
        <v>9.5060294430452646E-3</v>
      </c>
      <c r="J529" s="9">
        <f t="shared" si="339"/>
        <v>1.1035519091033929E-2</v>
      </c>
      <c r="K529" s="9">
        <f t="shared" si="339"/>
        <v>1.2505252172097657E-2</v>
      </c>
      <c r="L529" s="9">
        <f t="shared" si="339"/>
        <v>1.3889564129573876E-2</v>
      </c>
      <c r="M529" s="9">
        <f t="shared" si="339"/>
        <v>1.5178245437208079E-2</v>
      </c>
      <c r="N529" s="9">
        <f t="shared" si="339"/>
        <v>1.6412435355754974E-2</v>
      </c>
      <c r="O529" s="9">
        <f t="shared" si="339"/>
        <v>1.7562340784640185E-2</v>
      </c>
      <c r="P529" s="9">
        <f t="shared" si="339"/>
        <v>1.8624154276975155E-2</v>
      </c>
      <c r="Q529" s="9">
        <f t="shared" si="339"/>
        <v>1.9612360741236963E-2</v>
      </c>
      <c r="R529" s="9">
        <f t="shared" si="339"/>
        <v>2.0544270824668118E-2</v>
      </c>
      <c r="S529" s="9">
        <f t="shared" si="339"/>
        <v>2.1470995872125712E-2</v>
      </c>
      <c r="T529" s="9">
        <f t="shared" si="339"/>
        <v>2.2382409402176617E-2</v>
      </c>
      <c r="U529" s="9">
        <f t="shared" si="339"/>
        <v>2.3268300268843571E-2</v>
      </c>
      <c r="V529" s="9">
        <f t="shared" si="339"/>
        <v>2.412617848590224E-2</v>
      </c>
      <c r="W529" s="9">
        <f t="shared" si="339"/>
        <v>2.4957362758235235E-2</v>
      </c>
      <c r="X529" s="9">
        <f t="shared" si="339"/>
        <v>2.5752829952054888E-2</v>
      </c>
      <c r="Y529" s="9">
        <f t="shared" si="339"/>
        <v>2.6521080725315459E-2</v>
      </c>
      <c r="Z529" s="9">
        <f t="shared" si="339"/>
        <v>2.7263007509891118E-2</v>
      </c>
      <c r="AA529" s="9">
        <f t="shared" si="339"/>
        <v>2.7981636402214169E-2</v>
      </c>
      <c r="AB529" s="9">
        <f t="shared" si="339"/>
        <v>2.8686400195631623E-2</v>
      </c>
      <c r="AC529" s="9">
        <f t="shared" si="339"/>
        <v>2.9343788653685508E-2</v>
      </c>
      <c r="AD529" s="9">
        <f t="shared" si="339"/>
        <v>2.9977264760703046E-2</v>
      </c>
      <c r="AE529" s="9">
        <f t="shared" si="339"/>
        <v>3.0591709215758725E-2</v>
      </c>
      <c r="AF529" s="9">
        <f t="shared" si="339"/>
        <v>3.1190357429692037E-2</v>
      </c>
      <c r="AG529" s="9">
        <f t="shared" si="339"/>
        <v>3.17770868261558E-2</v>
      </c>
      <c r="AH529" s="9">
        <f t="shared" si="339"/>
        <v>3.2347628938554078E-2</v>
      </c>
      <c r="AI529" s="9">
        <f t="shared" si="339"/>
        <v>3.2905798649535363E-2</v>
      </c>
      <c r="AJ529" s="9">
        <f t="shared" si="339"/>
        <v>3.3455450969555614E-2</v>
      </c>
      <c r="AK529" s="9">
        <f t="shared" si="339"/>
        <v>3.3998678399832373E-2</v>
      </c>
      <c r="AL529" s="9">
        <f t="shared" si="339"/>
        <v>3.4536800487210265E-2</v>
      </c>
      <c r="AM529" s="9">
        <f t="shared" ref="AM529:BC529" si="340">(AM517-AM514-(AM523-AM520))/AM519</f>
        <v>3.5013407484032234E-2</v>
      </c>
      <c r="AN529" s="9">
        <f t="shared" si="340"/>
        <v>3.5446752895339134E-2</v>
      </c>
      <c r="AO529" s="9">
        <f t="shared" si="340"/>
        <v>3.5858635437856869E-2</v>
      </c>
      <c r="AP529" s="9">
        <f t="shared" si="340"/>
        <v>3.6254596491554734E-2</v>
      </c>
      <c r="AQ529" s="9">
        <f t="shared" si="340"/>
        <v>3.6636492466531695E-2</v>
      </c>
      <c r="AR529" s="9">
        <f t="shared" si="340"/>
        <v>3.6996458923262941E-2</v>
      </c>
      <c r="AS529" s="9">
        <f t="shared" si="340"/>
        <v>3.7338102687174253E-2</v>
      </c>
      <c r="AT529" s="9">
        <f t="shared" si="340"/>
        <v>3.7664663681958213E-2</v>
      </c>
      <c r="AU529" s="9">
        <f t="shared" si="340"/>
        <v>3.7977169406273083E-2</v>
      </c>
      <c r="AV529" s="9">
        <f t="shared" si="340"/>
        <v>3.8276990910127193E-2</v>
      </c>
      <c r="AW529" s="9">
        <f t="shared" si="340"/>
        <v>3.8539955476953852E-2</v>
      </c>
      <c r="AX529" s="9">
        <f t="shared" si="340"/>
        <v>3.878005501456612E-2</v>
      </c>
      <c r="AY529" s="9">
        <f t="shared" si="340"/>
        <v>3.9010206620707172E-2</v>
      </c>
      <c r="AZ529" s="9">
        <f t="shared" si="340"/>
        <v>3.9235884711087708E-2</v>
      </c>
      <c r="BA529" s="9">
        <f t="shared" si="340"/>
        <v>3.9460199064376852E-2</v>
      </c>
      <c r="BB529" s="9">
        <f t="shared" si="340"/>
        <v>3.9669382292488217E-2</v>
      </c>
      <c r="BC529" s="9">
        <f t="shared" si="340"/>
        <v>3.9870393532552215E-2</v>
      </c>
      <c r="BD529" s="9">
        <f t="shared" ref="BD529:BF529" si="341">(BD517-BD514-(BD523-BD520))/BD519</f>
        <v>4.0069922987587374E-2</v>
      </c>
      <c r="BE529" s="9">
        <f t="shared" si="341"/>
        <v>4.0270457275075625E-2</v>
      </c>
      <c r="BF529" s="9">
        <f t="shared" si="341"/>
        <v>4.0473416807260687E-2</v>
      </c>
    </row>
  </sheetData>
  <mergeCells count="2">
    <mergeCell ref="A61:A62"/>
    <mergeCell ref="A64:A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21</vt:i4>
      </vt:variant>
    </vt:vector>
  </HeadingPairs>
  <TitlesOfParts>
    <vt:vector size="22" baseType="lpstr">
      <vt:lpstr>Données</vt:lpstr>
      <vt:lpstr>Gr Macro</vt:lpstr>
      <vt:lpstr>Gr inflation</vt:lpstr>
      <vt:lpstr>Gr émissions</vt:lpstr>
      <vt:lpstr>Gr conso éner</vt:lpstr>
      <vt:lpstr>GR macro ener</vt:lpstr>
      <vt:lpstr>Gr éner prim</vt:lpstr>
      <vt:lpstr>BUIL (class,base)</vt:lpstr>
      <vt:lpstr>BUIL (class,shock)</vt:lpstr>
      <vt:lpstr>Auto (class,base)</vt:lpstr>
      <vt:lpstr>Auto (class,shock)</vt:lpstr>
      <vt:lpstr>Auto (ener,shock)</vt:lpstr>
      <vt:lpstr>Auto (ener,base)</vt:lpstr>
      <vt:lpstr>Employment</vt:lpstr>
      <vt:lpstr>Investment</vt:lpstr>
      <vt:lpstr>Firms' emissions</vt:lpstr>
      <vt:lpstr>Capital intensity</vt:lpstr>
      <vt:lpstr>Energy intensity</vt:lpstr>
      <vt:lpstr>Gr VA secteurs (% dev)</vt:lpstr>
      <vt:lpstr>Gr VA secteurs (% share)</vt:lpstr>
      <vt:lpstr>Gr Y secteurs (% dev)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2022-02-25T07:23:39Z</dcterms:modified>
</cp:coreProperties>
</file>