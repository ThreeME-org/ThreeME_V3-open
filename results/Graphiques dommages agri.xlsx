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chartsheets/sheet22.xml" ContentType="application/vnd.openxmlformats-officedocument.spreadsheetml.chartsheet+xml"/>
  <Override PartName="/xl/chartsheets/sheet23.xml" ContentType="application/vnd.openxmlformats-officedocument.spreadsheetml.chartsheet+xml"/>
  <Override PartName="/xl/chartsheets/sheet24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5.xml" ContentType="application/vnd.openxmlformats-officedocument.drawingml.chartshapes+xml"/>
  <Override PartName="/xl/drawings/drawing26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flori\Documents\Github\ThreeME_V3-ADEME\results\"/>
    </mc:Choice>
  </mc:AlternateContent>
  <xr:revisionPtr revIDLastSave="0" documentId="13_ncr:1_{E07ABE8A-53C4-45CD-9499-7EFE0D0A645E}" xr6:coauthVersionLast="47" xr6:coauthVersionMax="47" xr10:uidLastSave="{00000000-0000-0000-0000-000000000000}"/>
  <bookViews>
    <workbookView xWindow="-108" yWindow="-108" windowWidth="23256" windowHeight="12456" firstSheet="20" activeTab="22" xr2:uid="{00000000-000D-0000-FFFF-FFFF00000000}"/>
  </bookViews>
  <sheets>
    <sheet name="Données" sheetId="2" r:id="rId1"/>
    <sheet name="Gr Macro" sheetId="5" r:id="rId2"/>
    <sheet name="Gr inflation" sheetId="6" r:id="rId3"/>
    <sheet name="Gr émissions" sheetId="7" r:id="rId4"/>
    <sheet name="Gr conso éner" sheetId="28" r:id="rId5"/>
    <sheet name="GR macro ener" sheetId="30" r:id="rId6"/>
    <sheet name="Gr éner prim" sheetId="29" r:id="rId7"/>
    <sheet name="BUIL (class,base)" sheetId="25" r:id="rId8"/>
    <sheet name="BUIL (class,shock)" sheetId="26" r:id="rId9"/>
    <sheet name="Auto (class,base)" sheetId="24" r:id="rId10"/>
    <sheet name="Auto (class,shock)" sheetId="23" r:id="rId11"/>
    <sheet name="Auto (ener,base)" sheetId="22" r:id="rId12"/>
    <sheet name="Auto (ener,shock)" sheetId="21" r:id="rId13"/>
    <sheet name="Employment" sheetId="16" r:id="rId14"/>
    <sheet name="Investissement" sheetId="31" r:id="rId15"/>
    <sheet name="Investissement ctrb" sheetId="32" r:id="rId16"/>
    <sheet name="Firms' emissions" sheetId="27" r:id="rId17"/>
    <sheet name="Capital intensity" sheetId="17" r:id="rId18"/>
    <sheet name="Energy intensity" sheetId="18" r:id="rId19"/>
    <sheet name="Gr VA secteurs (% dev)" sheetId="12" r:id="rId20"/>
    <sheet name="Gr VA secteurs (% dev2)" sheetId="33" r:id="rId21"/>
    <sheet name="Gr VA secteurs (% share)" sheetId="13" r:id="rId22"/>
    <sheet name="Gr Y secteurs (% dev)" sheetId="14" r:id="rId23"/>
    <sheet name="Gr Y secteurs ctrb" sheetId="34" r:id="rId24"/>
    <sheet name="Gr Y secteurs (% share)" sheetId="15" r:id="rId25"/>
  </sheets>
  <externalReferences>
    <externalReference r:id="rId2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L677" i="2" l="1"/>
  <c r="AK677" i="2"/>
  <c r="AJ677" i="2"/>
  <c r="AI677" i="2"/>
  <c r="AH677" i="2"/>
  <c r="AG677" i="2"/>
  <c r="AF677" i="2"/>
  <c r="AE677" i="2"/>
  <c r="AD677" i="2"/>
  <c r="AC677" i="2"/>
  <c r="AB677" i="2"/>
  <c r="AA677" i="2"/>
  <c r="Z677" i="2"/>
  <c r="Y677" i="2"/>
  <c r="X677" i="2"/>
  <c r="W677" i="2"/>
  <c r="V677" i="2"/>
  <c r="U677" i="2"/>
  <c r="T677" i="2"/>
  <c r="S677" i="2"/>
  <c r="R677" i="2"/>
  <c r="Q677" i="2"/>
  <c r="P677" i="2"/>
  <c r="O677" i="2"/>
  <c r="N677" i="2"/>
  <c r="M677" i="2"/>
  <c r="L677" i="2"/>
  <c r="K677" i="2"/>
  <c r="J677" i="2"/>
  <c r="I677" i="2"/>
  <c r="H677" i="2"/>
  <c r="G677" i="2"/>
  <c r="F677" i="2"/>
  <c r="E677" i="2"/>
  <c r="D677" i="2"/>
  <c r="C677" i="2"/>
  <c r="B677" i="2"/>
  <c r="AL676" i="2"/>
  <c r="AK676" i="2"/>
  <c r="AJ676" i="2"/>
  <c r="AI676" i="2"/>
  <c r="AH676" i="2"/>
  <c r="AG676" i="2"/>
  <c r="AF676" i="2"/>
  <c r="AE676" i="2"/>
  <c r="AD676" i="2"/>
  <c r="AC676" i="2"/>
  <c r="AB676" i="2"/>
  <c r="AA676" i="2"/>
  <c r="Z676" i="2"/>
  <c r="Y676" i="2"/>
  <c r="X676" i="2"/>
  <c r="W676" i="2"/>
  <c r="V676" i="2"/>
  <c r="U676" i="2"/>
  <c r="T676" i="2"/>
  <c r="S676" i="2"/>
  <c r="R676" i="2"/>
  <c r="Q676" i="2"/>
  <c r="P676" i="2"/>
  <c r="O676" i="2"/>
  <c r="N676" i="2"/>
  <c r="M676" i="2"/>
  <c r="L676" i="2"/>
  <c r="K676" i="2"/>
  <c r="J676" i="2"/>
  <c r="I676" i="2"/>
  <c r="H676" i="2"/>
  <c r="G676" i="2"/>
  <c r="F676" i="2"/>
  <c r="E676" i="2"/>
  <c r="D676" i="2"/>
  <c r="C676" i="2"/>
  <c r="B676" i="2"/>
  <c r="AL675" i="2"/>
  <c r="AK675" i="2"/>
  <c r="AJ675" i="2"/>
  <c r="AI675" i="2"/>
  <c r="AH675" i="2"/>
  <c r="AG675" i="2"/>
  <c r="AF675" i="2"/>
  <c r="AE675" i="2"/>
  <c r="AD675" i="2"/>
  <c r="AC675" i="2"/>
  <c r="AB675" i="2"/>
  <c r="AA675" i="2"/>
  <c r="Z675" i="2"/>
  <c r="Y675" i="2"/>
  <c r="X675" i="2"/>
  <c r="W675" i="2"/>
  <c r="V675" i="2"/>
  <c r="U675" i="2"/>
  <c r="T675" i="2"/>
  <c r="S675" i="2"/>
  <c r="R675" i="2"/>
  <c r="Q675" i="2"/>
  <c r="P675" i="2"/>
  <c r="O675" i="2"/>
  <c r="N675" i="2"/>
  <c r="M675" i="2"/>
  <c r="L675" i="2"/>
  <c r="K675" i="2"/>
  <c r="J675" i="2"/>
  <c r="I675" i="2"/>
  <c r="H675" i="2"/>
  <c r="G675" i="2"/>
  <c r="F675" i="2"/>
  <c r="E675" i="2"/>
  <c r="D675" i="2"/>
  <c r="C675" i="2"/>
  <c r="B675" i="2"/>
  <c r="AL674" i="2"/>
  <c r="AK674" i="2"/>
  <c r="AJ674" i="2"/>
  <c r="AI674" i="2"/>
  <c r="AH674" i="2"/>
  <c r="AG674" i="2"/>
  <c r="AF674" i="2"/>
  <c r="AE674" i="2"/>
  <c r="AD674" i="2"/>
  <c r="AC674" i="2"/>
  <c r="AB674" i="2"/>
  <c r="AA674" i="2"/>
  <c r="Z674" i="2"/>
  <c r="Y674" i="2"/>
  <c r="X674" i="2"/>
  <c r="W674" i="2"/>
  <c r="V674" i="2"/>
  <c r="U674" i="2"/>
  <c r="T674" i="2"/>
  <c r="S674" i="2"/>
  <c r="R674" i="2"/>
  <c r="Q674" i="2"/>
  <c r="P674" i="2"/>
  <c r="O674" i="2"/>
  <c r="N674" i="2"/>
  <c r="M674" i="2"/>
  <c r="L674" i="2"/>
  <c r="K674" i="2"/>
  <c r="J674" i="2"/>
  <c r="I674" i="2"/>
  <c r="H674" i="2"/>
  <c r="G674" i="2"/>
  <c r="F674" i="2"/>
  <c r="E674" i="2"/>
  <c r="D674" i="2"/>
  <c r="C674" i="2"/>
  <c r="B674" i="2"/>
  <c r="AL673" i="2"/>
  <c r="AK673" i="2"/>
  <c r="AJ673" i="2"/>
  <c r="AI673" i="2"/>
  <c r="AH673" i="2"/>
  <c r="AG673" i="2"/>
  <c r="AF673" i="2"/>
  <c r="AE673" i="2"/>
  <c r="AD673" i="2"/>
  <c r="AC673" i="2"/>
  <c r="AB673" i="2"/>
  <c r="AA673" i="2"/>
  <c r="Z673" i="2"/>
  <c r="Y673" i="2"/>
  <c r="X673" i="2"/>
  <c r="W673" i="2"/>
  <c r="V673" i="2"/>
  <c r="U673" i="2"/>
  <c r="T673" i="2"/>
  <c r="S673" i="2"/>
  <c r="R673" i="2"/>
  <c r="Q673" i="2"/>
  <c r="P673" i="2"/>
  <c r="O673" i="2"/>
  <c r="N673" i="2"/>
  <c r="M673" i="2"/>
  <c r="L673" i="2"/>
  <c r="K673" i="2"/>
  <c r="J673" i="2"/>
  <c r="I673" i="2"/>
  <c r="H673" i="2"/>
  <c r="G673" i="2"/>
  <c r="F673" i="2"/>
  <c r="E673" i="2"/>
  <c r="D673" i="2"/>
  <c r="C673" i="2"/>
  <c r="B673" i="2"/>
  <c r="AL671" i="2"/>
  <c r="AK671" i="2"/>
  <c r="AJ671" i="2"/>
  <c r="AI671" i="2"/>
  <c r="AH671" i="2"/>
  <c r="AG671" i="2"/>
  <c r="AF671" i="2"/>
  <c r="AE671" i="2"/>
  <c r="AD671" i="2"/>
  <c r="AC671" i="2"/>
  <c r="AB671" i="2"/>
  <c r="AA671" i="2"/>
  <c r="Z671" i="2"/>
  <c r="Y671" i="2"/>
  <c r="X671" i="2"/>
  <c r="W671" i="2"/>
  <c r="V671" i="2"/>
  <c r="U671" i="2"/>
  <c r="T671" i="2"/>
  <c r="S671" i="2"/>
  <c r="R671" i="2"/>
  <c r="Q671" i="2"/>
  <c r="P671" i="2"/>
  <c r="O671" i="2"/>
  <c r="N671" i="2"/>
  <c r="M671" i="2"/>
  <c r="L671" i="2"/>
  <c r="K671" i="2"/>
  <c r="J671" i="2"/>
  <c r="I671" i="2"/>
  <c r="H671" i="2"/>
  <c r="G671" i="2"/>
  <c r="F671" i="2"/>
  <c r="E671" i="2"/>
  <c r="D671" i="2"/>
  <c r="C671" i="2"/>
  <c r="B671" i="2"/>
  <c r="AL670" i="2"/>
  <c r="AK670" i="2"/>
  <c r="AJ670" i="2"/>
  <c r="AI670" i="2"/>
  <c r="AH670" i="2"/>
  <c r="AG670" i="2"/>
  <c r="AF670" i="2"/>
  <c r="AE670" i="2"/>
  <c r="AD670" i="2"/>
  <c r="AC670" i="2"/>
  <c r="AB670" i="2"/>
  <c r="AA670" i="2"/>
  <c r="Z670" i="2"/>
  <c r="Y670" i="2"/>
  <c r="X670" i="2"/>
  <c r="W670" i="2"/>
  <c r="V670" i="2"/>
  <c r="U670" i="2"/>
  <c r="T670" i="2"/>
  <c r="S670" i="2"/>
  <c r="R670" i="2"/>
  <c r="Q670" i="2"/>
  <c r="P670" i="2"/>
  <c r="O670" i="2"/>
  <c r="N670" i="2"/>
  <c r="M670" i="2"/>
  <c r="L670" i="2"/>
  <c r="K670" i="2"/>
  <c r="J670" i="2"/>
  <c r="I670" i="2"/>
  <c r="H670" i="2"/>
  <c r="G670" i="2"/>
  <c r="F670" i="2"/>
  <c r="E670" i="2"/>
  <c r="D670" i="2"/>
  <c r="C670" i="2"/>
  <c r="B670" i="2"/>
  <c r="AL669" i="2"/>
  <c r="AK669" i="2"/>
  <c r="AJ669" i="2"/>
  <c r="AI669" i="2"/>
  <c r="AH669" i="2"/>
  <c r="AG669" i="2"/>
  <c r="AF669" i="2"/>
  <c r="AE669" i="2"/>
  <c r="AD669" i="2"/>
  <c r="AC669" i="2"/>
  <c r="AB669" i="2"/>
  <c r="AA669" i="2"/>
  <c r="Z669" i="2"/>
  <c r="Y669" i="2"/>
  <c r="X669" i="2"/>
  <c r="W669" i="2"/>
  <c r="V669" i="2"/>
  <c r="U669" i="2"/>
  <c r="T669" i="2"/>
  <c r="S669" i="2"/>
  <c r="R669" i="2"/>
  <c r="Q669" i="2"/>
  <c r="P669" i="2"/>
  <c r="O669" i="2"/>
  <c r="N669" i="2"/>
  <c r="M669" i="2"/>
  <c r="L669" i="2"/>
  <c r="K669" i="2"/>
  <c r="J669" i="2"/>
  <c r="I669" i="2"/>
  <c r="H669" i="2"/>
  <c r="G669" i="2"/>
  <c r="F669" i="2"/>
  <c r="E669" i="2"/>
  <c r="D669" i="2"/>
  <c r="C669" i="2"/>
  <c r="B669" i="2"/>
  <c r="AL668" i="2"/>
  <c r="AK668" i="2"/>
  <c r="AJ668" i="2"/>
  <c r="AI668" i="2"/>
  <c r="AH668" i="2"/>
  <c r="AG668" i="2"/>
  <c r="AF668" i="2"/>
  <c r="AE668" i="2"/>
  <c r="AD668" i="2"/>
  <c r="AC668" i="2"/>
  <c r="AB668" i="2"/>
  <c r="AA668" i="2"/>
  <c r="Z668" i="2"/>
  <c r="Y668" i="2"/>
  <c r="X668" i="2"/>
  <c r="W668" i="2"/>
  <c r="V668" i="2"/>
  <c r="U668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H668" i="2"/>
  <c r="G668" i="2"/>
  <c r="F668" i="2"/>
  <c r="E668" i="2"/>
  <c r="D668" i="2"/>
  <c r="C668" i="2"/>
  <c r="B668" i="2"/>
  <c r="AL667" i="2"/>
  <c r="AK667" i="2"/>
  <c r="AJ667" i="2"/>
  <c r="AI667" i="2"/>
  <c r="AH667" i="2"/>
  <c r="AG667" i="2"/>
  <c r="AF667" i="2"/>
  <c r="AE667" i="2"/>
  <c r="AD667" i="2"/>
  <c r="AC667" i="2"/>
  <c r="AB667" i="2"/>
  <c r="AA667" i="2"/>
  <c r="Z667" i="2"/>
  <c r="Y667" i="2"/>
  <c r="X667" i="2"/>
  <c r="W667" i="2"/>
  <c r="V667" i="2"/>
  <c r="U667" i="2"/>
  <c r="T667" i="2"/>
  <c r="S667" i="2"/>
  <c r="R667" i="2"/>
  <c r="Q667" i="2"/>
  <c r="P667" i="2"/>
  <c r="O667" i="2"/>
  <c r="N667" i="2"/>
  <c r="M667" i="2"/>
  <c r="L667" i="2"/>
  <c r="K667" i="2"/>
  <c r="J667" i="2"/>
  <c r="I667" i="2"/>
  <c r="H667" i="2"/>
  <c r="G667" i="2"/>
  <c r="F667" i="2"/>
  <c r="E667" i="2"/>
  <c r="D667" i="2"/>
  <c r="C667" i="2"/>
  <c r="B667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382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381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AL379" i="2"/>
  <c r="AK379" i="2"/>
  <c r="AJ379" i="2"/>
  <c r="AI379" i="2"/>
  <c r="AH379" i="2"/>
  <c r="AG379" i="2"/>
  <c r="AF379" i="2"/>
  <c r="AE379" i="2"/>
  <c r="AD379" i="2"/>
  <c r="AC379" i="2"/>
  <c r="AB379" i="2"/>
  <c r="AA379" i="2"/>
  <c r="Z379" i="2"/>
  <c r="Y379" i="2"/>
  <c r="X379" i="2"/>
  <c r="W379" i="2"/>
  <c r="V379" i="2"/>
  <c r="U379" i="2"/>
  <c r="T379" i="2"/>
  <c r="S379" i="2"/>
  <c r="R379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AL378" i="2"/>
  <c r="AK378" i="2"/>
  <c r="AJ378" i="2"/>
  <c r="AI378" i="2"/>
  <c r="AH378" i="2"/>
  <c r="AG378" i="2"/>
  <c r="AF378" i="2"/>
  <c r="AE378" i="2"/>
  <c r="AD378" i="2"/>
  <c r="AC378" i="2"/>
  <c r="AB378" i="2"/>
  <c r="AA378" i="2"/>
  <c r="Z378" i="2"/>
  <c r="Y378" i="2"/>
  <c r="X378" i="2"/>
  <c r="W378" i="2"/>
  <c r="V378" i="2"/>
  <c r="U378" i="2"/>
  <c r="T378" i="2"/>
  <c r="S378" i="2"/>
  <c r="R378" i="2"/>
  <c r="Q378" i="2"/>
  <c r="P378" i="2"/>
  <c r="O378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B378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377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373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AL371" i="2"/>
  <c r="AK371" i="2"/>
  <c r="AJ371" i="2"/>
  <c r="AI371" i="2"/>
  <c r="AH371" i="2"/>
  <c r="AG371" i="2"/>
  <c r="AF371" i="2"/>
  <c r="AE371" i="2"/>
  <c r="AD371" i="2"/>
  <c r="AC371" i="2"/>
  <c r="AB371" i="2"/>
  <c r="AA371" i="2"/>
  <c r="Z371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371" i="2"/>
  <c r="AL370" i="2"/>
  <c r="AK370" i="2"/>
  <c r="AJ370" i="2"/>
  <c r="AI370" i="2"/>
  <c r="AH370" i="2"/>
  <c r="AG370" i="2"/>
  <c r="AF370" i="2"/>
  <c r="AE370" i="2"/>
  <c r="AD370" i="2"/>
  <c r="AC370" i="2"/>
  <c r="AB370" i="2"/>
  <c r="AA370" i="2"/>
  <c r="Z370" i="2"/>
  <c r="Y370" i="2"/>
  <c r="X370" i="2"/>
  <c r="W370" i="2"/>
  <c r="V370" i="2"/>
  <c r="U370" i="2"/>
  <c r="T370" i="2"/>
  <c r="S370" i="2"/>
  <c r="R370" i="2"/>
  <c r="Q370" i="2"/>
  <c r="P370" i="2"/>
  <c r="O370" i="2"/>
  <c r="N370" i="2"/>
  <c r="M370" i="2"/>
  <c r="L370" i="2"/>
  <c r="K370" i="2"/>
  <c r="J370" i="2"/>
  <c r="I370" i="2"/>
  <c r="H370" i="2"/>
  <c r="G370" i="2"/>
  <c r="F370" i="2"/>
  <c r="E370" i="2"/>
  <c r="D370" i="2"/>
  <c r="C370" i="2"/>
  <c r="B370" i="2"/>
  <c r="AL369" i="2"/>
  <c r="AK369" i="2"/>
  <c r="AJ369" i="2"/>
  <c r="AI369" i="2"/>
  <c r="AH369" i="2"/>
  <c r="AG369" i="2"/>
  <c r="AF369" i="2"/>
  <c r="AE369" i="2"/>
  <c r="AD369" i="2"/>
  <c r="AC369" i="2"/>
  <c r="AB369" i="2"/>
  <c r="AA369" i="2"/>
  <c r="Z369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H369" i="2"/>
  <c r="G369" i="2"/>
  <c r="F369" i="2"/>
  <c r="E369" i="2"/>
  <c r="D369" i="2"/>
  <c r="C369" i="2"/>
  <c r="B369" i="2"/>
  <c r="AL368" i="2"/>
  <c r="AK368" i="2"/>
  <c r="AJ368" i="2"/>
  <c r="AI368" i="2"/>
  <c r="AH368" i="2"/>
  <c r="AG368" i="2"/>
  <c r="AF368" i="2"/>
  <c r="AE368" i="2"/>
  <c r="AD368" i="2"/>
  <c r="AC368" i="2"/>
  <c r="AB368" i="2"/>
  <c r="AA368" i="2"/>
  <c r="Z368" i="2"/>
  <c r="Y368" i="2"/>
  <c r="X368" i="2"/>
  <c r="W368" i="2"/>
  <c r="V368" i="2"/>
  <c r="U368" i="2"/>
  <c r="T368" i="2"/>
  <c r="S368" i="2"/>
  <c r="R368" i="2"/>
  <c r="Q368" i="2"/>
  <c r="P368" i="2"/>
  <c r="O368" i="2"/>
  <c r="N368" i="2"/>
  <c r="M368" i="2"/>
  <c r="L368" i="2"/>
  <c r="K368" i="2"/>
  <c r="J368" i="2"/>
  <c r="I368" i="2"/>
  <c r="H368" i="2"/>
  <c r="G368" i="2"/>
  <c r="F368" i="2"/>
  <c r="E368" i="2"/>
  <c r="D368" i="2"/>
  <c r="C368" i="2"/>
  <c r="B368" i="2"/>
  <c r="AL367" i="2"/>
  <c r="AK367" i="2"/>
  <c r="AJ367" i="2"/>
  <c r="AI367" i="2"/>
  <c r="AH367" i="2"/>
  <c r="AG367" i="2"/>
  <c r="AF367" i="2"/>
  <c r="AE367" i="2"/>
  <c r="AD367" i="2"/>
  <c r="AC367" i="2"/>
  <c r="AB367" i="2"/>
  <c r="AA367" i="2"/>
  <c r="Z367" i="2"/>
  <c r="Y367" i="2"/>
  <c r="X367" i="2"/>
  <c r="W367" i="2"/>
  <c r="V367" i="2"/>
  <c r="U367" i="2"/>
  <c r="T367" i="2"/>
  <c r="S367" i="2"/>
  <c r="R367" i="2"/>
  <c r="Q367" i="2"/>
  <c r="P367" i="2"/>
  <c r="O367" i="2"/>
  <c r="N367" i="2"/>
  <c r="M367" i="2"/>
  <c r="L367" i="2"/>
  <c r="K367" i="2"/>
  <c r="J367" i="2"/>
  <c r="I367" i="2"/>
  <c r="H367" i="2"/>
  <c r="G367" i="2"/>
  <c r="F367" i="2"/>
  <c r="E367" i="2"/>
  <c r="D367" i="2"/>
  <c r="C367" i="2"/>
  <c r="B367" i="2"/>
  <c r="AL366" i="2"/>
  <c r="AK366" i="2"/>
  <c r="AJ366" i="2"/>
  <c r="AI366" i="2"/>
  <c r="AH366" i="2"/>
  <c r="AG366" i="2"/>
  <c r="AF366" i="2"/>
  <c r="AE366" i="2"/>
  <c r="AD366" i="2"/>
  <c r="AC366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H366" i="2"/>
  <c r="G366" i="2"/>
  <c r="F366" i="2"/>
  <c r="E366" i="2"/>
  <c r="D366" i="2"/>
  <c r="C366" i="2"/>
  <c r="B366" i="2"/>
  <c r="AL365" i="2"/>
  <c r="AK365" i="2"/>
  <c r="AJ365" i="2"/>
  <c r="AI365" i="2"/>
  <c r="AH365" i="2"/>
  <c r="AG365" i="2"/>
  <c r="AF365" i="2"/>
  <c r="AE365" i="2"/>
  <c r="AD365" i="2"/>
  <c r="AC365" i="2"/>
  <c r="AB365" i="2"/>
  <c r="AA365" i="2"/>
  <c r="Z365" i="2"/>
  <c r="Y365" i="2"/>
  <c r="X365" i="2"/>
  <c r="W365" i="2"/>
  <c r="V365" i="2"/>
  <c r="U365" i="2"/>
  <c r="T365" i="2"/>
  <c r="S365" i="2"/>
  <c r="R365" i="2"/>
  <c r="Q365" i="2"/>
  <c r="P365" i="2"/>
  <c r="O365" i="2"/>
  <c r="N365" i="2"/>
  <c r="M365" i="2"/>
  <c r="L365" i="2"/>
  <c r="K365" i="2"/>
  <c r="J365" i="2"/>
  <c r="I365" i="2"/>
  <c r="H365" i="2"/>
  <c r="G365" i="2"/>
  <c r="F365" i="2"/>
  <c r="E365" i="2"/>
  <c r="D365" i="2"/>
  <c r="C365" i="2"/>
  <c r="B365" i="2"/>
  <c r="AL364" i="2"/>
  <c r="AK364" i="2"/>
  <c r="AJ364" i="2"/>
  <c r="AI364" i="2"/>
  <c r="AH364" i="2"/>
  <c r="AG364" i="2"/>
  <c r="AF364" i="2"/>
  <c r="AE364" i="2"/>
  <c r="AD364" i="2"/>
  <c r="AC364" i="2"/>
  <c r="AB364" i="2"/>
  <c r="AA364" i="2"/>
  <c r="Z364" i="2"/>
  <c r="Y364" i="2"/>
  <c r="X364" i="2"/>
  <c r="W364" i="2"/>
  <c r="V364" i="2"/>
  <c r="U364" i="2"/>
  <c r="T364" i="2"/>
  <c r="S364" i="2"/>
  <c r="R364" i="2"/>
  <c r="Q364" i="2"/>
  <c r="P364" i="2"/>
  <c r="O364" i="2"/>
  <c r="N364" i="2"/>
  <c r="M364" i="2"/>
  <c r="L364" i="2"/>
  <c r="K364" i="2"/>
  <c r="J364" i="2"/>
  <c r="I364" i="2"/>
  <c r="H364" i="2"/>
  <c r="G364" i="2"/>
  <c r="F364" i="2"/>
  <c r="E364" i="2"/>
  <c r="D364" i="2"/>
  <c r="C364" i="2"/>
  <c r="B364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Z340" i="2"/>
  <c r="Y340" i="2"/>
  <c r="X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AL338" i="2"/>
  <c r="AK338" i="2"/>
  <c r="AJ338" i="2"/>
  <c r="AI338" i="2"/>
  <c r="AH338" i="2"/>
  <c r="AG338" i="2"/>
  <c r="AF338" i="2"/>
  <c r="AE338" i="2"/>
  <c r="AD338" i="2"/>
  <c r="AC338" i="2"/>
  <c r="AB338" i="2"/>
  <c r="AA338" i="2"/>
  <c r="Z338" i="2"/>
  <c r="Y338" i="2"/>
  <c r="X338" i="2"/>
  <c r="W338" i="2"/>
  <c r="V338" i="2"/>
  <c r="U338" i="2"/>
  <c r="T338" i="2"/>
  <c r="S338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B338" i="2"/>
  <c r="AL337" i="2"/>
  <c r="AK337" i="2"/>
  <c r="AJ337" i="2"/>
  <c r="AI337" i="2"/>
  <c r="AH337" i="2"/>
  <c r="AG337" i="2"/>
  <c r="AF337" i="2"/>
  <c r="AE337" i="2"/>
  <c r="AD337" i="2"/>
  <c r="AC33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B337" i="2"/>
  <c r="AL336" i="2"/>
  <c r="AK336" i="2"/>
  <c r="AJ336" i="2"/>
  <c r="AI336" i="2"/>
  <c r="AH336" i="2"/>
  <c r="AG336" i="2"/>
  <c r="AF336" i="2"/>
  <c r="AE336" i="2"/>
  <c r="AD336" i="2"/>
  <c r="AC336" i="2"/>
  <c r="AB336" i="2"/>
  <c r="AA336" i="2"/>
  <c r="Z336" i="2"/>
  <c r="Y336" i="2"/>
  <c r="X336" i="2"/>
  <c r="W336" i="2"/>
  <c r="V336" i="2"/>
  <c r="U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B336" i="2"/>
  <c r="AL335" i="2"/>
  <c r="AK335" i="2"/>
  <c r="AJ335" i="2"/>
  <c r="AI335" i="2"/>
  <c r="AH335" i="2"/>
  <c r="AG335" i="2"/>
  <c r="AF335" i="2"/>
  <c r="AE335" i="2"/>
  <c r="AD335" i="2"/>
  <c r="AC335" i="2"/>
  <c r="AB335" i="2"/>
  <c r="AA335" i="2"/>
  <c r="Z335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H335" i="2"/>
  <c r="G335" i="2"/>
  <c r="F335" i="2"/>
  <c r="E335" i="2"/>
  <c r="D335" i="2"/>
  <c r="C335" i="2"/>
  <c r="B335" i="2"/>
  <c r="AL334" i="2"/>
  <c r="AK334" i="2"/>
  <c r="AJ334" i="2"/>
  <c r="AI334" i="2"/>
  <c r="AH334" i="2"/>
  <c r="AG334" i="2"/>
  <c r="AF334" i="2"/>
  <c r="AE334" i="2"/>
  <c r="AD334" i="2"/>
  <c r="AC334" i="2"/>
  <c r="AB334" i="2"/>
  <c r="AA334" i="2"/>
  <c r="Z334" i="2"/>
  <c r="Y334" i="2"/>
  <c r="X334" i="2"/>
  <c r="W334" i="2"/>
  <c r="V334" i="2"/>
  <c r="U334" i="2"/>
  <c r="T334" i="2"/>
  <c r="S334" i="2"/>
  <c r="R334" i="2"/>
  <c r="Q334" i="2"/>
  <c r="P334" i="2"/>
  <c r="O334" i="2"/>
  <c r="N334" i="2"/>
  <c r="M334" i="2"/>
  <c r="L334" i="2"/>
  <c r="K334" i="2"/>
  <c r="J334" i="2"/>
  <c r="I334" i="2"/>
  <c r="H334" i="2"/>
  <c r="G334" i="2"/>
  <c r="F334" i="2"/>
  <c r="E334" i="2"/>
  <c r="D334" i="2"/>
  <c r="C334" i="2"/>
  <c r="B334" i="2"/>
  <c r="AL333" i="2"/>
  <c r="AK333" i="2"/>
  <c r="AJ333" i="2"/>
  <c r="AI333" i="2"/>
  <c r="AH333" i="2"/>
  <c r="AG333" i="2"/>
  <c r="AF333" i="2"/>
  <c r="AE333" i="2"/>
  <c r="AD333" i="2"/>
  <c r="AC333" i="2"/>
  <c r="AB333" i="2"/>
  <c r="AA333" i="2"/>
  <c r="Z333" i="2"/>
  <c r="Y333" i="2"/>
  <c r="X333" i="2"/>
  <c r="W333" i="2"/>
  <c r="V333" i="2"/>
  <c r="U333" i="2"/>
  <c r="T333" i="2"/>
  <c r="S333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B333" i="2"/>
  <c r="AL197" i="2"/>
  <c r="AK197" i="2"/>
  <c r="AJ197" i="2"/>
  <c r="AI197" i="2"/>
  <c r="AH197" i="2"/>
  <c r="AG197" i="2"/>
  <c r="AF197" i="2"/>
  <c r="AE197" i="2"/>
  <c r="AD197" i="2"/>
  <c r="AC197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AL571" i="2"/>
  <c r="AK571" i="2"/>
  <c r="AJ571" i="2"/>
  <c r="AI571" i="2"/>
  <c r="AH571" i="2"/>
  <c r="AG571" i="2"/>
  <c r="AF571" i="2"/>
  <c r="AE571" i="2"/>
  <c r="AD571" i="2"/>
  <c r="AC571" i="2"/>
  <c r="AB571" i="2"/>
  <c r="AA571" i="2"/>
  <c r="Z571" i="2"/>
  <c r="Y571" i="2"/>
  <c r="X571" i="2"/>
  <c r="W571" i="2"/>
  <c r="V571" i="2"/>
  <c r="U571" i="2"/>
  <c r="T571" i="2"/>
  <c r="S571" i="2"/>
  <c r="R571" i="2"/>
  <c r="Q571" i="2"/>
  <c r="P571" i="2"/>
  <c r="O571" i="2"/>
  <c r="N571" i="2"/>
  <c r="M571" i="2"/>
  <c r="L571" i="2"/>
  <c r="K571" i="2"/>
  <c r="J571" i="2"/>
  <c r="I571" i="2"/>
  <c r="H571" i="2"/>
  <c r="G571" i="2"/>
  <c r="F571" i="2"/>
  <c r="E571" i="2"/>
  <c r="D571" i="2"/>
  <c r="C571" i="2"/>
  <c r="AL569" i="2"/>
  <c r="AK569" i="2"/>
  <c r="AJ569" i="2"/>
  <c r="AI569" i="2"/>
  <c r="AH569" i="2"/>
  <c r="AG569" i="2"/>
  <c r="AF569" i="2"/>
  <c r="AE569" i="2"/>
  <c r="AD569" i="2"/>
  <c r="AC569" i="2"/>
  <c r="AB569" i="2"/>
  <c r="AA569" i="2"/>
  <c r="Z569" i="2"/>
  <c r="Y569" i="2"/>
  <c r="X569" i="2"/>
  <c r="W569" i="2"/>
  <c r="V569" i="2"/>
  <c r="U569" i="2"/>
  <c r="T569" i="2"/>
  <c r="S569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569" i="2"/>
  <c r="B569" i="2"/>
  <c r="AL568" i="2"/>
  <c r="AK568" i="2"/>
  <c r="AJ568" i="2"/>
  <c r="AI568" i="2"/>
  <c r="AH568" i="2"/>
  <c r="AG568" i="2"/>
  <c r="AF568" i="2"/>
  <c r="AE568" i="2"/>
  <c r="AD568" i="2"/>
  <c r="AC568" i="2"/>
  <c r="AB568" i="2"/>
  <c r="AA568" i="2"/>
  <c r="Z568" i="2"/>
  <c r="Y568" i="2"/>
  <c r="X568" i="2"/>
  <c r="W568" i="2"/>
  <c r="V568" i="2"/>
  <c r="U568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C568" i="2"/>
  <c r="B568" i="2"/>
  <c r="AL567" i="2"/>
  <c r="AK567" i="2"/>
  <c r="AJ567" i="2"/>
  <c r="AI567" i="2"/>
  <c r="AH567" i="2"/>
  <c r="AG567" i="2"/>
  <c r="AF567" i="2"/>
  <c r="AE567" i="2"/>
  <c r="AD567" i="2"/>
  <c r="AC567" i="2"/>
  <c r="AB567" i="2"/>
  <c r="AA567" i="2"/>
  <c r="Z567" i="2"/>
  <c r="Y567" i="2"/>
  <c r="X567" i="2"/>
  <c r="W567" i="2"/>
  <c r="V567" i="2"/>
  <c r="U567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567" i="2"/>
  <c r="B567" i="2"/>
  <c r="AL566" i="2"/>
  <c r="AK566" i="2"/>
  <c r="AJ566" i="2"/>
  <c r="AI566" i="2"/>
  <c r="AH566" i="2"/>
  <c r="AG566" i="2"/>
  <c r="AF566" i="2"/>
  <c r="AE566" i="2"/>
  <c r="AD566" i="2"/>
  <c r="AC566" i="2"/>
  <c r="AB566" i="2"/>
  <c r="AA566" i="2"/>
  <c r="Z566" i="2"/>
  <c r="Y566" i="2"/>
  <c r="X566" i="2"/>
  <c r="W566" i="2"/>
  <c r="V566" i="2"/>
  <c r="U566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566" i="2"/>
  <c r="B566" i="2"/>
  <c r="AL565" i="2"/>
  <c r="AK565" i="2"/>
  <c r="AJ565" i="2"/>
  <c r="AI565" i="2"/>
  <c r="AH565" i="2"/>
  <c r="AG565" i="2"/>
  <c r="AF565" i="2"/>
  <c r="AE565" i="2"/>
  <c r="AD565" i="2"/>
  <c r="AC565" i="2"/>
  <c r="AB565" i="2"/>
  <c r="AA565" i="2"/>
  <c r="Z565" i="2"/>
  <c r="Y565" i="2"/>
  <c r="X565" i="2"/>
  <c r="W565" i="2"/>
  <c r="V565" i="2"/>
  <c r="U565" i="2"/>
  <c r="T565" i="2"/>
  <c r="S565" i="2"/>
  <c r="R565" i="2"/>
  <c r="Q565" i="2"/>
  <c r="P565" i="2"/>
  <c r="O565" i="2"/>
  <c r="N565" i="2"/>
  <c r="M565" i="2"/>
  <c r="L565" i="2"/>
  <c r="K565" i="2"/>
  <c r="J565" i="2"/>
  <c r="I565" i="2"/>
  <c r="H565" i="2"/>
  <c r="G565" i="2"/>
  <c r="F565" i="2"/>
  <c r="E565" i="2"/>
  <c r="D565" i="2"/>
  <c r="C565" i="2"/>
  <c r="B565" i="2"/>
  <c r="AL564" i="2"/>
  <c r="AK564" i="2"/>
  <c r="AJ564" i="2"/>
  <c r="AI564" i="2"/>
  <c r="AH564" i="2"/>
  <c r="AG564" i="2"/>
  <c r="AF564" i="2"/>
  <c r="AE564" i="2"/>
  <c r="AD564" i="2"/>
  <c r="AC564" i="2"/>
  <c r="AB564" i="2"/>
  <c r="AA564" i="2"/>
  <c r="Z564" i="2"/>
  <c r="Y564" i="2"/>
  <c r="X564" i="2"/>
  <c r="W564" i="2"/>
  <c r="V564" i="2"/>
  <c r="U564" i="2"/>
  <c r="T564" i="2"/>
  <c r="S564" i="2"/>
  <c r="R564" i="2"/>
  <c r="Q564" i="2"/>
  <c r="P564" i="2"/>
  <c r="O564" i="2"/>
  <c r="N564" i="2"/>
  <c r="M564" i="2"/>
  <c r="L564" i="2"/>
  <c r="K564" i="2"/>
  <c r="J564" i="2"/>
  <c r="I564" i="2"/>
  <c r="H564" i="2"/>
  <c r="G564" i="2"/>
  <c r="F564" i="2"/>
  <c r="E564" i="2"/>
  <c r="D564" i="2"/>
  <c r="C564" i="2"/>
  <c r="B564" i="2"/>
  <c r="AL563" i="2"/>
  <c r="AK563" i="2"/>
  <c r="AJ563" i="2"/>
  <c r="AI563" i="2"/>
  <c r="AH563" i="2"/>
  <c r="AG563" i="2"/>
  <c r="AF563" i="2"/>
  <c r="AE563" i="2"/>
  <c r="AD563" i="2"/>
  <c r="AC563" i="2"/>
  <c r="AB563" i="2"/>
  <c r="AA563" i="2"/>
  <c r="Z563" i="2"/>
  <c r="Y563" i="2"/>
  <c r="X563" i="2"/>
  <c r="W563" i="2"/>
  <c r="V563" i="2"/>
  <c r="U563" i="2"/>
  <c r="T563" i="2"/>
  <c r="S563" i="2"/>
  <c r="R563" i="2"/>
  <c r="Q563" i="2"/>
  <c r="P563" i="2"/>
  <c r="O563" i="2"/>
  <c r="N563" i="2"/>
  <c r="M563" i="2"/>
  <c r="L563" i="2"/>
  <c r="K563" i="2"/>
  <c r="J563" i="2"/>
  <c r="I563" i="2"/>
  <c r="H563" i="2"/>
  <c r="G563" i="2"/>
  <c r="F563" i="2"/>
  <c r="E563" i="2"/>
  <c r="D563" i="2"/>
  <c r="C563" i="2"/>
  <c r="B563" i="2"/>
  <c r="AL562" i="2"/>
  <c r="AK562" i="2"/>
  <c r="AJ562" i="2"/>
  <c r="AI562" i="2"/>
  <c r="AH562" i="2"/>
  <c r="AG562" i="2"/>
  <c r="AF562" i="2"/>
  <c r="AE562" i="2"/>
  <c r="AD562" i="2"/>
  <c r="AC562" i="2"/>
  <c r="AB562" i="2"/>
  <c r="AA562" i="2"/>
  <c r="Z562" i="2"/>
  <c r="Y562" i="2"/>
  <c r="X562" i="2"/>
  <c r="W562" i="2"/>
  <c r="V562" i="2"/>
  <c r="U562" i="2"/>
  <c r="T562" i="2"/>
  <c r="S562" i="2"/>
  <c r="R562" i="2"/>
  <c r="Q562" i="2"/>
  <c r="P562" i="2"/>
  <c r="O562" i="2"/>
  <c r="N562" i="2"/>
  <c r="M562" i="2"/>
  <c r="L562" i="2"/>
  <c r="K562" i="2"/>
  <c r="J562" i="2"/>
  <c r="I562" i="2"/>
  <c r="H562" i="2"/>
  <c r="G562" i="2"/>
  <c r="F562" i="2"/>
  <c r="E562" i="2"/>
  <c r="D562" i="2"/>
  <c r="C562" i="2"/>
  <c r="B562" i="2"/>
  <c r="AL561" i="2"/>
  <c r="AK561" i="2"/>
  <c r="AJ561" i="2"/>
  <c r="AI561" i="2"/>
  <c r="AH561" i="2"/>
  <c r="AG561" i="2"/>
  <c r="AF561" i="2"/>
  <c r="AE561" i="2"/>
  <c r="AD561" i="2"/>
  <c r="AC561" i="2"/>
  <c r="AB561" i="2"/>
  <c r="AA561" i="2"/>
  <c r="Z561" i="2"/>
  <c r="Y561" i="2"/>
  <c r="X561" i="2"/>
  <c r="W561" i="2"/>
  <c r="V561" i="2"/>
  <c r="U561" i="2"/>
  <c r="T561" i="2"/>
  <c r="S561" i="2"/>
  <c r="R561" i="2"/>
  <c r="Q561" i="2"/>
  <c r="P561" i="2"/>
  <c r="O561" i="2"/>
  <c r="N561" i="2"/>
  <c r="M561" i="2"/>
  <c r="L561" i="2"/>
  <c r="K561" i="2"/>
  <c r="J561" i="2"/>
  <c r="I561" i="2"/>
  <c r="H561" i="2"/>
  <c r="G561" i="2"/>
  <c r="F561" i="2"/>
  <c r="E561" i="2"/>
  <c r="D561" i="2"/>
  <c r="C561" i="2"/>
  <c r="B561" i="2"/>
  <c r="AL560" i="2"/>
  <c r="AK560" i="2"/>
  <c r="AJ560" i="2"/>
  <c r="AI560" i="2"/>
  <c r="AH560" i="2"/>
  <c r="AG560" i="2"/>
  <c r="AF560" i="2"/>
  <c r="AE560" i="2"/>
  <c r="AD560" i="2"/>
  <c r="AC560" i="2"/>
  <c r="AB560" i="2"/>
  <c r="AA560" i="2"/>
  <c r="Z560" i="2"/>
  <c r="Y560" i="2"/>
  <c r="X560" i="2"/>
  <c r="W560" i="2"/>
  <c r="V560" i="2"/>
  <c r="U560" i="2"/>
  <c r="T560" i="2"/>
  <c r="S560" i="2"/>
  <c r="R560" i="2"/>
  <c r="Q560" i="2"/>
  <c r="P560" i="2"/>
  <c r="O560" i="2"/>
  <c r="N560" i="2"/>
  <c r="M560" i="2"/>
  <c r="L560" i="2"/>
  <c r="K560" i="2"/>
  <c r="J560" i="2"/>
  <c r="I560" i="2"/>
  <c r="H560" i="2"/>
  <c r="G560" i="2"/>
  <c r="F560" i="2"/>
  <c r="E560" i="2"/>
  <c r="D560" i="2"/>
  <c r="C560" i="2"/>
  <c r="B560" i="2"/>
  <c r="AL559" i="2"/>
  <c r="AK559" i="2"/>
  <c r="AJ559" i="2"/>
  <c r="AI559" i="2"/>
  <c r="AH559" i="2"/>
  <c r="AG559" i="2"/>
  <c r="AF559" i="2"/>
  <c r="AE559" i="2"/>
  <c r="AD559" i="2"/>
  <c r="AC559" i="2"/>
  <c r="AB559" i="2"/>
  <c r="AA559" i="2"/>
  <c r="Z559" i="2"/>
  <c r="Y559" i="2"/>
  <c r="X559" i="2"/>
  <c r="W559" i="2"/>
  <c r="V559" i="2"/>
  <c r="U559" i="2"/>
  <c r="T559" i="2"/>
  <c r="S559" i="2"/>
  <c r="R559" i="2"/>
  <c r="Q559" i="2"/>
  <c r="P559" i="2"/>
  <c r="O559" i="2"/>
  <c r="N559" i="2"/>
  <c r="M559" i="2"/>
  <c r="L559" i="2"/>
  <c r="K559" i="2"/>
  <c r="J559" i="2"/>
  <c r="I559" i="2"/>
  <c r="H559" i="2"/>
  <c r="G559" i="2"/>
  <c r="F559" i="2"/>
  <c r="E559" i="2"/>
  <c r="D559" i="2"/>
  <c r="C559" i="2"/>
  <c r="B559" i="2"/>
  <c r="AL558" i="2"/>
  <c r="AK558" i="2"/>
  <c r="AJ558" i="2"/>
  <c r="AI558" i="2"/>
  <c r="AH558" i="2"/>
  <c r="AG558" i="2"/>
  <c r="AF558" i="2"/>
  <c r="AE558" i="2"/>
  <c r="AD558" i="2"/>
  <c r="AC558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H558" i="2"/>
  <c r="G558" i="2"/>
  <c r="F558" i="2"/>
  <c r="E558" i="2"/>
  <c r="D558" i="2"/>
  <c r="C558" i="2"/>
  <c r="B558" i="2"/>
  <c r="AL557" i="2"/>
  <c r="AK557" i="2"/>
  <c r="AJ557" i="2"/>
  <c r="AI557" i="2"/>
  <c r="AH557" i="2"/>
  <c r="AG557" i="2"/>
  <c r="AF557" i="2"/>
  <c r="AE557" i="2"/>
  <c r="AD557" i="2"/>
  <c r="AC557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C557" i="2"/>
  <c r="B557" i="2"/>
  <c r="AL556" i="2"/>
  <c r="AK556" i="2"/>
  <c r="AJ556" i="2"/>
  <c r="AI556" i="2"/>
  <c r="AH556" i="2"/>
  <c r="AG556" i="2"/>
  <c r="AF556" i="2"/>
  <c r="AE556" i="2"/>
  <c r="AD556" i="2"/>
  <c r="AC556" i="2"/>
  <c r="AB556" i="2"/>
  <c r="AA556" i="2"/>
  <c r="Z556" i="2"/>
  <c r="Y556" i="2"/>
  <c r="X556" i="2"/>
  <c r="W556" i="2"/>
  <c r="V556" i="2"/>
  <c r="U556" i="2"/>
  <c r="T556" i="2"/>
  <c r="S556" i="2"/>
  <c r="R556" i="2"/>
  <c r="Q556" i="2"/>
  <c r="P556" i="2"/>
  <c r="O556" i="2"/>
  <c r="N556" i="2"/>
  <c r="M556" i="2"/>
  <c r="L556" i="2"/>
  <c r="K556" i="2"/>
  <c r="J556" i="2"/>
  <c r="I556" i="2"/>
  <c r="H556" i="2"/>
  <c r="G556" i="2"/>
  <c r="F556" i="2"/>
  <c r="E556" i="2"/>
  <c r="D556" i="2"/>
  <c r="C556" i="2"/>
  <c r="B556" i="2"/>
  <c r="AL555" i="2"/>
  <c r="AK555" i="2"/>
  <c r="AJ555" i="2"/>
  <c r="AI555" i="2"/>
  <c r="AH555" i="2"/>
  <c r="AG555" i="2"/>
  <c r="AF555" i="2"/>
  <c r="AE555" i="2"/>
  <c r="AD555" i="2"/>
  <c r="AC555" i="2"/>
  <c r="AB555" i="2"/>
  <c r="AA555" i="2"/>
  <c r="Z555" i="2"/>
  <c r="Y555" i="2"/>
  <c r="X555" i="2"/>
  <c r="W555" i="2"/>
  <c r="V555" i="2"/>
  <c r="U555" i="2"/>
  <c r="T555" i="2"/>
  <c r="S555" i="2"/>
  <c r="R555" i="2"/>
  <c r="Q555" i="2"/>
  <c r="P555" i="2"/>
  <c r="O555" i="2"/>
  <c r="N555" i="2"/>
  <c r="M555" i="2"/>
  <c r="L555" i="2"/>
  <c r="K555" i="2"/>
  <c r="J555" i="2"/>
  <c r="I555" i="2"/>
  <c r="H555" i="2"/>
  <c r="G555" i="2"/>
  <c r="F555" i="2"/>
  <c r="E555" i="2"/>
  <c r="D555" i="2"/>
  <c r="C555" i="2"/>
  <c r="B555" i="2"/>
  <c r="AL554" i="2"/>
  <c r="AK554" i="2"/>
  <c r="AJ554" i="2"/>
  <c r="AI554" i="2"/>
  <c r="AH554" i="2"/>
  <c r="AG554" i="2"/>
  <c r="AF554" i="2"/>
  <c r="AE554" i="2"/>
  <c r="AD554" i="2"/>
  <c r="AC554" i="2"/>
  <c r="AB554" i="2"/>
  <c r="AA554" i="2"/>
  <c r="Z554" i="2"/>
  <c r="Y554" i="2"/>
  <c r="X554" i="2"/>
  <c r="W554" i="2"/>
  <c r="V554" i="2"/>
  <c r="U554" i="2"/>
  <c r="T554" i="2"/>
  <c r="S554" i="2"/>
  <c r="R554" i="2"/>
  <c r="Q554" i="2"/>
  <c r="P554" i="2"/>
  <c r="O554" i="2"/>
  <c r="N554" i="2"/>
  <c r="M554" i="2"/>
  <c r="L554" i="2"/>
  <c r="K554" i="2"/>
  <c r="J554" i="2"/>
  <c r="I554" i="2"/>
  <c r="H554" i="2"/>
  <c r="G554" i="2"/>
  <c r="F554" i="2"/>
  <c r="E554" i="2"/>
  <c r="D554" i="2"/>
  <c r="C554" i="2"/>
  <c r="B554" i="2"/>
  <c r="AL553" i="2"/>
  <c r="AK553" i="2"/>
  <c r="AJ553" i="2"/>
  <c r="AI553" i="2"/>
  <c r="AH553" i="2"/>
  <c r="AG553" i="2"/>
  <c r="AF553" i="2"/>
  <c r="AE553" i="2"/>
  <c r="AD553" i="2"/>
  <c r="AC553" i="2"/>
  <c r="AB553" i="2"/>
  <c r="AA553" i="2"/>
  <c r="Z553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H553" i="2"/>
  <c r="G553" i="2"/>
  <c r="F553" i="2"/>
  <c r="E553" i="2"/>
  <c r="D553" i="2"/>
  <c r="C553" i="2"/>
  <c r="B553" i="2"/>
  <c r="AL552" i="2"/>
  <c r="AK552" i="2"/>
  <c r="AJ552" i="2"/>
  <c r="AI552" i="2"/>
  <c r="AH552" i="2"/>
  <c r="AG552" i="2"/>
  <c r="AF552" i="2"/>
  <c r="AE552" i="2"/>
  <c r="AD552" i="2"/>
  <c r="AC552" i="2"/>
  <c r="AB552" i="2"/>
  <c r="AA552" i="2"/>
  <c r="Z552" i="2"/>
  <c r="Y552" i="2"/>
  <c r="X552" i="2"/>
  <c r="W552" i="2"/>
  <c r="V552" i="2"/>
  <c r="U552" i="2"/>
  <c r="T552" i="2"/>
  <c r="S552" i="2"/>
  <c r="R552" i="2"/>
  <c r="Q552" i="2"/>
  <c r="P552" i="2"/>
  <c r="O552" i="2"/>
  <c r="N552" i="2"/>
  <c r="M552" i="2"/>
  <c r="L552" i="2"/>
  <c r="K552" i="2"/>
  <c r="J552" i="2"/>
  <c r="I552" i="2"/>
  <c r="H552" i="2"/>
  <c r="G552" i="2"/>
  <c r="F552" i="2"/>
  <c r="E552" i="2"/>
  <c r="D552" i="2"/>
  <c r="C552" i="2"/>
  <c r="B552" i="2"/>
  <c r="AL551" i="2"/>
  <c r="AK551" i="2"/>
  <c r="AJ551" i="2"/>
  <c r="AI551" i="2"/>
  <c r="AH551" i="2"/>
  <c r="AG551" i="2"/>
  <c r="AF551" i="2"/>
  <c r="AE551" i="2"/>
  <c r="AD551" i="2"/>
  <c r="AC551" i="2"/>
  <c r="AB551" i="2"/>
  <c r="AA551" i="2"/>
  <c r="Z551" i="2"/>
  <c r="Y551" i="2"/>
  <c r="X551" i="2"/>
  <c r="W551" i="2"/>
  <c r="V551" i="2"/>
  <c r="U551" i="2"/>
  <c r="T551" i="2"/>
  <c r="S551" i="2"/>
  <c r="R551" i="2"/>
  <c r="Q551" i="2"/>
  <c r="P551" i="2"/>
  <c r="O551" i="2"/>
  <c r="N551" i="2"/>
  <c r="M551" i="2"/>
  <c r="L551" i="2"/>
  <c r="K551" i="2"/>
  <c r="J551" i="2"/>
  <c r="I551" i="2"/>
  <c r="H551" i="2"/>
  <c r="G551" i="2"/>
  <c r="F551" i="2"/>
  <c r="E551" i="2"/>
  <c r="D551" i="2"/>
  <c r="C551" i="2"/>
  <c r="B551" i="2"/>
  <c r="AL550" i="2"/>
  <c r="AK550" i="2"/>
  <c r="AJ550" i="2"/>
  <c r="AI550" i="2"/>
  <c r="AH550" i="2"/>
  <c r="AG550" i="2"/>
  <c r="AF550" i="2"/>
  <c r="AE550" i="2"/>
  <c r="AD550" i="2"/>
  <c r="AC550" i="2"/>
  <c r="AB550" i="2"/>
  <c r="AA550" i="2"/>
  <c r="Z550" i="2"/>
  <c r="Y550" i="2"/>
  <c r="X550" i="2"/>
  <c r="W550" i="2"/>
  <c r="V550" i="2"/>
  <c r="U550" i="2"/>
  <c r="T550" i="2"/>
  <c r="S550" i="2"/>
  <c r="R550" i="2"/>
  <c r="Q550" i="2"/>
  <c r="P550" i="2"/>
  <c r="O550" i="2"/>
  <c r="N550" i="2"/>
  <c r="M550" i="2"/>
  <c r="L550" i="2"/>
  <c r="K550" i="2"/>
  <c r="J550" i="2"/>
  <c r="I550" i="2"/>
  <c r="H550" i="2"/>
  <c r="G550" i="2"/>
  <c r="F550" i="2"/>
  <c r="E550" i="2"/>
  <c r="D550" i="2"/>
  <c r="C550" i="2"/>
  <c r="B550" i="2"/>
  <c r="AL549" i="2"/>
  <c r="AK549" i="2"/>
  <c r="AJ549" i="2"/>
  <c r="AI549" i="2"/>
  <c r="AH549" i="2"/>
  <c r="AG549" i="2"/>
  <c r="AF549" i="2"/>
  <c r="AE549" i="2"/>
  <c r="AD549" i="2"/>
  <c r="AC549" i="2"/>
  <c r="AB549" i="2"/>
  <c r="AA549" i="2"/>
  <c r="Z549" i="2"/>
  <c r="Y549" i="2"/>
  <c r="X549" i="2"/>
  <c r="W549" i="2"/>
  <c r="V549" i="2"/>
  <c r="U549" i="2"/>
  <c r="T549" i="2"/>
  <c r="S549" i="2"/>
  <c r="R549" i="2"/>
  <c r="Q549" i="2"/>
  <c r="P549" i="2"/>
  <c r="O549" i="2"/>
  <c r="N549" i="2"/>
  <c r="M549" i="2"/>
  <c r="L549" i="2"/>
  <c r="K549" i="2"/>
  <c r="J549" i="2"/>
  <c r="I549" i="2"/>
  <c r="H549" i="2"/>
  <c r="G549" i="2"/>
  <c r="F549" i="2"/>
  <c r="E549" i="2"/>
  <c r="D549" i="2"/>
  <c r="C549" i="2"/>
  <c r="B549" i="2"/>
  <c r="AL548" i="2"/>
  <c r="AK548" i="2"/>
  <c r="AJ548" i="2"/>
  <c r="AI548" i="2"/>
  <c r="AH548" i="2"/>
  <c r="AG548" i="2"/>
  <c r="AF548" i="2"/>
  <c r="AE548" i="2"/>
  <c r="AD548" i="2"/>
  <c r="AC548" i="2"/>
  <c r="AB548" i="2"/>
  <c r="AA548" i="2"/>
  <c r="Z548" i="2"/>
  <c r="Y548" i="2"/>
  <c r="X548" i="2"/>
  <c r="W548" i="2"/>
  <c r="V548" i="2"/>
  <c r="U548" i="2"/>
  <c r="T548" i="2"/>
  <c r="S548" i="2"/>
  <c r="R548" i="2"/>
  <c r="Q548" i="2"/>
  <c r="P548" i="2"/>
  <c r="O548" i="2"/>
  <c r="N548" i="2"/>
  <c r="M548" i="2"/>
  <c r="L548" i="2"/>
  <c r="K548" i="2"/>
  <c r="J548" i="2"/>
  <c r="I548" i="2"/>
  <c r="H548" i="2"/>
  <c r="G548" i="2"/>
  <c r="F548" i="2"/>
  <c r="E548" i="2"/>
  <c r="D548" i="2"/>
  <c r="C548" i="2"/>
  <c r="B548" i="2"/>
  <c r="AL547" i="2"/>
  <c r="AK547" i="2"/>
  <c r="AJ547" i="2"/>
  <c r="AI547" i="2"/>
  <c r="AH547" i="2"/>
  <c r="AG547" i="2"/>
  <c r="AF547" i="2"/>
  <c r="AE547" i="2"/>
  <c r="AD547" i="2"/>
  <c r="AC547" i="2"/>
  <c r="AB547" i="2"/>
  <c r="AA547" i="2"/>
  <c r="Z547" i="2"/>
  <c r="Y547" i="2"/>
  <c r="X547" i="2"/>
  <c r="W547" i="2"/>
  <c r="V547" i="2"/>
  <c r="U547" i="2"/>
  <c r="T547" i="2"/>
  <c r="S547" i="2"/>
  <c r="R547" i="2"/>
  <c r="Q547" i="2"/>
  <c r="P547" i="2"/>
  <c r="O547" i="2"/>
  <c r="N547" i="2"/>
  <c r="M547" i="2"/>
  <c r="L547" i="2"/>
  <c r="K547" i="2"/>
  <c r="J547" i="2"/>
  <c r="I547" i="2"/>
  <c r="H547" i="2"/>
  <c r="G547" i="2"/>
  <c r="F547" i="2"/>
  <c r="E547" i="2"/>
  <c r="D547" i="2"/>
  <c r="C547" i="2"/>
  <c r="B547" i="2"/>
  <c r="AL546" i="2"/>
  <c r="AK546" i="2"/>
  <c r="AJ546" i="2"/>
  <c r="AI546" i="2"/>
  <c r="AH546" i="2"/>
  <c r="AG546" i="2"/>
  <c r="AF546" i="2"/>
  <c r="AE546" i="2"/>
  <c r="AD546" i="2"/>
  <c r="AC546" i="2"/>
  <c r="AB546" i="2"/>
  <c r="AA546" i="2"/>
  <c r="Z546" i="2"/>
  <c r="Y546" i="2"/>
  <c r="X546" i="2"/>
  <c r="W546" i="2"/>
  <c r="V546" i="2"/>
  <c r="U546" i="2"/>
  <c r="T546" i="2"/>
  <c r="S546" i="2"/>
  <c r="R546" i="2"/>
  <c r="Q546" i="2"/>
  <c r="P546" i="2"/>
  <c r="O546" i="2"/>
  <c r="N546" i="2"/>
  <c r="M546" i="2"/>
  <c r="L546" i="2"/>
  <c r="K546" i="2"/>
  <c r="J546" i="2"/>
  <c r="I546" i="2"/>
  <c r="H546" i="2"/>
  <c r="G546" i="2"/>
  <c r="F546" i="2"/>
  <c r="E546" i="2"/>
  <c r="D546" i="2"/>
  <c r="C546" i="2"/>
  <c r="B546" i="2"/>
  <c r="AL545" i="2"/>
  <c r="AK545" i="2"/>
  <c r="AJ545" i="2"/>
  <c r="AI545" i="2"/>
  <c r="AH545" i="2"/>
  <c r="AG545" i="2"/>
  <c r="AF545" i="2"/>
  <c r="AE545" i="2"/>
  <c r="AD545" i="2"/>
  <c r="AC545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H545" i="2"/>
  <c r="G545" i="2"/>
  <c r="F545" i="2"/>
  <c r="E545" i="2"/>
  <c r="D545" i="2"/>
  <c r="C545" i="2"/>
  <c r="B545" i="2"/>
  <c r="AL544" i="2"/>
  <c r="AK544" i="2"/>
  <c r="AJ544" i="2"/>
  <c r="AI544" i="2"/>
  <c r="AH544" i="2"/>
  <c r="AG544" i="2"/>
  <c r="AF544" i="2"/>
  <c r="AE544" i="2"/>
  <c r="AD544" i="2"/>
  <c r="AC544" i="2"/>
  <c r="AB544" i="2"/>
  <c r="AA544" i="2"/>
  <c r="Z544" i="2"/>
  <c r="Y544" i="2"/>
  <c r="X544" i="2"/>
  <c r="W544" i="2"/>
  <c r="V544" i="2"/>
  <c r="U544" i="2"/>
  <c r="T544" i="2"/>
  <c r="S544" i="2"/>
  <c r="R544" i="2"/>
  <c r="Q544" i="2"/>
  <c r="P544" i="2"/>
  <c r="O544" i="2"/>
  <c r="N544" i="2"/>
  <c r="M544" i="2"/>
  <c r="L544" i="2"/>
  <c r="K544" i="2"/>
  <c r="J544" i="2"/>
  <c r="I544" i="2"/>
  <c r="H544" i="2"/>
  <c r="G544" i="2"/>
  <c r="F544" i="2"/>
  <c r="E544" i="2"/>
  <c r="D544" i="2"/>
  <c r="C544" i="2"/>
  <c r="B544" i="2"/>
  <c r="AL543" i="2"/>
  <c r="AK543" i="2"/>
  <c r="AJ543" i="2"/>
  <c r="AI543" i="2"/>
  <c r="AH543" i="2"/>
  <c r="AG543" i="2"/>
  <c r="AF543" i="2"/>
  <c r="AE543" i="2"/>
  <c r="AD543" i="2"/>
  <c r="AC543" i="2"/>
  <c r="AB543" i="2"/>
  <c r="AA543" i="2"/>
  <c r="Z543" i="2"/>
  <c r="Y543" i="2"/>
  <c r="X543" i="2"/>
  <c r="W543" i="2"/>
  <c r="V543" i="2"/>
  <c r="U543" i="2"/>
  <c r="T543" i="2"/>
  <c r="S543" i="2"/>
  <c r="R543" i="2"/>
  <c r="Q543" i="2"/>
  <c r="P543" i="2"/>
  <c r="O543" i="2"/>
  <c r="N543" i="2"/>
  <c r="M543" i="2"/>
  <c r="L543" i="2"/>
  <c r="K543" i="2"/>
  <c r="J543" i="2"/>
  <c r="I543" i="2"/>
  <c r="H543" i="2"/>
  <c r="G543" i="2"/>
  <c r="F543" i="2"/>
  <c r="E543" i="2"/>
  <c r="D543" i="2"/>
  <c r="C543" i="2"/>
  <c r="B543" i="2"/>
  <c r="AL542" i="2"/>
  <c r="AK542" i="2"/>
  <c r="AJ542" i="2"/>
  <c r="AI542" i="2"/>
  <c r="AH542" i="2"/>
  <c r="AG542" i="2"/>
  <c r="AF542" i="2"/>
  <c r="AE542" i="2"/>
  <c r="AD542" i="2"/>
  <c r="AC542" i="2"/>
  <c r="AB542" i="2"/>
  <c r="AA542" i="2"/>
  <c r="Z542" i="2"/>
  <c r="Y542" i="2"/>
  <c r="X542" i="2"/>
  <c r="W542" i="2"/>
  <c r="V542" i="2"/>
  <c r="U542" i="2"/>
  <c r="T542" i="2"/>
  <c r="S542" i="2"/>
  <c r="R542" i="2"/>
  <c r="Q542" i="2"/>
  <c r="P542" i="2"/>
  <c r="O542" i="2"/>
  <c r="N542" i="2"/>
  <c r="M542" i="2"/>
  <c r="L542" i="2"/>
  <c r="K542" i="2"/>
  <c r="J542" i="2"/>
  <c r="I542" i="2"/>
  <c r="H542" i="2"/>
  <c r="G542" i="2"/>
  <c r="F542" i="2"/>
  <c r="E542" i="2"/>
  <c r="D542" i="2"/>
  <c r="C542" i="2"/>
  <c r="B542" i="2"/>
  <c r="AL541" i="2"/>
  <c r="AK541" i="2"/>
  <c r="AJ541" i="2"/>
  <c r="AI541" i="2"/>
  <c r="AH541" i="2"/>
  <c r="AG541" i="2"/>
  <c r="AF541" i="2"/>
  <c r="AE541" i="2"/>
  <c r="AD541" i="2"/>
  <c r="AC541" i="2"/>
  <c r="AB541" i="2"/>
  <c r="AA541" i="2"/>
  <c r="Z541" i="2"/>
  <c r="Y541" i="2"/>
  <c r="X541" i="2"/>
  <c r="W541" i="2"/>
  <c r="V541" i="2"/>
  <c r="U541" i="2"/>
  <c r="T541" i="2"/>
  <c r="S541" i="2"/>
  <c r="R541" i="2"/>
  <c r="Q541" i="2"/>
  <c r="P541" i="2"/>
  <c r="O541" i="2"/>
  <c r="N541" i="2"/>
  <c r="M541" i="2"/>
  <c r="L541" i="2"/>
  <c r="K541" i="2"/>
  <c r="J541" i="2"/>
  <c r="I541" i="2"/>
  <c r="H541" i="2"/>
  <c r="G541" i="2"/>
  <c r="F541" i="2"/>
  <c r="E541" i="2"/>
  <c r="D541" i="2"/>
  <c r="C541" i="2"/>
  <c r="B541" i="2"/>
  <c r="AL540" i="2"/>
  <c r="AK540" i="2"/>
  <c r="AJ540" i="2"/>
  <c r="AI540" i="2"/>
  <c r="AH540" i="2"/>
  <c r="AG540" i="2"/>
  <c r="AF540" i="2"/>
  <c r="AE540" i="2"/>
  <c r="AD540" i="2"/>
  <c r="AC540" i="2"/>
  <c r="AB540" i="2"/>
  <c r="AA540" i="2"/>
  <c r="Z540" i="2"/>
  <c r="Y540" i="2"/>
  <c r="X540" i="2"/>
  <c r="W540" i="2"/>
  <c r="V540" i="2"/>
  <c r="U540" i="2"/>
  <c r="T540" i="2"/>
  <c r="S540" i="2"/>
  <c r="R540" i="2"/>
  <c r="Q540" i="2"/>
  <c r="P540" i="2"/>
  <c r="O540" i="2"/>
  <c r="N540" i="2"/>
  <c r="M540" i="2"/>
  <c r="L540" i="2"/>
  <c r="K540" i="2"/>
  <c r="J540" i="2"/>
  <c r="I540" i="2"/>
  <c r="H540" i="2"/>
  <c r="G540" i="2"/>
  <c r="F540" i="2"/>
  <c r="E540" i="2"/>
  <c r="D540" i="2"/>
  <c r="C540" i="2"/>
  <c r="B540" i="2"/>
  <c r="AL539" i="2"/>
  <c r="AK539" i="2"/>
  <c r="AJ539" i="2"/>
  <c r="AI539" i="2"/>
  <c r="AH539" i="2"/>
  <c r="AG539" i="2"/>
  <c r="AF539" i="2"/>
  <c r="AE539" i="2"/>
  <c r="AD539" i="2"/>
  <c r="AC539" i="2"/>
  <c r="AB539" i="2"/>
  <c r="AA539" i="2"/>
  <c r="Z539" i="2"/>
  <c r="Y539" i="2"/>
  <c r="X539" i="2"/>
  <c r="W539" i="2"/>
  <c r="V539" i="2"/>
  <c r="U539" i="2"/>
  <c r="T539" i="2"/>
  <c r="S539" i="2"/>
  <c r="R539" i="2"/>
  <c r="Q539" i="2"/>
  <c r="P539" i="2"/>
  <c r="O539" i="2"/>
  <c r="N539" i="2"/>
  <c r="M539" i="2"/>
  <c r="L539" i="2"/>
  <c r="K539" i="2"/>
  <c r="J539" i="2"/>
  <c r="I539" i="2"/>
  <c r="H539" i="2"/>
  <c r="G539" i="2"/>
  <c r="F539" i="2"/>
  <c r="E539" i="2"/>
  <c r="D539" i="2"/>
  <c r="C539" i="2"/>
  <c r="B539" i="2"/>
  <c r="AL538" i="2"/>
  <c r="AK538" i="2"/>
  <c r="AJ538" i="2"/>
  <c r="AI538" i="2"/>
  <c r="AH538" i="2"/>
  <c r="AG538" i="2"/>
  <c r="AF538" i="2"/>
  <c r="AE538" i="2"/>
  <c r="AD538" i="2"/>
  <c r="AC538" i="2"/>
  <c r="AB538" i="2"/>
  <c r="AA538" i="2"/>
  <c r="Z538" i="2"/>
  <c r="Y538" i="2"/>
  <c r="X538" i="2"/>
  <c r="W538" i="2"/>
  <c r="V538" i="2"/>
  <c r="U538" i="2"/>
  <c r="T538" i="2"/>
  <c r="S538" i="2"/>
  <c r="R538" i="2"/>
  <c r="Q538" i="2"/>
  <c r="P538" i="2"/>
  <c r="O538" i="2"/>
  <c r="N538" i="2"/>
  <c r="M538" i="2"/>
  <c r="L538" i="2"/>
  <c r="K538" i="2"/>
  <c r="J538" i="2"/>
  <c r="I538" i="2"/>
  <c r="H538" i="2"/>
  <c r="G538" i="2"/>
  <c r="F538" i="2"/>
  <c r="E538" i="2"/>
  <c r="D538" i="2"/>
  <c r="C538" i="2"/>
  <c r="B538" i="2"/>
  <c r="AL537" i="2"/>
  <c r="AK537" i="2"/>
  <c r="AJ537" i="2"/>
  <c r="AI537" i="2"/>
  <c r="AH537" i="2"/>
  <c r="AG537" i="2"/>
  <c r="AF537" i="2"/>
  <c r="AE537" i="2"/>
  <c r="AD537" i="2"/>
  <c r="AC537" i="2"/>
  <c r="AB537" i="2"/>
  <c r="AA537" i="2"/>
  <c r="Z537" i="2"/>
  <c r="Y537" i="2"/>
  <c r="X537" i="2"/>
  <c r="W537" i="2"/>
  <c r="V537" i="2"/>
  <c r="U537" i="2"/>
  <c r="T537" i="2"/>
  <c r="S537" i="2"/>
  <c r="R537" i="2"/>
  <c r="Q537" i="2"/>
  <c r="P537" i="2"/>
  <c r="O537" i="2"/>
  <c r="N537" i="2"/>
  <c r="M537" i="2"/>
  <c r="L537" i="2"/>
  <c r="K537" i="2"/>
  <c r="J537" i="2"/>
  <c r="I537" i="2"/>
  <c r="H537" i="2"/>
  <c r="G537" i="2"/>
  <c r="F537" i="2"/>
  <c r="E537" i="2"/>
  <c r="D537" i="2"/>
  <c r="C537" i="2"/>
  <c r="B537" i="2"/>
  <c r="AL536" i="2"/>
  <c r="AK536" i="2"/>
  <c r="AJ536" i="2"/>
  <c r="AI536" i="2"/>
  <c r="AH536" i="2"/>
  <c r="AG536" i="2"/>
  <c r="AF536" i="2"/>
  <c r="AE536" i="2"/>
  <c r="AD536" i="2"/>
  <c r="AC536" i="2"/>
  <c r="AB536" i="2"/>
  <c r="AA536" i="2"/>
  <c r="Z536" i="2"/>
  <c r="Y536" i="2"/>
  <c r="X536" i="2"/>
  <c r="W536" i="2"/>
  <c r="V536" i="2"/>
  <c r="U536" i="2"/>
  <c r="T536" i="2"/>
  <c r="S536" i="2"/>
  <c r="R536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E536" i="2"/>
  <c r="D536" i="2"/>
  <c r="C536" i="2"/>
  <c r="B536" i="2"/>
  <c r="AL535" i="2"/>
  <c r="AK535" i="2"/>
  <c r="AJ535" i="2"/>
  <c r="AI535" i="2"/>
  <c r="AH535" i="2"/>
  <c r="AG535" i="2"/>
  <c r="AF535" i="2"/>
  <c r="AE535" i="2"/>
  <c r="AD535" i="2"/>
  <c r="AC535" i="2"/>
  <c r="AB535" i="2"/>
  <c r="AA535" i="2"/>
  <c r="Z535" i="2"/>
  <c r="Y535" i="2"/>
  <c r="X535" i="2"/>
  <c r="W535" i="2"/>
  <c r="V535" i="2"/>
  <c r="U535" i="2"/>
  <c r="T535" i="2"/>
  <c r="S535" i="2"/>
  <c r="R535" i="2"/>
  <c r="Q535" i="2"/>
  <c r="P535" i="2"/>
  <c r="O535" i="2"/>
  <c r="N535" i="2"/>
  <c r="M535" i="2"/>
  <c r="L535" i="2"/>
  <c r="K535" i="2"/>
  <c r="J535" i="2"/>
  <c r="I535" i="2"/>
  <c r="H535" i="2"/>
  <c r="G535" i="2"/>
  <c r="F535" i="2"/>
  <c r="E535" i="2"/>
  <c r="D535" i="2"/>
  <c r="C535" i="2"/>
  <c r="B535" i="2"/>
  <c r="AL534" i="2"/>
  <c r="AK534" i="2"/>
  <c r="AJ534" i="2"/>
  <c r="AI534" i="2"/>
  <c r="AH534" i="2"/>
  <c r="AG534" i="2"/>
  <c r="AF534" i="2"/>
  <c r="AE534" i="2"/>
  <c r="AD534" i="2"/>
  <c r="AC534" i="2"/>
  <c r="AB534" i="2"/>
  <c r="AA534" i="2"/>
  <c r="Z534" i="2"/>
  <c r="Y534" i="2"/>
  <c r="X534" i="2"/>
  <c r="W534" i="2"/>
  <c r="V534" i="2"/>
  <c r="U534" i="2"/>
  <c r="T534" i="2"/>
  <c r="S534" i="2"/>
  <c r="R534" i="2"/>
  <c r="Q534" i="2"/>
  <c r="P534" i="2"/>
  <c r="O534" i="2"/>
  <c r="N534" i="2"/>
  <c r="M534" i="2"/>
  <c r="L534" i="2"/>
  <c r="K534" i="2"/>
  <c r="J534" i="2"/>
  <c r="I534" i="2"/>
  <c r="H534" i="2"/>
  <c r="G534" i="2"/>
  <c r="F534" i="2"/>
  <c r="E534" i="2"/>
  <c r="D534" i="2"/>
  <c r="C534" i="2"/>
  <c r="B534" i="2"/>
  <c r="AL533" i="2"/>
  <c r="AK533" i="2"/>
  <c r="AJ533" i="2"/>
  <c r="AI533" i="2"/>
  <c r="AH533" i="2"/>
  <c r="AG533" i="2"/>
  <c r="AF533" i="2"/>
  <c r="AE533" i="2"/>
  <c r="AD533" i="2"/>
  <c r="AC533" i="2"/>
  <c r="AB533" i="2"/>
  <c r="AA533" i="2"/>
  <c r="Z533" i="2"/>
  <c r="Y533" i="2"/>
  <c r="X533" i="2"/>
  <c r="W533" i="2"/>
  <c r="V533" i="2"/>
  <c r="U533" i="2"/>
  <c r="T533" i="2"/>
  <c r="S533" i="2"/>
  <c r="R533" i="2"/>
  <c r="Q533" i="2"/>
  <c r="P533" i="2"/>
  <c r="O533" i="2"/>
  <c r="N533" i="2"/>
  <c r="M533" i="2"/>
  <c r="L533" i="2"/>
  <c r="K533" i="2"/>
  <c r="J533" i="2"/>
  <c r="I533" i="2"/>
  <c r="H533" i="2"/>
  <c r="G533" i="2"/>
  <c r="F533" i="2"/>
  <c r="E533" i="2"/>
  <c r="D533" i="2"/>
  <c r="C533" i="2"/>
  <c r="B533" i="2"/>
  <c r="AL532" i="2"/>
  <c r="AK532" i="2"/>
  <c r="AJ532" i="2"/>
  <c r="AI532" i="2"/>
  <c r="AH532" i="2"/>
  <c r="AG532" i="2"/>
  <c r="AF532" i="2"/>
  <c r="AE532" i="2"/>
  <c r="AD532" i="2"/>
  <c r="AC532" i="2"/>
  <c r="AB532" i="2"/>
  <c r="AA532" i="2"/>
  <c r="Z532" i="2"/>
  <c r="Y532" i="2"/>
  <c r="X532" i="2"/>
  <c r="W532" i="2"/>
  <c r="V532" i="2"/>
  <c r="U532" i="2"/>
  <c r="T532" i="2"/>
  <c r="S532" i="2"/>
  <c r="R532" i="2"/>
  <c r="Q532" i="2"/>
  <c r="P532" i="2"/>
  <c r="O532" i="2"/>
  <c r="N532" i="2"/>
  <c r="M532" i="2"/>
  <c r="L532" i="2"/>
  <c r="K532" i="2"/>
  <c r="J532" i="2"/>
  <c r="I532" i="2"/>
  <c r="H532" i="2"/>
  <c r="G532" i="2"/>
  <c r="F532" i="2"/>
  <c r="E532" i="2"/>
  <c r="D532" i="2"/>
  <c r="C532" i="2"/>
  <c r="B532" i="2"/>
  <c r="AL531" i="2"/>
  <c r="AK531" i="2"/>
  <c r="AJ531" i="2"/>
  <c r="AI531" i="2"/>
  <c r="AH531" i="2"/>
  <c r="AG531" i="2"/>
  <c r="AF531" i="2"/>
  <c r="AE531" i="2"/>
  <c r="AD531" i="2"/>
  <c r="AC531" i="2"/>
  <c r="AB531" i="2"/>
  <c r="AA531" i="2"/>
  <c r="Z531" i="2"/>
  <c r="Y531" i="2"/>
  <c r="X531" i="2"/>
  <c r="W531" i="2"/>
  <c r="V531" i="2"/>
  <c r="U531" i="2"/>
  <c r="T531" i="2"/>
  <c r="S531" i="2"/>
  <c r="R531" i="2"/>
  <c r="Q531" i="2"/>
  <c r="P531" i="2"/>
  <c r="O531" i="2"/>
  <c r="N531" i="2"/>
  <c r="M531" i="2"/>
  <c r="L531" i="2"/>
  <c r="K531" i="2"/>
  <c r="J531" i="2"/>
  <c r="I531" i="2"/>
  <c r="H531" i="2"/>
  <c r="G531" i="2"/>
  <c r="F531" i="2"/>
  <c r="E531" i="2"/>
  <c r="D531" i="2"/>
  <c r="C531" i="2"/>
  <c r="B531" i="2"/>
  <c r="AL530" i="2"/>
  <c r="AK530" i="2"/>
  <c r="AJ530" i="2"/>
  <c r="AI530" i="2"/>
  <c r="AH530" i="2"/>
  <c r="AG530" i="2"/>
  <c r="AF530" i="2"/>
  <c r="AE530" i="2"/>
  <c r="AD530" i="2"/>
  <c r="AC530" i="2"/>
  <c r="AB530" i="2"/>
  <c r="AA530" i="2"/>
  <c r="Z530" i="2"/>
  <c r="Y530" i="2"/>
  <c r="X530" i="2"/>
  <c r="W530" i="2"/>
  <c r="V530" i="2"/>
  <c r="U530" i="2"/>
  <c r="T530" i="2"/>
  <c r="S530" i="2"/>
  <c r="R530" i="2"/>
  <c r="Q530" i="2"/>
  <c r="P530" i="2"/>
  <c r="O530" i="2"/>
  <c r="N530" i="2"/>
  <c r="M530" i="2"/>
  <c r="L530" i="2"/>
  <c r="K530" i="2"/>
  <c r="J530" i="2"/>
  <c r="I530" i="2"/>
  <c r="H530" i="2"/>
  <c r="G530" i="2"/>
  <c r="F530" i="2"/>
  <c r="E530" i="2"/>
  <c r="D530" i="2"/>
  <c r="C530" i="2"/>
  <c r="B530" i="2"/>
  <c r="AL529" i="2"/>
  <c r="AK529" i="2"/>
  <c r="AJ529" i="2"/>
  <c r="AI529" i="2"/>
  <c r="AH529" i="2"/>
  <c r="AG529" i="2"/>
  <c r="AF529" i="2"/>
  <c r="AE529" i="2"/>
  <c r="AD529" i="2"/>
  <c r="AC529" i="2"/>
  <c r="AB529" i="2"/>
  <c r="AA529" i="2"/>
  <c r="Z529" i="2"/>
  <c r="Y529" i="2"/>
  <c r="X529" i="2"/>
  <c r="W529" i="2"/>
  <c r="V529" i="2"/>
  <c r="U529" i="2"/>
  <c r="T529" i="2"/>
  <c r="S529" i="2"/>
  <c r="R529" i="2"/>
  <c r="Q529" i="2"/>
  <c r="P529" i="2"/>
  <c r="O529" i="2"/>
  <c r="N529" i="2"/>
  <c r="M529" i="2"/>
  <c r="L529" i="2"/>
  <c r="K529" i="2"/>
  <c r="J529" i="2"/>
  <c r="I529" i="2"/>
  <c r="H529" i="2"/>
  <c r="G529" i="2"/>
  <c r="F529" i="2"/>
  <c r="E529" i="2"/>
  <c r="D529" i="2"/>
  <c r="C529" i="2"/>
  <c r="B529" i="2"/>
  <c r="AL528" i="2"/>
  <c r="AK528" i="2"/>
  <c r="AJ528" i="2"/>
  <c r="AI528" i="2"/>
  <c r="AH528" i="2"/>
  <c r="AG528" i="2"/>
  <c r="AF528" i="2"/>
  <c r="AE528" i="2"/>
  <c r="AD528" i="2"/>
  <c r="AC528" i="2"/>
  <c r="AB528" i="2"/>
  <c r="AA528" i="2"/>
  <c r="Z528" i="2"/>
  <c r="Y528" i="2"/>
  <c r="X528" i="2"/>
  <c r="W528" i="2"/>
  <c r="V528" i="2"/>
  <c r="U528" i="2"/>
  <c r="T528" i="2"/>
  <c r="S528" i="2"/>
  <c r="R528" i="2"/>
  <c r="Q528" i="2"/>
  <c r="P528" i="2"/>
  <c r="O528" i="2"/>
  <c r="N528" i="2"/>
  <c r="M528" i="2"/>
  <c r="L528" i="2"/>
  <c r="K528" i="2"/>
  <c r="J528" i="2"/>
  <c r="I528" i="2"/>
  <c r="H528" i="2"/>
  <c r="G528" i="2"/>
  <c r="F528" i="2"/>
  <c r="E528" i="2"/>
  <c r="D528" i="2"/>
  <c r="C528" i="2"/>
  <c r="B528" i="2"/>
  <c r="AL527" i="2"/>
  <c r="AK527" i="2"/>
  <c r="AJ527" i="2"/>
  <c r="AI527" i="2"/>
  <c r="AH527" i="2"/>
  <c r="AG527" i="2"/>
  <c r="AF527" i="2"/>
  <c r="AE527" i="2"/>
  <c r="AD527" i="2"/>
  <c r="AC527" i="2"/>
  <c r="AB527" i="2"/>
  <c r="AA527" i="2"/>
  <c r="Z527" i="2"/>
  <c r="Y527" i="2"/>
  <c r="X527" i="2"/>
  <c r="W527" i="2"/>
  <c r="V527" i="2"/>
  <c r="U527" i="2"/>
  <c r="T527" i="2"/>
  <c r="S527" i="2"/>
  <c r="R527" i="2"/>
  <c r="Q527" i="2"/>
  <c r="P527" i="2"/>
  <c r="O527" i="2"/>
  <c r="N527" i="2"/>
  <c r="M527" i="2"/>
  <c r="L527" i="2"/>
  <c r="K527" i="2"/>
  <c r="J527" i="2"/>
  <c r="I527" i="2"/>
  <c r="H527" i="2"/>
  <c r="G527" i="2"/>
  <c r="F527" i="2"/>
  <c r="E527" i="2"/>
  <c r="D527" i="2"/>
  <c r="C527" i="2"/>
  <c r="B527" i="2"/>
  <c r="AL526" i="2"/>
  <c r="AK526" i="2"/>
  <c r="AJ526" i="2"/>
  <c r="AI526" i="2"/>
  <c r="AH526" i="2"/>
  <c r="AG526" i="2"/>
  <c r="AF526" i="2"/>
  <c r="AE526" i="2"/>
  <c r="AD526" i="2"/>
  <c r="AC526" i="2"/>
  <c r="AB526" i="2"/>
  <c r="AA526" i="2"/>
  <c r="Z526" i="2"/>
  <c r="Y526" i="2"/>
  <c r="X526" i="2"/>
  <c r="W526" i="2"/>
  <c r="V526" i="2"/>
  <c r="U526" i="2"/>
  <c r="T526" i="2"/>
  <c r="S526" i="2"/>
  <c r="R526" i="2"/>
  <c r="Q526" i="2"/>
  <c r="P526" i="2"/>
  <c r="O526" i="2"/>
  <c r="N526" i="2"/>
  <c r="M526" i="2"/>
  <c r="L526" i="2"/>
  <c r="K526" i="2"/>
  <c r="J526" i="2"/>
  <c r="I526" i="2"/>
  <c r="H526" i="2"/>
  <c r="G526" i="2"/>
  <c r="F526" i="2"/>
  <c r="E526" i="2"/>
  <c r="D526" i="2"/>
  <c r="C526" i="2"/>
  <c r="B526" i="2"/>
  <c r="AL525" i="2"/>
  <c r="AK525" i="2"/>
  <c r="AJ525" i="2"/>
  <c r="AI525" i="2"/>
  <c r="AH525" i="2"/>
  <c r="AG525" i="2"/>
  <c r="AF525" i="2"/>
  <c r="AE525" i="2"/>
  <c r="AD525" i="2"/>
  <c r="AC525" i="2"/>
  <c r="AB525" i="2"/>
  <c r="AA525" i="2"/>
  <c r="Z525" i="2"/>
  <c r="Y525" i="2"/>
  <c r="X525" i="2"/>
  <c r="W525" i="2"/>
  <c r="V525" i="2"/>
  <c r="U525" i="2"/>
  <c r="T525" i="2"/>
  <c r="S525" i="2"/>
  <c r="R525" i="2"/>
  <c r="Q525" i="2"/>
  <c r="P525" i="2"/>
  <c r="O525" i="2"/>
  <c r="N525" i="2"/>
  <c r="M525" i="2"/>
  <c r="L525" i="2"/>
  <c r="K525" i="2"/>
  <c r="J525" i="2"/>
  <c r="I525" i="2"/>
  <c r="H525" i="2"/>
  <c r="G525" i="2"/>
  <c r="F525" i="2"/>
  <c r="E525" i="2"/>
  <c r="D525" i="2"/>
  <c r="C525" i="2"/>
  <c r="B525" i="2"/>
  <c r="AL524" i="2"/>
  <c r="AK524" i="2"/>
  <c r="AJ524" i="2"/>
  <c r="AI524" i="2"/>
  <c r="AH524" i="2"/>
  <c r="AG524" i="2"/>
  <c r="AF524" i="2"/>
  <c r="AE524" i="2"/>
  <c r="AD524" i="2"/>
  <c r="AC524" i="2"/>
  <c r="AB524" i="2"/>
  <c r="AA524" i="2"/>
  <c r="Z524" i="2"/>
  <c r="Y524" i="2"/>
  <c r="X524" i="2"/>
  <c r="W524" i="2"/>
  <c r="V524" i="2"/>
  <c r="U524" i="2"/>
  <c r="T524" i="2"/>
  <c r="S524" i="2"/>
  <c r="R524" i="2"/>
  <c r="Q524" i="2"/>
  <c r="P524" i="2"/>
  <c r="O524" i="2"/>
  <c r="N524" i="2"/>
  <c r="M524" i="2"/>
  <c r="L524" i="2"/>
  <c r="K524" i="2"/>
  <c r="J524" i="2"/>
  <c r="I524" i="2"/>
  <c r="H524" i="2"/>
  <c r="G524" i="2"/>
  <c r="F524" i="2"/>
  <c r="E524" i="2"/>
  <c r="D524" i="2"/>
  <c r="C524" i="2"/>
  <c r="B524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X522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U521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X520" i="2"/>
  <c r="W520" i="2"/>
  <c r="V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Z519" i="2"/>
  <c r="Y519" i="2"/>
  <c r="X519" i="2"/>
  <c r="W519" i="2"/>
  <c r="V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AL518" i="2"/>
  <c r="AK518" i="2"/>
  <c r="AJ518" i="2"/>
  <c r="AI518" i="2"/>
  <c r="AH518" i="2"/>
  <c r="AG518" i="2"/>
  <c r="AF518" i="2"/>
  <c r="AE518" i="2"/>
  <c r="AD518" i="2"/>
  <c r="AC518" i="2"/>
  <c r="AB518" i="2"/>
  <c r="AA518" i="2"/>
  <c r="Z518" i="2"/>
  <c r="Y518" i="2"/>
  <c r="X518" i="2"/>
  <c r="W518" i="2"/>
  <c r="V518" i="2"/>
  <c r="U518" i="2"/>
  <c r="T518" i="2"/>
  <c r="S518" i="2"/>
  <c r="R518" i="2"/>
  <c r="Q518" i="2"/>
  <c r="P518" i="2"/>
  <c r="O518" i="2"/>
  <c r="N518" i="2"/>
  <c r="M518" i="2"/>
  <c r="L518" i="2"/>
  <c r="K518" i="2"/>
  <c r="J518" i="2"/>
  <c r="I518" i="2"/>
  <c r="H518" i="2"/>
  <c r="G518" i="2"/>
  <c r="F518" i="2"/>
  <c r="E518" i="2"/>
  <c r="D518" i="2"/>
  <c r="C518" i="2"/>
  <c r="B518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U517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X516" i="2"/>
  <c r="W516" i="2"/>
  <c r="V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X515" i="2"/>
  <c r="W515" i="2"/>
  <c r="V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U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AL512" i="2"/>
  <c r="AK512" i="2"/>
  <c r="AJ512" i="2"/>
  <c r="AI512" i="2"/>
  <c r="AH512" i="2"/>
  <c r="AG512" i="2"/>
  <c r="AF512" i="2"/>
  <c r="AE512" i="2"/>
  <c r="AD512" i="2"/>
  <c r="AC512" i="2"/>
  <c r="AB512" i="2"/>
  <c r="AA512" i="2"/>
  <c r="Z512" i="2"/>
  <c r="Y512" i="2"/>
  <c r="X512" i="2"/>
  <c r="W512" i="2"/>
  <c r="V512" i="2"/>
  <c r="U512" i="2"/>
  <c r="T512" i="2"/>
  <c r="S512" i="2"/>
  <c r="R512" i="2"/>
  <c r="Q512" i="2"/>
  <c r="P512" i="2"/>
  <c r="O512" i="2"/>
  <c r="N512" i="2"/>
  <c r="M512" i="2"/>
  <c r="L512" i="2"/>
  <c r="K512" i="2"/>
  <c r="J512" i="2"/>
  <c r="I512" i="2"/>
  <c r="H512" i="2"/>
  <c r="G512" i="2"/>
  <c r="F512" i="2"/>
  <c r="E512" i="2"/>
  <c r="D512" i="2"/>
  <c r="C512" i="2"/>
  <c r="B512" i="2"/>
  <c r="AL511" i="2"/>
  <c r="AK511" i="2"/>
  <c r="AJ511" i="2"/>
  <c r="AI511" i="2"/>
  <c r="AH511" i="2"/>
  <c r="AG511" i="2"/>
  <c r="AF511" i="2"/>
  <c r="AE511" i="2"/>
  <c r="AD511" i="2"/>
  <c r="AC511" i="2"/>
  <c r="AB511" i="2"/>
  <c r="AA511" i="2"/>
  <c r="Z511" i="2"/>
  <c r="Y511" i="2"/>
  <c r="X511" i="2"/>
  <c r="W511" i="2"/>
  <c r="V511" i="2"/>
  <c r="U511" i="2"/>
  <c r="T511" i="2"/>
  <c r="S511" i="2"/>
  <c r="R511" i="2"/>
  <c r="Q511" i="2"/>
  <c r="P511" i="2"/>
  <c r="O511" i="2"/>
  <c r="N511" i="2"/>
  <c r="M511" i="2"/>
  <c r="L511" i="2"/>
  <c r="K511" i="2"/>
  <c r="J511" i="2"/>
  <c r="I511" i="2"/>
  <c r="H511" i="2"/>
  <c r="G511" i="2"/>
  <c r="F511" i="2"/>
  <c r="E511" i="2"/>
  <c r="D511" i="2"/>
  <c r="C511" i="2"/>
  <c r="B511" i="2"/>
  <c r="AL510" i="2"/>
  <c r="AK510" i="2"/>
  <c r="AJ510" i="2"/>
  <c r="AI510" i="2"/>
  <c r="AH510" i="2"/>
  <c r="AG510" i="2"/>
  <c r="AF510" i="2"/>
  <c r="AE510" i="2"/>
  <c r="AD510" i="2"/>
  <c r="AC510" i="2"/>
  <c r="AB510" i="2"/>
  <c r="AA510" i="2"/>
  <c r="Z510" i="2"/>
  <c r="Y510" i="2"/>
  <c r="X510" i="2"/>
  <c r="W510" i="2"/>
  <c r="V510" i="2"/>
  <c r="U510" i="2"/>
  <c r="T510" i="2"/>
  <c r="S510" i="2"/>
  <c r="R510" i="2"/>
  <c r="Q510" i="2"/>
  <c r="P510" i="2"/>
  <c r="O510" i="2"/>
  <c r="N510" i="2"/>
  <c r="M510" i="2"/>
  <c r="L510" i="2"/>
  <c r="K510" i="2"/>
  <c r="J510" i="2"/>
  <c r="I510" i="2"/>
  <c r="H510" i="2"/>
  <c r="G510" i="2"/>
  <c r="F510" i="2"/>
  <c r="E510" i="2"/>
  <c r="D510" i="2"/>
  <c r="C510" i="2"/>
  <c r="B510" i="2"/>
  <c r="AL509" i="2"/>
  <c r="AK509" i="2"/>
  <c r="AJ509" i="2"/>
  <c r="AI509" i="2"/>
  <c r="AH509" i="2"/>
  <c r="AG509" i="2"/>
  <c r="AF509" i="2"/>
  <c r="AE509" i="2"/>
  <c r="AD509" i="2"/>
  <c r="AC509" i="2"/>
  <c r="AB509" i="2"/>
  <c r="AA509" i="2"/>
  <c r="Z509" i="2"/>
  <c r="Y509" i="2"/>
  <c r="X509" i="2"/>
  <c r="W509" i="2"/>
  <c r="V509" i="2"/>
  <c r="U509" i="2"/>
  <c r="T509" i="2"/>
  <c r="S509" i="2"/>
  <c r="R509" i="2"/>
  <c r="Q509" i="2"/>
  <c r="P509" i="2"/>
  <c r="O509" i="2"/>
  <c r="N509" i="2"/>
  <c r="M509" i="2"/>
  <c r="L509" i="2"/>
  <c r="K509" i="2"/>
  <c r="J509" i="2"/>
  <c r="I509" i="2"/>
  <c r="H509" i="2"/>
  <c r="G509" i="2"/>
  <c r="F509" i="2"/>
  <c r="E509" i="2"/>
  <c r="D509" i="2"/>
  <c r="C509" i="2"/>
  <c r="B509" i="2"/>
  <c r="AL508" i="2"/>
  <c r="AK508" i="2"/>
  <c r="AJ508" i="2"/>
  <c r="AI508" i="2"/>
  <c r="AH508" i="2"/>
  <c r="AG508" i="2"/>
  <c r="AF508" i="2"/>
  <c r="AE508" i="2"/>
  <c r="AD508" i="2"/>
  <c r="AC508" i="2"/>
  <c r="AB508" i="2"/>
  <c r="AA508" i="2"/>
  <c r="Z508" i="2"/>
  <c r="Y508" i="2"/>
  <c r="X508" i="2"/>
  <c r="W508" i="2"/>
  <c r="V508" i="2"/>
  <c r="U508" i="2"/>
  <c r="T508" i="2"/>
  <c r="S508" i="2"/>
  <c r="R508" i="2"/>
  <c r="Q508" i="2"/>
  <c r="P508" i="2"/>
  <c r="O508" i="2"/>
  <c r="N508" i="2"/>
  <c r="M508" i="2"/>
  <c r="L508" i="2"/>
  <c r="K508" i="2"/>
  <c r="J508" i="2"/>
  <c r="I508" i="2"/>
  <c r="H508" i="2"/>
  <c r="G508" i="2"/>
  <c r="F508" i="2"/>
  <c r="E508" i="2"/>
  <c r="D508" i="2"/>
  <c r="C508" i="2"/>
  <c r="B508" i="2"/>
  <c r="AL507" i="2"/>
  <c r="AK507" i="2"/>
  <c r="AJ507" i="2"/>
  <c r="AI507" i="2"/>
  <c r="AH507" i="2"/>
  <c r="AG507" i="2"/>
  <c r="AF507" i="2"/>
  <c r="AE507" i="2"/>
  <c r="AD507" i="2"/>
  <c r="AC507" i="2"/>
  <c r="AB507" i="2"/>
  <c r="AA507" i="2"/>
  <c r="Z507" i="2"/>
  <c r="Y507" i="2"/>
  <c r="X507" i="2"/>
  <c r="W507" i="2"/>
  <c r="V507" i="2"/>
  <c r="U507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H507" i="2"/>
  <c r="G507" i="2"/>
  <c r="F507" i="2"/>
  <c r="E507" i="2"/>
  <c r="D507" i="2"/>
  <c r="C507" i="2"/>
  <c r="B507" i="2"/>
  <c r="AL506" i="2"/>
  <c r="AK506" i="2"/>
  <c r="AJ506" i="2"/>
  <c r="AI506" i="2"/>
  <c r="AH506" i="2"/>
  <c r="AG506" i="2"/>
  <c r="AF506" i="2"/>
  <c r="AE506" i="2"/>
  <c r="AD506" i="2"/>
  <c r="AC506" i="2"/>
  <c r="AB506" i="2"/>
  <c r="AA506" i="2"/>
  <c r="Z506" i="2"/>
  <c r="Y506" i="2"/>
  <c r="X506" i="2"/>
  <c r="W506" i="2"/>
  <c r="V506" i="2"/>
  <c r="U506" i="2"/>
  <c r="T506" i="2"/>
  <c r="S506" i="2"/>
  <c r="R506" i="2"/>
  <c r="Q506" i="2"/>
  <c r="P506" i="2"/>
  <c r="O506" i="2"/>
  <c r="N506" i="2"/>
  <c r="M506" i="2"/>
  <c r="L506" i="2"/>
  <c r="K506" i="2"/>
  <c r="J506" i="2"/>
  <c r="I506" i="2"/>
  <c r="H506" i="2"/>
  <c r="G506" i="2"/>
  <c r="F506" i="2"/>
  <c r="E506" i="2"/>
  <c r="D506" i="2"/>
  <c r="C506" i="2"/>
  <c r="B506" i="2"/>
  <c r="AL505" i="2"/>
  <c r="AK505" i="2"/>
  <c r="AJ505" i="2"/>
  <c r="AI505" i="2"/>
  <c r="AH505" i="2"/>
  <c r="AG505" i="2"/>
  <c r="AF505" i="2"/>
  <c r="AE505" i="2"/>
  <c r="AD505" i="2"/>
  <c r="AC505" i="2"/>
  <c r="AB505" i="2"/>
  <c r="AA505" i="2"/>
  <c r="Z505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H505" i="2"/>
  <c r="G505" i="2"/>
  <c r="F505" i="2"/>
  <c r="E505" i="2"/>
  <c r="D505" i="2"/>
  <c r="C505" i="2"/>
  <c r="B505" i="2"/>
  <c r="AL504" i="2"/>
  <c r="AK504" i="2"/>
  <c r="AJ504" i="2"/>
  <c r="AI504" i="2"/>
  <c r="AH504" i="2"/>
  <c r="AG504" i="2"/>
  <c r="AF504" i="2"/>
  <c r="AE504" i="2"/>
  <c r="AD504" i="2"/>
  <c r="AC504" i="2"/>
  <c r="AB504" i="2"/>
  <c r="AA504" i="2"/>
  <c r="Z504" i="2"/>
  <c r="Y504" i="2"/>
  <c r="X504" i="2"/>
  <c r="W504" i="2"/>
  <c r="V504" i="2"/>
  <c r="U504" i="2"/>
  <c r="T504" i="2"/>
  <c r="S504" i="2"/>
  <c r="R504" i="2"/>
  <c r="Q504" i="2"/>
  <c r="P504" i="2"/>
  <c r="O504" i="2"/>
  <c r="N504" i="2"/>
  <c r="M504" i="2"/>
  <c r="L504" i="2"/>
  <c r="K504" i="2"/>
  <c r="J504" i="2"/>
  <c r="I504" i="2"/>
  <c r="H504" i="2"/>
  <c r="G504" i="2"/>
  <c r="F504" i="2"/>
  <c r="E504" i="2"/>
  <c r="D504" i="2"/>
  <c r="C504" i="2"/>
  <c r="B504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X503" i="2"/>
  <c r="W503" i="2"/>
  <c r="V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AL500" i="2"/>
  <c r="AK500" i="2"/>
  <c r="AJ500" i="2"/>
  <c r="AI500" i="2"/>
  <c r="AH500" i="2"/>
  <c r="AG500" i="2"/>
  <c r="AF500" i="2"/>
  <c r="AE500" i="2"/>
  <c r="AD500" i="2"/>
  <c r="AC500" i="2"/>
  <c r="AB500" i="2"/>
  <c r="AA500" i="2"/>
  <c r="Z500" i="2"/>
  <c r="Y500" i="2"/>
  <c r="X500" i="2"/>
  <c r="W500" i="2"/>
  <c r="V500" i="2"/>
  <c r="U500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H500" i="2"/>
  <c r="G500" i="2"/>
  <c r="F500" i="2"/>
  <c r="E500" i="2"/>
  <c r="D500" i="2"/>
  <c r="C500" i="2"/>
  <c r="B500" i="2"/>
  <c r="AL499" i="2"/>
  <c r="AK499" i="2"/>
  <c r="AJ499" i="2"/>
  <c r="AI499" i="2"/>
  <c r="AH499" i="2"/>
  <c r="AG499" i="2"/>
  <c r="AF499" i="2"/>
  <c r="AE499" i="2"/>
  <c r="AD499" i="2"/>
  <c r="AC499" i="2"/>
  <c r="AB499" i="2"/>
  <c r="AA499" i="2"/>
  <c r="Z499" i="2"/>
  <c r="Y499" i="2"/>
  <c r="X499" i="2"/>
  <c r="W499" i="2"/>
  <c r="V499" i="2"/>
  <c r="U499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AL494" i="2"/>
  <c r="AK494" i="2"/>
  <c r="AJ494" i="2"/>
  <c r="AI494" i="2"/>
  <c r="AH494" i="2"/>
  <c r="AG494" i="2"/>
  <c r="AF494" i="2"/>
  <c r="AE494" i="2"/>
  <c r="AD494" i="2"/>
  <c r="AC494" i="2"/>
  <c r="AB494" i="2"/>
  <c r="AA494" i="2"/>
  <c r="Z494" i="2"/>
  <c r="Y494" i="2"/>
  <c r="X494" i="2"/>
  <c r="W494" i="2"/>
  <c r="V494" i="2"/>
  <c r="U494" i="2"/>
  <c r="T494" i="2"/>
  <c r="S494" i="2"/>
  <c r="R494" i="2"/>
  <c r="Q494" i="2"/>
  <c r="P494" i="2"/>
  <c r="O494" i="2"/>
  <c r="N494" i="2"/>
  <c r="M494" i="2"/>
  <c r="L494" i="2"/>
  <c r="K494" i="2"/>
  <c r="J494" i="2"/>
  <c r="I494" i="2"/>
  <c r="H494" i="2"/>
  <c r="G494" i="2"/>
  <c r="F494" i="2"/>
  <c r="E494" i="2"/>
  <c r="D494" i="2"/>
  <c r="C494" i="2"/>
  <c r="B494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X492" i="2"/>
  <c r="W492" i="2"/>
  <c r="V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AL487" i="2"/>
  <c r="AK487" i="2"/>
  <c r="AJ487" i="2"/>
  <c r="AI487" i="2"/>
  <c r="AH487" i="2"/>
  <c r="AG487" i="2"/>
  <c r="AF487" i="2"/>
  <c r="AE487" i="2"/>
  <c r="AD487" i="2"/>
  <c r="AC487" i="2"/>
  <c r="AB487" i="2"/>
  <c r="AA487" i="2"/>
  <c r="Z487" i="2"/>
  <c r="Y487" i="2"/>
  <c r="X487" i="2"/>
  <c r="W487" i="2"/>
  <c r="V487" i="2"/>
  <c r="U487" i="2"/>
  <c r="T487" i="2"/>
  <c r="S487" i="2"/>
  <c r="R487" i="2"/>
  <c r="Q487" i="2"/>
  <c r="P487" i="2"/>
  <c r="O487" i="2"/>
  <c r="N487" i="2"/>
  <c r="M487" i="2"/>
  <c r="L487" i="2"/>
  <c r="K487" i="2"/>
  <c r="J487" i="2"/>
  <c r="I487" i="2"/>
  <c r="H487" i="2"/>
  <c r="G487" i="2"/>
  <c r="F487" i="2"/>
  <c r="E487" i="2"/>
  <c r="D487" i="2"/>
  <c r="C487" i="2"/>
  <c r="B487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AL481" i="2"/>
  <c r="AK481" i="2"/>
  <c r="AJ481" i="2"/>
  <c r="AI481" i="2"/>
  <c r="AH481" i="2"/>
  <c r="AG481" i="2"/>
  <c r="AF481" i="2"/>
  <c r="AE481" i="2"/>
  <c r="AD481" i="2"/>
  <c r="AC481" i="2"/>
  <c r="AB481" i="2"/>
  <c r="AA481" i="2"/>
  <c r="Z481" i="2"/>
  <c r="Y481" i="2"/>
  <c r="X481" i="2"/>
  <c r="W481" i="2"/>
  <c r="V481" i="2"/>
  <c r="U481" i="2"/>
  <c r="T481" i="2"/>
  <c r="S481" i="2"/>
  <c r="R481" i="2"/>
  <c r="Q481" i="2"/>
  <c r="P481" i="2"/>
  <c r="O481" i="2"/>
  <c r="N481" i="2"/>
  <c r="M481" i="2"/>
  <c r="L481" i="2"/>
  <c r="K481" i="2"/>
  <c r="J481" i="2"/>
  <c r="I481" i="2"/>
  <c r="H481" i="2"/>
  <c r="G481" i="2"/>
  <c r="F481" i="2"/>
  <c r="E481" i="2"/>
  <c r="D481" i="2"/>
  <c r="C481" i="2"/>
  <c r="B481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AL478" i="2"/>
  <c r="AK478" i="2"/>
  <c r="AJ478" i="2"/>
  <c r="AI478" i="2"/>
  <c r="AH478" i="2"/>
  <c r="AG478" i="2"/>
  <c r="AF478" i="2"/>
  <c r="AE478" i="2"/>
  <c r="AD478" i="2"/>
  <c r="AC478" i="2"/>
  <c r="AB478" i="2"/>
  <c r="AA478" i="2"/>
  <c r="Z478" i="2"/>
  <c r="Y478" i="2"/>
  <c r="X478" i="2"/>
  <c r="W478" i="2"/>
  <c r="V478" i="2"/>
  <c r="U478" i="2"/>
  <c r="T478" i="2"/>
  <c r="S478" i="2"/>
  <c r="R478" i="2"/>
  <c r="Q478" i="2"/>
  <c r="P478" i="2"/>
  <c r="O478" i="2"/>
  <c r="N478" i="2"/>
  <c r="M478" i="2"/>
  <c r="L478" i="2"/>
  <c r="K478" i="2"/>
  <c r="J478" i="2"/>
  <c r="I478" i="2"/>
  <c r="H478" i="2"/>
  <c r="G478" i="2"/>
  <c r="F478" i="2"/>
  <c r="E478" i="2"/>
  <c r="D478" i="2"/>
  <c r="C478" i="2"/>
  <c r="B478" i="2"/>
  <c r="AL477" i="2"/>
  <c r="AK477" i="2"/>
  <c r="AJ477" i="2"/>
  <c r="AI477" i="2"/>
  <c r="AH477" i="2"/>
  <c r="AG477" i="2"/>
  <c r="AF477" i="2"/>
  <c r="AE477" i="2"/>
  <c r="AD477" i="2"/>
  <c r="AC477" i="2"/>
  <c r="AB477" i="2"/>
  <c r="AA477" i="2"/>
  <c r="Z477" i="2"/>
  <c r="Y477" i="2"/>
  <c r="X477" i="2"/>
  <c r="W477" i="2"/>
  <c r="V477" i="2"/>
  <c r="U477" i="2"/>
  <c r="T477" i="2"/>
  <c r="S477" i="2"/>
  <c r="R477" i="2"/>
  <c r="Q477" i="2"/>
  <c r="P477" i="2"/>
  <c r="O477" i="2"/>
  <c r="N477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AL476" i="2"/>
  <c r="AK476" i="2"/>
  <c r="AJ476" i="2"/>
  <c r="AI476" i="2"/>
  <c r="AH476" i="2"/>
  <c r="AG476" i="2"/>
  <c r="AF476" i="2"/>
  <c r="AE476" i="2"/>
  <c r="AD476" i="2"/>
  <c r="AC476" i="2"/>
  <c r="AB476" i="2"/>
  <c r="AA476" i="2"/>
  <c r="Z476" i="2"/>
  <c r="Y476" i="2"/>
  <c r="X476" i="2"/>
  <c r="W476" i="2"/>
  <c r="V476" i="2"/>
  <c r="U476" i="2"/>
  <c r="T476" i="2"/>
  <c r="S476" i="2"/>
  <c r="R476" i="2"/>
  <c r="Q476" i="2"/>
  <c r="P476" i="2"/>
  <c r="O476" i="2"/>
  <c r="N476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AL475" i="2"/>
  <c r="AK475" i="2"/>
  <c r="AJ475" i="2"/>
  <c r="AI475" i="2"/>
  <c r="AH475" i="2"/>
  <c r="AG475" i="2"/>
  <c r="AF475" i="2"/>
  <c r="AE475" i="2"/>
  <c r="AD475" i="2"/>
  <c r="AC475" i="2"/>
  <c r="AB475" i="2"/>
  <c r="AA475" i="2"/>
  <c r="Z475" i="2"/>
  <c r="Y475" i="2"/>
  <c r="X475" i="2"/>
  <c r="W475" i="2"/>
  <c r="V475" i="2"/>
  <c r="U475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H475" i="2"/>
  <c r="G475" i="2"/>
  <c r="F475" i="2"/>
  <c r="E475" i="2"/>
  <c r="D475" i="2"/>
  <c r="C475" i="2"/>
  <c r="B475" i="2"/>
  <c r="AL474" i="2"/>
  <c r="AK474" i="2"/>
  <c r="AJ474" i="2"/>
  <c r="AI474" i="2"/>
  <c r="AH474" i="2"/>
  <c r="AG474" i="2"/>
  <c r="AF474" i="2"/>
  <c r="AE474" i="2"/>
  <c r="AD474" i="2"/>
  <c r="AC474" i="2"/>
  <c r="AB474" i="2"/>
  <c r="AA474" i="2"/>
  <c r="Z474" i="2"/>
  <c r="Y474" i="2"/>
  <c r="X474" i="2"/>
  <c r="W474" i="2"/>
  <c r="V474" i="2"/>
  <c r="U474" i="2"/>
  <c r="T474" i="2"/>
  <c r="S474" i="2"/>
  <c r="R474" i="2"/>
  <c r="Q474" i="2"/>
  <c r="P474" i="2"/>
  <c r="O474" i="2"/>
  <c r="N474" i="2"/>
  <c r="M474" i="2"/>
  <c r="L474" i="2"/>
  <c r="K474" i="2"/>
  <c r="J474" i="2"/>
  <c r="I474" i="2"/>
  <c r="H474" i="2"/>
  <c r="G474" i="2"/>
  <c r="F474" i="2"/>
  <c r="E474" i="2"/>
  <c r="D474" i="2"/>
  <c r="C474" i="2"/>
  <c r="B474" i="2"/>
  <c r="AL473" i="2"/>
  <c r="AK473" i="2"/>
  <c r="AJ473" i="2"/>
  <c r="AI473" i="2"/>
  <c r="AH473" i="2"/>
  <c r="AG473" i="2"/>
  <c r="AF473" i="2"/>
  <c r="AE473" i="2"/>
  <c r="AD473" i="2"/>
  <c r="AC473" i="2"/>
  <c r="AB473" i="2"/>
  <c r="AA473" i="2"/>
  <c r="Z473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H473" i="2"/>
  <c r="G473" i="2"/>
  <c r="F473" i="2"/>
  <c r="E473" i="2"/>
  <c r="D473" i="2"/>
  <c r="C473" i="2"/>
  <c r="B473" i="2"/>
  <c r="AL472" i="2"/>
  <c r="AK472" i="2"/>
  <c r="AJ472" i="2"/>
  <c r="AI472" i="2"/>
  <c r="AH472" i="2"/>
  <c r="AG472" i="2"/>
  <c r="AF472" i="2"/>
  <c r="AE472" i="2"/>
  <c r="AD472" i="2"/>
  <c r="AC472" i="2"/>
  <c r="AB472" i="2"/>
  <c r="AA472" i="2"/>
  <c r="Z472" i="2"/>
  <c r="Y472" i="2"/>
  <c r="X472" i="2"/>
  <c r="W472" i="2"/>
  <c r="V472" i="2"/>
  <c r="U472" i="2"/>
  <c r="T472" i="2"/>
  <c r="S472" i="2"/>
  <c r="R472" i="2"/>
  <c r="Q472" i="2"/>
  <c r="P472" i="2"/>
  <c r="O472" i="2"/>
  <c r="N472" i="2"/>
  <c r="M472" i="2"/>
  <c r="L472" i="2"/>
  <c r="K472" i="2"/>
  <c r="J472" i="2"/>
  <c r="I472" i="2"/>
  <c r="H472" i="2"/>
  <c r="G472" i="2"/>
  <c r="F472" i="2"/>
  <c r="E472" i="2"/>
  <c r="D472" i="2"/>
  <c r="C472" i="2"/>
  <c r="B472" i="2"/>
  <c r="AL471" i="2"/>
  <c r="AK471" i="2"/>
  <c r="AJ471" i="2"/>
  <c r="AI471" i="2"/>
  <c r="AH471" i="2"/>
  <c r="AG471" i="2"/>
  <c r="AF471" i="2"/>
  <c r="AE471" i="2"/>
  <c r="AD471" i="2"/>
  <c r="AC471" i="2"/>
  <c r="AB471" i="2"/>
  <c r="AA471" i="2"/>
  <c r="Z471" i="2"/>
  <c r="Y471" i="2"/>
  <c r="X471" i="2"/>
  <c r="W471" i="2"/>
  <c r="V471" i="2"/>
  <c r="U471" i="2"/>
  <c r="T471" i="2"/>
  <c r="S471" i="2"/>
  <c r="R471" i="2"/>
  <c r="Q471" i="2"/>
  <c r="P471" i="2"/>
  <c r="O471" i="2"/>
  <c r="N471" i="2"/>
  <c r="M471" i="2"/>
  <c r="L471" i="2"/>
  <c r="K471" i="2"/>
  <c r="J471" i="2"/>
  <c r="I471" i="2"/>
  <c r="H471" i="2"/>
  <c r="G471" i="2"/>
  <c r="F471" i="2"/>
  <c r="E471" i="2"/>
  <c r="D471" i="2"/>
  <c r="C471" i="2"/>
  <c r="B471" i="2"/>
  <c r="AL470" i="2"/>
  <c r="AK470" i="2"/>
  <c r="AJ470" i="2"/>
  <c r="AI470" i="2"/>
  <c r="AH470" i="2"/>
  <c r="AG470" i="2"/>
  <c r="AF470" i="2"/>
  <c r="AE470" i="2"/>
  <c r="AD470" i="2"/>
  <c r="AC470" i="2"/>
  <c r="AB470" i="2"/>
  <c r="AA470" i="2"/>
  <c r="Z470" i="2"/>
  <c r="Y470" i="2"/>
  <c r="X470" i="2"/>
  <c r="W470" i="2"/>
  <c r="V470" i="2"/>
  <c r="U470" i="2"/>
  <c r="T470" i="2"/>
  <c r="S470" i="2"/>
  <c r="R470" i="2"/>
  <c r="Q470" i="2"/>
  <c r="P470" i="2"/>
  <c r="O470" i="2"/>
  <c r="N470" i="2"/>
  <c r="M470" i="2"/>
  <c r="L470" i="2"/>
  <c r="K470" i="2"/>
  <c r="J470" i="2"/>
  <c r="I470" i="2"/>
  <c r="H470" i="2"/>
  <c r="G470" i="2"/>
  <c r="F470" i="2"/>
  <c r="E470" i="2"/>
  <c r="D470" i="2"/>
  <c r="C470" i="2"/>
  <c r="B470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AL466" i="2"/>
  <c r="AK466" i="2"/>
  <c r="AJ466" i="2"/>
  <c r="AI466" i="2"/>
  <c r="AH466" i="2"/>
  <c r="AG466" i="2"/>
  <c r="AF466" i="2"/>
  <c r="AE466" i="2"/>
  <c r="AD466" i="2"/>
  <c r="AC466" i="2"/>
  <c r="AB466" i="2"/>
  <c r="AA466" i="2"/>
  <c r="Z466" i="2"/>
  <c r="Y466" i="2"/>
  <c r="X466" i="2"/>
  <c r="W466" i="2"/>
  <c r="V466" i="2"/>
  <c r="U466" i="2"/>
  <c r="T466" i="2"/>
  <c r="S466" i="2"/>
  <c r="R466" i="2"/>
  <c r="Q466" i="2"/>
  <c r="P466" i="2"/>
  <c r="O466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AL460" i="2"/>
  <c r="AK460" i="2"/>
  <c r="AJ460" i="2"/>
  <c r="AI460" i="2"/>
  <c r="AH460" i="2"/>
  <c r="AG460" i="2"/>
  <c r="AF460" i="2"/>
  <c r="AE460" i="2"/>
  <c r="AD460" i="2"/>
  <c r="AC460" i="2"/>
  <c r="AB460" i="2"/>
  <c r="AA460" i="2"/>
  <c r="Z460" i="2"/>
  <c r="Y460" i="2"/>
  <c r="X460" i="2"/>
  <c r="W460" i="2"/>
  <c r="V460" i="2"/>
  <c r="U460" i="2"/>
  <c r="T460" i="2"/>
  <c r="S460" i="2"/>
  <c r="R460" i="2"/>
  <c r="Q460" i="2"/>
  <c r="P460" i="2"/>
  <c r="O460" i="2"/>
  <c r="N460" i="2"/>
  <c r="M460" i="2"/>
  <c r="L460" i="2"/>
  <c r="K460" i="2"/>
  <c r="J460" i="2"/>
  <c r="I460" i="2"/>
  <c r="H460" i="2"/>
  <c r="G460" i="2"/>
  <c r="F460" i="2"/>
  <c r="E460" i="2"/>
  <c r="D460" i="2"/>
  <c r="C460" i="2"/>
  <c r="B460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AL457" i="2"/>
  <c r="AK457" i="2"/>
  <c r="AJ457" i="2"/>
  <c r="AI457" i="2"/>
  <c r="AH457" i="2"/>
  <c r="AG457" i="2"/>
  <c r="AF457" i="2"/>
  <c r="AE457" i="2"/>
  <c r="AD457" i="2"/>
  <c r="AC457" i="2"/>
  <c r="AB457" i="2"/>
  <c r="AA457" i="2"/>
  <c r="Z457" i="2"/>
  <c r="Y457" i="2"/>
  <c r="X457" i="2"/>
  <c r="W457" i="2"/>
  <c r="V457" i="2"/>
  <c r="U457" i="2"/>
  <c r="T457" i="2"/>
  <c r="S457" i="2"/>
  <c r="R457" i="2"/>
  <c r="Q457" i="2"/>
  <c r="P457" i="2"/>
  <c r="O457" i="2"/>
  <c r="N457" i="2"/>
  <c r="M457" i="2"/>
  <c r="L457" i="2"/>
  <c r="K457" i="2"/>
  <c r="J457" i="2"/>
  <c r="I457" i="2"/>
  <c r="H457" i="2"/>
  <c r="G457" i="2"/>
  <c r="F457" i="2"/>
  <c r="E457" i="2"/>
  <c r="D457" i="2"/>
  <c r="C457" i="2"/>
  <c r="B457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X456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X454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AL453" i="2"/>
  <c r="AK453" i="2"/>
  <c r="AJ453" i="2"/>
  <c r="AI453" i="2"/>
  <c r="AH453" i="2"/>
  <c r="AG453" i="2"/>
  <c r="AF453" i="2"/>
  <c r="AE453" i="2"/>
  <c r="AD453" i="2"/>
  <c r="AC453" i="2"/>
  <c r="AB453" i="2"/>
  <c r="AA453" i="2"/>
  <c r="Z453" i="2"/>
  <c r="Y453" i="2"/>
  <c r="X453" i="2"/>
  <c r="W453" i="2"/>
  <c r="V453" i="2"/>
  <c r="U453" i="2"/>
  <c r="T453" i="2"/>
  <c r="S453" i="2"/>
  <c r="R453" i="2"/>
  <c r="Q453" i="2"/>
  <c r="P453" i="2"/>
  <c r="O453" i="2"/>
  <c r="N453" i="2"/>
  <c r="M453" i="2"/>
  <c r="L453" i="2"/>
  <c r="K453" i="2"/>
  <c r="J453" i="2"/>
  <c r="I453" i="2"/>
  <c r="H453" i="2"/>
  <c r="G453" i="2"/>
  <c r="F453" i="2"/>
  <c r="E453" i="2"/>
  <c r="D453" i="2"/>
  <c r="C453" i="2"/>
  <c r="B453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X452" i="2"/>
  <c r="W452" i="2"/>
  <c r="V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X451" i="2"/>
  <c r="W451" i="2"/>
  <c r="V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X448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AL447" i="2"/>
  <c r="AK447" i="2"/>
  <c r="AJ447" i="2"/>
  <c r="AI447" i="2"/>
  <c r="AH447" i="2"/>
  <c r="AG447" i="2"/>
  <c r="AF447" i="2"/>
  <c r="AE447" i="2"/>
  <c r="AD447" i="2"/>
  <c r="AC447" i="2"/>
  <c r="AB447" i="2"/>
  <c r="AA447" i="2"/>
  <c r="Z447" i="2"/>
  <c r="Y447" i="2"/>
  <c r="X447" i="2"/>
  <c r="W447" i="2"/>
  <c r="V447" i="2"/>
  <c r="U447" i="2"/>
  <c r="T447" i="2"/>
  <c r="S447" i="2"/>
  <c r="R447" i="2"/>
  <c r="Q447" i="2"/>
  <c r="P447" i="2"/>
  <c r="O447" i="2"/>
  <c r="N447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U445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445" i="2"/>
  <c r="AL444" i="2"/>
  <c r="AK444" i="2"/>
  <c r="AJ444" i="2"/>
  <c r="AI444" i="2"/>
  <c r="AH444" i="2"/>
  <c r="AG444" i="2"/>
  <c r="AF444" i="2"/>
  <c r="AE444" i="2"/>
  <c r="AD444" i="2"/>
  <c r="AC444" i="2"/>
  <c r="AB444" i="2"/>
  <c r="AA444" i="2"/>
  <c r="Z444" i="2"/>
  <c r="Y444" i="2"/>
  <c r="X444" i="2"/>
  <c r="W444" i="2"/>
  <c r="V444" i="2"/>
  <c r="U444" i="2"/>
  <c r="T444" i="2"/>
  <c r="S444" i="2"/>
  <c r="R444" i="2"/>
  <c r="Q444" i="2"/>
  <c r="P444" i="2"/>
  <c r="O444" i="2"/>
  <c r="N444" i="2"/>
  <c r="M444" i="2"/>
  <c r="L444" i="2"/>
  <c r="K444" i="2"/>
  <c r="J444" i="2"/>
  <c r="I444" i="2"/>
  <c r="H444" i="2"/>
  <c r="G444" i="2"/>
  <c r="F444" i="2"/>
  <c r="E444" i="2"/>
  <c r="D444" i="2"/>
  <c r="C444" i="2"/>
  <c r="B444" i="2"/>
  <c r="AL443" i="2"/>
  <c r="AK443" i="2"/>
  <c r="AJ443" i="2"/>
  <c r="AI443" i="2"/>
  <c r="AH443" i="2"/>
  <c r="AG443" i="2"/>
  <c r="AF443" i="2"/>
  <c r="AE443" i="2"/>
  <c r="AD443" i="2"/>
  <c r="AC443" i="2"/>
  <c r="AB443" i="2"/>
  <c r="AA443" i="2"/>
  <c r="Z443" i="2"/>
  <c r="Y443" i="2"/>
  <c r="X443" i="2"/>
  <c r="W443" i="2"/>
  <c r="V443" i="2"/>
  <c r="U443" i="2"/>
  <c r="T443" i="2"/>
  <c r="S443" i="2"/>
  <c r="R443" i="2"/>
  <c r="Q443" i="2"/>
  <c r="P443" i="2"/>
  <c r="O443" i="2"/>
  <c r="N443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AL442" i="2"/>
  <c r="AK442" i="2"/>
  <c r="AJ442" i="2"/>
  <c r="AI442" i="2"/>
  <c r="AH442" i="2"/>
  <c r="AG442" i="2"/>
  <c r="AF442" i="2"/>
  <c r="AE442" i="2"/>
  <c r="AD442" i="2"/>
  <c r="AC442" i="2"/>
  <c r="AB442" i="2"/>
  <c r="AA442" i="2"/>
  <c r="Z442" i="2"/>
  <c r="Y442" i="2"/>
  <c r="X442" i="2"/>
  <c r="W442" i="2"/>
  <c r="V442" i="2"/>
  <c r="U442" i="2"/>
  <c r="T442" i="2"/>
  <c r="S442" i="2"/>
  <c r="R442" i="2"/>
  <c r="Q442" i="2"/>
  <c r="P442" i="2"/>
  <c r="O442" i="2"/>
  <c r="N442" i="2"/>
  <c r="M442" i="2"/>
  <c r="L442" i="2"/>
  <c r="K442" i="2"/>
  <c r="J442" i="2"/>
  <c r="I442" i="2"/>
  <c r="H442" i="2"/>
  <c r="G442" i="2"/>
  <c r="F442" i="2"/>
  <c r="E442" i="2"/>
  <c r="D442" i="2"/>
  <c r="C442" i="2"/>
  <c r="B442" i="2"/>
  <c r="AL441" i="2"/>
  <c r="AK441" i="2"/>
  <c r="AJ441" i="2"/>
  <c r="AI441" i="2"/>
  <c r="AH441" i="2"/>
  <c r="AG441" i="2"/>
  <c r="AF441" i="2"/>
  <c r="AE441" i="2"/>
  <c r="AD441" i="2"/>
  <c r="AC441" i="2"/>
  <c r="AB441" i="2"/>
  <c r="AA441" i="2"/>
  <c r="Z441" i="2"/>
  <c r="Y441" i="2"/>
  <c r="X441" i="2"/>
  <c r="W441" i="2"/>
  <c r="V441" i="2"/>
  <c r="U441" i="2"/>
  <c r="T441" i="2"/>
  <c r="S441" i="2"/>
  <c r="R441" i="2"/>
  <c r="Q441" i="2"/>
  <c r="P441" i="2"/>
  <c r="O441" i="2"/>
  <c r="N441" i="2"/>
  <c r="M441" i="2"/>
  <c r="L441" i="2"/>
  <c r="K441" i="2"/>
  <c r="J441" i="2"/>
  <c r="I441" i="2"/>
  <c r="H441" i="2"/>
  <c r="G441" i="2"/>
  <c r="F441" i="2"/>
  <c r="E441" i="2"/>
  <c r="D441" i="2"/>
  <c r="C441" i="2"/>
  <c r="B441" i="2"/>
  <c r="AL440" i="2"/>
  <c r="AK440" i="2"/>
  <c r="AJ440" i="2"/>
  <c r="AI440" i="2"/>
  <c r="AH440" i="2"/>
  <c r="AG440" i="2"/>
  <c r="AF440" i="2"/>
  <c r="AE440" i="2"/>
  <c r="AD440" i="2"/>
  <c r="AC440" i="2"/>
  <c r="AB440" i="2"/>
  <c r="AA440" i="2"/>
  <c r="Z440" i="2"/>
  <c r="Y440" i="2"/>
  <c r="X440" i="2"/>
  <c r="W440" i="2"/>
  <c r="V440" i="2"/>
  <c r="U440" i="2"/>
  <c r="T440" i="2"/>
  <c r="S440" i="2"/>
  <c r="R440" i="2"/>
  <c r="Q440" i="2"/>
  <c r="P440" i="2"/>
  <c r="O440" i="2"/>
  <c r="N440" i="2"/>
  <c r="M440" i="2"/>
  <c r="L440" i="2"/>
  <c r="K440" i="2"/>
  <c r="J440" i="2"/>
  <c r="I440" i="2"/>
  <c r="H440" i="2"/>
  <c r="G440" i="2"/>
  <c r="F440" i="2"/>
  <c r="E440" i="2"/>
  <c r="D440" i="2"/>
  <c r="C440" i="2"/>
  <c r="B440" i="2"/>
  <c r="AL439" i="2"/>
  <c r="AK439" i="2"/>
  <c r="AJ439" i="2"/>
  <c r="AI439" i="2"/>
  <c r="AH439" i="2"/>
  <c r="AG439" i="2"/>
  <c r="AF439" i="2"/>
  <c r="AE439" i="2"/>
  <c r="AD439" i="2"/>
  <c r="AC439" i="2"/>
  <c r="AB439" i="2"/>
  <c r="AA439" i="2"/>
  <c r="Z439" i="2"/>
  <c r="Y439" i="2"/>
  <c r="X439" i="2"/>
  <c r="W439" i="2"/>
  <c r="V439" i="2"/>
  <c r="U439" i="2"/>
  <c r="T439" i="2"/>
  <c r="S439" i="2"/>
  <c r="R439" i="2"/>
  <c r="Q439" i="2"/>
  <c r="P439" i="2"/>
  <c r="O439" i="2"/>
  <c r="N439" i="2"/>
  <c r="M439" i="2"/>
  <c r="L439" i="2"/>
  <c r="K439" i="2"/>
  <c r="J439" i="2"/>
  <c r="I439" i="2"/>
  <c r="H439" i="2"/>
  <c r="G439" i="2"/>
  <c r="F439" i="2"/>
  <c r="E439" i="2"/>
  <c r="D439" i="2"/>
  <c r="C439" i="2"/>
  <c r="B439" i="2"/>
  <c r="AL438" i="2"/>
  <c r="AK438" i="2"/>
  <c r="AJ438" i="2"/>
  <c r="AI438" i="2"/>
  <c r="AH438" i="2"/>
  <c r="AG438" i="2"/>
  <c r="AF438" i="2"/>
  <c r="AE438" i="2"/>
  <c r="AD438" i="2"/>
  <c r="AC438" i="2"/>
  <c r="AB438" i="2"/>
  <c r="AA438" i="2"/>
  <c r="Z438" i="2"/>
  <c r="Y438" i="2"/>
  <c r="X438" i="2"/>
  <c r="W438" i="2"/>
  <c r="V438" i="2"/>
  <c r="U438" i="2"/>
  <c r="T438" i="2"/>
  <c r="S438" i="2"/>
  <c r="R438" i="2"/>
  <c r="Q438" i="2"/>
  <c r="P438" i="2"/>
  <c r="O438" i="2"/>
  <c r="N438" i="2"/>
  <c r="M438" i="2"/>
  <c r="L438" i="2"/>
  <c r="K438" i="2"/>
  <c r="J438" i="2"/>
  <c r="I438" i="2"/>
  <c r="H438" i="2"/>
  <c r="G438" i="2"/>
  <c r="F438" i="2"/>
  <c r="E438" i="2"/>
  <c r="D438" i="2"/>
  <c r="C438" i="2"/>
  <c r="B438" i="2"/>
  <c r="AL437" i="2"/>
  <c r="AK437" i="2"/>
  <c r="AJ437" i="2"/>
  <c r="AI437" i="2"/>
  <c r="AH437" i="2"/>
  <c r="AG437" i="2"/>
  <c r="AF437" i="2"/>
  <c r="AE437" i="2"/>
  <c r="AD437" i="2"/>
  <c r="AC437" i="2"/>
  <c r="AB437" i="2"/>
  <c r="AA437" i="2"/>
  <c r="Z437" i="2"/>
  <c r="Y437" i="2"/>
  <c r="X437" i="2"/>
  <c r="W437" i="2"/>
  <c r="V437" i="2"/>
  <c r="U437" i="2"/>
  <c r="T437" i="2"/>
  <c r="S437" i="2"/>
  <c r="R437" i="2"/>
  <c r="Q437" i="2"/>
  <c r="P437" i="2"/>
  <c r="O437" i="2"/>
  <c r="N437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AL436" i="2"/>
  <c r="AK436" i="2"/>
  <c r="AJ436" i="2"/>
  <c r="AI436" i="2"/>
  <c r="AH436" i="2"/>
  <c r="AG436" i="2"/>
  <c r="AF436" i="2"/>
  <c r="AE436" i="2"/>
  <c r="AD436" i="2"/>
  <c r="AC436" i="2"/>
  <c r="AB436" i="2"/>
  <c r="AA436" i="2"/>
  <c r="Z436" i="2"/>
  <c r="Y436" i="2"/>
  <c r="X436" i="2"/>
  <c r="W436" i="2"/>
  <c r="V436" i="2"/>
  <c r="U436" i="2"/>
  <c r="T436" i="2"/>
  <c r="S436" i="2"/>
  <c r="R436" i="2"/>
  <c r="Q436" i="2"/>
  <c r="P436" i="2"/>
  <c r="O436" i="2"/>
  <c r="N436" i="2"/>
  <c r="M436" i="2"/>
  <c r="L436" i="2"/>
  <c r="K436" i="2"/>
  <c r="J436" i="2"/>
  <c r="I436" i="2"/>
  <c r="H436" i="2"/>
  <c r="G436" i="2"/>
  <c r="F436" i="2"/>
  <c r="E436" i="2"/>
  <c r="D436" i="2"/>
  <c r="C436" i="2"/>
  <c r="B436" i="2"/>
  <c r="AL435" i="2"/>
  <c r="AK435" i="2"/>
  <c r="AJ435" i="2"/>
  <c r="AI435" i="2"/>
  <c r="AH435" i="2"/>
  <c r="AG435" i="2"/>
  <c r="AF435" i="2"/>
  <c r="AE435" i="2"/>
  <c r="AD435" i="2"/>
  <c r="AC435" i="2"/>
  <c r="AB435" i="2"/>
  <c r="AA435" i="2"/>
  <c r="Z435" i="2"/>
  <c r="Y435" i="2"/>
  <c r="X435" i="2"/>
  <c r="W435" i="2"/>
  <c r="V435" i="2"/>
  <c r="U435" i="2"/>
  <c r="T435" i="2"/>
  <c r="S435" i="2"/>
  <c r="R435" i="2"/>
  <c r="Q435" i="2"/>
  <c r="P435" i="2"/>
  <c r="O435" i="2"/>
  <c r="N435" i="2"/>
  <c r="M435" i="2"/>
  <c r="L435" i="2"/>
  <c r="K435" i="2"/>
  <c r="J435" i="2"/>
  <c r="I435" i="2"/>
  <c r="H435" i="2"/>
  <c r="G435" i="2"/>
  <c r="F435" i="2"/>
  <c r="E435" i="2"/>
  <c r="D435" i="2"/>
  <c r="C435" i="2"/>
  <c r="B435" i="2"/>
  <c r="AL434" i="2"/>
  <c r="AK434" i="2"/>
  <c r="AJ434" i="2"/>
  <c r="AI434" i="2"/>
  <c r="AH434" i="2"/>
  <c r="AG434" i="2"/>
  <c r="AF434" i="2"/>
  <c r="AE434" i="2"/>
  <c r="AD434" i="2"/>
  <c r="AC434" i="2"/>
  <c r="AB434" i="2"/>
  <c r="AA434" i="2"/>
  <c r="Z434" i="2"/>
  <c r="Y434" i="2"/>
  <c r="X434" i="2"/>
  <c r="W434" i="2"/>
  <c r="V434" i="2"/>
  <c r="U434" i="2"/>
  <c r="T434" i="2"/>
  <c r="S434" i="2"/>
  <c r="R434" i="2"/>
  <c r="Q434" i="2"/>
  <c r="P434" i="2"/>
  <c r="O434" i="2"/>
  <c r="N434" i="2"/>
  <c r="M434" i="2"/>
  <c r="L434" i="2"/>
  <c r="K434" i="2"/>
  <c r="J434" i="2"/>
  <c r="I434" i="2"/>
  <c r="H434" i="2"/>
  <c r="G434" i="2"/>
  <c r="F434" i="2"/>
  <c r="E434" i="2"/>
  <c r="D434" i="2"/>
  <c r="C434" i="2"/>
  <c r="B434" i="2"/>
  <c r="AL433" i="2"/>
  <c r="AK433" i="2"/>
  <c r="AJ433" i="2"/>
  <c r="AI433" i="2"/>
  <c r="AH433" i="2"/>
  <c r="AG433" i="2"/>
  <c r="AF433" i="2"/>
  <c r="AE433" i="2"/>
  <c r="AD433" i="2"/>
  <c r="AC433" i="2"/>
  <c r="AB433" i="2"/>
  <c r="AA433" i="2"/>
  <c r="Z433" i="2"/>
  <c r="Y433" i="2"/>
  <c r="X433" i="2"/>
  <c r="W433" i="2"/>
  <c r="V433" i="2"/>
  <c r="U433" i="2"/>
  <c r="T433" i="2"/>
  <c r="S433" i="2"/>
  <c r="R433" i="2"/>
  <c r="Q433" i="2"/>
  <c r="P433" i="2"/>
  <c r="O433" i="2"/>
  <c r="N433" i="2"/>
  <c r="M433" i="2"/>
  <c r="L433" i="2"/>
  <c r="K433" i="2"/>
  <c r="J433" i="2"/>
  <c r="I433" i="2"/>
  <c r="H433" i="2"/>
  <c r="G433" i="2"/>
  <c r="F433" i="2"/>
  <c r="E433" i="2"/>
  <c r="D433" i="2"/>
  <c r="C433" i="2"/>
  <c r="B433" i="2"/>
  <c r="AL432" i="2"/>
  <c r="AK432" i="2"/>
  <c r="AJ432" i="2"/>
  <c r="AI432" i="2"/>
  <c r="AH432" i="2"/>
  <c r="AG432" i="2"/>
  <c r="AF432" i="2"/>
  <c r="AE432" i="2"/>
  <c r="AD432" i="2"/>
  <c r="AC432" i="2"/>
  <c r="AB432" i="2"/>
  <c r="AA432" i="2"/>
  <c r="Z432" i="2"/>
  <c r="Y432" i="2"/>
  <c r="X432" i="2"/>
  <c r="W432" i="2"/>
  <c r="V432" i="2"/>
  <c r="U432" i="2"/>
  <c r="T432" i="2"/>
  <c r="S432" i="2"/>
  <c r="R432" i="2"/>
  <c r="Q432" i="2"/>
  <c r="P432" i="2"/>
  <c r="O432" i="2"/>
  <c r="N432" i="2"/>
  <c r="M432" i="2"/>
  <c r="L432" i="2"/>
  <c r="K432" i="2"/>
  <c r="J432" i="2"/>
  <c r="I432" i="2"/>
  <c r="H432" i="2"/>
  <c r="G432" i="2"/>
  <c r="F432" i="2"/>
  <c r="E432" i="2"/>
  <c r="D432" i="2"/>
  <c r="C432" i="2"/>
  <c r="B432" i="2"/>
  <c r="AL431" i="2"/>
  <c r="AK431" i="2"/>
  <c r="AJ431" i="2"/>
  <c r="AI431" i="2"/>
  <c r="AH431" i="2"/>
  <c r="AG431" i="2"/>
  <c r="AF431" i="2"/>
  <c r="AE431" i="2"/>
  <c r="AD431" i="2"/>
  <c r="AC431" i="2"/>
  <c r="AB431" i="2"/>
  <c r="AA431" i="2"/>
  <c r="Z431" i="2"/>
  <c r="Y431" i="2"/>
  <c r="X431" i="2"/>
  <c r="W431" i="2"/>
  <c r="V431" i="2"/>
  <c r="U431" i="2"/>
  <c r="T431" i="2"/>
  <c r="S431" i="2"/>
  <c r="R431" i="2"/>
  <c r="Q431" i="2"/>
  <c r="P431" i="2"/>
  <c r="O431" i="2"/>
  <c r="N431" i="2"/>
  <c r="M431" i="2"/>
  <c r="L431" i="2"/>
  <c r="K431" i="2"/>
  <c r="J431" i="2"/>
  <c r="I431" i="2"/>
  <c r="H431" i="2"/>
  <c r="G431" i="2"/>
  <c r="F431" i="2"/>
  <c r="E431" i="2"/>
  <c r="D431" i="2"/>
  <c r="C431" i="2"/>
  <c r="B431" i="2"/>
  <c r="AL430" i="2"/>
  <c r="AK430" i="2"/>
  <c r="AJ430" i="2"/>
  <c r="AI430" i="2"/>
  <c r="AH430" i="2"/>
  <c r="AG430" i="2"/>
  <c r="AF430" i="2"/>
  <c r="AE430" i="2"/>
  <c r="AD430" i="2"/>
  <c r="AC430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H430" i="2"/>
  <c r="G430" i="2"/>
  <c r="F430" i="2"/>
  <c r="E430" i="2"/>
  <c r="D430" i="2"/>
  <c r="C430" i="2"/>
  <c r="B430" i="2"/>
  <c r="AL429" i="2"/>
  <c r="AK429" i="2"/>
  <c r="AJ429" i="2"/>
  <c r="AI429" i="2"/>
  <c r="AH429" i="2"/>
  <c r="AG429" i="2"/>
  <c r="AF429" i="2"/>
  <c r="AE429" i="2"/>
  <c r="AD429" i="2"/>
  <c r="AC429" i="2"/>
  <c r="AB429" i="2"/>
  <c r="AA429" i="2"/>
  <c r="Z429" i="2"/>
  <c r="Y429" i="2"/>
  <c r="X429" i="2"/>
  <c r="W429" i="2"/>
  <c r="V429" i="2"/>
  <c r="U429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H429" i="2"/>
  <c r="G429" i="2"/>
  <c r="F429" i="2"/>
  <c r="E429" i="2"/>
  <c r="D429" i="2"/>
  <c r="C429" i="2"/>
  <c r="B429" i="2"/>
  <c r="AL428" i="2"/>
  <c r="AK428" i="2"/>
  <c r="AJ428" i="2"/>
  <c r="AI428" i="2"/>
  <c r="AH428" i="2"/>
  <c r="AG428" i="2"/>
  <c r="AF428" i="2"/>
  <c r="AE428" i="2"/>
  <c r="AD428" i="2"/>
  <c r="AC428" i="2"/>
  <c r="AB428" i="2"/>
  <c r="AA428" i="2"/>
  <c r="Z428" i="2"/>
  <c r="Y428" i="2"/>
  <c r="X428" i="2"/>
  <c r="W428" i="2"/>
  <c r="V428" i="2"/>
  <c r="U428" i="2"/>
  <c r="T428" i="2"/>
  <c r="S428" i="2"/>
  <c r="R428" i="2"/>
  <c r="Q428" i="2"/>
  <c r="P428" i="2"/>
  <c r="O428" i="2"/>
  <c r="N428" i="2"/>
  <c r="M428" i="2"/>
  <c r="L428" i="2"/>
  <c r="K428" i="2"/>
  <c r="J428" i="2"/>
  <c r="I428" i="2"/>
  <c r="H428" i="2"/>
  <c r="G428" i="2"/>
  <c r="F428" i="2"/>
  <c r="E428" i="2"/>
  <c r="D428" i="2"/>
  <c r="C428" i="2"/>
  <c r="B428" i="2"/>
  <c r="AL427" i="2"/>
  <c r="AK427" i="2"/>
  <c r="AJ427" i="2"/>
  <c r="AI427" i="2"/>
  <c r="AH427" i="2"/>
  <c r="AG427" i="2"/>
  <c r="AF427" i="2"/>
  <c r="AE427" i="2"/>
  <c r="AD427" i="2"/>
  <c r="AC427" i="2"/>
  <c r="AB427" i="2"/>
  <c r="AA427" i="2"/>
  <c r="Z427" i="2"/>
  <c r="Y427" i="2"/>
  <c r="X427" i="2"/>
  <c r="W427" i="2"/>
  <c r="V427" i="2"/>
  <c r="U427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H427" i="2"/>
  <c r="G427" i="2"/>
  <c r="F427" i="2"/>
  <c r="E427" i="2"/>
  <c r="D427" i="2"/>
  <c r="C427" i="2"/>
  <c r="B427" i="2"/>
  <c r="AL426" i="2"/>
  <c r="AK426" i="2"/>
  <c r="AJ426" i="2"/>
  <c r="AI426" i="2"/>
  <c r="AH426" i="2"/>
  <c r="AG426" i="2"/>
  <c r="AF426" i="2"/>
  <c r="AE426" i="2"/>
  <c r="AD426" i="2"/>
  <c r="AC426" i="2"/>
  <c r="AB426" i="2"/>
  <c r="AA426" i="2"/>
  <c r="Z426" i="2"/>
  <c r="Y426" i="2"/>
  <c r="X426" i="2"/>
  <c r="W426" i="2"/>
  <c r="V426" i="2"/>
  <c r="U426" i="2"/>
  <c r="T426" i="2"/>
  <c r="S426" i="2"/>
  <c r="R426" i="2"/>
  <c r="Q426" i="2"/>
  <c r="P426" i="2"/>
  <c r="O426" i="2"/>
  <c r="N426" i="2"/>
  <c r="M426" i="2"/>
  <c r="L426" i="2"/>
  <c r="K426" i="2"/>
  <c r="J426" i="2"/>
  <c r="I426" i="2"/>
  <c r="H426" i="2"/>
  <c r="G426" i="2"/>
  <c r="F426" i="2"/>
  <c r="E426" i="2"/>
  <c r="D426" i="2"/>
  <c r="C426" i="2"/>
  <c r="B426" i="2"/>
  <c r="AL425" i="2"/>
  <c r="AK425" i="2"/>
  <c r="AJ425" i="2"/>
  <c r="AI425" i="2"/>
  <c r="AH425" i="2"/>
  <c r="AG425" i="2"/>
  <c r="AF425" i="2"/>
  <c r="AE425" i="2"/>
  <c r="AD425" i="2"/>
  <c r="AC425" i="2"/>
  <c r="AB425" i="2"/>
  <c r="AA425" i="2"/>
  <c r="Z425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H425" i="2"/>
  <c r="G425" i="2"/>
  <c r="F425" i="2"/>
  <c r="E425" i="2"/>
  <c r="D425" i="2"/>
  <c r="C425" i="2"/>
  <c r="B425" i="2"/>
  <c r="AL424" i="2"/>
  <c r="AK424" i="2"/>
  <c r="AJ424" i="2"/>
  <c r="AI424" i="2"/>
  <c r="AH424" i="2"/>
  <c r="AG424" i="2"/>
  <c r="AF424" i="2"/>
  <c r="AE424" i="2"/>
  <c r="AD424" i="2"/>
  <c r="AC424" i="2"/>
  <c r="AB424" i="2"/>
  <c r="AA424" i="2"/>
  <c r="Z424" i="2"/>
  <c r="Y424" i="2"/>
  <c r="X424" i="2"/>
  <c r="W424" i="2"/>
  <c r="V424" i="2"/>
  <c r="U424" i="2"/>
  <c r="T424" i="2"/>
  <c r="S424" i="2"/>
  <c r="R424" i="2"/>
  <c r="Q424" i="2"/>
  <c r="P424" i="2"/>
  <c r="O424" i="2"/>
  <c r="N424" i="2"/>
  <c r="M424" i="2"/>
  <c r="L424" i="2"/>
  <c r="K424" i="2"/>
  <c r="J424" i="2"/>
  <c r="I424" i="2"/>
  <c r="H424" i="2"/>
  <c r="G424" i="2"/>
  <c r="F424" i="2"/>
  <c r="E424" i="2"/>
  <c r="D424" i="2"/>
  <c r="C424" i="2"/>
  <c r="B424" i="2"/>
  <c r="AL423" i="2"/>
  <c r="AK423" i="2"/>
  <c r="AJ423" i="2"/>
  <c r="AI423" i="2"/>
  <c r="AH423" i="2"/>
  <c r="AG423" i="2"/>
  <c r="AF423" i="2"/>
  <c r="AE423" i="2"/>
  <c r="AD423" i="2"/>
  <c r="AC423" i="2"/>
  <c r="AB423" i="2"/>
  <c r="AA423" i="2"/>
  <c r="Z423" i="2"/>
  <c r="Y423" i="2"/>
  <c r="X423" i="2"/>
  <c r="W423" i="2"/>
  <c r="V423" i="2"/>
  <c r="U423" i="2"/>
  <c r="T423" i="2"/>
  <c r="S423" i="2"/>
  <c r="R423" i="2"/>
  <c r="Q423" i="2"/>
  <c r="P423" i="2"/>
  <c r="O423" i="2"/>
  <c r="N423" i="2"/>
  <c r="M423" i="2"/>
  <c r="L423" i="2"/>
  <c r="K423" i="2"/>
  <c r="J423" i="2"/>
  <c r="I423" i="2"/>
  <c r="H423" i="2"/>
  <c r="G423" i="2"/>
  <c r="F423" i="2"/>
  <c r="E423" i="2"/>
  <c r="D423" i="2"/>
  <c r="C423" i="2"/>
  <c r="B423" i="2"/>
  <c r="AL422" i="2"/>
  <c r="AK422" i="2"/>
  <c r="AJ422" i="2"/>
  <c r="AI422" i="2"/>
  <c r="AH422" i="2"/>
  <c r="AG422" i="2"/>
  <c r="AF422" i="2"/>
  <c r="AE422" i="2"/>
  <c r="AD422" i="2"/>
  <c r="AC422" i="2"/>
  <c r="AB422" i="2"/>
  <c r="AA422" i="2"/>
  <c r="Z422" i="2"/>
  <c r="Y422" i="2"/>
  <c r="X422" i="2"/>
  <c r="W422" i="2"/>
  <c r="V422" i="2"/>
  <c r="U422" i="2"/>
  <c r="T422" i="2"/>
  <c r="S422" i="2"/>
  <c r="R422" i="2"/>
  <c r="Q422" i="2"/>
  <c r="P422" i="2"/>
  <c r="O422" i="2"/>
  <c r="N422" i="2"/>
  <c r="M422" i="2"/>
  <c r="L422" i="2"/>
  <c r="K422" i="2"/>
  <c r="J422" i="2"/>
  <c r="I422" i="2"/>
  <c r="H422" i="2"/>
  <c r="G422" i="2"/>
  <c r="F422" i="2"/>
  <c r="E422" i="2"/>
  <c r="D422" i="2"/>
  <c r="C422" i="2"/>
  <c r="B422" i="2"/>
  <c r="AL421" i="2"/>
  <c r="AK421" i="2"/>
  <c r="AJ421" i="2"/>
  <c r="AI421" i="2"/>
  <c r="AH421" i="2"/>
  <c r="AG421" i="2"/>
  <c r="AF421" i="2"/>
  <c r="AE421" i="2"/>
  <c r="AD421" i="2"/>
  <c r="AC421" i="2"/>
  <c r="AB421" i="2"/>
  <c r="AA421" i="2"/>
  <c r="Z421" i="2"/>
  <c r="Y421" i="2"/>
  <c r="X421" i="2"/>
  <c r="W421" i="2"/>
  <c r="V421" i="2"/>
  <c r="U421" i="2"/>
  <c r="T421" i="2"/>
  <c r="S421" i="2"/>
  <c r="R421" i="2"/>
  <c r="Q421" i="2"/>
  <c r="P421" i="2"/>
  <c r="O421" i="2"/>
  <c r="N421" i="2"/>
  <c r="M421" i="2"/>
  <c r="L421" i="2"/>
  <c r="K421" i="2"/>
  <c r="J421" i="2"/>
  <c r="I421" i="2"/>
  <c r="H421" i="2"/>
  <c r="G421" i="2"/>
  <c r="F421" i="2"/>
  <c r="E421" i="2"/>
  <c r="D421" i="2"/>
  <c r="C421" i="2"/>
  <c r="B421" i="2"/>
  <c r="AL420" i="2"/>
  <c r="AK420" i="2"/>
  <c r="AJ420" i="2"/>
  <c r="AI420" i="2"/>
  <c r="AH420" i="2"/>
  <c r="AG420" i="2"/>
  <c r="AF420" i="2"/>
  <c r="AE420" i="2"/>
  <c r="AD420" i="2"/>
  <c r="AC420" i="2"/>
  <c r="AB420" i="2"/>
  <c r="AA420" i="2"/>
  <c r="Z420" i="2"/>
  <c r="Y420" i="2"/>
  <c r="X420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H420" i="2"/>
  <c r="G420" i="2"/>
  <c r="F420" i="2"/>
  <c r="E420" i="2"/>
  <c r="D420" i="2"/>
  <c r="C420" i="2"/>
  <c r="B420" i="2"/>
  <c r="AL419" i="2"/>
  <c r="AK419" i="2"/>
  <c r="AJ419" i="2"/>
  <c r="AI419" i="2"/>
  <c r="AH419" i="2"/>
  <c r="AG419" i="2"/>
  <c r="AF419" i="2"/>
  <c r="AE419" i="2"/>
  <c r="AD419" i="2"/>
  <c r="AC419" i="2"/>
  <c r="AB419" i="2"/>
  <c r="AA419" i="2"/>
  <c r="Z419" i="2"/>
  <c r="Y419" i="2"/>
  <c r="X419" i="2"/>
  <c r="W419" i="2"/>
  <c r="V419" i="2"/>
  <c r="U419" i="2"/>
  <c r="T419" i="2"/>
  <c r="S419" i="2"/>
  <c r="R419" i="2"/>
  <c r="Q419" i="2"/>
  <c r="P419" i="2"/>
  <c r="O419" i="2"/>
  <c r="N419" i="2"/>
  <c r="M419" i="2"/>
  <c r="L419" i="2"/>
  <c r="K419" i="2"/>
  <c r="J419" i="2"/>
  <c r="I419" i="2"/>
  <c r="H419" i="2"/>
  <c r="G419" i="2"/>
  <c r="F419" i="2"/>
  <c r="E419" i="2"/>
  <c r="D419" i="2"/>
  <c r="C419" i="2"/>
  <c r="B419" i="2"/>
  <c r="AL418" i="2"/>
  <c r="AK418" i="2"/>
  <c r="AJ418" i="2"/>
  <c r="AI418" i="2"/>
  <c r="AH418" i="2"/>
  <c r="AG418" i="2"/>
  <c r="AF418" i="2"/>
  <c r="AE418" i="2"/>
  <c r="AD418" i="2"/>
  <c r="AC418" i="2"/>
  <c r="AB418" i="2"/>
  <c r="AA418" i="2"/>
  <c r="Z418" i="2"/>
  <c r="Y418" i="2"/>
  <c r="X418" i="2"/>
  <c r="W418" i="2"/>
  <c r="V418" i="2"/>
  <c r="U418" i="2"/>
  <c r="T418" i="2"/>
  <c r="S418" i="2"/>
  <c r="R418" i="2"/>
  <c r="Q418" i="2"/>
  <c r="P418" i="2"/>
  <c r="O418" i="2"/>
  <c r="N418" i="2"/>
  <c r="M418" i="2"/>
  <c r="L418" i="2"/>
  <c r="K418" i="2"/>
  <c r="J418" i="2"/>
  <c r="I418" i="2"/>
  <c r="H418" i="2"/>
  <c r="G418" i="2"/>
  <c r="F418" i="2"/>
  <c r="E418" i="2"/>
  <c r="D418" i="2"/>
  <c r="C418" i="2"/>
  <c r="B418" i="2"/>
  <c r="AL417" i="2"/>
  <c r="AK417" i="2"/>
  <c r="AJ417" i="2"/>
  <c r="AI417" i="2"/>
  <c r="AH417" i="2"/>
  <c r="AG417" i="2"/>
  <c r="AF417" i="2"/>
  <c r="AE417" i="2"/>
  <c r="AD417" i="2"/>
  <c r="AC417" i="2"/>
  <c r="AB417" i="2"/>
  <c r="AA417" i="2"/>
  <c r="Z417" i="2"/>
  <c r="Y417" i="2"/>
  <c r="X417" i="2"/>
  <c r="W417" i="2"/>
  <c r="V417" i="2"/>
  <c r="U417" i="2"/>
  <c r="T417" i="2"/>
  <c r="S417" i="2"/>
  <c r="R417" i="2"/>
  <c r="Q417" i="2"/>
  <c r="P417" i="2"/>
  <c r="O417" i="2"/>
  <c r="N417" i="2"/>
  <c r="M417" i="2"/>
  <c r="L417" i="2"/>
  <c r="K417" i="2"/>
  <c r="J417" i="2"/>
  <c r="I417" i="2"/>
  <c r="H417" i="2"/>
  <c r="G417" i="2"/>
  <c r="F417" i="2"/>
  <c r="E417" i="2"/>
  <c r="D417" i="2"/>
  <c r="C417" i="2"/>
  <c r="B417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57" i="2"/>
  <c r="AK657" i="2"/>
  <c r="AJ657" i="2"/>
  <c r="AI657" i="2"/>
  <c r="AH657" i="2"/>
  <c r="AG657" i="2"/>
  <c r="AF657" i="2"/>
  <c r="AE657" i="2"/>
  <c r="AD657" i="2"/>
  <c r="AC657" i="2"/>
  <c r="AB657" i="2"/>
  <c r="AA657" i="2"/>
  <c r="Z657" i="2"/>
  <c r="Y657" i="2"/>
  <c r="X657" i="2"/>
  <c r="W657" i="2"/>
  <c r="V657" i="2"/>
  <c r="U657" i="2"/>
  <c r="T657" i="2"/>
  <c r="S657" i="2"/>
  <c r="R657" i="2"/>
  <c r="Q657" i="2"/>
  <c r="P657" i="2"/>
  <c r="O657" i="2"/>
  <c r="N657" i="2"/>
  <c r="M657" i="2"/>
  <c r="L657" i="2"/>
  <c r="K657" i="2"/>
  <c r="J657" i="2"/>
  <c r="I657" i="2"/>
  <c r="H657" i="2"/>
  <c r="G657" i="2"/>
  <c r="F657" i="2"/>
  <c r="E657" i="2"/>
  <c r="D657" i="2"/>
  <c r="C657" i="2"/>
  <c r="B657" i="2"/>
  <c r="AL656" i="2"/>
  <c r="AK656" i="2"/>
  <c r="AJ656" i="2"/>
  <c r="AI656" i="2"/>
  <c r="AH656" i="2"/>
  <c r="AG656" i="2"/>
  <c r="AF656" i="2"/>
  <c r="AE656" i="2"/>
  <c r="AD656" i="2"/>
  <c r="AC656" i="2"/>
  <c r="AB656" i="2"/>
  <c r="AA656" i="2"/>
  <c r="Z656" i="2"/>
  <c r="Y656" i="2"/>
  <c r="X656" i="2"/>
  <c r="W656" i="2"/>
  <c r="V656" i="2"/>
  <c r="U656" i="2"/>
  <c r="T656" i="2"/>
  <c r="S656" i="2"/>
  <c r="R656" i="2"/>
  <c r="Q656" i="2"/>
  <c r="P656" i="2"/>
  <c r="O656" i="2"/>
  <c r="N656" i="2"/>
  <c r="M656" i="2"/>
  <c r="L656" i="2"/>
  <c r="K656" i="2"/>
  <c r="J656" i="2"/>
  <c r="I656" i="2"/>
  <c r="H656" i="2"/>
  <c r="G656" i="2"/>
  <c r="F656" i="2"/>
  <c r="E656" i="2"/>
  <c r="D656" i="2"/>
  <c r="C656" i="2"/>
  <c r="B656" i="2"/>
  <c r="AL655" i="2"/>
  <c r="AK655" i="2"/>
  <c r="AJ655" i="2"/>
  <c r="AI655" i="2"/>
  <c r="AH655" i="2"/>
  <c r="AG655" i="2"/>
  <c r="AF655" i="2"/>
  <c r="AE655" i="2"/>
  <c r="AD655" i="2"/>
  <c r="AC655" i="2"/>
  <c r="AB655" i="2"/>
  <c r="AA655" i="2"/>
  <c r="Z655" i="2"/>
  <c r="Y655" i="2"/>
  <c r="X655" i="2"/>
  <c r="W655" i="2"/>
  <c r="V655" i="2"/>
  <c r="U655" i="2"/>
  <c r="T655" i="2"/>
  <c r="S655" i="2"/>
  <c r="R655" i="2"/>
  <c r="Q655" i="2"/>
  <c r="P655" i="2"/>
  <c r="O655" i="2"/>
  <c r="N655" i="2"/>
  <c r="M655" i="2"/>
  <c r="L655" i="2"/>
  <c r="K655" i="2"/>
  <c r="J655" i="2"/>
  <c r="I655" i="2"/>
  <c r="H655" i="2"/>
  <c r="G655" i="2"/>
  <c r="F655" i="2"/>
  <c r="E655" i="2"/>
  <c r="D655" i="2"/>
  <c r="C655" i="2"/>
  <c r="B655" i="2"/>
  <c r="AL653" i="2"/>
  <c r="AK653" i="2"/>
  <c r="AJ653" i="2"/>
  <c r="AI653" i="2"/>
  <c r="AH653" i="2"/>
  <c r="AG653" i="2"/>
  <c r="AF653" i="2"/>
  <c r="AE653" i="2"/>
  <c r="AD653" i="2"/>
  <c r="AC653" i="2"/>
  <c r="AB653" i="2"/>
  <c r="AA653" i="2"/>
  <c r="Z653" i="2"/>
  <c r="Y653" i="2"/>
  <c r="X653" i="2"/>
  <c r="W653" i="2"/>
  <c r="V653" i="2"/>
  <c r="U653" i="2"/>
  <c r="T653" i="2"/>
  <c r="S653" i="2"/>
  <c r="R653" i="2"/>
  <c r="Q653" i="2"/>
  <c r="P653" i="2"/>
  <c r="O653" i="2"/>
  <c r="N653" i="2"/>
  <c r="M653" i="2"/>
  <c r="L653" i="2"/>
  <c r="K653" i="2"/>
  <c r="J653" i="2"/>
  <c r="I653" i="2"/>
  <c r="H653" i="2"/>
  <c r="G653" i="2"/>
  <c r="F653" i="2"/>
  <c r="E653" i="2"/>
  <c r="D653" i="2"/>
  <c r="C653" i="2"/>
  <c r="B653" i="2"/>
  <c r="AL652" i="2"/>
  <c r="AK652" i="2"/>
  <c r="AJ652" i="2"/>
  <c r="AI652" i="2"/>
  <c r="AH652" i="2"/>
  <c r="AG652" i="2"/>
  <c r="AF652" i="2"/>
  <c r="AE652" i="2"/>
  <c r="AD652" i="2"/>
  <c r="AC652" i="2"/>
  <c r="AB652" i="2"/>
  <c r="AA652" i="2"/>
  <c r="Z652" i="2"/>
  <c r="Y652" i="2"/>
  <c r="X652" i="2"/>
  <c r="W652" i="2"/>
  <c r="V652" i="2"/>
  <c r="U652" i="2"/>
  <c r="T652" i="2"/>
  <c r="S652" i="2"/>
  <c r="R652" i="2"/>
  <c r="Q652" i="2"/>
  <c r="P652" i="2"/>
  <c r="O652" i="2"/>
  <c r="N652" i="2"/>
  <c r="M652" i="2"/>
  <c r="L652" i="2"/>
  <c r="K652" i="2"/>
  <c r="J652" i="2"/>
  <c r="I652" i="2"/>
  <c r="H652" i="2"/>
  <c r="G652" i="2"/>
  <c r="F652" i="2"/>
  <c r="E652" i="2"/>
  <c r="D652" i="2"/>
  <c r="C652" i="2"/>
  <c r="B652" i="2"/>
  <c r="AL651" i="2"/>
  <c r="AK651" i="2"/>
  <c r="AJ651" i="2"/>
  <c r="AI651" i="2"/>
  <c r="AH651" i="2"/>
  <c r="AG651" i="2"/>
  <c r="AF651" i="2"/>
  <c r="AE651" i="2"/>
  <c r="AD651" i="2"/>
  <c r="AC651" i="2"/>
  <c r="AB651" i="2"/>
  <c r="AA651" i="2"/>
  <c r="Z651" i="2"/>
  <c r="Y651" i="2"/>
  <c r="X651" i="2"/>
  <c r="W651" i="2"/>
  <c r="V651" i="2"/>
  <c r="U651" i="2"/>
  <c r="T651" i="2"/>
  <c r="S651" i="2"/>
  <c r="R651" i="2"/>
  <c r="Q651" i="2"/>
  <c r="P651" i="2"/>
  <c r="O651" i="2"/>
  <c r="N651" i="2"/>
  <c r="M651" i="2"/>
  <c r="L651" i="2"/>
  <c r="K651" i="2"/>
  <c r="J651" i="2"/>
  <c r="I651" i="2"/>
  <c r="H651" i="2"/>
  <c r="G651" i="2"/>
  <c r="F651" i="2"/>
  <c r="E651" i="2"/>
  <c r="D651" i="2"/>
  <c r="C651" i="2"/>
  <c r="B651" i="2"/>
  <c r="AL650" i="2"/>
  <c r="AK650" i="2"/>
  <c r="AJ650" i="2"/>
  <c r="AI650" i="2"/>
  <c r="AH650" i="2"/>
  <c r="AG650" i="2"/>
  <c r="AF650" i="2"/>
  <c r="AE650" i="2"/>
  <c r="AD650" i="2"/>
  <c r="AC650" i="2"/>
  <c r="AB650" i="2"/>
  <c r="AA650" i="2"/>
  <c r="Z650" i="2"/>
  <c r="Y650" i="2"/>
  <c r="X650" i="2"/>
  <c r="W650" i="2"/>
  <c r="V650" i="2"/>
  <c r="U650" i="2"/>
  <c r="T650" i="2"/>
  <c r="S650" i="2"/>
  <c r="R650" i="2"/>
  <c r="Q650" i="2"/>
  <c r="P650" i="2"/>
  <c r="O650" i="2"/>
  <c r="N650" i="2"/>
  <c r="M650" i="2"/>
  <c r="L650" i="2"/>
  <c r="K650" i="2"/>
  <c r="J650" i="2"/>
  <c r="I650" i="2"/>
  <c r="H650" i="2"/>
  <c r="G650" i="2"/>
  <c r="F650" i="2"/>
  <c r="E650" i="2"/>
  <c r="D650" i="2"/>
  <c r="C650" i="2"/>
  <c r="B650" i="2"/>
  <c r="AL649" i="2"/>
  <c r="AK649" i="2"/>
  <c r="AJ649" i="2"/>
  <c r="AI649" i="2"/>
  <c r="AH649" i="2"/>
  <c r="AG649" i="2"/>
  <c r="AF649" i="2"/>
  <c r="AE649" i="2"/>
  <c r="AD649" i="2"/>
  <c r="AC649" i="2"/>
  <c r="AB649" i="2"/>
  <c r="AA649" i="2"/>
  <c r="Z649" i="2"/>
  <c r="Y649" i="2"/>
  <c r="X649" i="2"/>
  <c r="W649" i="2"/>
  <c r="V649" i="2"/>
  <c r="U649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H649" i="2"/>
  <c r="G649" i="2"/>
  <c r="F649" i="2"/>
  <c r="E649" i="2"/>
  <c r="D649" i="2"/>
  <c r="C649" i="2"/>
  <c r="B649" i="2"/>
  <c r="AL647" i="2"/>
  <c r="AK647" i="2"/>
  <c r="AJ647" i="2"/>
  <c r="AI647" i="2"/>
  <c r="AH647" i="2"/>
  <c r="AG647" i="2"/>
  <c r="AF647" i="2"/>
  <c r="AE647" i="2"/>
  <c r="AD647" i="2"/>
  <c r="AC647" i="2"/>
  <c r="AB647" i="2"/>
  <c r="AA647" i="2"/>
  <c r="Z647" i="2"/>
  <c r="Y647" i="2"/>
  <c r="X647" i="2"/>
  <c r="W647" i="2"/>
  <c r="V647" i="2"/>
  <c r="U647" i="2"/>
  <c r="T647" i="2"/>
  <c r="S647" i="2"/>
  <c r="R647" i="2"/>
  <c r="Q647" i="2"/>
  <c r="P647" i="2"/>
  <c r="O647" i="2"/>
  <c r="N647" i="2"/>
  <c r="M647" i="2"/>
  <c r="L647" i="2"/>
  <c r="K647" i="2"/>
  <c r="J647" i="2"/>
  <c r="I647" i="2"/>
  <c r="H647" i="2"/>
  <c r="G647" i="2"/>
  <c r="F647" i="2"/>
  <c r="E647" i="2"/>
  <c r="D647" i="2"/>
  <c r="C647" i="2"/>
  <c r="B647" i="2"/>
  <c r="AL646" i="2"/>
  <c r="AK646" i="2"/>
  <c r="AJ646" i="2"/>
  <c r="AI646" i="2"/>
  <c r="AH646" i="2"/>
  <c r="AG646" i="2"/>
  <c r="AF646" i="2"/>
  <c r="AE646" i="2"/>
  <c r="AD646" i="2"/>
  <c r="AC646" i="2"/>
  <c r="AB646" i="2"/>
  <c r="AA646" i="2"/>
  <c r="Z646" i="2"/>
  <c r="Y646" i="2"/>
  <c r="X646" i="2"/>
  <c r="W646" i="2"/>
  <c r="V646" i="2"/>
  <c r="U646" i="2"/>
  <c r="T646" i="2"/>
  <c r="S646" i="2"/>
  <c r="R646" i="2"/>
  <c r="Q646" i="2"/>
  <c r="P646" i="2"/>
  <c r="O646" i="2"/>
  <c r="N646" i="2"/>
  <c r="M646" i="2"/>
  <c r="L646" i="2"/>
  <c r="K646" i="2"/>
  <c r="J646" i="2"/>
  <c r="I646" i="2"/>
  <c r="H646" i="2"/>
  <c r="G646" i="2"/>
  <c r="F646" i="2"/>
  <c r="E646" i="2"/>
  <c r="D646" i="2"/>
  <c r="C646" i="2"/>
  <c r="B646" i="2"/>
  <c r="AL644" i="2"/>
  <c r="AK644" i="2"/>
  <c r="AJ644" i="2"/>
  <c r="AI644" i="2"/>
  <c r="AH644" i="2"/>
  <c r="AG644" i="2"/>
  <c r="AF644" i="2"/>
  <c r="AE644" i="2"/>
  <c r="AD644" i="2"/>
  <c r="AC644" i="2"/>
  <c r="AB644" i="2"/>
  <c r="AA644" i="2"/>
  <c r="Z644" i="2"/>
  <c r="Y644" i="2"/>
  <c r="X644" i="2"/>
  <c r="W644" i="2"/>
  <c r="V644" i="2"/>
  <c r="U644" i="2"/>
  <c r="T644" i="2"/>
  <c r="S644" i="2"/>
  <c r="R644" i="2"/>
  <c r="Q644" i="2"/>
  <c r="P644" i="2"/>
  <c r="O644" i="2"/>
  <c r="N644" i="2"/>
  <c r="M644" i="2"/>
  <c r="L644" i="2"/>
  <c r="K644" i="2"/>
  <c r="J644" i="2"/>
  <c r="I644" i="2"/>
  <c r="H644" i="2"/>
  <c r="G644" i="2"/>
  <c r="F644" i="2"/>
  <c r="E644" i="2"/>
  <c r="D644" i="2"/>
  <c r="C644" i="2"/>
  <c r="B644" i="2"/>
  <c r="AL643" i="2"/>
  <c r="AK643" i="2"/>
  <c r="AJ643" i="2"/>
  <c r="AI643" i="2"/>
  <c r="AH643" i="2"/>
  <c r="AG643" i="2"/>
  <c r="AF643" i="2"/>
  <c r="AE643" i="2"/>
  <c r="AD643" i="2"/>
  <c r="AC643" i="2"/>
  <c r="AB643" i="2"/>
  <c r="AA643" i="2"/>
  <c r="Z643" i="2"/>
  <c r="Y643" i="2"/>
  <c r="X643" i="2"/>
  <c r="W643" i="2"/>
  <c r="V643" i="2"/>
  <c r="U643" i="2"/>
  <c r="T643" i="2"/>
  <c r="S643" i="2"/>
  <c r="R643" i="2"/>
  <c r="Q643" i="2"/>
  <c r="P643" i="2"/>
  <c r="O643" i="2"/>
  <c r="N643" i="2"/>
  <c r="M643" i="2"/>
  <c r="L643" i="2"/>
  <c r="K643" i="2"/>
  <c r="J643" i="2"/>
  <c r="I643" i="2"/>
  <c r="H643" i="2"/>
  <c r="G643" i="2"/>
  <c r="F643" i="2"/>
  <c r="E643" i="2"/>
  <c r="D643" i="2"/>
  <c r="C643" i="2"/>
  <c r="B643" i="2"/>
  <c r="AL642" i="2"/>
  <c r="AK642" i="2"/>
  <c r="AJ642" i="2"/>
  <c r="AI642" i="2"/>
  <c r="AH642" i="2"/>
  <c r="AG642" i="2"/>
  <c r="AF642" i="2"/>
  <c r="AE642" i="2"/>
  <c r="AD642" i="2"/>
  <c r="AC642" i="2"/>
  <c r="AB642" i="2"/>
  <c r="AA642" i="2"/>
  <c r="Z642" i="2"/>
  <c r="Y642" i="2"/>
  <c r="X642" i="2"/>
  <c r="W642" i="2"/>
  <c r="V642" i="2"/>
  <c r="U642" i="2"/>
  <c r="T642" i="2"/>
  <c r="S642" i="2"/>
  <c r="R642" i="2"/>
  <c r="Q642" i="2"/>
  <c r="P642" i="2"/>
  <c r="O642" i="2"/>
  <c r="N642" i="2"/>
  <c r="M642" i="2"/>
  <c r="L642" i="2"/>
  <c r="K642" i="2"/>
  <c r="J642" i="2"/>
  <c r="I642" i="2"/>
  <c r="H642" i="2"/>
  <c r="G642" i="2"/>
  <c r="F642" i="2"/>
  <c r="E642" i="2"/>
  <c r="D642" i="2"/>
  <c r="C642" i="2"/>
  <c r="B642" i="2"/>
  <c r="AL640" i="2"/>
  <c r="AK640" i="2"/>
  <c r="AJ640" i="2"/>
  <c r="AI640" i="2"/>
  <c r="AH640" i="2"/>
  <c r="AG640" i="2"/>
  <c r="AF640" i="2"/>
  <c r="AE640" i="2"/>
  <c r="AD640" i="2"/>
  <c r="AC640" i="2"/>
  <c r="AB640" i="2"/>
  <c r="AA640" i="2"/>
  <c r="Z640" i="2"/>
  <c r="Y640" i="2"/>
  <c r="X640" i="2"/>
  <c r="W640" i="2"/>
  <c r="V640" i="2"/>
  <c r="U640" i="2"/>
  <c r="T640" i="2"/>
  <c r="S640" i="2"/>
  <c r="R640" i="2"/>
  <c r="Q640" i="2"/>
  <c r="P640" i="2"/>
  <c r="O640" i="2"/>
  <c r="N640" i="2"/>
  <c r="M640" i="2"/>
  <c r="L640" i="2"/>
  <c r="K640" i="2"/>
  <c r="J640" i="2"/>
  <c r="I640" i="2"/>
  <c r="H640" i="2"/>
  <c r="G640" i="2"/>
  <c r="F640" i="2"/>
  <c r="E640" i="2"/>
  <c r="D640" i="2"/>
  <c r="C640" i="2"/>
  <c r="B640" i="2"/>
  <c r="AL639" i="2"/>
  <c r="AK639" i="2"/>
  <c r="AJ639" i="2"/>
  <c r="AI639" i="2"/>
  <c r="AH639" i="2"/>
  <c r="AG639" i="2"/>
  <c r="AF639" i="2"/>
  <c r="AE639" i="2"/>
  <c r="AD639" i="2"/>
  <c r="AC639" i="2"/>
  <c r="AB639" i="2"/>
  <c r="AA639" i="2"/>
  <c r="Z639" i="2"/>
  <c r="Y639" i="2"/>
  <c r="X639" i="2"/>
  <c r="W639" i="2"/>
  <c r="V639" i="2"/>
  <c r="U639" i="2"/>
  <c r="T639" i="2"/>
  <c r="S639" i="2"/>
  <c r="R639" i="2"/>
  <c r="Q639" i="2"/>
  <c r="P639" i="2"/>
  <c r="O639" i="2"/>
  <c r="N639" i="2"/>
  <c r="M639" i="2"/>
  <c r="L639" i="2"/>
  <c r="K639" i="2"/>
  <c r="J639" i="2"/>
  <c r="I639" i="2"/>
  <c r="H639" i="2"/>
  <c r="G639" i="2"/>
  <c r="F639" i="2"/>
  <c r="E639" i="2"/>
  <c r="D639" i="2"/>
  <c r="C639" i="2"/>
  <c r="B639" i="2"/>
  <c r="AL638" i="2"/>
  <c r="AK638" i="2"/>
  <c r="AJ638" i="2"/>
  <c r="AI638" i="2"/>
  <c r="AH638" i="2"/>
  <c r="AG638" i="2"/>
  <c r="AF638" i="2"/>
  <c r="AE638" i="2"/>
  <c r="AD638" i="2"/>
  <c r="AC638" i="2"/>
  <c r="AB638" i="2"/>
  <c r="AA638" i="2"/>
  <c r="Z638" i="2"/>
  <c r="Y638" i="2"/>
  <c r="X638" i="2"/>
  <c r="W638" i="2"/>
  <c r="V638" i="2"/>
  <c r="U638" i="2"/>
  <c r="T638" i="2"/>
  <c r="S638" i="2"/>
  <c r="R638" i="2"/>
  <c r="Q638" i="2"/>
  <c r="P638" i="2"/>
  <c r="O638" i="2"/>
  <c r="N638" i="2"/>
  <c r="M638" i="2"/>
  <c r="L638" i="2"/>
  <c r="K638" i="2"/>
  <c r="J638" i="2"/>
  <c r="I638" i="2"/>
  <c r="H638" i="2"/>
  <c r="G638" i="2"/>
  <c r="F638" i="2"/>
  <c r="E638" i="2"/>
  <c r="D638" i="2"/>
  <c r="C638" i="2"/>
  <c r="B638" i="2"/>
  <c r="AL637" i="2"/>
  <c r="AK637" i="2"/>
  <c r="AJ637" i="2"/>
  <c r="AI637" i="2"/>
  <c r="AH637" i="2"/>
  <c r="AG637" i="2"/>
  <c r="AF637" i="2"/>
  <c r="AE637" i="2"/>
  <c r="AD637" i="2"/>
  <c r="AC637" i="2"/>
  <c r="AB637" i="2"/>
  <c r="AA637" i="2"/>
  <c r="Z637" i="2"/>
  <c r="Y637" i="2"/>
  <c r="X637" i="2"/>
  <c r="W637" i="2"/>
  <c r="V637" i="2"/>
  <c r="U637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H637" i="2"/>
  <c r="G637" i="2"/>
  <c r="F637" i="2"/>
  <c r="E637" i="2"/>
  <c r="D637" i="2"/>
  <c r="C637" i="2"/>
  <c r="B637" i="2"/>
  <c r="AL636" i="2"/>
  <c r="AK636" i="2"/>
  <c r="AJ636" i="2"/>
  <c r="AI636" i="2"/>
  <c r="AH636" i="2"/>
  <c r="AG636" i="2"/>
  <c r="AF636" i="2"/>
  <c r="AE636" i="2"/>
  <c r="AD636" i="2"/>
  <c r="AC636" i="2"/>
  <c r="AB636" i="2"/>
  <c r="AA636" i="2"/>
  <c r="Z636" i="2"/>
  <c r="Y636" i="2"/>
  <c r="X636" i="2"/>
  <c r="W636" i="2"/>
  <c r="V636" i="2"/>
  <c r="U636" i="2"/>
  <c r="T636" i="2"/>
  <c r="S636" i="2"/>
  <c r="R636" i="2"/>
  <c r="Q636" i="2"/>
  <c r="P636" i="2"/>
  <c r="O636" i="2"/>
  <c r="N636" i="2"/>
  <c r="M636" i="2"/>
  <c r="L636" i="2"/>
  <c r="K636" i="2"/>
  <c r="J636" i="2"/>
  <c r="I636" i="2"/>
  <c r="H636" i="2"/>
  <c r="G636" i="2"/>
  <c r="F636" i="2"/>
  <c r="E636" i="2"/>
  <c r="D636" i="2"/>
  <c r="C636" i="2"/>
  <c r="B636" i="2"/>
  <c r="AL634" i="2"/>
  <c r="AK634" i="2"/>
  <c r="AJ634" i="2"/>
  <c r="AI634" i="2"/>
  <c r="AH634" i="2"/>
  <c r="AG634" i="2"/>
  <c r="AF634" i="2"/>
  <c r="AE634" i="2"/>
  <c r="AD634" i="2"/>
  <c r="AC634" i="2"/>
  <c r="AB634" i="2"/>
  <c r="AA634" i="2"/>
  <c r="Z634" i="2"/>
  <c r="Y634" i="2"/>
  <c r="X634" i="2"/>
  <c r="W634" i="2"/>
  <c r="V634" i="2"/>
  <c r="U634" i="2"/>
  <c r="T634" i="2"/>
  <c r="S634" i="2"/>
  <c r="R634" i="2"/>
  <c r="Q634" i="2"/>
  <c r="P634" i="2"/>
  <c r="O634" i="2"/>
  <c r="N634" i="2"/>
  <c r="M634" i="2"/>
  <c r="L634" i="2"/>
  <c r="K634" i="2"/>
  <c r="J634" i="2"/>
  <c r="I634" i="2"/>
  <c r="H634" i="2"/>
  <c r="G634" i="2"/>
  <c r="F634" i="2"/>
  <c r="E634" i="2"/>
  <c r="D634" i="2"/>
  <c r="C634" i="2"/>
  <c r="B634" i="2"/>
  <c r="AL633" i="2"/>
  <c r="AK633" i="2"/>
  <c r="AJ633" i="2"/>
  <c r="AI633" i="2"/>
  <c r="AH633" i="2"/>
  <c r="AG633" i="2"/>
  <c r="AF633" i="2"/>
  <c r="AE633" i="2"/>
  <c r="AD633" i="2"/>
  <c r="AC633" i="2"/>
  <c r="AB633" i="2"/>
  <c r="AA633" i="2"/>
  <c r="Z633" i="2"/>
  <c r="Y633" i="2"/>
  <c r="X633" i="2"/>
  <c r="W633" i="2"/>
  <c r="V633" i="2"/>
  <c r="U633" i="2"/>
  <c r="T633" i="2"/>
  <c r="S633" i="2"/>
  <c r="R633" i="2"/>
  <c r="Q633" i="2"/>
  <c r="P633" i="2"/>
  <c r="O633" i="2"/>
  <c r="N633" i="2"/>
  <c r="M633" i="2"/>
  <c r="L633" i="2"/>
  <c r="K633" i="2"/>
  <c r="J633" i="2"/>
  <c r="I633" i="2"/>
  <c r="H633" i="2"/>
  <c r="G633" i="2"/>
  <c r="F633" i="2"/>
  <c r="E633" i="2"/>
  <c r="D633" i="2"/>
  <c r="C633" i="2"/>
  <c r="B633" i="2"/>
  <c r="AL623" i="2"/>
  <c r="AK623" i="2"/>
  <c r="AJ623" i="2"/>
  <c r="AI623" i="2"/>
  <c r="AH623" i="2"/>
  <c r="AG623" i="2"/>
  <c r="AF623" i="2"/>
  <c r="AE623" i="2"/>
  <c r="AD623" i="2"/>
  <c r="AC623" i="2"/>
  <c r="AB623" i="2"/>
  <c r="AA623" i="2"/>
  <c r="Z623" i="2"/>
  <c r="Y623" i="2"/>
  <c r="X623" i="2"/>
  <c r="W623" i="2"/>
  <c r="V623" i="2"/>
  <c r="U623" i="2"/>
  <c r="T623" i="2"/>
  <c r="S623" i="2"/>
  <c r="R623" i="2"/>
  <c r="Q623" i="2"/>
  <c r="P623" i="2"/>
  <c r="O623" i="2"/>
  <c r="N623" i="2"/>
  <c r="M623" i="2"/>
  <c r="L623" i="2"/>
  <c r="K623" i="2"/>
  <c r="J623" i="2"/>
  <c r="I623" i="2"/>
  <c r="H623" i="2"/>
  <c r="G623" i="2"/>
  <c r="F623" i="2"/>
  <c r="E623" i="2"/>
  <c r="D623" i="2"/>
  <c r="C623" i="2"/>
  <c r="B623" i="2"/>
  <c r="AL622" i="2"/>
  <c r="AK622" i="2"/>
  <c r="AJ622" i="2"/>
  <c r="AI622" i="2"/>
  <c r="AH622" i="2"/>
  <c r="AG622" i="2"/>
  <c r="AF622" i="2"/>
  <c r="AE622" i="2"/>
  <c r="AD622" i="2"/>
  <c r="AC622" i="2"/>
  <c r="AB622" i="2"/>
  <c r="AA622" i="2"/>
  <c r="Z622" i="2"/>
  <c r="Y622" i="2"/>
  <c r="X622" i="2"/>
  <c r="W622" i="2"/>
  <c r="V622" i="2"/>
  <c r="U622" i="2"/>
  <c r="T622" i="2"/>
  <c r="S622" i="2"/>
  <c r="R622" i="2"/>
  <c r="Q622" i="2"/>
  <c r="P622" i="2"/>
  <c r="O622" i="2"/>
  <c r="N622" i="2"/>
  <c r="M622" i="2"/>
  <c r="L622" i="2"/>
  <c r="K622" i="2"/>
  <c r="J622" i="2"/>
  <c r="I622" i="2"/>
  <c r="H622" i="2"/>
  <c r="G622" i="2"/>
  <c r="F622" i="2"/>
  <c r="E622" i="2"/>
  <c r="D622" i="2"/>
  <c r="C622" i="2"/>
  <c r="B622" i="2"/>
  <c r="AL621" i="2"/>
  <c r="AK621" i="2"/>
  <c r="AJ621" i="2"/>
  <c r="AI621" i="2"/>
  <c r="AH621" i="2"/>
  <c r="AG621" i="2"/>
  <c r="AF621" i="2"/>
  <c r="AE621" i="2"/>
  <c r="AD621" i="2"/>
  <c r="AC621" i="2"/>
  <c r="AB621" i="2"/>
  <c r="AA621" i="2"/>
  <c r="Z621" i="2"/>
  <c r="Y621" i="2"/>
  <c r="X621" i="2"/>
  <c r="W621" i="2"/>
  <c r="V621" i="2"/>
  <c r="U621" i="2"/>
  <c r="T621" i="2"/>
  <c r="S621" i="2"/>
  <c r="R621" i="2"/>
  <c r="Q621" i="2"/>
  <c r="P621" i="2"/>
  <c r="O621" i="2"/>
  <c r="N621" i="2"/>
  <c r="M621" i="2"/>
  <c r="L621" i="2"/>
  <c r="K621" i="2"/>
  <c r="J621" i="2"/>
  <c r="I621" i="2"/>
  <c r="H621" i="2"/>
  <c r="G621" i="2"/>
  <c r="F621" i="2"/>
  <c r="E621" i="2"/>
  <c r="D621" i="2"/>
  <c r="C621" i="2"/>
  <c r="B621" i="2"/>
  <c r="AL619" i="2"/>
  <c r="AK619" i="2"/>
  <c r="AJ619" i="2"/>
  <c r="AI619" i="2"/>
  <c r="AH619" i="2"/>
  <c r="AG619" i="2"/>
  <c r="AF619" i="2"/>
  <c r="AE619" i="2"/>
  <c r="AD619" i="2"/>
  <c r="AC619" i="2"/>
  <c r="AB619" i="2"/>
  <c r="AA619" i="2"/>
  <c r="Z619" i="2"/>
  <c r="Y619" i="2"/>
  <c r="X619" i="2"/>
  <c r="W619" i="2"/>
  <c r="V619" i="2"/>
  <c r="U619" i="2"/>
  <c r="T619" i="2"/>
  <c r="S619" i="2"/>
  <c r="R619" i="2"/>
  <c r="Q619" i="2"/>
  <c r="P619" i="2"/>
  <c r="O619" i="2"/>
  <c r="N619" i="2"/>
  <c r="M619" i="2"/>
  <c r="L619" i="2"/>
  <c r="K619" i="2"/>
  <c r="J619" i="2"/>
  <c r="I619" i="2"/>
  <c r="H619" i="2"/>
  <c r="G619" i="2"/>
  <c r="F619" i="2"/>
  <c r="E619" i="2"/>
  <c r="D619" i="2"/>
  <c r="C619" i="2"/>
  <c r="B619" i="2"/>
  <c r="AL618" i="2"/>
  <c r="AK618" i="2"/>
  <c r="AJ618" i="2"/>
  <c r="AI618" i="2"/>
  <c r="AH618" i="2"/>
  <c r="AG618" i="2"/>
  <c r="AF618" i="2"/>
  <c r="AE618" i="2"/>
  <c r="AD618" i="2"/>
  <c r="AC618" i="2"/>
  <c r="AB618" i="2"/>
  <c r="AA618" i="2"/>
  <c r="Z618" i="2"/>
  <c r="Y618" i="2"/>
  <c r="X618" i="2"/>
  <c r="W618" i="2"/>
  <c r="V618" i="2"/>
  <c r="U618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H618" i="2"/>
  <c r="G618" i="2"/>
  <c r="F618" i="2"/>
  <c r="E618" i="2"/>
  <c r="D618" i="2"/>
  <c r="C618" i="2"/>
  <c r="B618" i="2"/>
  <c r="AL617" i="2"/>
  <c r="AK617" i="2"/>
  <c r="AJ617" i="2"/>
  <c r="AI617" i="2"/>
  <c r="AH617" i="2"/>
  <c r="AG617" i="2"/>
  <c r="AF617" i="2"/>
  <c r="AE617" i="2"/>
  <c r="AD617" i="2"/>
  <c r="AC617" i="2"/>
  <c r="AB617" i="2"/>
  <c r="AA617" i="2"/>
  <c r="Z617" i="2"/>
  <c r="Y617" i="2"/>
  <c r="X617" i="2"/>
  <c r="W617" i="2"/>
  <c r="V617" i="2"/>
  <c r="U617" i="2"/>
  <c r="T617" i="2"/>
  <c r="S617" i="2"/>
  <c r="R617" i="2"/>
  <c r="Q617" i="2"/>
  <c r="P617" i="2"/>
  <c r="O617" i="2"/>
  <c r="N617" i="2"/>
  <c r="M617" i="2"/>
  <c r="L617" i="2"/>
  <c r="K617" i="2"/>
  <c r="J617" i="2"/>
  <c r="I617" i="2"/>
  <c r="H617" i="2"/>
  <c r="G617" i="2"/>
  <c r="F617" i="2"/>
  <c r="E617" i="2"/>
  <c r="D617" i="2"/>
  <c r="C617" i="2"/>
  <c r="B617" i="2"/>
  <c r="AL616" i="2"/>
  <c r="AK616" i="2"/>
  <c r="AJ616" i="2"/>
  <c r="AI616" i="2"/>
  <c r="AH616" i="2"/>
  <c r="AG616" i="2"/>
  <c r="AF616" i="2"/>
  <c r="AE616" i="2"/>
  <c r="AD616" i="2"/>
  <c r="AC616" i="2"/>
  <c r="AB616" i="2"/>
  <c r="AA616" i="2"/>
  <c r="Z616" i="2"/>
  <c r="Y616" i="2"/>
  <c r="X616" i="2"/>
  <c r="W616" i="2"/>
  <c r="V616" i="2"/>
  <c r="U616" i="2"/>
  <c r="T616" i="2"/>
  <c r="S616" i="2"/>
  <c r="R616" i="2"/>
  <c r="Q616" i="2"/>
  <c r="P616" i="2"/>
  <c r="O616" i="2"/>
  <c r="N616" i="2"/>
  <c r="M616" i="2"/>
  <c r="L616" i="2"/>
  <c r="K616" i="2"/>
  <c r="J616" i="2"/>
  <c r="I616" i="2"/>
  <c r="H616" i="2"/>
  <c r="G616" i="2"/>
  <c r="F616" i="2"/>
  <c r="E616" i="2"/>
  <c r="D616" i="2"/>
  <c r="C616" i="2"/>
  <c r="B616" i="2"/>
  <c r="AL615" i="2"/>
  <c r="AK615" i="2"/>
  <c r="AJ615" i="2"/>
  <c r="AI615" i="2"/>
  <c r="AH615" i="2"/>
  <c r="AG615" i="2"/>
  <c r="AF615" i="2"/>
  <c r="AE615" i="2"/>
  <c r="AD615" i="2"/>
  <c r="AC615" i="2"/>
  <c r="AB615" i="2"/>
  <c r="AA615" i="2"/>
  <c r="Z615" i="2"/>
  <c r="Y615" i="2"/>
  <c r="X615" i="2"/>
  <c r="W615" i="2"/>
  <c r="V615" i="2"/>
  <c r="U615" i="2"/>
  <c r="T615" i="2"/>
  <c r="S615" i="2"/>
  <c r="R615" i="2"/>
  <c r="Q615" i="2"/>
  <c r="P615" i="2"/>
  <c r="O615" i="2"/>
  <c r="N615" i="2"/>
  <c r="M615" i="2"/>
  <c r="L615" i="2"/>
  <c r="K615" i="2"/>
  <c r="J615" i="2"/>
  <c r="I615" i="2"/>
  <c r="H615" i="2"/>
  <c r="G615" i="2"/>
  <c r="F615" i="2"/>
  <c r="E615" i="2"/>
  <c r="D615" i="2"/>
  <c r="C615" i="2"/>
  <c r="B615" i="2"/>
  <c r="AL613" i="2"/>
  <c r="AK613" i="2"/>
  <c r="AJ613" i="2"/>
  <c r="AI613" i="2"/>
  <c r="AH613" i="2"/>
  <c r="AG613" i="2"/>
  <c r="AF613" i="2"/>
  <c r="AE613" i="2"/>
  <c r="AD613" i="2"/>
  <c r="AC613" i="2"/>
  <c r="AB613" i="2"/>
  <c r="AA613" i="2"/>
  <c r="Z613" i="2"/>
  <c r="Y613" i="2"/>
  <c r="X613" i="2"/>
  <c r="W613" i="2"/>
  <c r="V613" i="2"/>
  <c r="U613" i="2"/>
  <c r="T613" i="2"/>
  <c r="S613" i="2"/>
  <c r="R613" i="2"/>
  <c r="Q613" i="2"/>
  <c r="P613" i="2"/>
  <c r="O613" i="2"/>
  <c r="N613" i="2"/>
  <c r="M613" i="2"/>
  <c r="L613" i="2"/>
  <c r="K613" i="2"/>
  <c r="J613" i="2"/>
  <c r="I613" i="2"/>
  <c r="H613" i="2"/>
  <c r="G613" i="2"/>
  <c r="F613" i="2"/>
  <c r="E613" i="2"/>
  <c r="D613" i="2"/>
  <c r="C613" i="2"/>
  <c r="B613" i="2"/>
  <c r="AL612" i="2"/>
  <c r="AK612" i="2"/>
  <c r="AJ612" i="2"/>
  <c r="AI612" i="2"/>
  <c r="AH612" i="2"/>
  <c r="AG612" i="2"/>
  <c r="AF612" i="2"/>
  <c r="AE612" i="2"/>
  <c r="AD612" i="2"/>
  <c r="AC612" i="2"/>
  <c r="AB612" i="2"/>
  <c r="AA612" i="2"/>
  <c r="Z612" i="2"/>
  <c r="Y612" i="2"/>
  <c r="X612" i="2"/>
  <c r="W612" i="2"/>
  <c r="V612" i="2"/>
  <c r="U612" i="2"/>
  <c r="T612" i="2"/>
  <c r="S612" i="2"/>
  <c r="R612" i="2"/>
  <c r="Q612" i="2"/>
  <c r="P612" i="2"/>
  <c r="O612" i="2"/>
  <c r="N612" i="2"/>
  <c r="M612" i="2"/>
  <c r="L612" i="2"/>
  <c r="K612" i="2"/>
  <c r="J612" i="2"/>
  <c r="I612" i="2"/>
  <c r="H612" i="2"/>
  <c r="G612" i="2"/>
  <c r="F612" i="2"/>
  <c r="E612" i="2"/>
  <c r="D612" i="2"/>
  <c r="C612" i="2"/>
  <c r="B612" i="2"/>
  <c r="AL610" i="2"/>
  <c r="AK610" i="2"/>
  <c r="AJ610" i="2"/>
  <c r="AI610" i="2"/>
  <c r="AH610" i="2"/>
  <c r="AG610" i="2"/>
  <c r="AF610" i="2"/>
  <c r="AE610" i="2"/>
  <c r="AD610" i="2"/>
  <c r="AC610" i="2"/>
  <c r="AB610" i="2"/>
  <c r="AA610" i="2"/>
  <c r="Z610" i="2"/>
  <c r="Y610" i="2"/>
  <c r="X610" i="2"/>
  <c r="W610" i="2"/>
  <c r="V610" i="2"/>
  <c r="U610" i="2"/>
  <c r="T610" i="2"/>
  <c r="S610" i="2"/>
  <c r="R610" i="2"/>
  <c r="Q610" i="2"/>
  <c r="P610" i="2"/>
  <c r="O610" i="2"/>
  <c r="N610" i="2"/>
  <c r="M610" i="2"/>
  <c r="L610" i="2"/>
  <c r="K610" i="2"/>
  <c r="J610" i="2"/>
  <c r="I610" i="2"/>
  <c r="H610" i="2"/>
  <c r="G610" i="2"/>
  <c r="F610" i="2"/>
  <c r="E610" i="2"/>
  <c r="D610" i="2"/>
  <c r="C610" i="2"/>
  <c r="B610" i="2"/>
  <c r="AL609" i="2"/>
  <c r="AK609" i="2"/>
  <c r="AJ609" i="2"/>
  <c r="AI609" i="2"/>
  <c r="AH609" i="2"/>
  <c r="AG609" i="2"/>
  <c r="AF609" i="2"/>
  <c r="AE609" i="2"/>
  <c r="AD609" i="2"/>
  <c r="AC609" i="2"/>
  <c r="AB609" i="2"/>
  <c r="AA609" i="2"/>
  <c r="Z609" i="2"/>
  <c r="Y609" i="2"/>
  <c r="X609" i="2"/>
  <c r="W609" i="2"/>
  <c r="V609" i="2"/>
  <c r="U609" i="2"/>
  <c r="T609" i="2"/>
  <c r="S609" i="2"/>
  <c r="R609" i="2"/>
  <c r="Q609" i="2"/>
  <c r="P609" i="2"/>
  <c r="O609" i="2"/>
  <c r="N609" i="2"/>
  <c r="M609" i="2"/>
  <c r="L609" i="2"/>
  <c r="K609" i="2"/>
  <c r="J609" i="2"/>
  <c r="I609" i="2"/>
  <c r="H609" i="2"/>
  <c r="G609" i="2"/>
  <c r="F609" i="2"/>
  <c r="E609" i="2"/>
  <c r="D609" i="2"/>
  <c r="C609" i="2"/>
  <c r="B609" i="2"/>
  <c r="AL608" i="2"/>
  <c r="AK608" i="2"/>
  <c r="AJ608" i="2"/>
  <c r="AI608" i="2"/>
  <c r="AH608" i="2"/>
  <c r="AG608" i="2"/>
  <c r="AF608" i="2"/>
  <c r="AE608" i="2"/>
  <c r="AD608" i="2"/>
  <c r="AC608" i="2"/>
  <c r="AB608" i="2"/>
  <c r="AA608" i="2"/>
  <c r="Z608" i="2"/>
  <c r="Y608" i="2"/>
  <c r="X608" i="2"/>
  <c r="W608" i="2"/>
  <c r="V608" i="2"/>
  <c r="U608" i="2"/>
  <c r="T608" i="2"/>
  <c r="S608" i="2"/>
  <c r="R608" i="2"/>
  <c r="Q608" i="2"/>
  <c r="P608" i="2"/>
  <c r="O608" i="2"/>
  <c r="N608" i="2"/>
  <c r="M608" i="2"/>
  <c r="L608" i="2"/>
  <c r="K608" i="2"/>
  <c r="J608" i="2"/>
  <c r="I608" i="2"/>
  <c r="H608" i="2"/>
  <c r="G608" i="2"/>
  <c r="F608" i="2"/>
  <c r="E608" i="2"/>
  <c r="D608" i="2"/>
  <c r="C608" i="2"/>
  <c r="B608" i="2"/>
  <c r="AL606" i="2"/>
  <c r="AK606" i="2"/>
  <c r="AJ606" i="2"/>
  <c r="AI606" i="2"/>
  <c r="AH606" i="2"/>
  <c r="AG606" i="2"/>
  <c r="AF606" i="2"/>
  <c r="AE606" i="2"/>
  <c r="AD606" i="2"/>
  <c r="AC606" i="2"/>
  <c r="AB606" i="2"/>
  <c r="AA606" i="2"/>
  <c r="Z606" i="2"/>
  <c r="Y606" i="2"/>
  <c r="X606" i="2"/>
  <c r="W606" i="2"/>
  <c r="V606" i="2"/>
  <c r="U606" i="2"/>
  <c r="T606" i="2"/>
  <c r="S606" i="2"/>
  <c r="R606" i="2"/>
  <c r="Q606" i="2"/>
  <c r="P606" i="2"/>
  <c r="O606" i="2"/>
  <c r="N606" i="2"/>
  <c r="M606" i="2"/>
  <c r="L606" i="2"/>
  <c r="K606" i="2"/>
  <c r="J606" i="2"/>
  <c r="I606" i="2"/>
  <c r="H606" i="2"/>
  <c r="G606" i="2"/>
  <c r="F606" i="2"/>
  <c r="E606" i="2"/>
  <c r="D606" i="2"/>
  <c r="C606" i="2"/>
  <c r="B606" i="2"/>
  <c r="AL605" i="2"/>
  <c r="AK605" i="2"/>
  <c r="AJ605" i="2"/>
  <c r="AI605" i="2"/>
  <c r="AH605" i="2"/>
  <c r="AG605" i="2"/>
  <c r="AF605" i="2"/>
  <c r="AE605" i="2"/>
  <c r="AD605" i="2"/>
  <c r="AC605" i="2"/>
  <c r="AB605" i="2"/>
  <c r="AA605" i="2"/>
  <c r="Z605" i="2"/>
  <c r="Y605" i="2"/>
  <c r="X605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H605" i="2"/>
  <c r="G605" i="2"/>
  <c r="F605" i="2"/>
  <c r="E605" i="2"/>
  <c r="D605" i="2"/>
  <c r="C605" i="2"/>
  <c r="B605" i="2"/>
  <c r="AL604" i="2"/>
  <c r="AK604" i="2"/>
  <c r="AJ604" i="2"/>
  <c r="AI604" i="2"/>
  <c r="AH604" i="2"/>
  <c r="AG604" i="2"/>
  <c r="AF604" i="2"/>
  <c r="AE604" i="2"/>
  <c r="AD604" i="2"/>
  <c r="AC604" i="2"/>
  <c r="AB604" i="2"/>
  <c r="AA604" i="2"/>
  <c r="Z604" i="2"/>
  <c r="Y604" i="2"/>
  <c r="X604" i="2"/>
  <c r="W604" i="2"/>
  <c r="V604" i="2"/>
  <c r="U604" i="2"/>
  <c r="T604" i="2"/>
  <c r="S604" i="2"/>
  <c r="R604" i="2"/>
  <c r="Q604" i="2"/>
  <c r="P604" i="2"/>
  <c r="O604" i="2"/>
  <c r="N604" i="2"/>
  <c r="M604" i="2"/>
  <c r="L604" i="2"/>
  <c r="K604" i="2"/>
  <c r="J604" i="2"/>
  <c r="I604" i="2"/>
  <c r="H604" i="2"/>
  <c r="G604" i="2"/>
  <c r="F604" i="2"/>
  <c r="E604" i="2"/>
  <c r="D604" i="2"/>
  <c r="C604" i="2"/>
  <c r="B604" i="2"/>
  <c r="AL603" i="2"/>
  <c r="AK603" i="2"/>
  <c r="AJ603" i="2"/>
  <c r="AI603" i="2"/>
  <c r="AH603" i="2"/>
  <c r="AG603" i="2"/>
  <c r="AF603" i="2"/>
  <c r="AE603" i="2"/>
  <c r="AD603" i="2"/>
  <c r="AC603" i="2"/>
  <c r="AB603" i="2"/>
  <c r="AA603" i="2"/>
  <c r="Z603" i="2"/>
  <c r="Y603" i="2"/>
  <c r="X603" i="2"/>
  <c r="W603" i="2"/>
  <c r="V603" i="2"/>
  <c r="U603" i="2"/>
  <c r="T603" i="2"/>
  <c r="S603" i="2"/>
  <c r="R603" i="2"/>
  <c r="Q603" i="2"/>
  <c r="P603" i="2"/>
  <c r="O603" i="2"/>
  <c r="N603" i="2"/>
  <c r="M603" i="2"/>
  <c r="L603" i="2"/>
  <c r="K603" i="2"/>
  <c r="J603" i="2"/>
  <c r="I603" i="2"/>
  <c r="H603" i="2"/>
  <c r="G603" i="2"/>
  <c r="F603" i="2"/>
  <c r="E603" i="2"/>
  <c r="D603" i="2"/>
  <c r="C603" i="2"/>
  <c r="B603" i="2"/>
  <c r="AL602" i="2"/>
  <c r="AK602" i="2"/>
  <c r="AJ602" i="2"/>
  <c r="AI602" i="2"/>
  <c r="AH602" i="2"/>
  <c r="AG602" i="2"/>
  <c r="AF602" i="2"/>
  <c r="AE602" i="2"/>
  <c r="AD602" i="2"/>
  <c r="AC602" i="2"/>
  <c r="AB602" i="2"/>
  <c r="AA602" i="2"/>
  <c r="Z602" i="2"/>
  <c r="Y602" i="2"/>
  <c r="X602" i="2"/>
  <c r="W602" i="2"/>
  <c r="V602" i="2"/>
  <c r="U602" i="2"/>
  <c r="T602" i="2"/>
  <c r="S602" i="2"/>
  <c r="R602" i="2"/>
  <c r="Q602" i="2"/>
  <c r="P602" i="2"/>
  <c r="O602" i="2"/>
  <c r="N602" i="2"/>
  <c r="M602" i="2"/>
  <c r="L602" i="2"/>
  <c r="K602" i="2"/>
  <c r="J602" i="2"/>
  <c r="I602" i="2"/>
  <c r="H602" i="2"/>
  <c r="G602" i="2"/>
  <c r="F602" i="2"/>
  <c r="E602" i="2"/>
  <c r="D602" i="2"/>
  <c r="C602" i="2"/>
  <c r="B602" i="2"/>
  <c r="AL600" i="2"/>
  <c r="AK600" i="2"/>
  <c r="AJ600" i="2"/>
  <c r="AI600" i="2"/>
  <c r="AH600" i="2"/>
  <c r="AG600" i="2"/>
  <c r="AF600" i="2"/>
  <c r="AE600" i="2"/>
  <c r="AD600" i="2"/>
  <c r="AC600" i="2"/>
  <c r="AB600" i="2"/>
  <c r="AA600" i="2"/>
  <c r="Z600" i="2"/>
  <c r="Y600" i="2"/>
  <c r="X600" i="2"/>
  <c r="W600" i="2"/>
  <c r="V600" i="2"/>
  <c r="U600" i="2"/>
  <c r="T600" i="2"/>
  <c r="S600" i="2"/>
  <c r="R600" i="2"/>
  <c r="Q600" i="2"/>
  <c r="P600" i="2"/>
  <c r="O600" i="2"/>
  <c r="N600" i="2"/>
  <c r="M600" i="2"/>
  <c r="L600" i="2"/>
  <c r="K600" i="2"/>
  <c r="J600" i="2"/>
  <c r="I600" i="2"/>
  <c r="H600" i="2"/>
  <c r="G600" i="2"/>
  <c r="F600" i="2"/>
  <c r="E600" i="2"/>
  <c r="D600" i="2"/>
  <c r="C600" i="2"/>
  <c r="B600" i="2"/>
  <c r="AL599" i="2"/>
  <c r="AK599" i="2"/>
  <c r="AJ599" i="2"/>
  <c r="AI599" i="2"/>
  <c r="AH599" i="2"/>
  <c r="AG599" i="2"/>
  <c r="AF599" i="2"/>
  <c r="AE599" i="2"/>
  <c r="AD599" i="2"/>
  <c r="AC599" i="2"/>
  <c r="AB599" i="2"/>
  <c r="AA599" i="2"/>
  <c r="Z599" i="2"/>
  <c r="Y599" i="2"/>
  <c r="X599" i="2"/>
  <c r="W599" i="2"/>
  <c r="V599" i="2"/>
  <c r="U599" i="2"/>
  <c r="T599" i="2"/>
  <c r="S599" i="2"/>
  <c r="R599" i="2"/>
  <c r="Q599" i="2"/>
  <c r="P599" i="2"/>
  <c r="O599" i="2"/>
  <c r="N599" i="2"/>
  <c r="M599" i="2"/>
  <c r="L599" i="2"/>
  <c r="K599" i="2"/>
  <c r="J599" i="2"/>
  <c r="I599" i="2"/>
  <c r="H599" i="2"/>
  <c r="G599" i="2"/>
  <c r="F599" i="2"/>
  <c r="E599" i="2"/>
  <c r="D599" i="2"/>
  <c r="C599" i="2"/>
  <c r="AL411" i="2"/>
  <c r="AK411" i="2"/>
  <c r="AJ411" i="2"/>
  <c r="AI411" i="2"/>
  <c r="AH411" i="2"/>
  <c r="AG411" i="2"/>
  <c r="AF411" i="2"/>
  <c r="AE411" i="2"/>
  <c r="AD411" i="2"/>
  <c r="AC411" i="2"/>
  <c r="AB411" i="2"/>
  <c r="AA411" i="2"/>
  <c r="Z411" i="2"/>
  <c r="Y411" i="2"/>
  <c r="X411" i="2"/>
  <c r="W411" i="2"/>
  <c r="V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AL402" i="2"/>
  <c r="AK402" i="2"/>
  <c r="AJ402" i="2"/>
  <c r="AI402" i="2"/>
  <c r="AH402" i="2"/>
  <c r="AG402" i="2"/>
  <c r="AF402" i="2"/>
  <c r="AE402" i="2"/>
  <c r="AD402" i="2"/>
  <c r="AC402" i="2"/>
  <c r="AB402" i="2"/>
  <c r="AA402" i="2"/>
  <c r="Z402" i="2"/>
  <c r="Y402" i="2"/>
  <c r="X402" i="2"/>
  <c r="W402" i="2"/>
  <c r="V402" i="2"/>
  <c r="U402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AL401" i="2"/>
  <c r="AK401" i="2"/>
  <c r="AJ401" i="2"/>
  <c r="AI401" i="2"/>
  <c r="AH401" i="2"/>
  <c r="AG401" i="2"/>
  <c r="AF401" i="2"/>
  <c r="AE401" i="2"/>
  <c r="AD401" i="2"/>
  <c r="AC401" i="2"/>
  <c r="AB401" i="2"/>
  <c r="AA401" i="2"/>
  <c r="Z401" i="2"/>
  <c r="Y401" i="2"/>
  <c r="X401" i="2"/>
  <c r="W401" i="2"/>
  <c r="V401" i="2"/>
  <c r="U401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AL400" i="2"/>
  <c r="AK400" i="2"/>
  <c r="AJ400" i="2"/>
  <c r="AI400" i="2"/>
  <c r="AH400" i="2"/>
  <c r="AG400" i="2"/>
  <c r="AF400" i="2"/>
  <c r="AE400" i="2"/>
  <c r="AD400" i="2"/>
  <c r="AC400" i="2"/>
  <c r="AB400" i="2"/>
  <c r="AA400" i="2"/>
  <c r="Z400" i="2"/>
  <c r="Y400" i="2"/>
  <c r="X400" i="2"/>
  <c r="W400" i="2"/>
  <c r="V400" i="2"/>
  <c r="U400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AL399" i="2"/>
  <c r="AK399" i="2"/>
  <c r="AJ399" i="2"/>
  <c r="AI399" i="2"/>
  <c r="AH399" i="2"/>
  <c r="AG399" i="2"/>
  <c r="AF399" i="2"/>
  <c r="AE399" i="2"/>
  <c r="AD399" i="2"/>
  <c r="AC399" i="2"/>
  <c r="AB399" i="2"/>
  <c r="AA399" i="2"/>
  <c r="Z399" i="2"/>
  <c r="Y399" i="2"/>
  <c r="X399" i="2"/>
  <c r="W399" i="2"/>
  <c r="V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AL398" i="2"/>
  <c r="AK398" i="2"/>
  <c r="AJ398" i="2"/>
  <c r="AI398" i="2"/>
  <c r="AH398" i="2"/>
  <c r="AG398" i="2"/>
  <c r="AF398" i="2"/>
  <c r="AE398" i="2"/>
  <c r="AD398" i="2"/>
  <c r="AC398" i="2"/>
  <c r="AB398" i="2"/>
  <c r="AA398" i="2"/>
  <c r="Z398" i="2"/>
  <c r="Y398" i="2"/>
  <c r="X398" i="2"/>
  <c r="W398" i="2"/>
  <c r="V398" i="2"/>
  <c r="U398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AL397" i="2"/>
  <c r="AK397" i="2"/>
  <c r="AJ397" i="2"/>
  <c r="AI397" i="2"/>
  <c r="AH397" i="2"/>
  <c r="AG397" i="2"/>
  <c r="AF397" i="2"/>
  <c r="AE397" i="2"/>
  <c r="AD397" i="2"/>
  <c r="AC397" i="2"/>
  <c r="AB397" i="2"/>
  <c r="AA397" i="2"/>
  <c r="Z397" i="2"/>
  <c r="Y397" i="2"/>
  <c r="X397" i="2"/>
  <c r="W397" i="2"/>
  <c r="V397" i="2"/>
  <c r="U397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AL396" i="2"/>
  <c r="AK396" i="2"/>
  <c r="AJ396" i="2"/>
  <c r="AI396" i="2"/>
  <c r="AH396" i="2"/>
  <c r="AG396" i="2"/>
  <c r="AF396" i="2"/>
  <c r="AE396" i="2"/>
  <c r="AD396" i="2"/>
  <c r="AC396" i="2"/>
  <c r="AB396" i="2"/>
  <c r="AA396" i="2"/>
  <c r="Z396" i="2"/>
  <c r="Y396" i="2"/>
  <c r="X396" i="2"/>
  <c r="W396" i="2"/>
  <c r="V396" i="2"/>
  <c r="U396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AL331" i="2"/>
  <c r="AK331" i="2"/>
  <c r="AJ331" i="2"/>
  <c r="AI331" i="2"/>
  <c r="AH331" i="2"/>
  <c r="AG331" i="2"/>
  <c r="AF331" i="2"/>
  <c r="AE331" i="2"/>
  <c r="AD331" i="2"/>
  <c r="AC331" i="2"/>
  <c r="AB331" i="2"/>
  <c r="AA331" i="2"/>
  <c r="Z331" i="2"/>
  <c r="Y331" i="2"/>
  <c r="X331" i="2"/>
  <c r="W331" i="2"/>
  <c r="V331" i="2"/>
  <c r="U331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AL330" i="2"/>
  <c r="AK330" i="2"/>
  <c r="AJ330" i="2"/>
  <c r="AI330" i="2"/>
  <c r="AH330" i="2"/>
  <c r="AG330" i="2"/>
  <c r="AF330" i="2"/>
  <c r="AE330" i="2"/>
  <c r="AD330" i="2"/>
  <c r="AC330" i="2"/>
  <c r="AB330" i="2"/>
  <c r="AA330" i="2"/>
  <c r="Z330" i="2"/>
  <c r="Y330" i="2"/>
  <c r="X330" i="2"/>
  <c r="W330" i="2"/>
  <c r="V330" i="2"/>
  <c r="U330" i="2"/>
  <c r="T330" i="2"/>
  <c r="S330" i="2"/>
  <c r="R330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AL329" i="2"/>
  <c r="AK329" i="2"/>
  <c r="AJ329" i="2"/>
  <c r="AI329" i="2"/>
  <c r="AH329" i="2"/>
  <c r="AG329" i="2"/>
  <c r="AF329" i="2"/>
  <c r="AE329" i="2"/>
  <c r="AD329" i="2"/>
  <c r="AC329" i="2"/>
  <c r="AB329" i="2"/>
  <c r="AA329" i="2"/>
  <c r="Z329" i="2"/>
  <c r="Y329" i="2"/>
  <c r="X329" i="2"/>
  <c r="W329" i="2"/>
  <c r="V329" i="2"/>
  <c r="U329" i="2"/>
  <c r="T329" i="2"/>
  <c r="S329" i="2"/>
  <c r="R329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E329" i="2"/>
  <c r="D329" i="2"/>
  <c r="C329" i="2"/>
  <c r="AL328" i="2"/>
  <c r="AK328" i="2"/>
  <c r="AJ328" i="2"/>
  <c r="AI328" i="2"/>
  <c r="AH328" i="2"/>
  <c r="AG328" i="2"/>
  <c r="AF328" i="2"/>
  <c r="AE328" i="2"/>
  <c r="AD328" i="2"/>
  <c r="AC328" i="2"/>
  <c r="AB328" i="2"/>
  <c r="AA328" i="2"/>
  <c r="Z328" i="2"/>
  <c r="Y328" i="2"/>
  <c r="X328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Z324" i="2"/>
  <c r="Y324" i="2"/>
  <c r="X324" i="2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AL290" i="2"/>
  <c r="AK290" i="2"/>
  <c r="AJ290" i="2"/>
  <c r="AI290" i="2"/>
  <c r="AH290" i="2"/>
  <c r="AG290" i="2"/>
  <c r="AF290" i="2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AL289" i="2"/>
  <c r="AK289" i="2"/>
  <c r="AJ289" i="2"/>
  <c r="AI289" i="2"/>
  <c r="AH289" i="2"/>
  <c r="AG289" i="2"/>
  <c r="AF289" i="2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AL288" i="2"/>
  <c r="AK288" i="2"/>
  <c r="AJ288" i="2"/>
  <c r="AI288" i="2"/>
  <c r="AH288" i="2"/>
  <c r="AG288" i="2"/>
  <c r="AF288" i="2"/>
  <c r="AE288" i="2"/>
  <c r="AD288" i="2"/>
  <c r="AC288" i="2"/>
  <c r="AB288" i="2"/>
  <c r="AA288" i="2"/>
  <c r="Z288" i="2"/>
  <c r="Y288" i="2"/>
  <c r="X288" i="2"/>
  <c r="W288" i="2"/>
  <c r="V288" i="2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AL287" i="2"/>
  <c r="AK287" i="2"/>
  <c r="AJ287" i="2"/>
  <c r="AI287" i="2"/>
  <c r="AH287" i="2"/>
  <c r="AG287" i="2"/>
  <c r="AF287" i="2"/>
  <c r="AE287" i="2"/>
  <c r="AD287" i="2"/>
  <c r="AC287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AL286" i="2"/>
  <c r="AK286" i="2"/>
  <c r="AJ286" i="2"/>
  <c r="AI286" i="2"/>
  <c r="AH286" i="2"/>
  <c r="AG286" i="2"/>
  <c r="AF286" i="2"/>
  <c r="AE286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AL285" i="2"/>
  <c r="AK285" i="2"/>
  <c r="AJ285" i="2"/>
  <c r="AI285" i="2"/>
  <c r="AH285" i="2"/>
  <c r="AG285" i="2"/>
  <c r="AF285" i="2"/>
  <c r="AE285" i="2"/>
  <c r="AD285" i="2"/>
  <c r="AC285" i="2"/>
  <c r="AB285" i="2"/>
  <c r="AA285" i="2"/>
  <c r="Z285" i="2"/>
  <c r="Y285" i="2"/>
  <c r="X285" i="2"/>
  <c r="W285" i="2"/>
  <c r="V285" i="2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AL284" i="2"/>
  <c r="AK284" i="2"/>
  <c r="AJ284" i="2"/>
  <c r="AI284" i="2"/>
  <c r="AH284" i="2"/>
  <c r="AG284" i="2"/>
  <c r="AF284" i="2"/>
  <c r="AE284" i="2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AL281" i="2"/>
  <c r="AK281" i="2"/>
  <c r="AJ281" i="2"/>
  <c r="AI281" i="2"/>
  <c r="AH281" i="2"/>
  <c r="AG281" i="2"/>
  <c r="AF281" i="2"/>
  <c r="AE281" i="2"/>
  <c r="AD281" i="2"/>
  <c r="AC281" i="2"/>
  <c r="AB281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AL280" i="2"/>
  <c r="AK280" i="2"/>
  <c r="AJ280" i="2"/>
  <c r="AI280" i="2"/>
  <c r="AH280" i="2"/>
  <c r="AG280" i="2"/>
  <c r="AF280" i="2"/>
  <c r="AE280" i="2"/>
  <c r="AD280" i="2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AL279" i="2"/>
  <c r="AK279" i="2"/>
  <c r="AJ279" i="2"/>
  <c r="AI279" i="2"/>
  <c r="AH279" i="2"/>
  <c r="AG279" i="2"/>
  <c r="AF279" i="2"/>
  <c r="AE279" i="2"/>
  <c r="AD279" i="2"/>
  <c r="AC279" i="2"/>
  <c r="AB279" i="2"/>
  <c r="AA279" i="2"/>
  <c r="Z279" i="2"/>
  <c r="Y279" i="2"/>
  <c r="X279" i="2"/>
  <c r="W279" i="2"/>
  <c r="V279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AL278" i="2"/>
  <c r="AK278" i="2"/>
  <c r="AJ278" i="2"/>
  <c r="AI278" i="2"/>
  <c r="AH278" i="2"/>
  <c r="AG278" i="2"/>
  <c r="AF278" i="2"/>
  <c r="AE278" i="2"/>
  <c r="AD278" i="2"/>
  <c r="AC278" i="2"/>
  <c r="AB278" i="2"/>
  <c r="AA278" i="2"/>
  <c r="Z278" i="2"/>
  <c r="Y278" i="2"/>
  <c r="X278" i="2"/>
  <c r="W278" i="2"/>
  <c r="V278" i="2"/>
  <c r="U278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AL262" i="2"/>
  <c r="AK262" i="2"/>
  <c r="AJ262" i="2"/>
  <c r="AI262" i="2"/>
  <c r="AH262" i="2"/>
  <c r="AG262" i="2"/>
  <c r="AF262" i="2"/>
  <c r="AE262" i="2"/>
  <c r="AD262" i="2"/>
  <c r="AC262" i="2"/>
  <c r="AB262" i="2"/>
  <c r="AA262" i="2"/>
  <c r="Z262" i="2"/>
  <c r="Y262" i="2"/>
  <c r="X262" i="2"/>
  <c r="W262" i="2"/>
  <c r="V262" i="2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AL261" i="2"/>
  <c r="AK261" i="2"/>
  <c r="AJ261" i="2"/>
  <c r="AI261" i="2"/>
  <c r="AH261" i="2"/>
  <c r="AG261" i="2"/>
  <c r="AF261" i="2"/>
  <c r="AE261" i="2"/>
  <c r="AD261" i="2"/>
  <c r="AC261" i="2"/>
  <c r="AB261" i="2"/>
  <c r="AA261" i="2"/>
  <c r="Z261" i="2"/>
  <c r="Y261" i="2"/>
  <c r="X261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AL260" i="2"/>
  <c r="AK260" i="2"/>
  <c r="AJ260" i="2"/>
  <c r="AI260" i="2"/>
  <c r="AH260" i="2"/>
  <c r="AG260" i="2"/>
  <c r="AF260" i="2"/>
  <c r="AE260" i="2"/>
  <c r="AD260" i="2"/>
  <c r="AC260" i="2"/>
  <c r="AB260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AL259" i="2"/>
  <c r="AK259" i="2"/>
  <c r="AJ259" i="2"/>
  <c r="AI259" i="2"/>
  <c r="AH259" i="2"/>
  <c r="AG259" i="2"/>
  <c r="AF259" i="2"/>
  <c r="AE259" i="2"/>
  <c r="AD259" i="2"/>
  <c r="AC259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AL258" i="2"/>
  <c r="AK258" i="2"/>
  <c r="AJ258" i="2"/>
  <c r="AI258" i="2"/>
  <c r="AH258" i="2"/>
  <c r="AG258" i="2"/>
  <c r="AF258" i="2"/>
  <c r="AE258" i="2"/>
  <c r="AD258" i="2"/>
  <c r="AC258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AL257" i="2"/>
  <c r="AK257" i="2"/>
  <c r="AJ257" i="2"/>
  <c r="AI257" i="2"/>
  <c r="AH257" i="2"/>
  <c r="AG257" i="2"/>
  <c r="AF257" i="2"/>
  <c r="AE257" i="2"/>
  <c r="AD257" i="2"/>
  <c r="AC257" i="2"/>
  <c r="AB257" i="2"/>
  <c r="AA257" i="2"/>
  <c r="Z257" i="2"/>
  <c r="Y257" i="2"/>
  <c r="X257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AL256" i="2"/>
  <c r="AK256" i="2"/>
  <c r="AJ256" i="2"/>
  <c r="AI256" i="2"/>
  <c r="AH256" i="2"/>
  <c r="AG256" i="2"/>
  <c r="AF256" i="2"/>
  <c r="AE256" i="2"/>
  <c r="AD256" i="2"/>
  <c r="AC256" i="2"/>
  <c r="AB256" i="2"/>
  <c r="AA256" i="2"/>
  <c r="Z256" i="2"/>
  <c r="Y256" i="2"/>
  <c r="X256" i="2"/>
  <c r="W256" i="2"/>
  <c r="V256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X252" i="2"/>
  <c r="W252" i="2"/>
  <c r="V252" i="2"/>
  <c r="U252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AL225" i="2"/>
  <c r="AK225" i="2"/>
  <c r="AJ225" i="2"/>
  <c r="AI225" i="2"/>
  <c r="AH225" i="2"/>
  <c r="AG225" i="2"/>
  <c r="AF225" i="2"/>
  <c r="AE225" i="2"/>
  <c r="AD225" i="2"/>
  <c r="AC225" i="2"/>
  <c r="AB225" i="2"/>
  <c r="AA225" i="2"/>
  <c r="Z225" i="2"/>
  <c r="Y225" i="2"/>
  <c r="X225" i="2"/>
  <c r="W225" i="2"/>
  <c r="V225" i="2"/>
  <c r="U225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AL224" i="2"/>
  <c r="AK224" i="2"/>
  <c r="AJ224" i="2"/>
  <c r="AI224" i="2"/>
  <c r="AH224" i="2"/>
  <c r="AG224" i="2"/>
  <c r="AF224" i="2"/>
  <c r="AE224" i="2"/>
  <c r="AD224" i="2"/>
  <c r="AC224" i="2"/>
  <c r="AB224" i="2"/>
  <c r="AA224" i="2"/>
  <c r="Z224" i="2"/>
  <c r="Y224" i="2"/>
  <c r="X224" i="2"/>
  <c r="W224" i="2"/>
  <c r="V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AL223" i="2"/>
  <c r="AK223" i="2"/>
  <c r="AJ223" i="2"/>
  <c r="AI223" i="2"/>
  <c r="AH223" i="2"/>
  <c r="AG223" i="2"/>
  <c r="AF223" i="2"/>
  <c r="AE223" i="2"/>
  <c r="AD223" i="2"/>
  <c r="AC223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AL222" i="2"/>
  <c r="AK222" i="2"/>
  <c r="AJ222" i="2"/>
  <c r="AI222" i="2"/>
  <c r="AH222" i="2"/>
  <c r="AG222" i="2"/>
  <c r="AF222" i="2"/>
  <c r="AE222" i="2"/>
  <c r="AD222" i="2"/>
  <c r="AC222" i="2"/>
  <c r="AB222" i="2"/>
  <c r="AA222" i="2"/>
  <c r="Z222" i="2"/>
  <c r="Y222" i="2"/>
  <c r="X222" i="2"/>
  <c r="W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AL221" i="2"/>
  <c r="AK221" i="2"/>
  <c r="AJ221" i="2"/>
  <c r="AI221" i="2"/>
  <c r="AH221" i="2"/>
  <c r="AG221" i="2"/>
  <c r="AF221" i="2"/>
  <c r="AE221" i="2"/>
  <c r="AD221" i="2"/>
  <c r="AC221" i="2"/>
  <c r="AB221" i="2"/>
  <c r="AA221" i="2"/>
  <c r="Z221" i="2"/>
  <c r="Y221" i="2"/>
  <c r="X221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AL220" i="2"/>
  <c r="AK220" i="2"/>
  <c r="AJ220" i="2"/>
  <c r="AI220" i="2"/>
  <c r="AH220" i="2"/>
  <c r="AG220" i="2"/>
  <c r="AF220" i="2"/>
  <c r="AE220" i="2"/>
  <c r="AD220" i="2"/>
  <c r="AC220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AL219" i="2"/>
  <c r="AK219" i="2"/>
  <c r="AJ219" i="2"/>
  <c r="AI219" i="2"/>
  <c r="AH219" i="2"/>
  <c r="AG219" i="2"/>
  <c r="AF219" i="2"/>
  <c r="AE219" i="2"/>
  <c r="AD219" i="2"/>
  <c r="AC219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AL218" i="2"/>
  <c r="AK218" i="2"/>
  <c r="AJ218" i="2"/>
  <c r="AI218" i="2"/>
  <c r="AH218" i="2"/>
  <c r="AG218" i="2"/>
  <c r="AF218" i="2"/>
  <c r="AE218" i="2"/>
  <c r="AD218" i="2"/>
  <c r="AC218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AL216" i="2"/>
  <c r="AK216" i="2"/>
  <c r="AJ216" i="2"/>
  <c r="AI216" i="2"/>
  <c r="AH216" i="2"/>
  <c r="AG216" i="2"/>
  <c r="AF216" i="2"/>
  <c r="AE216" i="2"/>
  <c r="AD216" i="2"/>
  <c r="AC216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AL215" i="2"/>
  <c r="AK215" i="2"/>
  <c r="AJ215" i="2"/>
  <c r="AI215" i="2"/>
  <c r="AH215" i="2"/>
  <c r="AG215" i="2"/>
  <c r="AF215" i="2"/>
  <c r="AE215" i="2"/>
  <c r="AD215" i="2"/>
  <c r="AC215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AL210" i="2"/>
  <c r="AK210" i="2"/>
  <c r="AJ210" i="2"/>
  <c r="AI210" i="2"/>
  <c r="AH210" i="2"/>
  <c r="AG210" i="2"/>
  <c r="AF210" i="2"/>
  <c r="AE210" i="2"/>
  <c r="AD210" i="2"/>
  <c r="AC210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AL209" i="2"/>
  <c r="AK209" i="2"/>
  <c r="AJ209" i="2"/>
  <c r="AI209" i="2"/>
  <c r="AH209" i="2"/>
  <c r="AG209" i="2"/>
  <c r="AF209" i="2"/>
  <c r="AE209" i="2"/>
  <c r="AD209" i="2"/>
  <c r="AC209" i="2"/>
  <c r="AB209" i="2"/>
  <c r="AA209" i="2"/>
  <c r="Z209" i="2"/>
  <c r="Y209" i="2"/>
  <c r="X209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5" i="2"/>
  <c r="AL583" i="2"/>
  <c r="AK583" i="2"/>
  <c r="AJ583" i="2"/>
  <c r="AI583" i="2"/>
  <c r="AH583" i="2"/>
  <c r="AG583" i="2"/>
  <c r="AF583" i="2"/>
  <c r="AE583" i="2"/>
  <c r="AD583" i="2"/>
  <c r="AC583" i="2"/>
  <c r="AB583" i="2"/>
  <c r="AA583" i="2"/>
  <c r="Z583" i="2"/>
  <c r="Y583" i="2"/>
  <c r="X583" i="2"/>
  <c r="W583" i="2"/>
  <c r="V583" i="2"/>
  <c r="U583" i="2"/>
  <c r="T583" i="2"/>
  <c r="S583" i="2"/>
  <c r="R583" i="2"/>
  <c r="Q583" i="2"/>
  <c r="P583" i="2"/>
  <c r="O583" i="2"/>
  <c r="N583" i="2"/>
  <c r="M583" i="2"/>
  <c r="L583" i="2"/>
  <c r="K583" i="2"/>
  <c r="J583" i="2"/>
  <c r="I583" i="2"/>
  <c r="H583" i="2"/>
  <c r="G583" i="2"/>
  <c r="F583" i="2"/>
  <c r="E583" i="2"/>
  <c r="D583" i="2"/>
  <c r="AL582" i="2"/>
  <c r="AK582" i="2"/>
  <c r="AJ582" i="2"/>
  <c r="AI582" i="2"/>
  <c r="AH582" i="2"/>
  <c r="AG582" i="2"/>
  <c r="AF582" i="2"/>
  <c r="AE582" i="2"/>
  <c r="AD582" i="2"/>
  <c r="AC582" i="2"/>
  <c r="AB582" i="2"/>
  <c r="AA582" i="2"/>
  <c r="Z582" i="2"/>
  <c r="Y582" i="2"/>
  <c r="X582" i="2"/>
  <c r="W582" i="2"/>
  <c r="V582" i="2"/>
  <c r="U582" i="2"/>
  <c r="T582" i="2"/>
  <c r="S582" i="2"/>
  <c r="R582" i="2"/>
  <c r="Q582" i="2"/>
  <c r="P582" i="2"/>
  <c r="O582" i="2"/>
  <c r="N582" i="2"/>
  <c r="M582" i="2"/>
  <c r="L582" i="2"/>
  <c r="K582" i="2"/>
  <c r="J582" i="2"/>
  <c r="I582" i="2"/>
  <c r="H582" i="2"/>
  <c r="G582" i="2"/>
  <c r="F582" i="2"/>
  <c r="E582" i="2"/>
  <c r="D582" i="2"/>
  <c r="AL581" i="2"/>
  <c r="AK581" i="2"/>
  <c r="AJ581" i="2"/>
  <c r="AI581" i="2"/>
  <c r="AH581" i="2"/>
  <c r="AG581" i="2"/>
  <c r="AF581" i="2"/>
  <c r="AE581" i="2"/>
  <c r="AD581" i="2"/>
  <c r="AC581" i="2"/>
  <c r="AB581" i="2"/>
  <c r="AA581" i="2"/>
  <c r="Z581" i="2"/>
  <c r="Y581" i="2"/>
  <c r="X581" i="2"/>
  <c r="W581" i="2"/>
  <c r="V581" i="2"/>
  <c r="U581" i="2"/>
  <c r="T581" i="2"/>
  <c r="S581" i="2"/>
  <c r="R581" i="2"/>
  <c r="Q581" i="2"/>
  <c r="P581" i="2"/>
  <c r="O581" i="2"/>
  <c r="N581" i="2"/>
  <c r="M581" i="2"/>
  <c r="L581" i="2"/>
  <c r="K581" i="2"/>
  <c r="J581" i="2"/>
  <c r="I581" i="2"/>
  <c r="H581" i="2"/>
  <c r="G581" i="2"/>
  <c r="F581" i="2"/>
  <c r="E581" i="2"/>
  <c r="D581" i="2"/>
  <c r="AL580" i="2"/>
  <c r="AK580" i="2"/>
  <c r="AJ580" i="2"/>
  <c r="AI580" i="2"/>
  <c r="AH580" i="2"/>
  <c r="AG580" i="2"/>
  <c r="AF580" i="2"/>
  <c r="AE580" i="2"/>
  <c r="AD580" i="2"/>
  <c r="AC580" i="2"/>
  <c r="AB580" i="2"/>
  <c r="AA580" i="2"/>
  <c r="Z580" i="2"/>
  <c r="Y580" i="2"/>
  <c r="X580" i="2"/>
  <c r="W580" i="2"/>
  <c r="V580" i="2"/>
  <c r="U580" i="2"/>
  <c r="T580" i="2"/>
  <c r="S580" i="2"/>
  <c r="R580" i="2"/>
  <c r="Q580" i="2"/>
  <c r="P580" i="2"/>
  <c r="O580" i="2"/>
  <c r="N580" i="2"/>
  <c r="M580" i="2"/>
  <c r="L580" i="2"/>
  <c r="K580" i="2"/>
  <c r="J580" i="2"/>
  <c r="I580" i="2"/>
  <c r="H580" i="2"/>
  <c r="G580" i="2"/>
  <c r="F580" i="2"/>
  <c r="E580" i="2"/>
  <c r="D580" i="2"/>
  <c r="AL579" i="2"/>
  <c r="AK579" i="2"/>
  <c r="AJ579" i="2"/>
  <c r="AI579" i="2"/>
  <c r="AH579" i="2"/>
  <c r="AG579" i="2"/>
  <c r="AF579" i="2"/>
  <c r="AE579" i="2"/>
  <c r="AD579" i="2"/>
  <c r="AC579" i="2"/>
  <c r="AB579" i="2"/>
  <c r="AA579" i="2"/>
  <c r="Z579" i="2"/>
  <c r="Y579" i="2"/>
  <c r="X579" i="2"/>
  <c r="W579" i="2"/>
  <c r="V579" i="2"/>
  <c r="U579" i="2"/>
  <c r="T579" i="2"/>
  <c r="S579" i="2"/>
  <c r="R579" i="2"/>
  <c r="Q579" i="2"/>
  <c r="P579" i="2"/>
  <c r="O579" i="2"/>
  <c r="N579" i="2"/>
  <c r="M579" i="2"/>
  <c r="L579" i="2"/>
  <c r="K579" i="2"/>
  <c r="J579" i="2"/>
  <c r="I579" i="2"/>
  <c r="H579" i="2"/>
  <c r="G579" i="2"/>
  <c r="F579" i="2"/>
  <c r="E579" i="2"/>
  <c r="D579" i="2"/>
  <c r="AL578" i="2"/>
  <c r="AK578" i="2"/>
  <c r="AJ578" i="2"/>
  <c r="AI578" i="2"/>
  <c r="AH578" i="2"/>
  <c r="AG578" i="2"/>
  <c r="AF578" i="2"/>
  <c r="AE578" i="2"/>
  <c r="AD578" i="2"/>
  <c r="AC578" i="2"/>
  <c r="AB578" i="2"/>
  <c r="AA578" i="2"/>
  <c r="Z578" i="2"/>
  <c r="Y578" i="2"/>
  <c r="X578" i="2"/>
  <c r="W578" i="2"/>
  <c r="V578" i="2"/>
  <c r="U578" i="2"/>
  <c r="T578" i="2"/>
  <c r="S578" i="2"/>
  <c r="R578" i="2"/>
  <c r="Q578" i="2"/>
  <c r="P578" i="2"/>
  <c r="O578" i="2"/>
  <c r="N578" i="2"/>
  <c r="M578" i="2"/>
  <c r="L578" i="2"/>
  <c r="K578" i="2"/>
  <c r="J578" i="2"/>
  <c r="I578" i="2"/>
  <c r="H578" i="2"/>
  <c r="G578" i="2"/>
  <c r="F578" i="2"/>
  <c r="E578" i="2"/>
  <c r="D578" i="2"/>
  <c r="AL577" i="2"/>
  <c r="AK577" i="2"/>
  <c r="AJ577" i="2"/>
  <c r="AI577" i="2"/>
  <c r="AH577" i="2"/>
  <c r="AG577" i="2"/>
  <c r="AF577" i="2"/>
  <c r="AE577" i="2"/>
  <c r="AD577" i="2"/>
  <c r="AC577" i="2"/>
  <c r="AB577" i="2"/>
  <c r="AA577" i="2"/>
  <c r="Z577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H577" i="2"/>
  <c r="G577" i="2"/>
  <c r="F577" i="2"/>
  <c r="E577" i="2"/>
  <c r="D577" i="2"/>
  <c r="AL576" i="2"/>
  <c r="AK576" i="2"/>
  <c r="AJ576" i="2"/>
  <c r="AI576" i="2"/>
  <c r="AH576" i="2"/>
  <c r="AG576" i="2"/>
  <c r="AF576" i="2"/>
  <c r="AE576" i="2"/>
  <c r="AD576" i="2"/>
  <c r="AC576" i="2"/>
  <c r="AB576" i="2"/>
  <c r="AA576" i="2"/>
  <c r="Z576" i="2"/>
  <c r="Y576" i="2"/>
  <c r="X576" i="2"/>
  <c r="W576" i="2"/>
  <c r="V576" i="2"/>
  <c r="U576" i="2"/>
  <c r="T576" i="2"/>
  <c r="S576" i="2"/>
  <c r="R576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E576" i="2"/>
  <c r="D576" i="2"/>
  <c r="AL575" i="2"/>
  <c r="AK575" i="2"/>
  <c r="AJ575" i="2"/>
  <c r="AI575" i="2"/>
  <c r="AH575" i="2"/>
  <c r="AG575" i="2"/>
  <c r="AF575" i="2"/>
  <c r="AE575" i="2"/>
  <c r="AD575" i="2"/>
  <c r="AC575" i="2"/>
  <c r="AB575" i="2"/>
  <c r="AA575" i="2"/>
  <c r="Z575" i="2"/>
  <c r="Y575" i="2"/>
  <c r="X575" i="2"/>
  <c r="W575" i="2"/>
  <c r="V575" i="2"/>
  <c r="U575" i="2"/>
  <c r="T575" i="2"/>
  <c r="S575" i="2"/>
  <c r="R575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E575" i="2"/>
  <c r="D575" i="2"/>
  <c r="AL574" i="2"/>
  <c r="AK574" i="2"/>
  <c r="AJ574" i="2"/>
  <c r="AI574" i="2"/>
  <c r="AH574" i="2"/>
  <c r="AG574" i="2"/>
  <c r="AF574" i="2"/>
  <c r="AE574" i="2"/>
  <c r="AD574" i="2"/>
  <c r="AC574" i="2"/>
  <c r="AB574" i="2"/>
  <c r="AA574" i="2"/>
  <c r="Z574" i="2"/>
  <c r="Y574" i="2"/>
  <c r="X574" i="2"/>
  <c r="W574" i="2"/>
  <c r="V574" i="2"/>
  <c r="U574" i="2"/>
  <c r="T574" i="2"/>
  <c r="S574" i="2"/>
  <c r="R574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E574" i="2"/>
  <c r="D574" i="2"/>
  <c r="AL573" i="2"/>
  <c r="AK573" i="2"/>
  <c r="AJ573" i="2"/>
  <c r="AI573" i="2"/>
  <c r="AH573" i="2"/>
  <c r="AG573" i="2"/>
  <c r="AF573" i="2"/>
  <c r="AE573" i="2"/>
  <c r="AD573" i="2"/>
  <c r="AC573" i="2"/>
  <c r="AB573" i="2"/>
  <c r="AA573" i="2"/>
  <c r="Z573" i="2"/>
  <c r="Y573" i="2"/>
  <c r="X573" i="2"/>
  <c r="W573" i="2"/>
  <c r="V573" i="2"/>
  <c r="U573" i="2"/>
  <c r="T573" i="2"/>
  <c r="S573" i="2"/>
  <c r="R573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E573" i="2"/>
  <c r="D573" i="2"/>
  <c r="AL572" i="2"/>
  <c r="AK572" i="2"/>
  <c r="AJ572" i="2"/>
  <c r="AI572" i="2"/>
  <c r="AH572" i="2"/>
  <c r="AG572" i="2"/>
  <c r="AF572" i="2"/>
  <c r="AE572" i="2"/>
  <c r="AD572" i="2"/>
  <c r="AC572" i="2"/>
  <c r="AB572" i="2"/>
  <c r="AA572" i="2"/>
  <c r="Z572" i="2"/>
  <c r="Y572" i="2"/>
  <c r="X572" i="2"/>
  <c r="W572" i="2"/>
  <c r="V572" i="2"/>
  <c r="U572" i="2"/>
  <c r="T572" i="2"/>
  <c r="S572" i="2"/>
  <c r="R572" i="2"/>
  <c r="Q572" i="2"/>
  <c r="P572" i="2"/>
  <c r="O572" i="2"/>
  <c r="N572" i="2"/>
  <c r="M572" i="2"/>
  <c r="L572" i="2"/>
  <c r="K572" i="2"/>
  <c r="J572" i="2"/>
  <c r="I572" i="2"/>
  <c r="H572" i="2"/>
  <c r="G572" i="2"/>
  <c r="F572" i="2"/>
  <c r="E572" i="2"/>
  <c r="D572" i="2"/>
  <c r="C572" i="2"/>
  <c r="C573" i="2"/>
  <c r="C574" i="2"/>
  <c r="C575" i="2"/>
  <c r="C576" i="2"/>
  <c r="C577" i="2"/>
  <c r="C581" i="2"/>
  <c r="C580" i="2"/>
  <c r="C583" i="2"/>
  <c r="C582" i="2"/>
  <c r="C579" i="2"/>
  <c r="C578" i="2"/>
  <c r="I319" i="2" l="1"/>
  <c r="H319" i="2"/>
  <c r="G319" i="2"/>
  <c r="I318" i="2"/>
  <c r="H318" i="2"/>
  <c r="G318" i="2"/>
  <c r="I317" i="2"/>
  <c r="H317" i="2"/>
  <c r="G317" i="2"/>
  <c r="I316" i="2"/>
  <c r="H316" i="2"/>
  <c r="G316" i="2"/>
  <c r="I315" i="2"/>
  <c r="H315" i="2"/>
  <c r="G315" i="2"/>
  <c r="I314" i="2"/>
  <c r="H314" i="2"/>
  <c r="G314" i="2"/>
  <c r="I313" i="2"/>
  <c r="H313" i="2"/>
  <c r="G313" i="2"/>
  <c r="C296" i="2"/>
  <c r="AK298" i="2" l="1"/>
  <c r="AI296" i="2"/>
  <c r="S296" i="2"/>
  <c r="E298" i="2"/>
  <c r="K296" i="2"/>
  <c r="U298" i="2"/>
  <c r="AA296" i="2"/>
  <c r="E293" i="2"/>
  <c r="M293" i="2"/>
  <c r="U293" i="2"/>
  <c r="AC293" i="2"/>
  <c r="AK293" i="2"/>
  <c r="J294" i="2"/>
  <c r="R294" i="2"/>
  <c r="C304" i="2" s="1"/>
  <c r="Z294" i="2"/>
  <c r="AH294" i="2"/>
  <c r="G295" i="2"/>
  <c r="O295" i="2"/>
  <c r="W295" i="2"/>
  <c r="AE295" i="2"/>
  <c r="D296" i="2"/>
  <c r="L296" i="2"/>
  <c r="T296" i="2"/>
  <c r="AB296" i="2"/>
  <c r="D306" i="2" s="1"/>
  <c r="AJ296" i="2"/>
  <c r="I297" i="2"/>
  <c r="Q297" i="2"/>
  <c r="Y297" i="2"/>
  <c r="AG297" i="2"/>
  <c r="F298" i="2"/>
  <c r="N298" i="2"/>
  <c r="V298" i="2"/>
  <c r="AD298" i="2"/>
  <c r="AL298" i="2"/>
  <c r="E308" i="2" s="1"/>
  <c r="K299" i="2"/>
  <c r="S299" i="2"/>
  <c r="AA299" i="2"/>
  <c r="AI299" i="2"/>
  <c r="AF293" i="2"/>
  <c r="O296" i="2"/>
  <c r="L297" i="2"/>
  <c r="Q298" i="2"/>
  <c r="N299" i="2"/>
  <c r="X293" i="2"/>
  <c r="Z295" i="2"/>
  <c r="G296" i="2"/>
  <c r="D297" i="2"/>
  <c r="I298" i="2"/>
  <c r="V299" i="2"/>
  <c r="H293" i="2"/>
  <c r="R295" i="2"/>
  <c r="C305" i="2" s="1"/>
  <c r="W296" i="2"/>
  <c r="T297" i="2"/>
  <c r="AJ297" i="2"/>
  <c r="AG298" i="2"/>
  <c r="AL299" i="2"/>
  <c r="E309" i="2" s="1"/>
  <c r="P293" i="2"/>
  <c r="J295" i="2"/>
  <c r="AH295" i="2"/>
  <c r="AE296" i="2"/>
  <c r="AB297" i="2"/>
  <c r="D307" i="2" s="1"/>
  <c r="Y298" i="2"/>
  <c r="F299" i="2"/>
  <c r="AD299" i="2"/>
  <c r="K294" i="2"/>
  <c r="S294" i="2"/>
  <c r="AA294" i="2"/>
  <c r="E296" i="2"/>
  <c r="AC296" i="2"/>
  <c r="AK296" i="2"/>
  <c r="O293" i="2"/>
  <c r="L294" i="2"/>
  <c r="I295" i="2"/>
  <c r="AL296" i="2"/>
  <c r="E306" i="2" s="1"/>
  <c r="AE293" i="2"/>
  <c r="AB294" i="2"/>
  <c r="D304" i="2" s="1"/>
  <c r="Y295" i="2"/>
  <c r="N296" i="2"/>
  <c r="W293" i="2"/>
  <c r="T294" i="2"/>
  <c r="Q295" i="2"/>
  <c r="AD296" i="2"/>
  <c r="G293" i="2"/>
  <c r="D294" i="2"/>
  <c r="AJ294" i="2"/>
  <c r="AG295" i="2"/>
  <c r="F296" i="2"/>
  <c r="V296" i="2"/>
  <c r="K297" i="2"/>
  <c r="S297" i="2"/>
  <c r="AA297" i="2"/>
  <c r="AI297" i="2"/>
  <c r="H298" i="2"/>
  <c r="P298" i="2"/>
  <c r="X298" i="2"/>
  <c r="AF298" i="2"/>
  <c r="E299" i="2"/>
  <c r="M299" i="2"/>
  <c r="U299" i="2"/>
  <c r="AC299" i="2"/>
  <c r="AK299" i="2"/>
  <c r="Y293" i="2"/>
  <c r="AD294" i="2"/>
  <c r="X296" i="2"/>
  <c r="AK297" i="2"/>
  <c r="AE299" i="2"/>
  <c r="G294" i="2"/>
  <c r="I296" i="2"/>
  <c r="Q293" i="2"/>
  <c r="V294" i="2"/>
  <c r="AI295" i="2"/>
  <c r="AC297" i="2"/>
  <c r="R298" i="2"/>
  <c r="C308" i="2" s="1"/>
  <c r="O299" i="2"/>
  <c r="Z293" i="2"/>
  <c r="W294" i="2"/>
  <c r="AB295" i="2"/>
  <c r="D305" i="2" s="1"/>
  <c r="AG296" i="2"/>
  <c r="V297" i="2"/>
  <c r="H299" i="2"/>
  <c r="K293" i="2"/>
  <c r="S293" i="2"/>
  <c r="AA293" i="2"/>
  <c r="AI293" i="2"/>
  <c r="H294" i="2"/>
  <c r="P294" i="2"/>
  <c r="X294" i="2"/>
  <c r="AF294" i="2"/>
  <c r="E295" i="2"/>
  <c r="M295" i="2"/>
  <c r="U295" i="2"/>
  <c r="AC295" i="2"/>
  <c r="AK295" i="2"/>
  <c r="J296" i="2"/>
  <c r="R296" i="2"/>
  <c r="C306" i="2" s="1"/>
  <c r="Z296" i="2"/>
  <c r="AH296" i="2"/>
  <c r="G297" i="2"/>
  <c r="O297" i="2"/>
  <c r="W297" i="2"/>
  <c r="AE297" i="2"/>
  <c r="D298" i="2"/>
  <c r="L298" i="2"/>
  <c r="T298" i="2"/>
  <c r="AB298" i="2"/>
  <c r="D308" i="2" s="1"/>
  <c r="AJ298" i="2"/>
  <c r="I299" i="2"/>
  <c r="Q299" i="2"/>
  <c r="Y299" i="2"/>
  <c r="AG299" i="2"/>
  <c r="M298" i="2"/>
  <c r="AC298" i="2"/>
  <c r="F294" i="2"/>
  <c r="K295" i="2"/>
  <c r="P296" i="2"/>
  <c r="E297" i="2"/>
  <c r="AH298" i="2"/>
  <c r="O294" i="2"/>
  <c r="T295" i="2"/>
  <c r="Q296" i="2"/>
  <c r="AL297" i="2"/>
  <c r="E307" i="2" s="1"/>
  <c r="S295" i="2"/>
  <c r="AF296" i="2"/>
  <c r="J298" i="2"/>
  <c r="W299" i="2"/>
  <c r="AH293" i="2"/>
  <c r="L295" i="2"/>
  <c r="Y296" i="2"/>
  <c r="AD297" i="2"/>
  <c r="X299" i="2"/>
  <c r="AI294" i="2"/>
  <c r="M296" i="2"/>
  <c r="U296" i="2"/>
  <c r="I293" i="2"/>
  <c r="N294" i="2"/>
  <c r="AA295" i="2"/>
  <c r="M297" i="2"/>
  <c r="Z298" i="2"/>
  <c r="J293" i="2"/>
  <c r="D295" i="2"/>
  <c r="N297" i="2"/>
  <c r="AF299" i="2"/>
  <c r="AG293" i="2"/>
  <c r="AL294" i="2"/>
  <c r="E304" i="2" s="1"/>
  <c r="H296" i="2"/>
  <c r="U297" i="2"/>
  <c r="G299" i="2"/>
  <c r="R293" i="2"/>
  <c r="C303" i="2" s="1"/>
  <c r="AE294" i="2"/>
  <c r="AJ295" i="2"/>
  <c r="F297" i="2"/>
  <c r="P299" i="2"/>
  <c r="D293" i="2"/>
  <c r="L293" i="2"/>
  <c r="T293" i="2"/>
  <c r="AB293" i="2"/>
  <c r="D303" i="2" s="1"/>
  <c r="AJ293" i="2"/>
  <c r="I294" i="2"/>
  <c r="Q294" i="2"/>
  <c r="Y294" i="2"/>
  <c r="AG294" i="2"/>
  <c r="F295" i="2"/>
  <c r="N295" i="2"/>
  <c r="V295" i="2"/>
  <c r="AD295" i="2"/>
  <c r="AL295" i="2"/>
  <c r="E305" i="2" s="1"/>
  <c r="H297" i="2"/>
  <c r="P297" i="2"/>
  <c r="X297" i="2"/>
  <c r="AF297" i="2"/>
  <c r="J299" i="2"/>
  <c r="R299" i="2"/>
  <c r="C309" i="2" s="1"/>
  <c r="Z299" i="2"/>
  <c r="AH299" i="2"/>
  <c r="AD293" i="2"/>
  <c r="P295" i="2"/>
  <c r="X295" i="2"/>
  <c r="AF295" i="2"/>
  <c r="J297" i="2"/>
  <c r="R297" i="2"/>
  <c r="C307" i="2" s="1"/>
  <c r="Z297" i="2"/>
  <c r="AH297" i="2"/>
  <c r="G298" i="2"/>
  <c r="O298" i="2"/>
  <c r="W298" i="2"/>
  <c r="AE298" i="2"/>
  <c r="D299" i="2"/>
  <c r="L299" i="2"/>
  <c r="T299" i="2"/>
  <c r="AB299" i="2"/>
  <c r="D309" i="2" s="1"/>
  <c r="AJ299" i="2"/>
  <c r="F293" i="2"/>
  <c r="AL293" i="2"/>
  <c r="E303" i="2" s="1"/>
  <c r="H295" i="2"/>
  <c r="E294" i="2"/>
  <c r="M294" i="2"/>
  <c r="U294" i="2"/>
  <c r="AC294" i="2"/>
  <c r="AK294" i="2"/>
  <c r="V293" i="2"/>
  <c r="N293" i="2"/>
  <c r="K298" i="2"/>
  <c r="S298" i="2"/>
  <c r="AA298" i="2"/>
  <c r="AI298" i="2"/>
  <c r="C294" i="2" l="1"/>
  <c r="I168" i="2"/>
  <c r="H168" i="2"/>
  <c r="G168" i="2"/>
  <c r="I167" i="2"/>
  <c r="H167" i="2"/>
  <c r="G167" i="2"/>
  <c r="I166" i="2"/>
  <c r="H166" i="2"/>
  <c r="G166" i="2"/>
  <c r="I165" i="2"/>
  <c r="H165" i="2"/>
  <c r="G165" i="2"/>
  <c r="I164" i="2"/>
  <c r="H164" i="2"/>
  <c r="G164" i="2"/>
  <c r="I163" i="2"/>
  <c r="H163" i="2"/>
  <c r="G163" i="2"/>
  <c r="I162" i="2"/>
  <c r="H162" i="2"/>
  <c r="G162" i="2"/>
  <c r="I117" i="2"/>
  <c r="H117" i="2"/>
  <c r="G117" i="2"/>
  <c r="I116" i="2"/>
  <c r="H116" i="2"/>
  <c r="G116" i="2"/>
  <c r="I115" i="2"/>
  <c r="H115" i="2"/>
  <c r="G115" i="2"/>
  <c r="I114" i="2"/>
  <c r="H114" i="2"/>
  <c r="G114" i="2"/>
  <c r="I113" i="2"/>
  <c r="H113" i="2"/>
  <c r="G113" i="2"/>
  <c r="I112" i="2"/>
  <c r="H112" i="2"/>
  <c r="G112" i="2"/>
  <c r="I111" i="2"/>
  <c r="H111" i="2"/>
  <c r="G111" i="2"/>
  <c r="AC228" i="2" l="1"/>
  <c r="AK228" i="2"/>
  <c r="U228" i="2"/>
  <c r="R229" i="2"/>
  <c r="C239" i="2" s="1"/>
  <c r="AH229" i="2"/>
  <c r="M228" i="2"/>
  <c r="J229" i="2"/>
  <c r="E228" i="2"/>
  <c r="Z229" i="2"/>
  <c r="X228" i="2"/>
  <c r="G231" i="2"/>
  <c r="D232" i="2"/>
  <c r="AB232" i="2"/>
  <c r="D242" i="2" s="1"/>
  <c r="Y233" i="2"/>
  <c r="V234" i="2"/>
  <c r="G230" i="2"/>
  <c r="O230" i="2"/>
  <c r="W230" i="2"/>
  <c r="AE230" i="2"/>
  <c r="D231" i="2"/>
  <c r="L231" i="2"/>
  <c r="T231" i="2"/>
  <c r="AB231" i="2"/>
  <c r="D241" i="2" s="1"/>
  <c r="AJ231" i="2"/>
  <c r="I232" i="2"/>
  <c r="Q232" i="2"/>
  <c r="Y232" i="2"/>
  <c r="AG232" i="2"/>
  <c r="F233" i="2"/>
  <c r="N233" i="2"/>
  <c r="V233" i="2"/>
  <c r="AD233" i="2"/>
  <c r="AL233" i="2"/>
  <c r="E243" i="2" s="1"/>
  <c r="K234" i="2"/>
  <c r="S234" i="2"/>
  <c r="AA234" i="2"/>
  <c r="AI234" i="2"/>
  <c r="O231" i="2"/>
  <c r="AG233" i="2"/>
  <c r="Z230" i="2"/>
  <c r="F234" i="2"/>
  <c r="P228" i="2"/>
  <c r="R230" i="2"/>
  <c r="C240" i="2" s="1"/>
  <c r="AE231" i="2"/>
  <c r="T232" i="2"/>
  <c r="AJ232" i="2"/>
  <c r="N234" i="2"/>
  <c r="AF228" i="2"/>
  <c r="AH230" i="2"/>
  <c r="L232" i="2"/>
  <c r="Q233" i="2"/>
  <c r="AL234" i="2"/>
  <c r="E244" i="2" s="1"/>
  <c r="H228" i="2"/>
  <c r="J230" i="2"/>
  <c r="W231" i="2"/>
  <c r="I233" i="2"/>
  <c r="AD234" i="2"/>
  <c r="K229" i="2"/>
  <c r="AI229" i="2"/>
  <c r="E231" i="2"/>
  <c r="I228" i="2"/>
  <c r="F229" i="2"/>
  <c r="AL229" i="2"/>
  <c r="E239" i="2" s="1"/>
  <c r="H231" i="2"/>
  <c r="AF231" i="2"/>
  <c r="K231" i="2"/>
  <c r="AI231" i="2"/>
  <c r="E233" i="2"/>
  <c r="M233" i="2"/>
  <c r="AC233" i="2"/>
  <c r="Q228" i="2"/>
  <c r="N229" i="2"/>
  <c r="K230" i="2"/>
  <c r="AI230" i="2"/>
  <c r="X231" i="2"/>
  <c r="AG228" i="2"/>
  <c r="AD229" i="2"/>
  <c r="AA230" i="2"/>
  <c r="E232" i="2"/>
  <c r="Y228" i="2"/>
  <c r="V229" i="2"/>
  <c r="S230" i="2"/>
  <c r="P231" i="2"/>
  <c r="S229" i="2"/>
  <c r="M231" i="2"/>
  <c r="AC231" i="2"/>
  <c r="AK231" i="2"/>
  <c r="G228" i="2"/>
  <c r="O228" i="2"/>
  <c r="W228" i="2"/>
  <c r="AE228" i="2"/>
  <c r="D229" i="2"/>
  <c r="L229" i="2"/>
  <c r="T229" i="2"/>
  <c r="AB229" i="2"/>
  <c r="D239" i="2" s="1"/>
  <c r="AJ229" i="2"/>
  <c r="I230" i="2"/>
  <c r="Q230" i="2"/>
  <c r="Y230" i="2"/>
  <c r="AG230" i="2"/>
  <c r="F231" i="2"/>
  <c r="N231" i="2"/>
  <c r="V231" i="2"/>
  <c r="AD231" i="2"/>
  <c r="AL231" i="2"/>
  <c r="E241" i="2" s="1"/>
  <c r="K232" i="2"/>
  <c r="S232" i="2"/>
  <c r="AA232" i="2"/>
  <c r="AI232" i="2"/>
  <c r="H233" i="2"/>
  <c r="P233" i="2"/>
  <c r="X233" i="2"/>
  <c r="AF233" i="2"/>
  <c r="E234" i="2"/>
  <c r="M234" i="2"/>
  <c r="U234" i="2"/>
  <c r="AC234" i="2"/>
  <c r="AK234" i="2"/>
  <c r="AA228" i="2"/>
  <c r="E230" i="2"/>
  <c r="R231" i="2"/>
  <c r="C241" i="2" s="1"/>
  <c r="D233" i="2"/>
  <c r="Y234" i="2"/>
  <c r="H229" i="2"/>
  <c r="U230" i="2"/>
  <c r="Z231" i="2"/>
  <c r="O232" i="2"/>
  <c r="T233" i="2"/>
  <c r="AJ233" i="2"/>
  <c r="M232" i="2"/>
  <c r="U232" i="2"/>
  <c r="AC232" i="2"/>
  <c r="AK232" i="2"/>
  <c r="J233" i="2"/>
  <c r="R233" i="2"/>
  <c r="C243" i="2" s="1"/>
  <c r="Z233" i="2"/>
  <c r="AH233" i="2"/>
  <c r="G234" i="2"/>
  <c r="O234" i="2"/>
  <c r="W234" i="2"/>
  <c r="AE234" i="2"/>
  <c r="C229" i="2"/>
  <c r="K233" i="2"/>
  <c r="S233" i="2"/>
  <c r="AA233" i="2"/>
  <c r="AI233" i="2"/>
  <c r="C231" i="2"/>
  <c r="AF229" i="2"/>
  <c r="J231" i="2"/>
  <c r="G232" i="2"/>
  <c r="AB233" i="2"/>
  <c r="D243" i="2" s="1"/>
  <c r="S231" i="2"/>
  <c r="AA231" i="2"/>
  <c r="U233" i="2"/>
  <c r="AK233" i="2"/>
  <c r="S228" i="2"/>
  <c r="X229" i="2"/>
  <c r="AK230" i="2"/>
  <c r="AE232" i="2"/>
  <c r="Q234" i="2"/>
  <c r="AA229" i="2"/>
  <c r="U231" i="2"/>
  <c r="K228" i="2"/>
  <c r="P229" i="2"/>
  <c r="AC230" i="2"/>
  <c r="W232" i="2"/>
  <c r="I234" i="2"/>
  <c r="AI228" i="2"/>
  <c r="M230" i="2"/>
  <c r="AH231" i="2"/>
  <c r="L233" i="2"/>
  <c r="AG234" i="2"/>
  <c r="D228" i="2"/>
  <c r="L228" i="2"/>
  <c r="T228" i="2"/>
  <c r="AB228" i="2"/>
  <c r="D238" i="2" s="1"/>
  <c r="AJ228" i="2"/>
  <c r="I229" i="2"/>
  <c r="Q229" i="2"/>
  <c r="Y229" i="2"/>
  <c r="AG229" i="2"/>
  <c r="F230" i="2"/>
  <c r="N230" i="2"/>
  <c r="V230" i="2"/>
  <c r="AD230" i="2"/>
  <c r="AL230" i="2"/>
  <c r="E240" i="2" s="1"/>
  <c r="H232" i="2"/>
  <c r="P232" i="2"/>
  <c r="X232" i="2"/>
  <c r="AF232" i="2"/>
  <c r="J234" i="2"/>
  <c r="R234" i="2"/>
  <c r="C244" i="2" s="1"/>
  <c r="Z234" i="2"/>
  <c r="AH234" i="2"/>
  <c r="F228" i="2"/>
  <c r="N228" i="2"/>
  <c r="V228" i="2"/>
  <c r="AD228" i="2"/>
  <c r="AL228" i="2"/>
  <c r="E238" i="2" s="1"/>
  <c r="H230" i="2"/>
  <c r="P230" i="2"/>
  <c r="X230" i="2"/>
  <c r="AF230" i="2"/>
  <c r="J232" i="2"/>
  <c r="R232" i="2"/>
  <c r="C242" i="2" s="1"/>
  <c r="Z232" i="2"/>
  <c r="AH232" i="2"/>
  <c r="G233" i="2"/>
  <c r="O233" i="2"/>
  <c r="W233" i="2"/>
  <c r="AE233" i="2"/>
  <c r="D234" i="2"/>
  <c r="L234" i="2"/>
  <c r="T234" i="2"/>
  <c r="AB234" i="2"/>
  <c r="D244" i="2" s="1"/>
  <c r="AJ234" i="2"/>
  <c r="E229" i="2"/>
  <c r="M229" i="2"/>
  <c r="U229" i="2"/>
  <c r="AC229" i="2"/>
  <c r="AK229" i="2"/>
  <c r="J228" i="2"/>
  <c r="R228" i="2"/>
  <c r="C238" i="2" s="1"/>
  <c r="Z228" i="2"/>
  <c r="AH228" i="2"/>
  <c r="G229" i="2"/>
  <c r="O229" i="2"/>
  <c r="W229" i="2"/>
  <c r="AE229" i="2"/>
  <c r="D230" i="2"/>
  <c r="L230" i="2"/>
  <c r="T230" i="2"/>
  <c r="AB230" i="2"/>
  <c r="D240" i="2" s="1"/>
  <c r="AJ230" i="2"/>
  <c r="I231" i="2"/>
  <c r="Q231" i="2"/>
  <c r="Y231" i="2"/>
  <c r="AG231" i="2"/>
  <c r="F232" i="2"/>
  <c r="N232" i="2"/>
  <c r="V232" i="2"/>
  <c r="AD232" i="2"/>
  <c r="AL232" i="2"/>
  <c r="E242" i="2" s="1"/>
  <c r="H234" i="2"/>
  <c r="P234" i="2"/>
  <c r="X234" i="2"/>
  <c r="AF234" i="2"/>
  <c r="T203" i="2"/>
  <c r="Q204" i="2"/>
  <c r="AG204" i="2"/>
  <c r="AA206" i="2"/>
  <c r="AI206" i="2"/>
  <c r="AG202" i="2"/>
  <c r="Q202" i="2"/>
  <c r="D201" i="2"/>
  <c r="W203" i="2"/>
  <c r="AJ201" i="2"/>
  <c r="L201" i="2"/>
  <c r="T201" i="2"/>
  <c r="AB201" i="2"/>
  <c r="Y202" i="2"/>
  <c r="K204" i="2"/>
  <c r="AA204" i="2"/>
  <c r="AI204" i="2"/>
  <c r="K202" i="2"/>
  <c r="S202" i="2"/>
  <c r="AA202" i="2"/>
  <c r="AI202" i="2"/>
  <c r="G203" i="2"/>
  <c r="O203" i="2"/>
  <c r="AE203" i="2"/>
  <c r="C202" i="2"/>
  <c r="G201" i="2"/>
  <c r="O201" i="2"/>
  <c r="W201" i="2"/>
  <c r="AE201" i="2"/>
  <c r="H206" i="2"/>
  <c r="P206" i="2"/>
  <c r="X206" i="2"/>
  <c r="Y204" i="2"/>
  <c r="I202" i="2"/>
  <c r="S204" i="2"/>
  <c r="D203" i="2"/>
  <c r="L203" i="2"/>
  <c r="AB203" i="2"/>
  <c r="AJ203" i="2"/>
  <c r="I204" i="2"/>
  <c r="K206" i="2"/>
  <c r="S206" i="2"/>
  <c r="AB202" i="2"/>
  <c r="Q203" i="2"/>
  <c r="N204" i="2"/>
  <c r="AD204" i="2"/>
  <c r="AL204" i="2"/>
  <c r="K205" i="2"/>
  <c r="S205" i="2"/>
  <c r="AA205" i="2"/>
  <c r="AI205" i="2"/>
  <c r="H204" i="2"/>
  <c r="P204" i="2"/>
  <c r="X204" i="2"/>
  <c r="AF204" i="2"/>
  <c r="E205" i="2"/>
  <c r="M205" i="2"/>
  <c r="U205" i="2"/>
  <c r="AC205" i="2"/>
  <c r="AK205" i="2"/>
  <c r="G207" i="2"/>
  <c r="O207" i="2"/>
  <c r="W207" i="2"/>
  <c r="AE207" i="2"/>
  <c r="C204" i="2"/>
  <c r="H202" i="2"/>
  <c r="P202" i="2"/>
  <c r="X202" i="2"/>
  <c r="AF202" i="2"/>
  <c r="E203" i="2"/>
  <c r="M203" i="2"/>
  <c r="U203" i="2"/>
  <c r="AC203" i="2"/>
  <c r="AK203" i="2"/>
  <c r="G205" i="2"/>
  <c r="O205" i="2"/>
  <c r="W205" i="2"/>
  <c r="AE205" i="2"/>
  <c r="H201" i="2"/>
  <c r="P201" i="2"/>
  <c r="X201" i="2"/>
  <c r="AF201" i="2"/>
  <c r="E202" i="2"/>
  <c r="M202" i="2"/>
  <c r="U202" i="2"/>
  <c r="AC202" i="2"/>
  <c r="AK202" i="2"/>
  <c r="J203" i="2"/>
  <c r="R203" i="2"/>
  <c r="Z203" i="2"/>
  <c r="AH203" i="2"/>
  <c r="G204" i="2"/>
  <c r="O204" i="2"/>
  <c r="W204" i="2"/>
  <c r="AE204" i="2"/>
  <c r="D205" i="2"/>
  <c r="L205" i="2"/>
  <c r="T205" i="2"/>
  <c r="AB205" i="2"/>
  <c r="AJ205" i="2"/>
  <c r="I206" i="2"/>
  <c r="Q206" i="2"/>
  <c r="Y206" i="2"/>
  <c r="AG206" i="2"/>
  <c r="F207" i="2"/>
  <c r="N207" i="2"/>
  <c r="V207" i="2"/>
  <c r="AD207" i="2"/>
  <c r="AL207" i="2"/>
  <c r="L202" i="2"/>
  <c r="Y203" i="2"/>
  <c r="I201" i="2"/>
  <c r="Q201" i="2"/>
  <c r="Y201" i="2"/>
  <c r="AG201" i="2"/>
  <c r="F202" i="2"/>
  <c r="N202" i="2"/>
  <c r="V202" i="2"/>
  <c r="AD202" i="2"/>
  <c r="AL202" i="2"/>
  <c r="K203" i="2"/>
  <c r="S203" i="2"/>
  <c r="AA203" i="2"/>
  <c r="AI203" i="2"/>
  <c r="J206" i="2"/>
  <c r="R206" i="2"/>
  <c r="Z206" i="2"/>
  <c r="AH206" i="2"/>
  <c r="T202" i="2"/>
  <c r="AG203" i="2"/>
  <c r="J201" i="2"/>
  <c r="R201" i="2"/>
  <c r="Z201" i="2"/>
  <c r="AH201" i="2"/>
  <c r="G202" i="2"/>
  <c r="O202" i="2"/>
  <c r="W202" i="2"/>
  <c r="AE202" i="2"/>
  <c r="F205" i="2"/>
  <c r="N205" i="2"/>
  <c r="V205" i="2"/>
  <c r="AD205" i="2"/>
  <c r="AL205" i="2"/>
  <c r="H207" i="2"/>
  <c r="P207" i="2"/>
  <c r="X207" i="2"/>
  <c r="AF207" i="2"/>
  <c r="AJ202" i="2"/>
  <c r="F204" i="2"/>
  <c r="K201" i="2"/>
  <c r="S201" i="2"/>
  <c r="AA201" i="2"/>
  <c r="AI201" i="2"/>
  <c r="J204" i="2"/>
  <c r="R204" i="2"/>
  <c r="Z204" i="2"/>
  <c r="AH204" i="2"/>
  <c r="D206" i="2"/>
  <c r="L206" i="2"/>
  <c r="T206" i="2"/>
  <c r="AB206" i="2"/>
  <c r="AJ206" i="2"/>
  <c r="I207" i="2"/>
  <c r="Q207" i="2"/>
  <c r="Y207" i="2"/>
  <c r="AG207" i="2"/>
  <c r="D202" i="2"/>
  <c r="I203" i="2"/>
  <c r="V204" i="2"/>
  <c r="F203" i="2"/>
  <c r="N203" i="2"/>
  <c r="V203" i="2"/>
  <c r="AD203" i="2"/>
  <c r="AL203" i="2"/>
  <c r="H205" i="2"/>
  <c r="P205" i="2"/>
  <c r="X205" i="2"/>
  <c r="AF205" i="2"/>
  <c r="E206" i="2"/>
  <c r="M206" i="2"/>
  <c r="U206" i="2"/>
  <c r="AC206" i="2"/>
  <c r="AK206" i="2"/>
  <c r="J207" i="2"/>
  <c r="R207" i="2"/>
  <c r="Z207" i="2"/>
  <c r="AH207" i="2"/>
  <c r="E201" i="2"/>
  <c r="M201" i="2"/>
  <c r="U201" i="2"/>
  <c r="AC201" i="2"/>
  <c r="AK201" i="2"/>
  <c r="J202" i="2"/>
  <c r="R202" i="2"/>
  <c r="Z202" i="2"/>
  <c r="AH202" i="2"/>
  <c r="D204" i="2"/>
  <c r="L204" i="2"/>
  <c r="T204" i="2"/>
  <c r="AB204" i="2"/>
  <c r="AJ204" i="2"/>
  <c r="I205" i="2"/>
  <c r="Q205" i="2"/>
  <c r="Y205" i="2"/>
  <c r="AG205" i="2"/>
  <c r="F206" i="2"/>
  <c r="N206" i="2"/>
  <c r="V206" i="2"/>
  <c r="AD206" i="2"/>
  <c r="AL206" i="2"/>
  <c r="K207" i="2"/>
  <c r="S207" i="2"/>
  <c r="AA207" i="2"/>
  <c r="AI207" i="2"/>
  <c r="AF206" i="2"/>
  <c r="E207" i="2"/>
  <c r="M207" i="2"/>
  <c r="U207" i="2"/>
  <c r="AC207" i="2"/>
  <c r="AK207" i="2"/>
  <c r="F201" i="2"/>
  <c r="N201" i="2"/>
  <c r="V201" i="2"/>
  <c r="AD201" i="2"/>
  <c r="AL201" i="2"/>
  <c r="H203" i="2"/>
  <c r="P203" i="2"/>
  <c r="X203" i="2"/>
  <c r="AF203" i="2"/>
  <c r="E204" i="2"/>
  <c r="M204" i="2"/>
  <c r="U204" i="2"/>
  <c r="AC204" i="2"/>
  <c r="AK204" i="2"/>
  <c r="J205" i="2"/>
  <c r="R205" i="2"/>
  <c r="Z205" i="2"/>
  <c r="AH205" i="2"/>
  <c r="G206" i="2"/>
  <c r="O206" i="2"/>
  <c r="W206" i="2"/>
  <c r="AE206" i="2"/>
  <c r="D207" i="2"/>
  <c r="L207" i="2"/>
  <c r="T207" i="2"/>
  <c r="AB207" i="2"/>
  <c r="AJ207" i="2"/>
  <c r="E155" i="2"/>
  <c r="E152" i="2"/>
  <c r="C156" i="2"/>
  <c r="D156" i="2"/>
  <c r="E158" i="2"/>
  <c r="C153" i="2"/>
  <c r="D155" i="2"/>
  <c r="E157" i="2"/>
  <c r="C157" i="2"/>
  <c r="E153" i="2"/>
  <c r="C155" i="2"/>
  <c r="D157" i="2"/>
  <c r="D152" i="2"/>
  <c r="E154" i="2"/>
  <c r="C158" i="2"/>
  <c r="D153" i="2"/>
  <c r="C154" i="2"/>
  <c r="C152" i="2"/>
  <c r="D154" i="2"/>
  <c r="E156" i="2"/>
  <c r="D158" i="2"/>
  <c r="E102" i="2"/>
  <c r="D102" i="2"/>
  <c r="E104" i="2"/>
  <c r="E105" i="2"/>
  <c r="D101" i="2"/>
  <c r="C104" i="2"/>
  <c r="C103" i="2"/>
  <c r="D105" i="2"/>
  <c r="C102" i="2"/>
  <c r="D104" i="2"/>
  <c r="E106" i="2"/>
  <c r="E101" i="2"/>
  <c r="C105" i="2"/>
  <c r="D107" i="2"/>
  <c r="E107" i="2"/>
  <c r="C106" i="2"/>
  <c r="C101" i="2"/>
  <c r="D103" i="2"/>
  <c r="D106" i="2"/>
  <c r="E103" i="2"/>
  <c r="C107" i="2"/>
  <c r="C232" i="2" l="1"/>
  <c r="I161" i="2" l="1"/>
  <c r="H161" i="2"/>
  <c r="G161" i="2"/>
  <c r="C295" i="2"/>
  <c r="C293" i="2"/>
  <c r="I312" i="2"/>
  <c r="H312" i="2"/>
  <c r="G312" i="2"/>
  <c r="C297" i="2"/>
  <c r="C298" i="2"/>
  <c r="C299" i="2"/>
  <c r="C234" i="2"/>
  <c r="I110" i="2"/>
  <c r="H110" i="2"/>
  <c r="G110" i="2"/>
  <c r="D319" i="2" l="1"/>
  <c r="D313" i="2"/>
  <c r="D314" i="2"/>
  <c r="D318" i="2"/>
  <c r="D315" i="2"/>
  <c r="D317" i="2"/>
  <c r="D316" i="2"/>
  <c r="E315" i="2"/>
  <c r="E313" i="2"/>
  <c r="E317" i="2"/>
  <c r="E319" i="2"/>
  <c r="E316" i="2"/>
  <c r="E318" i="2"/>
  <c r="E314" i="2"/>
  <c r="C319" i="2"/>
  <c r="C314" i="2"/>
  <c r="C313" i="2"/>
  <c r="C316" i="2"/>
  <c r="C317" i="2"/>
  <c r="C318" i="2"/>
  <c r="C315" i="2"/>
  <c r="D168" i="2"/>
  <c r="D165" i="2"/>
  <c r="D166" i="2"/>
  <c r="D164" i="2"/>
  <c r="D162" i="2"/>
  <c r="D163" i="2"/>
  <c r="D167" i="2"/>
  <c r="C162" i="2"/>
  <c r="C163" i="2"/>
  <c r="C165" i="2"/>
  <c r="C167" i="2"/>
  <c r="C164" i="2"/>
  <c r="C168" i="2"/>
  <c r="C166" i="2"/>
  <c r="E166" i="2"/>
  <c r="E168" i="2"/>
  <c r="E163" i="2"/>
  <c r="E162" i="2"/>
  <c r="E167" i="2"/>
  <c r="E164" i="2"/>
  <c r="E165" i="2"/>
  <c r="C113" i="2"/>
  <c r="C115" i="2"/>
  <c r="C111" i="2"/>
  <c r="C114" i="2"/>
  <c r="C112" i="2"/>
  <c r="C116" i="2"/>
  <c r="C117" i="2"/>
  <c r="D117" i="2"/>
  <c r="D115" i="2"/>
  <c r="D113" i="2"/>
  <c r="D114" i="2"/>
  <c r="D116" i="2"/>
  <c r="D111" i="2"/>
  <c r="D112" i="2"/>
  <c r="E113" i="2"/>
  <c r="E111" i="2"/>
  <c r="E117" i="2"/>
  <c r="E115" i="2"/>
  <c r="E112" i="2"/>
  <c r="E114" i="2"/>
  <c r="E116" i="2"/>
  <c r="I292" i="2"/>
  <c r="Q292" i="2"/>
  <c r="Y292" i="2"/>
  <c r="AG292" i="2"/>
  <c r="J292" i="2"/>
  <c r="R292" i="2"/>
  <c r="Z292" i="2"/>
  <c r="AH292" i="2"/>
  <c r="G292" i="2"/>
  <c r="O292" i="2"/>
  <c r="W292" i="2"/>
  <c r="AE292" i="2"/>
  <c r="F292" i="2"/>
  <c r="N292" i="2"/>
  <c r="V292" i="2"/>
  <c r="AD292" i="2"/>
  <c r="AL292" i="2"/>
  <c r="E292" i="2"/>
  <c r="M292" i="2"/>
  <c r="U292" i="2"/>
  <c r="AC292" i="2"/>
  <c r="AK292" i="2"/>
  <c r="K292" i="2"/>
  <c r="S292" i="2"/>
  <c r="AA292" i="2"/>
  <c r="AI292" i="2"/>
  <c r="D292" i="2"/>
  <c r="L292" i="2"/>
  <c r="T292" i="2"/>
  <c r="AB292" i="2"/>
  <c r="AJ292" i="2"/>
  <c r="H292" i="2"/>
  <c r="P292" i="2"/>
  <c r="X292" i="2"/>
  <c r="AF292" i="2"/>
  <c r="H227" i="2"/>
  <c r="P227" i="2"/>
  <c r="X227" i="2"/>
  <c r="I227" i="2"/>
  <c r="Q227" i="2"/>
  <c r="Y227" i="2"/>
  <c r="AG227" i="2"/>
  <c r="E227" i="2"/>
  <c r="M227" i="2"/>
  <c r="U227" i="2"/>
  <c r="AC227" i="2"/>
  <c r="AK227" i="2"/>
  <c r="AF227" i="2"/>
  <c r="K227" i="2"/>
  <c r="S227" i="2"/>
  <c r="AA227" i="2"/>
  <c r="AI227" i="2"/>
  <c r="G227" i="2"/>
  <c r="O227" i="2"/>
  <c r="W227" i="2"/>
  <c r="AE227" i="2"/>
  <c r="C228" i="2"/>
  <c r="C233" i="2"/>
  <c r="F227" i="2"/>
  <c r="N227" i="2"/>
  <c r="V227" i="2"/>
  <c r="AD227" i="2"/>
  <c r="AL227" i="2"/>
  <c r="J227" i="2"/>
  <c r="R227" i="2"/>
  <c r="Z227" i="2"/>
  <c r="AH227" i="2"/>
  <c r="D227" i="2"/>
  <c r="L227" i="2"/>
  <c r="T227" i="2"/>
  <c r="AB227" i="2"/>
  <c r="AJ227" i="2"/>
  <c r="C230" i="2"/>
  <c r="F200" i="2"/>
  <c r="N200" i="2"/>
  <c r="V200" i="2"/>
  <c r="AD200" i="2"/>
  <c r="AL200" i="2"/>
  <c r="C203" i="2"/>
  <c r="H200" i="2"/>
  <c r="P200" i="2"/>
  <c r="X200" i="2"/>
  <c r="AF200" i="2"/>
  <c r="C207" i="2"/>
  <c r="G200" i="2"/>
  <c r="O200" i="2"/>
  <c r="W200" i="2"/>
  <c r="AE200" i="2"/>
  <c r="C201" i="2"/>
  <c r="I200" i="2"/>
  <c r="Q200" i="2"/>
  <c r="Y200" i="2"/>
  <c r="AG200" i="2"/>
  <c r="C206" i="2"/>
  <c r="J200" i="2"/>
  <c r="R200" i="2"/>
  <c r="Z200" i="2"/>
  <c r="AH200" i="2"/>
  <c r="K200" i="2"/>
  <c r="S200" i="2"/>
  <c r="AA200" i="2"/>
  <c r="AI200" i="2"/>
  <c r="C205" i="2"/>
  <c r="D200" i="2"/>
  <c r="L200" i="2"/>
  <c r="T200" i="2"/>
  <c r="AB200" i="2"/>
  <c r="AJ200" i="2"/>
  <c r="E200" i="2"/>
  <c r="M200" i="2"/>
  <c r="U200" i="2"/>
  <c r="AC200" i="2"/>
  <c r="AK200" i="2"/>
  <c r="C227" i="2"/>
  <c r="E174" i="2"/>
  <c r="E172" i="2"/>
  <c r="E176" i="2"/>
  <c r="E173" i="2"/>
  <c r="E175" i="2"/>
  <c r="E177" i="2"/>
  <c r="C172" i="2"/>
  <c r="C175" i="2"/>
  <c r="C173" i="2"/>
  <c r="C174" i="2"/>
  <c r="C176" i="2"/>
  <c r="C177" i="2"/>
  <c r="D177" i="2"/>
  <c r="D176" i="2"/>
  <c r="D174" i="2"/>
  <c r="D172" i="2"/>
  <c r="D175" i="2"/>
  <c r="D173" i="2"/>
  <c r="C122" i="2"/>
  <c r="C125" i="2"/>
  <c r="C121" i="2"/>
  <c r="C124" i="2"/>
  <c r="C123" i="2"/>
  <c r="C126" i="2"/>
  <c r="D126" i="2"/>
  <c r="D122" i="2"/>
  <c r="D124" i="2"/>
  <c r="D123" i="2"/>
  <c r="D125" i="2"/>
  <c r="D121" i="2"/>
  <c r="E123" i="2"/>
  <c r="E122" i="2"/>
  <c r="E124" i="2"/>
  <c r="E121" i="2"/>
  <c r="E125" i="2"/>
  <c r="E126" i="2"/>
  <c r="C120" i="2"/>
  <c r="C100" i="2"/>
  <c r="C110" i="2" s="1"/>
  <c r="C171" i="2"/>
  <c r="D100" i="2"/>
  <c r="D110" i="2" s="1"/>
  <c r="D120" i="2"/>
  <c r="D171" i="2"/>
  <c r="E100" i="2"/>
  <c r="E110" i="2" s="1"/>
  <c r="E120" i="2"/>
  <c r="E171" i="2"/>
  <c r="C151" i="2"/>
  <c r="C161" i="2" s="1"/>
  <c r="D151" i="2"/>
  <c r="D161" i="2" s="1"/>
  <c r="I680" i="2"/>
  <c r="Q680" i="2"/>
  <c r="Y680" i="2"/>
  <c r="AG680" i="2"/>
  <c r="I682" i="2"/>
  <c r="Q682" i="2"/>
  <c r="Y682" i="2"/>
  <c r="AG682" i="2"/>
  <c r="E681" i="2"/>
  <c r="H681" i="2"/>
  <c r="M681" i="2"/>
  <c r="U681" i="2"/>
  <c r="AC681" i="2"/>
  <c r="AK681" i="2"/>
  <c r="AL682" i="2" l="1"/>
  <c r="AD682" i="2"/>
  <c r="V682" i="2"/>
  <c r="N682" i="2"/>
  <c r="F682" i="2"/>
  <c r="AL680" i="2"/>
  <c r="AD680" i="2"/>
  <c r="V680" i="2"/>
  <c r="N680" i="2"/>
  <c r="F680" i="2"/>
  <c r="AK682" i="2"/>
  <c r="AC682" i="2"/>
  <c r="U682" i="2"/>
  <c r="M682" i="2"/>
  <c r="E682" i="2"/>
  <c r="X681" i="2"/>
  <c r="AF681" i="2"/>
  <c r="P681" i="2"/>
  <c r="AI682" i="2"/>
  <c r="AA682" i="2"/>
  <c r="S682" i="2"/>
  <c r="K682" i="2"/>
  <c r="C682" i="2"/>
  <c r="AI680" i="2"/>
  <c r="AA680" i="2"/>
  <c r="S680" i="2"/>
  <c r="K680" i="2"/>
  <c r="C680" i="2"/>
  <c r="AF682" i="2"/>
  <c r="X682" i="2"/>
  <c r="P682" i="2"/>
  <c r="H682" i="2"/>
  <c r="AF680" i="2"/>
  <c r="X680" i="2"/>
  <c r="P680" i="2"/>
  <c r="H680" i="2"/>
  <c r="AJ683" i="2"/>
  <c r="AB683" i="2"/>
  <c r="T683" i="2"/>
  <c r="L683" i="2"/>
  <c r="D683" i="2"/>
  <c r="AJ682" i="2"/>
  <c r="AB682" i="2"/>
  <c r="T682" i="2"/>
  <c r="L682" i="2"/>
  <c r="D682" i="2"/>
  <c r="AJ680" i="2"/>
  <c r="AB680" i="2"/>
  <c r="T680" i="2"/>
  <c r="L680" i="2"/>
  <c r="D680" i="2"/>
  <c r="AI683" i="2"/>
  <c r="AA683" i="2"/>
  <c r="S683" i="2"/>
  <c r="K683" i="2"/>
  <c r="C683" i="2"/>
  <c r="AE681" i="2"/>
  <c r="W681" i="2"/>
  <c r="O681" i="2"/>
  <c r="G681" i="2"/>
  <c r="AH683" i="2"/>
  <c r="Z683" i="2"/>
  <c r="R683" i="2"/>
  <c r="J683" i="2"/>
  <c r="AL681" i="2"/>
  <c r="AD681" i="2"/>
  <c r="V681" i="2"/>
  <c r="N681" i="2"/>
  <c r="F681" i="2"/>
  <c r="AH682" i="2"/>
  <c r="Z682" i="2"/>
  <c r="R682" i="2"/>
  <c r="J682" i="2"/>
  <c r="AH680" i="2"/>
  <c r="Z680" i="2"/>
  <c r="R680" i="2"/>
  <c r="J680" i="2"/>
  <c r="AG683" i="2"/>
  <c r="Y683" i="2"/>
  <c r="Q683" i="2"/>
  <c r="I683" i="2"/>
  <c r="AF683" i="2"/>
  <c r="X683" i="2"/>
  <c r="P683" i="2"/>
  <c r="H683" i="2"/>
  <c r="AJ681" i="2"/>
  <c r="AB681" i="2"/>
  <c r="T681" i="2"/>
  <c r="L681" i="2"/>
  <c r="D681" i="2"/>
  <c r="AE683" i="2"/>
  <c r="W683" i="2"/>
  <c r="O683" i="2"/>
  <c r="G683" i="2"/>
  <c r="AI681" i="2"/>
  <c r="AA681" i="2"/>
  <c r="S681" i="2"/>
  <c r="K681" i="2"/>
  <c r="C681" i="2"/>
  <c r="AE682" i="2"/>
  <c r="W682" i="2"/>
  <c r="O682" i="2"/>
  <c r="G682" i="2"/>
  <c r="AE680" i="2"/>
  <c r="W680" i="2"/>
  <c r="O680" i="2"/>
  <c r="G680" i="2"/>
  <c r="AL683" i="2"/>
  <c r="AD683" i="2"/>
  <c r="V683" i="2"/>
  <c r="N683" i="2"/>
  <c r="F683" i="2"/>
  <c r="AH681" i="2"/>
  <c r="Z681" i="2"/>
  <c r="R681" i="2"/>
  <c r="J681" i="2"/>
  <c r="AK683" i="2"/>
  <c r="AC683" i="2"/>
  <c r="U683" i="2"/>
  <c r="M683" i="2"/>
  <c r="E683" i="2"/>
  <c r="AG681" i="2"/>
  <c r="Y681" i="2"/>
  <c r="Q681" i="2"/>
  <c r="I681" i="2"/>
  <c r="AK680" i="2"/>
  <c r="AC680" i="2"/>
  <c r="U680" i="2"/>
  <c r="M680" i="2"/>
  <c r="E680" i="2"/>
  <c r="C660" i="2"/>
  <c r="G660" i="2"/>
  <c r="O660" i="2"/>
  <c r="W660" i="2"/>
  <c r="AE660" i="2"/>
  <c r="K664" i="2"/>
  <c r="F661" i="2" l="1"/>
  <c r="AF664" i="2"/>
  <c r="X664" i="2"/>
  <c r="P664" i="2"/>
  <c r="H664" i="2"/>
  <c r="AF660" i="2"/>
  <c r="X660" i="2"/>
  <c r="P660" i="2"/>
  <c r="H660" i="2"/>
  <c r="C663" i="2"/>
  <c r="AH663" i="2"/>
  <c r="R663" i="2"/>
  <c r="Z663" i="2"/>
  <c r="J663" i="2"/>
  <c r="AI664" i="2"/>
  <c r="AA664" i="2"/>
  <c r="S664" i="2"/>
  <c r="AI660" i="2"/>
  <c r="AA660" i="2"/>
  <c r="S660" i="2"/>
  <c r="K660" i="2"/>
  <c r="AL661" i="2"/>
  <c r="AD661" i="2"/>
  <c r="V661" i="2"/>
  <c r="N661" i="2"/>
  <c r="AG661" i="2"/>
  <c r="Y661" i="2"/>
  <c r="Q661" i="2"/>
  <c r="I661" i="2"/>
  <c r="AG664" i="2"/>
  <c r="Y664" i="2"/>
  <c r="Q664" i="2"/>
  <c r="I664" i="2"/>
  <c r="AK663" i="2"/>
  <c r="AC663" i="2"/>
  <c r="U663" i="2"/>
  <c r="M663" i="2"/>
  <c r="E663" i="2"/>
  <c r="AK661" i="2"/>
  <c r="AC661" i="2"/>
  <c r="U661" i="2"/>
  <c r="M661" i="2"/>
  <c r="E661" i="2"/>
  <c r="AG660" i="2"/>
  <c r="Y660" i="2"/>
  <c r="Q660" i="2"/>
  <c r="I660" i="2"/>
  <c r="AJ663" i="2"/>
  <c r="AB663" i="2"/>
  <c r="T663" i="2"/>
  <c r="L663" i="2"/>
  <c r="D663" i="2"/>
  <c r="AE664" i="2"/>
  <c r="W664" i="2"/>
  <c r="O664" i="2"/>
  <c r="G664" i="2"/>
  <c r="AI663" i="2"/>
  <c r="AA663" i="2"/>
  <c r="S663" i="2"/>
  <c r="K663" i="2"/>
  <c r="AI661" i="2"/>
  <c r="AA661" i="2"/>
  <c r="S661" i="2"/>
  <c r="K661" i="2"/>
  <c r="AL664" i="2"/>
  <c r="AD664" i="2"/>
  <c r="V664" i="2"/>
  <c r="N664" i="2"/>
  <c r="F664" i="2"/>
  <c r="AH661" i="2"/>
  <c r="Z661" i="2"/>
  <c r="R661" i="2"/>
  <c r="J661" i="2"/>
  <c r="AL660" i="2"/>
  <c r="AD660" i="2"/>
  <c r="V660" i="2"/>
  <c r="N660" i="2"/>
  <c r="F660" i="2"/>
  <c r="AK664" i="2"/>
  <c r="AC664" i="2"/>
  <c r="U664" i="2"/>
  <c r="M664" i="2"/>
  <c r="E664" i="2"/>
  <c r="AG663" i="2"/>
  <c r="Y663" i="2"/>
  <c r="Q663" i="2"/>
  <c r="I663" i="2"/>
  <c r="AK660" i="2"/>
  <c r="AC660" i="2"/>
  <c r="U660" i="2"/>
  <c r="M660" i="2"/>
  <c r="E660" i="2"/>
  <c r="AJ661" i="2"/>
  <c r="AB661" i="2"/>
  <c r="T661" i="2"/>
  <c r="L661" i="2"/>
  <c r="D661" i="2"/>
  <c r="AJ664" i="2"/>
  <c r="AB664" i="2"/>
  <c r="T664" i="2"/>
  <c r="L664" i="2"/>
  <c r="D664" i="2"/>
  <c r="AF663" i="2"/>
  <c r="X663" i="2"/>
  <c r="P663" i="2"/>
  <c r="H663" i="2"/>
  <c r="AF661" i="2"/>
  <c r="X661" i="2"/>
  <c r="P661" i="2"/>
  <c r="H661" i="2"/>
  <c r="AJ660" i="2"/>
  <c r="AB660" i="2"/>
  <c r="T660" i="2"/>
  <c r="L660" i="2"/>
  <c r="D660" i="2"/>
  <c r="C664" i="2"/>
  <c r="AE663" i="2"/>
  <c r="W663" i="2"/>
  <c r="O663" i="2"/>
  <c r="G663" i="2"/>
  <c r="AE661" i="2"/>
  <c r="W661" i="2"/>
  <c r="O661" i="2"/>
  <c r="G661" i="2"/>
  <c r="AH664" i="2"/>
  <c r="Z664" i="2"/>
  <c r="R664" i="2"/>
  <c r="J664" i="2"/>
  <c r="AL663" i="2"/>
  <c r="AD663" i="2"/>
  <c r="V663" i="2"/>
  <c r="N663" i="2"/>
  <c r="F663" i="2"/>
  <c r="AH660" i="2"/>
  <c r="Z660" i="2"/>
  <c r="R660" i="2"/>
  <c r="J660" i="2"/>
  <c r="C661" i="2"/>
  <c r="AH648" i="2"/>
  <c r="R654" i="2"/>
  <c r="M648" i="2"/>
  <c r="AJ654" i="2"/>
  <c r="AB654" i="2"/>
  <c r="T654" i="2"/>
  <c r="L654" i="2"/>
  <c r="D654" i="2"/>
  <c r="AI654" i="2"/>
  <c r="AA654" i="2"/>
  <c r="S654" i="2"/>
  <c r="K654" i="2"/>
  <c r="C654" i="2"/>
  <c r="AA641" i="2"/>
  <c r="AE635" i="2"/>
  <c r="J654" i="2"/>
  <c r="AG654" i="2"/>
  <c r="Y654" i="2"/>
  <c r="Q654" i="2"/>
  <c r="I654" i="2"/>
  <c r="AK648" i="2"/>
  <c r="AC648" i="2"/>
  <c r="U648" i="2"/>
  <c r="E648" i="2"/>
  <c r="AF654" i="2"/>
  <c r="X654" i="2"/>
  <c r="P654" i="2"/>
  <c r="H654" i="2"/>
  <c r="AE654" i="2"/>
  <c r="W654" i="2"/>
  <c r="O654" i="2"/>
  <c r="G654" i="2"/>
  <c r="Z654" i="2"/>
  <c r="AL654" i="2"/>
  <c r="AD654" i="2"/>
  <c r="V654" i="2"/>
  <c r="N654" i="2"/>
  <c r="F654" i="2"/>
  <c r="Z648" i="2"/>
  <c r="R648" i="2"/>
  <c r="J648" i="2"/>
  <c r="AH654" i="2"/>
  <c r="AK654" i="2"/>
  <c r="AC654" i="2"/>
  <c r="U654" i="2"/>
  <c r="M654" i="2"/>
  <c r="E654" i="2"/>
  <c r="AG648" i="2"/>
  <c r="Y648" i="2"/>
  <c r="Q648" i="2"/>
  <c r="I648" i="2"/>
  <c r="AI641" i="2"/>
  <c r="AL648" i="2"/>
  <c r="AD648" i="2"/>
  <c r="V648" i="2"/>
  <c r="N648" i="2"/>
  <c r="F648" i="2"/>
  <c r="S641" i="2"/>
  <c r="W648" i="2"/>
  <c r="G635" i="2"/>
  <c r="AJ648" i="2"/>
  <c r="AB648" i="2"/>
  <c r="T648" i="2"/>
  <c r="L648" i="2"/>
  <c r="D648" i="2"/>
  <c r="AE648" i="2"/>
  <c r="AI648" i="2"/>
  <c r="AA648" i="2"/>
  <c r="S648" i="2"/>
  <c r="K648" i="2"/>
  <c r="C648" i="2"/>
  <c r="C635" i="2"/>
  <c r="G648" i="2"/>
  <c r="O635" i="2"/>
  <c r="O648" i="2"/>
  <c r="W635" i="2"/>
  <c r="K641" i="2"/>
  <c r="AF648" i="2"/>
  <c r="X648" i="2"/>
  <c r="P648" i="2"/>
  <c r="H648" i="2"/>
  <c r="AF635" i="2"/>
  <c r="X635" i="2"/>
  <c r="P635" i="2"/>
  <c r="H635" i="2"/>
  <c r="AK641" i="2"/>
  <c r="AC641" i="2"/>
  <c r="U641" i="2"/>
  <c r="M641" i="2"/>
  <c r="E641" i="2"/>
  <c r="AG635" i="2"/>
  <c r="Y635" i="2"/>
  <c r="Q635" i="2"/>
  <c r="I635" i="2"/>
  <c r="AH641" i="2"/>
  <c r="Z641" i="2"/>
  <c r="R641" i="2"/>
  <c r="J641" i="2"/>
  <c r="AL635" i="2"/>
  <c r="AD635" i="2"/>
  <c r="V635" i="2"/>
  <c r="N635" i="2"/>
  <c r="F635" i="2"/>
  <c r="AG641" i="2"/>
  <c r="Y641" i="2"/>
  <c r="Q641" i="2"/>
  <c r="I641" i="2"/>
  <c r="AK635" i="2"/>
  <c r="AC635" i="2"/>
  <c r="U635" i="2"/>
  <c r="M635" i="2"/>
  <c r="E635" i="2"/>
  <c r="E662" i="2" s="1"/>
  <c r="AJ641" i="2"/>
  <c r="AB641" i="2"/>
  <c r="T641" i="2"/>
  <c r="L641" i="2"/>
  <c r="AF641" i="2"/>
  <c r="X641" i="2"/>
  <c r="P641" i="2"/>
  <c r="H641" i="2"/>
  <c r="AJ635" i="2"/>
  <c r="AB635" i="2"/>
  <c r="T635" i="2"/>
  <c r="L635" i="2"/>
  <c r="D635" i="2"/>
  <c r="C641" i="2"/>
  <c r="AE641" i="2"/>
  <c r="W641" i="2"/>
  <c r="O641" i="2"/>
  <c r="G641" i="2"/>
  <c r="AI635" i="2"/>
  <c r="AI662" i="2" s="1"/>
  <c r="AA635" i="2"/>
  <c r="S635" i="2"/>
  <c r="S662" i="2" s="1"/>
  <c r="K635" i="2"/>
  <c r="D641" i="2"/>
  <c r="AL641" i="2"/>
  <c r="AD641" i="2"/>
  <c r="V641" i="2"/>
  <c r="N641" i="2"/>
  <c r="F641" i="2"/>
  <c r="AH635" i="2"/>
  <c r="Z635" i="2"/>
  <c r="R635" i="2"/>
  <c r="J635" i="2"/>
  <c r="AE630" i="2"/>
  <c r="AL607" i="2"/>
  <c r="AD607" i="2"/>
  <c r="V607" i="2"/>
  <c r="N607" i="2"/>
  <c r="F607" i="2"/>
  <c r="AI626" i="2"/>
  <c r="AA626" i="2"/>
  <c r="S626" i="2"/>
  <c r="K626" i="2"/>
  <c r="AE627" i="2"/>
  <c r="W627" i="2"/>
  <c r="O627" i="2"/>
  <c r="G627" i="2"/>
  <c r="AH626" i="2"/>
  <c r="Z626" i="2"/>
  <c r="R626" i="2"/>
  <c r="J626" i="2"/>
  <c r="C626" i="2"/>
  <c r="C629" i="2"/>
  <c r="AI620" i="2"/>
  <c r="AA620" i="2"/>
  <c r="S620" i="2"/>
  <c r="K620" i="2"/>
  <c r="AL620" i="2"/>
  <c r="AD620" i="2"/>
  <c r="V620" i="2"/>
  <c r="N620" i="2"/>
  <c r="F620" i="2"/>
  <c r="AK614" i="2"/>
  <c r="AC614" i="2"/>
  <c r="U614" i="2"/>
  <c r="M614" i="2"/>
  <c r="E614" i="2"/>
  <c r="AJ607" i="2"/>
  <c r="AB607" i="2"/>
  <c r="T607" i="2"/>
  <c r="L607" i="2"/>
  <c r="D607" i="2"/>
  <c r="W630" i="2"/>
  <c r="O630" i="2"/>
  <c r="G630" i="2"/>
  <c r="AH629" i="2"/>
  <c r="Z629" i="2"/>
  <c r="R629" i="2"/>
  <c r="J629" i="2"/>
  <c r="AL627" i="2"/>
  <c r="AD627" i="2"/>
  <c r="V627" i="2"/>
  <c r="N627" i="2"/>
  <c r="F627" i="2"/>
  <c r="AG626" i="2"/>
  <c r="Y626" i="2"/>
  <c r="Q626" i="2"/>
  <c r="I626" i="2"/>
  <c r="AE629" i="2"/>
  <c r="W629" i="2"/>
  <c r="O629" i="2"/>
  <c r="G629" i="2"/>
  <c r="AL626" i="2"/>
  <c r="AD626" i="2"/>
  <c r="V626" i="2"/>
  <c r="N626" i="2"/>
  <c r="F626" i="2"/>
  <c r="AG630" i="2"/>
  <c r="Y630" i="2"/>
  <c r="Q630" i="2"/>
  <c r="I630" i="2"/>
  <c r="AJ629" i="2"/>
  <c r="AB629" i="2"/>
  <c r="T629" i="2"/>
  <c r="L629" i="2"/>
  <c r="D629" i="2"/>
  <c r="AF627" i="2"/>
  <c r="X627" i="2"/>
  <c r="P627" i="2"/>
  <c r="H627" i="2"/>
  <c r="C630" i="2"/>
  <c r="AL630" i="2"/>
  <c r="AD630" i="2"/>
  <c r="V630" i="2"/>
  <c r="N630" i="2"/>
  <c r="F630" i="2"/>
  <c r="AG629" i="2"/>
  <c r="Y629" i="2"/>
  <c r="Q629" i="2"/>
  <c r="I629" i="2"/>
  <c r="AK627" i="2"/>
  <c r="AC627" i="2"/>
  <c r="U627" i="2"/>
  <c r="M627" i="2"/>
  <c r="E627" i="2"/>
  <c r="AF626" i="2"/>
  <c r="X626" i="2"/>
  <c r="P626" i="2"/>
  <c r="H626" i="2"/>
  <c r="AJ627" i="2"/>
  <c r="AB627" i="2"/>
  <c r="T627" i="2"/>
  <c r="L627" i="2"/>
  <c r="D627" i="2"/>
  <c r="AE626" i="2"/>
  <c r="W626" i="2"/>
  <c r="O626" i="2"/>
  <c r="G626" i="2"/>
  <c r="AJ630" i="2"/>
  <c r="AB630" i="2"/>
  <c r="T630" i="2"/>
  <c r="L630" i="2"/>
  <c r="D630" i="2"/>
  <c r="AI627" i="2"/>
  <c r="AA627" i="2"/>
  <c r="S627" i="2"/>
  <c r="K627" i="2"/>
  <c r="AK630" i="2"/>
  <c r="U630" i="2"/>
  <c r="E630" i="2"/>
  <c r="X629" i="2"/>
  <c r="P629" i="2"/>
  <c r="AI630" i="2"/>
  <c r="AA630" i="2"/>
  <c r="S630" i="2"/>
  <c r="K630" i="2"/>
  <c r="AL629" i="2"/>
  <c r="AD629" i="2"/>
  <c r="V629" i="2"/>
  <c r="N629" i="2"/>
  <c r="F629" i="2"/>
  <c r="AH627" i="2"/>
  <c r="Z627" i="2"/>
  <c r="R627" i="2"/>
  <c r="J627" i="2"/>
  <c r="AK626" i="2"/>
  <c r="AC626" i="2"/>
  <c r="U626" i="2"/>
  <c r="M626" i="2"/>
  <c r="E626" i="2"/>
  <c r="AC630" i="2"/>
  <c r="M630" i="2"/>
  <c r="AF629" i="2"/>
  <c r="H629" i="2"/>
  <c r="AE607" i="2"/>
  <c r="W607" i="2"/>
  <c r="O607" i="2"/>
  <c r="G607" i="2"/>
  <c r="AH630" i="2"/>
  <c r="Z630" i="2"/>
  <c r="R630" i="2"/>
  <c r="J630" i="2"/>
  <c r="AK629" i="2"/>
  <c r="AC629" i="2"/>
  <c r="U629" i="2"/>
  <c r="M629" i="2"/>
  <c r="E629" i="2"/>
  <c r="AG627" i="2"/>
  <c r="Y627" i="2"/>
  <c r="Q627" i="2"/>
  <c r="I627" i="2"/>
  <c r="AJ626" i="2"/>
  <c r="AB626" i="2"/>
  <c r="T626" i="2"/>
  <c r="L626" i="2"/>
  <c r="D626" i="2"/>
  <c r="AF630" i="2"/>
  <c r="X630" i="2"/>
  <c r="P630" i="2"/>
  <c r="H630" i="2"/>
  <c r="AI629" i="2"/>
  <c r="AA629" i="2"/>
  <c r="S629" i="2"/>
  <c r="K629" i="2"/>
  <c r="AE620" i="2"/>
  <c r="W620" i="2"/>
  <c r="O620" i="2"/>
  <c r="G620" i="2"/>
  <c r="AH607" i="2"/>
  <c r="Z607" i="2"/>
  <c r="R607" i="2"/>
  <c r="J607" i="2"/>
  <c r="AK607" i="2"/>
  <c r="AC607" i="2"/>
  <c r="U607" i="2"/>
  <c r="M607" i="2"/>
  <c r="E607" i="2"/>
  <c r="AF620" i="2"/>
  <c r="AI607" i="2"/>
  <c r="AA607" i="2"/>
  <c r="S607" i="2"/>
  <c r="K607" i="2"/>
  <c r="H620" i="2"/>
  <c r="P620" i="2"/>
  <c r="C607" i="2"/>
  <c r="AG607" i="2"/>
  <c r="Y607" i="2"/>
  <c r="Q607" i="2"/>
  <c r="I607" i="2"/>
  <c r="AF607" i="2"/>
  <c r="X607" i="2"/>
  <c r="P607" i="2"/>
  <c r="H607" i="2"/>
  <c r="X620" i="2"/>
  <c r="C627" i="2"/>
  <c r="C620" i="2"/>
  <c r="AK620" i="2"/>
  <c r="AC620" i="2"/>
  <c r="U620" i="2"/>
  <c r="M620" i="2"/>
  <c r="E620" i="2"/>
  <c r="AJ614" i="2"/>
  <c r="AB614" i="2"/>
  <c r="T614" i="2"/>
  <c r="L614" i="2"/>
  <c r="D614" i="2"/>
  <c r="AJ620" i="2"/>
  <c r="AB620" i="2"/>
  <c r="T620" i="2"/>
  <c r="L620" i="2"/>
  <c r="D620" i="2"/>
  <c r="AH620" i="2"/>
  <c r="Z620" i="2"/>
  <c r="R620" i="2"/>
  <c r="J620" i="2"/>
  <c r="C601" i="2"/>
  <c r="AG620" i="2"/>
  <c r="Y620" i="2"/>
  <c r="Q620" i="2"/>
  <c r="I620" i="2"/>
  <c r="AI614" i="2"/>
  <c r="AA614" i="2"/>
  <c r="S614" i="2"/>
  <c r="K614" i="2"/>
  <c r="AE614" i="2"/>
  <c r="W614" i="2"/>
  <c r="O614" i="2"/>
  <c r="G614" i="2"/>
  <c r="AH614" i="2"/>
  <c r="Z614" i="2"/>
  <c r="R614" i="2"/>
  <c r="J614" i="2"/>
  <c r="AH601" i="2"/>
  <c r="Z601" i="2"/>
  <c r="R601" i="2"/>
  <c r="J601" i="2"/>
  <c r="AF601" i="2"/>
  <c r="X601" i="2"/>
  <c r="P601" i="2"/>
  <c r="H601" i="2"/>
  <c r="I614" i="2"/>
  <c r="H614" i="2"/>
  <c r="Y614" i="2"/>
  <c r="P614" i="2"/>
  <c r="AG614" i="2"/>
  <c r="Q614" i="2"/>
  <c r="AF614" i="2"/>
  <c r="X614" i="2"/>
  <c r="C614" i="2"/>
  <c r="AL614" i="2"/>
  <c r="AD614" i="2"/>
  <c r="V614" i="2"/>
  <c r="N614" i="2"/>
  <c r="F614" i="2"/>
  <c r="AE601" i="2"/>
  <c r="W601" i="2"/>
  <c r="O601" i="2"/>
  <c r="G601" i="2"/>
  <c r="AK601" i="2"/>
  <c r="AC601" i="2"/>
  <c r="U601" i="2"/>
  <c r="M601" i="2"/>
  <c r="E601" i="2"/>
  <c r="AL601" i="2"/>
  <c r="AD601" i="2"/>
  <c r="V601" i="2"/>
  <c r="N601" i="2"/>
  <c r="F601" i="2"/>
  <c r="AG601" i="2"/>
  <c r="Y601" i="2"/>
  <c r="Q601" i="2"/>
  <c r="I601" i="2"/>
  <c r="AJ601" i="2"/>
  <c r="AB601" i="2"/>
  <c r="T601" i="2"/>
  <c r="L601" i="2"/>
  <c r="D601" i="2"/>
  <c r="AI601" i="2"/>
  <c r="AA601" i="2"/>
  <c r="S601" i="2"/>
  <c r="K601" i="2"/>
  <c r="AA662" i="2" l="1"/>
  <c r="K662" i="2"/>
  <c r="M662" i="2"/>
  <c r="P665" i="2"/>
  <c r="AL665" i="2"/>
  <c r="I662" i="2"/>
  <c r="AK665" i="2"/>
  <c r="AD665" i="2"/>
  <c r="AC665" i="2"/>
  <c r="X665" i="2"/>
  <c r="AH662" i="2"/>
  <c r="D662" i="2"/>
  <c r="AF665" i="2"/>
  <c r="N662" i="2"/>
  <c r="Q662" i="2"/>
  <c r="L662" i="2"/>
  <c r="AG662" i="2"/>
  <c r="G665" i="2"/>
  <c r="J665" i="2"/>
  <c r="R662" i="2"/>
  <c r="D665" i="2"/>
  <c r="AH665" i="2"/>
  <c r="V662" i="2"/>
  <c r="H662" i="2"/>
  <c r="K665" i="2"/>
  <c r="L665" i="2"/>
  <c r="Z662" i="2"/>
  <c r="T662" i="2"/>
  <c r="I665" i="2"/>
  <c r="X662" i="2"/>
  <c r="C665" i="2"/>
  <c r="O665" i="2"/>
  <c r="AJ665" i="2"/>
  <c r="U662" i="2"/>
  <c r="AJ662" i="2"/>
  <c r="AE665" i="2"/>
  <c r="F662" i="2"/>
  <c r="AC662" i="2"/>
  <c r="F665" i="2"/>
  <c r="AK662" i="2"/>
  <c r="AD662" i="2"/>
  <c r="Y662" i="2"/>
  <c r="G662" i="2"/>
  <c r="AI665" i="2"/>
  <c r="N665" i="2"/>
  <c r="T665" i="2"/>
  <c r="AL662" i="2"/>
  <c r="V665" i="2"/>
  <c r="AB662" i="2"/>
  <c r="AB665" i="2"/>
  <c r="Q665" i="2"/>
  <c r="E665" i="2"/>
  <c r="AF662" i="2"/>
  <c r="O662" i="2"/>
  <c r="S665" i="2"/>
  <c r="J662" i="2"/>
  <c r="W665" i="2"/>
  <c r="H665" i="2"/>
  <c r="AG665" i="2"/>
  <c r="Z665" i="2"/>
  <c r="U665" i="2"/>
  <c r="C662" i="2"/>
  <c r="AE662" i="2"/>
  <c r="AA665" i="2"/>
  <c r="P662" i="2"/>
  <c r="W662" i="2"/>
  <c r="Y665" i="2"/>
  <c r="R665" i="2"/>
  <c r="M665" i="2"/>
  <c r="U628" i="2"/>
  <c r="T631" i="2"/>
  <c r="L631" i="2"/>
  <c r="P631" i="2"/>
  <c r="I631" i="2"/>
  <c r="S631" i="2"/>
  <c r="F631" i="2"/>
  <c r="M628" i="2"/>
  <c r="K631" i="2"/>
  <c r="N631" i="2"/>
  <c r="V631" i="2"/>
  <c r="AD631" i="2"/>
  <c r="AL631" i="2"/>
  <c r="AA628" i="2"/>
  <c r="Q628" i="2"/>
  <c r="E628" i="2"/>
  <c r="AJ631" i="2"/>
  <c r="O631" i="2"/>
  <c r="AE631" i="2"/>
  <c r="AA631" i="2"/>
  <c r="AK628" i="2"/>
  <c r="AI631" i="2"/>
  <c r="G631" i="2"/>
  <c r="W631" i="2"/>
  <c r="AC628" i="2"/>
  <c r="D631" i="2"/>
  <c r="Z628" i="2"/>
  <c r="K628" i="2"/>
  <c r="AB631" i="2"/>
  <c r="AG628" i="2"/>
  <c r="T628" i="2"/>
  <c r="AB628" i="2"/>
  <c r="V628" i="2"/>
  <c r="G628" i="2"/>
  <c r="AG631" i="2"/>
  <c r="Z631" i="2"/>
  <c r="C631" i="2"/>
  <c r="L628" i="2"/>
  <c r="AD628" i="2"/>
  <c r="AH628" i="2"/>
  <c r="AE628" i="2"/>
  <c r="P628" i="2"/>
  <c r="O628" i="2"/>
  <c r="AH631" i="2"/>
  <c r="AI628" i="2"/>
  <c r="Y628" i="2"/>
  <c r="X628" i="2"/>
  <c r="AJ628" i="2"/>
  <c r="H631" i="2"/>
  <c r="E631" i="2"/>
  <c r="S628" i="2"/>
  <c r="I628" i="2"/>
  <c r="AL628" i="2"/>
  <c r="W628" i="2"/>
  <c r="H628" i="2"/>
  <c r="C628" i="2"/>
  <c r="M631" i="2"/>
  <c r="AF628" i="2"/>
  <c r="AK631" i="2"/>
  <c r="U631" i="2"/>
  <c r="AF631" i="2"/>
  <c r="AC631" i="2"/>
  <c r="D628" i="2"/>
  <c r="F628" i="2"/>
  <c r="J628" i="2"/>
  <c r="Q631" i="2"/>
  <c r="J631" i="2"/>
  <c r="X631" i="2"/>
  <c r="N628" i="2"/>
  <c r="R628" i="2"/>
  <c r="Y631" i="2"/>
  <c r="R631" i="2"/>
  <c r="C587" i="2" l="1"/>
  <c r="D587" i="2"/>
  <c r="E587" i="2"/>
  <c r="F587" i="2"/>
  <c r="C589" i="2"/>
  <c r="D589" i="2"/>
  <c r="E589" i="2"/>
  <c r="F589" i="2"/>
  <c r="C590" i="2"/>
  <c r="D590" i="2"/>
  <c r="E590" i="2"/>
  <c r="F590" i="2"/>
  <c r="C592" i="2"/>
  <c r="D592" i="2"/>
  <c r="E592" i="2"/>
  <c r="F592" i="2"/>
  <c r="C594" i="2"/>
  <c r="D594" i="2"/>
  <c r="E594" i="2"/>
  <c r="F594" i="2"/>
  <c r="C593" i="2"/>
  <c r="D593" i="2"/>
  <c r="E593" i="2"/>
  <c r="F593" i="2"/>
  <c r="E596" i="2" l="1"/>
  <c r="F596" i="2"/>
  <c r="D595" i="2"/>
  <c r="E597" i="2"/>
  <c r="C595" i="2"/>
  <c r="C588" i="2"/>
  <c r="E591" i="2"/>
  <c r="C586" i="2"/>
  <c r="F597" i="2"/>
  <c r="F591" i="2"/>
  <c r="D597" i="2"/>
  <c r="D596" i="2"/>
  <c r="F595" i="2"/>
  <c r="F588" i="2"/>
  <c r="D591" i="2"/>
  <c r="F586" i="2"/>
  <c r="D586" i="2"/>
  <c r="C597" i="2"/>
  <c r="C596" i="2"/>
  <c r="E595" i="2"/>
  <c r="E588" i="2"/>
  <c r="C591" i="2"/>
  <c r="E586" i="2"/>
  <c r="D588" i="2"/>
  <c r="D387" i="2"/>
  <c r="T390" i="2"/>
  <c r="L392" i="2"/>
  <c r="AB388" i="2"/>
  <c r="X393" i="2"/>
  <c r="P393" i="2"/>
  <c r="AJ392" i="2"/>
  <c r="AB392" i="2"/>
  <c r="T392" i="2"/>
  <c r="AF391" i="2"/>
  <c r="X391" i="2"/>
  <c r="H391" i="2"/>
  <c r="AJ390" i="2"/>
  <c r="AB390" i="2"/>
  <c r="D390" i="2"/>
  <c r="AF389" i="2"/>
  <c r="P389" i="2"/>
  <c r="H389" i="2"/>
  <c r="AJ388" i="2"/>
  <c r="L388" i="2"/>
  <c r="D388" i="2"/>
  <c r="X387" i="2"/>
  <c r="P387" i="2"/>
  <c r="H387" i="2"/>
  <c r="AF393" i="2"/>
  <c r="H393" i="2"/>
  <c r="D392" i="2"/>
  <c r="P391" i="2"/>
  <c r="L390" i="2"/>
  <c r="X389" i="2"/>
  <c r="T388" i="2"/>
  <c r="AF387" i="2"/>
  <c r="AE387" i="2"/>
  <c r="W387" i="2"/>
  <c r="O387" i="2"/>
  <c r="G387" i="2"/>
  <c r="AI393" i="2"/>
  <c r="AA393" i="2"/>
  <c r="S393" i="2"/>
  <c r="K393" i="2"/>
  <c r="C393" i="2"/>
  <c r="AE392" i="2"/>
  <c r="W392" i="2"/>
  <c r="O392" i="2"/>
  <c r="G392" i="2"/>
  <c r="AI391" i="2"/>
  <c r="AA391" i="2"/>
  <c r="S391" i="2"/>
  <c r="K391" i="2"/>
  <c r="C391" i="2"/>
  <c r="AE390" i="2"/>
  <c r="W390" i="2"/>
  <c r="O390" i="2"/>
  <c r="G390" i="2"/>
  <c r="AI389" i="2"/>
  <c r="AA389" i="2"/>
  <c r="S389" i="2"/>
  <c r="K389" i="2"/>
  <c r="C389" i="2"/>
  <c r="AE388" i="2"/>
  <c r="W388" i="2"/>
  <c r="O388" i="2"/>
  <c r="G388" i="2"/>
  <c r="AI387" i="2"/>
  <c r="AA387" i="2"/>
  <c r="S387" i="2"/>
  <c r="K387" i="2"/>
  <c r="AH393" i="2"/>
  <c r="Z393" i="2"/>
  <c r="R393" i="2"/>
  <c r="J393" i="2"/>
  <c r="AL392" i="2"/>
  <c r="AD392" i="2"/>
  <c r="V392" i="2"/>
  <c r="N392" i="2"/>
  <c r="F392" i="2"/>
  <c r="AH391" i="2"/>
  <c r="Z391" i="2"/>
  <c r="R391" i="2"/>
  <c r="J391" i="2"/>
  <c r="AL390" i="2"/>
  <c r="AD390" i="2"/>
  <c r="V390" i="2"/>
  <c r="N390" i="2"/>
  <c r="F390" i="2"/>
  <c r="AH389" i="2"/>
  <c r="Z389" i="2"/>
  <c r="R389" i="2"/>
  <c r="J389" i="2"/>
  <c r="AL388" i="2"/>
  <c r="AD388" i="2"/>
  <c r="V388" i="2"/>
  <c r="N388" i="2"/>
  <c r="F388" i="2"/>
  <c r="AH387" i="2"/>
  <c r="Z387" i="2"/>
  <c r="R387" i="2"/>
  <c r="J387" i="2"/>
  <c r="AG393" i="2"/>
  <c r="Y393" i="2"/>
  <c r="Q393" i="2"/>
  <c r="I393" i="2"/>
  <c r="AK392" i="2"/>
  <c r="AC392" i="2"/>
  <c r="U392" i="2"/>
  <c r="M392" i="2"/>
  <c r="E392" i="2"/>
  <c r="AG391" i="2"/>
  <c r="Y391" i="2"/>
  <c r="Q391" i="2"/>
  <c r="I391" i="2"/>
  <c r="AK390" i="2"/>
  <c r="AC390" i="2"/>
  <c r="U390" i="2"/>
  <c r="M390" i="2"/>
  <c r="E390" i="2"/>
  <c r="AG389" i="2"/>
  <c r="Y389" i="2"/>
  <c r="Q389" i="2"/>
  <c r="I389" i="2"/>
  <c r="AK388" i="2"/>
  <c r="AC388" i="2"/>
  <c r="U388" i="2"/>
  <c r="M388" i="2"/>
  <c r="E388" i="2"/>
  <c r="AG387" i="2"/>
  <c r="Y387" i="2"/>
  <c r="Q387" i="2"/>
  <c r="I387" i="2"/>
  <c r="AJ389" i="2"/>
  <c r="AB389" i="2"/>
  <c r="T389" i="2"/>
  <c r="L389" i="2"/>
  <c r="D389" i="2"/>
  <c r="AF388" i="2"/>
  <c r="X388" i="2"/>
  <c r="P388" i="2"/>
  <c r="H388" i="2"/>
  <c r="AJ387" i="2"/>
  <c r="AB387" i="2"/>
  <c r="T387" i="2"/>
  <c r="L387" i="2"/>
  <c r="C387" i="2"/>
  <c r="AE393" i="2"/>
  <c r="W393" i="2"/>
  <c r="O393" i="2"/>
  <c r="G393" i="2"/>
  <c r="AI392" i="2"/>
  <c r="AA392" i="2"/>
  <c r="S392" i="2"/>
  <c r="K392" i="2"/>
  <c r="C392" i="2"/>
  <c r="AE391" i="2"/>
  <c r="W391" i="2"/>
  <c r="O391" i="2"/>
  <c r="G391" i="2"/>
  <c r="AI390" i="2"/>
  <c r="AA390" i="2"/>
  <c r="S390" i="2"/>
  <c r="K390" i="2"/>
  <c r="C390" i="2"/>
  <c r="AE389" i="2"/>
  <c r="W389" i="2"/>
  <c r="O389" i="2"/>
  <c r="G389" i="2"/>
  <c r="AI388" i="2"/>
  <c r="AA388" i="2"/>
  <c r="S388" i="2"/>
  <c r="K388" i="2"/>
  <c r="C388" i="2"/>
  <c r="AL393" i="2"/>
  <c r="AD393" i="2"/>
  <c r="V393" i="2"/>
  <c r="N393" i="2"/>
  <c r="F393" i="2"/>
  <c r="AH392" i="2"/>
  <c r="Z392" i="2"/>
  <c r="R392" i="2"/>
  <c r="J392" i="2"/>
  <c r="AL391" i="2"/>
  <c r="AD391" i="2"/>
  <c r="V391" i="2"/>
  <c r="N391" i="2"/>
  <c r="F391" i="2"/>
  <c r="AH390" i="2"/>
  <c r="Z390" i="2"/>
  <c r="R390" i="2"/>
  <c r="J390" i="2"/>
  <c r="AL389" i="2"/>
  <c r="AD389" i="2"/>
  <c r="V389" i="2"/>
  <c r="N389" i="2"/>
  <c r="F389" i="2"/>
  <c r="AH388" i="2"/>
  <c r="Z388" i="2"/>
  <c r="R388" i="2"/>
  <c r="J388" i="2"/>
  <c r="AL387" i="2"/>
  <c r="AD387" i="2"/>
  <c r="V387" i="2"/>
  <c r="N387" i="2"/>
  <c r="F387" i="2"/>
  <c r="AK393" i="2"/>
  <c r="AC393" i="2"/>
  <c r="U393" i="2"/>
  <c r="M393" i="2"/>
  <c r="E393" i="2"/>
  <c r="AG392" i="2"/>
  <c r="Y392" i="2"/>
  <c r="Q392" i="2"/>
  <c r="I392" i="2"/>
  <c r="AK391" i="2"/>
  <c r="AC391" i="2"/>
  <c r="U391" i="2"/>
  <c r="M391" i="2"/>
  <c r="E391" i="2"/>
  <c r="AG390" i="2"/>
  <c r="Y390" i="2"/>
  <c r="Q390" i="2"/>
  <c r="I390" i="2"/>
  <c r="AK389" i="2"/>
  <c r="AC389" i="2"/>
  <c r="U389" i="2"/>
  <c r="M389" i="2"/>
  <c r="E389" i="2"/>
  <c r="AG388" i="2"/>
  <c r="Y388" i="2"/>
  <c r="Q388" i="2"/>
  <c r="I388" i="2"/>
  <c r="AK387" i="2"/>
  <c r="AC387" i="2"/>
  <c r="U387" i="2"/>
  <c r="M387" i="2"/>
  <c r="E387" i="2"/>
  <c r="AJ393" i="2"/>
  <c r="AB393" i="2"/>
  <c r="T393" i="2"/>
  <c r="L393" i="2"/>
  <c r="D393" i="2"/>
  <c r="AF392" i="2"/>
  <c r="X392" i="2"/>
  <c r="P392" i="2"/>
  <c r="H392" i="2"/>
  <c r="AJ391" i="2"/>
  <c r="AB391" i="2"/>
  <c r="T391" i="2"/>
  <c r="L391" i="2"/>
  <c r="D391" i="2"/>
  <c r="AF390" i="2"/>
  <c r="X390" i="2"/>
  <c r="P390" i="2"/>
  <c r="H390" i="2"/>
  <c r="AF362" i="2"/>
  <c r="X362" i="2"/>
  <c r="P362" i="2"/>
  <c r="H362" i="2"/>
  <c r="AJ361" i="2"/>
  <c r="AB361" i="2"/>
  <c r="T361" i="2"/>
  <c r="L361" i="2"/>
  <c r="D361" i="2"/>
  <c r="AF360" i="2"/>
  <c r="X360" i="2"/>
  <c r="P360" i="2"/>
  <c r="H360" i="2"/>
  <c r="AJ359" i="2"/>
  <c r="AB359" i="2"/>
  <c r="T359" i="2"/>
  <c r="L359" i="2"/>
  <c r="D359" i="2"/>
  <c r="AF358" i="2"/>
  <c r="X358" i="2"/>
  <c r="P358" i="2"/>
  <c r="H358" i="2"/>
  <c r="O359" i="2"/>
  <c r="AI358" i="2"/>
  <c r="U361" i="2"/>
  <c r="M361" i="2"/>
  <c r="E361" i="2"/>
  <c r="AG360" i="2"/>
  <c r="Y360" i="2"/>
  <c r="Q360" i="2"/>
  <c r="I360" i="2"/>
  <c r="AK359" i="2"/>
  <c r="AC359" i="2"/>
  <c r="U359" i="2"/>
  <c r="M359" i="2"/>
  <c r="E359" i="2"/>
  <c r="AG358" i="2"/>
  <c r="Y358" i="2"/>
  <c r="Q358" i="2"/>
  <c r="I358" i="2"/>
  <c r="AK357" i="2"/>
  <c r="AC357" i="2"/>
  <c r="U357" i="2"/>
  <c r="M357" i="2"/>
  <c r="E357" i="2"/>
  <c r="AG356" i="2"/>
  <c r="Y356" i="2"/>
  <c r="Q356" i="2"/>
  <c r="I356" i="2"/>
  <c r="S362" i="2"/>
  <c r="K362" i="2"/>
  <c r="W357" i="2"/>
  <c r="G357" i="2"/>
  <c r="G361" i="2"/>
  <c r="AA360" i="2"/>
  <c r="S360" i="2"/>
  <c r="AA358" i="2"/>
  <c r="AI356" i="2"/>
  <c r="AI362" i="2"/>
  <c r="AA362" i="2"/>
  <c r="C362" i="2"/>
  <c r="AE361" i="2"/>
  <c r="W361" i="2"/>
  <c r="O361" i="2"/>
  <c r="AI360" i="2"/>
  <c r="K360" i="2"/>
  <c r="C360" i="2"/>
  <c r="AE359" i="2"/>
  <c r="W359" i="2"/>
  <c r="G359" i="2"/>
  <c r="S358" i="2"/>
  <c r="K358" i="2"/>
  <c r="C358" i="2"/>
  <c r="AE357" i="2"/>
  <c r="O357" i="2"/>
  <c r="AA356" i="2"/>
  <c r="S356" i="2"/>
  <c r="K356" i="2"/>
  <c r="C356" i="2"/>
  <c r="AL356" i="2"/>
  <c r="V362" i="2"/>
  <c r="Z361" i="2"/>
  <c r="AD360" i="2"/>
  <c r="N360" i="2"/>
  <c r="J359" i="2"/>
  <c r="V358" i="2"/>
  <c r="AH357" i="2"/>
  <c r="J357" i="2"/>
  <c r="N356" i="2"/>
  <c r="AK362" i="2"/>
  <c r="AC362" i="2"/>
  <c r="U362" i="2"/>
  <c r="M362" i="2"/>
  <c r="E362" i="2"/>
  <c r="AG361" i="2"/>
  <c r="Y361" i="2"/>
  <c r="Q361" i="2"/>
  <c r="I361" i="2"/>
  <c r="AK360" i="2"/>
  <c r="AC360" i="2"/>
  <c r="U360" i="2"/>
  <c r="M360" i="2"/>
  <c r="E360" i="2"/>
  <c r="F362" i="2"/>
  <c r="J361" i="2"/>
  <c r="AH359" i="2"/>
  <c r="AL358" i="2"/>
  <c r="Z357" i="2"/>
  <c r="N362" i="2"/>
  <c r="R361" i="2"/>
  <c r="V360" i="2"/>
  <c r="F360" i="2"/>
  <c r="R359" i="2"/>
  <c r="AD358" i="2"/>
  <c r="F358" i="2"/>
  <c r="R357" i="2"/>
  <c r="F356" i="2"/>
  <c r="AL362" i="2"/>
  <c r="AD356" i="2"/>
  <c r="AD362" i="2"/>
  <c r="AH361" i="2"/>
  <c r="AL360" i="2"/>
  <c r="Z359" i="2"/>
  <c r="N358" i="2"/>
  <c r="V356" i="2"/>
  <c r="AG359" i="2"/>
  <c r="Y359" i="2"/>
  <c r="Q359" i="2"/>
  <c r="I359" i="2"/>
  <c r="AK358" i="2"/>
  <c r="AC358" i="2"/>
  <c r="U358" i="2"/>
  <c r="M358" i="2"/>
  <c r="E358" i="2"/>
  <c r="AG357" i="2"/>
  <c r="Y357" i="2"/>
  <c r="Q357" i="2"/>
  <c r="I357" i="2"/>
  <c r="AK356" i="2"/>
  <c r="AC356" i="2"/>
  <c r="U356" i="2"/>
  <c r="M356" i="2"/>
  <c r="E356" i="2"/>
  <c r="AJ362" i="2"/>
  <c r="AB362" i="2"/>
  <c r="T362" i="2"/>
  <c r="L362" i="2"/>
  <c r="D362" i="2"/>
  <c r="AF361" i="2"/>
  <c r="X361" i="2"/>
  <c r="P361" i="2"/>
  <c r="H361" i="2"/>
  <c r="AJ360" i="2"/>
  <c r="AB360" i="2"/>
  <c r="T360" i="2"/>
  <c r="L360" i="2"/>
  <c r="D360" i="2"/>
  <c r="AF359" i="2"/>
  <c r="X359" i="2"/>
  <c r="P359" i="2"/>
  <c r="H359" i="2"/>
  <c r="AJ358" i="2"/>
  <c r="AB358" i="2"/>
  <c r="T358" i="2"/>
  <c r="L358" i="2"/>
  <c r="D358" i="2"/>
  <c r="AF357" i="2"/>
  <c r="X357" i="2"/>
  <c r="P357" i="2"/>
  <c r="H357" i="2"/>
  <c r="AJ356" i="2"/>
  <c r="AB356" i="2"/>
  <c r="T356" i="2"/>
  <c r="L356" i="2"/>
  <c r="D356" i="2"/>
  <c r="AH362" i="2"/>
  <c r="Z362" i="2"/>
  <c r="R362" i="2"/>
  <c r="J362" i="2"/>
  <c r="AL361" i="2"/>
  <c r="AD361" i="2"/>
  <c r="V361" i="2"/>
  <c r="N361" i="2"/>
  <c r="F361" i="2"/>
  <c r="AH360" i="2"/>
  <c r="Z360" i="2"/>
  <c r="R360" i="2"/>
  <c r="J360" i="2"/>
  <c r="AL359" i="2"/>
  <c r="AD359" i="2"/>
  <c r="V359" i="2"/>
  <c r="N359" i="2"/>
  <c r="F359" i="2"/>
  <c r="AH358" i="2"/>
  <c r="Z358" i="2"/>
  <c r="R358" i="2"/>
  <c r="J358" i="2"/>
  <c r="AL357" i="2"/>
  <c r="AD357" i="2"/>
  <c r="V357" i="2"/>
  <c r="N357" i="2"/>
  <c r="F357" i="2"/>
  <c r="AH356" i="2"/>
  <c r="Z356" i="2"/>
  <c r="R356" i="2"/>
  <c r="J356" i="2"/>
  <c r="AG362" i="2"/>
  <c r="Y362" i="2"/>
  <c r="Q362" i="2"/>
  <c r="I362" i="2"/>
  <c r="AK361" i="2"/>
  <c r="AC361" i="2"/>
  <c r="AE362" i="2"/>
  <c r="W362" i="2"/>
  <c r="O362" i="2"/>
  <c r="G362" i="2"/>
  <c r="AI361" i="2"/>
  <c r="AA361" i="2"/>
  <c r="S361" i="2"/>
  <c r="K361" i="2"/>
  <c r="C361" i="2"/>
  <c r="AE360" i="2"/>
  <c r="W360" i="2"/>
  <c r="O360" i="2"/>
  <c r="G360" i="2"/>
  <c r="AI359" i="2"/>
  <c r="AA359" i="2"/>
  <c r="S359" i="2"/>
  <c r="K359" i="2"/>
  <c r="C359" i="2"/>
  <c r="AE358" i="2"/>
  <c r="W358" i="2"/>
  <c r="O358" i="2"/>
  <c r="G358" i="2"/>
  <c r="AI357" i="2"/>
  <c r="AA357" i="2"/>
  <c r="S357" i="2"/>
  <c r="K357" i="2"/>
  <c r="C357" i="2"/>
  <c r="G356" i="2"/>
  <c r="O356" i="2"/>
  <c r="W356" i="2"/>
  <c r="AE356" i="2"/>
  <c r="H356" i="2"/>
  <c r="P356" i="2"/>
  <c r="X356" i="2"/>
  <c r="AF356" i="2"/>
  <c r="D357" i="2"/>
  <c r="L357" i="2"/>
  <c r="T357" i="2"/>
  <c r="AB357" i="2"/>
  <c r="AJ357" i="2"/>
  <c r="C292" i="2"/>
  <c r="C302" i="2"/>
  <c r="C312" i="2" s="1"/>
  <c r="E302" i="2"/>
  <c r="E312" i="2" s="1"/>
  <c r="D302" i="2"/>
  <c r="D312" i="2" s="1"/>
  <c r="F69" i="2" l="1"/>
  <c r="J69" i="2"/>
  <c r="N69" i="2"/>
  <c r="R69" i="2"/>
  <c r="V69" i="2"/>
  <c r="Z69" i="2"/>
  <c r="AD69" i="2"/>
  <c r="AH69" i="2"/>
  <c r="AL69" i="2"/>
  <c r="G69" i="2"/>
  <c r="K69" i="2"/>
  <c r="O69" i="2"/>
  <c r="S69" i="2"/>
  <c r="W69" i="2"/>
  <c r="AA69" i="2"/>
  <c r="AE69" i="2"/>
  <c r="AI69" i="2"/>
  <c r="D69" i="2"/>
  <c r="H69" i="2"/>
  <c r="L69" i="2"/>
  <c r="P69" i="2"/>
  <c r="T69" i="2"/>
  <c r="X69" i="2"/>
  <c r="AB69" i="2"/>
  <c r="AF69" i="2"/>
  <c r="AJ69" i="2"/>
  <c r="E69" i="2"/>
  <c r="I69" i="2"/>
  <c r="M69" i="2"/>
  <c r="Q69" i="2"/>
  <c r="U69" i="2"/>
  <c r="Y69" i="2"/>
  <c r="AC69" i="2"/>
  <c r="AG69" i="2"/>
  <c r="AK69" i="2"/>
  <c r="C69" i="2"/>
  <c r="C200" i="2" l="1"/>
  <c r="E151" i="2" l="1"/>
  <c r="E161" i="2" s="1"/>
  <c r="AL75" i="2" l="1"/>
  <c r="R75" i="2"/>
  <c r="F75" i="2" l="1"/>
  <c r="AJ75" i="2"/>
  <c r="AB75" i="2"/>
  <c r="V75" i="2"/>
  <c r="AH75" i="2"/>
  <c r="T75" i="2"/>
  <c r="Z75" i="2"/>
  <c r="J75" i="2"/>
  <c r="AK75" i="2"/>
  <c r="M75" i="2"/>
  <c r="AF75" i="2"/>
  <c r="X75" i="2"/>
  <c r="P75" i="2"/>
  <c r="H75" i="2"/>
  <c r="C75" i="2"/>
  <c r="L75" i="2"/>
  <c r="D75" i="2"/>
  <c r="AE75" i="2"/>
  <c r="W75" i="2"/>
  <c r="O75" i="2"/>
  <c r="G75" i="2"/>
  <c r="AD75" i="2"/>
  <c r="N75" i="2"/>
  <c r="K75" i="2"/>
  <c r="AI75" i="2"/>
  <c r="S75" i="2"/>
  <c r="AG75" i="2"/>
  <c r="Y75" i="2"/>
  <c r="Q75" i="2"/>
  <c r="I75" i="2"/>
  <c r="AA75" i="2"/>
  <c r="AC75" i="2"/>
  <c r="U75" i="2"/>
  <c r="E75" i="2"/>
  <c r="B65" i="2" l="1"/>
  <c r="B73" i="2" s="1"/>
  <c r="B64" i="2"/>
  <c r="B67" i="2" s="1"/>
  <c r="AG267" i="2" l="1"/>
  <c r="Y267" i="2"/>
  <c r="Y268" i="2"/>
  <c r="Q268" i="2"/>
  <c r="Q267" i="2"/>
  <c r="E267" i="2"/>
  <c r="AF269" i="2"/>
  <c r="AF267" i="2"/>
  <c r="AF268" i="2"/>
  <c r="P269" i="2"/>
  <c r="P267" i="2"/>
  <c r="P268" i="2"/>
  <c r="H269" i="2"/>
  <c r="H267" i="2"/>
  <c r="H268" i="2"/>
  <c r="I269" i="2"/>
  <c r="AB268" i="2" l="1"/>
  <c r="AJ267" i="2"/>
  <c r="E269" i="2"/>
  <c r="Y269" i="2"/>
  <c r="AD255" i="2"/>
  <c r="C268" i="2"/>
  <c r="AA267" i="2"/>
  <c r="Z255" i="2"/>
  <c r="U268" i="2"/>
  <c r="AK267" i="2"/>
  <c r="L267" i="2"/>
  <c r="X267" i="2"/>
  <c r="AG269" i="2"/>
  <c r="W267" i="2"/>
  <c r="AB269" i="2"/>
  <c r="K267" i="2"/>
  <c r="N267" i="2"/>
  <c r="V269" i="2"/>
  <c r="AH255" i="2"/>
  <c r="G267" i="2"/>
  <c r="I268" i="2"/>
  <c r="V267" i="2"/>
  <c r="L268" i="2"/>
  <c r="W269" i="2"/>
  <c r="AI269" i="2"/>
  <c r="I267" i="2"/>
  <c r="M267" i="2"/>
  <c r="M255" i="2"/>
  <c r="U255" i="2"/>
  <c r="N268" i="2"/>
  <c r="AH267" i="2"/>
  <c r="E237" i="2"/>
  <c r="AC269" i="2"/>
  <c r="C267" i="2"/>
  <c r="I255" i="2"/>
  <c r="P255" i="2"/>
  <c r="D237" i="2"/>
  <c r="E268" i="2"/>
  <c r="O268" i="2"/>
  <c r="S268" i="2"/>
  <c r="AK269" i="2"/>
  <c r="AH268" i="2"/>
  <c r="X268" i="2"/>
  <c r="AB255" i="2"/>
  <c r="O269" i="2"/>
  <c r="C269" i="2"/>
  <c r="C266" i="2"/>
  <c r="C246" i="2"/>
  <c r="O255" i="2"/>
  <c r="S255" i="2"/>
  <c r="W268" i="2"/>
  <c r="AA268" i="2"/>
  <c r="AE269" i="2"/>
  <c r="AE255" i="2"/>
  <c r="AI268" i="2"/>
  <c r="AI255" i="2"/>
  <c r="I266" i="2"/>
  <c r="I246" i="2"/>
  <c r="M268" i="2"/>
  <c r="V255" i="2"/>
  <c r="D269" i="2"/>
  <c r="T269" i="2"/>
  <c r="X255" i="2"/>
  <c r="AB266" i="2"/>
  <c r="AB246" i="2"/>
  <c r="AJ269" i="2"/>
  <c r="E255" i="2"/>
  <c r="Q269" i="2"/>
  <c r="J268" i="2"/>
  <c r="R268" i="2"/>
  <c r="C255" i="2"/>
  <c r="K268" i="2"/>
  <c r="O267" i="2"/>
  <c r="S267" i="2"/>
  <c r="AA269" i="2"/>
  <c r="U266" i="2"/>
  <c r="U246" i="2"/>
  <c r="V266" i="2"/>
  <c r="V246" i="2"/>
  <c r="D255" i="2"/>
  <c r="T255" i="2"/>
  <c r="J269" i="2"/>
  <c r="R269" i="2"/>
  <c r="AD266" i="2"/>
  <c r="AD246" i="2"/>
  <c r="AL268" i="2"/>
  <c r="G266" i="2"/>
  <c r="G246" i="2"/>
  <c r="K269" i="2"/>
  <c r="AA255" i="2"/>
  <c r="AE267" i="2"/>
  <c r="M266" i="2"/>
  <c r="M246" i="2"/>
  <c r="U269" i="2"/>
  <c r="N269" i="2"/>
  <c r="D267" i="2"/>
  <c r="T267" i="2"/>
  <c r="AJ255" i="2"/>
  <c r="F266" i="2"/>
  <c r="F246" i="2"/>
  <c r="Z266" i="2"/>
  <c r="Z246" i="2"/>
  <c r="AL269" i="2"/>
  <c r="G268" i="2"/>
  <c r="G255" i="2"/>
  <c r="K255" i="2"/>
  <c r="W255" i="2"/>
  <c r="AI267" i="2"/>
  <c r="AK268" i="2"/>
  <c r="V268" i="2"/>
  <c r="L255" i="2"/>
  <c r="Y266" i="2"/>
  <c r="Y246" i="2"/>
  <c r="F255" i="2"/>
  <c r="J255" i="2"/>
  <c r="J267" i="2"/>
  <c r="R267" i="2"/>
  <c r="AD268" i="2"/>
  <c r="AL255" i="2"/>
  <c r="G269" i="2"/>
  <c r="O266" i="2"/>
  <c r="O246" i="2"/>
  <c r="S266" i="2"/>
  <c r="S246" i="2"/>
  <c r="U267" i="2"/>
  <c r="AH266" i="2"/>
  <c r="AH246" i="2"/>
  <c r="H266" i="2"/>
  <c r="H246" i="2"/>
  <c r="H255" i="2"/>
  <c r="L266" i="2"/>
  <c r="L246" i="2"/>
  <c r="X266" i="2"/>
  <c r="X246" i="2"/>
  <c r="Q255" i="2"/>
  <c r="Y255" i="2"/>
  <c r="F268" i="2"/>
  <c r="C237" i="2"/>
  <c r="Z268" i="2"/>
  <c r="AD269" i="2"/>
  <c r="AL267" i="2"/>
  <c r="AE266" i="2"/>
  <c r="AE246" i="2"/>
  <c r="AC267" i="2"/>
  <c r="AC266" i="2"/>
  <c r="AC246" i="2"/>
  <c r="AK266" i="2"/>
  <c r="AK246" i="2"/>
  <c r="N255" i="2"/>
  <c r="D266" i="2"/>
  <c r="D246" i="2"/>
  <c r="P266" i="2"/>
  <c r="P246" i="2"/>
  <c r="T266" i="2"/>
  <c r="T246" i="2"/>
  <c r="AB267" i="2"/>
  <c r="AJ266" i="2"/>
  <c r="AJ246" i="2"/>
  <c r="AG266" i="2"/>
  <c r="AG246" i="2"/>
  <c r="AG268" i="2"/>
  <c r="AG255" i="2"/>
  <c r="F269" i="2"/>
  <c r="R255" i="2"/>
  <c r="Z269" i="2"/>
  <c r="W266" i="2"/>
  <c r="W246" i="2"/>
  <c r="AA266" i="2"/>
  <c r="AA246" i="2"/>
  <c r="AI266" i="2"/>
  <c r="AI246" i="2"/>
  <c r="AC268" i="2"/>
  <c r="AF266" i="2"/>
  <c r="AF246" i="2"/>
  <c r="AF255" i="2"/>
  <c r="E266" i="2"/>
  <c r="E246" i="2"/>
  <c r="Q266" i="2"/>
  <c r="Q246" i="2"/>
  <c r="J266" i="2"/>
  <c r="J246" i="2"/>
  <c r="R266" i="2"/>
  <c r="R246" i="2"/>
  <c r="AD267" i="2"/>
  <c r="K266" i="2"/>
  <c r="K246" i="2"/>
  <c r="S269" i="2"/>
  <c r="AE268" i="2"/>
  <c r="M269" i="2"/>
  <c r="AC255" i="2"/>
  <c r="AK255" i="2"/>
  <c r="N266" i="2"/>
  <c r="N246" i="2"/>
  <c r="AH269" i="2"/>
  <c r="D268" i="2"/>
  <c r="L269" i="2"/>
  <c r="T268" i="2"/>
  <c r="X269" i="2"/>
  <c r="AJ268" i="2"/>
  <c r="F267" i="2"/>
  <c r="Z267" i="2"/>
  <c r="AL266" i="2"/>
  <c r="AL246" i="2"/>
  <c r="AD265" i="2" l="1"/>
  <c r="AE265" i="2"/>
  <c r="I265" i="2"/>
  <c r="Z265" i="2"/>
  <c r="AB265" i="2"/>
  <c r="E265" i="2"/>
  <c r="P265" i="2"/>
  <c r="Y265" i="2"/>
  <c r="H265" i="2"/>
  <c r="M265" i="2"/>
  <c r="J265" i="2"/>
  <c r="AG265" i="2"/>
  <c r="AA265" i="2"/>
  <c r="T265" i="2"/>
  <c r="K265" i="2"/>
  <c r="W265" i="2"/>
  <c r="O265" i="2"/>
  <c r="U265" i="2"/>
  <c r="N265" i="2"/>
  <c r="AI265" i="2"/>
  <c r="AH265" i="2"/>
  <c r="V265" i="2"/>
  <c r="AJ265" i="2"/>
  <c r="X265" i="2"/>
  <c r="R265" i="2"/>
  <c r="D265" i="2"/>
  <c r="L265" i="2"/>
  <c r="AK265" i="2"/>
  <c r="G265" i="2"/>
  <c r="AC265" i="2"/>
  <c r="Q265" i="2"/>
  <c r="AF265" i="2"/>
  <c r="S265" i="2"/>
  <c r="AL265" i="2"/>
  <c r="C265" i="2"/>
  <c r="F265" i="2"/>
  <c r="AH60" i="2" l="1"/>
  <c r="AH65" i="2"/>
  <c r="AH64" i="2"/>
  <c r="AK65" i="2"/>
  <c r="AK64" i="2"/>
  <c r="AC60" i="2"/>
  <c r="AC65" i="2"/>
  <c r="U60" i="2"/>
  <c r="M65" i="2"/>
  <c r="M64" i="2"/>
  <c r="I60" i="2"/>
  <c r="I64" i="2"/>
  <c r="AI64" i="2"/>
  <c r="AE60" i="2"/>
  <c r="AE65" i="2"/>
  <c r="AE64" i="2"/>
  <c r="AA60" i="2"/>
  <c r="AA65" i="2"/>
  <c r="AA64" i="2"/>
  <c r="W60" i="2"/>
  <c r="W64" i="2"/>
  <c r="O65" i="2"/>
  <c r="O64" i="2"/>
  <c r="K60" i="2"/>
  <c r="S65" i="2" l="1"/>
  <c r="F64" i="2"/>
  <c r="M60" i="2"/>
  <c r="AK60" i="2"/>
  <c r="D64" i="2"/>
  <c r="T64" i="2"/>
  <c r="AL65" i="2"/>
  <c r="D65" i="2"/>
  <c r="Q65" i="2"/>
  <c r="Q64" i="2"/>
  <c r="H65" i="2"/>
  <c r="Q60" i="2"/>
  <c r="K64" i="2"/>
  <c r="AI65" i="2"/>
  <c r="P64" i="2"/>
  <c r="T60" i="2"/>
  <c r="AJ60" i="2"/>
  <c r="Y64" i="2"/>
  <c r="AG64" i="2"/>
  <c r="Z60" i="2"/>
  <c r="F65" i="2"/>
  <c r="K65" i="2"/>
  <c r="AB64" i="2"/>
  <c r="AG60" i="2"/>
  <c r="W65" i="2"/>
  <c r="I272" i="2"/>
  <c r="I271" i="2"/>
  <c r="I270" i="2"/>
  <c r="R64" i="2"/>
  <c r="R65" i="2"/>
  <c r="F270" i="2"/>
  <c r="F271" i="2"/>
  <c r="F272" i="2"/>
  <c r="G65" i="2"/>
  <c r="O60" i="2"/>
  <c r="AI60" i="2"/>
  <c r="U65" i="2"/>
  <c r="V65" i="2"/>
  <c r="P60" i="2"/>
  <c r="X64" i="2"/>
  <c r="X60" i="2"/>
  <c r="E65" i="2"/>
  <c r="Y65" i="2"/>
  <c r="J64" i="2"/>
  <c r="J65" i="2"/>
  <c r="AL270" i="2"/>
  <c r="AL271" i="2"/>
  <c r="AL272" i="2"/>
  <c r="AE270" i="2"/>
  <c r="AE272" i="2"/>
  <c r="AE271" i="2"/>
  <c r="T270" i="2"/>
  <c r="T271" i="2"/>
  <c r="T272" i="2"/>
  <c r="AJ272" i="2"/>
  <c r="AJ271" i="2"/>
  <c r="AJ270" i="2"/>
  <c r="R270" i="2"/>
  <c r="R271" i="2"/>
  <c r="R272" i="2"/>
  <c r="AK272" i="2"/>
  <c r="AK270" i="2"/>
  <c r="AK271" i="2"/>
  <c r="AG272" i="2"/>
  <c r="AG270" i="2"/>
  <c r="AG271" i="2"/>
  <c r="S64" i="2"/>
  <c r="AI270" i="2"/>
  <c r="AI272" i="2"/>
  <c r="AI271" i="2"/>
  <c r="U270" i="2"/>
  <c r="U271" i="2"/>
  <c r="U272" i="2"/>
  <c r="V270" i="2"/>
  <c r="V272" i="2"/>
  <c r="V271" i="2"/>
  <c r="L64" i="2"/>
  <c r="L60" i="2"/>
  <c r="P272" i="2"/>
  <c r="P271" i="2"/>
  <c r="P270" i="2"/>
  <c r="T65" i="2"/>
  <c r="AF271" i="2"/>
  <c r="AF270" i="2"/>
  <c r="AF272" i="2"/>
  <c r="AJ64" i="2"/>
  <c r="AJ65" i="2"/>
  <c r="J272" i="2"/>
  <c r="J271" i="2"/>
  <c r="J270" i="2"/>
  <c r="R60" i="2"/>
  <c r="AL60" i="2"/>
  <c r="C270" i="2"/>
  <c r="C272" i="2"/>
  <c r="C271" i="2"/>
  <c r="G64" i="2"/>
  <c r="I65" i="2"/>
  <c r="M272" i="2"/>
  <c r="M270" i="2"/>
  <c r="M271" i="2"/>
  <c r="U64" i="2"/>
  <c r="V60" i="2"/>
  <c r="E272" i="2"/>
  <c r="E270" i="2"/>
  <c r="E271" i="2"/>
  <c r="Y271" i="2"/>
  <c r="Y270" i="2"/>
  <c r="Y272" i="2"/>
  <c r="Z65" i="2"/>
  <c r="AD60" i="2"/>
  <c r="O270" i="2"/>
  <c r="O271" i="2"/>
  <c r="O272" i="2"/>
  <c r="S271" i="2"/>
  <c r="S270" i="2"/>
  <c r="S272" i="2"/>
  <c r="X65" i="2"/>
  <c r="G272" i="2"/>
  <c r="G270" i="2"/>
  <c r="G271" i="2"/>
  <c r="N60" i="2"/>
  <c r="AB65" i="2"/>
  <c r="E64" i="2"/>
  <c r="K271" i="2"/>
  <c r="K270" i="2"/>
  <c r="K272" i="2"/>
  <c r="S60" i="2"/>
  <c r="AA271" i="2"/>
  <c r="AA270" i="2"/>
  <c r="AA272" i="2"/>
  <c r="AC64" i="2"/>
  <c r="N64" i="2"/>
  <c r="N65" i="2"/>
  <c r="L65" i="2"/>
  <c r="P65" i="2"/>
  <c r="AF64" i="2"/>
  <c r="AF65" i="2"/>
  <c r="AF60" i="2"/>
  <c r="Y60" i="2"/>
  <c r="AG65" i="2"/>
  <c r="AH271" i="2"/>
  <c r="AH270" i="2"/>
  <c r="AH272" i="2"/>
  <c r="D271" i="2"/>
  <c r="D272" i="2"/>
  <c r="D270" i="2"/>
  <c r="W270" i="2"/>
  <c r="W272" i="2"/>
  <c r="W271" i="2"/>
  <c r="N271" i="2"/>
  <c r="N272" i="2"/>
  <c r="N270" i="2"/>
  <c r="L270" i="2"/>
  <c r="L271" i="2"/>
  <c r="L272" i="2"/>
  <c r="AB270" i="2"/>
  <c r="AB271" i="2"/>
  <c r="AB272" i="2"/>
  <c r="Q270" i="2"/>
  <c r="Q272" i="2"/>
  <c r="Q271" i="2"/>
  <c r="AD65" i="2"/>
  <c r="AD270" i="2"/>
  <c r="AD271" i="2"/>
  <c r="AD272" i="2"/>
  <c r="AC271" i="2"/>
  <c r="AC270" i="2"/>
  <c r="AC272" i="2"/>
  <c r="V64" i="2"/>
  <c r="H64" i="2"/>
  <c r="H60" i="2"/>
  <c r="H272" i="2"/>
  <c r="H271" i="2"/>
  <c r="H270" i="2"/>
  <c r="X271" i="2"/>
  <c r="X270" i="2"/>
  <c r="X272" i="2"/>
  <c r="AB60" i="2"/>
  <c r="J60" i="2"/>
  <c r="Z64" i="2"/>
  <c r="Z271" i="2"/>
  <c r="Z272" i="2"/>
  <c r="Z270" i="2"/>
  <c r="AD64" i="2"/>
  <c r="AL6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tc={8B17D36B-81D2-4EE5-A719-89E9DB4D4DB2}</author>
  </authors>
  <commentList>
    <comment ref="A191" authorId="0" shapeId="0" xr:uid="{8B17D36B-81D2-4EE5-A719-89E9DB4D4DB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Attention léger écart sur somme</t>
      </text>
    </comment>
  </commentList>
</comments>
</file>

<file path=xl/sharedStrings.xml><?xml version="1.0" encoding="utf-8"?>
<sst xmlns="http://schemas.openxmlformats.org/spreadsheetml/2006/main" count="437" uniqueCount="101">
  <si>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</si>
  <si>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</si>
  <si>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</si>
  <si>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</si>
  <si>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</si>
  <si>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</si>
  <si>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</si>
  <si>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</si>
  <si>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</si>
  <si>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</si>
  <si>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</si>
  <si>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</si>
  <si>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VA</t>
  </si>
  <si>
    <t>Année</t>
  </si>
  <si>
    <t>2030</t>
  </si>
  <si>
    <t>2040</t>
  </si>
  <si>
    <t>2050</t>
  </si>
  <si>
    <t>Investment</t>
  </si>
  <si>
    <t>Exports</t>
  </si>
  <si>
    <t>Imports</t>
  </si>
  <si>
    <t>Production</t>
  </si>
  <si>
    <t>Firms</t>
  </si>
  <si>
    <t>Total</t>
  </si>
  <si>
    <t>Transport</t>
  </si>
  <si>
    <t>Oil &amp; Gas</t>
  </si>
  <si>
    <t>Electricity</t>
  </si>
  <si>
    <t>baseline</t>
  </si>
  <si>
    <t>shock</t>
  </si>
  <si>
    <t>Average</t>
  </si>
  <si>
    <t>Capital</t>
  </si>
  <si>
    <t>Capital intensity</t>
  </si>
  <si>
    <t>Energy intensity</t>
  </si>
  <si>
    <t>Ménages</t>
  </si>
  <si>
    <t>Ménages (logement)</t>
  </si>
  <si>
    <t>Ménages (transport)</t>
  </si>
  <si>
    <t>Consommation</t>
  </si>
  <si>
    <t>CI</t>
  </si>
  <si>
    <t>Y</t>
  </si>
  <si>
    <t>MAT</t>
  </si>
  <si>
    <t>A</t>
  </si>
  <si>
    <t>B</t>
  </si>
  <si>
    <t>C</t>
  </si>
  <si>
    <t>D</t>
  </si>
  <si>
    <t>E</t>
  </si>
  <si>
    <t>F</t>
  </si>
  <si>
    <t>G</t>
  </si>
  <si>
    <t>2020</t>
  </si>
  <si>
    <t>CF toe</t>
  </si>
  <si>
    <t>Carburant</t>
  </si>
  <si>
    <t>Autre</t>
  </si>
  <si>
    <t>Charbon</t>
  </si>
  <si>
    <t>Consommation énergétique</t>
  </si>
  <si>
    <t>Valeur ajoutée sectorielle</t>
  </si>
  <si>
    <t>VA graphique</t>
  </si>
  <si>
    <t>%deviation</t>
  </si>
  <si>
    <t>share evolution</t>
  </si>
  <si>
    <t>Production sectorielle</t>
  </si>
  <si>
    <t>Production graphique</t>
  </si>
  <si>
    <t>%share</t>
  </si>
  <si>
    <t>%deviation from baseline</t>
  </si>
  <si>
    <t>Employment</t>
  </si>
  <si>
    <t>deviation in thousands</t>
  </si>
  <si>
    <t>%deviation + contributions</t>
  </si>
  <si>
    <t>Vehicles stock by energy</t>
  </si>
  <si>
    <t>Vehicles stock by class</t>
  </si>
  <si>
    <t>Buildings by class</t>
  </si>
  <si>
    <t>Firms' CO2 emissions</t>
  </si>
  <si>
    <t>Final energy</t>
  </si>
  <si>
    <t>Primary energy</t>
  </si>
  <si>
    <t>%deviation + contribution</t>
  </si>
  <si>
    <t>AUTO_CA_0</t>
  </si>
  <si>
    <t>AUTO_CB_0</t>
  </si>
  <si>
    <t>AUTO_CC_0</t>
  </si>
  <si>
    <t>AUTO_CD_0</t>
  </si>
  <si>
    <t>AUTO_CE_0</t>
  </si>
  <si>
    <t>AUTO_CF_0</t>
  </si>
  <si>
    <t>AUTO_CG_0</t>
  </si>
  <si>
    <t>PIB</t>
  </si>
  <si>
    <t>Investissement</t>
  </si>
  <si>
    <t>Exportations nettes</t>
  </si>
  <si>
    <t>Entreprises</t>
  </si>
  <si>
    <t>Gaz</t>
  </si>
  <si>
    <t>Electrique</t>
  </si>
  <si>
    <t>Véhicules</t>
  </si>
  <si>
    <t>Alimentation</t>
  </si>
  <si>
    <t>Verre</t>
  </si>
  <si>
    <t>Chimie</t>
  </si>
  <si>
    <t>Métallurgie</t>
  </si>
  <si>
    <t>Autres industries</t>
  </si>
  <si>
    <t>Routier</t>
  </si>
  <si>
    <t>Aérien</t>
  </si>
  <si>
    <t>Autres transports</t>
  </si>
  <si>
    <t>Energie primaire</t>
  </si>
  <si>
    <t>Production nette</t>
  </si>
  <si>
    <t>Consommation ménages</t>
  </si>
  <si>
    <t>Consommation entreprises</t>
  </si>
  <si>
    <t>Construction</t>
  </si>
  <si>
    <t>%deviation contrib</t>
  </si>
  <si>
    <t>%share contrib</t>
  </si>
  <si>
    <t>%deviation xontrib</t>
  </si>
  <si>
    <t>Total (très léger écart)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</si>
</sst>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quotePrefix="1"/>
    <xf numFmtId="0" fontId="0" fillId="0" borderId="0" xfId="0" applyAlignment="1">
      <alignment horizontal="center" vertical="center"/>
    </xf>
    <xf numFmtId="9" fontId="0" fillId="0" borderId="0" xfId="0" applyNumberFormat="1"/>
    <xf numFmtId="165" fontId="0" fillId="0" borderId="0" xfId="0" quotePrefix="1" applyNumberFormat="1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3" fontId="0" fillId="2" borderId="0" xfId="0" applyNumberFormat="1" applyFill="1"/>
    <xf numFmtId="0" fontId="0" fillId="2" borderId="0" xfId="0" applyFill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hartsheet" Target="chartsheets/sheet12.xml"/><Relationship Id="rId18" Type="http://schemas.openxmlformats.org/officeDocument/2006/relationships/chartsheet" Target="chartsheets/sheet17.xml"/><Relationship Id="rId26" Type="http://schemas.openxmlformats.org/officeDocument/2006/relationships/externalLink" Target="externalLinks/externalLink1.xml"/><Relationship Id="rId3" Type="http://schemas.openxmlformats.org/officeDocument/2006/relationships/chartsheet" Target="chartsheets/sheet2.xml"/><Relationship Id="rId21" Type="http://schemas.openxmlformats.org/officeDocument/2006/relationships/chartsheet" Target="chartsheets/sheet20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chartsheet" Target="chartsheets/sheet16.xml"/><Relationship Id="rId25" Type="http://schemas.openxmlformats.org/officeDocument/2006/relationships/chartsheet" Target="chartsheets/sheet24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15.xml"/><Relationship Id="rId20" Type="http://schemas.openxmlformats.org/officeDocument/2006/relationships/chartsheet" Target="chartsheets/sheet19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24" Type="http://schemas.openxmlformats.org/officeDocument/2006/relationships/chartsheet" Target="chartsheets/sheet23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14.xml"/><Relationship Id="rId23" Type="http://schemas.openxmlformats.org/officeDocument/2006/relationships/chartsheet" Target="chartsheets/sheet22.xml"/><Relationship Id="rId28" Type="http://schemas.openxmlformats.org/officeDocument/2006/relationships/styles" Target="styles.xml"/><Relationship Id="rId10" Type="http://schemas.openxmlformats.org/officeDocument/2006/relationships/chartsheet" Target="chartsheets/sheet9.xml"/><Relationship Id="rId19" Type="http://schemas.openxmlformats.org/officeDocument/2006/relationships/chartsheet" Target="chartsheets/sheet18.xml"/><Relationship Id="rId31" Type="http://schemas.openxmlformats.org/officeDocument/2006/relationships/calcChain" Target="calcChain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hartsheet" Target="chartsheets/sheet13.xml"/><Relationship Id="rId22" Type="http://schemas.openxmlformats.org/officeDocument/2006/relationships/chartsheet" Target="chartsheets/sheet21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>
                <a:solidFill>
                  <a:srgbClr val="595959"/>
                </a:solidFill>
              </a:rPr>
              <a:t>Impact sur le PIB</a:t>
            </a:r>
            <a:r>
              <a:rPr lang="fr-FR" sz="2400" baseline="0">
                <a:solidFill>
                  <a:srgbClr val="595959"/>
                </a:solidFill>
              </a:rPr>
              <a:t> - </a:t>
            </a:r>
            <a:r>
              <a:rPr lang="fr-FR" sz="2400" b="1" u="sng" baseline="0">
                <a:solidFill>
                  <a:srgbClr val="595959"/>
                </a:solidFill>
              </a:rPr>
              <a:t>Net Zero 2050</a:t>
            </a:r>
          </a:p>
          <a:p>
            <a:pPr>
              <a:defRPr sz="2400"/>
            </a:pPr>
            <a:r>
              <a:rPr lang="fr-FR" sz="1800" baseline="0"/>
              <a:t>(% d'écart au scénario tendanciel)</a:t>
            </a:r>
            <a:endParaRPr lang="fr-FR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Données!$B$7</c:f>
              <c:strCache>
                <c:ptCount val="1"/>
                <c:pt idx="0">
                  <c:v>Consommation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Données!$C$7:$AL$7</c:f>
              <c:numCache>
                <c:formatCode>#,##0.0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-5.1750526854107814E-3</c:v>
                </c:pt>
                <c:pt idx="7">
                  <c:v>-0.27366526126804164</c:v>
                </c:pt>
                <c:pt idx="8">
                  <c:v>-0.61527902228321041</c:v>
                </c:pt>
                <c:pt idx="9">
                  <c:v>-0.84776283782660744</c:v>
                </c:pt>
                <c:pt idx="10">
                  <c:v>-0.88561530678461631</c:v>
                </c:pt>
                <c:pt idx="11">
                  <c:v>-0.76935929172245443</c:v>
                </c:pt>
                <c:pt idx="12">
                  <c:v>-0.56347318246608824</c:v>
                </c:pt>
                <c:pt idx="13">
                  <c:v>-0.35263669440976891</c:v>
                </c:pt>
                <c:pt idx="14">
                  <c:v>-0.19679514467688042</c:v>
                </c:pt>
                <c:pt idx="15">
                  <c:v>-0.11892576155988815</c:v>
                </c:pt>
                <c:pt idx="16">
                  <c:v>-0.10966287766474396</c:v>
                </c:pt>
                <c:pt idx="17">
                  <c:v>-0.14171053305950362</c:v>
                </c:pt>
                <c:pt idx="18">
                  <c:v>-0.1860205905868085</c:v>
                </c:pt>
                <c:pt idx="19">
                  <c:v>-0.22287698028945727</c:v>
                </c:pt>
                <c:pt idx="20">
                  <c:v>-0.24404199737510734</c:v>
                </c:pt>
                <c:pt idx="21">
                  <c:v>-0.25586315531480974</c:v>
                </c:pt>
                <c:pt idx="22">
                  <c:v>-0.26476515592928856</c:v>
                </c:pt>
                <c:pt idx="23">
                  <c:v>-0.27756409360358708</c:v>
                </c:pt>
                <c:pt idx="24">
                  <c:v>-0.29726572311689237</c:v>
                </c:pt>
                <c:pt idx="25">
                  <c:v>-0.32070521991615381</c:v>
                </c:pt>
                <c:pt idx="26">
                  <c:v>-0.34690702904661463</c:v>
                </c:pt>
                <c:pt idx="27">
                  <c:v>-0.36980980609884739</c:v>
                </c:pt>
                <c:pt idx="28">
                  <c:v>-0.38543128617656391</c:v>
                </c:pt>
                <c:pt idx="29">
                  <c:v>-0.39203981138393634</c:v>
                </c:pt>
                <c:pt idx="30">
                  <c:v>-0.3902534924098498</c:v>
                </c:pt>
                <c:pt idx="31">
                  <c:v>-0.38230076915712247</c:v>
                </c:pt>
                <c:pt idx="32">
                  <c:v>-0.37091130930068794</c:v>
                </c:pt>
                <c:pt idx="33">
                  <c:v>-0.35839677081075966</c:v>
                </c:pt>
                <c:pt idx="34">
                  <c:v>-0.34618669382620104</c:v>
                </c:pt>
                <c:pt idx="35">
                  <c:v>-0.33479153676562834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Données!$B$10</c:f>
              <c:strCache>
                <c:ptCount val="1"/>
                <c:pt idx="0">
                  <c:v>Investissement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Données!$C$10:$AL$10</c:f>
              <c:numCache>
                <c:formatCode>#,##0.0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8.6208578766350293E-3</c:v>
                </c:pt>
                <c:pt idx="7">
                  <c:v>-0.10793348647718097</c:v>
                </c:pt>
                <c:pt idx="8">
                  <c:v>-0.29930220156456838</c:v>
                </c:pt>
                <c:pt idx="9">
                  <c:v>-0.49004342854834776</c:v>
                </c:pt>
                <c:pt idx="10">
                  <c:v>-0.62291582386426858</c:v>
                </c:pt>
                <c:pt idx="11">
                  <c:v>-0.68218534380313323</c:v>
                </c:pt>
                <c:pt idx="12">
                  <c:v>-0.67356392197411952</c:v>
                </c:pt>
                <c:pt idx="13">
                  <c:v>-0.62261552839599177</c:v>
                </c:pt>
                <c:pt idx="14">
                  <c:v>-0.55889405140278792</c:v>
                </c:pt>
                <c:pt idx="15">
                  <c:v>-0.50415659971656868</c:v>
                </c:pt>
                <c:pt idx="16">
                  <c:v>-0.46746013771528122</c:v>
                </c:pt>
                <c:pt idx="17">
                  <c:v>-0.44681791146331745</c:v>
                </c:pt>
                <c:pt idx="18">
                  <c:v>-0.43450443877299699</c:v>
                </c:pt>
                <c:pt idx="19">
                  <c:v>-0.4225417258790421</c:v>
                </c:pt>
                <c:pt idx="20">
                  <c:v>-0.4059654396713997</c:v>
                </c:pt>
                <c:pt idx="21">
                  <c:v>-0.38467323621663035</c:v>
                </c:pt>
                <c:pt idx="22">
                  <c:v>-0.36175548561235171</c:v>
                </c:pt>
                <c:pt idx="23">
                  <c:v>-0.34111882704356039</c:v>
                </c:pt>
                <c:pt idx="24">
                  <c:v>-0.32594491943259485</c:v>
                </c:pt>
                <c:pt idx="25">
                  <c:v>-0.31739762544081906</c:v>
                </c:pt>
                <c:pt idx="26">
                  <c:v>-0.31444089566851935</c:v>
                </c:pt>
                <c:pt idx="27">
                  <c:v>-0.31580474703623662</c:v>
                </c:pt>
                <c:pt idx="28">
                  <c:v>-0.31897637481085228</c:v>
                </c:pt>
                <c:pt idx="29">
                  <c:v>-0.32182414487040462</c:v>
                </c:pt>
                <c:pt idx="30">
                  <c:v>-0.32304660063674723</c:v>
                </c:pt>
                <c:pt idx="31">
                  <c:v>-0.32224340263291074</c:v>
                </c:pt>
                <c:pt idx="32">
                  <c:v>-0.31965772836625944</c:v>
                </c:pt>
                <c:pt idx="33">
                  <c:v>-0.31579490678653782</c:v>
                </c:pt>
                <c:pt idx="34">
                  <c:v>-0.31110244632652506</c:v>
                </c:pt>
                <c:pt idx="35">
                  <c:v>-0.30578977290206688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Données!$B$12</c:f>
              <c:strCache>
                <c:ptCount val="1"/>
                <c:pt idx="0">
                  <c:v>Exportations nettes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Données!$C$12:$AL$12</c:f>
              <c:numCache>
                <c:formatCode>#,##0.0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-4.3392473675725719E-2</c:v>
                </c:pt>
                <c:pt idx="7">
                  <c:v>-4.4170021794509157E-2</c:v>
                </c:pt>
                <c:pt idx="8">
                  <c:v>-7.4814578088366945E-2</c:v>
                </c:pt>
                <c:pt idx="9">
                  <c:v>-0.1610903091840426</c:v>
                </c:pt>
                <c:pt idx="10">
                  <c:v>-0.29133055894171572</c:v>
                </c:pt>
                <c:pt idx="11">
                  <c:v>-0.43377359906478929</c:v>
                </c:pt>
                <c:pt idx="12">
                  <c:v>-0.56149744064287188</c:v>
                </c:pt>
                <c:pt idx="13">
                  <c:v>-0.65661655011072229</c:v>
                </c:pt>
                <c:pt idx="14">
                  <c:v>-0.71370738790913035</c:v>
                </c:pt>
                <c:pt idx="15">
                  <c:v>-0.73750081154560554</c:v>
                </c:pt>
                <c:pt idx="16">
                  <c:v>-0.73789927680954226</c:v>
                </c:pt>
                <c:pt idx="17">
                  <c:v>-0.7250268705388685</c:v>
                </c:pt>
                <c:pt idx="18">
                  <c:v>-0.7060928678020979</c:v>
                </c:pt>
                <c:pt idx="19">
                  <c:v>-0.68459247831107695</c:v>
                </c:pt>
                <c:pt idx="20">
                  <c:v>-0.66139600909630103</c:v>
                </c:pt>
                <c:pt idx="21">
                  <c:v>-0.63564753461243362</c:v>
                </c:pt>
                <c:pt idx="22">
                  <c:v>-0.60773041315358145</c:v>
                </c:pt>
                <c:pt idx="23">
                  <c:v>-0.57861937898330074</c:v>
                </c:pt>
                <c:pt idx="24">
                  <c:v>-0.55019976755839728</c:v>
                </c:pt>
                <c:pt idx="25">
                  <c:v>-0.52503229623102743</c:v>
                </c:pt>
                <c:pt idx="26">
                  <c:v>-0.5039010147485441</c:v>
                </c:pt>
                <c:pt idx="27">
                  <c:v>-0.4886820091684817</c:v>
                </c:pt>
                <c:pt idx="28">
                  <c:v>-0.47941183916850638</c:v>
                </c:pt>
                <c:pt idx="29">
                  <c:v>-0.47537393436511333</c:v>
                </c:pt>
                <c:pt idx="30">
                  <c:v>-0.47536265946389678</c:v>
                </c:pt>
                <c:pt idx="31">
                  <c:v>-0.47804494529809594</c:v>
                </c:pt>
                <c:pt idx="32">
                  <c:v>-0.4822536943031368</c:v>
                </c:pt>
                <c:pt idx="33">
                  <c:v>-0.48713347572992927</c:v>
                </c:pt>
                <c:pt idx="34">
                  <c:v>-0.49214184202969991</c:v>
                </c:pt>
                <c:pt idx="35">
                  <c:v>-0.49696747465421437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Données!$B$6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Données!$C$4:$AL$4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Données!$C$6:$AL$6</c15:sqref>
                        </c15:formulaRef>
                      </c:ext>
                    </c:extLst>
                    <c:numCache>
                      <c:formatCode>#,##0.0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-6.7823325184945826E-2</c:v>
                      </c:pt>
                      <c:pt idx="7">
                        <c:v>-0.52261292511843749</c:v>
                      </c:pt>
                      <c:pt idx="8">
                        <c:v>-1.1940140784131303</c:v>
                      </c:pt>
                      <c:pt idx="9">
                        <c:v>-1.8179727492346642</c:v>
                      </c:pt>
                      <c:pt idx="10">
                        <c:v>-2.2100829820286938</c:v>
                      </c:pt>
                      <c:pt idx="11">
                        <c:v>-2.3532066030131249</c:v>
                      </c:pt>
                      <c:pt idx="12">
                        <c:v>-2.2888671715506237</c:v>
                      </c:pt>
                      <c:pt idx="13">
                        <c:v>-2.1198582911828856</c:v>
                      </c:pt>
                      <c:pt idx="14">
                        <c:v>-1.9432180147322842</c:v>
                      </c:pt>
                      <c:pt idx="15">
                        <c:v>-1.8187248222128805</c:v>
                      </c:pt>
                      <c:pt idx="16">
                        <c:v>-1.7611259214592723</c:v>
                      </c:pt>
                      <c:pt idx="17">
                        <c:v>-1.7514071871400971</c:v>
                      </c:pt>
                      <c:pt idx="18">
                        <c:v>-1.7573058358586913</c:v>
                      </c:pt>
                      <c:pt idx="19">
                        <c:v>-1.7515780205913489</c:v>
                      </c:pt>
                      <c:pt idx="20">
                        <c:v>-1.7201618870963387</c:v>
                      </c:pt>
                      <c:pt idx="21">
                        <c:v>-1.6686233257574123</c:v>
                      </c:pt>
                      <c:pt idx="22">
                        <c:v>-1.6090778626521085</c:v>
                      </c:pt>
                      <c:pt idx="23">
                        <c:v>-1.5554640570592526</c:v>
                      </c:pt>
                      <c:pt idx="24">
                        <c:v>-1.5178567489940176</c:v>
                      </c:pt>
                      <c:pt idx="25">
                        <c:v>-1.4980373657113466</c:v>
                      </c:pt>
                      <c:pt idx="26">
                        <c:v>-1.493874701838771</c:v>
                      </c:pt>
                      <c:pt idx="27">
                        <c:v>-1.5001611099822454</c:v>
                      </c:pt>
                      <c:pt idx="28">
                        <c:v>-1.5090459326206118</c:v>
                      </c:pt>
                      <c:pt idx="29">
                        <c:v>-1.5147817697434895</c:v>
                      </c:pt>
                      <c:pt idx="30">
                        <c:v>-1.514670935078799</c:v>
                      </c:pt>
                      <c:pt idx="31">
                        <c:v>-1.508817742085522</c:v>
                      </c:pt>
                      <c:pt idx="32">
                        <c:v>-1.4989365874959248</c:v>
                      </c:pt>
                      <c:pt idx="33">
                        <c:v>-1.4870341121719144</c:v>
                      </c:pt>
                      <c:pt idx="34">
                        <c:v>-1.4744901592031567</c:v>
                      </c:pt>
                      <c:pt idx="35">
                        <c:v>-1.4616625013770368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Données!$C$4:$AL$4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Données!$C$8:$AL$8</c15:sqref>
                        </c15:formulaRef>
                      </c:ext>
                    </c:extLst>
                    <c:numCache>
                      <c:formatCode>#,##0.0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3.117671382905586E-4</c:v>
                      </c:pt>
                      <c:pt idx="7">
                        <c:v>-2.533890838137879E-3</c:v>
                      </c:pt>
                      <c:pt idx="8">
                        <c:v>-5.0102679811879795E-3</c:v>
                      </c:pt>
                      <c:pt idx="9">
                        <c:v>5.2741113530698873E-3</c:v>
                      </c:pt>
                      <c:pt idx="10">
                        <c:v>2.6759135401534521E-2</c:v>
                      </c:pt>
                      <c:pt idx="11">
                        <c:v>5.0148381181770167E-2</c:v>
                      </c:pt>
                      <c:pt idx="12">
                        <c:v>6.6550686702050679E-2</c:v>
                      </c:pt>
                      <c:pt idx="13">
                        <c:v>7.2036518935225016E-2</c:v>
                      </c:pt>
                      <c:pt idx="14">
                        <c:v>6.7217092504538209E-2</c:v>
                      </c:pt>
                      <c:pt idx="15">
                        <c:v>5.5765307257440132E-2</c:v>
                      </c:pt>
                      <c:pt idx="16">
                        <c:v>4.2193133019280786E-2</c:v>
                      </c:pt>
                      <c:pt idx="17">
                        <c:v>3.0088526188038027E-2</c:v>
                      </c:pt>
                      <c:pt idx="18">
                        <c:v>2.1272315591264482E-2</c:v>
                      </c:pt>
                      <c:pt idx="19">
                        <c:v>1.5851734680785459E-2</c:v>
                      </c:pt>
                      <c:pt idx="20">
                        <c:v>1.2860205229449024E-2</c:v>
                      </c:pt>
                      <c:pt idx="21">
                        <c:v>1.1052897516341432E-2</c:v>
                      </c:pt>
                      <c:pt idx="22">
                        <c:v>9.4619172045792357E-3</c:v>
                      </c:pt>
                      <c:pt idx="23">
                        <c:v>7.7661717289949899E-3</c:v>
                      </c:pt>
                      <c:pt idx="24">
                        <c:v>6.0689199500730505E-3</c:v>
                      </c:pt>
                      <c:pt idx="25">
                        <c:v>4.686245125096104E-3</c:v>
                      </c:pt>
                      <c:pt idx="26">
                        <c:v>3.9451902688849884E-3</c:v>
                      </c:pt>
                      <c:pt idx="27">
                        <c:v>3.940141480280452E-3</c:v>
                      </c:pt>
                      <c:pt idx="28">
                        <c:v>4.6340753167068349E-3</c:v>
                      </c:pt>
                      <c:pt idx="29">
                        <c:v>5.8008233227160172E-3</c:v>
                      </c:pt>
                      <c:pt idx="30">
                        <c:v>7.1313894178089239E-3</c:v>
                      </c:pt>
                      <c:pt idx="31">
                        <c:v>8.3477474016321589E-3</c:v>
                      </c:pt>
                      <c:pt idx="32">
                        <c:v>9.2760318238918702E-3</c:v>
                      </c:pt>
                      <c:pt idx="33">
                        <c:v>9.8633928454985517E-3</c:v>
                      </c:pt>
                      <c:pt idx="34">
                        <c:v>1.0149401420710058E-2</c:v>
                      </c:pt>
                      <c:pt idx="35">
                        <c:v>1.0218143301050081E-2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Données!$B$9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Données!$C$4:$AL$4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Données!$C$9:$AL$9</c15:sqref>
                        </c15:formulaRef>
                      </c:ext>
                    </c:extLst>
                    <c:numCache>
                      <c:formatCode>#,##0.0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Données!$B$11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Données!$C$4:$AL$4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Données!$C$11:$AL$11</c15:sqref>
                        </c15:formulaRef>
                      </c:ext>
                    </c:extLst>
                    <c:numCache>
                      <c:formatCode>#,##0.0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Données!$B$5</c:f>
              <c:strCache>
                <c:ptCount val="1"/>
                <c:pt idx="0">
                  <c:v>PIB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Données!$C$5:$AL$5</c:f>
              <c:numCache>
                <c:formatCode>#,##0.0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-3.9946639302979037E-2</c:v>
                </c:pt>
                <c:pt idx="7">
                  <c:v>-0.42576878597562207</c:v>
                </c:pt>
                <c:pt idx="8">
                  <c:v>-0.98939576142926811</c:v>
                </c:pt>
                <c:pt idx="9">
                  <c:v>-1.4988965995153536</c:v>
                </c:pt>
                <c:pt idx="10">
                  <c:v>-1.7998616974512216</c:v>
                </c:pt>
                <c:pt idx="11">
                  <c:v>-1.8853182655582779</c:v>
                </c:pt>
                <c:pt idx="12">
                  <c:v>-1.7985345336482772</c:v>
                </c:pt>
                <c:pt idx="13">
                  <c:v>-1.6318687916847874</c:v>
                </c:pt>
                <c:pt idx="14">
                  <c:v>-1.4693965618049032</c:v>
                </c:pt>
                <c:pt idx="15">
                  <c:v>-1.3605831873911067</c:v>
                </c:pt>
                <c:pt idx="16">
                  <c:v>-1.3150222850134674</c:v>
                </c:pt>
                <c:pt idx="17">
                  <c:v>-1.3135553150616763</c:v>
                </c:pt>
                <c:pt idx="18">
                  <c:v>-1.3266178693148833</c:v>
                </c:pt>
                <c:pt idx="19">
                  <c:v>-1.3300111776241241</c:v>
                </c:pt>
                <c:pt idx="20">
                  <c:v>-1.3114034393873042</c:v>
                </c:pt>
                <c:pt idx="21">
                  <c:v>-1.2761839095143612</c:v>
                </c:pt>
                <c:pt idx="22">
                  <c:v>-1.2342510710682708</c:v>
                </c:pt>
                <c:pt idx="23">
                  <c:v>-1.1973022964065771</c:v>
                </c:pt>
                <c:pt idx="24">
                  <c:v>-1.1734103974124777</c:v>
                </c:pt>
                <c:pt idx="25">
                  <c:v>-1.1631351478532226</c:v>
                </c:pt>
                <c:pt idx="26">
                  <c:v>-1.1652489579861647</c:v>
                </c:pt>
                <c:pt idx="27">
                  <c:v>-1.1742965775187519</c:v>
                </c:pt>
                <c:pt idx="28">
                  <c:v>-1.183819488157356</c:v>
                </c:pt>
                <c:pt idx="29">
                  <c:v>-1.1892379172301459</c:v>
                </c:pt>
                <c:pt idx="30">
                  <c:v>-1.1886627408527084</c:v>
                </c:pt>
                <c:pt idx="31">
                  <c:v>-1.1825891285797252</c:v>
                </c:pt>
                <c:pt idx="32">
                  <c:v>-1.1728227178091188</c:v>
                </c:pt>
                <c:pt idx="33">
                  <c:v>-1.1613251198195007</c:v>
                </c:pt>
                <c:pt idx="34">
                  <c:v>-1.1494309794292557</c:v>
                </c:pt>
                <c:pt idx="35">
                  <c:v>-1.1375487843219179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rgbClr val="595959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rgbClr val="595959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Données!$B$64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Données!$C$64:$AL$64</c:f>
              <c:numCache>
                <c:formatCode>#,##0.0</c:formatCode>
                <c:ptCount val="36"/>
                <c:pt idx="1">
                  <c:v>1.3172253477856666</c:v>
                </c:pt>
                <c:pt idx="2">
                  <c:v>1.1222196742633805</c:v>
                </c:pt>
                <c:pt idx="3">
                  <c:v>1.0864366163396255</c:v>
                </c:pt>
                <c:pt idx="4">
                  <c:v>1.1759714416254896</c:v>
                </c:pt>
                <c:pt idx="5">
                  <c:v>1.3445996460982546</c:v>
                </c:pt>
                <c:pt idx="6">
                  <c:v>1.5297229777029075</c:v>
                </c:pt>
                <c:pt idx="7">
                  <c:v>1.7181230564285332</c:v>
                </c:pt>
                <c:pt idx="8">
                  <c:v>1.8438882475115381</c:v>
                </c:pt>
                <c:pt idx="9">
                  <c:v>1.9150656060959781</c:v>
                </c:pt>
                <c:pt idx="10">
                  <c:v>1.9322884929948714</c:v>
                </c:pt>
                <c:pt idx="11">
                  <c:v>1.9904612263002885</c:v>
                </c:pt>
                <c:pt idx="12">
                  <c:v>2.0781637372670803</c:v>
                </c:pt>
                <c:pt idx="13">
                  <c:v>2.1691828363934906</c:v>
                </c:pt>
                <c:pt idx="14">
                  <c:v>2.2429215908087663</c:v>
                </c:pt>
                <c:pt idx="15">
                  <c:v>2.2873220217548784</c:v>
                </c:pt>
                <c:pt idx="16">
                  <c:v>2.3003815664828231</c:v>
                </c:pt>
                <c:pt idx="17">
                  <c:v>2.2884707605019372</c:v>
                </c:pt>
                <c:pt idx="18">
                  <c:v>2.2618210051742915</c:v>
                </c:pt>
                <c:pt idx="19">
                  <c:v>2.2301900174751088</c:v>
                </c:pt>
                <c:pt idx="20">
                  <c:v>2.2163841852014254</c:v>
                </c:pt>
                <c:pt idx="21">
                  <c:v>2.1771191216981567</c:v>
                </c:pt>
                <c:pt idx="22">
                  <c:v>2.1422743409219125</c:v>
                </c:pt>
                <c:pt idx="23">
                  <c:v>2.1175416185763574</c:v>
                </c:pt>
                <c:pt idx="24">
                  <c:v>2.1035298177053408</c:v>
                </c:pt>
                <c:pt idx="25">
                  <c:v>2.1295841494145318</c:v>
                </c:pt>
                <c:pt idx="26">
                  <c:v>2.115396501755562</c:v>
                </c:pt>
                <c:pt idx="27">
                  <c:v>2.0796940504917982</c:v>
                </c:pt>
                <c:pt idx="28">
                  <c:v>2.0433398204624975</c:v>
                </c:pt>
                <c:pt idx="29">
                  <c:v>2.0187862390853795</c:v>
                </c:pt>
                <c:pt idx="30">
                  <c:v>2.0108308062309677</c:v>
                </c:pt>
                <c:pt idx="31">
                  <c:v>2.0171317155370794</c:v>
                </c:pt>
                <c:pt idx="32">
                  <c:v>2.031119932582226</c:v>
                </c:pt>
                <c:pt idx="33">
                  <c:v>2.0456587002474658</c:v>
                </c:pt>
                <c:pt idx="34">
                  <c:v>2.0558918537499915</c:v>
                </c:pt>
                <c:pt idx="35">
                  <c:v>2.0604929803087257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Données!$B$65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Données!$C$65:$AL$65</c:f>
              <c:numCache>
                <c:formatCode>#,##0.0</c:formatCode>
                <c:ptCount val="36"/>
                <c:pt idx="1">
                  <c:v>1.3172253477856666</c:v>
                </c:pt>
                <c:pt idx="2">
                  <c:v>1.1222196742633805</c:v>
                </c:pt>
                <c:pt idx="3">
                  <c:v>1.0864366163396255</c:v>
                </c:pt>
                <c:pt idx="4">
                  <c:v>1.1759714416254896</c:v>
                </c:pt>
                <c:pt idx="5">
                  <c:v>1.3445996460982546</c:v>
                </c:pt>
                <c:pt idx="6">
                  <c:v>1.5710207269365561</c:v>
                </c:pt>
                <c:pt idx="7">
                  <c:v>2.8670335253224266</c:v>
                </c:pt>
                <c:pt idx="8">
                  <c:v>3.1924025983463888</c:v>
                </c:pt>
                <c:pt idx="9">
                  <c:v>3.0305020356118817</c:v>
                </c:pt>
                <c:pt idx="10">
                  <c:v>2.5971379236129355</c:v>
                </c:pt>
                <c:pt idx="11">
                  <c:v>2.2625952217668166</c:v>
                </c:pt>
                <c:pt idx="12">
                  <c:v>2.0563299186037831</c:v>
                </c:pt>
                <c:pt idx="13">
                  <c:v>2.0115238399706081</c:v>
                </c:pt>
                <c:pt idx="14">
                  <c:v>2.07503826034654</c:v>
                </c:pt>
                <c:pt idx="15">
                  <c:v>2.1717840561019441</c:v>
                </c:pt>
                <c:pt idx="16">
                  <c:v>2.2393237504854557</c:v>
                </c:pt>
                <c:pt idx="17">
                  <c:v>2.2477700676601708</c:v>
                </c:pt>
                <c:pt idx="18">
                  <c:v>2.2015969193111884</c:v>
                </c:pt>
                <c:pt idx="19">
                  <c:v>2.1266235911261866</c:v>
                </c:pt>
                <c:pt idx="20">
                  <c:v>2.0645531700195008</c:v>
                </c:pt>
                <c:pt idx="21">
                  <c:v>2.0053791817893352</c:v>
                </c:pt>
                <c:pt idx="22">
                  <c:v>1.9724134691371908</c:v>
                </c:pt>
                <c:pt idx="23">
                  <c:v>1.9724945169124819</c:v>
                </c:pt>
                <c:pt idx="24">
                  <c:v>1.9964968412149231</c:v>
                </c:pt>
                <c:pt idx="25">
                  <c:v>2.056604950159846</c:v>
                </c:pt>
                <c:pt idx="26">
                  <c:v>2.0783712840616531</c:v>
                </c:pt>
                <c:pt idx="27">
                  <c:v>2.0650536583577406</c:v>
                </c:pt>
                <c:pt idx="28">
                  <c:v>2.0394658939473231</c:v>
                </c:pt>
                <c:pt idx="29">
                  <c:v>2.0174423587647317</c:v>
                </c:pt>
                <c:pt idx="30">
                  <c:v>2.0080823169559503</c:v>
                </c:pt>
                <c:pt idx="31">
                  <c:v>2.0125018800762673</c:v>
                </c:pt>
                <c:pt idx="32">
                  <c:v>2.0257334624731227</c:v>
                </c:pt>
                <c:pt idx="33">
                  <c:v>2.0405522267136877</c:v>
                </c:pt>
                <c:pt idx="34">
                  <c:v>2.0510863119458822</c:v>
                </c:pt>
                <c:pt idx="35">
                  <c:v>2.0548169991220222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595959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595959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rgbClr val="595959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rgbClr val="595959"/>
          </a:solidFill>
          <a:latin typeface="Marianne Light" panose="02000000000000000000" pitchFamily="50" charset="0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</a:t>
            </a:r>
            <a:r>
              <a:rPr lang="fr-FR" sz="2400" baseline="0"/>
              <a:t> de CO2 </a:t>
            </a:r>
            <a:r>
              <a:rPr lang="fr-FR" sz="2400"/>
              <a:t>(MtCO2/an)</a:t>
            </a:r>
          </a:p>
        </c:rich>
      </c:tx>
      <c:layout>
        <c:manualLayout>
          <c:xMode val="edge"/>
          <c:yMode val="edge"/>
          <c:x val="0.29025624900866531"/>
          <c:y val="2.51582105546018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90139843901638717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Données!$B$67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Données!$C$67:$AL$67</c:f>
              <c:numCache>
                <c:formatCode>#,##0</c:formatCode>
                <c:ptCount val="36"/>
                <c:pt idx="0">
                  <c:v>352.7251048</c:v>
                </c:pt>
                <c:pt idx="1">
                  <c:v>354.65596770000002</c:v>
                </c:pt>
                <c:pt idx="2">
                  <c:v>356.42893789999999</c:v>
                </c:pt>
                <c:pt idx="3">
                  <c:v>358.400598</c:v>
                </c:pt>
                <c:pt idx="4">
                  <c:v>360.81900569999999</c:v>
                </c:pt>
                <c:pt idx="5">
                  <c:v>363.85982310000003</c:v>
                </c:pt>
                <c:pt idx="6">
                  <c:v>367.11848680000003</c:v>
                </c:pt>
                <c:pt idx="7">
                  <c:v>370.99485240000001</c:v>
                </c:pt>
                <c:pt idx="8">
                  <c:v>375.33375669999998</c:v>
                </c:pt>
                <c:pt idx="9">
                  <c:v>379.93480499999998</c:v>
                </c:pt>
                <c:pt idx="10">
                  <c:v>385.2418998</c:v>
                </c:pt>
                <c:pt idx="11">
                  <c:v>389.97036220000001</c:v>
                </c:pt>
                <c:pt idx="12">
                  <c:v>394.71850920000003</c:v>
                </c:pt>
                <c:pt idx="13">
                  <c:v>399.52336589999999</c:v>
                </c:pt>
                <c:pt idx="14">
                  <c:v>404.31532950000002</c:v>
                </c:pt>
                <c:pt idx="15">
                  <c:v>409.02569679999999</c:v>
                </c:pt>
                <c:pt idx="16">
                  <c:v>413.61024500000002</c:v>
                </c:pt>
                <c:pt idx="17">
                  <c:v>418.05461910000002</c:v>
                </c:pt>
                <c:pt idx="18">
                  <c:v>422.37275829999999</c:v>
                </c:pt>
                <c:pt idx="19">
                  <c:v>426.59917510000002</c:v>
                </c:pt>
                <c:pt idx="20">
                  <c:v>430.33550830000001</c:v>
                </c:pt>
                <c:pt idx="21">
                  <c:v>434.50434300000001</c:v>
                </c:pt>
                <c:pt idx="22">
                  <c:v>438.72413920000002</c:v>
                </c:pt>
                <c:pt idx="23">
                  <c:v>442.95878329999999</c:v>
                </c:pt>
                <c:pt idx="24">
                  <c:v>447.24451110000001</c:v>
                </c:pt>
                <c:pt idx="25">
                  <c:v>450.25998670000001</c:v>
                </c:pt>
                <c:pt idx="26">
                  <c:v>454.18066040000002</c:v>
                </c:pt>
                <c:pt idx="27">
                  <c:v>458.23262310000001</c:v>
                </c:pt>
                <c:pt idx="28">
                  <c:v>462.25452790000003</c:v>
                </c:pt>
                <c:pt idx="29">
                  <c:v>466.25537250000002</c:v>
                </c:pt>
                <c:pt idx="30">
                  <c:v>470.2717136</c:v>
                </c:pt>
                <c:pt idx="31">
                  <c:v>474.33046480000002</c:v>
                </c:pt>
                <c:pt idx="32">
                  <c:v>478.43995419999999</c:v>
                </c:pt>
                <c:pt idx="33">
                  <c:v>482.59164320000002</c:v>
                </c:pt>
                <c:pt idx="34">
                  <c:v>486.76730270000002</c:v>
                </c:pt>
                <c:pt idx="35">
                  <c:v>490.94689740000001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Données!$B$73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Données!$C$73:$AL$73</c:f>
              <c:numCache>
                <c:formatCode>#,##0</c:formatCode>
                <c:ptCount val="36"/>
                <c:pt idx="0">
                  <c:v>352.7251048</c:v>
                </c:pt>
                <c:pt idx="1">
                  <c:v>354.65596770000002</c:v>
                </c:pt>
                <c:pt idx="2">
                  <c:v>356.42893789999999</c:v>
                </c:pt>
                <c:pt idx="3">
                  <c:v>358.400598</c:v>
                </c:pt>
                <c:pt idx="4">
                  <c:v>360.81900569999999</c:v>
                </c:pt>
                <c:pt idx="5">
                  <c:v>363.85982310000003</c:v>
                </c:pt>
                <c:pt idx="6">
                  <c:v>367.95398449999999</c:v>
                </c:pt>
                <c:pt idx="7">
                  <c:v>372.709858</c:v>
                </c:pt>
                <c:pt idx="8">
                  <c:v>377.99060150000003</c:v>
                </c:pt>
                <c:pt idx="9">
                  <c:v>383.09798009999997</c:v>
                </c:pt>
                <c:pt idx="10">
                  <c:v>388.16342350000002</c:v>
                </c:pt>
                <c:pt idx="11">
                  <c:v>391.98925159999999</c:v>
                </c:pt>
                <c:pt idx="12">
                  <c:v>395.43761910000001</c:v>
                </c:pt>
                <c:pt idx="13">
                  <c:v>398.87516959999999</c:v>
                </c:pt>
                <c:pt idx="14">
                  <c:v>402.48776500000002</c:v>
                </c:pt>
                <c:pt idx="15">
                  <c:v>406.3257835</c:v>
                </c:pt>
                <c:pt idx="16">
                  <c:v>410.3386314</c:v>
                </c:pt>
                <c:pt idx="17">
                  <c:v>414.43464039999998</c:v>
                </c:pt>
                <c:pt idx="18">
                  <c:v>418.53441329999998</c:v>
                </c:pt>
                <c:pt idx="19">
                  <c:v>422.60383880000001</c:v>
                </c:pt>
                <c:pt idx="20">
                  <c:v>426.21380249999999</c:v>
                </c:pt>
                <c:pt idx="21">
                  <c:v>430.29913790000001</c:v>
                </c:pt>
                <c:pt idx="22">
                  <c:v>434.49656599999997</c:v>
                </c:pt>
                <c:pt idx="23">
                  <c:v>438.78206169999999</c:v>
                </c:pt>
                <c:pt idx="24">
                  <c:v>443.18797499999999</c:v>
                </c:pt>
                <c:pt idx="25">
                  <c:v>446.3737782</c:v>
                </c:pt>
                <c:pt idx="26">
                  <c:v>450.48261050000002</c:v>
                </c:pt>
                <c:pt idx="27">
                  <c:v>454.7116054</c:v>
                </c:pt>
                <c:pt idx="28">
                  <c:v>458.87394719999998</c:v>
                </c:pt>
                <c:pt idx="29">
                  <c:v>462.96433180000002</c:v>
                </c:pt>
                <c:pt idx="30">
                  <c:v>467.01785690000003</c:v>
                </c:pt>
                <c:pt idx="31">
                  <c:v>471.06921110000002</c:v>
                </c:pt>
                <c:pt idx="32">
                  <c:v>475.13933020000002</c:v>
                </c:pt>
                <c:pt idx="33">
                  <c:v>479.23253720000002</c:v>
                </c:pt>
                <c:pt idx="34">
                  <c:v>483.34060069999998</c:v>
                </c:pt>
                <c:pt idx="35">
                  <c:v>487.45058330000001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ser>
          <c:idx val="4"/>
          <c:order val="2"/>
          <c:tx>
            <c:v>Baseline - Ménages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Données!$C$68:$AL$68</c:f>
              <c:numCache>
                <c:formatCode>#,##0</c:formatCode>
                <c:ptCount val="36"/>
                <c:pt idx="0">
                  <c:v>115.311927</c:v>
                </c:pt>
                <c:pt idx="1">
                  <c:v>115.0269572</c:v>
                </c:pt>
                <c:pt idx="2">
                  <c:v>114.3880781</c:v>
                </c:pt>
                <c:pt idx="3">
                  <c:v>113.808014</c:v>
                </c:pt>
                <c:pt idx="4">
                  <c:v>113.3897327</c:v>
                </c:pt>
                <c:pt idx="5">
                  <c:v>113.1310735</c:v>
                </c:pt>
                <c:pt idx="6">
                  <c:v>112.9804025</c:v>
                </c:pt>
                <c:pt idx="7">
                  <c:v>112.9177579</c:v>
                </c:pt>
                <c:pt idx="8">
                  <c:v>112.925168</c:v>
                </c:pt>
                <c:pt idx="9">
                  <c:v>112.9886355</c:v>
                </c:pt>
                <c:pt idx="10">
                  <c:v>113.1315178</c:v>
                </c:pt>
                <c:pt idx="11">
                  <c:v>113.29165999999999</c:v>
                </c:pt>
                <c:pt idx="12">
                  <c:v>113.4629868</c:v>
                </c:pt>
                <c:pt idx="13">
                  <c:v>113.6363329</c:v>
                </c:pt>
                <c:pt idx="14">
                  <c:v>113.8026383</c:v>
                </c:pt>
                <c:pt idx="15">
                  <c:v>113.9554911</c:v>
                </c:pt>
                <c:pt idx="16">
                  <c:v>114.09032670000001</c:v>
                </c:pt>
                <c:pt idx="17">
                  <c:v>114.2034254</c:v>
                </c:pt>
                <c:pt idx="18">
                  <c:v>114.291273</c:v>
                </c:pt>
                <c:pt idx="19">
                  <c:v>114.3504114</c:v>
                </c:pt>
                <c:pt idx="20">
                  <c:v>114.3528742</c:v>
                </c:pt>
                <c:pt idx="21">
                  <c:v>114.3301519</c:v>
                </c:pt>
                <c:pt idx="22">
                  <c:v>114.2763971</c:v>
                </c:pt>
                <c:pt idx="23">
                  <c:v>114.1878597</c:v>
                </c:pt>
                <c:pt idx="24">
                  <c:v>114.06149619999999</c:v>
                </c:pt>
                <c:pt idx="25">
                  <c:v>113.82667960000001</c:v>
                </c:pt>
                <c:pt idx="26">
                  <c:v>113.5443794</c:v>
                </c:pt>
                <c:pt idx="27">
                  <c:v>113.2145835</c:v>
                </c:pt>
                <c:pt idx="28">
                  <c:v>112.8363691</c:v>
                </c:pt>
                <c:pt idx="29">
                  <c:v>112.4075984</c:v>
                </c:pt>
                <c:pt idx="30">
                  <c:v>111.92552550000001</c:v>
                </c:pt>
                <c:pt idx="31">
                  <c:v>111.38764740000001</c:v>
                </c:pt>
                <c:pt idx="32">
                  <c:v>110.7922901</c:v>
                </c:pt>
                <c:pt idx="33">
                  <c:v>110.1387713</c:v>
                </c:pt>
                <c:pt idx="34">
                  <c:v>109.42721880000001</c:v>
                </c:pt>
                <c:pt idx="35">
                  <c:v>108.6582485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5-4A82-96A0-76304CD4EC78}"/>
            </c:ext>
          </c:extLst>
        </c:ser>
        <c:ser>
          <c:idx val="2"/>
          <c:order val="3"/>
          <c:tx>
            <c:v>NZ50 - Ménages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Données!$C$74:$AL$74</c:f>
              <c:numCache>
                <c:formatCode>#,##0</c:formatCode>
                <c:ptCount val="36"/>
                <c:pt idx="0">
                  <c:v>115.311927</c:v>
                </c:pt>
                <c:pt idx="1">
                  <c:v>115.0269572</c:v>
                </c:pt>
                <c:pt idx="2">
                  <c:v>114.3880781</c:v>
                </c:pt>
                <c:pt idx="3">
                  <c:v>113.808014</c:v>
                </c:pt>
                <c:pt idx="4">
                  <c:v>113.3897327</c:v>
                </c:pt>
                <c:pt idx="5">
                  <c:v>113.1310735</c:v>
                </c:pt>
                <c:pt idx="6">
                  <c:v>112.9733659</c:v>
                </c:pt>
                <c:pt idx="7">
                  <c:v>112.9168232</c:v>
                </c:pt>
                <c:pt idx="8">
                  <c:v>112.9339095</c:v>
                </c:pt>
                <c:pt idx="9">
                  <c:v>113.0281313</c:v>
                </c:pt>
                <c:pt idx="10">
                  <c:v>113.2401804</c:v>
                </c:pt>
                <c:pt idx="11">
                  <c:v>113.5008692</c:v>
                </c:pt>
                <c:pt idx="12">
                  <c:v>113.78570759999999</c:v>
                </c:pt>
                <c:pt idx="13">
                  <c:v>114.0648094</c:v>
                </c:pt>
                <c:pt idx="14">
                  <c:v>114.3138996</c:v>
                </c:pt>
                <c:pt idx="15">
                  <c:v>114.5196383</c:v>
                </c:pt>
                <c:pt idx="16">
                  <c:v>114.679134</c:v>
                </c:pt>
                <c:pt idx="17">
                  <c:v>114.7960336</c:v>
                </c:pt>
                <c:pt idx="18">
                  <c:v>114.8752425</c:v>
                </c:pt>
                <c:pt idx="19">
                  <c:v>114.9204589</c:v>
                </c:pt>
                <c:pt idx="20">
                  <c:v>114.9079078</c:v>
                </c:pt>
                <c:pt idx="21">
                  <c:v>114.8697385</c:v>
                </c:pt>
                <c:pt idx="22">
                  <c:v>114.7983614</c:v>
                </c:pt>
                <c:pt idx="23">
                  <c:v>114.6884137</c:v>
                </c:pt>
                <c:pt idx="24">
                  <c:v>114.53591969999999</c:v>
                </c:pt>
                <c:pt idx="25">
                  <c:v>114.270326</c:v>
                </c:pt>
                <c:pt idx="26">
                  <c:v>113.9533709</c:v>
                </c:pt>
                <c:pt idx="27">
                  <c:v>113.5864653</c:v>
                </c:pt>
                <c:pt idx="28">
                  <c:v>113.1703741</c:v>
                </c:pt>
                <c:pt idx="29">
                  <c:v>112.7042314</c:v>
                </c:pt>
                <c:pt idx="30">
                  <c:v>112.1859572</c:v>
                </c:pt>
                <c:pt idx="31">
                  <c:v>111.613197</c:v>
                </c:pt>
                <c:pt idx="32">
                  <c:v>110.9841586</c:v>
                </c:pt>
                <c:pt idx="33">
                  <c:v>110.2980044</c:v>
                </c:pt>
                <c:pt idx="34">
                  <c:v>109.5548004</c:v>
                </c:pt>
                <c:pt idx="35">
                  <c:v>108.7552087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Données!$B$75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Données!$C$4:$AL$4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Données!$C$75:$AL$75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237.413177894</c:v>
                      </c:pt>
                      <c:pt idx="1">
                        <c:v>239.629010526</c:v>
                      </c:pt>
                      <c:pt idx="2">
                        <c:v>242.04085985399999</c:v>
                      </c:pt>
                      <c:pt idx="3">
                        <c:v>244.592584018</c:v>
                      </c:pt>
                      <c:pt idx="4">
                        <c:v>247.42927293099999</c:v>
                      </c:pt>
                      <c:pt idx="5">
                        <c:v>250.72874957800002</c:v>
                      </c:pt>
                      <c:pt idx="6">
                        <c:v>254.98061857600001</c:v>
                      </c:pt>
                      <c:pt idx="7">
                        <c:v>259.79303475699999</c:v>
                      </c:pt>
                      <c:pt idx="8">
                        <c:v>265.05669197700001</c:v>
                      </c:pt>
                      <c:pt idx="9">
                        <c:v>270.06984883000001</c:v>
                      </c:pt>
                      <c:pt idx="10">
                        <c:v>274.92324305599999</c:v>
                      </c:pt>
                      <c:pt idx="11">
                        <c:v>278.48838242700003</c:v>
                      </c:pt>
                      <c:pt idx="12">
                        <c:v>281.65191150200002</c:v>
                      </c:pt>
                      <c:pt idx="13">
                        <c:v>284.81036017499997</c:v>
                      </c:pt>
                      <c:pt idx="14">
                        <c:v>288.17386550100002</c:v>
                      </c:pt>
                      <c:pt idx="15">
                        <c:v>291.80614522399998</c:v>
                      </c:pt>
                      <c:pt idx="16">
                        <c:v>295.65949738799998</c:v>
                      </c:pt>
                      <c:pt idx="17">
                        <c:v>299.638606853</c:v>
                      </c:pt>
                      <c:pt idx="18">
                        <c:v>303.65917074700002</c:v>
                      </c:pt>
                      <c:pt idx="19">
                        <c:v>307.68337995100001</c:v>
                      </c:pt>
                      <c:pt idx="20">
                        <c:v>311.305894642</c:v>
                      </c:pt>
                      <c:pt idx="21">
                        <c:v>315.429399413</c:v>
                      </c:pt>
                      <c:pt idx="22">
                        <c:v>319.69820458999999</c:v>
                      </c:pt>
                      <c:pt idx="23">
                        <c:v>324.093647976</c:v>
                      </c:pt>
                      <c:pt idx="24">
                        <c:v>328.65205526400001</c:v>
                      </c:pt>
                      <c:pt idx="25">
                        <c:v>332.10345217599996</c:v>
                      </c:pt>
                      <c:pt idx="26">
                        <c:v>336.52923948199998</c:v>
                      </c:pt>
                      <c:pt idx="27">
                        <c:v>341.12514012999998</c:v>
                      </c:pt>
                      <c:pt idx="28">
                        <c:v>345.70357310200001</c:v>
                      </c:pt>
                      <c:pt idx="29">
                        <c:v>350.26010043600002</c:v>
                      </c:pt>
                      <c:pt idx="30">
                        <c:v>354.83189976900002</c:v>
                      </c:pt>
                      <c:pt idx="31">
                        <c:v>359.45601421500004</c:v>
                      </c:pt>
                      <c:pt idx="32">
                        <c:v>364.15517156200002</c:v>
                      </c:pt>
                      <c:pt idx="33">
                        <c:v>368.93453281999996</c:v>
                      </c:pt>
                      <c:pt idx="34">
                        <c:v>373.78580030299997</c:v>
                      </c:pt>
                      <c:pt idx="35">
                        <c:v>378.69537463200004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7F9-419D-90DC-C3E392523E4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Données!$B$69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Données!$C$69:$AL$69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237.413177894</c:v>
                      </c:pt>
                      <c:pt idx="1">
                        <c:v>239.629010526</c:v>
                      </c:pt>
                      <c:pt idx="2">
                        <c:v>242.04085985399999</c:v>
                      </c:pt>
                      <c:pt idx="3">
                        <c:v>244.592584018</c:v>
                      </c:pt>
                      <c:pt idx="4">
                        <c:v>247.42927293099999</c:v>
                      </c:pt>
                      <c:pt idx="5">
                        <c:v>250.72874957800002</c:v>
                      </c:pt>
                      <c:pt idx="6">
                        <c:v>254.138084354</c:v>
                      </c:pt>
                      <c:pt idx="7">
                        <c:v>258.07709449100003</c:v>
                      </c:pt>
                      <c:pt idx="8">
                        <c:v>262.40858872899997</c:v>
                      </c:pt>
                      <c:pt idx="9">
                        <c:v>266.94616962099997</c:v>
                      </c:pt>
                      <c:pt idx="10">
                        <c:v>272.110381991</c:v>
                      </c:pt>
                      <c:pt idx="11">
                        <c:v>276.67870209099999</c:v>
                      </c:pt>
                      <c:pt idx="12">
                        <c:v>281.25552246299998</c:v>
                      </c:pt>
                      <c:pt idx="13">
                        <c:v>285.88703304799998</c:v>
                      </c:pt>
                      <c:pt idx="14">
                        <c:v>290.51269117200002</c:v>
                      </c:pt>
                      <c:pt idx="15">
                        <c:v>295.07020565200003</c:v>
                      </c:pt>
                      <c:pt idx="16">
                        <c:v>299.51991829500002</c:v>
                      </c:pt>
                      <c:pt idx="17">
                        <c:v>303.85119371100001</c:v>
                      </c:pt>
                      <c:pt idx="18">
                        <c:v>308.08148530300002</c:v>
                      </c:pt>
                      <c:pt idx="19">
                        <c:v>312.24876370499999</c:v>
                      </c:pt>
                      <c:pt idx="20">
                        <c:v>315.98263405400002</c:v>
                      </c:pt>
                      <c:pt idx="21">
                        <c:v>320.17419106400001</c:v>
                      </c:pt>
                      <c:pt idx="22">
                        <c:v>324.44774208800004</c:v>
                      </c:pt>
                      <c:pt idx="23">
                        <c:v>328.77092360800003</c:v>
                      </c:pt>
                      <c:pt idx="24">
                        <c:v>333.183015012</c:v>
                      </c:pt>
                      <c:pt idx="25">
                        <c:v>336.43330705599999</c:v>
                      </c:pt>
                      <c:pt idx="26">
                        <c:v>340.636281021</c:v>
                      </c:pt>
                      <c:pt idx="27">
                        <c:v>345.01803958700003</c:v>
                      </c:pt>
                      <c:pt idx="28">
                        <c:v>349.41815879900003</c:v>
                      </c:pt>
                      <c:pt idx="29">
                        <c:v>353.84777413799998</c:v>
                      </c:pt>
                      <c:pt idx="30">
                        <c:v>358.34618806200001</c:v>
                      </c:pt>
                      <c:pt idx="31">
                        <c:v>362.94281747900004</c:v>
                      </c:pt>
                      <c:pt idx="32">
                        <c:v>367.64766404600005</c:v>
                      </c:pt>
                      <c:pt idx="33">
                        <c:v>372.45287193299998</c:v>
                      </c:pt>
                      <c:pt idx="34">
                        <c:v>377.34008388400002</c:v>
                      </c:pt>
                      <c:pt idx="35">
                        <c:v>382.28864885199999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775-4A82-96A0-76304CD4EC78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Consommation énergétique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3868990952909"/>
          <c:y val="0.10956263094332325"/>
          <c:w val="0.88457713027791363"/>
          <c:h val="0.6941711791940763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Données!$B$627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Données!$C$625:$AL$625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Données!$C$627:$AL$627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6.5015064461538443E-5</c:v>
                </c:pt>
                <c:pt idx="7">
                  <c:v>6.489174731087956E-5</c:v>
                </c:pt>
                <c:pt idx="8">
                  <c:v>-2.0914779834497711E-5</c:v>
                </c:pt>
                <c:pt idx="9">
                  <c:v>-1.8234238670685477E-4</c:v>
                </c:pt>
                <c:pt idx="10">
                  <c:v>-3.8003991110271322E-4</c:v>
                </c:pt>
                <c:pt idx="11">
                  <c:v>-5.6872747429737144E-4</c:v>
                </c:pt>
                <c:pt idx="12">
                  <c:v>-7.1527138986805458E-4</c:v>
                </c:pt>
                <c:pt idx="13">
                  <c:v>-8.0953487037216994E-4</c:v>
                </c:pt>
                <c:pt idx="14">
                  <c:v>-8.6072415215649204E-4</c:v>
                </c:pt>
                <c:pt idx="15">
                  <c:v>-8.8797402409286023E-4</c:v>
                </c:pt>
                <c:pt idx="16">
                  <c:v>-9.1006615831616135E-4</c:v>
                </c:pt>
                <c:pt idx="17">
                  <c:v>-9.3829646030446482E-4</c:v>
                </c:pt>
                <c:pt idx="18">
                  <c:v>-9.7467553114136693E-4</c:v>
                </c:pt>
                <c:pt idx="19">
                  <c:v>-1.0142431572830275E-3</c:v>
                </c:pt>
                <c:pt idx="20">
                  <c:v>-1.0489955400040973E-3</c:v>
                </c:pt>
                <c:pt idx="21">
                  <c:v>-1.0724080137052136E-3</c:v>
                </c:pt>
                <c:pt idx="22">
                  <c:v>-1.0813210975352979E-3</c:v>
                </c:pt>
                <c:pt idx="23">
                  <c:v>-1.0763617009509779E-3</c:v>
                </c:pt>
                <c:pt idx="24">
                  <c:v>-1.0607978381295502E-3</c:v>
                </c:pt>
                <c:pt idx="25">
                  <c:v>-1.0379408369442353E-3</c:v>
                </c:pt>
                <c:pt idx="26">
                  <c:v>-1.0129382279060342E-3</c:v>
                </c:pt>
                <c:pt idx="27">
                  <c:v>-9.8799851508300416E-4</c:v>
                </c:pt>
                <c:pt idx="28">
                  <c:v>-9.6434291258061695E-4</c:v>
                </c:pt>
                <c:pt idx="29">
                  <c:v>-9.4216739828166616E-4</c:v>
                </c:pt>
                <c:pt idx="30">
                  <c:v>-9.2121411500803278E-4</c:v>
                </c:pt>
                <c:pt idx="31">
                  <c:v>-9.0139525963048685E-4</c:v>
                </c:pt>
                <c:pt idx="32">
                  <c:v>-8.8304914500734869E-4</c:v>
                </c:pt>
                <c:pt idx="33">
                  <c:v>-8.6687790907503362E-4</c:v>
                </c:pt>
                <c:pt idx="34">
                  <c:v>-8.5369266817629953E-4</c:v>
                </c:pt>
                <c:pt idx="35">
                  <c:v>-8.4403974063601442E-4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4-494A-BB6C-F115A0D57B8C}"/>
            </c:ext>
          </c:extLst>
        </c:ser>
        <c:ser>
          <c:idx val="2"/>
          <c:order val="2"/>
          <c:tx>
            <c:strRef>
              <c:f>Données!$B$628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Données!$C$625:$AL$625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Données!$C$628:$AL$628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1.2739974982069061E-3</c:v>
                </c:pt>
                <c:pt idx="7">
                  <c:v>2.1539478598065907E-3</c:v>
                </c:pt>
                <c:pt idx="8">
                  <c:v>3.0602317211124979E-3</c:v>
                </c:pt>
                <c:pt idx="9">
                  <c:v>3.6669199102136994E-3</c:v>
                </c:pt>
                <c:pt idx="10">
                  <c:v>3.7591847169062219E-3</c:v>
                </c:pt>
                <c:pt idx="11">
                  <c:v>3.4085319246764884E-3</c:v>
                </c:pt>
                <c:pt idx="12">
                  <c:v>2.7796601501614724E-3</c:v>
                </c:pt>
                <c:pt idx="13">
                  <c:v>2.0742583316833607E-3</c:v>
                </c:pt>
                <c:pt idx="14">
                  <c:v>1.439507401288031E-3</c:v>
                </c:pt>
                <c:pt idx="15">
                  <c:v>9.3947687105728366E-4</c:v>
                </c:pt>
                <c:pt idx="16">
                  <c:v>5.7006689300149874E-4</c:v>
                </c:pt>
                <c:pt idx="17">
                  <c:v>2.9037279232137957E-4</c:v>
                </c:pt>
                <c:pt idx="18">
                  <c:v>5.4032955157079996E-5</c:v>
                </c:pt>
                <c:pt idx="19">
                  <c:v>-1.6938820090101514E-4</c:v>
                </c:pt>
                <c:pt idx="20">
                  <c:v>-3.9018159599693623E-4</c:v>
                </c:pt>
                <c:pt idx="21">
                  <c:v>-5.9042899591176261E-4</c:v>
                </c:pt>
                <c:pt idx="22">
                  <c:v>-7.5407456275904637E-4</c:v>
                </c:pt>
                <c:pt idx="23">
                  <c:v>-8.6728310648137889E-4</c:v>
                </c:pt>
                <c:pt idx="24">
                  <c:v>-9.259703437562983E-4</c:v>
                </c:pt>
                <c:pt idx="25">
                  <c:v>-9.4126819150175574E-4</c:v>
                </c:pt>
                <c:pt idx="26">
                  <c:v>-9.2269327169007401E-4</c:v>
                </c:pt>
                <c:pt idx="27">
                  <c:v>-8.8725625446027826E-4</c:v>
                </c:pt>
                <c:pt idx="28">
                  <c:v>-8.5060224026025841E-4</c:v>
                </c:pt>
                <c:pt idx="29">
                  <c:v>-8.2323105074763581E-4</c:v>
                </c:pt>
                <c:pt idx="30">
                  <c:v>-8.0962434106163867E-4</c:v>
                </c:pt>
                <c:pt idx="31">
                  <c:v>-8.0957720249946069E-4</c:v>
                </c:pt>
                <c:pt idx="32">
                  <c:v>-8.2063225748260171E-4</c:v>
                </c:pt>
                <c:pt idx="33">
                  <c:v>-8.4024217075687972E-4</c:v>
                </c:pt>
                <c:pt idx="34">
                  <c:v>-8.6694678491105765E-4</c:v>
                </c:pt>
                <c:pt idx="35">
                  <c:v>-9.005949218565606E-4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74-494A-BB6C-F115A0D57B8C}"/>
            </c:ext>
          </c:extLst>
        </c:ser>
        <c:ser>
          <c:idx val="3"/>
          <c:order val="3"/>
          <c:tx>
            <c:strRef>
              <c:f>Données!$B$629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Données!$C$625:$AL$625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Données!$C$629:$AL$629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2.4104628866466706E-4</c:v>
                </c:pt>
                <c:pt idx="7">
                  <c:v>9.7499144180144127E-4</c:v>
                </c:pt>
                <c:pt idx="8">
                  <c:v>1.8274205033692102E-3</c:v>
                </c:pt>
                <c:pt idx="9">
                  <c:v>2.3307617484462566E-3</c:v>
                </c:pt>
                <c:pt idx="10">
                  <c:v>2.2516657887019383E-3</c:v>
                </c:pt>
                <c:pt idx="11">
                  <c:v>1.6866569243412359E-3</c:v>
                </c:pt>
                <c:pt idx="12">
                  <c:v>8.4396905344333111E-4</c:v>
                </c:pt>
                <c:pt idx="13">
                  <c:v>-3.471255645416652E-5</c:v>
                </c:pt>
                <c:pt idx="14">
                  <c:v>-7.7691406554765484E-4</c:v>
                </c:pt>
                <c:pt idx="15">
                  <c:v>-1.3170661992395383E-3</c:v>
                </c:pt>
                <c:pt idx="16">
                  <c:v>-1.6741795431060304E-3</c:v>
                </c:pt>
                <c:pt idx="17">
                  <c:v>-1.9104192459657853E-3</c:v>
                </c:pt>
                <c:pt idx="18">
                  <c:v>-2.0905099964426063E-3</c:v>
                </c:pt>
                <c:pt idx="19">
                  <c:v>-2.2550876132511966E-3</c:v>
                </c:pt>
                <c:pt idx="20">
                  <c:v>-2.4164340630797522E-3</c:v>
                </c:pt>
                <c:pt idx="21">
                  <c:v>-2.5521771547554659E-3</c:v>
                </c:pt>
                <c:pt idx="22">
                  <c:v>-2.6408255643340095E-3</c:v>
                </c:pt>
                <c:pt idx="23">
                  <c:v>-2.6663995923499402E-3</c:v>
                </c:pt>
                <c:pt idx="24">
                  <c:v>-2.6258963826203767E-3</c:v>
                </c:pt>
                <c:pt idx="25">
                  <c:v>-2.5349789005463114E-3</c:v>
                </c:pt>
                <c:pt idx="26">
                  <c:v>-2.4051496717494287E-3</c:v>
                </c:pt>
                <c:pt idx="27">
                  <c:v>-2.2593674900542025E-3</c:v>
                </c:pt>
                <c:pt idx="28">
                  <c:v>-2.1171939941859053E-3</c:v>
                </c:pt>
                <c:pt idx="29">
                  <c:v>-1.9912117419852559E-3</c:v>
                </c:pt>
                <c:pt idx="30">
                  <c:v>-1.886400752388256E-3</c:v>
                </c:pt>
                <c:pt idx="31">
                  <c:v>-1.8020422249811414E-3</c:v>
                </c:pt>
                <c:pt idx="32">
                  <c:v>-1.7348017497099905E-3</c:v>
                </c:pt>
                <c:pt idx="33">
                  <c:v>-1.6813409457503363E-3</c:v>
                </c:pt>
                <c:pt idx="34">
                  <c:v>-1.6396577478821634E-3</c:v>
                </c:pt>
                <c:pt idx="35">
                  <c:v>-1.6092589918106442E-3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4-494A-BB6C-F115A0D57B8C}"/>
            </c:ext>
          </c:extLst>
        </c:ser>
        <c:ser>
          <c:idx val="4"/>
          <c:order val="4"/>
          <c:tx>
            <c:strRef>
              <c:f>Données!$B$630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Données!$C$625:$AL$625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Données!$C$630:$AL$630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5.0830078277292758E-4</c:v>
                </c:pt>
                <c:pt idx="7">
                  <c:v>2.1926254533060551E-3</c:v>
                </c:pt>
                <c:pt idx="8">
                  <c:v>4.4650936045672459E-3</c:v>
                </c:pt>
                <c:pt idx="9">
                  <c:v>6.0983781530610784E-3</c:v>
                </c:pt>
                <c:pt idx="10">
                  <c:v>6.1755281166019638E-3</c:v>
                </c:pt>
                <c:pt idx="11">
                  <c:v>4.6861817986826411E-3</c:v>
                </c:pt>
                <c:pt idx="12">
                  <c:v>2.1172615679689831E-3</c:v>
                </c:pt>
                <c:pt idx="13">
                  <c:v>-7.5286309171237618E-4</c:v>
                </c:pt>
                <c:pt idx="14">
                  <c:v>-3.182073230728832E-3</c:v>
                </c:pt>
                <c:pt idx="15">
                  <c:v>-4.7247902765553155E-3</c:v>
                </c:pt>
                <c:pt idx="16">
                  <c:v>-5.3212225463069385E-3</c:v>
                </c:pt>
                <c:pt idx="17">
                  <c:v>-5.1478108343028265E-3</c:v>
                </c:pt>
                <c:pt idx="18">
                  <c:v>-4.4844967744012715E-3</c:v>
                </c:pt>
                <c:pt idx="19">
                  <c:v>-3.5992916713182724E-3</c:v>
                </c:pt>
                <c:pt idx="20">
                  <c:v>-2.6903583944753655E-3</c:v>
                </c:pt>
                <c:pt idx="21">
                  <c:v>-1.8080892060363799E-3</c:v>
                </c:pt>
                <c:pt idx="22">
                  <c:v>-9.720928490604988E-4</c:v>
                </c:pt>
                <c:pt idx="23">
                  <c:v>-1.8667651888246443E-4</c:v>
                </c:pt>
                <c:pt idx="24">
                  <c:v>5.35049242957605E-4</c:v>
                </c:pt>
                <c:pt idx="25">
                  <c:v>1.1506173098541552E-3</c:v>
                </c:pt>
                <c:pt idx="26">
                  <c:v>1.6274099751000641E-3</c:v>
                </c:pt>
                <c:pt idx="27">
                  <c:v>1.9221203607368612E-3</c:v>
                </c:pt>
                <c:pt idx="28">
                  <c:v>2.0058189462648993E-3</c:v>
                </c:pt>
                <c:pt idx="29">
                  <c:v>1.8782740197269372E-3</c:v>
                </c:pt>
                <c:pt idx="30">
                  <c:v>1.57038264042529E-3</c:v>
                </c:pt>
                <c:pt idx="31">
                  <c:v>1.1311151836172063E-3</c:v>
                </c:pt>
                <c:pt idx="32">
                  <c:v>6.235208518376613E-4</c:v>
                </c:pt>
                <c:pt idx="33">
                  <c:v>1.1180867655029189E-4</c:v>
                </c:pt>
                <c:pt idx="34">
                  <c:v>-3.5148081935568572E-4</c:v>
                </c:pt>
                <c:pt idx="35">
                  <c:v>-7.2204616338780562E-4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74-494A-BB6C-F115A0D57B8C}"/>
            </c:ext>
          </c:extLst>
        </c:ser>
        <c:ser>
          <c:idx val="5"/>
          <c:order val="5"/>
          <c:tx>
            <c:strRef>
              <c:f>Données!$B$631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Données!$C$625:$AL$625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Données!$C$631:$AL$631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1.2446592263730207E-4</c:v>
                </c:pt>
                <c:pt idx="7">
                  <c:v>6.2168228166767261E-4</c:v>
                </c:pt>
                <c:pt idx="8">
                  <c:v>1.3187340007237041E-3</c:v>
                </c:pt>
                <c:pt idx="9">
                  <c:v>1.8227728615010474E-3</c:v>
                </c:pt>
                <c:pt idx="10">
                  <c:v>1.8629986057116504E-3</c:v>
                </c:pt>
                <c:pt idx="11">
                  <c:v>1.4544910336967154E-3</c:v>
                </c:pt>
                <c:pt idx="12">
                  <c:v>7.4470641775083808E-4</c:v>
                </c:pt>
                <c:pt idx="13">
                  <c:v>-4.8617451555822558E-5</c:v>
                </c:pt>
                <c:pt idx="14">
                  <c:v>-7.4020326622102996E-4</c:v>
                </c:pt>
                <c:pt idx="15">
                  <c:v>-1.2312081962064752E-3</c:v>
                </c:pt>
                <c:pt idx="16">
                  <c:v>-1.5137146664991625E-3</c:v>
                </c:pt>
                <c:pt idx="17">
                  <c:v>-1.6349366400131777E-3</c:v>
                </c:pt>
                <c:pt idx="18">
                  <c:v>-1.6616473820585131E-3</c:v>
                </c:pt>
                <c:pt idx="19">
                  <c:v>-1.6489191161665041E-3</c:v>
                </c:pt>
                <c:pt idx="20">
                  <c:v>-1.6292693111084075E-3</c:v>
                </c:pt>
                <c:pt idx="21">
                  <c:v>-1.5990643638603677E-3</c:v>
                </c:pt>
                <c:pt idx="22">
                  <c:v>-1.5504102776858185E-3</c:v>
                </c:pt>
                <c:pt idx="23">
                  <c:v>-1.4752325624352799E-3</c:v>
                </c:pt>
                <c:pt idx="24">
                  <c:v>-1.3727461789332729E-3</c:v>
                </c:pt>
                <c:pt idx="25">
                  <c:v>-1.2554108663606989E-3</c:v>
                </c:pt>
                <c:pt idx="26">
                  <c:v>-1.1324126251480277E-3</c:v>
                </c:pt>
                <c:pt idx="27">
                  <c:v>-1.0210200673062672E-3</c:v>
                </c:pt>
                <c:pt idx="28">
                  <c:v>-9.3512858528716587E-4</c:v>
                </c:pt>
                <c:pt idx="29">
                  <c:v>-8.8195919880378157E-4</c:v>
                </c:pt>
                <c:pt idx="30">
                  <c:v>-8.6115549833538267E-4</c:v>
                </c:pt>
                <c:pt idx="31">
                  <c:v>-8.671643148439142E-4</c:v>
                </c:pt>
                <c:pt idx="32">
                  <c:v>-8.9109285155520787E-4</c:v>
                </c:pt>
                <c:pt idx="33">
                  <c:v>-9.2360712894721099E-4</c:v>
                </c:pt>
                <c:pt idx="34">
                  <c:v>-9.5728605617047204E-4</c:v>
                </c:pt>
                <c:pt idx="35">
                  <c:v>-9.8622432874819637E-4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Données!$B$626</c:f>
              <c:strCache>
                <c:ptCount val="1"/>
                <c:pt idx="0">
                  <c:v>Consommation énergétique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Données!$C$625:$AL$625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Données!$C$626:$AL$626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2.2128257751659053E-3</c:v>
                </c:pt>
                <c:pt idx="7">
                  <c:v>6.008138796583129E-3</c:v>
                </c:pt>
                <c:pt idx="8">
                  <c:v>1.0650564943545549E-2</c:v>
                </c:pt>
                <c:pt idx="9">
                  <c:v>1.3736490150793923E-2</c:v>
                </c:pt>
                <c:pt idx="10">
                  <c:v>1.3669337839409268E-2</c:v>
                </c:pt>
                <c:pt idx="11">
                  <c:v>1.0667134458801852E-2</c:v>
                </c:pt>
                <c:pt idx="12">
                  <c:v>5.7703255569780953E-3</c:v>
                </c:pt>
                <c:pt idx="13">
                  <c:v>4.2852990025199489E-4</c:v>
                </c:pt>
                <c:pt idx="14">
                  <c:v>-4.1204072095013533E-3</c:v>
                </c:pt>
                <c:pt idx="15">
                  <c:v>-7.2215618421559435E-3</c:v>
                </c:pt>
                <c:pt idx="16">
                  <c:v>-8.8491161737260793E-3</c:v>
                </c:pt>
                <c:pt idx="17">
                  <c:v>-9.3410905505197928E-3</c:v>
                </c:pt>
                <c:pt idx="18">
                  <c:v>-9.1572966734273509E-3</c:v>
                </c:pt>
                <c:pt idx="19">
                  <c:v>-8.6869297809185619E-3</c:v>
                </c:pt>
                <c:pt idx="20">
                  <c:v>-8.1752390902355421E-3</c:v>
                </c:pt>
                <c:pt idx="21">
                  <c:v>-7.6221680212131826E-3</c:v>
                </c:pt>
                <c:pt idx="22">
                  <c:v>-6.9987245768856621E-3</c:v>
                </c:pt>
                <c:pt idx="23">
                  <c:v>-6.2719533905966074E-3</c:v>
                </c:pt>
                <c:pt idx="24">
                  <c:v>-5.450361442436491E-3</c:v>
                </c:pt>
                <c:pt idx="25">
                  <c:v>-4.6189810978767287E-3</c:v>
                </c:pt>
                <c:pt idx="26">
                  <c:v>-3.8457836551888391E-3</c:v>
                </c:pt>
                <c:pt idx="27">
                  <c:v>-3.2335218271452026E-3</c:v>
                </c:pt>
                <c:pt idx="28">
                  <c:v>-2.8614489289843226E-3</c:v>
                </c:pt>
                <c:pt idx="29">
                  <c:v>-2.7602951170108136E-3</c:v>
                </c:pt>
                <c:pt idx="30">
                  <c:v>-2.9080123122983137E-3</c:v>
                </c:pt>
                <c:pt idx="31">
                  <c:v>-3.2490638034078367E-3</c:v>
                </c:pt>
                <c:pt idx="32">
                  <c:v>-3.7060553591743428E-3</c:v>
                </c:pt>
                <c:pt idx="33">
                  <c:v>-4.2002594926587866E-3</c:v>
                </c:pt>
                <c:pt idx="34">
                  <c:v>-4.6690638387203443E-3</c:v>
                </c:pt>
                <c:pt idx="35">
                  <c:v>-5.0621638961573234E-3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5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3.7404048819870035E-2"/>
          <c:y val="0.88815746810704532"/>
          <c:w val="0.91015582410303764"/>
          <c:h val="8.87910617718346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Balance énergétique</a:t>
            </a:r>
          </a:p>
          <a:p>
            <a:pPr>
              <a:defRPr/>
            </a:pPr>
            <a:r>
              <a:rPr lang="fr-FR" sz="1800"/>
              <a:t>(en % d'écart au scénario tendanciel)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Données!$B$681</c:f>
              <c:strCache>
                <c:ptCount val="1"/>
                <c:pt idx="0">
                  <c:v>Consommation ménages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Données!$C$679:$AL$679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Données!$C$681:$AL$681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1.0833592381328307E-4</c:v>
                </c:pt>
                <c:pt idx="7">
                  <c:v>2.9123885475861299E-4</c:v>
                </c:pt>
                <c:pt idx="8">
                  <c:v>4.602287911592531E-4</c:v>
                </c:pt>
                <c:pt idx="9">
                  <c:v>6.343245433478574E-4</c:v>
                </c:pt>
                <c:pt idx="10">
                  <c:v>8.5293201964354508E-4</c:v>
                </c:pt>
                <c:pt idx="11">
                  <c:v>1.1038026177816866E-3</c:v>
                </c:pt>
                <c:pt idx="12">
                  <c:v>1.3407997643946849E-3</c:v>
                </c:pt>
                <c:pt idx="13">
                  <c:v>1.5167138769401893E-3</c:v>
                </c:pt>
                <c:pt idx="14">
                  <c:v>1.6590121617585721E-3</c:v>
                </c:pt>
                <c:pt idx="15">
                  <c:v>1.8109945365884375E-3</c:v>
                </c:pt>
                <c:pt idx="16">
                  <c:v>1.9590872828205794E-3</c:v>
                </c:pt>
                <c:pt idx="17">
                  <c:v>2.0935986789894926E-3</c:v>
                </c:pt>
                <c:pt idx="18">
                  <c:v>2.2049398982718336E-3</c:v>
                </c:pt>
                <c:pt idx="19">
                  <c:v>2.2832394912261299E-3</c:v>
                </c:pt>
                <c:pt idx="20">
                  <c:v>2.3175425551513005E-3</c:v>
                </c:pt>
                <c:pt idx="21">
                  <c:v>2.3259934846996491E-3</c:v>
                </c:pt>
                <c:pt idx="22">
                  <c:v>2.3138648151206542E-3</c:v>
                </c:pt>
                <c:pt idx="23">
                  <c:v>2.2803162921370235E-3</c:v>
                </c:pt>
                <c:pt idx="24">
                  <c:v>2.2241606928126855E-3</c:v>
                </c:pt>
                <c:pt idx="25">
                  <c:v>2.1487344093519866E-3</c:v>
                </c:pt>
                <c:pt idx="26">
                  <c:v>2.0532883323650317E-3</c:v>
                </c:pt>
                <c:pt idx="27">
                  <c:v>1.9445504161280565E-3</c:v>
                </c:pt>
                <c:pt idx="28">
                  <c:v>1.8289186040838952E-3</c:v>
                </c:pt>
                <c:pt idx="29">
                  <c:v>1.7119027302927238E-3</c:v>
                </c:pt>
                <c:pt idx="30">
                  <c:v>1.5976439864376136E-3</c:v>
                </c:pt>
                <c:pt idx="31">
                  <c:v>1.4829676737254235E-3</c:v>
                </c:pt>
                <c:pt idx="32">
                  <c:v>1.3674368351655872E-3</c:v>
                </c:pt>
                <c:pt idx="33">
                  <c:v>1.2539380305545784E-3</c:v>
                </c:pt>
                <c:pt idx="34">
                  <c:v>1.1454336651415846E-3</c:v>
                </c:pt>
                <c:pt idx="35">
                  <c:v>1.0539652041156578E-3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2D-49AA-BF88-C168E58AAE98}"/>
            </c:ext>
          </c:extLst>
        </c:ser>
        <c:ser>
          <c:idx val="2"/>
          <c:order val="2"/>
          <c:tx>
            <c:strRef>
              <c:f>Données!$B$682</c:f>
              <c:strCache>
                <c:ptCount val="1"/>
                <c:pt idx="0">
                  <c:v>Consommation entreprises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Données!$C$679:$AL$679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Données!$C$682:$AL$682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3.1245591283082311E-3</c:v>
                </c:pt>
                <c:pt idx="7">
                  <c:v>8.1631346265678834E-3</c:v>
                </c:pt>
                <c:pt idx="8">
                  <c:v>1.4307377219007213E-2</c:v>
                </c:pt>
                <c:pt idx="9">
                  <c:v>1.8367066223891608E-2</c:v>
                </c:pt>
                <c:pt idx="10">
                  <c:v>1.8157509109367122E-2</c:v>
                </c:pt>
                <c:pt idx="11">
                  <c:v>1.3966714677737658E-2</c:v>
                </c:pt>
                <c:pt idx="12">
                  <c:v>7.235391754189472E-3</c:v>
                </c:pt>
                <c:pt idx="13">
                  <c:v>-5.3519987400579662E-5</c:v>
                </c:pt>
                <c:pt idx="14">
                  <c:v>-6.260588796137204E-3</c:v>
                </c:pt>
                <c:pt idx="15">
                  <c:v>-1.0531242279536935E-2</c:v>
                </c:pt>
                <c:pt idx="16">
                  <c:v>-1.2805717893313411E-2</c:v>
                </c:pt>
                <c:pt idx="17">
                  <c:v>-1.3522353695604962E-2</c:v>
                </c:pt>
                <c:pt idx="18">
                  <c:v>-1.3289900858861529E-2</c:v>
                </c:pt>
                <c:pt idx="19">
                  <c:v>-1.2630606906199921E-2</c:v>
                </c:pt>
                <c:pt idx="20">
                  <c:v>-1.1877363142715229E-2</c:v>
                </c:pt>
                <c:pt idx="21">
                  <c:v>-1.1063455257199831E-2</c:v>
                </c:pt>
                <c:pt idx="22">
                  <c:v>-1.0162921554204335E-2</c:v>
                </c:pt>
                <c:pt idx="23">
                  <c:v>-9.1361160197327325E-3</c:v>
                </c:pt>
                <c:pt idx="24">
                  <c:v>-7.994663676529087E-3</c:v>
                </c:pt>
                <c:pt idx="25">
                  <c:v>-6.8501845228241195E-3</c:v>
                </c:pt>
                <c:pt idx="26">
                  <c:v>-5.7904653221209114E-3</c:v>
                </c:pt>
                <c:pt idx="27">
                  <c:v>-4.9481102587869896E-3</c:v>
                </c:pt>
                <c:pt idx="28">
                  <c:v>-4.4250717352713916E-3</c:v>
                </c:pt>
                <c:pt idx="29">
                  <c:v>-4.2601197336853101E-3</c:v>
                </c:pt>
                <c:pt idx="30">
                  <c:v>-4.4226648007449319E-3</c:v>
                </c:pt>
                <c:pt idx="31">
                  <c:v>-4.8334148263684349E-3</c:v>
                </c:pt>
                <c:pt idx="32">
                  <c:v>-5.3881392145443425E-3</c:v>
                </c:pt>
                <c:pt idx="33">
                  <c:v>-5.9843853788939831E-3</c:v>
                </c:pt>
                <c:pt idx="34">
                  <c:v>-6.5414814265304638E-3</c:v>
                </c:pt>
                <c:pt idx="35">
                  <c:v>-7.0030854438776846E-3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2D-49AA-BF88-C168E58AAE98}"/>
            </c:ext>
          </c:extLst>
        </c:ser>
        <c:ser>
          <c:idx val="3"/>
          <c:order val="3"/>
          <c:tx>
            <c:strRef>
              <c:f>Données!$B$683</c:f>
              <c:strCache>
                <c:ptCount val="1"/>
                <c:pt idx="0">
                  <c:v>Exportations nettes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Données!$C$679:$AL$679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Données!$C$683:$AL$683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-1.6680491148287557E-3</c:v>
                </c:pt>
                <c:pt idx="7">
                  <c:v>-3.8035907927037069E-3</c:v>
                </c:pt>
                <c:pt idx="8">
                  <c:v>-6.2276137805699974E-3</c:v>
                </c:pt>
                <c:pt idx="9">
                  <c:v>-7.8591066956547675E-3</c:v>
                </c:pt>
                <c:pt idx="10">
                  <c:v>-8.0015636552572249E-3</c:v>
                </c:pt>
                <c:pt idx="11">
                  <c:v>-6.8209924794026718E-3</c:v>
                </c:pt>
                <c:pt idx="12">
                  <c:v>-4.8284368973480311E-3</c:v>
                </c:pt>
                <c:pt idx="13">
                  <c:v>-2.648255600030157E-3</c:v>
                </c:pt>
                <c:pt idx="14">
                  <c:v>-7.4630106981956256E-4</c:v>
                </c:pt>
                <c:pt idx="15">
                  <c:v>6.7778718032909184E-4</c:v>
                </c:pt>
                <c:pt idx="16">
                  <c:v>1.6588642228631302E-3</c:v>
                </c:pt>
                <c:pt idx="17">
                  <c:v>2.350273323552293E-3</c:v>
                </c:pt>
                <c:pt idx="18">
                  <c:v>2.9185883458895286E-3</c:v>
                </c:pt>
                <c:pt idx="19">
                  <c:v>3.4729446308363987E-3</c:v>
                </c:pt>
                <c:pt idx="20">
                  <c:v>4.048849637836003E-3</c:v>
                </c:pt>
                <c:pt idx="21">
                  <c:v>4.5830521951234753E-3</c:v>
                </c:pt>
                <c:pt idx="22">
                  <c:v>5.008250332039295E-3</c:v>
                </c:pt>
                <c:pt idx="23">
                  <c:v>5.2692133278182569E-3</c:v>
                </c:pt>
                <c:pt idx="24">
                  <c:v>5.3454888394416471E-3</c:v>
                </c:pt>
                <c:pt idx="25">
                  <c:v>5.2631790432170937E-3</c:v>
                </c:pt>
                <c:pt idx="26">
                  <c:v>5.058059689826061E-3</c:v>
                </c:pt>
                <c:pt idx="27">
                  <c:v>4.7836353351095413E-3</c:v>
                </c:pt>
                <c:pt idx="28">
                  <c:v>4.4918452609993545E-3</c:v>
                </c:pt>
                <c:pt idx="29">
                  <c:v>4.2199763415591675E-3</c:v>
                </c:pt>
                <c:pt idx="30">
                  <c:v>3.9867250058527887E-3</c:v>
                </c:pt>
                <c:pt idx="31">
                  <c:v>3.7973744950640402E-3</c:v>
                </c:pt>
                <c:pt idx="32">
                  <c:v>3.6490640358210163E-3</c:v>
                </c:pt>
                <c:pt idx="33">
                  <c:v>3.5368500823267576E-3</c:v>
                </c:pt>
                <c:pt idx="34">
                  <c:v>3.4578963596639083E-3</c:v>
                </c:pt>
                <c:pt idx="35">
                  <c:v>3.4099400769310472E-3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8449744"/>
        <c:axId val="778454336"/>
      </c:barChart>
      <c:lineChart>
        <c:grouping val="standard"/>
        <c:varyColors val="0"/>
        <c:ser>
          <c:idx val="0"/>
          <c:order val="0"/>
          <c:tx>
            <c:strRef>
              <c:f>Données!$B$680</c:f>
              <c:strCache>
                <c:ptCount val="1"/>
                <c:pt idx="0">
                  <c:v>Production nette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Données!$C$679:$AL$679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Données!$C$680:$AL$680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1.5648457356556289E-3</c:v>
                </c:pt>
                <c:pt idx="7">
                  <c:v>4.6507825566208805E-3</c:v>
                </c:pt>
                <c:pt idx="8">
                  <c:v>8.5399924238662717E-3</c:v>
                </c:pt>
                <c:pt idx="9">
                  <c:v>1.1142283309290235E-2</c:v>
                </c:pt>
                <c:pt idx="10">
                  <c:v>1.1008877536044626E-2</c:v>
                </c:pt>
                <c:pt idx="11">
                  <c:v>8.2495248161167378E-3</c:v>
                </c:pt>
                <c:pt idx="12">
                  <c:v>3.7477545611004359E-3</c:v>
                </c:pt>
                <c:pt idx="13">
                  <c:v>-1.1850621839718523E-3</c:v>
                </c:pt>
                <c:pt idx="14">
                  <c:v>-5.347878695659003E-3</c:v>
                </c:pt>
                <c:pt idx="15">
                  <c:v>-8.0424602749019636E-3</c:v>
                </c:pt>
                <c:pt idx="16">
                  <c:v>-9.1877663876295257E-3</c:v>
                </c:pt>
                <c:pt idx="17">
                  <c:v>-9.078481693063245E-3</c:v>
                </c:pt>
                <c:pt idx="18">
                  <c:v>-8.1663727259461139E-3</c:v>
                </c:pt>
                <c:pt idx="19">
                  <c:v>-6.874423059448298E-3</c:v>
                </c:pt>
                <c:pt idx="20">
                  <c:v>-5.5109699134711088E-3</c:v>
                </c:pt>
                <c:pt idx="21">
                  <c:v>-4.154409955303251E-3</c:v>
                </c:pt>
                <c:pt idx="22">
                  <c:v>-2.8408069946922465E-3</c:v>
                </c:pt>
                <c:pt idx="23">
                  <c:v>-1.5865865582834759E-3</c:v>
                </c:pt>
                <c:pt idx="24">
                  <c:v>-4.2501383092174994E-4</c:v>
                </c:pt>
                <c:pt idx="25">
                  <c:v>5.6172887806371641E-4</c:v>
                </c:pt>
                <c:pt idx="26">
                  <c:v>1.3208829555224622E-3</c:v>
                </c:pt>
                <c:pt idx="27">
                  <c:v>1.7800753409638048E-3</c:v>
                </c:pt>
                <c:pt idx="28">
                  <c:v>1.8956925290680715E-3</c:v>
                </c:pt>
                <c:pt idx="29">
                  <c:v>1.6717596834623372E-3</c:v>
                </c:pt>
                <c:pt idx="30">
                  <c:v>1.1617041427871566E-3</c:v>
                </c:pt>
                <c:pt idx="31">
                  <c:v>4.4692686044323082E-4</c:v>
                </c:pt>
                <c:pt idx="32">
                  <c:v>-3.7163877238099996E-4</c:v>
                </c:pt>
                <c:pt idx="33">
                  <c:v>-1.1935976899858369E-3</c:v>
                </c:pt>
                <c:pt idx="34">
                  <c:v>-1.9381515880597666E-3</c:v>
                </c:pt>
                <c:pt idx="35">
                  <c:v>-2.5391801628308341E-3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449744"/>
        <c:axId val="778454336"/>
      </c:lineChart>
      <c:dateAx>
        <c:axId val="77844974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54336"/>
        <c:crosses val="autoZero"/>
        <c:auto val="1"/>
        <c:lblOffset val="100"/>
        <c:baseTimeUnit val="years"/>
        <c:majorUnit val="5"/>
        <c:majorTimeUnit val="years"/>
      </c:dateAx>
      <c:valAx>
        <c:axId val="7784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497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Energie</a:t>
            </a:r>
            <a:r>
              <a:rPr lang="fr-FR" sz="2800" baseline="0"/>
              <a:t> primaire </a:t>
            </a:r>
            <a:r>
              <a:rPr lang="fr-FR" sz="2800"/>
              <a:t>(Mtep)</a:t>
            </a:r>
          </a:p>
        </c:rich>
      </c:tx>
      <c:layout>
        <c:manualLayout>
          <c:xMode val="edge"/>
          <c:yMode val="edge"/>
          <c:x val="0.33123145460476872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Données!$B$661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Données!$C$659:$AL$659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Données!$C$661:$AL$661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2.5209556721533229E-7</c:v>
                </c:pt>
                <c:pt idx="7">
                  <c:v>2.7121637073557519E-5</c:v>
                </c:pt>
                <c:pt idx="8">
                  <c:v>7.8533800345707299E-5</c:v>
                </c:pt>
                <c:pt idx="9">
                  <c:v>1.3545708717504213E-4</c:v>
                </c:pt>
                <c:pt idx="10">
                  <c:v>1.7891361620686418E-4</c:v>
                </c:pt>
                <c:pt idx="11">
                  <c:v>2.0123486071539406E-4</c:v>
                </c:pt>
                <c:pt idx="12">
                  <c:v>2.0224216901022082E-4</c:v>
                </c:pt>
                <c:pt idx="13">
                  <c:v>1.8875980066037373E-4</c:v>
                </c:pt>
                <c:pt idx="14">
                  <c:v>1.6995266079682615E-4</c:v>
                </c:pt>
                <c:pt idx="15">
                  <c:v>1.5357692916393272E-4</c:v>
                </c:pt>
                <c:pt idx="16">
                  <c:v>1.4386589339575236E-4</c:v>
                </c:pt>
                <c:pt idx="17">
                  <c:v>1.4136083538438378E-4</c:v>
                </c:pt>
                <c:pt idx="18">
                  <c:v>1.4400129341332908E-4</c:v>
                </c:pt>
                <c:pt idx="19">
                  <c:v>1.4874350171105999E-4</c:v>
                </c:pt>
                <c:pt idx="20">
                  <c:v>1.5275520099639327E-4</c:v>
                </c:pt>
                <c:pt idx="21">
                  <c:v>1.5497850561718636E-4</c:v>
                </c:pt>
                <c:pt idx="22">
                  <c:v>1.5518203051823767E-4</c:v>
                </c:pt>
                <c:pt idx="23">
                  <c:v>1.5392103745138073E-4</c:v>
                </c:pt>
                <c:pt idx="24">
                  <c:v>1.5202121961182169E-4</c:v>
                </c:pt>
                <c:pt idx="25">
                  <c:v>1.4956019523838424E-4</c:v>
                </c:pt>
                <c:pt idx="26">
                  <c:v>1.4768415446430246E-4</c:v>
                </c:pt>
                <c:pt idx="27">
                  <c:v>1.4605981712970364E-4</c:v>
                </c:pt>
                <c:pt idx="28">
                  <c:v>1.4431345616325997E-4</c:v>
                </c:pt>
                <c:pt idx="29">
                  <c:v>1.4211652926461577E-4</c:v>
                </c:pt>
                <c:pt idx="30">
                  <c:v>1.393128548684428E-4</c:v>
                </c:pt>
                <c:pt idx="31">
                  <c:v>1.3597778480189387E-4</c:v>
                </c:pt>
                <c:pt idx="32">
                  <c:v>1.3238809505118846E-4</c:v>
                </c:pt>
                <c:pt idx="33">
                  <c:v>1.2891070166940477E-4</c:v>
                </c:pt>
                <c:pt idx="34">
                  <c:v>1.2587782648168771E-4</c:v>
                </c:pt>
                <c:pt idx="35">
                  <c:v>1.2350759253494675E-4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B-4269-9B2A-85A0A366EDCC}"/>
            </c:ext>
          </c:extLst>
        </c:ser>
        <c:ser>
          <c:idx val="2"/>
          <c:order val="2"/>
          <c:tx>
            <c:strRef>
              <c:f>Données!$B$662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Données!$C$659:$AL$659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Données!$C$662:$AL$662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8.2420801723757703E-4</c:v>
                </c:pt>
                <c:pt idx="7">
                  <c:v>1.4222486118942333E-3</c:v>
                </c:pt>
                <c:pt idx="8">
                  <c:v>2.0507100999584147E-3</c:v>
                </c:pt>
                <c:pt idx="9">
                  <c:v>2.4640070297513184E-3</c:v>
                </c:pt>
                <c:pt idx="10">
                  <c:v>2.4969862288289394E-3</c:v>
                </c:pt>
                <c:pt idx="11">
                  <c:v>2.1975554465673165E-3</c:v>
                </c:pt>
                <c:pt idx="12">
                  <c:v>1.6907125391546866E-3</c:v>
                </c:pt>
                <c:pt idx="13">
                  <c:v>1.1317683525024276E-3</c:v>
                </c:pt>
                <c:pt idx="14">
                  <c:v>6.3833998890497942E-4</c:v>
                </c:pt>
                <c:pt idx="15">
                  <c:v>2.6491399382502675E-4</c:v>
                </c:pt>
                <c:pt idx="16">
                  <c:v>9.9019262531467165E-6</c:v>
                </c:pt>
                <c:pt idx="17">
                  <c:v>-1.5957481737082215E-4</c:v>
                </c:pt>
                <c:pt idx="18">
                  <c:v>-2.8308450656360282E-4</c:v>
                </c:pt>
                <c:pt idx="19">
                  <c:v>-3.894518845916615E-4</c:v>
                </c:pt>
                <c:pt idx="20">
                  <c:v>-4.9214750819039825E-4</c:v>
                </c:pt>
                <c:pt idx="21">
                  <c:v>-5.8203598526044946E-4</c:v>
                </c:pt>
                <c:pt idx="22">
                  <c:v>-6.4948707717169603E-4</c:v>
                </c:pt>
                <c:pt idx="23">
                  <c:v>-6.8605778557152114E-4</c:v>
                </c:pt>
                <c:pt idx="24">
                  <c:v>-6.8982245515015518E-4</c:v>
                </c:pt>
                <c:pt idx="25">
                  <c:v>-6.691792003017499E-4</c:v>
                </c:pt>
                <c:pt idx="26">
                  <c:v>-6.3130650529266176E-4</c:v>
                </c:pt>
                <c:pt idx="27">
                  <c:v>-5.8826317195433391E-4</c:v>
                </c:pt>
                <c:pt idx="28">
                  <c:v>-5.5069095880041325E-4</c:v>
                </c:pt>
                <c:pt idx="29">
                  <c:v>-5.2520393550578635E-4</c:v>
                </c:pt>
                <c:pt idx="30">
                  <c:v>-5.1373368396880547E-4</c:v>
                </c:pt>
                <c:pt idx="31">
                  <c:v>-5.1476833119287941E-4</c:v>
                </c:pt>
                <c:pt idx="32">
                  <c:v>-5.2500040551808219E-4</c:v>
                </c:pt>
                <c:pt idx="33">
                  <c:v>-5.41013031558051E-4</c:v>
                </c:pt>
                <c:pt idx="34">
                  <c:v>-5.6037296030202492E-4</c:v>
                </c:pt>
                <c:pt idx="35">
                  <c:v>-5.8165110827406417E-4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DB-4269-9B2A-85A0A366EDCC}"/>
            </c:ext>
          </c:extLst>
        </c:ser>
        <c:ser>
          <c:idx val="3"/>
          <c:order val="3"/>
          <c:tx>
            <c:strRef>
              <c:f>Données!$B$663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Données!$C$659:$AL$659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Données!$C$663:$AL$663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9.1285546875548309E-5</c:v>
                </c:pt>
                <c:pt idx="7">
                  <c:v>4.5720664157504698E-4</c:v>
                </c:pt>
                <c:pt idx="8">
                  <c:v>8.7647507880549548E-4</c:v>
                </c:pt>
                <c:pt idx="9">
                  <c:v>1.1280319974402652E-3</c:v>
                </c:pt>
                <c:pt idx="10">
                  <c:v>1.1134974170528226E-3</c:v>
                </c:pt>
                <c:pt idx="11">
                  <c:v>8.8356546246445259E-4</c:v>
                </c:pt>
                <c:pt idx="12">
                  <c:v>5.2735168933231889E-4</c:v>
                </c:pt>
                <c:pt idx="13">
                  <c:v>1.5304577315001803E-4</c:v>
                </c:pt>
                <c:pt idx="14">
                  <c:v>-1.5612621954513728E-4</c:v>
                </c:pt>
                <c:pt idx="15">
                  <c:v>-3.6378395202767095E-4</c:v>
                </c:pt>
                <c:pt idx="16">
                  <c:v>-4.7641723349458801E-4</c:v>
                </c:pt>
                <c:pt idx="17">
                  <c:v>-5.2201486715140006E-4</c:v>
                </c:pt>
                <c:pt idx="18">
                  <c:v>-5.3246896958888664E-4</c:v>
                </c:pt>
                <c:pt idx="19">
                  <c:v>-5.3121569945495828E-4</c:v>
                </c:pt>
                <c:pt idx="20">
                  <c:v>-5.303905719413666E-4</c:v>
                </c:pt>
                <c:pt idx="21">
                  <c:v>-5.2390817314080151E-4</c:v>
                </c:pt>
                <c:pt idx="22">
                  <c:v>-5.0661767117979686E-4</c:v>
                </c:pt>
                <c:pt idx="23">
                  <c:v>-4.7468390964379708E-4</c:v>
                </c:pt>
                <c:pt idx="24">
                  <c:v>-4.2850806544586772E-4</c:v>
                </c:pt>
                <c:pt idx="25">
                  <c:v>-3.7569506120009268E-4</c:v>
                </c:pt>
                <c:pt idx="26">
                  <c:v>-3.1969914459054961E-4</c:v>
                </c:pt>
                <c:pt idx="27">
                  <c:v>-2.6910242205461355E-4</c:v>
                </c:pt>
                <c:pt idx="28">
                  <c:v>-2.3026143377938968E-4</c:v>
                </c:pt>
                <c:pt idx="29">
                  <c:v>-2.0606505497916473E-4</c:v>
                </c:pt>
                <c:pt idx="30">
                  <c:v>-1.9585738807917046E-4</c:v>
                </c:pt>
                <c:pt idx="31">
                  <c:v>-1.9689443454345894E-4</c:v>
                </c:pt>
                <c:pt idx="32">
                  <c:v>-2.0514981038983606E-4</c:v>
                </c:pt>
                <c:pt idx="33">
                  <c:v>-2.166151351601652E-4</c:v>
                </c:pt>
                <c:pt idx="34">
                  <c:v>-2.2830357182427891E-4</c:v>
                </c:pt>
                <c:pt idx="35">
                  <c:v>-2.3781741017550628E-4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DB-4269-9B2A-85A0A366EDCC}"/>
            </c:ext>
          </c:extLst>
        </c:ser>
        <c:ser>
          <c:idx val="4"/>
          <c:order val="4"/>
          <c:tx>
            <c:strRef>
              <c:f>Données!$B$664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Données!$C$659:$AL$659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Données!$C$664:$AL$664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5.7170896376968524E-4</c:v>
                </c:pt>
                <c:pt idx="7">
                  <c:v>2.3921562752687122E-3</c:v>
                </c:pt>
                <c:pt idx="8">
                  <c:v>4.7748338504364357E-3</c:v>
                </c:pt>
                <c:pt idx="9">
                  <c:v>6.3658821340944636E-3</c:v>
                </c:pt>
                <c:pt idx="10">
                  <c:v>6.186644160607835E-3</c:v>
                </c:pt>
                <c:pt idx="11">
                  <c:v>4.2575469251838038E-3</c:v>
                </c:pt>
                <c:pt idx="12">
                  <c:v>1.1490414544087003E-3</c:v>
                </c:pt>
                <c:pt idx="13">
                  <c:v>-2.2484802403306414E-3</c:v>
                </c:pt>
                <c:pt idx="14">
                  <c:v>-5.0835514788382628E-3</c:v>
                </c:pt>
                <c:pt idx="15">
                  <c:v>-6.8380881305686982E-3</c:v>
                </c:pt>
                <c:pt idx="16">
                  <c:v>-7.4338690292659639E-3</c:v>
                </c:pt>
                <c:pt idx="17">
                  <c:v>-7.0688237017544472E-3</c:v>
                </c:pt>
                <c:pt idx="18">
                  <c:v>-6.067781386675887E-3</c:v>
                </c:pt>
                <c:pt idx="19">
                  <c:v>-4.751762045199605E-3</c:v>
                </c:pt>
                <c:pt idx="20">
                  <c:v>-3.3698893589523687E-3</c:v>
                </c:pt>
                <c:pt idx="21">
                  <c:v>-2.0135352051112252E-3</c:v>
                </c:pt>
                <c:pt idx="22">
                  <c:v>-7.3614540594465767E-4</c:v>
                </c:pt>
                <c:pt idx="23">
                  <c:v>4.2985639513538947E-4</c:v>
                </c:pt>
                <c:pt idx="24">
                  <c:v>1.4499961143518687E-3</c:v>
                </c:pt>
                <c:pt idx="25">
                  <c:v>2.2664187297300824E-3</c:v>
                </c:pt>
                <c:pt idx="26">
                  <c:v>2.8434135614867264E-3</c:v>
                </c:pt>
                <c:pt idx="27">
                  <c:v>3.1397804413765781E-3</c:v>
                </c:pt>
                <c:pt idx="28">
                  <c:v>3.1367663472276338E-3</c:v>
                </c:pt>
                <c:pt idx="29">
                  <c:v>2.8509110560026594E-3</c:v>
                </c:pt>
                <c:pt idx="30">
                  <c:v>2.3343769311475293E-3</c:v>
                </c:pt>
                <c:pt idx="31">
                  <c:v>1.6588721121423638E-3</c:v>
                </c:pt>
                <c:pt idx="32">
                  <c:v>9.0974584653422922E-4</c:v>
                </c:pt>
                <c:pt idx="33">
                  <c:v>1.7095370310637442E-4</c:v>
                </c:pt>
                <c:pt idx="34">
                  <c:v>-4.8953189950706603E-4</c:v>
                </c:pt>
                <c:pt idx="35">
                  <c:v>-1.0166684264860839E-3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DB-4269-9B2A-85A0A366EDCC}"/>
            </c:ext>
          </c:extLst>
        </c:ser>
        <c:ser>
          <c:idx val="5"/>
          <c:order val="5"/>
          <c:tx>
            <c:strRef>
              <c:f>Données!$B$665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Données!$C$659:$AL$659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Données!$C$665:$AL$665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8.0588918881483335E-5</c:v>
                </c:pt>
                <c:pt idx="7">
                  <c:v>4.1737905919906633E-4</c:v>
                </c:pt>
                <c:pt idx="8">
                  <c:v>8.9268868305191938E-4</c:v>
                </c:pt>
                <c:pt idx="9">
                  <c:v>1.2177058120673304E-3</c:v>
                </c:pt>
                <c:pt idx="10">
                  <c:v>1.1913494490171856E-3</c:v>
                </c:pt>
                <c:pt idx="11">
                  <c:v>8.2315003252586322E-4</c:v>
                </c:pt>
                <c:pt idx="12">
                  <c:v>2.2877604570092629E-4</c:v>
                </c:pt>
                <c:pt idx="13">
                  <c:v>-4.2273633647085416E-4</c:v>
                </c:pt>
                <c:pt idx="14">
                  <c:v>-9.7783470124387603E-4</c:v>
                </c:pt>
                <c:pt idx="15">
                  <c:v>-1.3491100625773723E-3</c:v>
                </c:pt>
                <c:pt idx="16">
                  <c:v>-1.5316113835590734E-3</c:v>
                </c:pt>
                <c:pt idx="17">
                  <c:v>-1.5669884840319665E-3</c:v>
                </c:pt>
                <c:pt idx="18">
                  <c:v>-1.5145106943498749E-3</c:v>
                </c:pt>
                <c:pt idx="19">
                  <c:v>-1.4254587342372642E-3</c:v>
                </c:pt>
                <c:pt idx="20">
                  <c:v>-1.3334413374456382E-3</c:v>
                </c:pt>
                <c:pt idx="21">
                  <c:v>-1.2394795123878966E-3</c:v>
                </c:pt>
                <c:pt idx="22">
                  <c:v>-1.1404750415259738E-3</c:v>
                </c:pt>
                <c:pt idx="23">
                  <c:v>-1.033172778450608E-3</c:v>
                </c:pt>
                <c:pt idx="24">
                  <c:v>-9.1909845388334467E-4</c:v>
                </c:pt>
                <c:pt idx="25">
                  <c:v>-8.0796858748276822E-4</c:v>
                </c:pt>
                <c:pt idx="26">
                  <c:v>-7.078264805331179E-4</c:v>
                </c:pt>
                <c:pt idx="27">
                  <c:v>-6.2998329117068769E-4</c:v>
                </c:pt>
                <c:pt idx="28">
                  <c:v>-5.8259921036585738E-4</c:v>
                </c:pt>
                <c:pt idx="29">
                  <c:v>-5.683798032203065E-4</c:v>
                </c:pt>
                <c:pt idx="30">
                  <c:v>-5.8403729161021452E-4</c:v>
                </c:pt>
                <c:pt idx="31">
                  <c:v>-6.2331494299789486E-4</c:v>
                </c:pt>
                <c:pt idx="32">
                  <c:v>-6.7714513042303531E-4</c:v>
                </c:pt>
                <c:pt idx="33">
                  <c:v>-7.3583876626483213E-4</c:v>
                </c:pt>
                <c:pt idx="34">
                  <c:v>-7.9153679119262489E-4</c:v>
                </c:pt>
                <c:pt idx="35">
                  <c:v>-8.3657373976209648E-4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Données!$B$660</c:f>
              <c:strCache>
                <c:ptCount val="1"/>
                <c:pt idx="0">
                  <c:v>Energie primaire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Données!$C$659:$AL$659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Données!$C$660:$AL$660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1.5680432623452756E-3</c:v>
                </c:pt>
                <c:pt idx="7">
                  <c:v>4.7161117783891537E-3</c:v>
                </c:pt>
                <c:pt idx="8">
                  <c:v>8.6732412763999012E-3</c:v>
                </c:pt>
                <c:pt idx="9">
                  <c:v>1.1311084424208584E-2</c:v>
                </c:pt>
                <c:pt idx="10">
                  <c:v>1.11673904927585E-2</c:v>
                </c:pt>
                <c:pt idx="11">
                  <c:v>8.3630531128369157E-3</c:v>
                </c:pt>
                <c:pt idx="12">
                  <c:v>3.7981241183646652E-3</c:v>
                </c:pt>
                <c:pt idx="13">
                  <c:v>-1.1976424158600674E-3</c:v>
                </c:pt>
                <c:pt idx="14">
                  <c:v>-5.4092200319764139E-3</c:v>
                </c:pt>
                <c:pt idx="15">
                  <c:v>-8.1324912762001933E-3</c:v>
                </c:pt>
                <c:pt idx="16">
                  <c:v>-9.288129300123904E-3</c:v>
                </c:pt>
                <c:pt idx="17">
                  <c:v>-9.1760414500577925E-3</c:v>
                </c:pt>
                <c:pt idx="18">
                  <c:v>-8.2538442832756909E-3</c:v>
                </c:pt>
                <c:pt idx="19">
                  <c:v>-6.9491449849631293E-3</c:v>
                </c:pt>
                <c:pt idx="20">
                  <c:v>-5.5731137394324781E-3</c:v>
                </c:pt>
                <c:pt idx="21">
                  <c:v>-4.2039802873699017E-3</c:v>
                </c:pt>
                <c:pt idx="22">
                  <c:v>-2.8775434337119377E-3</c:v>
                </c:pt>
                <c:pt idx="23">
                  <c:v>-1.6101371743070247E-3</c:v>
                </c:pt>
                <c:pt idx="24">
                  <c:v>-4.3541141229030966E-4</c:v>
                </c:pt>
                <c:pt idx="25">
                  <c:v>5.6313613379033178E-4</c:v>
                </c:pt>
                <c:pt idx="26">
                  <c:v>1.3322658102370433E-3</c:v>
                </c:pt>
                <c:pt idx="27">
                  <c:v>1.7984912297410727E-3</c:v>
                </c:pt>
                <c:pt idx="28">
                  <c:v>1.9175281422629809E-3</c:v>
                </c:pt>
                <c:pt idx="29">
                  <c:v>1.6933786700064068E-3</c:v>
                </c:pt>
                <c:pt idx="30">
                  <c:v>1.180061515241082E-3</c:v>
                </c:pt>
                <c:pt idx="31">
                  <c:v>4.5987200915309501E-4</c:v>
                </c:pt>
                <c:pt idx="32">
                  <c:v>-3.6516155285115648E-4</c:v>
                </c:pt>
                <c:pt idx="33">
                  <c:v>-1.1936027853437503E-3</c:v>
                </c:pt>
                <c:pt idx="34">
                  <c:v>-1.9438674506401243E-3</c:v>
                </c:pt>
                <c:pt idx="35">
                  <c:v>-2.5492028734224181E-3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5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logements</a:t>
            </a:r>
            <a:r>
              <a:rPr lang="fr-FR" sz="2400" baseline="0"/>
              <a:t> (Mm2)</a:t>
            </a:r>
            <a:endParaRPr lang="fr-FR" sz="2400"/>
          </a:p>
          <a:p>
            <a:pPr>
              <a:defRPr/>
            </a:pPr>
            <a:r>
              <a:rPr lang="fr-FR" sz="1800" i="1"/>
              <a:t>Scénario</a:t>
            </a:r>
            <a:r>
              <a:rPr lang="fr-FR" sz="1800" i="1" baseline="0"/>
              <a:t> tendanciel</a:t>
            </a:r>
            <a:endParaRPr lang="fr-FR" sz="180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Données!$B$405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Données!$C$404:$AL$404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Données!$C$405:$AL$405</c:f>
              <c:numCache>
                <c:formatCode>#,##0</c:formatCode>
                <c:ptCount val="36"/>
                <c:pt idx="0">
                  <c:v>3.476542051</c:v>
                </c:pt>
                <c:pt idx="1">
                  <c:v>5.9493271419999996</c:v>
                </c:pt>
                <c:pt idx="2">
                  <c:v>8.9586324899999994</c:v>
                </c:pt>
                <c:pt idx="3">
                  <c:v>12.522361070000001</c:v>
                </c:pt>
                <c:pt idx="4">
                  <c:v>16.48542767</c:v>
                </c:pt>
                <c:pt idx="5">
                  <c:v>20.700597349999999</c:v>
                </c:pt>
                <c:pt idx="6">
                  <c:v>25.043697160000001</c:v>
                </c:pt>
                <c:pt idx="7">
                  <c:v>29.474793550000001</c:v>
                </c:pt>
                <c:pt idx="8">
                  <c:v>33.952691979999997</c:v>
                </c:pt>
                <c:pt idx="9">
                  <c:v>38.44972207</c:v>
                </c:pt>
                <c:pt idx="10">
                  <c:v>42.987637939999999</c:v>
                </c:pt>
                <c:pt idx="11">
                  <c:v>47.47369295</c:v>
                </c:pt>
                <c:pt idx="12">
                  <c:v>51.93936557</c:v>
                </c:pt>
                <c:pt idx="13">
                  <c:v>56.378909720000003</c:v>
                </c:pt>
                <c:pt idx="14">
                  <c:v>60.787521230000003</c:v>
                </c:pt>
                <c:pt idx="15">
                  <c:v>65.160634290000004</c:v>
                </c:pt>
                <c:pt idx="16">
                  <c:v>69.493949330000007</c:v>
                </c:pt>
                <c:pt idx="17">
                  <c:v>73.783745679999996</c:v>
                </c:pt>
                <c:pt idx="18">
                  <c:v>78.027800299999996</c:v>
                </c:pt>
                <c:pt idx="19">
                  <c:v>82.226684309999996</c:v>
                </c:pt>
                <c:pt idx="20">
                  <c:v>86.357168439999995</c:v>
                </c:pt>
                <c:pt idx="21">
                  <c:v>90.481609090000006</c:v>
                </c:pt>
                <c:pt idx="22">
                  <c:v>94.584363100000004</c:v>
                </c:pt>
                <c:pt idx="23">
                  <c:v>98.675094290000004</c:v>
                </c:pt>
                <c:pt idx="24">
                  <c:v>102.76032429999999</c:v>
                </c:pt>
                <c:pt idx="25">
                  <c:v>106.7685895</c:v>
                </c:pt>
                <c:pt idx="26">
                  <c:v>110.8118638</c:v>
                </c:pt>
                <c:pt idx="27">
                  <c:v>114.8503819</c:v>
                </c:pt>
                <c:pt idx="28">
                  <c:v>118.8809093</c:v>
                </c:pt>
                <c:pt idx="29">
                  <c:v>122.89984629999999</c:v>
                </c:pt>
                <c:pt idx="30">
                  <c:v>126.9040033</c:v>
                </c:pt>
                <c:pt idx="31">
                  <c:v>130.8908054</c:v>
                </c:pt>
                <c:pt idx="32">
                  <c:v>134.85818259999999</c:v>
                </c:pt>
                <c:pt idx="33">
                  <c:v>138.8043653</c:v>
                </c:pt>
                <c:pt idx="34">
                  <c:v>142.72771829999999</c:v>
                </c:pt>
                <c:pt idx="35">
                  <c:v>146.6267259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B-4BFF-9D6E-7891C58785EB}"/>
            </c:ext>
          </c:extLst>
        </c:ser>
        <c:ser>
          <c:idx val="1"/>
          <c:order val="1"/>
          <c:tx>
            <c:strRef>
              <c:f>Données!$B$406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Données!$C$404:$AL$404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Données!$C$406:$AL$406</c:f>
              <c:numCache>
                <c:formatCode>#,##0</c:formatCode>
                <c:ptCount val="36"/>
                <c:pt idx="0">
                  <c:v>68.80476281</c:v>
                </c:pt>
                <c:pt idx="1">
                  <c:v>76.548945099999997</c:v>
                </c:pt>
                <c:pt idx="2">
                  <c:v>84.201254050000003</c:v>
                </c:pt>
                <c:pt idx="3">
                  <c:v>91.342237030000007</c:v>
                </c:pt>
                <c:pt idx="4">
                  <c:v>97.994505090000004</c:v>
                </c:pt>
                <c:pt idx="5">
                  <c:v>104.15698020000001</c:v>
                </c:pt>
                <c:pt idx="6">
                  <c:v>109.2362589</c:v>
                </c:pt>
                <c:pt idx="7">
                  <c:v>113.9164674</c:v>
                </c:pt>
                <c:pt idx="8">
                  <c:v>118.2795764</c:v>
                </c:pt>
                <c:pt idx="9">
                  <c:v>122.4167202</c:v>
                </c:pt>
                <c:pt idx="10">
                  <c:v>127.44774719999999</c:v>
                </c:pt>
                <c:pt idx="11">
                  <c:v>131.385896</c:v>
                </c:pt>
                <c:pt idx="12">
                  <c:v>135.33052330000001</c:v>
                </c:pt>
                <c:pt idx="13">
                  <c:v>139.32855409999999</c:v>
                </c:pt>
                <c:pt idx="14">
                  <c:v>143.41498809999999</c:v>
                </c:pt>
                <c:pt idx="15">
                  <c:v>147.6155947</c:v>
                </c:pt>
                <c:pt idx="16">
                  <c:v>151.9468315</c:v>
                </c:pt>
                <c:pt idx="17">
                  <c:v>156.41567979999999</c:v>
                </c:pt>
                <c:pt idx="18">
                  <c:v>161.01686319999999</c:v>
                </c:pt>
                <c:pt idx="19">
                  <c:v>165.73065829999999</c:v>
                </c:pt>
                <c:pt idx="20">
                  <c:v>169.84274970000001</c:v>
                </c:pt>
                <c:pt idx="21">
                  <c:v>174.6743744</c:v>
                </c:pt>
                <c:pt idx="22">
                  <c:v>179.49201249999999</c:v>
                </c:pt>
                <c:pt idx="23">
                  <c:v>184.25373930000001</c:v>
                </c:pt>
                <c:pt idx="24">
                  <c:v>188.92937649999999</c:v>
                </c:pt>
                <c:pt idx="25">
                  <c:v>191.64012740000001</c:v>
                </c:pt>
                <c:pt idx="26">
                  <c:v>195.23516710000001</c:v>
                </c:pt>
                <c:pt idx="27">
                  <c:v>198.7241113</c:v>
                </c:pt>
                <c:pt idx="28">
                  <c:v>202.12255669999999</c:v>
                </c:pt>
                <c:pt idx="29">
                  <c:v>205.4508548</c:v>
                </c:pt>
                <c:pt idx="30">
                  <c:v>208.72838960000001</c:v>
                </c:pt>
                <c:pt idx="31">
                  <c:v>211.97140630000001</c:v>
                </c:pt>
                <c:pt idx="32">
                  <c:v>215.19321249999999</c:v>
                </c:pt>
                <c:pt idx="33">
                  <c:v>218.40522849999999</c:v>
                </c:pt>
                <c:pt idx="34">
                  <c:v>221.6178185</c:v>
                </c:pt>
                <c:pt idx="35">
                  <c:v>224.84006959999999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B-4BFF-9D6E-7891C58785EB}"/>
            </c:ext>
          </c:extLst>
        </c:ser>
        <c:ser>
          <c:idx val="2"/>
          <c:order val="2"/>
          <c:tx>
            <c:strRef>
              <c:f>Données!$B$407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Données!$C$404:$AL$404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Données!$C$407:$AL$407</c:f>
              <c:numCache>
                <c:formatCode>#,##0</c:formatCode>
                <c:ptCount val="36"/>
                <c:pt idx="0">
                  <c:v>408.28039699999999</c:v>
                </c:pt>
                <c:pt idx="1">
                  <c:v>425.45424279999997</c:v>
                </c:pt>
                <c:pt idx="2">
                  <c:v>444.51863500000002</c:v>
                </c:pt>
                <c:pt idx="3">
                  <c:v>463.85994299999999</c:v>
                </c:pt>
                <c:pt idx="4">
                  <c:v>482.92276079999999</c:v>
                </c:pt>
                <c:pt idx="5">
                  <c:v>501.27536880000002</c:v>
                </c:pt>
                <c:pt idx="6">
                  <c:v>516.99354410000001</c:v>
                </c:pt>
                <c:pt idx="7">
                  <c:v>531.85167679999995</c:v>
                </c:pt>
                <c:pt idx="8">
                  <c:v>545.99704859999997</c:v>
                </c:pt>
                <c:pt idx="9">
                  <c:v>559.62430640000002</c:v>
                </c:pt>
                <c:pt idx="10">
                  <c:v>575.82885929999998</c:v>
                </c:pt>
                <c:pt idx="11">
                  <c:v>588.96569950000003</c:v>
                </c:pt>
                <c:pt idx="12">
                  <c:v>602.07106490000001</c:v>
                </c:pt>
                <c:pt idx="13">
                  <c:v>615.24509479999995</c:v>
                </c:pt>
                <c:pt idx="14">
                  <c:v>628.56771470000001</c:v>
                </c:pt>
                <c:pt idx="15">
                  <c:v>642.10193349999997</c:v>
                </c:pt>
                <c:pt idx="16">
                  <c:v>655.89061670000001</c:v>
                </c:pt>
                <c:pt idx="17">
                  <c:v>669.9540131</c:v>
                </c:pt>
                <c:pt idx="18">
                  <c:v>684.28232849999995</c:v>
                </c:pt>
                <c:pt idx="19">
                  <c:v>698.83083399999998</c:v>
                </c:pt>
                <c:pt idx="20">
                  <c:v>711.60600309999995</c:v>
                </c:pt>
                <c:pt idx="21">
                  <c:v>726.34517200000005</c:v>
                </c:pt>
                <c:pt idx="22">
                  <c:v>741.01588819999995</c:v>
                </c:pt>
                <c:pt idx="23">
                  <c:v>755.52311150000003</c:v>
                </c:pt>
                <c:pt idx="24">
                  <c:v>769.79867119999994</c:v>
                </c:pt>
                <c:pt idx="25">
                  <c:v>778.56588580000005</c:v>
                </c:pt>
                <c:pt idx="26">
                  <c:v>789.83712290000005</c:v>
                </c:pt>
                <c:pt idx="27">
                  <c:v>800.83619220000003</c:v>
                </c:pt>
                <c:pt idx="28">
                  <c:v>811.60214229999997</c:v>
                </c:pt>
                <c:pt idx="29">
                  <c:v>822.18337759999997</c:v>
                </c:pt>
                <c:pt idx="30">
                  <c:v>832.6254596</c:v>
                </c:pt>
                <c:pt idx="31">
                  <c:v>842.96650769999997</c:v>
                </c:pt>
                <c:pt idx="32">
                  <c:v>853.23763959999997</c:v>
                </c:pt>
                <c:pt idx="33">
                  <c:v>863.46525550000001</c:v>
                </c:pt>
                <c:pt idx="34">
                  <c:v>873.67292299999997</c:v>
                </c:pt>
                <c:pt idx="35">
                  <c:v>883.88099350000005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6B-4BFF-9D6E-7891C58785EB}"/>
            </c:ext>
          </c:extLst>
        </c:ser>
        <c:ser>
          <c:idx val="3"/>
          <c:order val="3"/>
          <c:tx>
            <c:strRef>
              <c:f>Données!$B$408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Données!$C$404:$AL$404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Données!$C$408:$AL$408</c:f>
              <c:numCache>
                <c:formatCode>#,##0</c:formatCode>
                <c:ptCount val="36"/>
                <c:pt idx="0">
                  <c:v>954.38155940000001</c:v>
                </c:pt>
                <c:pt idx="1">
                  <c:v>948.79342759999997</c:v>
                </c:pt>
                <c:pt idx="2">
                  <c:v>944.11476779999998</c:v>
                </c:pt>
                <c:pt idx="3">
                  <c:v>939.60345819999998</c:v>
                </c:pt>
                <c:pt idx="4">
                  <c:v>935.1567483</c:v>
                </c:pt>
                <c:pt idx="5">
                  <c:v>930.72706019999998</c:v>
                </c:pt>
                <c:pt idx="6">
                  <c:v>926.30126819999998</c:v>
                </c:pt>
                <c:pt idx="7">
                  <c:v>921.87863600000003</c:v>
                </c:pt>
                <c:pt idx="8">
                  <c:v>917.46255240000005</c:v>
                </c:pt>
                <c:pt idx="9">
                  <c:v>913.0571013</c:v>
                </c:pt>
                <c:pt idx="10">
                  <c:v>908.66624379999996</c:v>
                </c:pt>
                <c:pt idx="11">
                  <c:v>904.29465219999997</c:v>
                </c:pt>
                <c:pt idx="12">
                  <c:v>899.9459617</c:v>
                </c:pt>
                <c:pt idx="13">
                  <c:v>895.62383260000001</c:v>
                </c:pt>
                <c:pt idx="14">
                  <c:v>891.33132420000004</c:v>
                </c:pt>
                <c:pt idx="15">
                  <c:v>887.07092050000006</c:v>
                </c:pt>
                <c:pt idx="16">
                  <c:v>882.84454370000003</c:v>
                </c:pt>
                <c:pt idx="17">
                  <c:v>878.65346569999997</c:v>
                </c:pt>
                <c:pt idx="18">
                  <c:v>874.4978476</c:v>
                </c:pt>
                <c:pt idx="19">
                  <c:v>870.37627780000003</c:v>
                </c:pt>
                <c:pt idx="20">
                  <c:v>866.28581689999999</c:v>
                </c:pt>
                <c:pt idx="21">
                  <c:v>862.22180130000004</c:v>
                </c:pt>
                <c:pt idx="22">
                  <c:v>858.17971620000003</c:v>
                </c:pt>
                <c:pt idx="23">
                  <c:v>854.15513380000004</c:v>
                </c:pt>
                <c:pt idx="24">
                  <c:v>850.14484860000005</c:v>
                </c:pt>
                <c:pt idx="25">
                  <c:v>846.1473671</c:v>
                </c:pt>
                <c:pt idx="26">
                  <c:v>842.16152980000004</c:v>
                </c:pt>
                <c:pt idx="27">
                  <c:v>838.18867109999997</c:v>
                </c:pt>
                <c:pt idx="28">
                  <c:v>834.23026749999997</c:v>
                </c:pt>
                <c:pt idx="29">
                  <c:v>830.28795019999995</c:v>
                </c:pt>
                <c:pt idx="30">
                  <c:v>826.36323990000005</c:v>
                </c:pt>
                <c:pt idx="31">
                  <c:v>822.45744319999994</c:v>
                </c:pt>
                <c:pt idx="32">
                  <c:v>818.5716592</c:v>
                </c:pt>
                <c:pt idx="33">
                  <c:v>814.70683229999997</c:v>
                </c:pt>
                <c:pt idx="34">
                  <c:v>810.86380589999999</c:v>
                </c:pt>
                <c:pt idx="35">
                  <c:v>807.04331439999999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6B-4BFF-9D6E-7891C58785EB}"/>
            </c:ext>
          </c:extLst>
        </c:ser>
        <c:ser>
          <c:idx val="4"/>
          <c:order val="4"/>
          <c:tx>
            <c:strRef>
              <c:f>Données!$B$409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Données!$C$404:$AL$404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Données!$C$409:$AL$409</c:f>
              <c:numCache>
                <c:formatCode>#,##0</c:formatCode>
                <c:ptCount val="36"/>
                <c:pt idx="0">
                  <c:v>878.79999729999997</c:v>
                </c:pt>
                <c:pt idx="1">
                  <c:v>867.28083979999997</c:v>
                </c:pt>
                <c:pt idx="2">
                  <c:v>854.93762000000004</c:v>
                </c:pt>
                <c:pt idx="3">
                  <c:v>842.00446169999998</c:v>
                </c:pt>
                <c:pt idx="4">
                  <c:v>829.23736169999995</c:v>
                </c:pt>
                <c:pt idx="5">
                  <c:v>817.25585360000002</c:v>
                </c:pt>
                <c:pt idx="6">
                  <c:v>806.33468889999995</c:v>
                </c:pt>
                <c:pt idx="7">
                  <c:v>796.47759340000005</c:v>
                </c:pt>
                <c:pt idx="8">
                  <c:v>787.53321129999995</c:v>
                </c:pt>
                <c:pt idx="9">
                  <c:v>779.27214309999999</c:v>
                </c:pt>
                <c:pt idx="10">
                  <c:v>771.46888109999998</c:v>
                </c:pt>
                <c:pt idx="11">
                  <c:v>763.88832230000003</c:v>
                </c:pt>
                <c:pt idx="12">
                  <c:v>756.34918389999996</c:v>
                </c:pt>
                <c:pt idx="13">
                  <c:v>748.71496790000003</c:v>
                </c:pt>
                <c:pt idx="14">
                  <c:v>740.88043870000001</c:v>
                </c:pt>
                <c:pt idx="15">
                  <c:v>732.7670488</c:v>
                </c:pt>
                <c:pt idx="16">
                  <c:v>724.32574720000002</c:v>
                </c:pt>
                <c:pt idx="17">
                  <c:v>715.53827920000003</c:v>
                </c:pt>
                <c:pt idx="18">
                  <c:v>706.42493000000002</c:v>
                </c:pt>
                <c:pt idx="19">
                  <c:v>697.04895280000005</c:v>
                </c:pt>
                <c:pt idx="20">
                  <c:v>687.4945467</c:v>
                </c:pt>
                <c:pt idx="21">
                  <c:v>677.90908479999996</c:v>
                </c:pt>
                <c:pt idx="22">
                  <c:v>668.43098429999998</c:v>
                </c:pt>
                <c:pt idx="23">
                  <c:v>659.17886769999996</c:v>
                </c:pt>
                <c:pt idx="24">
                  <c:v>650.23854470000003</c:v>
                </c:pt>
                <c:pt idx="25">
                  <c:v>641.62122109999996</c:v>
                </c:pt>
                <c:pt idx="26">
                  <c:v>633.36881489999996</c:v>
                </c:pt>
                <c:pt idx="27">
                  <c:v>625.46989459999998</c:v>
                </c:pt>
                <c:pt idx="28">
                  <c:v>617.87667309999995</c:v>
                </c:pt>
                <c:pt idx="29">
                  <c:v>610.52770720000001</c:v>
                </c:pt>
                <c:pt idx="30">
                  <c:v>603.36452020000002</c:v>
                </c:pt>
                <c:pt idx="31">
                  <c:v>596.33804120000002</c:v>
                </c:pt>
                <c:pt idx="32">
                  <c:v>589.40817049999998</c:v>
                </c:pt>
                <c:pt idx="33">
                  <c:v>582.54082019999998</c:v>
                </c:pt>
                <c:pt idx="34">
                  <c:v>575.70551609999995</c:v>
                </c:pt>
                <c:pt idx="35">
                  <c:v>568.87604280000005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6B-4BFF-9D6E-7891C58785EB}"/>
            </c:ext>
          </c:extLst>
        </c:ser>
        <c:ser>
          <c:idx val="5"/>
          <c:order val="5"/>
          <c:tx>
            <c:strRef>
              <c:f>Données!$B$410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Données!$C$404:$AL$404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Données!$C$410:$AL$410</c:f>
              <c:numCache>
                <c:formatCode>#,##0</c:formatCode>
                <c:ptCount val="36"/>
                <c:pt idx="0">
                  <c:v>139.85209269999999</c:v>
                </c:pt>
                <c:pt idx="1">
                  <c:v>137.9738577</c:v>
                </c:pt>
                <c:pt idx="2">
                  <c:v>136.18879580000001</c:v>
                </c:pt>
                <c:pt idx="3">
                  <c:v>134.53879280000001</c:v>
                </c:pt>
                <c:pt idx="4">
                  <c:v>133.05573200000001</c:v>
                </c:pt>
                <c:pt idx="5">
                  <c:v>131.746453</c:v>
                </c:pt>
                <c:pt idx="6">
                  <c:v>130.59047229999999</c:v>
                </c:pt>
                <c:pt idx="7">
                  <c:v>129.5523249</c:v>
                </c:pt>
                <c:pt idx="8">
                  <c:v>128.59574939999999</c:v>
                </c:pt>
                <c:pt idx="9">
                  <c:v>127.6916976</c:v>
                </c:pt>
                <c:pt idx="10">
                  <c:v>126.82003280000001</c:v>
                </c:pt>
                <c:pt idx="11">
                  <c:v>125.96732539999999</c:v>
                </c:pt>
                <c:pt idx="12">
                  <c:v>125.1246617</c:v>
                </c:pt>
                <c:pt idx="13">
                  <c:v>124.2851149</c:v>
                </c:pt>
                <c:pt idx="14">
                  <c:v>123.4421376</c:v>
                </c:pt>
                <c:pt idx="15">
                  <c:v>122.58883659999999</c:v>
                </c:pt>
                <c:pt idx="16">
                  <c:v>121.7183117</c:v>
                </c:pt>
                <c:pt idx="17">
                  <c:v>120.82463850000001</c:v>
                </c:pt>
                <c:pt idx="18">
                  <c:v>119.9047095</c:v>
                </c:pt>
                <c:pt idx="19">
                  <c:v>118.9599777</c:v>
                </c:pt>
                <c:pt idx="20">
                  <c:v>117.9965665</c:v>
                </c:pt>
                <c:pt idx="21">
                  <c:v>117.0255191</c:v>
                </c:pt>
                <c:pt idx="22">
                  <c:v>116.0593925</c:v>
                </c:pt>
                <c:pt idx="23">
                  <c:v>115.109942</c:v>
                </c:pt>
                <c:pt idx="24">
                  <c:v>114.18547119999999</c:v>
                </c:pt>
                <c:pt idx="25">
                  <c:v>113.2892473</c:v>
                </c:pt>
                <c:pt idx="26">
                  <c:v>112.4218128</c:v>
                </c:pt>
                <c:pt idx="27">
                  <c:v>111.57999</c:v>
                </c:pt>
                <c:pt idx="28">
                  <c:v>110.7593138</c:v>
                </c:pt>
                <c:pt idx="29">
                  <c:v>109.9551403</c:v>
                </c:pt>
                <c:pt idx="30">
                  <c:v>109.1633257</c:v>
                </c:pt>
                <c:pt idx="31">
                  <c:v>108.3804119</c:v>
                </c:pt>
                <c:pt idx="32">
                  <c:v>107.60352570000001</c:v>
                </c:pt>
                <c:pt idx="33">
                  <c:v>106.83017460000001</c:v>
                </c:pt>
                <c:pt idx="34">
                  <c:v>106.0580617</c:v>
                </c:pt>
                <c:pt idx="35">
                  <c:v>105.28506520000001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6B-4BFF-9D6E-7891C58785EB}"/>
            </c:ext>
          </c:extLst>
        </c:ser>
        <c:ser>
          <c:idx val="6"/>
          <c:order val="6"/>
          <c:tx>
            <c:strRef>
              <c:f>Données!$B$411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Données!$C$404:$AL$404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Données!$C$411:$AL$411</c:f>
              <c:numCache>
                <c:formatCode>#,##0</c:formatCode>
                <c:ptCount val="36"/>
                <c:pt idx="0">
                  <c:v>3.874567114</c:v>
                </c:pt>
                <c:pt idx="1">
                  <c:v>3.7257333199999998</c:v>
                </c:pt>
                <c:pt idx="2">
                  <c:v>3.5884012969999999</c:v>
                </c:pt>
                <c:pt idx="3">
                  <c:v>3.465730529</c:v>
                </c:pt>
                <c:pt idx="4">
                  <c:v>3.360677511</c:v>
                </c:pt>
                <c:pt idx="5">
                  <c:v>3.2746864850000001</c:v>
                </c:pt>
                <c:pt idx="6">
                  <c:v>3.2068595800000002</c:v>
                </c:pt>
                <c:pt idx="7">
                  <c:v>3.1543563890000001</c:v>
                </c:pt>
                <c:pt idx="8">
                  <c:v>3.1134469619999998</c:v>
                </c:pt>
                <c:pt idx="9">
                  <c:v>3.0804849330000001</c:v>
                </c:pt>
                <c:pt idx="10">
                  <c:v>3.052479124</c:v>
                </c:pt>
                <c:pt idx="11">
                  <c:v>3.0270684719999998</c:v>
                </c:pt>
                <c:pt idx="12">
                  <c:v>3.0024908080000001</c:v>
                </c:pt>
                <c:pt idx="13">
                  <c:v>2.9772941999999998</c:v>
                </c:pt>
                <c:pt idx="14">
                  <c:v>2.9501832389999998</c:v>
                </c:pt>
                <c:pt idx="15">
                  <c:v>2.9200049670000001</c:v>
                </c:pt>
                <c:pt idx="16">
                  <c:v>2.885867819</c:v>
                </c:pt>
                <c:pt idx="17">
                  <c:v>2.847272582</c:v>
                </c:pt>
                <c:pt idx="18">
                  <c:v>2.8042777550000002</c:v>
                </c:pt>
                <c:pt idx="19">
                  <c:v>2.7575737579999999</c:v>
                </c:pt>
                <c:pt idx="20">
                  <c:v>2.708338999</c:v>
                </c:pt>
                <c:pt idx="21">
                  <c:v>2.6581985079999999</c:v>
                </c:pt>
                <c:pt idx="22">
                  <c:v>2.608794085</c:v>
                </c:pt>
                <c:pt idx="23">
                  <c:v>2.5615818770000001</c:v>
                </c:pt>
                <c:pt idx="24">
                  <c:v>2.5175875790000002</c:v>
                </c:pt>
                <c:pt idx="25">
                  <c:v>2.4772236319999998</c:v>
                </c:pt>
                <c:pt idx="26">
                  <c:v>2.4406054209999999</c:v>
                </c:pt>
                <c:pt idx="27">
                  <c:v>2.4073386960000001</c:v>
                </c:pt>
                <c:pt idx="28">
                  <c:v>2.3768156070000002</c:v>
                </c:pt>
                <c:pt idx="29">
                  <c:v>2.34836242</c:v>
                </c:pt>
                <c:pt idx="30">
                  <c:v>2.3213499039999999</c:v>
                </c:pt>
                <c:pt idx="31">
                  <c:v>2.2952372780000001</c:v>
                </c:pt>
                <c:pt idx="32">
                  <c:v>2.2695705159999999</c:v>
                </c:pt>
                <c:pt idx="33">
                  <c:v>2.243961525</c:v>
                </c:pt>
                <c:pt idx="34">
                  <c:v>2.2180681980000001</c:v>
                </c:pt>
                <c:pt idx="35">
                  <c:v>2.1915978209999998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6B-4BFF-9D6E-7891C5878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 b="0" i="0" baseline="0">
                <a:effectLst/>
              </a:rPr>
              <a:t>Stock de logements (Mm2)</a:t>
            </a:r>
            <a:endParaRPr lang="fr-FR" sz="2400">
              <a:effectLst/>
            </a:endParaRPr>
          </a:p>
          <a:p>
            <a:pPr>
              <a:defRPr/>
            </a:pPr>
            <a:r>
              <a:rPr lang="fr-FR" sz="1800" b="0" i="1" baseline="0">
                <a:effectLst/>
              </a:rPr>
              <a:t>Scénario Net Zero 2050</a:t>
            </a:r>
            <a:endParaRPr lang="fr-FR" sz="28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Données!$B$396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Données!$C$395:$AL$395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Données!$C$396:$AL$396</c:f>
              <c:numCache>
                <c:formatCode>#,##0</c:formatCode>
                <c:ptCount val="36"/>
                <c:pt idx="0">
                  <c:v>3.476542051</c:v>
                </c:pt>
                <c:pt idx="1">
                  <c:v>5.9493271419999996</c:v>
                </c:pt>
                <c:pt idx="2">
                  <c:v>8.9586324899999994</c:v>
                </c:pt>
                <c:pt idx="3">
                  <c:v>12.522361070000001</c:v>
                </c:pt>
                <c:pt idx="4">
                  <c:v>16.48542767</c:v>
                </c:pt>
                <c:pt idx="5">
                  <c:v>20.700597349999999</c:v>
                </c:pt>
                <c:pt idx="6">
                  <c:v>25.04107531</c:v>
                </c:pt>
                <c:pt idx="7">
                  <c:v>29.463652849999999</c:v>
                </c:pt>
                <c:pt idx="8">
                  <c:v>33.945720280000003</c:v>
                </c:pt>
                <c:pt idx="9">
                  <c:v>38.454898040000003</c:v>
                </c:pt>
                <c:pt idx="10">
                  <c:v>43.005256469999999</c:v>
                </c:pt>
                <c:pt idx="11">
                  <c:v>47.5000255</c:v>
                </c:pt>
                <c:pt idx="12">
                  <c:v>51.9683007</c:v>
                </c:pt>
                <c:pt idx="13">
                  <c:v>56.40259373</c:v>
                </c:pt>
                <c:pt idx="14">
                  <c:v>60.799986789999998</c:v>
                </c:pt>
                <c:pt idx="15">
                  <c:v>65.162065819999995</c:v>
                </c:pt>
                <c:pt idx="16">
                  <c:v>69.492916080000001</c:v>
                </c:pt>
                <c:pt idx="17">
                  <c:v>73.796838080000001</c:v>
                </c:pt>
                <c:pt idx="18">
                  <c:v>78.076836810000003</c:v>
                </c:pt>
                <c:pt idx="19">
                  <c:v>82.334792789999995</c:v>
                </c:pt>
                <c:pt idx="20">
                  <c:v>86.545158209999997</c:v>
                </c:pt>
                <c:pt idx="21">
                  <c:v>90.763283040000005</c:v>
                </c:pt>
                <c:pt idx="22">
                  <c:v>94.964961700000003</c:v>
                </c:pt>
                <c:pt idx="23">
                  <c:v>99.151803909999998</c:v>
                </c:pt>
                <c:pt idx="24">
                  <c:v>103.32460140000001</c:v>
                </c:pt>
                <c:pt idx="25">
                  <c:v>107.40973</c:v>
                </c:pt>
                <c:pt idx="26">
                  <c:v>111.5173202</c:v>
                </c:pt>
                <c:pt idx="27">
                  <c:v>115.607956</c:v>
                </c:pt>
                <c:pt idx="28">
                  <c:v>119.6796154</c:v>
                </c:pt>
                <c:pt idx="29">
                  <c:v>123.73008</c:v>
                </c:pt>
                <c:pt idx="30">
                  <c:v>127.7574351</c:v>
                </c:pt>
                <c:pt idx="31">
                  <c:v>131.76032810000001</c:v>
                </c:pt>
                <c:pt idx="32">
                  <c:v>135.73804949999999</c:v>
                </c:pt>
                <c:pt idx="33">
                  <c:v>139.69036489999999</c:v>
                </c:pt>
                <c:pt idx="34">
                  <c:v>143.61728890000001</c:v>
                </c:pt>
                <c:pt idx="35">
                  <c:v>147.5189383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F-4D83-A0F0-AAB37D9DB6AC}"/>
            </c:ext>
          </c:extLst>
        </c:ser>
        <c:ser>
          <c:idx val="1"/>
          <c:order val="1"/>
          <c:tx>
            <c:strRef>
              <c:f>Données!$B$397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Données!$C$395:$AL$395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Données!$C$397:$AL$397</c:f>
              <c:numCache>
                <c:formatCode>#,##0</c:formatCode>
                <c:ptCount val="36"/>
                <c:pt idx="0">
                  <c:v>68.80476281</c:v>
                </c:pt>
                <c:pt idx="1">
                  <c:v>76.548945099999997</c:v>
                </c:pt>
                <c:pt idx="2">
                  <c:v>84.201254050000003</c:v>
                </c:pt>
                <c:pt idx="3">
                  <c:v>91.342237030000007</c:v>
                </c:pt>
                <c:pt idx="4">
                  <c:v>97.994505090000004</c:v>
                </c:pt>
                <c:pt idx="5">
                  <c:v>104.15698020000001</c:v>
                </c:pt>
                <c:pt idx="6">
                  <c:v>109.2651066</c:v>
                </c:pt>
                <c:pt idx="7">
                  <c:v>114.0690692</c:v>
                </c:pt>
                <c:pt idx="8">
                  <c:v>118.4801075</c:v>
                </c:pt>
                <c:pt idx="9">
                  <c:v>122.59265120000001</c:v>
                </c:pt>
                <c:pt idx="10">
                  <c:v>127.6012298</c:v>
                </c:pt>
                <c:pt idx="11">
                  <c:v>131.5973985</c:v>
                </c:pt>
                <c:pt idx="12">
                  <c:v>135.7157843</c:v>
                </c:pt>
                <c:pt idx="13">
                  <c:v>139.99615979999999</c:v>
                </c:pt>
                <c:pt idx="14">
                  <c:v>144.42371270000001</c:v>
                </c:pt>
                <c:pt idx="15">
                  <c:v>148.95397130000001</c:v>
                </c:pt>
                <c:pt idx="16">
                  <c:v>153.53805969999999</c:v>
                </c:pt>
                <c:pt idx="17">
                  <c:v>158.13795210000001</c:v>
                </c:pt>
                <c:pt idx="18">
                  <c:v>162.7321073</c:v>
                </c:pt>
                <c:pt idx="19">
                  <c:v>167.30997859999999</c:v>
                </c:pt>
                <c:pt idx="20">
                  <c:v>171.18204420000001</c:v>
                </c:pt>
                <c:pt idx="21">
                  <c:v>175.70456949999999</c:v>
                </c:pt>
                <c:pt idx="22">
                  <c:v>180.1791053</c:v>
                </c:pt>
                <c:pt idx="23">
                  <c:v>184.5947779</c:v>
                </c:pt>
                <c:pt idx="24">
                  <c:v>188.94541129999999</c:v>
                </c:pt>
                <c:pt idx="25">
                  <c:v>191.3674087</c:v>
                </c:pt>
                <c:pt idx="26">
                  <c:v>194.72323539999999</c:v>
                </c:pt>
                <c:pt idx="27">
                  <c:v>198.0281665</c:v>
                </c:pt>
                <c:pt idx="28">
                  <c:v>201.29972649999999</c:v>
                </c:pt>
                <c:pt idx="29">
                  <c:v>204.5576226</c:v>
                </c:pt>
                <c:pt idx="30">
                  <c:v>207.8181615</c:v>
                </c:pt>
                <c:pt idx="31">
                  <c:v>211.0916244</c:v>
                </c:pt>
                <c:pt idx="32">
                  <c:v>214.3820537</c:v>
                </c:pt>
                <c:pt idx="33">
                  <c:v>217.6894394</c:v>
                </c:pt>
                <c:pt idx="34">
                  <c:v>221.01205200000001</c:v>
                </c:pt>
                <c:pt idx="35">
                  <c:v>224.34779080000001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F-4D83-A0F0-AAB37D9DB6AC}"/>
            </c:ext>
          </c:extLst>
        </c:ser>
        <c:ser>
          <c:idx val="2"/>
          <c:order val="2"/>
          <c:tx>
            <c:strRef>
              <c:f>Données!$B$398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Données!$C$395:$AL$395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Données!$C$398:$AL$398</c:f>
              <c:numCache>
                <c:formatCode>#,##0</c:formatCode>
                <c:ptCount val="36"/>
                <c:pt idx="0">
                  <c:v>408.28039699999999</c:v>
                </c:pt>
                <c:pt idx="1">
                  <c:v>425.45424279999997</c:v>
                </c:pt>
                <c:pt idx="2">
                  <c:v>444.51863500000002</c:v>
                </c:pt>
                <c:pt idx="3">
                  <c:v>463.85994299999999</c:v>
                </c:pt>
                <c:pt idx="4">
                  <c:v>482.92276079999999</c:v>
                </c:pt>
                <c:pt idx="5">
                  <c:v>501.27536880000002</c:v>
                </c:pt>
                <c:pt idx="6">
                  <c:v>517.05202940000004</c:v>
                </c:pt>
                <c:pt idx="7">
                  <c:v>532.14373599999999</c:v>
                </c:pt>
                <c:pt idx="8">
                  <c:v>546.36330450000003</c:v>
                </c:pt>
                <c:pt idx="9">
                  <c:v>559.92943030000004</c:v>
                </c:pt>
                <c:pt idx="10">
                  <c:v>576.06623969999998</c:v>
                </c:pt>
                <c:pt idx="11">
                  <c:v>589.26114640000003</c:v>
                </c:pt>
                <c:pt idx="12">
                  <c:v>602.63672499999996</c:v>
                </c:pt>
                <c:pt idx="13">
                  <c:v>616.30281179999997</c:v>
                </c:pt>
                <c:pt idx="14">
                  <c:v>630.25009490000002</c:v>
                </c:pt>
                <c:pt idx="15">
                  <c:v>644.39695010000003</c:v>
                </c:pt>
                <c:pt idx="16">
                  <c:v>658.6432499</c:v>
                </c:pt>
                <c:pt idx="17">
                  <c:v>672.90457160000005</c:v>
                </c:pt>
                <c:pt idx="18">
                  <c:v>687.12795900000003</c:v>
                </c:pt>
                <c:pt idx="19">
                  <c:v>701.28359169999999</c:v>
                </c:pt>
                <c:pt idx="20">
                  <c:v>713.43063219999999</c:v>
                </c:pt>
                <c:pt idx="21">
                  <c:v>727.3856131</c:v>
                </c:pt>
                <c:pt idx="22">
                  <c:v>741.19777239999996</c:v>
                </c:pt>
                <c:pt idx="23">
                  <c:v>754.84583769999995</c:v>
                </c:pt>
                <c:pt idx="24">
                  <c:v>768.31942270000002</c:v>
                </c:pt>
                <c:pt idx="25">
                  <c:v>776.37793009999996</c:v>
                </c:pt>
                <c:pt idx="26">
                  <c:v>787.06423380000001</c:v>
                </c:pt>
                <c:pt idx="27">
                  <c:v>797.61364639999999</c:v>
                </c:pt>
                <c:pt idx="28">
                  <c:v>808.06677509999997</c:v>
                </c:pt>
                <c:pt idx="29">
                  <c:v>818.4674076</c:v>
                </c:pt>
                <c:pt idx="30">
                  <c:v>828.85156470000004</c:v>
                </c:pt>
                <c:pt idx="31">
                  <c:v>839.24218800000006</c:v>
                </c:pt>
                <c:pt idx="32">
                  <c:v>849.64851599999997</c:v>
                </c:pt>
                <c:pt idx="33">
                  <c:v>860.07068960000004</c:v>
                </c:pt>
                <c:pt idx="34">
                  <c:v>870.50477230000001</c:v>
                </c:pt>
                <c:pt idx="35">
                  <c:v>880.94571510000003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F-4D83-A0F0-AAB37D9DB6AC}"/>
            </c:ext>
          </c:extLst>
        </c:ser>
        <c:ser>
          <c:idx val="3"/>
          <c:order val="3"/>
          <c:tx>
            <c:strRef>
              <c:f>Données!$B$399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Données!$C$395:$AL$395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Données!$C$399:$AL$399</c:f>
              <c:numCache>
                <c:formatCode>#,##0</c:formatCode>
                <c:ptCount val="36"/>
                <c:pt idx="0">
                  <c:v>954.38155940000001</c:v>
                </c:pt>
                <c:pt idx="1">
                  <c:v>948.79342759999997</c:v>
                </c:pt>
                <c:pt idx="2">
                  <c:v>944.11476779999998</c:v>
                </c:pt>
                <c:pt idx="3">
                  <c:v>939.60345819999998</c:v>
                </c:pt>
                <c:pt idx="4">
                  <c:v>935.1567483</c:v>
                </c:pt>
                <c:pt idx="5">
                  <c:v>930.72706019999998</c:v>
                </c:pt>
                <c:pt idx="6">
                  <c:v>926.30194879999999</c:v>
                </c:pt>
                <c:pt idx="7">
                  <c:v>921.88038740000002</c:v>
                </c:pt>
                <c:pt idx="8">
                  <c:v>917.46144560000005</c:v>
                </c:pt>
                <c:pt idx="9">
                  <c:v>913.05078660000004</c:v>
                </c:pt>
                <c:pt idx="10">
                  <c:v>908.65539709999996</c:v>
                </c:pt>
                <c:pt idx="11">
                  <c:v>904.28336809999996</c:v>
                </c:pt>
                <c:pt idx="12">
                  <c:v>899.94005049999998</c:v>
                </c:pt>
                <c:pt idx="13">
                  <c:v>895.62897599999997</c:v>
                </c:pt>
                <c:pt idx="14">
                  <c:v>891.35144500000001</c:v>
                </c:pt>
                <c:pt idx="15">
                  <c:v>887.1067276</c:v>
                </c:pt>
                <c:pt idx="16">
                  <c:v>882.89245389999996</c:v>
                </c:pt>
                <c:pt idx="17">
                  <c:v>878.70541679999997</c:v>
                </c:pt>
                <c:pt idx="18">
                  <c:v>874.54262329999995</c:v>
                </c:pt>
                <c:pt idx="19">
                  <c:v>870.40175920000001</c:v>
                </c:pt>
                <c:pt idx="20">
                  <c:v>866.28122829999995</c:v>
                </c:pt>
                <c:pt idx="21">
                  <c:v>862.17952049999997</c:v>
                </c:pt>
                <c:pt idx="22">
                  <c:v>858.09614620000002</c:v>
                </c:pt>
                <c:pt idx="23">
                  <c:v>854.03059380000002</c:v>
                </c:pt>
                <c:pt idx="24">
                  <c:v>849.98266360000002</c:v>
                </c:pt>
                <c:pt idx="25">
                  <c:v>845.95261359999995</c:v>
                </c:pt>
                <c:pt idx="26">
                  <c:v>841.94014849999996</c:v>
                </c:pt>
                <c:pt idx="27">
                  <c:v>837.94658660000005</c:v>
                </c:pt>
                <c:pt idx="28">
                  <c:v>833.97303050000005</c:v>
                </c:pt>
                <c:pt idx="29">
                  <c:v>830.0206081</c:v>
                </c:pt>
                <c:pt idx="30">
                  <c:v>826.09029899999996</c:v>
                </c:pt>
                <c:pt idx="31">
                  <c:v>822.18280400000003</c:v>
                </c:pt>
                <c:pt idx="32">
                  <c:v>818.29847219999999</c:v>
                </c:pt>
                <c:pt idx="33">
                  <c:v>814.43736279999996</c:v>
                </c:pt>
                <c:pt idx="34">
                  <c:v>810.59934499999997</c:v>
                </c:pt>
                <c:pt idx="35">
                  <c:v>806.78417760000002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F-4D83-A0F0-AAB37D9DB6AC}"/>
            </c:ext>
          </c:extLst>
        </c:ser>
        <c:ser>
          <c:idx val="4"/>
          <c:order val="4"/>
          <c:tx>
            <c:strRef>
              <c:f>Données!$B$400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Données!$C$395:$AL$395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Données!$C$400:$AL$400</c:f>
              <c:numCache>
                <c:formatCode>#,##0</c:formatCode>
                <c:ptCount val="36"/>
                <c:pt idx="0">
                  <c:v>878.79999729999997</c:v>
                </c:pt>
                <c:pt idx="1">
                  <c:v>867.28083979999997</c:v>
                </c:pt>
                <c:pt idx="2">
                  <c:v>854.93762000000004</c:v>
                </c:pt>
                <c:pt idx="3">
                  <c:v>842.00446169999998</c:v>
                </c:pt>
                <c:pt idx="4">
                  <c:v>829.23736169999995</c:v>
                </c:pt>
                <c:pt idx="5">
                  <c:v>817.25585360000002</c:v>
                </c:pt>
                <c:pt idx="6">
                  <c:v>806.24922100000003</c:v>
                </c:pt>
                <c:pt idx="7">
                  <c:v>796.04058650000002</c:v>
                </c:pt>
                <c:pt idx="8">
                  <c:v>786.96369779999998</c:v>
                </c:pt>
                <c:pt idx="9">
                  <c:v>778.76968509999995</c:v>
                </c:pt>
                <c:pt idx="10">
                  <c:v>771.03898089999996</c:v>
                </c:pt>
                <c:pt idx="11">
                  <c:v>763.3301262</c:v>
                </c:pt>
                <c:pt idx="12">
                  <c:v>755.34490719999997</c:v>
                </c:pt>
                <c:pt idx="13">
                  <c:v>746.94963789999997</c:v>
                </c:pt>
                <c:pt idx="14">
                  <c:v>738.17731389999994</c:v>
                </c:pt>
                <c:pt idx="15">
                  <c:v>729.15425040000002</c:v>
                </c:pt>
                <c:pt idx="16">
                  <c:v>720.02321740000002</c:v>
                </c:pt>
                <c:pt idx="17">
                  <c:v>710.89793710000004</c:v>
                </c:pt>
                <c:pt idx="18">
                  <c:v>701.84546260000002</c:v>
                </c:pt>
                <c:pt idx="19">
                  <c:v>692.90083949999996</c:v>
                </c:pt>
                <c:pt idx="20">
                  <c:v>684.0751262</c:v>
                </c:pt>
                <c:pt idx="21">
                  <c:v>675.41474229999994</c:v>
                </c:pt>
                <c:pt idx="22">
                  <c:v>666.95823849999999</c:v>
                </c:pt>
                <c:pt idx="23">
                  <c:v>658.73571130000005</c:v>
                </c:pt>
                <c:pt idx="24">
                  <c:v>650.76318189999995</c:v>
                </c:pt>
                <c:pt idx="25">
                  <c:v>643.00609459999998</c:v>
                </c:pt>
                <c:pt idx="26">
                  <c:v>635.46586630000002</c:v>
                </c:pt>
                <c:pt idx="27">
                  <c:v>628.11291849999998</c:v>
                </c:pt>
                <c:pt idx="28">
                  <c:v>620.89334329999997</c:v>
                </c:pt>
                <c:pt idx="29">
                  <c:v>613.74805249999997</c:v>
                </c:pt>
                <c:pt idx="30">
                  <c:v>606.6286053</c:v>
                </c:pt>
                <c:pt idx="31">
                  <c:v>599.50472209999998</c:v>
                </c:pt>
                <c:pt idx="32">
                  <c:v>592.36490100000003</c:v>
                </c:pt>
                <c:pt idx="33">
                  <c:v>585.20985340000004</c:v>
                </c:pt>
                <c:pt idx="34">
                  <c:v>578.04551300000003</c:v>
                </c:pt>
                <c:pt idx="35">
                  <c:v>570.87898719999998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F-4D83-A0F0-AAB37D9DB6AC}"/>
            </c:ext>
          </c:extLst>
        </c:ser>
        <c:ser>
          <c:idx val="5"/>
          <c:order val="5"/>
          <c:tx>
            <c:strRef>
              <c:f>Données!$B$401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Données!$C$395:$AL$395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Données!$C$401:$AL$401</c:f>
              <c:numCache>
                <c:formatCode>#,##0</c:formatCode>
                <c:ptCount val="36"/>
                <c:pt idx="0">
                  <c:v>139.85209269999999</c:v>
                </c:pt>
                <c:pt idx="1">
                  <c:v>137.9738577</c:v>
                </c:pt>
                <c:pt idx="2">
                  <c:v>136.18879580000001</c:v>
                </c:pt>
                <c:pt idx="3">
                  <c:v>134.53879280000001</c:v>
                </c:pt>
                <c:pt idx="4">
                  <c:v>133.05573200000001</c:v>
                </c:pt>
                <c:pt idx="5">
                  <c:v>131.746453</c:v>
                </c:pt>
                <c:pt idx="6">
                  <c:v>130.5904907</c:v>
                </c:pt>
                <c:pt idx="7">
                  <c:v>129.55360150000001</c:v>
                </c:pt>
                <c:pt idx="8">
                  <c:v>128.6042157</c:v>
                </c:pt>
                <c:pt idx="9">
                  <c:v>127.7093071</c:v>
                </c:pt>
                <c:pt idx="10">
                  <c:v>126.84509130000001</c:v>
                </c:pt>
                <c:pt idx="11">
                  <c:v>125.9953053</c:v>
                </c:pt>
                <c:pt idx="12">
                  <c:v>125.1478783</c:v>
                </c:pt>
                <c:pt idx="13">
                  <c:v>124.2928885</c:v>
                </c:pt>
                <c:pt idx="14">
                  <c:v>123.4240573</c:v>
                </c:pt>
                <c:pt idx="15">
                  <c:v>122.5401734</c:v>
                </c:pt>
                <c:pt idx="16">
                  <c:v>121.6448219</c:v>
                </c:pt>
                <c:pt idx="17">
                  <c:v>120.7443811</c:v>
                </c:pt>
                <c:pt idx="18">
                  <c:v>119.8451802</c:v>
                </c:pt>
                <c:pt idx="19">
                  <c:v>118.9521864</c:v>
                </c:pt>
                <c:pt idx="20">
                  <c:v>118.0687575</c:v>
                </c:pt>
                <c:pt idx="21">
                  <c:v>117.1976682</c:v>
                </c:pt>
                <c:pt idx="22">
                  <c:v>116.34048629999999</c:v>
                </c:pt>
                <c:pt idx="23">
                  <c:v>115.4981021</c:v>
                </c:pt>
                <c:pt idx="24">
                  <c:v>114.67054589999999</c:v>
                </c:pt>
                <c:pt idx="25">
                  <c:v>113.8565978</c:v>
                </c:pt>
                <c:pt idx="26">
                  <c:v>113.05484319999999</c:v>
                </c:pt>
                <c:pt idx="27">
                  <c:v>112.26282639999999</c:v>
                </c:pt>
                <c:pt idx="28">
                  <c:v>111.4778081</c:v>
                </c:pt>
                <c:pt idx="29">
                  <c:v>110.6970393</c:v>
                </c:pt>
                <c:pt idx="30">
                  <c:v>109.91806</c:v>
                </c:pt>
                <c:pt idx="31">
                  <c:v>109.1389413</c:v>
                </c:pt>
                <c:pt idx="32">
                  <c:v>108.35846909999999</c:v>
                </c:pt>
                <c:pt idx="33">
                  <c:v>107.57605460000001</c:v>
                </c:pt>
                <c:pt idx="34">
                  <c:v>106.7915417</c:v>
                </c:pt>
                <c:pt idx="35">
                  <c:v>106.0050469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F-4D83-A0F0-AAB37D9DB6AC}"/>
            </c:ext>
          </c:extLst>
        </c:ser>
        <c:ser>
          <c:idx val="6"/>
          <c:order val="6"/>
          <c:tx>
            <c:strRef>
              <c:f>Données!$B$402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Données!$C$395:$AL$395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Données!$C$402:$AL$402</c:f>
              <c:numCache>
                <c:formatCode>#,##0</c:formatCode>
                <c:ptCount val="36"/>
                <c:pt idx="0">
                  <c:v>3.874567114</c:v>
                </c:pt>
                <c:pt idx="1">
                  <c:v>3.7257333199999998</c:v>
                </c:pt>
                <c:pt idx="2">
                  <c:v>3.5884012969999999</c:v>
                </c:pt>
                <c:pt idx="3">
                  <c:v>3.465730529</c:v>
                </c:pt>
                <c:pt idx="4">
                  <c:v>3.360677511</c:v>
                </c:pt>
                <c:pt idx="5">
                  <c:v>3.2746864850000001</c:v>
                </c:pt>
                <c:pt idx="6">
                  <c:v>3.2069173649999998</c:v>
                </c:pt>
                <c:pt idx="7">
                  <c:v>3.1548149859999999</c:v>
                </c:pt>
                <c:pt idx="8">
                  <c:v>3.1157856829999999</c:v>
                </c:pt>
                <c:pt idx="9">
                  <c:v>3.085417112</c:v>
                </c:pt>
                <c:pt idx="10">
                  <c:v>3.059686036</c:v>
                </c:pt>
                <c:pt idx="11">
                  <c:v>3.0352868900000001</c:v>
                </c:pt>
                <c:pt idx="12">
                  <c:v>3.0096059230000001</c:v>
                </c:pt>
                <c:pt idx="13">
                  <c:v>2.980700476</c:v>
                </c:pt>
                <c:pt idx="14">
                  <c:v>2.947697324</c:v>
                </c:pt>
                <c:pt idx="15">
                  <c:v>2.9108348020000001</c:v>
                </c:pt>
                <c:pt idx="16">
                  <c:v>2.8711490799999999</c:v>
                </c:pt>
                <c:pt idx="17">
                  <c:v>2.8299975970000002</c:v>
                </c:pt>
                <c:pt idx="18">
                  <c:v>2.7885875580000001</c:v>
                </c:pt>
                <c:pt idx="19">
                  <c:v>2.747810496</c:v>
                </c:pt>
                <c:pt idx="20">
                  <c:v>2.7082438259999999</c:v>
                </c:pt>
                <c:pt idx="21">
                  <c:v>2.670362586</c:v>
                </c:pt>
                <c:pt idx="22">
                  <c:v>2.634440391</c:v>
                </c:pt>
                <c:pt idx="23">
                  <c:v>2.6006437999999998</c:v>
                </c:pt>
                <c:pt idx="24">
                  <c:v>2.5689971620000001</c:v>
                </c:pt>
                <c:pt idx="25">
                  <c:v>2.5392869500000002</c:v>
                </c:pt>
                <c:pt idx="26">
                  <c:v>2.5112692710000002</c:v>
                </c:pt>
                <c:pt idx="27">
                  <c:v>2.4844795240000002</c:v>
                </c:pt>
                <c:pt idx="28">
                  <c:v>2.4583794440000002</c:v>
                </c:pt>
                <c:pt idx="29">
                  <c:v>2.4324286979999998</c:v>
                </c:pt>
                <c:pt idx="30">
                  <c:v>2.4061623989999998</c:v>
                </c:pt>
                <c:pt idx="31">
                  <c:v>2.3792452590000002</c:v>
                </c:pt>
                <c:pt idx="32">
                  <c:v>2.3514990629999999</c:v>
                </c:pt>
                <c:pt idx="33">
                  <c:v>2.322873199</c:v>
                </c:pt>
                <c:pt idx="34">
                  <c:v>2.293398882</c:v>
                </c:pt>
                <c:pt idx="35">
                  <c:v>2.2631533020000001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F-4D83-A0F0-AAB37D9DB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 (milliers)</a:t>
            </a:r>
          </a:p>
          <a:p>
            <a:pPr>
              <a:defRPr/>
            </a:pPr>
            <a:r>
              <a:rPr lang="fr-FR" sz="1800" i="1"/>
              <a:t>Scénario tendanciel</a:t>
            </a:r>
          </a:p>
        </c:rich>
      </c:tx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Données!$B$387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Données!$C$386:$AL$386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Données!$C$387:$AL$387</c:f>
              <c:numCache>
                <c:formatCode>#,##0</c:formatCode>
                <c:ptCount val="36"/>
                <c:pt idx="0">
                  <c:v>7105.9689965623002</c:v>
                </c:pt>
                <c:pt idx="1">
                  <c:v>7168.5912140135997</c:v>
                </c:pt>
                <c:pt idx="2">
                  <c:v>7282.1558316032997</c:v>
                </c:pt>
                <c:pt idx="3">
                  <c:v>7424.7126879461002</c:v>
                </c:pt>
                <c:pt idx="4">
                  <c:v>7583.0772665885997</c:v>
                </c:pt>
                <c:pt idx="5">
                  <c:v>7750.3095286591006</c:v>
                </c:pt>
                <c:pt idx="6">
                  <c:v>7922.2890083161992</c:v>
                </c:pt>
                <c:pt idx="7">
                  <c:v>8098.745520981699</c:v>
                </c:pt>
                <c:pt idx="8">
                  <c:v>8280.2964285159997</c:v>
                </c:pt>
                <c:pt idx="9">
                  <c:v>8467.6206837934988</c:v>
                </c:pt>
                <c:pt idx="10">
                  <c:v>8662.7815118198978</c:v>
                </c:pt>
                <c:pt idx="11">
                  <c:v>8863.0452837224984</c:v>
                </c:pt>
                <c:pt idx="12">
                  <c:v>9067.6768738071005</c:v>
                </c:pt>
                <c:pt idx="13">
                  <c:v>9275.9829595255997</c:v>
                </c:pt>
                <c:pt idx="14">
                  <c:v>9487.5436640262014</c:v>
                </c:pt>
                <c:pt idx="15">
                  <c:v>9702.1146268769007</c:v>
                </c:pt>
                <c:pt idx="16">
                  <c:v>9919.4482383827999</c:v>
                </c:pt>
                <c:pt idx="17">
                  <c:v>10139.163308038298</c:v>
                </c:pt>
                <c:pt idx="18">
                  <c:v>10360.7152955653</c:v>
                </c:pt>
                <c:pt idx="19">
                  <c:v>10583.459293998199</c:v>
                </c:pt>
                <c:pt idx="20">
                  <c:v>10805.111664939301</c:v>
                </c:pt>
                <c:pt idx="21">
                  <c:v>11027.064051667699</c:v>
                </c:pt>
                <c:pt idx="22">
                  <c:v>11249.066223845501</c:v>
                </c:pt>
                <c:pt idx="23">
                  <c:v>11470.8755316845</c:v>
                </c:pt>
                <c:pt idx="24">
                  <c:v>11692.335132996999</c:v>
                </c:pt>
                <c:pt idx="25">
                  <c:v>11908.288247218001</c:v>
                </c:pt>
                <c:pt idx="26">
                  <c:v>12122.838489248998</c:v>
                </c:pt>
                <c:pt idx="27">
                  <c:v>12336.828290215</c:v>
                </c:pt>
                <c:pt idx="28">
                  <c:v>12550.704813357001</c:v>
                </c:pt>
                <c:pt idx="29">
                  <c:v>12764.603969099</c:v>
                </c:pt>
                <c:pt idx="30">
                  <c:v>12978.571583494</c:v>
                </c:pt>
                <c:pt idx="31">
                  <c:v>13192.741894576</c:v>
                </c:pt>
                <c:pt idx="32">
                  <c:v>13407.419800466001</c:v>
                </c:pt>
                <c:pt idx="33">
                  <c:v>13623.064468742001</c:v>
                </c:pt>
                <c:pt idx="34">
                  <c:v>13840.207928854999</c:v>
                </c:pt>
                <c:pt idx="35">
                  <c:v>14059.357202981002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B-46A1-8D5E-7BC161373771}"/>
            </c:ext>
          </c:extLst>
        </c:ser>
        <c:ser>
          <c:idx val="1"/>
          <c:order val="1"/>
          <c:tx>
            <c:strRef>
              <c:f>Données!$B$388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Données!$C$386:$AL$386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Données!$C$388:$AL$388</c:f>
              <c:numCache>
                <c:formatCode>#,##0</c:formatCode>
                <c:ptCount val="36"/>
                <c:pt idx="0">
                  <c:v>8263.1971436354015</c:v>
                </c:pt>
                <c:pt idx="1">
                  <c:v>8210.6212938895005</c:v>
                </c:pt>
                <c:pt idx="2">
                  <c:v>8214.744057178199</c:v>
                </c:pt>
                <c:pt idx="3">
                  <c:v>8253.660487163701</c:v>
                </c:pt>
                <c:pt idx="4">
                  <c:v>8313.9762547449991</c:v>
                </c:pt>
                <c:pt idx="5">
                  <c:v>8388.3347388315997</c:v>
                </c:pt>
                <c:pt idx="6">
                  <c:v>8472.1299130122006</c:v>
                </c:pt>
                <c:pt idx="7">
                  <c:v>8564.4829391973999</c:v>
                </c:pt>
                <c:pt idx="8">
                  <c:v>8665.4193064618994</c:v>
                </c:pt>
                <c:pt idx="9">
                  <c:v>8775.0945835602997</c:v>
                </c:pt>
                <c:pt idx="10">
                  <c:v>8895.0319556285012</c:v>
                </c:pt>
                <c:pt idx="11">
                  <c:v>9022.2883330174991</c:v>
                </c:pt>
                <c:pt idx="12">
                  <c:v>9155.8180687180993</c:v>
                </c:pt>
                <c:pt idx="13">
                  <c:v>9294.622732243799</c:v>
                </c:pt>
                <c:pt idx="14">
                  <c:v>9437.9766783421001</c:v>
                </c:pt>
                <c:pt idx="15">
                  <c:v>9585.3463625941004</c:v>
                </c:pt>
                <c:pt idx="16">
                  <c:v>9736.2316395646994</c:v>
                </c:pt>
                <c:pt idx="17">
                  <c:v>9890.0469369313014</c:v>
                </c:pt>
                <c:pt idx="18">
                  <c:v>10046.090147800602</c:v>
                </c:pt>
                <c:pt idx="19">
                  <c:v>10203.593517331701</c:v>
                </c:pt>
                <c:pt idx="20">
                  <c:v>10360.3156481242</c:v>
                </c:pt>
                <c:pt idx="21">
                  <c:v>10517.371216477699</c:v>
                </c:pt>
                <c:pt idx="22">
                  <c:v>10674.398212035401</c:v>
                </c:pt>
                <c:pt idx="23">
                  <c:v>10831.050235628602</c:v>
                </c:pt>
                <c:pt idx="24">
                  <c:v>10987.0601437114</c:v>
                </c:pt>
                <c:pt idx="25">
                  <c:v>11137.698850437901</c:v>
                </c:pt>
                <c:pt idx="26">
                  <c:v>11286.508355014099</c:v>
                </c:pt>
                <c:pt idx="27">
                  <c:v>11434.137649097</c:v>
                </c:pt>
                <c:pt idx="28">
                  <c:v>11580.904789017199</c:v>
                </c:pt>
                <c:pt idx="29">
                  <c:v>11726.856976969098</c:v>
                </c:pt>
                <c:pt idx="30">
                  <c:v>11871.953402622001</c:v>
                </c:pt>
                <c:pt idx="31">
                  <c:v>12016.2162525162</c:v>
                </c:pt>
                <c:pt idx="32">
                  <c:v>12159.803855579799</c:v>
                </c:pt>
                <c:pt idx="33">
                  <c:v>12303.0023190913</c:v>
                </c:pt>
                <c:pt idx="34">
                  <c:v>12446.162027297902</c:v>
                </c:pt>
                <c:pt idx="35">
                  <c:v>12589.618331428099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3B-46A1-8D5E-7BC161373771}"/>
            </c:ext>
          </c:extLst>
        </c:ser>
        <c:ser>
          <c:idx val="2"/>
          <c:order val="2"/>
          <c:tx>
            <c:strRef>
              <c:f>Données!$B$389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Données!$C$386:$AL$386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Données!$C$389:$AL$389</c:f>
              <c:numCache>
                <c:formatCode>#,##0</c:formatCode>
                <c:ptCount val="36"/>
                <c:pt idx="0">
                  <c:v>6787.4105911386005</c:v>
                </c:pt>
                <c:pt idx="1">
                  <c:v>6667.5555073370997</c:v>
                </c:pt>
                <c:pt idx="2">
                  <c:v>6592.7706217423001</c:v>
                </c:pt>
                <c:pt idx="3">
                  <c:v>6547.2890125084004</c:v>
                </c:pt>
                <c:pt idx="4">
                  <c:v>6521.3042762792002</c:v>
                </c:pt>
                <c:pt idx="5">
                  <c:v>6509.2225450329997</c:v>
                </c:pt>
                <c:pt idx="6">
                  <c:v>6507.3876021985006</c:v>
                </c:pt>
                <c:pt idx="7">
                  <c:v>6514.7478341783999</c:v>
                </c:pt>
                <c:pt idx="8">
                  <c:v>6530.9166220476991</c:v>
                </c:pt>
                <c:pt idx="9">
                  <c:v>6555.6484666093002</c:v>
                </c:pt>
                <c:pt idx="10">
                  <c:v>6589.6733261569998</c:v>
                </c:pt>
                <c:pt idx="11">
                  <c:v>6630.7254718766999</c:v>
                </c:pt>
                <c:pt idx="12">
                  <c:v>6677.8411494559004</c:v>
                </c:pt>
                <c:pt idx="13">
                  <c:v>6730.0970154641</c:v>
                </c:pt>
                <c:pt idx="14">
                  <c:v>6786.7681501378001</c:v>
                </c:pt>
                <c:pt idx="15">
                  <c:v>6847.2805868618998</c:v>
                </c:pt>
                <c:pt idx="16">
                  <c:v>6911.1094487721002</c:v>
                </c:pt>
                <c:pt idx="17">
                  <c:v>6977.7002982980002</c:v>
                </c:pt>
                <c:pt idx="18">
                  <c:v>7046.4455780545995</c:v>
                </c:pt>
                <c:pt idx="19">
                  <c:v>7116.7133689135007</c:v>
                </c:pt>
                <c:pt idx="20">
                  <c:v>7186.9173429285001</c:v>
                </c:pt>
                <c:pt idx="21">
                  <c:v>7257.6840798955991</c:v>
                </c:pt>
                <c:pt idx="22">
                  <c:v>7328.6833564391009</c:v>
                </c:pt>
                <c:pt idx="23">
                  <c:v>7399.6024098894004</c:v>
                </c:pt>
                <c:pt idx="24">
                  <c:v>7470.18294195</c:v>
                </c:pt>
                <c:pt idx="25">
                  <c:v>7537.2940662613</c:v>
                </c:pt>
                <c:pt idx="26">
                  <c:v>7603.1395939106987</c:v>
                </c:pt>
                <c:pt idx="27">
                  <c:v>7668.0722806371004</c:v>
                </c:pt>
                <c:pt idx="28">
                  <c:v>7732.2468130795005</c:v>
                </c:pt>
                <c:pt idx="29">
                  <c:v>7795.6490056120992</c:v>
                </c:pt>
                <c:pt idx="30">
                  <c:v>7858.2046624493996</c:v>
                </c:pt>
                <c:pt idx="31">
                  <c:v>7919.8719490650001</c:v>
                </c:pt>
                <c:pt idx="32">
                  <c:v>7980.6886144740001</c:v>
                </c:pt>
                <c:pt idx="33">
                  <c:v>8040.7705007998002</c:v>
                </c:pt>
                <c:pt idx="34">
                  <c:v>8100.2761377794995</c:v>
                </c:pt>
                <c:pt idx="35">
                  <c:v>8159.3603528065996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3B-46A1-8D5E-7BC161373771}"/>
            </c:ext>
          </c:extLst>
        </c:ser>
        <c:ser>
          <c:idx val="3"/>
          <c:order val="3"/>
          <c:tx>
            <c:strRef>
              <c:f>Données!$B$390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Données!$C$386:$AL$386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Données!$C$390:$AL$390</c:f>
              <c:numCache>
                <c:formatCode>#,##0</c:formatCode>
                <c:ptCount val="36"/>
                <c:pt idx="0">
                  <c:v>4165.6835237371006</c:v>
                </c:pt>
                <c:pt idx="1">
                  <c:v>4066.7820749527</c:v>
                </c:pt>
                <c:pt idx="2">
                  <c:v>3993.7274703540998</c:v>
                </c:pt>
                <c:pt idx="3">
                  <c:v>3937.3413933291004</c:v>
                </c:pt>
                <c:pt idx="4">
                  <c:v>3891.8476005685998</c:v>
                </c:pt>
                <c:pt idx="5">
                  <c:v>3853.8238038954996</c:v>
                </c:pt>
                <c:pt idx="6">
                  <c:v>3820.9472827027998</c:v>
                </c:pt>
                <c:pt idx="7">
                  <c:v>3792.3449789064002</c:v>
                </c:pt>
                <c:pt idx="8">
                  <c:v>3767.5548379433999</c:v>
                </c:pt>
                <c:pt idx="9">
                  <c:v>3746.2650125683999</c:v>
                </c:pt>
                <c:pt idx="10">
                  <c:v>3728.7251771943002</c:v>
                </c:pt>
                <c:pt idx="11">
                  <c:v>3713.7063869006001</c:v>
                </c:pt>
                <c:pt idx="12">
                  <c:v>3700.6396470394002</c:v>
                </c:pt>
                <c:pt idx="13">
                  <c:v>3688.9687733548003</c:v>
                </c:pt>
                <c:pt idx="14">
                  <c:v>3678.2457919625999</c:v>
                </c:pt>
                <c:pt idx="15">
                  <c:v>3668.1241792454998</c:v>
                </c:pt>
                <c:pt idx="16">
                  <c:v>3658.3187245342001</c:v>
                </c:pt>
                <c:pt idx="17">
                  <c:v>3648.5674972673</c:v>
                </c:pt>
                <c:pt idx="18">
                  <c:v>3638.6121793359998</c:v>
                </c:pt>
                <c:pt idx="19">
                  <c:v>3628.1990070324</c:v>
                </c:pt>
                <c:pt idx="20">
                  <c:v>3616.6544116315004</c:v>
                </c:pt>
                <c:pt idx="21">
                  <c:v>3604.2824601006</c:v>
                </c:pt>
                <c:pt idx="22">
                  <c:v>3590.9680147570998</c:v>
                </c:pt>
                <c:pt idx="23">
                  <c:v>3576.5992564393</c:v>
                </c:pt>
                <c:pt idx="24">
                  <c:v>3561.0787877196999</c:v>
                </c:pt>
                <c:pt idx="25">
                  <c:v>3543.1177054828004</c:v>
                </c:pt>
                <c:pt idx="26">
                  <c:v>3523.6334577411003</c:v>
                </c:pt>
                <c:pt idx="27">
                  <c:v>3502.7996743426002</c:v>
                </c:pt>
                <c:pt idx="28">
                  <c:v>3480.7293877091997</c:v>
                </c:pt>
                <c:pt idx="29">
                  <c:v>3457.4700521549003</c:v>
                </c:pt>
                <c:pt idx="30">
                  <c:v>3433.0336178877997</c:v>
                </c:pt>
                <c:pt idx="31">
                  <c:v>3407.4276595522001</c:v>
                </c:pt>
                <c:pt idx="32">
                  <c:v>3380.6763369519999</c:v>
                </c:pt>
                <c:pt idx="33">
                  <c:v>3352.8268415409002</c:v>
                </c:pt>
                <c:pt idx="34">
                  <c:v>3323.9431353463997</c:v>
                </c:pt>
                <c:pt idx="35">
                  <c:v>3294.0927517834998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3B-46A1-8D5E-7BC161373771}"/>
            </c:ext>
          </c:extLst>
        </c:ser>
        <c:ser>
          <c:idx val="4"/>
          <c:order val="4"/>
          <c:tx>
            <c:strRef>
              <c:f>Données!$B$391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Données!$C$386:$AL$386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Données!$C$391:$AL$391</c:f>
              <c:numCache>
                <c:formatCode>#,##0</c:formatCode>
                <c:ptCount val="36"/>
                <c:pt idx="0">
                  <c:v>2507.3524895615005</c:v>
                </c:pt>
                <c:pt idx="1">
                  <c:v>2450.2141596126003</c:v>
                </c:pt>
                <c:pt idx="2">
                  <c:v>2407.7845129044999</c:v>
                </c:pt>
                <c:pt idx="3">
                  <c:v>2374.3227658596002</c:v>
                </c:pt>
                <c:pt idx="4">
                  <c:v>2346.2294434962</c:v>
                </c:pt>
                <c:pt idx="5">
                  <c:v>2321.3600879456994</c:v>
                </c:pt>
                <c:pt idx="6">
                  <c:v>2298.2586579951999</c:v>
                </c:pt>
                <c:pt idx="7">
                  <c:v>2276.3629158295998</c:v>
                </c:pt>
                <c:pt idx="8">
                  <c:v>2255.3842430534</c:v>
                </c:pt>
                <c:pt idx="9">
                  <c:v>2235.1601302004001</c:v>
                </c:pt>
                <c:pt idx="10">
                  <c:v>2215.8784287250996</c:v>
                </c:pt>
                <c:pt idx="11">
                  <c:v>2196.9042529798003</c:v>
                </c:pt>
                <c:pt idx="12">
                  <c:v>2177.9722842009</c:v>
                </c:pt>
                <c:pt idx="13">
                  <c:v>2158.8165720109</c:v>
                </c:pt>
                <c:pt idx="14">
                  <c:v>2139.2323733490002</c:v>
                </c:pt>
                <c:pt idx="15">
                  <c:v>2119.0802621410003</c:v>
                </c:pt>
                <c:pt idx="16">
                  <c:v>2098.2681147490002</c:v>
                </c:pt>
                <c:pt idx="17">
                  <c:v>2076.7298634365998</c:v>
                </c:pt>
                <c:pt idx="18">
                  <c:v>2054.4108011603998</c:v>
                </c:pt>
                <c:pt idx="19">
                  <c:v>2031.2624850504999</c:v>
                </c:pt>
                <c:pt idx="20">
                  <c:v>2007.0265613837998</c:v>
                </c:pt>
                <c:pt idx="21">
                  <c:v>1981.9270850927999</c:v>
                </c:pt>
                <c:pt idx="22">
                  <c:v>1955.9793169354</c:v>
                </c:pt>
                <c:pt idx="23">
                  <c:v>1929.1960550028</c:v>
                </c:pt>
                <c:pt idx="24">
                  <c:v>1901.5908734775999</c:v>
                </c:pt>
                <c:pt idx="25">
                  <c:v>1872.6223675784997</c:v>
                </c:pt>
                <c:pt idx="26">
                  <c:v>1842.7669711956999</c:v>
                </c:pt>
                <c:pt idx="27">
                  <c:v>1812.1618277223001</c:v>
                </c:pt>
                <c:pt idx="28">
                  <c:v>1780.9205298197001</c:v>
                </c:pt>
                <c:pt idx="29">
                  <c:v>1749.1242051289003</c:v>
                </c:pt>
                <c:pt idx="30">
                  <c:v>1716.8305512540001</c:v>
                </c:pt>
                <c:pt idx="31">
                  <c:v>1684.086650044</c:v>
                </c:pt>
                <c:pt idx="32">
                  <c:v>1650.9400337461</c:v>
                </c:pt>
                <c:pt idx="33">
                  <c:v>1617.4446712875001</c:v>
                </c:pt>
                <c:pt idx="34">
                  <c:v>1583.6612156266001</c:v>
                </c:pt>
                <c:pt idx="35">
                  <c:v>1549.6531064211001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3B-46A1-8D5E-7BC161373771}"/>
            </c:ext>
          </c:extLst>
        </c:ser>
        <c:ser>
          <c:idx val="5"/>
          <c:order val="5"/>
          <c:tx>
            <c:strRef>
              <c:f>Données!$B$392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Données!$C$386:$AL$386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Données!$C$392:$AL$392</c:f>
              <c:numCache>
                <c:formatCode>#,##0</c:formatCode>
                <c:ptCount val="36"/>
                <c:pt idx="0">
                  <c:v>1245.466605953</c:v>
                </c:pt>
                <c:pt idx="1">
                  <c:v>1214.2756806991999</c:v>
                </c:pt>
                <c:pt idx="2">
                  <c:v>1188.9780294814998</c:v>
                </c:pt>
                <c:pt idx="3">
                  <c:v>1166.6252698979999</c:v>
                </c:pt>
                <c:pt idx="4">
                  <c:v>1145.4079078553998</c:v>
                </c:pt>
                <c:pt idx="5">
                  <c:v>1124.2557827682001</c:v>
                </c:pt>
                <c:pt idx="6">
                  <c:v>1102.4735992906999</c:v>
                </c:pt>
                <c:pt idx="7">
                  <c:v>1079.8190137711999</c:v>
                </c:pt>
                <c:pt idx="8">
                  <c:v>1056.2248212452</c:v>
                </c:pt>
                <c:pt idx="9">
                  <c:v>1031.7360139530001</c:v>
                </c:pt>
                <c:pt idx="10">
                  <c:v>1006.5685122627</c:v>
                </c:pt>
                <c:pt idx="11">
                  <c:v>980.65646161940003</c:v>
                </c:pt>
                <c:pt idx="12">
                  <c:v>954.05840523869995</c:v>
                </c:pt>
                <c:pt idx="13">
                  <c:v>926.82015071089995</c:v>
                </c:pt>
                <c:pt idx="14">
                  <c:v>899.00561775210008</c:v>
                </c:pt>
                <c:pt idx="15">
                  <c:v>870.70475327899999</c:v>
                </c:pt>
                <c:pt idx="16">
                  <c:v>842.02878031499995</c:v>
                </c:pt>
                <c:pt idx="17">
                  <c:v>813.09994112410004</c:v>
                </c:pt>
                <c:pt idx="18">
                  <c:v>784.04107246719991</c:v>
                </c:pt>
                <c:pt idx="19">
                  <c:v>754.96827075060003</c:v>
                </c:pt>
                <c:pt idx="20">
                  <c:v>725.93742885439997</c:v>
                </c:pt>
                <c:pt idx="21">
                  <c:v>697.10071377870008</c:v>
                </c:pt>
                <c:pt idx="22">
                  <c:v>668.55201015700004</c:v>
                </c:pt>
                <c:pt idx="23">
                  <c:v>640.3722903132001</c:v>
                </c:pt>
                <c:pt idx="24">
                  <c:v>612.63014165849995</c:v>
                </c:pt>
                <c:pt idx="25">
                  <c:v>585.2863851236001</c:v>
                </c:pt>
                <c:pt idx="26">
                  <c:v>558.47352223960002</c:v>
                </c:pt>
                <c:pt idx="27">
                  <c:v>532.25969506339993</c:v>
                </c:pt>
                <c:pt idx="28">
                  <c:v>506.70405275709999</c:v>
                </c:pt>
                <c:pt idx="29">
                  <c:v>481.85223215169998</c:v>
                </c:pt>
                <c:pt idx="30">
                  <c:v>457.73666918919997</c:v>
                </c:pt>
                <c:pt idx="31">
                  <c:v>434.37934996280001</c:v>
                </c:pt>
                <c:pt idx="32">
                  <c:v>411.79530099919998</c:v>
                </c:pt>
                <c:pt idx="33">
                  <c:v>389.99539674670001</c:v>
                </c:pt>
                <c:pt idx="34">
                  <c:v>368.98781207639996</c:v>
                </c:pt>
                <c:pt idx="35">
                  <c:v>348.77821058219996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13B-46A1-8D5E-7BC161373771}"/>
            </c:ext>
          </c:extLst>
        </c:ser>
        <c:ser>
          <c:idx val="6"/>
          <c:order val="6"/>
          <c:tx>
            <c:strRef>
              <c:f>Données!$B$393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Données!$C$386:$AL$386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Données!$C$393:$AL$393</c:f>
              <c:numCache>
                <c:formatCode>#,##0</c:formatCode>
                <c:ptCount val="36"/>
                <c:pt idx="0">
                  <c:v>2242.8616504070001</c:v>
                </c:pt>
                <c:pt idx="1">
                  <c:v>2190.0971107826999</c:v>
                </c:pt>
                <c:pt idx="2">
                  <c:v>2145.5975266171995</c:v>
                </c:pt>
                <c:pt idx="3">
                  <c:v>2103.7343610910998</c:v>
                </c:pt>
                <c:pt idx="4">
                  <c:v>2061.2076408325997</c:v>
                </c:pt>
                <c:pt idx="5">
                  <c:v>2016.1864237057</c:v>
                </c:pt>
                <c:pt idx="6">
                  <c:v>1967.6257077749001</c:v>
                </c:pt>
                <c:pt idx="7">
                  <c:v>1915.3671412025001</c:v>
                </c:pt>
                <c:pt idx="8">
                  <c:v>1859.6327339512</c:v>
                </c:pt>
                <c:pt idx="9">
                  <c:v>1800.8958830102001</c:v>
                </c:pt>
                <c:pt idx="10">
                  <c:v>1739.9144570464</c:v>
                </c:pt>
                <c:pt idx="11">
                  <c:v>1677.0237765400998</c:v>
                </c:pt>
                <c:pt idx="12">
                  <c:v>1612.6966820096</c:v>
                </c:pt>
                <c:pt idx="13">
                  <c:v>1547.3427140898998</c:v>
                </c:pt>
                <c:pt idx="14">
                  <c:v>1481.3624893705999</c:v>
                </c:pt>
                <c:pt idx="15">
                  <c:v>1415.1637702195001</c:v>
                </c:pt>
                <c:pt idx="16">
                  <c:v>1349.1539419667999</c:v>
                </c:pt>
                <c:pt idx="17">
                  <c:v>1283.7220733889001</c:v>
                </c:pt>
                <c:pt idx="18">
                  <c:v>1219.2211602683999</c:v>
                </c:pt>
                <c:pt idx="19">
                  <c:v>1155.9568378290001</c:v>
                </c:pt>
                <c:pt idx="20">
                  <c:v>1094.1357415745999</c:v>
                </c:pt>
                <c:pt idx="21">
                  <c:v>1034.0192172459001</c:v>
                </c:pt>
                <c:pt idx="22">
                  <c:v>975.78018756569998</c:v>
                </c:pt>
                <c:pt idx="23">
                  <c:v>919.54982128979998</c:v>
                </c:pt>
                <c:pt idx="24">
                  <c:v>865.42184259290002</c:v>
                </c:pt>
                <c:pt idx="25">
                  <c:v>813.38532325829999</c:v>
                </c:pt>
                <c:pt idx="26">
                  <c:v>763.54234080849994</c:v>
                </c:pt>
                <c:pt idx="27">
                  <c:v>715.93075628940005</c:v>
                </c:pt>
                <c:pt idx="28">
                  <c:v>670.56821961690002</c:v>
                </c:pt>
                <c:pt idx="29">
                  <c:v>627.44952339219992</c:v>
                </c:pt>
                <c:pt idx="30">
                  <c:v>586.54874013509993</c:v>
                </c:pt>
                <c:pt idx="31">
                  <c:v>547.82374125199999</c:v>
                </c:pt>
                <c:pt idx="32">
                  <c:v>511.22113633189997</c:v>
                </c:pt>
                <c:pt idx="33">
                  <c:v>476.68021438329998</c:v>
                </c:pt>
                <c:pt idx="34">
                  <c:v>444.13538397309998</c:v>
                </c:pt>
                <c:pt idx="35">
                  <c:v>413.51735471539996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13B-46A1-8D5E-7BC161373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Stock de véhicules</a:t>
            </a:r>
            <a:r>
              <a:rPr lang="fr-FR" sz="2800" baseline="0"/>
              <a:t> (milliers)</a:t>
            </a:r>
            <a:endParaRPr lang="fr-FR" sz="2800"/>
          </a:p>
          <a:p>
            <a:pPr>
              <a:defRPr/>
            </a:pPr>
            <a:r>
              <a:rPr lang="fr-FR" sz="1800" i="1"/>
              <a:t>Scénario</a:t>
            </a:r>
            <a:r>
              <a:rPr lang="fr-FR" sz="1800" i="1" baseline="0"/>
              <a:t> Net Zero 2050</a:t>
            </a:r>
            <a:endParaRPr lang="fr-FR" sz="180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Données!$B$356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Données!$C$355:$AL$355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Données!$C$356:$AL$356</c:f>
              <c:numCache>
                <c:formatCode>#,##0</c:formatCode>
                <c:ptCount val="36"/>
                <c:pt idx="0">
                  <c:v>7105.9689965623002</c:v>
                </c:pt>
                <c:pt idx="1">
                  <c:v>7168.5912140135997</c:v>
                </c:pt>
                <c:pt idx="2">
                  <c:v>7282.1558316032997</c:v>
                </c:pt>
                <c:pt idx="3">
                  <c:v>7424.7126879461002</c:v>
                </c:pt>
                <c:pt idx="4">
                  <c:v>7583.0772665885997</c:v>
                </c:pt>
                <c:pt idx="5">
                  <c:v>7750.3095286591006</c:v>
                </c:pt>
                <c:pt idx="6">
                  <c:v>7922.4483440436998</c:v>
                </c:pt>
                <c:pt idx="7">
                  <c:v>8098.4538340814997</c:v>
                </c:pt>
                <c:pt idx="8">
                  <c:v>8280.9765713016004</c:v>
                </c:pt>
                <c:pt idx="9">
                  <c:v>8476.5446874518984</c:v>
                </c:pt>
                <c:pt idx="10">
                  <c:v>8689.0876156740997</c:v>
                </c:pt>
                <c:pt idx="11">
                  <c:v>8913.2657516241998</c:v>
                </c:pt>
                <c:pt idx="12">
                  <c:v>9143.5815333319988</c:v>
                </c:pt>
                <c:pt idx="13">
                  <c:v>9374.8925237925014</c:v>
                </c:pt>
                <c:pt idx="14">
                  <c:v>9603.8792529920993</c:v>
                </c:pt>
                <c:pt idx="15">
                  <c:v>9829.4166779812003</c:v>
                </c:pt>
                <c:pt idx="16">
                  <c:v>10052.019262902801</c:v>
                </c:pt>
                <c:pt idx="17">
                  <c:v>10272.9291783721</c:v>
                </c:pt>
                <c:pt idx="18">
                  <c:v>10493.2915365149</c:v>
                </c:pt>
                <c:pt idx="19">
                  <c:v>10713.683437695499</c:v>
                </c:pt>
                <c:pt idx="20">
                  <c:v>10932.396238664798</c:v>
                </c:pt>
                <c:pt idx="21">
                  <c:v>11150.943427099699</c:v>
                </c:pt>
                <c:pt idx="22">
                  <c:v>11368.956572020801</c:v>
                </c:pt>
                <c:pt idx="23">
                  <c:v>11586.181131555</c:v>
                </c:pt>
                <c:pt idx="24">
                  <c:v>11802.628953784</c:v>
                </c:pt>
                <c:pt idx="25">
                  <c:v>12013.466067638001</c:v>
                </c:pt>
                <c:pt idx="26">
                  <c:v>12223.271990858</c:v>
                </c:pt>
                <c:pt idx="27">
                  <c:v>12433.275881984</c:v>
                </c:pt>
                <c:pt idx="28">
                  <c:v>12644.222788765999</c:v>
                </c:pt>
                <c:pt idx="29">
                  <c:v>12856.360188178</c:v>
                </c:pt>
                <c:pt idx="30">
                  <c:v>13069.667355223999</c:v>
                </c:pt>
                <c:pt idx="31">
                  <c:v>13284.09273104</c:v>
                </c:pt>
                <c:pt idx="32">
                  <c:v>13499.712081764001</c:v>
                </c:pt>
                <c:pt idx="33">
                  <c:v>13716.774667733001</c:v>
                </c:pt>
                <c:pt idx="34">
                  <c:v>13935.654862853</c:v>
                </c:pt>
                <c:pt idx="35">
                  <c:v>14156.757705710001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9-4604-817E-AE29F1EB4142}"/>
            </c:ext>
          </c:extLst>
        </c:ser>
        <c:ser>
          <c:idx val="1"/>
          <c:order val="1"/>
          <c:tx>
            <c:strRef>
              <c:f>Données!$B$357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Données!$C$355:$AL$355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Données!$C$357:$AL$357</c:f>
              <c:numCache>
                <c:formatCode>#,##0</c:formatCode>
                <c:ptCount val="36"/>
                <c:pt idx="0">
                  <c:v>8263.1971436354015</c:v>
                </c:pt>
                <c:pt idx="1">
                  <c:v>8210.6212938895005</c:v>
                </c:pt>
                <c:pt idx="2">
                  <c:v>8214.744057178199</c:v>
                </c:pt>
                <c:pt idx="3">
                  <c:v>8253.660487163701</c:v>
                </c:pt>
                <c:pt idx="4">
                  <c:v>8313.9762547449991</c:v>
                </c:pt>
                <c:pt idx="5">
                  <c:v>8388.3347388315997</c:v>
                </c:pt>
                <c:pt idx="6">
                  <c:v>8472.2745577067999</c:v>
                </c:pt>
                <c:pt idx="7">
                  <c:v>8564.0377434223992</c:v>
                </c:pt>
                <c:pt idx="8">
                  <c:v>8665.2241266965993</c:v>
                </c:pt>
                <c:pt idx="9">
                  <c:v>8781.3966738215004</c:v>
                </c:pt>
                <c:pt idx="10">
                  <c:v>8915.9427551295994</c:v>
                </c:pt>
                <c:pt idx="11">
                  <c:v>9063.7246991247994</c:v>
                </c:pt>
                <c:pt idx="12">
                  <c:v>9219.4885019631984</c:v>
                </c:pt>
                <c:pt idx="13">
                  <c:v>9378.2563501233017</c:v>
                </c:pt>
                <c:pt idx="14">
                  <c:v>9536.6649900021002</c:v>
                </c:pt>
                <c:pt idx="15">
                  <c:v>9693.3339110822017</c:v>
                </c:pt>
                <c:pt idx="16">
                  <c:v>9848.3964781406994</c:v>
                </c:pt>
                <c:pt idx="17">
                  <c:v>10002.6983668222</c:v>
                </c:pt>
                <c:pt idx="18">
                  <c:v>10157.0589970086</c:v>
                </c:pt>
                <c:pt idx="19">
                  <c:v>10311.8374061102</c:v>
                </c:pt>
                <c:pt idx="20">
                  <c:v>10465.3522820169</c:v>
                </c:pt>
                <c:pt idx="21">
                  <c:v>10618.863203245099</c:v>
                </c:pt>
                <c:pt idx="22">
                  <c:v>10771.9188459941</c:v>
                </c:pt>
                <c:pt idx="23">
                  <c:v>10924.156923857401</c:v>
                </c:pt>
                <c:pt idx="24">
                  <c:v>11075.4353740647</c:v>
                </c:pt>
                <c:pt idx="25">
                  <c:v>11221.280811068202</c:v>
                </c:pt>
                <c:pt idx="26">
                  <c:v>11365.6188126172</c:v>
                </c:pt>
                <c:pt idx="27">
                  <c:v>11509.408621286701</c:v>
                </c:pt>
                <c:pt idx="28">
                  <c:v>11653.2114349032</c:v>
                </c:pt>
                <c:pt idx="29">
                  <c:v>11797.165028541</c:v>
                </c:pt>
                <c:pt idx="30">
                  <c:v>11941.1713572438</c:v>
                </c:pt>
                <c:pt idx="31">
                  <c:v>12085.0954814051</c:v>
                </c:pt>
                <c:pt idx="32">
                  <c:v>12228.901857196099</c:v>
                </c:pt>
                <c:pt idx="33">
                  <c:v>12372.698979732901</c:v>
                </c:pt>
                <c:pt idx="34">
                  <c:v>12516.704550394101</c:v>
                </c:pt>
                <c:pt idx="35">
                  <c:v>12661.170272138999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9-4604-817E-AE29F1EB4142}"/>
            </c:ext>
          </c:extLst>
        </c:ser>
        <c:ser>
          <c:idx val="2"/>
          <c:order val="2"/>
          <c:tx>
            <c:strRef>
              <c:f>Données!$B$358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Données!$C$355:$AL$355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Données!$C$358:$AL$358</c:f>
              <c:numCache>
                <c:formatCode>#,##0</c:formatCode>
                <c:ptCount val="36"/>
                <c:pt idx="0">
                  <c:v>6787.4105911386005</c:v>
                </c:pt>
                <c:pt idx="1">
                  <c:v>6667.5555073370997</c:v>
                </c:pt>
                <c:pt idx="2">
                  <c:v>6592.7706217423001</c:v>
                </c:pt>
                <c:pt idx="3">
                  <c:v>6547.2890125084004</c:v>
                </c:pt>
                <c:pt idx="4">
                  <c:v>6521.3042762792002</c:v>
                </c:pt>
                <c:pt idx="5">
                  <c:v>6509.2225450329997</c:v>
                </c:pt>
                <c:pt idx="6">
                  <c:v>6507.4821399298999</c:v>
                </c:pt>
                <c:pt idx="7">
                  <c:v>6514.3299201113005</c:v>
                </c:pt>
                <c:pt idx="8">
                  <c:v>6530.2205048034002</c:v>
                </c:pt>
                <c:pt idx="9">
                  <c:v>6558.5169525248994</c:v>
                </c:pt>
                <c:pt idx="10">
                  <c:v>6601.2906408967001</c:v>
                </c:pt>
                <c:pt idx="11">
                  <c:v>6654.9606394868006</c:v>
                </c:pt>
                <c:pt idx="12">
                  <c:v>6715.8892309494995</c:v>
                </c:pt>
                <c:pt idx="13">
                  <c:v>6780.5889177406998</c:v>
                </c:pt>
                <c:pt idx="14">
                  <c:v>6846.6033925223001</c:v>
                </c:pt>
                <c:pt idx="15">
                  <c:v>6912.7705983996002</c:v>
                </c:pt>
                <c:pt idx="16">
                  <c:v>6978.9398956760997</c:v>
                </c:pt>
                <c:pt idx="17">
                  <c:v>7045.4646832053004</c:v>
                </c:pt>
                <c:pt idx="18">
                  <c:v>7112.7248713177005</c:v>
                </c:pt>
                <c:pt idx="19">
                  <c:v>7180.8373441670001</c:v>
                </c:pt>
                <c:pt idx="20">
                  <c:v>7248.6068106637003</c:v>
                </c:pt>
                <c:pt idx="21">
                  <c:v>7316.7762363586999</c:v>
                </c:pt>
                <c:pt idx="22">
                  <c:v>7384.9677518191002</c:v>
                </c:pt>
                <c:pt idx="23">
                  <c:v>7452.8543235728002</c:v>
                </c:pt>
                <c:pt idx="24">
                  <c:v>7520.2414451919994</c:v>
                </c:pt>
                <c:pt idx="25">
                  <c:v>7584.1421889723997</c:v>
                </c:pt>
                <c:pt idx="26">
                  <c:v>7646.9815144520999</c:v>
                </c:pt>
                <c:pt idx="27">
                  <c:v>7709.2905283103</c:v>
                </c:pt>
                <c:pt idx="28">
                  <c:v>7771.3669199076994</c:v>
                </c:pt>
                <c:pt idx="29">
                  <c:v>7833.2498826746005</c:v>
                </c:pt>
                <c:pt idx="30">
                  <c:v>7894.8302656433007</c:v>
                </c:pt>
                <c:pt idx="31">
                  <c:v>7955.9708209660002</c:v>
                </c:pt>
                <c:pt idx="32">
                  <c:v>8016.591256011001</c:v>
                </c:pt>
                <c:pt idx="33">
                  <c:v>8076.6991678737004</c:v>
                </c:pt>
                <c:pt idx="34">
                  <c:v>8136.3726709545008</c:v>
                </c:pt>
                <c:pt idx="35">
                  <c:v>8195.7171742428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9-4604-817E-AE29F1EB4142}"/>
            </c:ext>
          </c:extLst>
        </c:ser>
        <c:ser>
          <c:idx val="3"/>
          <c:order val="3"/>
          <c:tx>
            <c:strRef>
              <c:f>Données!$B$359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Données!$C$355:$AL$355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Données!$C$359:$AL$359</c:f>
              <c:numCache>
                <c:formatCode>#,##0</c:formatCode>
                <c:ptCount val="36"/>
                <c:pt idx="0">
                  <c:v>4165.6835237371006</c:v>
                </c:pt>
                <c:pt idx="1">
                  <c:v>4066.7820749527</c:v>
                </c:pt>
                <c:pt idx="2">
                  <c:v>3993.7274703540998</c:v>
                </c:pt>
                <c:pt idx="3">
                  <c:v>3937.3413933291004</c:v>
                </c:pt>
                <c:pt idx="4">
                  <c:v>3891.8476005685998</c:v>
                </c:pt>
                <c:pt idx="5">
                  <c:v>3853.8238038954996</c:v>
                </c:pt>
                <c:pt idx="6">
                  <c:v>3820.9867974749004</c:v>
                </c:pt>
                <c:pt idx="7">
                  <c:v>3791.8657694092999</c:v>
                </c:pt>
                <c:pt idx="8">
                  <c:v>3765.9135594700001</c:v>
                </c:pt>
                <c:pt idx="9">
                  <c:v>3744.5475487107001</c:v>
                </c:pt>
                <c:pt idx="10">
                  <c:v>3728.9042342678999</c:v>
                </c:pt>
                <c:pt idx="11">
                  <c:v>3717.4887651263998</c:v>
                </c:pt>
                <c:pt idx="12">
                  <c:v>3708.7693820014001</c:v>
                </c:pt>
                <c:pt idx="13">
                  <c:v>3701.1678546663002</c:v>
                </c:pt>
                <c:pt idx="14">
                  <c:v>3693.4633397054999</c:v>
                </c:pt>
                <c:pt idx="15">
                  <c:v>3684.9651840183997</c:v>
                </c:pt>
                <c:pt idx="16">
                  <c:v>3675.4482615371003</c:v>
                </c:pt>
                <c:pt idx="17">
                  <c:v>3664.9700560582</c:v>
                </c:pt>
                <c:pt idx="18">
                  <c:v>3653.6721989058001</c:v>
                </c:pt>
                <c:pt idx="19">
                  <c:v>3641.6392672388001</c:v>
                </c:pt>
                <c:pt idx="20">
                  <c:v>3628.4080597988004</c:v>
                </c:pt>
                <c:pt idx="21">
                  <c:v>3614.3680664909002</c:v>
                </c:pt>
                <c:pt idx="22">
                  <c:v>3599.3997743641999</c:v>
                </c:pt>
                <c:pt idx="23">
                  <c:v>3583.3776355685</c:v>
                </c:pt>
                <c:pt idx="24">
                  <c:v>3566.2030419004</c:v>
                </c:pt>
                <c:pt idx="25">
                  <c:v>3546.6182829269001</c:v>
                </c:pt>
                <c:pt idx="26">
                  <c:v>3525.5938787637001</c:v>
                </c:pt>
                <c:pt idx="27">
                  <c:v>3503.3503254450998</c:v>
                </c:pt>
                <c:pt idx="28">
                  <c:v>3480.0475297050998</c:v>
                </c:pt>
                <c:pt idx="29">
                  <c:v>3455.7565171343003</c:v>
                </c:pt>
                <c:pt idx="30">
                  <c:v>3430.4849464901999</c:v>
                </c:pt>
                <c:pt idx="31">
                  <c:v>3404.2133047983998</c:v>
                </c:pt>
                <c:pt idx="32">
                  <c:v>3376.9261223444996</c:v>
                </c:pt>
                <c:pt idx="33">
                  <c:v>3348.6290541694998</c:v>
                </c:pt>
                <c:pt idx="34">
                  <c:v>3319.3501271702999</c:v>
                </c:pt>
                <c:pt idx="35">
                  <c:v>3289.1298514833002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69-4604-817E-AE29F1EB4142}"/>
            </c:ext>
          </c:extLst>
        </c:ser>
        <c:ser>
          <c:idx val="4"/>
          <c:order val="4"/>
          <c:tx>
            <c:strRef>
              <c:f>Données!$B$360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Données!$C$355:$AL$355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Données!$C$360:$AL$360</c:f>
              <c:numCache>
                <c:formatCode>#,##0</c:formatCode>
                <c:ptCount val="36"/>
                <c:pt idx="0">
                  <c:v>2507.3524895615005</c:v>
                </c:pt>
                <c:pt idx="1">
                  <c:v>2450.2141596126003</c:v>
                </c:pt>
                <c:pt idx="2">
                  <c:v>2407.7845129044999</c:v>
                </c:pt>
                <c:pt idx="3">
                  <c:v>2374.3227658596002</c:v>
                </c:pt>
                <c:pt idx="4">
                  <c:v>2346.2294434962</c:v>
                </c:pt>
                <c:pt idx="5">
                  <c:v>2321.3600879456994</c:v>
                </c:pt>
                <c:pt idx="6">
                  <c:v>2298.2763906309997</c:v>
                </c:pt>
                <c:pt idx="7">
                  <c:v>2275.9464898222996</c:v>
                </c:pt>
                <c:pt idx="8">
                  <c:v>2253.7715454939002</c:v>
                </c:pt>
                <c:pt idx="9">
                  <c:v>2232.5383765227002</c:v>
                </c:pt>
                <c:pt idx="10">
                  <c:v>2213.0614544787004</c:v>
                </c:pt>
                <c:pt idx="11">
                  <c:v>2194.7643367766996</c:v>
                </c:pt>
                <c:pt idx="12">
                  <c:v>2177.0290270016999</c:v>
                </c:pt>
                <c:pt idx="13">
                  <c:v>2159.1394609675003</c:v>
                </c:pt>
                <c:pt idx="14">
                  <c:v>2140.4967423314001</c:v>
                </c:pt>
                <c:pt idx="15">
                  <c:v>2120.7410269901002</c:v>
                </c:pt>
                <c:pt idx="16">
                  <c:v>2099.7536880870002</c:v>
                </c:pt>
                <c:pt idx="17">
                  <c:v>2077.5868463664997</c:v>
                </c:pt>
                <c:pt idx="18">
                  <c:v>2054.3682728525</c:v>
                </c:pt>
                <c:pt idx="19">
                  <c:v>2030.2219188335</c:v>
                </c:pt>
                <c:pt idx="20">
                  <c:v>2005.0100149725999</c:v>
                </c:pt>
                <c:pt idx="21">
                  <c:v>1979.0114027194002</c:v>
                </c:pt>
                <c:pt idx="22">
                  <c:v>1952.2421819289002</c:v>
                </c:pt>
                <c:pt idx="23">
                  <c:v>1924.7003412785</c:v>
                </c:pt>
                <c:pt idx="24">
                  <c:v>1896.3820149172</c:v>
                </c:pt>
                <c:pt idx="25">
                  <c:v>1866.7432404684998</c:v>
                </c:pt>
                <c:pt idx="26">
                  <c:v>1836.2662694435001</c:v>
                </c:pt>
                <c:pt idx="27">
                  <c:v>1805.0966325656</c:v>
                </c:pt>
                <c:pt idx="28">
                  <c:v>1773.3627954870999</c:v>
                </c:pt>
                <c:pt idx="29">
                  <c:v>1741.1558509714</c:v>
                </c:pt>
                <c:pt idx="30">
                  <c:v>1708.5344929848</c:v>
                </c:pt>
                <c:pt idx="31">
                  <c:v>1675.5379400054999</c:v>
                </c:pt>
                <c:pt idx="32">
                  <c:v>1642.2000116525001</c:v>
                </c:pt>
                <c:pt idx="33">
                  <c:v>1608.5591579074003</c:v>
                </c:pt>
                <c:pt idx="34">
                  <c:v>1574.6620959881</c:v>
                </c:pt>
                <c:pt idx="35">
                  <c:v>1540.5618246324998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9-4604-817E-AE29F1EB4142}"/>
            </c:ext>
          </c:extLst>
        </c:ser>
        <c:ser>
          <c:idx val="5"/>
          <c:order val="5"/>
          <c:tx>
            <c:strRef>
              <c:f>Données!$B$361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Données!$C$355:$AL$355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Données!$C$361:$AL$361</c:f>
              <c:numCache>
                <c:formatCode>#,##0</c:formatCode>
                <c:ptCount val="36"/>
                <c:pt idx="0">
                  <c:v>1245.466605953</c:v>
                </c:pt>
                <c:pt idx="1">
                  <c:v>1214.2756806991999</c:v>
                </c:pt>
                <c:pt idx="2">
                  <c:v>1188.9780294814998</c:v>
                </c:pt>
                <c:pt idx="3">
                  <c:v>1166.6252698979999</c:v>
                </c:pt>
                <c:pt idx="4">
                  <c:v>1145.4079078553998</c:v>
                </c:pt>
                <c:pt idx="5">
                  <c:v>1124.2557827682001</c:v>
                </c:pt>
                <c:pt idx="6">
                  <c:v>1102.4730922648</c:v>
                </c:pt>
                <c:pt idx="7">
                  <c:v>1079.4656543016001</c:v>
                </c:pt>
                <c:pt idx="8">
                  <c:v>1054.7277553632998</c:v>
                </c:pt>
                <c:pt idx="9">
                  <c:v>1028.6661257031001</c:v>
                </c:pt>
                <c:pt idx="10">
                  <c:v>1001.9245120835999</c:v>
                </c:pt>
                <c:pt idx="11">
                  <c:v>974.72590667930001</c:v>
                </c:pt>
                <c:pt idx="12">
                  <c:v>947.2174958951</c:v>
                </c:pt>
                <c:pt idx="13">
                  <c:v>919.40681565640011</c:v>
                </c:pt>
                <c:pt idx="14">
                  <c:v>891.24116498219996</c:v>
                </c:pt>
                <c:pt idx="15">
                  <c:v>862.68763322940003</c:v>
                </c:pt>
                <c:pt idx="16">
                  <c:v>833.77610158300001</c:v>
                </c:pt>
                <c:pt idx="17">
                  <c:v>804.60283376280006</c:v>
                </c:pt>
                <c:pt idx="18">
                  <c:v>775.30694182520006</c:v>
                </c:pt>
                <c:pt idx="19">
                  <c:v>746.0384691772</c:v>
                </c:pt>
                <c:pt idx="20">
                  <c:v>716.88492822309991</c:v>
                </c:pt>
                <c:pt idx="21">
                  <c:v>688.01138736960002</c:v>
                </c:pt>
                <c:pt idx="22">
                  <c:v>659.50575097650005</c:v>
                </c:pt>
                <c:pt idx="23">
                  <c:v>631.43318000310001</c:v>
                </c:pt>
                <c:pt idx="24">
                  <c:v>603.84234981550003</c:v>
                </c:pt>
                <c:pt idx="25">
                  <c:v>576.67919652190005</c:v>
                </c:pt>
                <c:pt idx="26">
                  <c:v>550.06371085600006</c:v>
                </c:pt>
                <c:pt idx="27">
                  <c:v>524.05678704540003</c:v>
                </c:pt>
                <c:pt idx="28">
                  <c:v>498.71573669129998</c:v>
                </c:pt>
                <c:pt idx="29">
                  <c:v>474.08668942590003</c:v>
                </c:pt>
                <c:pt idx="30">
                  <c:v>450.20279039510001</c:v>
                </c:pt>
                <c:pt idx="31">
                  <c:v>427.08578500520002</c:v>
                </c:pt>
                <c:pt idx="32">
                  <c:v>404.74929042680003</c:v>
                </c:pt>
                <c:pt idx="33">
                  <c:v>383.2020153464</c:v>
                </c:pt>
                <c:pt idx="34">
                  <c:v>362.44981470620002</c:v>
                </c:pt>
                <c:pt idx="35">
                  <c:v>342.49635209349998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69-4604-817E-AE29F1EB4142}"/>
            </c:ext>
          </c:extLst>
        </c:ser>
        <c:ser>
          <c:idx val="6"/>
          <c:order val="6"/>
          <c:tx>
            <c:strRef>
              <c:f>Données!$B$362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Données!$C$355:$AL$355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Données!$C$362:$AL$362</c:f>
              <c:numCache>
                <c:formatCode>#,##0</c:formatCode>
                <c:ptCount val="36"/>
                <c:pt idx="0">
                  <c:v>2242.8616504070001</c:v>
                </c:pt>
                <c:pt idx="1">
                  <c:v>2190.0971107826999</c:v>
                </c:pt>
                <c:pt idx="2">
                  <c:v>2145.5975266171995</c:v>
                </c:pt>
                <c:pt idx="3">
                  <c:v>2103.7343610910998</c:v>
                </c:pt>
                <c:pt idx="4">
                  <c:v>2061.2076408325997</c:v>
                </c:pt>
                <c:pt idx="5">
                  <c:v>2016.1864237057</c:v>
                </c:pt>
                <c:pt idx="6">
                  <c:v>1967.6140410169999</c:v>
                </c:pt>
                <c:pt idx="7">
                  <c:v>1914.5582632308001</c:v>
                </c:pt>
                <c:pt idx="8">
                  <c:v>1856.2079645871002</c:v>
                </c:pt>
                <c:pt idx="9">
                  <c:v>1793.6903883038001</c:v>
                </c:pt>
                <c:pt idx="10">
                  <c:v>1728.7064616667001</c:v>
                </c:pt>
                <c:pt idx="11">
                  <c:v>1662.3399487076001</c:v>
                </c:pt>
                <c:pt idx="12">
                  <c:v>1595.4083429982998</c:v>
                </c:pt>
                <c:pt idx="13">
                  <c:v>1528.3552985821</c:v>
                </c:pt>
                <c:pt idx="14">
                  <c:v>1461.3980621378</c:v>
                </c:pt>
                <c:pt idx="15">
                  <c:v>1394.6956013824001</c:v>
                </c:pt>
                <c:pt idx="16">
                  <c:v>1328.4533029119</c:v>
                </c:pt>
                <c:pt idx="17">
                  <c:v>1262.9490148082</c:v>
                </c:pt>
                <c:pt idx="18">
                  <c:v>1198.5030612604</c:v>
                </c:pt>
                <c:pt idx="19">
                  <c:v>1135.4293429952002</c:v>
                </c:pt>
                <c:pt idx="20">
                  <c:v>1073.9507673889</c:v>
                </c:pt>
                <c:pt idx="21">
                  <c:v>1014.3251979502</c:v>
                </c:pt>
                <c:pt idx="22">
                  <c:v>956.70150588640001</c:v>
                </c:pt>
                <c:pt idx="23">
                  <c:v>901.17646059749995</c:v>
                </c:pt>
                <c:pt idx="24">
                  <c:v>847.80715279699996</c:v>
                </c:pt>
                <c:pt idx="25">
                  <c:v>796.55506456599994</c:v>
                </c:pt>
                <c:pt idx="26">
                  <c:v>747.49991430529997</c:v>
                </c:pt>
                <c:pt idx="27">
                  <c:v>700.66625661730006</c:v>
                </c:pt>
                <c:pt idx="28">
                  <c:v>656.06604702949994</c:v>
                </c:pt>
                <c:pt idx="29">
                  <c:v>613.69235187089998</c:v>
                </c:pt>
                <c:pt idx="30">
                  <c:v>573.51883465499998</c:v>
                </c:pt>
                <c:pt idx="31">
                  <c:v>535.50275725660003</c:v>
                </c:pt>
                <c:pt idx="32">
                  <c:v>499.58945965129999</c:v>
                </c:pt>
                <c:pt idx="33">
                  <c:v>465.71651517060002</c:v>
                </c:pt>
                <c:pt idx="34">
                  <c:v>433.81660305560001</c:v>
                </c:pt>
                <c:pt idx="35">
                  <c:v>403.81903754450002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69-4604-817E-AE29F1EB4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</a:t>
            </a:r>
            <a:r>
              <a:rPr lang="fr-FR" sz="2400" baseline="0"/>
              <a:t> (milliers)</a:t>
            </a:r>
          </a:p>
          <a:p>
            <a:pPr>
              <a:defRPr sz="2800"/>
            </a:pPr>
            <a:r>
              <a:rPr lang="fr-FR" sz="1800" i="1" baseline="0"/>
              <a:t>Scénario tendanciel</a:t>
            </a:r>
            <a:endParaRPr lang="fr-FR" sz="1800" i="1"/>
          </a:p>
        </c:rich>
      </c:tx>
      <c:layout>
        <c:manualLayout>
          <c:xMode val="edge"/>
          <c:yMode val="edge"/>
          <c:x val="0.28700858772412563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Données!$B$329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Données!$C$327:$AL$327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Données!$C$329:$AL$329</c:f>
              <c:numCache>
                <c:formatCode>#,##0</c:formatCode>
                <c:ptCount val="36"/>
                <c:pt idx="0">
                  <c:v>32271.24</c:v>
                </c:pt>
                <c:pt idx="1">
                  <c:v>31903.236649999999</c:v>
                </c:pt>
                <c:pt idx="2">
                  <c:v>31741.058860000001</c:v>
                </c:pt>
                <c:pt idx="3">
                  <c:v>31701.457600000002</c:v>
                </c:pt>
                <c:pt idx="4">
                  <c:v>31732.86853</c:v>
                </c:pt>
                <c:pt idx="5">
                  <c:v>31805.7713</c:v>
                </c:pt>
                <c:pt idx="6">
                  <c:v>31900.817319999998</c:v>
                </c:pt>
                <c:pt idx="7">
                  <c:v>32012.26036</c:v>
                </c:pt>
                <c:pt idx="8">
                  <c:v>32138.00477</c:v>
                </c:pt>
                <c:pt idx="9">
                  <c:v>32277.016919999998</c:v>
                </c:pt>
                <c:pt idx="10">
                  <c:v>32433.399079999999</c:v>
                </c:pt>
                <c:pt idx="11">
                  <c:v>32596.660800000001</c:v>
                </c:pt>
                <c:pt idx="12">
                  <c:v>32762.92064</c:v>
                </c:pt>
                <c:pt idx="13">
                  <c:v>32928.625310000003</c:v>
                </c:pt>
                <c:pt idx="14">
                  <c:v>33091.303870000003</c:v>
                </c:pt>
                <c:pt idx="15">
                  <c:v>33249.285459999999</c:v>
                </c:pt>
                <c:pt idx="16">
                  <c:v>33401.12962</c:v>
                </c:pt>
                <c:pt idx="17">
                  <c:v>33545.15842</c:v>
                </c:pt>
                <c:pt idx="18">
                  <c:v>33679.257590000001</c:v>
                </c:pt>
                <c:pt idx="19">
                  <c:v>33800.944210000001</c:v>
                </c:pt>
                <c:pt idx="20">
                  <c:v>33903.159890000003</c:v>
                </c:pt>
                <c:pt idx="21">
                  <c:v>33988.553800000002</c:v>
                </c:pt>
                <c:pt idx="22">
                  <c:v>34055.159169999999</c:v>
                </c:pt>
                <c:pt idx="23">
                  <c:v>34100.847159999998</c:v>
                </c:pt>
                <c:pt idx="24">
                  <c:v>34123.552409999997</c:v>
                </c:pt>
                <c:pt idx="25">
                  <c:v>34108.912199999999</c:v>
                </c:pt>
                <c:pt idx="26">
                  <c:v>34065.487090000002</c:v>
                </c:pt>
                <c:pt idx="27">
                  <c:v>33993.821510000002</c:v>
                </c:pt>
                <c:pt idx="28">
                  <c:v>33893.648670000002</c:v>
                </c:pt>
                <c:pt idx="29">
                  <c:v>33764.092799999999</c:v>
                </c:pt>
                <c:pt idx="30">
                  <c:v>33604.1702</c:v>
                </c:pt>
                <c:pt idx="31">
                  <c:v>33413.182309999997</c:v>
                </c:pt>
                <c:pt idx="32">
                  <c:v>33190.895329999999</c:v>
                </c:pt>
                <c:pt idx="33">
                  <c:v>32937.511980000003</c:v>
                </c:pt>
                <c:pt idx="34">
                  <c:v>32653.513439999999</c:v>
                </c:pt>
                <c:pt idx="35">
                  <c:v>32339.472559999998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4-4D49-89F4-ABF65BD94CDB}"/>
            </c:ext>
          </c:extLst>
        </c:ser>
        <c:ser>
          <c:idx val="2"/>
          <c:order val="2"/>
          <c:tx>
            <c:strRef>
              <c:f>Données!$B$330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Données!$C$327:$AL$327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Données!$C$330:$AL$330</c:f>
              <c:numCache>
                <c:formatCode>#,##0</c:formatCode>
                <c:ptCount val="36"/>
                <c:pt idx="0">
                  <c:v>1.9359999999999999</c:v>
                </c:pt>
                <c:pt idx="1">
                  <c:v>1.995067251</c:v>
                </c:pt>
                <c:pt idx="2">
                  <c:v>2.0653284699999999</c:v>
                </c:pt>
                <c:pt idx="3">
                  <c:v>2.1404358490000002</c:v>
                </c:pt>
                <c:pt idx="4">
                  <c:v>2.2165559159999999</c:v>
                </c:pt>
                <c:pt idx="5">
                  <c:v>2.291609609</c:v>
                </c:pt>
                <c:pt idx="6">
                  <c:v>2.3643093460000002</c:v>
                </c:pt>
                <c:pt idx="7">
                  <c:v>2.4344642749999998</c:v>
                </c:pt>
                <c:pt idx="8">
                  <c:v>2.5021645879999999</c:v>
                </c:pt>
                <c:pt idx="9">
                  <c:v>2.567570361</c:v>
                </c:pt>
                <c:pt idx="10">
                  <c:v>2.6312563820000001</c:v>
                </c:pt>
                <c:pt idx="11">
                  <c:v>2.6925623839999999</c:v>
                </c:pt>
                <c:pt idx="12">
                  <c:v>2.751356012</c:v>
                </c:pt>
                <c:pt idx="13">
                  <c:v>2.8075153739999998</c:v>
                </c:pt>
                <c:pt idx="14">
                  <c:v>2.8609938970000002</c:v>
                </c:pt>
                <c:pt idx="15">
                  <c:v>2.9117989789999998</c:v>
                </c:pt>
                <c:pt idx="16">
                  <c:v>2.9599459860000001</c:v>
                </c:pt>
                <c:pt idx="17">
                  <c:v>3.0054199599999998</c:v>
                </c:pt>
                <c:pt idx="18">
                  <c:v>3.048159246</c:v>
                </c:pt>
                <c:pt idx="19">
                  <c:v>3.0880612529999998</c:v>
                </c:pt>
                <c:pt idx="20">
                  <c:v>3.124629176</c:v>
                </c:pt>
                <c:pt idx="21">
                  <c:v>3.1581666589999999</c:v>
                </c:pt>
                <c:pt idx="22">
                  <c:v>3.1885878949999999</c:v>
                </c:pt>
                <c:pt idx="23">
                  <c:v>3.2157859680000001</c:v>
                </c:pt>
                <c:pt idx="24">
                  <c:v>3.2396520569999998</c:v>
                </c:pt>
                <c:pt idx="25">
                  <c:v>3.2590375310000002</c:v>
                </c:pt>
                <c:pt idx="26">
                  <c:v>3.274697449</c:v>
                </c:pt>
                <c:pt idx="27">
                  <c:v>3.2867222059999999</c:v>
                </c:pt>
                <c:pt idx="28">
                  <c:v>3.2951319560000001</c:v>
                </c:pt>
                <c:pt idx="29">
                  <c:v>3.2998926869999998</c:v>
                </c:pt>
                <c:pt idx="30">
                  <c:v>3.3009577210000001</c:v>
                </c:pt>
                <c:pt idx="31">
                  <c:v>3.2983008190000001</c:v>
                </c:pt>
                <c:pt idx="32">
                  <c:v>3.291931859</c:v>
                </c:pt>
                <c:pt idx="33">
                  <c:v>3.281895252</c:v>
                </c:pt>
                <c:pt idx="34">
                  <c:v>3.2682573449999999</c:v>
                </c:pt>
                <c:pt idx="35">
                  <c:v>3.2510911870000001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4-4D49-89F4-ABF65BD94CDB}"/>
            </c:ext>
          </c:extLst>
        </c:ser>
        <c:ser>
          <c:idx val="3"/>
          <c:order val="3"/>
          <c:tx>
            <c:strRef>
              <c:f>Données!$B$331</c:f>
              <c:strCache>
                <c:ptCount val="1"/>
                <c:pt idx="0">
                  <c:v>Electrique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  <a:effectLst/>
          </c:spPr>
          <c:cat>
            <c:numRef>
              <c:f>Données!$C$327:$AL$327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Données!$C$331:$AL$331</c:f>
              <c:numCache>
                <c:formatCode>#,##0</c:formatCode>
                <c:ptCount val="36"/>
                <c:pt idx="0">
                  <c:v>44.765000000000001</c:v>
                </c:pt>
                <c:pt idx="1">
                  <c:v>62.90532503</c:v>
                </c:pt>
                <c:pt idx="2">
                  <c:v>82.633856399999999</c:v>
                </c:pt>
                <c:pt idx="3">
                  <c:v>104.0879429</c:v>
                </c:pt>
                <c:pt idx="4">
                  <c:v>127.9653084</c:v>
                </c:pt>
                <c:pt idx="5">
                  <c:v>155.42999620000001</c:v>
                </c:pt>
                <c:pt idx="6">
                  <c:v>187.93014489999999</c:v>
                </c:pt>
                <c:pt idx="7">
                  <c:v>227.17552380000001</c:v>
                </c:pt>
                <c:pt idx="8">
                  <c:v>274.92205860000001</c:v>
                </c:pt>
                <c:pt idx="9">
                  <c:v>332.83628340000001</c:v>
                </c:pt>
                <c:pt idx="10">
                  <c:v>402.54303490000001</c:v>
                </c:pt>
                <c:pt idx="11">
                  <c:v>484.99660519999998</c:v>
                </c:pt>
                <c:pt idx="12">
                  <c:v>581.03110939999999</c:v>
                </c:pt>
                <c:pt idx="13">
                  <c:v>691.21809140000005</c:v>
                </c:pt>
                <c:pt idx="14">
                  <c:v>815.96989619999999</c:v>
                </c:pt>
                <c:pt idx="15">
                  <c:v>955.61727780000001</c:v>
                </c:pt>
                <c:pt idx="16">
                  <c:v>1110.469321</c:v>
                </c:pt>
                <c:pt idx="17">
                  <c:v>1280.866082</c:v>
                </c:pt>
                <c:pt idx="18">
                  <c:v>1467.2304839999999</c:v>
                </c:pt>
                <c:pt idx="19">
                  <c:v>1670.1205150000001</c:v>
                </c:pt>
                <c:pt idx="20">
                  <c:v>1889.8142849999999</c:v>
                </c:pt>
                <c:pt idx="21">
                  <c:v>2127.73686</c:v>
                </c:pt>
                <c:pt idx="22">
                  <c:v>2385.0795640000001</c:v>
                </c:pt>
                <c:pt idx="23">
                  <c:v>2663.1826510000001</c:v>
                </c:pt>
                <c:pt idx="24">
                  <c:v>2963.5078060000001</c:v>
                </c:pt>
                <c:pt idx="25">
                  <c:v>3285.5217050000001</c:v>
                </c:pt>
                <c:pt idx="26">
                  <c:v>3632.1409469999999</c:v>
                </c:pt>
                <c:pt idx="27">
                  <c:v>4005.0819390000001</c:v>
                </c:pt>
                <c:pt idx="28">
                  <c:v>4405.8348029999997</c:v>
                </c:pt>
                <c:pt idx="29">
                  <c:v>4835.6132749999997</c:v>
                </c:pt>
                <c:pt idx="30">
                  <c:v>5295.408066</c:v>
                </c:pt>
                <c:pt idx="31">
                  <c:v>5786.0668759999999</c:v>
                </c:pt>
                <c:pt idx="32">
                  <c:v>6308.3578260000004</c:v>
                </c:pt>
                <c:pt idx="33">
                  <c:v>6862.9905330000001</c:v>
                </c:pt>
                <c:pt idx="34">
                  <c:v>7450.5919439999998</c:v>
                </c:pt>
                <c:pt idx="35">
                  <c:v>8071.6536599999999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D4-4D49-89F4-ABF65BD94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Données!$B$328</c15:sqref>
                        </c15:formulaRef>
                      </c:ext>
                    </c:extLst>
                    <c:strCache>
                      <c:ptCount val="1"/>
                      <c:pt idx="0">
                        <c:v>Véhicules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Données!$C$327:$AL$327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Données!$C$328:$AL$328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32317.940999999999</c:v>
                      </c:pt>
                      <c:pt idx="1">
                        <c:v>31968.137040000001</c:v>
                      </c:pt>
                      <c:pt idx="2">
                        <c:v>31825.75805</c:v>
                      </c:pt>
                      <c:pt idx="3">
                        <c:v>31807.685979999998</c:v>
                      </c:pt>
                      <c:pt idx="4">
                        <c:v>31863.05039</c:v>
                      </c:pt>
                      <c:pt idx="5">
                        <c:v>31963.492910000001</c:v>
                      </c:pt>
                      <c:pt idx="6">
                        <c:v>32091.11177</c:v>
                      </c:pt>
                      <c:pt idx="7">
                        <c:v>32241.870350000001</c:v>
                      </c:pt>
                      <c:pt idx="8">
                        <c:v>32415.42899</c:v>
                      </c:pt>
                      <c:pt idx="9">
                        <c:v>32612.420770000001</c:v>
                      </c:pt>
                      <c:pt idx="10">
                        <c:v>32838.573369999998</c:v>
                      </c:pt>
                      <c:pt idx="11">
                        <c:v>33084.349970000003</c:v>
                      </c:pt>
                      <c:pt idx="12">
                        <c:v>33346.703119999998</c:v>
                      </c:pt>
                      <c:pt idx="13">
                        <c:v>33622.650930000003</c:v>
                      </c:pt>
                      <c:pt idx="14">
                        <c:v>33910.13478</c:v>
                      </c:pt>
                      <c:pt idx="15">
                        <c:v>34207.814559999999</c:v>
                      </c:pt>
                      <c:pt idx="16">
                        <c:v>34514.55891</c:v>
                      </c:pt>
                      <c:pt idx="17">
                        <c:v>34829.029949999996</c:v>
                      </c:pt>
                      <c:pt idx="18">
                        <c:v>35149.536269999997</c:v>
                      </c:pt>
                      <c:pt idx="19">
                        <c:v>35474.152829999999</c:v>
                      </c:pt>
                      <c:pt idx="20">
                        <c:v>35796.098850000002</c:v>
                      </c:pt>
                      <c:pt idx="21">
                        <c:v>36119.448880000004</c:v>
                      </c:pt>
                      <c:pt idx="22">
                        <c:v>36443.427389999997</c:v>
                      </c:pt>
                      <c:pt idx="23">
                        <c:v>36767.245669999997</c:v>
                      </c:pt>
                      <c:pt idx="24">
                        <c:v>37090.299939999997</c:v>
                      </c:pt>
                      <c:pt idx="25">
                        <c:v>37397.693019999999</c:v>
                      </c:pt>
                      <c:pt idx="26">
                        <c:v>37700.902820000003</c:v>
                      </c:pt>
                      <c:pt idx="27">
                        <c:v>38002.190269999999</c:v>
                      </c:pt>
                      <c:pt idx="28">
                        <c:v>38302.778700000003</c:v>
                      </c:pt>
                      <c:pt idx="29">
                        <c:v>38603.006070000003</c:v>
                      </c:pt>
                      <c:pt idx="30">
                        <c:v>38902.87934</c:v>
                      </c:pt>
                      <c:pt idx="31">
                        <c:v>39202.547599999998</c:v>
                      </c:pt>
                      <c:pt idx="32">
                        <c:v>39502.5452</c:v>
                      </c:pt>
                      <c:pt idx="33">
                        <c:v>39803.784529999997</c:v>
                      </c:pt>
                      <c:pt idx="34">
                        <c:v>40107.373769999998</c:v>
                      </c:pt>
                      <c:pt idx="35">
                        <c:v>40414.377439999997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BD4-4D49-89F4-ABF65BD94CDB}"/>
                  </c:ext>
                </c:extLst>
              </c15:ser>
            </c15:filteredAreaSeries>
          </c:ext>
        </c:extLst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5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</a:t>
            </a:r>
            <a:r>
              <a:rPr lang="fr-FR" sz="2400" baseline="0"/>
              <a:t> (milliers)</a:t>
            </a:r>
          </a:p>
          <a:p>
            <a:pPr>
              <a:defRPr sz="2800"/>
            </a:pPr>
            <a:r>
              <a:rPr lang="fr-FR" sz="1800" i="1" baseline="0"/>
              <a:t>Scénario Net Zero 2050</a:t>
            </a:r>
            <a:endParaRPr lang="fr-FR" sz="1800" i="1"/>
          </a:p>
        </c:rich>
      </c:tx>
      <c:layout>
        <c:manualLayout>
          <c:xMode val="edge"/>
          <c:yMode val="edge"/>
          <c:x val="0.29110930698597887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Données!$B$323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Données!$C$321:$AL$321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Données!$C$323:$AL$323</c:f>
              <c:numCache>
                <c:formatCode>#,##0</c:formatCode>
                <c:ptCount val="36"/>
                <c:pt idx="0">
                  <c:v>32271.24</c:v>
                </c:pt>
                <c:pt idx="1">
                  <c:v>31903.236649999999</c:v>
                </c:pt>
                <c:pt idx="2">
                  <c:v>31741.058860000001</c:v>
                </c:pt>
                <c:pt idx="3">
                  <c:v>31701.457600000002</c:v>
                </c:pt>
                <c:pt idx="4">
                  <c:v>31732.86853</c:v>
                </c:pt>
                <c:pt idx="5">
                  <c:v>31805.7713</c:v>
                </c:pt>
                <c:pt idx="6">
                  <c:v>31901.246780000001</c:v>
                </c:pt>
                <c:pt idx="7">
                  <c:v>32008.95248</c:v>
                </c:pt>
                <c:pt idx="8">
                  <c:v>32129.238239999999</c:v>
                </c:pt>
                <c:pt idx="9">
                  <c:v>32279.11188</c:v>
                </c:pt>
                <c:pt idx="10">
                  <c:v>32470.359390000001</c:v>
                </c:pt>
                <c:pt idx="11">
                  <c:v>32687.47885</c:v>
                </c:pt>
                <c:pt idx="12">
                  <c:v>32914.808369999999</c:v>
                </c:pt>
                <c:pt idx="13">
                  <c:v>33137.193200000002</c:v>
                </c:pt>
                <c:pt idx="14">
                  <c:v>33344.077510000003</c:v>
                </c:pt>
                <c:pt idx="15">
                  <c:v>33530.7327</c:v>
                </c:pt>
                <c:pt idx="16">
                  <c:v>33696.936549999999</c:v>
                </c:pt>
                <c:pt idx="17">
                  <c:v>33844.601260000003</c:v>
                </c:pt>
                <c:pt idx="18">
                  <c:v>33975.543250000002</c:v>
                </c:pt>
                <c:pt idx="19">
                  <c:v>34090.145230000002</c:v>
                </c:pt>
                <c:pt idx="20">
                  <c:v>34182.660839999997</c:v>
                </c:pt>
                <c:pt idx="21">
                  <c:v>34255.92568</c:v>
                </c:pt>
                <c:pt idx="22">
                  <c:v>34307.550860000003</c:v>
                </c:pt>
                <c:pt idx="23">
                  <c:v>34335.273809999999</c:v>
                </c:pt>
                <c:pt idx="24">
                  <c:v>34337.36621</c:v>
                </c:pt>
                <c:pt idx="25">
                  <c:v>34300.295400000003</c:v>
                </c:pt>
                <c:pt idx="26">
                  <c:v>34233.785459999999</c:v>
                </c:pt>
                <c:pt idx="27">
                  <c:v>34139.40754</c:v>
                </c:pt>
                <c:pt idx="28">
                  <c:v>34017.774850000002</c:v>
                </c:pt>
                <c:pt idx="29">
                  <c:v>33868.504079999999</c:v>
                </c:pt>
                <c:pt idx="30">
                  <c:v>33690.714679999997</c:v>
                </c:pt>
                <c:pt idx="31">
                  <c:v>33483.53026</c:v>
                </c:pt>
                <c:pt idx="32">
                  <c:v>33246.404470000001</c:v>
                </c:pt>
                <c:pt idx="33">
                  <c:v>32979.215179999999</c:v>
                </c:pt>
                <c:pt idx="34">
                  <c:v>32682.173350000001</c:v>
                </c:pt>
                <c:pt idx="35">
                  <c:v>32355.65048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B-4332-9B45-E28FEF7596CF}"/>
            </c:ext>
          </c:extLst>
        </c:ser>
        <c:ser>
          <c:idx val="2"/>
          <c:order val="2"/>
          <c:tx>
            <c:strRef>
              <c:f>Données!$B$324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Données!$C$321:$AL$321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Données!$C$324:$AL$324</c:f>
              <c:numCache>
                <c:formatCode>#,##0</c:formatCode>
                <c:ptCount val="36"/>
                <c:pt idx="0">
                  <c:v>1.9359999999999999</c:v>
                </c:pt>
                <c:pt idx="1">
                  <c:v>1.995067251</c:v>
                </c:pt>
                <c:pt idx="2">
                  <c:v>2.0653284699999999</c:v>
                </c:pt>
                <c:pt idx="3">
                  <c:v>2.1404358490000002</c:v>
                </c:pt>
                <c:pt idx="4">
                  <c:v>2.2165559159999999</c:v>
                </c:pt>
                <c:pt idx="5">
                  <c:v>2.291609609</c:v>
                </c:pt>
                <c:pt idx="6">
                  <c:v>2.3643454259999999</c:v>
                </c:pt>
                <c:pt idx="7">
                  <c:v>2.4341869300000001</c:v>
                </c:pt>
                <c:pt idx="8">
                  <c:v>2.501424364</c:v>
                </c:pt>
                <c:pt idx="9">
                  <c:v>2.567731572</c:v>
                </c:pt>
                <c:pt idx="10">
                  <c:v>2.6343502860000001</c:v>
                </c:pt>
                <c:pt idx="11">
                  <c:v>2.700229201</c:v>
                </c:pt>
                <c:pt idx="12">
                  <c:v>2.7642679289999998</c:v>
                </c:pt>
                <c:pt idx="13">
                  <c:v>2.825375068</c:v>
                </c:pt>
                <c:pt idx="14">
                  <c:v>2.8828147089999998</c:v>
                </c:pt>
                <c:pt idx="15">
                  <c:v>2.9363174760000001</c:v>
                </c:pt>
                <c:pt idx="16">
                  <c:v>2.985978502</c:v>
                </c:pt>
                <c:pt idx="17">
                  <c:v>3.032064831</c:v>
                </c:pt>
                <c:pt idx="18">
                  <c:v>3.0748312790000001</c:v>
                </c:pt>
                <c:pt idx="19">
                  <c:v>3.1144081579999998</c:v>
                </c:pt>
                <c:pt idx="20">
                  <c:v>3.1504052329999999</c:v>
                </c:pt>
                <c:pt idx="21">
                  <c:v>3.1831400639999998</c:v>
                </c:pt>
                <c:pt idx="22">
                  <c:v>3.2124899899999999</c:v>
                </c:pt>
                <c:pt idx="23">
                  <c:v>3.2383350129999999</c:v>
                </c:pt>
                <c:pt idx="24">
                  <c:v>3.2605927210000001</c:v>
                </c:pt>
                <c:pt idx="25">
                  <c:v>3.278182862</c:v>
                </c:pt>
                <c:pt idx="26">
                  <c:v>3.291958046</c:v>
                </c:pt>
                <c:pt idx="27">
                  <c:v>3.302096234</c:v>
                </c:pt>
                <c:pt idx="28">
                  <c:v>3.3086940600000001</c:v>
                </c:pt>
                <c:pt idx="29">
                  <c:v>3.3117624060000002</c:v>
                </c:pt>
                <c:pt idx="30">
                  <c:v>3.3112671960000002</c:v>
                </c:pt>
                <c:pt idx="31">
                  <c:v>3.307171077</c:v>
                </c:pt>
                <c:pt idx="32">
                  <c:v>3.299461027</c:v>
                </c:pt>
                <c:pt idx="33">
                  <c:v>3.288156904</c:v>
                </c:pt>
                <c:pt idx="34">
                  <c:v>3.2733045110000001</c:v>
                </c:pt>
                <c:pt idx="35">
                  <c:v>3.2549616549999998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2B-4332-9B45-E28FEF7596CF}"/>
            </c:ext>
          </c:extLst>
        </c:ser>
        <c:ser>
          <c:idx val="3"/>
          <c:order val="3"/>
          <c:tx>
            <c:strRef>
              <c:f>Données!$B$325</c:f>
              <c:strCache>
                <c:ptCount val="1"/>
                <c:pt idx="0">
                  <c:v>Electrique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Données!$C$321:$AL$321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Données!$C$325:$AL$325</c:f>
              <c:numCache>
                <c:formatCode>#,##0</c:formatCode>
                <c:ptCount val="36"/>
                <c:pt idx="0">
                  <c:v>44.765000000000001</c:v>
                </c:pt>
                <c:pt idx="1">
                  <c:v>62.90532503</c:v>
                </c:pt>
                <c:pt idx="2">
                  <c:v>82.633856399999999</c:v>
                </c:pt>
                <c:pt idx="3">
                  <c:v>104.0879429</c:v>
                </c:pt>
                <c:pt idx="4">
                  <c:v>127.9653084</c:v>
                </c:pt>
                <c:pt idx="5">
                  <c:v>155.42999620000001</c:v>
                </c:pt>
                <c:pt idx="6">
                  <c:v>187.9442396</c:v>
                </c:pt>
                <c:pt idx="7">
                  <c:v>227.27100250000001</c:v>
                </c:pt>
                <c:pt idx="8">
                  <c:v>275.3023594</c:v>
                </c:pt>
                <c:pt idx="9">
                  <c:v>334.22114040000002</c:v>
                </c:pt>
                <c:pt idx="10">
                  <c:v>405.92393029999999</c:v>
                </c:pt>
                <c:pt idx="11">
                  <c:v>491.09097059999999</c:v>
                </c:pt>
                <c:pt idx="12">
                  <c:v>589.81087500000001</c:v>
                </c:pt>
                <c:pt idx="13">
                  <c:v>701.78864850000002</c:v>
                </c:pt>
                <c:pt idx="14">
                  <c:v>826.78661450000004</c:v>
                </c:pt>
                <c:pt idx="15">
                  <c:v>964.9416129</c:v>
                </c:pt>
                <c:pt idx="16">
                  <c:v>1116.8644589999999</c:v>
                </c:pt>
                <c:pt idx="17">
                  <c:v>1283.5676559999999</c:v>
                </c:pt>
                <c:pt idx="18">
                  <c:v>1466.307802</c:v>
                </c:pt>
                <c:pt idx="19">
                  <c:v>1666.427551</c:v>
                </c:pt>
                <c:pt idx="20">
                  <c:v>1884.7978519999999</c:v>
                </c:pt>
                <c:pt idx="21">
                  <c:v>2123.1900970000002</c:v>
                </c:pt>
                <c:pt idx="22">
                  <c:v>2382.929032</c:v>
                </c:pt>
                <c:pt idx="23">
                  <c:v>2665.3678570000002</c:v>
                </c:pt>
                <c:pt idx="24">
                  <c:v>2971.9135230000002</c:v>
                </c:pt>
                <c:pt idx="25">
                  <c:v>3301.9112730000002</c:v>
                </c:pt>
                <c:pt idx="26">
                  <c:v>3658.218672</c:v>
                </c:pt>
                <c:pt idx="27">
                  <c:v>4042.435399</c:v>
                </c:pt>
                <c:pt idx="28">
                  <c:v>4455.9097149999998</c:v>
                </c:pt>
                <c:pt idx="29">
                  <c:v>4899.65067</c:v>
                </c:pt>
                <c:pt idx="30">
                  <c:v>5374.3840920000002</c:v>
                </c:pt>
                <c:pt idx="31">
                  <c:v>5880.6613889999999</c:v>
                </c:pt>
                <c:pt idx="32">
                  <c:v>6418.9661480000004</c:v>
                </c:pt>
                <c:pt idx="33">
                  <c:v>6989.7762210000001</c:v>
                </c:pt>
                <c:pt idx="34">
                  <c:v>7593.5640700000004</c:v>
                </c:pt>
                <c:pt idx="35">
                  <c:v>8230.746776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2B-4332-9B45-E28FEF759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Données!$B$322</c15:sqref>
                        </c15:formulaRef>
                      </c:ext>
                    </c:extLst>
                    <c:strCache>
                      <c:ptCount val="1"/>
                      <c:pt idx="0">
                        <c:v>Véhicules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Données!$C$321:$AL$321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Données!$C$322:$AL$322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32317.940999999999</c:v>
                      </c:pt>
                      <c:pt idx="1">
                        <c:v>31968.137040000001</c:v>
                      </c:pt>
                      <c:pt idx="2">
                        <c:v>31825.75805</c:v>
                      </c:pt>
                      <c:pt idx="3">
                        <c:v>31807.685979999998</c:v>
                      </c:pt>
                      <c:pt idx="4">
                        <c:v>31863.05039</c:v>
                      </c:pt>
                      <c:pt idx="5">
                        <c:v>31963.492910000001</c:v>
                      </c:pt>
                      <c:pt idx="6">
                        <c:v>32091.555359999998</c:v>
                      </c:pt>
                      <c:pt idx="7">
                        <c:v>32238.657670000001</c:v>
                      </c:pt>
                      <c:pt idx="8">
                        <c:v>32407.042020000001</c:v>
                      </c:pt>
                      <c:pt idx="9">
                        <c:v>32615.900750000001</c:v>
                      </c:pt>
                      <c:pt idx="10">
                        <c:v>32878.917670000003</c:v>
                      </c:pt>
                      <c:pt idx="11">
                        <c:v>33181.270049999999</c:v>
                      </c:pt>
                      <c:pt idx="12">
                        <c:v>33507.383520000003</c:v>
                      </c:pt>
                      <c:pt idx="13">
                        <c:v>33841.807229999999</c:v>
                      </c:pt>
                      <c:pt idx="14">
                        <c:v>34173.746959999997</c:v>
                      </c:pt>
                      <c:pt idx="15">
                        <c:v>34498.610650000002</c:v>
                      </c:pt>
                      <c:pt idx="16">
                        <c:v>34816.787020000003</c:v>
                      </c:pt>
                      <c:pt idx="17">
                        <c:v>35131.201009999997</c:v>
                      </c:pt>
                      <c:pt idx="18">
                        <c:v>35444.925920000001</c:v>
                      </c:pt>
                      <c:pt idx="19">
                        <c:v>35759.687230000003</c:v>
                      </c:pt>
                      <c:pt idx="20">
                        <c:v>36070.609149999997</c:v>
                      </c:pt>
                      <c:pt idx="21">
                        <c:v>36382.298970000003</c:v>
                      </c:pt>
                      <c:pt idx="22">
                        <c:v>36693.692439999999</c:v>
                      </c:pt>
                      <c:pt idx="23">
                        <c:v>37003.880060000003</c:v>
                      </c:pt>
                      <c:pt idx="24">
                        <c:v>37312.540390000002</c:v>
                      </c:pt>
                      <c:pt idx="25">
                        <c:v>37605.484920000003</c:v>
                      </c:pt>
                      <c:pt idx="26">
                        <c:v>37895.296159999998</c:v>
                      </c:pt>
                      <c:pt idx="27">
                        <c:v>38185.145109999998</c:v>
                      </c:pt>
                      <c:pt idx="28">
                        <c:v>38476.993340000001</c:v>
                      </c:pt>
                      <c:pt idx="29">
                        <c:v>38771.4666</c:v>
                      </c:pt>
                      <c:pt idx="30">
                        <c:v>39068.410129999997</c:v>
                      </c:pt>
                      <c:pt idx="31">
                        <c:v>39367.498919999998</c:v>
                      </c:pt>
                      <c:pt idx="32">
                        <c:v>39668.670180000001</c:v>
                      </c:pt>
                      <c:pt idx="33">
                        <c:v>39972.279670000004</c:v>
                      </c:pt>
                      <c:pt idx="34">
                        <c:v>40279.010829999999</c:v>
                      </c:pt>
                      <c:pt idx="35">
                        <c:v>40589.652329999997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A2B-4332-9B45-E28FEF7596CF}"/>
                  </c:ext>
                </c:extLst>
              </c15:ser>
            </c15:filteredAreaSeries>
          </c:ext>
        </c:extLst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5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Emploi</a:t>
            </a:r>
          </a:p>
          <a:p>
            <a:pPr>
              <a:defRPr/>
            </a:pPr>
            <a:r>
              <a:rPr lang="fr-FR" sz="1800" baseline="0"/>
              <a:t>(écart en milliers au tendanciel)</a:t>
            </a:r>
            <a:endParaRPr lang="fr-FR"/>
          </a:p>
        </c:rich>
      </c:tx>
      <c:layout>
        <c:manualLayout>
          <c:xMode val="edge"/>
          <c:yMode val="edge"/>
          <c:x val="0.34667829259601385"/>
          <c:y val="1.4648805850318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56623915506E-2"/>
          <c:y val="0.15388432122165863"/>
          <c:w val="0.90465257274928901"/>
          <c:h val="0.59335536214829432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Données!$B$238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Données!$C$236:$E$236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Données!$C$238:$E$238</c:f>
              <c:numCache>
                <c:formatCode>#,##0</c:formatCode>
                <c:ptCount val="3"/>
                <c:pt idx="0">
                  <c:v>-4.4547420999999758</c:v>
                </c:pt>
                <c:pt idx="1">
                  <c:v>2.694685800000002</c:v>
                </c:pt>
                <c:pt idx="2">
                  <c:v>3.7139709000000494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6-4F95-8245-39FB8CC2FEA0}"/>
            </c:ext>
          </c:extLst>
        </c:ser>
        <c:ser>
          <c:idx val="2"/>
          <c:order val="2"/>
          <c:tx>
            <c:strRef>
              <c:f>Données!$B$239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Données!$C$236:$E$236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Données!$C$239:$E$239</c:f>
              <c:numCache>
                <c:formatCode>#,##0</c:formatCode>
                <c:ptCount val="3"/>
                <c:pt idx="0">
                  <c:v>-41.380412000000206</c:v>
                </c:pt>
                <c:pt idx="1">
                  <c:v>-24.490512999999964</c:v>
                </c:pt>
                <c:pt idx="2">
                  <c:v>-24.133461000000352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6-4F95-8245-39FB8CC2FEA0}"/>
            </c:ext>
          </c:extLst>
        </c:ser>
        <c:ser>
          <c:idx val="3"/>
          <c:order val="3"/>
          <c:tx>
            <c:strRef>
              <c:f>Données!$B$240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Données!$C$236:$E$236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Données!$C$240:$E$240</c:f>
              <c:numCache>
                <c:formatCode>#,##0</c:formatCode>
                <c:ptCount val="3"/>
                <c:pt idx="0">
                  <c:v>-0.93231726000000492</c:v>
                </c:pt>
                <c:pt idx="1">
                  <c:v>0.39207452000000131</c:v>
                </c:pt>
                <c:pt idx="2">
                  <c:v>-8.2951270000002353E-2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6-4F95-8245-39FB8CC2FEA0}"/>
            </c:ext>
          </c:extLst>
        </c:ser>
        <c:ser>
          <c:idx val="4"/>
          <c:order val="4"/>
          <c:tx>
            <c:strRef>
              <c:f>Données!$B$241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Données!$C$236:$E$236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Données!$C$241:$E$241</c:f>
              <c:numCache>
                <c:formatCode>#,##0</c:formatCode>
                <c:ptCount val="3"/>
                <c:pt idx="0">
                  <c:v>-77.071483999999145</c:v>
                </c:pt>
                <c:pt idx="1">
                  <c:v>-63.681665000000521</c:v>
                </c:pt>
                <c:pt idx="2">
                  <c:v>-56.050072999999429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6-4F95-8245-39FB8CC2FEA0}"/>
            </c:ext>
          </c:extLst>
        </c:ser>
        <c:ser>
          <c:idx val="5"/>
          <c:order val="5"/>
          <c:tx>
            <c:strRef>
              <c:f>Données!$B$242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Données!$C$236:$E$236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Données!$C$242:$E$242</c:f>
              <c:numCache>
                <c:formatCode>#,##0</c:formatCode>
                <c:ptCount val="3"/>
                <c:pt idx="0">
                  <c:v>-0.14982200000000034</c:v>
                </c:pt>
                <c:pt idx="1">
                  <c:v>-0.37136079999999794</c:v>
                </c:pt>
                <c:pt idx="2">
                  <c:v>-0.23052019000000001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6-4F95-8245-39FB8CC2FEA0}"/>
            </c:ext>
          </c:extLst>
        </c:ser>
        <c:ser>
          <c:idx val="6"/>
          <c:order val="6"/>
          <c:tx>
            <c:strRef>
              <c:f>Données!$B$243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Données!$C$236:$E$236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Données!$C$243:$E$243</c:f>
              <c:numCache>
                <c:formatCode>#,##0</c:formatCode>
                <c:ptCount val="3"/>
                <c:pt idx="0">
                  <c:v>-221.61235999999917</c:v>
                </c:pt>
                <c:pt idx="1">
                  <c:v>-254.47238000000289</c:v>
                </c:pt>
                <c:pt idx="2">
                  <c:v>-217.38595999999961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16-4F95-8245-39FB8CC2FEA0}"/>
            </c:ext>
          </c:extLst>
        </c:ser>
        <c:ser>
          <c:idx val="7"/>
          <c:order val="7"/>
          <c:tx>
            <c:strRef>
              <c:f>Données!$B$244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Données!$C$236:$E$236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Données!$C$244:$E$244</c:f>
              <c:numCache>
                <c:formatCode>#,##0</c:formatCode>
                <c:ptCount val="3"/>
                <c:pt idx="0">
                  <c:v>-14.387757899999997</c:v>
                </c:pt>
                <c:pt idx="1">
                  <c:v>-13.267129599999976</c:v>
                </c:pt>
                <c:pt idx="2">
                  <c:v>-11.536836600000015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Données!$B$237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Données!$C$236:$E$236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Données!$C$237:$E$237</c:f>
              <c:numCache>
                <c:formatCode>#,##0</c:formatCode>
                <c:ptCount val="3"/>
                <c:pt idx="0">
                  <c:v>-359.98889999999665</c:v>
                </c:pt>
                <c:pt idx="1">
                  <c:v>-353.19629999999961</c:v>
                </c:pt>
                <c:pt idx="2">
                  <c:v>-305.70583999999872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4636183921227952"/>
          <c:y val="0.84134454112981361"/>
          <c:w val="0.68407532811298444"/>
          <c:h val="0.11273515869539671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Investissement</a:t>
            </a:r>
          </a:p>
          <a:p>
            <a:pPr>
              <a:defRPr/>
            </a:pPr>
            <a:r>
              <a:rPr lang="fr-FR" sz="1800" baseline="0"/>
              <a:t>(% d'écart au tendanciel)</a:t>
            </a:r>
            <a:endParaRPr lang="fr-FR"/>
          </a:p>
        </c:rich>
      </c:tx>
      <c:layout>
        <c:manualLayout>
          <c:xMode val="edge"/>
          <c:yMode val="edge"/>
          <c:x val="0.36169070013054455"/>
          <c:y val="1.6736092221899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37068890296E-2"/>
          <c:y val="0.15805885654508087"/>
          <c:w val="0.90465257274928901"/>
          <c:h val="0.6580612396673162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Données!$B$303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Données!$C$301:$E$301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Données!$C$303:$E$303</c:f>
              <c:numCache>
                <c:formatCode>0.0%</c:formatCode>
                <c:ptCount val="3"/>
                <c:pt idx="0">
                  <c:v>-5.3289277045325489E-2</c:v>
                </c:pt>
                <c:pt idx="1">
                  <c:v>-3.3806719072554947E-2</c:v>
                </c:pt>
                <c:pt idx="2">
                  <c:v>-2.1103726374196774E-2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F-4C8A-9797-5E7405BD4BE1}"/>
            </c:ext>
          </c:extLst>
        </c:ser>
        <c:ser>
          <c:idx val="2"/>
          <c:order val="2"/>
          <c:tx>
            <c:strRef>
              <c:f>Données!$B$304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Données!$C$301:$E$301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Données!$C$304:$E$304</c:f>
              <c:numCache>
                <c:formatCode>0.0%</c:formatCode>
                <c:ptCount val="3"/>
                <c:pt idx="0">
                  <c:v>-2.6230518672005543E-2</c:v>
                </c:pt>
                <c:pt idx="1">
                  <c:v>-1.4410423914215209E-2</c:v>
                </c:pt>
                <c:pt idx="2">
                  <c:v>-1.2097923998945159E-2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EF-4C8A-9797-5E7405BD4BE1}"/>
            </c:ext>
          </c:extLst>
        </c:ser>
        <c:ser>
          <c:idx val="3"/>
          <c:order val="3"/>
          <c:tx>
            <c:strRef>
              <c:f>Données!$B$305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Données!$C$301:$E$301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Données!$C$305:$E$305</c:f>
              <c:numCache>
                <c:formatCode>0.0%</c:formatCode>
                <c:ptCount val="3"/>
                <c:pt idx="0">
                  <c:v>-1.3412152023627E-2</c:v>
                </c:pt>
                <c:pt idx="1">
                  <c:v>3.6582051327558318E-3</c:v>
                </c:pt>
                <c:pt idx="2">
                  <c:v>2.675513531169571E-6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EF-4C8A-9797-5E7405BD4BE1}"/>
            </c:ext>
          </c:extLst>
        </c:ser>
        <c:ser>
          <c:idx val="4"/>
          <c:order val="4"/>
          <c:tx>
            <c:strRef>
              <c:f>Données!$B$306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Données!$C$301:$E$301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Données!$C$306:$E$306</c:f>
              <c:numCache>
                <c:formatCode>0.0%</c:formatCode>
                <c:ptCount val="3"/>
                <c:pt idx="0">
                  <c:v>-2.9680772547105105E-2</c:v>
                </c:pt>
                <c:pt idx="1">
                  <c:v>-2.4611374534230457E-2</c:v>
                </c:pt>
                <c:pt idx="2">
                  <c:v>-2.1079279200059919E-2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EF-4C8A-9797-5E7405BD4BE1}"/>
            </c:ext>
          </c:extLst>
        </c:ser>
        <c:ser>
          <c:idx val="5"/>
          <c:order val="5"/>
          <c:tx>
            <c:strRef>
              <c:f>Données!$B$307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Données!$C$301:$E$301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Données!$C$307:$E$307</c:f>
              <c:numCache>
                <c:formatCode>0.0%</c:formatCode>
                <c:ptCount val="3"/>
                <c:pt idx="0">
                  <c:v>-3.2139193387404896E-3</c:v>
                </c:pt>
                <c:pt idx="1">
                  <c:v>-1.0251685756024753E-2</c:v>
                </c:pt>
                <c:pt idx="2">
                  <c:v>-8.0547972542073243E-3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EF-4C8A-9797-5E7405BD4BE1}"/>
            </c:ext>
          </c:extLst>
        </c:ser>
        <c:ser>
          <c:idx val="7"/>
          <c:order val="7"/>
          <c:tx>
            <c:strRef>
              <c:f>Données!$B$309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Données!$C$301:$E$301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Données!$C$309:$E$309</c:f>
              <c:numCache>
                <c:formatCode>0.0%</c:formatCode>
                <c:ptCount val="3"/>
                <c:pt idx="0">
                  <c:v>-2.169744595122558E-2</c:v>
                </c:pt>
                <c:pt idx="1">
                  <c:v>-1.6213663646487131E-2</c:v>
                </c:pt>
                <c:pt idx="2">
                  <c:v>-1.452794053919948E-2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2-47FC-944C-E01F82931F8E}"/>
            </c:ext>
          </c:extLst>
        </c:ser>
        <c:ser>
          <c:idx val="6"/>
          <c:order val="6"/>
          <c:tx>
            <c:strRef>
              <c:f>Données!$B$308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Données!$C$301:$E$301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Données!$C$308:$E$308</c:f>
              <c:numCache>
                <c:formatCode>0.0%</c:formatCode>
                <c:ptCount val="3"/>
                <c:pt idx="0">
                  <c:v>-2.1863987728149348E-2</c:v>
                </c:pt>
                <c:pt idx="1">
                  <c:v>-1.2827921818187149E-2</c:v>
                </c:pt>
                <c:pt idx="2">
                  <c:v>-1.2836246170031651E-2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EF-4C8A-9797-5E7405BD4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Données!$B$302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Données!$C$301:$E$301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2040</c:v>
                      </c:pt>
                      <c:pt idx="2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Données!$C$302:$E$302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-2.3267531531105945E-2</c:v>
                      </c:pt>
                      <c:pt idx="1">
                        <c:v>-1.4474325931629561E-2</c:v>
                      </c:pt>
                      <c:pt idx="2">
                        <c:v>-1.3727176432449584E-2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27EF-4C8A-9797-5E7405BD4BE1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accent3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4.8635257171030545E-2"/>
          <c:y val="0.91284494667147675"/>
          <c:w val="0.899999957015297"/>
          <c:h val="5.7933044126384371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Investissement</a:t>
            </a:r>
          </a:p>
          <a:p>
            <a:pPr>
              <a:defRPr/>
            </a:pPr>
            <a:r>
              <a:rPr lang="fr-FR" sz="1800" baseline="0"/>
              <a:t>(contributions à l'écart en %)</a:t>
            </a:r>
            <a:endParaRPr lang="fr-FR"/>
          </a:p>
        </c:rich>
      </c:tx>
      <c:layout>
        <c:manualLayout>
          <c:xMode val="edge"/>
          <c:yMode val="edge"/>
          <c:x val="0.36169070013054455"/>
          <c:y val="1.6736092221899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37068890296E-2"/>
          <c:y val="0.15805885654508087"/>
          <c:w val="0.90465257274928901"/>
          <c:h val="0.6184027986072705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Données!$B$313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Données!$C$311:$E$311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Données!$C$313:$E$313</c:f>
              <c:numCache>
                <c:formatCode>0.0%</c:formatCode>
                <c:ptCount val="3"/>
                <c:pt idx="0">
                  <c:v>-1.1391698994575427E-3</c:v>
                </c:pt>
                <c:pt idx="1">
                  <c:v>-6.1228944682790141E-4</c:v>
                </c:pt>
                <c:pt idx="2">
                  <c:v>-3.2582493968418328E-4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B-4AD7-9A4D-33C053D706DF}"/>
            </c:ext>
          </c:extLst>
        </c:ser>
        <c:ser>
          <c:idx val="2"/>
          <c:order val="2"/>
          <c:tx>
            <c:strRef>
              <c:f>Données!$B$314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Données!$C$311:$E$311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Données!$C$314:$E$314</c:f>
              <c:numCache>
                <c:formatCode>0.0%</c:formatCode>
                <c:ptCount val="3"/>
                <c:pt idx="0">
                  <c:v>-4.6836880010967376E-4</c:v>
                </c:pt>
                <c:pt idx="1">
                  <c:v>-2.4865547554765163E-4</c:v>
                </c:pt>
                <c:pt idx="2">
                  <c:v>-2.0753123526928499E-4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CB-4AD7-9A4D-33C053D706DF}"/>
            </c:ext>
          </c:extLst>
        </c:ser>
        <c:ser>
          <c:idx val="3"/>
          <c:order val="3"/>
          <c:tx>
            <c:strRef>
              <c:f>Données!$B$315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Données!$C$311:$E$311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Données!$C$315:$E$315</c:f>
              <c:numCache>
                <c:formatCode>0.0%</c:formatCode>
                <c:ptCount val="3"/>
                <c:pt idx="0">
                  <c:v>-1.9979061635135608E-4</c:v>
                </c:pt>
                <c:pt idx="1">
                  <c:v>5.2322949819734154E-5</c:v>
                </c:pt>
                <c:pt idx="2">
                  <c:v>3.804510295122293E-8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CB-4AD7-9A4D-33C053D706DF}"/>
            </c:ext>
          </c:extLst>
        </c:ser>
        <c:ser>
          <c:idx val="4"/>
          <c:order val="4"/>
          <c:tx>
            <c:strRef>
              <c:f>Données!$B$316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Données!$C$311:$E$311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Données!$C$316:$E$316</c:f>
              <c:numCache>
                <c:formatCode>0.0%</c:formatCode>
                <c:ptCount val="3"/>
                <c:pt idx="0">
                  <c:v>-3.6316890916055149E-3</c:v>
                </c:pt>
                <c:pt idx="1">
                  <c:v>-2.9105445513269044E-3</c:v>
                </c:pt>
                <c:pt idx="2">
                  <c:v>-2.4189683813913877E-3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CB-4AD7-9A4D-33C053D706DF}"/>
            </c:ext>
          </c:extLst>
        </c:ser>
        <c:ser>
          <c:idx val="5"/>
          <c:order val="5"/>
          <c:tx>
            <c:strRef>
              <c:f>Données!$B$317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Données!$C$311:$E$311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Données!$C$317:$E$317</c:f>
              <c:numCache>
                <c:formatCode>0.0%</c:formatCode>
                <c:ptCount val="3"/>
                <c:pt idx="0">
                  <c:v>-2.9558128227067982E-5</c:v>
                </c:pt>
                <c:pt idx="1">
                  <c:v>-8.9056482927172057E-5</c:v>
                </c:pt>
                <c:pt idx="2">
                  <c:v>-6.4288032471813628E-5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CB-4AD7-9A4D-33C053D706DF}"/>
            </c:ext>
          </c:extLst>
        </c:ser>
        <c:ser>
          <c:idx val="6"/>
          <c:order val="6"/>
          <c:tx>
            <c:strRef>
              <c:f>Données!$B$318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Données!$C$311:$E$311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Données!$C$318:$E$318</c:f>
              <c:numCache>
                <c:formatCode>0.0%</c:formatCode>
                <c:ptCount val="3"/>
                <c:pt idx="0">
                  <c:v>-1.711749065081189E-2</c:v>
                </c:pt>
                <c:pt idx="1">
                  <c:v>-1.0168990178815476E-2</c:v>
                </c:pt>
                <c:pt idx="2">
                  <c:v>-1.0274811220183883E-2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CB-4AD7-9A4D-33C053D706DF}"/>
            </c:ext>
          </c:extLst>
        </c:ser>
        <c:ser>
          <c:idx val="7"/>
          <c:order val="7"/>
          <c:tx>
            <c:strRef>
              <c:f>Données!$B$319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Données!$C$311:$E$311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Données!$C$319:$E$319</c:f>
              <c:numCache>
                <c:formatCode>0.0%</c:formatCode>
                <c:ptCount val="3"/>
                <c:pt idx="0">
                  <c:v>-6.8146444876188682E-4</c:v>
                </c:pt>
                <c:pt idx="1">
                  <c:v>-4.9711272314696318E-4</c:v>
                </c:pt>
                <c:pt idx="2">
                  <c:v>-4.3579064174237059E-4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CB-4AD7-9A4D-33C053D70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Données!$B$312</c:f>
              <c:strCache>
                <c:ptCount val="1"/>
                <c:pt idx="0">
                  <c:v>Entreprises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Données!$C$311:$E$311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Données!$C$312:$E$312</c:f>
              <c:numCache>
                <c:formatCode>0.0%</c:formatCode>
                <c:ptCount val="3"/>
                <c:pt idx="0">
                  <c:v>-2.3267531531105945E-2</c:v>
                </c:pt>
                <c:pt idx="1">
                  <c:v>-1.4474325931629561E-2</c:v>
                </c:pt>
                <c:pt idx="2">
                  <c:v>-1.3727176432449584E-2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9ACB-4AD7-9A4D-33C053D70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accent3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188588077160981"/>
          <c:y val="0.8648373601251057"/>
          <c:w val="0.71410014318204573"/>
          <c:h val="0.11273515869539671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 de CO2 des</a:t>
            </a:r>
            <a:r>
              <a:rPr lang="fr-FR" sz="2400" baseline="0"/>
              <a:t> entreprises (MtCO2/an)</a:t>
            </a:r>
          </a:p>
          <a:p>
            <a:pPr>
              <a:defRPr/>
            </a:pPr>
            <a:r>
              <a:rPr lang="fr-FR" sz="1800" i="1" baseline="0"/>
              <a:t>Scénario Net Zero 2050</a:t>
            </a:r>
            <a:endParaRPr lang="fr-FR" sz="1800" i="1"/>
          </a:p>
        </c:rich>
      </c:tx>
      <c:layout>
        <c:manualLayout>
          <c:xMode val="edge"/>
          <c:yMode val="edge"/>
          <c:x val="0.19666974238549709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Données!$B$586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Données!$C$585:$F$585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Données!$C$586:$F$586</c:f>
              <c:numCache>
                <c:formatCode>#,##0</c:formatCode>
                <c:ptCount val="4"/>
                <c:pt idx="0">
                  <c:v>14.181977179299999</c:v>
                </c:pt>
                <c:pt idx="1">
                  <c:v>15.559063695700001</c:v>
                </c:pt>
                <c:pt idx="2">
                  <c:v>15.929786482399999</c:v>
                </c:pt>
                <c:pt idx="3">
                  <c:v>16.3002939197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4-46BD-89B3-C66A209FCBCA}"/>
            </c:ext>
          </c:extLst>
        </c:ser>
        <c:ser>
          <c:idx val="1"/>
          <c:order val="1"/>
          <c:tx>
            <c:strRef>
              <c:f>Données!$B$587</c:f>
              <c:strCache>
                <c:ptCount val="1"/>
                <c:pt idx="0">
                  <c:v>Alimentation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Données!$C$585:$F$585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Données!$C$587:$F$587</c:f>
              <c:numCache>
                <c:formatCode>#,##0</c:formatCode>
                <c:ptCount val="4"/>
                <c:pt idx="0">
                  <c:v>9.9127603149999999</c:v>
                </c:pt>
                <c:pt idx="1">
                  <c:v>10.045637429999999</c:v>
                </c:pt>
                <c:pt idx="2">
                  <c:v>10.265964070000001</c:v>
                </c:pt>
                <c:pt idx="3">
                  <c:v>10.48640103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4-46BD-89B3-C66A209FCBCA}"/>
            </c:ext>
          </c:extLst>
        </c:ser>
        <c:ser>
          <c:idx val="2"/>
          <c:order val="2"/>
          <c:tx>
            <c:strRef>
              <c:f>Données!$B$588</c:f>
              <c:strCache>
                <c:ptCount val="1"/>
                <c:pt idx="0">
                  <c:v>Verre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Données!$C$585:$F$585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Données!$C$588:$F$588</c:f>
              <c:numCache>
                <c:formatCode>#,##0</c:formatCode>
                <c:ptCount val="4"/>
                <c:pt idx="0">
                  <c:v>22.436313386000002</c:v>
                </c:pt>
                <c:pt idx="1">
                  <c:v>25.190863217</c:v>
                </c:pt>
                <c:pt idx="2">
                  <c:v>28.991644965999999</c:v>
                </c:pt>
                <c:pt idx="3">
                  <c:v>33.818343216000002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4-46BD-89B3-C66A209FCBCA}"/>
            </c:ext>
          </c:extLst>
        </c:ser>
        <c:ser>
          <c:idx val="3"/>
          <c:order val="3"/>
          <c:tx>
            <c:strRef>
              <c:f>Données!$B$589</c:f>
              <c:strCache>
                <c:ptCount val="1"/>
                <c:pt idx="0">
                  <c:v>Chimie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Données!$C$585:$F$585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Données!$C$589:$F$589</c:f>
              <c:numCache>
                <c:formatCode>#,##0</c:formatCode>
                <c:ptCount val="4"/>
                <c:pt idx="0">
                  <c:v>6.6597788390000003</c:v>
                </c:pt>
                <c:pt idx="1">
                  <c:v>7.4926168650000005</c:v>
                </c:pt>
                <c:pt idx="2">
                  <c:v>8.6232998829999996</c:v>
                </c:pt>
                <c:pt idx="3">
                  <c:v>9.923505123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84-46BD-89B3-C66A209FCBCA}"/>
            </c:ext>
          </c:extLst>
        </c:ser>
        <c:ser>
          <c:idx val="4"/>
          <c:order val="4"/>
          <c:tx>
            <c:strRef>
              <c:f>Données!$B$590</c:f>
              <c:strCache>
                <c:ptCount val="1"/>
                <c:pt idx="0">
                  <c:v>Métallurgie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Données!$C$585:$F$585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Données!$C$590:$F$590</c:f>
              <c:numCache>
                <c:formatCode>#,##0</c:formatCode>
                <c:ptCount val="4"/>
                <c:pt idx="0">
                  <c:v>22.167634912</c:v>
                </c:pt>
                <c:pt idx="1">
                  <c:v>25.182294328000001</c:v>
                </c:pt>
                <c:pt idx="2">
                  <c:v>28.890857629999999</c:v>
                </c:pt>
                <c:pt idx="3">
                  <c:v>33.20471663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84-46BD-89B3-C66A209FCBCA}"/>
            </c:ext>
          </c:extLst>
        </c:ser>
        <c:ser>
          <c:idx val="5"/>
          <c:order val="5"/>
          <c:tx>
            <c:strRef>
              <c:f>Données!$B$591</c:f>
              <c:strCache>
                <c:ptCount val="1"/>
                <c:pt idx="0">
                  <c:v>Autres industries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Données!$C$585:$F$585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Données!$C$591:$F$591</c:f>
              <c:numCache>
                <c:formatCode>#,##0</c:formatCode>
                <c:ptCount val="4"/>
                <c:pt idx="0">
                  <c:v>19.209045346499998</c:v>
                </c:pt>
                <c:pt idx="1">
                  <c:v>21.697405747399998</c:v>
                </c:pt>
                <c:pt idx="2">
                  <c:v>24.882467294400001</c:v>
                </c:pt>
                <c:pt idx="3">
                  <c:v>29.071966438800001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84-46BD-89B3-C66A209FCBCA}"/>
            </c:ext>
          </c:extLst>
        </c:ser>
        <c:ser>
          <c:idx val="6"/>
          <c:order val="6"/>
          <c:tx>
            <c:strRef>
              <c:f>Données!$B$592</c:f>
              <c:strCache>
                <c:ptCount val="1"/>
                <c:pt idx="0">
                  <c:v>Routier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Données!$C$585:$F$585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Données!$C$592:$F$592</c:f>
              <c:numCache>
                <c:formatCode>#,##0</c:formatCode>
                <c:ptCount val="4"/>
                <c:pt idx="0">
                  <c:v>16.193397600000001</c:v>
                </c:pt>
                <c:pt idx="1">
                  <c:v>17.782477060000002</c:v>
                </c:pt>
                <c:pt idx="2">
                  <c:v>20.050802789999999</c:v>
                </c:pt>
                <c:pt idx="3">
                  <c:v>22.580017430000002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84-46BD-89B3-C66A209FCBCA}"/>
            </c:ext>
          </c:extLst>
        </c:ser>
        <c:ser>
          <c:idx val="7"/>
          <c:order val="7"/>
          <c:tx>
            <c:strRef>
              <c:f>Données!$B$593</c:f>
              <c:strCache>
                <c:ptCount val="1"/>
                <c:pt idx="0">
                  <c:v>Aérien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Données!$C$585:$F$585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Données!$C$593:$F$593</c:f>
              <c:numCache>
                <c:formatCode>#,##0</c:formatCode>
                <c:ptCount val="4"/>
                <c:pt idx="0">
                  <c:v>21.604163379999999</c:v>
                </c:pt>
                <c:pt idx="1">
                  <c:v>25.602144729999999</c:v>
                </c:pt>
                <c:pt idx="2">
                  <c:v>30.31274136</c:v>
                </c:pt>
                <c:pt idx="3">
                  <c:v>35.63199307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84-46BD-89B3-C66A209FCBCA}"/>
            </c:ext>
          </c:extLst>
        </c:ser>
        <c:ser>
          <c:idx val="8"/>
          <c:order val="8"/>
          <c:tx>
            <c:strRef>
              <c:f>Données!$B$594</c:f>
              <c:strCache>
                <c:ptCount val="1"/>
                <c:pt idx="0">
                  <c:v>Autres transports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Données!$C$585:$F$585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Données!$C$594:$F$594</c:f>
              <c:numCache>
                <c:formatCode>#,##0</c:formatCode>
                <c:ptCount val="4"/>
                <c:pt idx="0">
                  <c:v>9.8358231140000001</c:v>
                </c:pt>
                <c:pt idx="1">
                  <c:v>11.053839012000001</c:v>
                </c:pt>
                <c:pt idx="2">
                  <c:v>12.607627031</c:v>
                </c:pt>
                <c:pt idx="3">
                  <c:v>14.342155457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84-46BD-89B3-C66A209FCBCA}"/>
            </c:ext>
          </c:extLst>
        </c:ser>
        <c:ser>
          <c:idx val="9"/>
          <c:order val="9"/>
          <c:tx>
            <c:strRef>
              <c:f>Données!$B$595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Données!$C$585:$F$585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Données!$C$595:$F$595</c:f>
              <c:numCache>
                <c:formatCode>#,##0</c:formatCode>
                <c:ptCount val="4"/>
                <c:pt idx="0">
                  <c:v>57.910599792599996</c:v>
                </c:pt>
                <c:pt idx="1">
                  <c:v>73.059641804199998</c:v>
                </c:pt>
                <c:pt idx="2">
                  <c:v>85.307201746800004</c:v>
                </c:pt>
                <c:pt idx="3">
                  <c:v>99.723163980799995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84-46BD-89B3-C66A209FCBCA}"/>
            </c:ext>
          </c:extLst>
        </c:ser>
        <c:ser>
          <c:idx val="10"/>
          <c:order val="10"/>
          <c:tx>
            <c:strRef>
              <c:f>Données!$B$596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Données!$C$585:$F$585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Données!$C$596:$F$596</c:f>
              <c:numCache>
                <c:formatCode>#,##0</c:formatCode>
                <c:ptCount val="4"/>
                <c:pt idx="0">
                  <c:v>40.499907658300003</c:v>
                </c:pt>
                <c:pt idx="1">
                  <c:v>46.913013957499999</c:v>
                </c:pt>
                <c:pt idx="2">
                  <c:v>52.348554300100005</c:v>
                </c:pt>
                <c:pt idx="3">
                  <c:v>57.692192416700003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84-46BD-89B3-C66A209FCBCA}"/>
            </c:ext>
          </c:extLst>
        </c:ser>
        <c:ser>
          <c:idx val="11"/>
          <c:order val="11"/>
          <c:tx>
            <c:strRef>
              <c:f>Données!$B$597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Données!$C$585:$F$585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Données!$C$597:$F$597</c:f>
              <c:numCache>
                <c:formatCode>#,##0</c:formatCode>
                <c:ptCount val="4"/>
                <c:pt idx="0">
                  <c:v>10.037716120400002</c:v>
                </c:pt>
                <c:pt idx="1">
                  <c:v>12.1333648794</c:v>
                </c:pt>
                <c:pt idx="2">
                  <c:v>13.7891681239</c:v>
                </c:pt>
                <c:pt idx="3">
                  <c:v>15.8065553018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84-46BD-89B3-C66A209FC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0024052171481532"/>
          <c:y val="0.80979270012578475"/>
          <c:w val="0.80772028746364921"/>
          <c:h val="0.17134700613875334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Intensité capitalistique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d'écart au tendanciel)</a:t>
            </a:r>
            <a:endParaRPr lang="fr-FR" sz="1800"/>
          </a:p>
        </c:rich>
      </c:tx>
      <c:layout>
        <c:manualLayout>
          <c:xMode val="edge"/>
          <c:yMode val="edge"/>
          <c:x val="0.35804860624249651"/>
          <c:y val="2.29979513366439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648261333239339E-2"/>
          <c:y val="0.15917119939255037"/>
          <c:w val="0.90333933113222997"/>
          <c:h val="0.65577656503335136"/>
        </c:manualLayout>
      </c:layout>
      <c:lineChart>
        <c:grouping val="standard"/>
        <c:varyColors val="0"/>
        <c:ser>
          <c:idx val="1"/>
          <c:order val="1"/>
          <c:tx>
            <c:strRef>
              <c:f>Données!$B$201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Données!$C$199:$AL$199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Données!$C$201:$AL$201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-5.5175686656934175E-3</c:v>
                </c:pt>
                <c:pt idx="7">
                  <c:v>-2.3455291285984226E-3</c:v>
                </c:pt>
                <c:pt idx="8">
                  <c:v>4.8176133680057909E-3</c:v>
                </c:pt>
                <c:pt idx="9">
                  <c:v>1.3927208251630629E-2</c:v>
                </c:pt>
                <c:pt idx="10">
                  <c:v>2.334252253887259E-2</c:v>
                </c:pt>
                <c:pt idx="11">
                  <c:v>3.1828154607410841E-2</c:v>
                </c:pt>
                <c:pt idx="12">
                  <c:v>3.8667851108957096E-2</c:v>
                </c:pt>
                <c:pt idx="13">
                  <c:v>4.3515218481102291E-2</c:v>
                </c:pt>
                <c:pt idx="14">
                  <c:v>4.6325425859968128E-2</c:v>
                </c:pt>
                <c:pt idx="15">
                  <c:v>4.724943231046308E-2</c:v>
                </c:pt>
                <c:pt idx="16">
                  <c:v>4.654891870875888E-2</c:v>
                </c:pt>
                <c:pt idx="17">
                  <c:v>4.4537931397296671E-2</c:v>
                </c:pt>
                <c:pt idx="18">
                  <c:v>4.1552343240484957E-2</c:v>
                </c:pt>
                <c:pt idx="19">
                  <c:v>3.7932335551022378E-2</c:v>
                </c:pt>
                <c:pt idx="20">
                  <c:v>3.4008955368285632E-2</c:v>
                </c:pt>
                <c:pt idx="21">
                  <c:v>3.0092063277426195E-2</c:v>
                </c:pt>
                <c:pt idx="22">
                  <c:v>2.6439197312730256E-2</c:v>
                </c:pt>
                <c:pt idx="23">
                  <c:v>2.3249411909291195E-2</c:v>
                </c:pt>
                <c:pt idx="24">
                  <c:v>2.0647758614805278E-2</c:v>
                </c:pt>
                <c:pt idx="25">
                  <c:v>1.8683080253002249E-2</c:v>
                </c:pt>
                <c:pt idx="26">
                  <c:v>1.7354095144839432E-2</c:v>
                </c:pt>
                <c:pt idx="27">
                  <c:v>1.6594167958134509E-2</c:v>
                </c:pt>
                <c:pt idx="28">
                  <c:v>1.6315109158220764E-2</c:v>
                </c:pt>
                <c:pt idx="29">
                  <c:v>1.6414091683016663E-2</c:v>
                </c:pt>
                <c:pt idx="30">
                  <c:v>1.6789612126139497E-2</c:v>
                </c:pt>
                <c:pt idx="31">
                  <c:v>1.7351491685184461E-2</c:v>
                </c:pt>
                <c:pt idx="32">
                  <c:v>1.8025362927237776E-2</c:v>
                </c:pt>
                <c:pt idx="33">
                  <c:v>1.8753561240363315E-2</c:v>
                </c:pt>
                <c:pt idx="34">
                  <c:v>1.9493920605490045E-2</c:v>
                </c:pt>
                <c:pt idx="35">
                  <c:v>2.02173032531765E-2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6A1-8051-5FF16B24E7D2}"/>
            </c:ext>
          </c:extLst>
        </c:ser>
        <c:ser>
          <c:idx val="2"/>
          <c:order val="2"/>
          <c:tx>
            <c:strRef>
              <c:f>Données!$B$204</c:f>
              <c:strCache>
                <c:ptCount val="1"/>
                <c:pt idx="0">
                  <c:v>Industrie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Données!$C$199:$AL$199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Données!$C$204:$AL$204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-8.6721462436356589E-4</c:v>
                </c:pt>
                <c:pt idx="7">
                  <c:v>2.0639554305745822E-3</c:v>
                </c:pt>
                <c:pt idx="8">
                  <c:v>6.7809088864239087E-3</c:v>
                </c:pt>
                <c:pt idx="9">
                  <c:v>1.1525200707621197E-2</c:v>
                </c:pt>
                <c:pt idx="10">
                  <c:v>1.499904096271254E-2</c:v>
                </c:pt>
                <c:pt idx="11">
                  <c:v>1.6797139475015044E-2</c:v>
                </c:pt>
                <c:pt idx="12">
                  <c:v>1.7027437933352596E-2</c:v>
                </c:pt>
                <c:pt idx="13">
                  <c:v>1.6185860522086815E-2</c:v>
                </c:pt>
                <c:pt idx="14">
                  <c:v>1.4838644350301688E-2</c:v>
                </c:pt>
                <c:pt idx="15">
                  <c:v>1.340247392622218E-2</c:v>
                </c:pt>
                <c:pt idx="16">
                  <c:v>1.2064218925754711E-2</c:v>
                </c:pt>
                <c:pt idx="17">
                  <c:v>1.0817504369496689E-2</c:v>
                </c:pt>
                <c:pt idx="18">
                  <c:v>9.5621030101427085E-3</c:v>
                </c:pt>
                <c:pt idx="19">
                  <c:v>8.204378368704246E-3</c:v>
                </c:pt>
                <c:pt idx="20">
                  <c:v>6.7200861586536043E-3</c:v>
                </c:pt>
                <c:pt idx="21">
                  <c:v>5.1528630199302317E-3</c:v>
                </c:pt>
                <c:pt idx="22">
                  <c:v>3.6190910727160741E-3</c:v>
                </c:pt>
                <c:pt idx="23">
                  <c:v>2.2316165895093221E-3</c:v>
                </c:pt>
                <c:pt idx="24">
                  <c:v>1.0732302336542432E-3</c:v>
                </c:pt>
                <c:pt idx="25">
                  <c:v>1.9143502539620272E-4</c:v>
                </c:pt>
                <c:pt idx="26">
                  <c:v>-4.5716362272796296E-4</c:v>
                </c:pt>
                <c:pt idx="27">
                  <c:v>-8.9236097580602802E-4</c:v>
                </c:pt>
                <c:pt idx="28">
                  <c:v>-1.165952464875053E-3</c:v>
                </c:pt>
                <c:pt idx="29">
                  <c:v>-1.3308518248038581E-3</c:v>
                </c:pt>
                <c:pt idx="30">
                  <c:v>-1.4265424847312858E-3</c:v>
                </c:pt>
                <c:pt idx="31">
                  <c:v>-1.4761316659183121E-3</c:v>
                </c:pt>
                <c:pt idx="32">
                  <c:v>-1.4903693006665941E-3</c:v>
                </c:pt>
                <c:pt idx="33">
                  <c:v>-1.4741471489351232E-3</c:v>
                </c:pt>
                <c:pt idx="34">
                  <c:v>-1.4319240234833552E-3</c:v>
                </c:pt>
                <c:pt idx="35">
                  <c:v>-1.3706613396179401E-3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C-46A1-8051-5FF16B24E7D2}"/>
            </c:ext>
          </c:extLst>
        </c:ser>
        <c:ser>
          <c:idx val="3"/>
          <c:order val="3"/>
          <c:tx>
            <c:strRef>
              <c:f>Données!$B$207</c:f>
              <c:strCache>
                <c:ptCount val="1"/>
                <c:pt idx="0">
                  <c:v>Transports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Données!$C$199:$AL$199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Données!$C$207:$AL$207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-3.9961741836336273E-4</c:v>
                </c:pt>
                <c:pt idx="7">
                  <c:v>1.6624393706758944E-3</c:v>
                </c:pt>
                <c:pt idx="8">
                  <c:v>5.1165855360728596E-3</c:v>
                </c:pt>
                <c:pt idx="9">
                  <c:v>8.4093627918881975E-3</c:v>
                </c:pt>
                <c:pt idx="10">
                  <c:v>1.0359758150374487E-2</c:v>
                </c:pt>
                <c:pt idx="11">
                  <c:v>1.0662998108324162E-2</c:v>
                </c:pt>
                <c:pt idx="12">
                  <c:v>9.5948963656427022E-3</c:v>
                </c:pt>
                <c:pt idx="13">
                  <c:v>7.7854767828309246E-3</c:v>
                </c:pt>
                <c:pt idx="14">
                  <c:v>5.8748910188519687E-3</c:v>
                </c:pt>
                <c:pt idx="15">
                  <c:v>4.2871678457878648E-3</c:v>
                </c:pt>
                <c:pt idx="16">
                  <c:v>3.1615846570780537E-3</c:v>
                </c:pt>
                <c:pt idx="17">
                  <c:v>2.4116451982922893E-3</c:v>
                </c:pt>
                <c:pt idx="18">
                  <c:v>1.8472703615690644E-3</c:v>
                </c:pt>
                <c:pt idx="19">
                  <c:v>1.292285445527952E-3</c:v>
                </c:pt>
                <c:pt idx="20">
                  <c:v>6.4133603491400848E-4</c:v>
                </c:pt>
                <c:pt idx="21">
                  <c:v>-7.5448286751211846E-5</c:v>
                </c:pt>
                <c:pt idx="22">
                  <c:v>-8.0139493710718046E-4</c:v>
                </c:pt>
                <c:pt idx="23">
                  <c:v>-1.4511049985491686E-3</c:v>
                </c:pt>
                <c:pt idx="24">
                  <c:v>-1.9601161318211213E-3</c:v>
                </c:pt>
                <c:pt idx="25">
                  <c:v>-2.3253088639982877E-3</c:v>
                </c:pt>
                <c:pt idx="26">
                  <c:v>-2.5283262161244213E-3</c:v>
                </c:pt>
                <c:pt idx="27">
                  <c:v>-2.6217585746958205E-3</c:v>
                </c:pt>
                <c:pt idx="28">
                  <c:v>-2.6537336414466095E-3</c:v>
                </c:pt>
                <c:pt idx="29">
                  <c:v>-2.6631071471612255E-3</c:v>
                </c:pt>
                <c:pt idx="30">
                  <c:v>-2.6713885664597647E-3</c:v>
                </c:pt>
                <c:pt idx="31">
                  <c:v>-2.6830285077351634E-3</c:v>
                </c:pt>
                <c:pt idx="32">
                  <c:v>-2.6917203849681215E-3</c:v>
                </c:pt>
                <c:pt idx="33">
                  <c:v>-2.6883327751348052E-3</c:v>
                </c:pt>
                <c:pt idx="34">
                  <c:v>-2.6668935155278461E-3</c:v>
                </c:pt>
                <c:pt idx="35">
                  <c:v>-2.6271641911671528E-3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C-46A1-8051-5FF16B24E7D2}"/>
            </c:ext>
          </c:extLst>
        </c:ser>
        <c:ser>
          <c:idx val="4"/>
          <c:order val="4"/>
          <c:tx>
            <c:strRef>
              <c:f>Données!$B$206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Données!$C$199:$AL$199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Données!$C$206:$AL$206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-5.4306277191717989E-4</c:v>
                </c:pt>
                <c:pt idx="7">
                  <c:v>2.3868551997596743E-3</c:v>
                </c:pt>
                <c:pt idx="8">
                  <c:v>6.825515015692174E-3</c:v>
                </c:pt>
                <c:pt idx="9">
                  <c:v>1.0504597633167911E-2</c:v>
                </c:pt>
                <c:pt idx="10">
                  <c:v>1.2010564660208223E-2</c:v>
                </c:pt>
                <c:pt idx="11">
                  <c:v>1.1284626793611086E-2</c:v>
                </c:pt>
                <c:pt idx="12">
                  <c:v>8.96831342209925E-3</c:v>
                </c:pt>
                <c:pt idx="13">
                  <c:v>6.0735433768204228E-3</c:v>
                </c:pt>
                <c:pt idx="14">
                  <c:v>3.4715304225114707E-3</c:v>
                </c:pt>
                <c:pt idx="15">
                  <c:v>1.6339218903806962E-3</c:v>
                </c:pt>
                <c:pt idx="16">
                  <c:v>6.0827161402987606E-4</c:v>
                </c:pt>
                <c:pt idx="17">
                  <c:v>1.5630295313462383E-4</c:v>
                </c:pt>
                <c:pt idx="18">
                  <c:v>-5.153506915567263E-5</c:v>
                </c:pt>
                <c:pt idx="19">
                  <c:v>-2.7745203494033976E-4</c:v>
                </c:pt>
                <c:pt idx="20">
                  <c:v>-6.6782366391904269E-4</c:v>
                </c:pt>
                <c:pt idx="21">
                  <c:v>-1.1399552884987507E-3</c:v>
                </c:pt>
                <c:pt idx="22">
                  <c:v>-1.6339285048849739E-3</c:v>
                </c:pt>
                <c:pt idx="23">
                  <c:v>-2.0425030696776814E-3</c:v>
                </c:pt>
                <c:pt idx="24">
                  <c:v>-2.2996362547921256E-3</c:v>
                </c:pt>
                <c:pt idx="25">
                  <c:v>-2.4460174595807294E-3</c:v>
                </c:pt>
                <c:pt idx="26">
                  <c:v>-2.4302757744532055E-3</c:v>
                </c:pt>
                <c:pt idx="27">
                  <c:v>-2.3600501506293448E-3</c:v>
                </c:pt>
                <c:pt idx="28">
                  <c:v>-2.2983552289101983E-3</c:v>
                </c:pt>
                <c:pt idx="29">
                  <c:v>-2.2866949644121393E-3</c:v>
                </c:pt>
                <c:pt idx="30">
                  <c:v>-2.3382012347091807E-3</c:v>
                </c:pt>
                <c:pt idx="31">
                  <c:v>-2.4423975711103107E-3</c:v>
                </c:pt>
                <c:pt idx="32">
                  <c:v>-2.5766505428875819E-3</c:v>
                </c:pt>
                <c:pt idx="33">
                  <c:v>-2.7180078315391931E-3</c:v>
                </c:pt>
                <c:pt idx="34">
                  <c:v>-2.8508987811051156E-3</c:v>
                </c:pt>
                <c:pt idx="35">
                  <c:v>-2.9693680274355261E-3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C-46A1-8051-5FF16B24E7D2}"/>
            </c:ext>
          </c:extLst>
        </c:ser>
        <c:ser>
          <c:idx val="5"/>
          <c:order val="5"/>
          <c:tx>
            <c:strRef>
              <c:f>Données!$B$205</c:f>
              <c:strCache>
                <c:ptCount val="1"/>
                <c:pt idx="0">
                  <c:v>Oil &amp; Gas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Données!$C$199:$AL$199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Données!$C$205:$AL$205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-1.348142141656794E-3</c:v>
                </c:pt>
                <c:pt idx="7">
                  <c:v>-3.2819731420332676E-3</c:v>
                </c:pt>
                <c:pt idx="8">
                  <c:v>-5.3023669814468155E-3</c:v>
                </c:pt>
                <c:pt idx="9">
                  <c:v>-6.2288830331661549E-3</c:v>
                </c:pt>
                <c:pt idx="10">
                  <c:v>-5.5005044807803216E-3</c:v>
                </c:pt>
                <c:pt idx="11">
                  <c:v>-3.4919435002467303E-3</c:v>
                </c:pt>
                <c:pt idx="12">
                  <c:v>-8.6966987696179832E-4</c:v>
                </c:pt>
                <c:pt idx="13">
                  <c:v>1.6245108672396924E-3</c:v>
                </c:pt>
                <c:pt idx="14">
                  <c:v>3.4674409011750118E-3</c:v>
                </c:pt>
                <c:pt idx="15">
                  <c:v>4.4713876013546816E-3</c:v>
                </c:pt>
                <c:pt idx="16">
                  <c:v>4.735741295704976E-3</c:v>
                </c:pt>
                <c:pt idx="17">
                  <c:v>4.5019632059863923E-3</c:v>
                </c:pt>
                <c:pt idx="18">
                  <c:v>4.0210288415936102E-3</c:v>
                </c:pt>
                <c:pt idx="19">
                  <c:v>3.4681113806012132E-3</c:v>
                </c:pt>
                <c:pt idx="20">
                  <c:v>2.927268458586596E-3</c:v>
                </c:pt>
                <c:pt idx="21">
                  <c:v>2.3680275203710188E-3</c:v>
                </c:pt>
                <c:pt idx="22">
                  <c:v>1.7581153991073073E-3</c:v>
                </c:pt>
                <c:pt idx="23">
                  <c:v>1.0750242650436892E-3</c:v>
                </c:pt>
                <c:pt idx="24">
                  <c:v>3.2666458231611628E-4</c:v>
                </c:pt>
                <c:pt idx="25">
                  <c:v>-4.3498389498319856E-4</c:v>
                </c:pt>
                <c:pt idx="26">
                  <c:v>-1.1756631628233594E-3</c:v>
                </c:pt>
                <c:pt idx="27">
                  <c:v>-1.8401365738732745E-3</c:v>
                </c:pt>
                <c:pt idx="28">
                  <c:v>-2.3888767322529647E-3</c:v>
                </c:pt>
                <c:pt idx="29">
                  <c:v>-2.8061898906072136E-3</c:v>
                </c:pt>
                <c:pt idx="30">
                  <c:v>-3.1002588603944448E-3</c:v>
                </c:pt>
                <c:pt idx="31">
                  <c:v>-3.2941484686758171E-3</c:v>
                </c:pt>
                <c:pt idx="32">
                  <c:v>-3.4173005581468185E-3</c:v>
                </c:pt>
                <c:pt idx="33">
                  <c:v>-3.496873232178066E-3</c:v>
                </c:pt>
                <c:pt idx="34">
                  <c:v>-3.5521855853173356E-3</c:v>
                </c:pt>
                <c:pt idx="35">
                  <c:v>-3.5958815090579854E-3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C-46A1-8051-5FF16B24E7D2}"/>
            </c:ext>
          </c:extLst>
        </c:ser>
        <c:ser>
          <c:idx val="6"/>
          <c:order val="6"/>
          <c:tx>
            <c:strRef>
              <c:f>Données!$B$203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Données!$C$199:$AL$199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Données!$C$203:$AL$203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-1.4615493465136575E-3</c:v>
                </c:pt>
                <c:pt idx="7">
                  <c:v>-5.8054024374271096E-3</c:v>
                </c:pt>
                <c:pt idx="8">
                  <c:v>-1.1001373207074949E-2</c:v>
                </c:pt>
                <c:pt idx="9">
                  <c:v>-1.3733450811973413E-2</c:v>
                </c:pt>
                <c:pt idx="10">
                  <c:v>-1.1999193077148029E-2</c:v>
                </c:pt>
                <c:pt idx="11">
                  <c:v>-6.2661489393061043E-3</c:v>
                </c:pt>
                <c:pt idx="12">
                  <c:v>1.8232361396282037E-3</c:v>
                </c:pt>
                <c:pt idx="13">
                  <c:v>1.0014620772989868E-2</c:v>
                </c:pt>
                <c:pt idx="14">
                  <c:v>1.6181956551623466E-2</c:v>
                </c:pt>
                <c:pt idx="15">
                  <c:v>1.9113651188749303E-2</c:v>
                </c:pt>
                <c:pt idx="16">
                  <c:v>1.8860834252441006E-2</c:v>
                </c:pt>
                <c:pt idx="17">
                  <c:v>1.6193439195848258E-2</c:v>
                </c:pt>
                <c:pt idx="18">
                  <c:v>1.2154405550401703E-2</c:v>
                </c:pt>
                <c:pt idx="19">
                  <c:v>7.6892616185677554E-3</c:v>
                </c:pt>
                <c:pt idx="20">
                  <c:v>3.4750744708669234E-3</c:v>
                </c:pt>
                <c:pt idx="21">
                  <c:v>-2.9534328761016138E-4</c:v>
                </c:pt>
                <c:pt idx="22">
                  <c:v>-3.5336849900562406E-3</c:v>
                </c:pt>
                <c:pt idx="23">
                  <c:v>-6.2007863293377374E-3</c:v>
                </c:pt>
                <c:pt idx="24">
                  <c:v>-8.2557385443445819E-3</c:v>
                </c:pt>
                <c:pt idx="25">
                  <c:v>-9.6097455069152904E-3</c:v>
                </c:pt>
                <c:pt idx="26">
                  <c:v>-1.0241384542391541E-2</c:v>
                </c:pt>
                <c:pt idx="27">
                  <c:v>-1.0121676672796842E-2</c:v>
                </c:pt>
                <c:pt idx="28">
                  <c:v>-9.2802157930232942E-3</c:v>
                </c:pt>
                <c:pt idx="29">
                  <c:v>-7.8255890581204746E-3</c:v>
                </c:pt>
                <c:pt idx="30">
                  <c:v>-5.9380255728180842E-3</c:v>
                </c:pt>
                <c:pt idx="31">
                  <c:v>-3.8198447526650581E-3</c:v>
                </c:pt>
                <c:pt idx="32">
                  <c:v>-1.6914396597820236E-3</c:v>
                </c:pt>
                <c:pt idx="33">
                  <c:v>2.4419843864564861E-4</c:v>
                </c:pt>
                <c:pt idx="34">
                  <c:v>1.8378970239367742E-3</c:v>
                </c:pt>
                <c:pt idx="35">
                  <c:v>2.9734984491416316E-3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C-46A1-8051-5FF16B24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Données!$B$200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381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Données!$C$199:$AL$199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Données!$C$200:$AL$200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-7.1840518500765338E-4</c:v>
                      </c:pt>
                      <c:pt idx="7">
                        <c:v>2.1206531056949807E-3</c:v>
                      </c:pt>
                      <c:pt idx="8">
                        <c:v>6.5954475987561878E-3</c:v>
                      </c:pt>
                      <c:pt idx="9">
                        <c:v>1.0616705242269875E-2</c:v>
                      </c:pt>
                      <c:pt idx="10">
                        <c:v>1.2780442763851374E-2</c:v>
                      </c:pt>
                      <c:pt idx="11">
                        <c:v>1.2967282943961989E-2</c:v>
                      </c:pt>
                      <c:pt idx="12">
                        <c:v>1.1570258614657991E-2</c:v>
                      </c:pt>
                      <c:pt idx="13">
                        <c:v>9.4258687475143876E-3</c:v>
                      </c:pt>
                      <c:pt idx="14">
                        <c:v>7.3068379366556524E-3</c:v>
                      </c:pt>
                      <c:pt idx="15">
                        <c:v>5.6715668544173869E-3</c:v>
                      </c:pt>
                      <c:pt idx="16">
                        <c:v>4.6184328878506875E-3</c:v>
                      </c:pt>
                      <c:pt idx="17">
                        <c:v>3.9862755321282695E-3</c:v>
                      </c:pt>
                      <c:pt idx="18">
                        <c:v>3.518889620608201E-3</c:v>
                      </c:pt>
                      <c:pt idx="19">
                        <c:v>3.0064095059938456E-3</c:v>
                      </c:pt>
                      <c:pt idx="20">
                        <c:v>2.3503803037550064E-3</c:v>
                      </c:pt>
                      <c:pt idx="21">
                        <c:v>1.5902415937198988E-3</c:v>
                      </c:pt>
                      <c:pt idx="22">
                        <c:v>8.2505033319679733E-4</c:v>
                      </c:pt>
                      <c:pt idx="23">
                        <c:v>1.6170542552540468E-4</c:v>
                      </c:pt>
                      <c:pt idx="24">
                        <c:v>-3.2864576016977676E-4</c:v>
                      </c:pt>
                      <c:pt idx="25">
                        <c:v>-6.333706109128423E-4</c:v>
                      </c:pt>
                      <c:pt idx="26">
                        <c:v>-7.8729324282400537E-4</c:v>
                      </c:pt>
                      <c:pt idx="27">
                        <c:v>-8.3811147237267125E-4</c:v>
                      </c:pt>
                      <c:pt idx="28">
                        <c:v>-8.4795474078624977E-4</c:v>
                      </c:pt>
                      <c:pt idx="29">
                        <c:v>-8.6376199295812306E-4</c:v>
                      </c:pt>
                      <c:pt idx="30">
                        <c:v>-9.0834628576408338E-4</c:v>
                      </c:pt>
                      <c:pt idx="31">
                        <c:v>-9.8238799855976389E-4</c:v>
                      </c:pt>
                      <c:pt idx="32">
                        <c:v>-1.0739612959390632E-3</c:v>
                      </c:pt>
                      <c:pt idx="33">
                        <c:v>-1.1688395239044524E-3</c:v>
                      </c:pt>
                      <c:pt idx="34">
                        <c:v>-1.2574453391359652E-3</c:v>
                      </c:pt>
                      <c:pt idx="35">
                        <c:v>-1.3377781743799666E-3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BC-46A1-8051-5FF16B24E7D2}"/>
                  </c:ext>
                </c:extLst>
              </c15:ser>
            </c15:filteredLineSeries>
          </c:ext>
        </c:extLst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0000021492351526E-2"/>
          <c:y val="0.90658308755673267"/>
          <c:w val="0.899999957015297"/>
          <c:h val="5.7933044126384371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Intensité</a:t>
            </a:r>
            <a:r>
              <a:rPr lang="fr-FR" sz="2400" baseline="0"/>
              <a:t> énergétique</a:t>
            </a:r>
            <a:endParaRPr lang="fr-FR" sz="2400"/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d'écart au tendanciel)</a:t>
            </a:r>
            <a:endParaRPr lang="fr-FR" sz="1800"/>
          </a:p>
        </c:rich>
      </c:tx>
      <c:layout>
        <c:manualLayout>
          <c:xMode val="edge"/>
          <c:yMode val="edge"/>
          <c:x val="0.35804860624249651"/>
          <c:y val="1.88233785934812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Données!$B$265</c:f>
              <c:strCache>
                <c:ptCount val="1"/>
                <c:pt idx="0">
                  <c:v>Entreprises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Données!$C$264:$AL$264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Données!$C$265:$AL$265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3.2108480645520743E-3</c:v>
                </c:pt>
                <c:pt idx="7">
                  <c:v>1.3018894339832832E-2</c:v>
                </c:pt>
                <c:pt idx="8">
                  <c:v>2.6448056796941843E-2</c:v>
                </c:pt>
                <c:pt idx="9">
                  <c:v>3.6913886843657151E-2</c:v>
                </c:pt>
                <c:pt idx="10">
                  <c:v>3.9878437831293745E-2</c:v>
                </c:pt>
                <c:pt idx="11">
                  <c:v>3.5569434704625147E-2</c:v>
                </c:pt>
                <c:pt idx="12">
                  <c:v>2.6274907203900133E-2</c:v>
                </c:pt>
                <c:pt idx="13">
                  <c:v>1.5493648339127031E-2</c:v>
                </c:pt>
                <c:pt idx="14">
                  <c:v>6.1281801268375791E-3</c:v>
                </c:pt>
                <c:pt idx="15">
                  <c:v>-3.1330697456644074E-4</c:v>
                </c:pt>
                <c:pt idx="16">
                  <c:v>-3.6840296667469685E-3</c:v>
                </c:pt>
                <c:pt idx="17">
                  <c:v>-4.7223534266058742E-3</c:v>
                </c:pt>
                <c:pt idx="18">
                  <c:v>-4.4640349915997524E-3</c:v>
                </c:pt>
                <c:pt idx="19">
                  <c:v>-3.7764037291746488E-3</c:v>
                </c:pt>
                <c:pt idx="20">
                  <c:v>-3.1740437656723186E-3</c:v>
                </c:pt>
                <c:pt idx="21">
                  <c:v>-2.6456476758003333E-3</c:v>
                </c:pt>
                <c:pt idx="22">
                  <c:v>-2.0576568705240605E-3</c:v>
                </c:pt>
                <c:pt idx="23">
                  <c:v>-1.2391939788304329E-3</c:v>
                </c:pt>
                <c:pt idx="24">
                  <c:v>-1.15379078480915E-4</c:v>
                </c:pt>
                <c:pt idx="25">
                  <c:v>1.1877115395342308E-3</c:v>
                </c:pt>
                <c:pt idx="26">
                  <c:v>2.5602989264383869E-3</c:v>
                </c:pt>
                <c:pt idx="27">
                  <c:v>3.7817094813261676E-3</c:v>
                </c:pt>
                <c:pt idx="28">
                  <c:v>4.6580160053837361E-3</c:v>
                </c:pt>
                <c:pt idx="29">
                  <c:v>5.0893865008112549E-3</c:v>
                </c:pt>
                <c:pt idx="30">
                  <c:v>5.0850000432776099E-3</c:v>
                </c:pt>
                <c:pt idx="31">
                  <c:v>4.7399470028712809E-3</c:v>
                </c:pt>
                <c:pt idx="32">
                  <c:v>4.1907516697101688E-3</c:v>
                </c:pt>
                <c:pt idx="33">
                  <c:v>3.5713229503868682E-3</c:v>
                </c:pt>
                <c:pt idx="34">
                  <c:v>2.9837367677691962E-3</c:v>
                </c:pt>
                <c:pt idx="35">
                  <c:v>2.4869121501898128E-3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44A-4877-A4A9-C7609B9F9543}"/>
            </c:ext>
          </c:extLst>
        </c:ser>
        <c:ser>
          <c:idx val="1"/>
          <c:order val="1"/>
          <c:tx>
            <c:strRef>
              <c:f>Données!$B$266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Données!$C$264:$AL$264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Données!$C$266:$AL$266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4.7373280192379186E-2</c:v>
                </c:pt>
                <c:pt idx="7">
                  <c:v>6.4132978317585687E-2</c:v>
                </c:pt>
                <c:pt idx="8">
                  <c:v>8.054353474632503E-2</c:v>
                </c:pt>
                <c:pt idx="9">
                  <c:v>9.3131983823606879E-2</c:v>
                </c:pt>
                <c:pt idx="10">
                  <c:v>9.7376088199917277E-2</c:v>
                </c:pt>
                <c:pt idx="11">
                  <c:v>9.332090108294322E-2</c:v>
                </c:pt>
                <c:pt idx="12">
                  <c:v>8.3584178966478184E-2</c:v>
                </c:pt>
                <c:pt idx="13">
                  <c:v>7.1912874784063607E-2</c:v>
                </c:pt>
                <c:pt idx="14">
                  <c:v>6.1462847197420567E-2</c:v>
                </c:pt>
                <c:pt idx="15">
                  <c:v>5.3928174574545684E-2</c:v>
                </c:pt>
                <c:pt idx="16">
                  <c:v>4.9534156903442428E-2</c:v>
                </c:pt>
                <c:pt idx="17">
                  <c:v>4.7534820248074094E-2</c:v>
                </c:pt>
                <c:pt idx="18">
                  <c:v>4.6855408198896553E-2</c:v>
                </c:pt>
                <c:pt idx="19">
                  <c:v>4.6604887978998644E-2</c:v>
                </c:pt>
                <c:pt idx="20">
                  <c:v>4.6282064324479899E-2</c:v>
                </c:pt>
                <c:pt idx="21">
                  <c:v>4.5939712220045781E-2</c:v>
                </c:pt>
                <c:pt idx="22">
                  <c:v>4.5787005963800809E-2</c:v>
                </c:pt>
                <c:pt idx="23">
                  <c:v>4.6057445813808107E-2</c:v>
                </c:pt>
                <c:pt idx="24">
                  <c:v>4.6863905186419474E-2</c:v>
                </c:pt>
                <c:pt idx="25">
                  <c:v>4.8089715867452032E-2</c:v>
                </c:pt>
                <c:pt idx="26">
                  <c:v>4.9597334039371166E-2</c:v>
                </c:pt>
                <c:pt idx="27">
                  <c:v>5.114321541655098E-2</c:v>
                </c:pt>
                <c:pt idx="28">
                  <c:v>5.2494781867018281E-2</c:v>
                </c:pt>
                <c:pt idx="29">
                  <c:v>5.3502879653044788E-2</c:v>
                </c:pt>
                <c:pt idx="30">
                  <c:v>5.4128036696000414E-2</c:v>
                </c:pt>
                <c:pt idx="31">
                  <c:v>5.442306509479411E-2</c:v>
                </c:pt>
                <c:pt idx="32">
                  <c:v>5.4490726245907783E-2</c:v>
                </c:pt>
                <c:pt idx="33">
                  <c:v>5.4439372760721305E-2</c:v>
                </c:pt>
                <c:pt idx="34">
                  <c:v>5.4352507541441053E-2</c:v>
                </c:pt>
                <c:pt idx="35">
                  <c:v>5.4276472931058528E-2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A-4877-A4A9-C7609B9F9543}"/>
            </c:ext>
          </c:extLst>
        </c:ser>
        <c:ser>
          <c:idx val="2"/>
          <c:order val="2"/>
          <c:tx>
            <c:strRef>
              <c:f>Données!$B$267</c:f>
              <c:strCache>
                <c:ptCount val="1"/>
                <c:pt idx="0">
                  <c:v>Industrie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Données!$C$264:$AL$264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Données!$C$267:$AL$267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-3.0313443299623266E-5</c:v>
                </c:pt>
                <c:pt idx="7">
                  <c:v>3.528909237882738E-3</c:v>
                </c:pt>
                <c:pt idx="8">
                  <c:v>8.1885553977596448E-3</c:v>
                </c:pt>
                <c:pt idx="9">
                  <c:v>1.1689363190835467E-2</c:v>
                </c:pt>
                <c:pt idx="10">
                  <c:v>1.2795638992387781E-2</c:v>
                </c:pt>
                <c:pt idx="11">
                  <c:v>1.1603375468051125E-2</c:v>
                </c:pt>
                <c:pt idx="12">
                  <c:v>9.0174431230298779E-3</c:v>
                </c:pt>
                <c:pt idx="13">
                  <c:v>6.1509678560471848E-3</c:v>
                </c:pt>
                <c:pt idx="14">
                  <c:v>3.8691977952833856E-3</c:v>
                </c:pt>
                <c:pt idx="15">
                  <c:v>2.5786531870262142E-3</c:v>
                </c:pt>
                <c:pt idx="16">
                  <c:v>2.257619524905774E-3</c:v>
                </c:pt>
                <c:pt idx="17">
                  <c:v>2.623800519119035E-3</c:v>
                </c:pt>
                <c:pt idx="18">
                  <c:v>3.326914521694313E-3</c:v>
                </c:pt>
                <c:pt idx="19">
                  <c:v>4.0909713152303961E-3</c:v>
                </c:pt>
                <c:pt idx="20">
                  <c:v>4.7282534387462771E-3</c:v>
                </c:pt>
                <c:pt idx="21">
                  <c:v>5.3264309124867459E-3</c:v>
                </c:pt>
                <c:pt idx="22">
                  <c:v>5.8722910223636404E-3</c:v>
                </c:pt>
                <c:pt idx="23">
                  <c:v>6.4031251223646279E-3</c:v>
                </c:pt>
                <c:pt idx="24">
                  <c:v>6.9290045772210096E-3</c:v>
                </c:pt>
                <c:pt idx="25">
                  <c:v>7.3364021495860854E-3</c:v>
                </c:pt>
                <c:pt idx="26">
                  <c:v>7.7185775204748897E-3</c:v>
                </c:pt>
                <c:pt idx="27">
                  <c:v>7.9546184681837939E-3</c:v>
                </c:pt>
                <c:pt idx="28">
                  <c:v>7.9930440567819172E-3</c:v>
                </c:pt>
                <c:pt idx="29">
                  <c:v>7.8275506229392722E-3</c:v>
                </c:pt>
                <c:pt idx="30">
                  <c:v>7.4899268765193927E-3</c:v>
                </c:pt>
                <c:pt idx="31">
                  <c:v>7.0373515656372287E-3</c:v>
                </c:pt>
                <c:pt idx="32">
                  <c:v>6.5361812909532357E-3</c:v>
                </c:pt>
                <c:pt idx="33">
                  <c:v>6.04714186504407E-3</c:v>
                </c:pt>
                <c:pt idx="34">
                  <c:v>5.6157837005681444E-3</c:v>
                </c:pt>
                <c:pt idx="35">
                  <c:v>5.2693222559589969E-3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A-4877-A4A9-C7609B9F9543}"/>
            </c:ext>
          </c:extLst>
        </c:ser>
        <c:ser>
          <c:idx val="3"/>
          <c:order val="3"/>
          <c:tx>
            <c:strRef>
              <c:f>Données!$B$269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Données!$C$264:$AL$264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Données!$C$269:$AL$269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5.7256396867488846E-5</c:v>
                </c:pt>
                <c:pt idx="7">
                  <c:v>1.7247110532960797E-3</c:v>
                </c:pt>
                <c:pt idx="8">
                  <c:v>3.9253652055593058E-3</c:v>
                </c:pt>
                <c:pt idx="9">
                  <c:v>5.6134794840159152E-3</c:v>
                </c:pt>
                <c:pt idx="10">
                  <c:v>6.196892079260774E-3</c:v>
                </c:pt>
                <c:pt idx="11">
                  <c:v>5.7243225194119063E-3</c:v>
                </c:pt>
                <c:pt idx="12">
                  <c:v>4.5337060248353822E-3</c:v>
                </c:pt>
                <c:pt idx="13">
                  <c:v>3.0988558738545002E-3</c:v>
                </c:pt>
                <c:pt idx="14">
                  <c:v>1.8188096437243839E-3</c:v>
                </c:pt>
                <c:pt idx="15">
                  <c:v>9.0982609208789533E-4</c:v>
                </c:pt>
                <c:pt idx="16">
                  <c:v>4.0020517909789E-4</c:v>
                </c:pt>
                <c:pt idx="17">
                  <c:v>1.9288596854694084E-4</c:v>
                </c:pt>
                <c:pt idx="18">
                  <c:v>1.496258439537268E-4</c:v>
                </c:pt>
                <c:pt idx="19">
                  <c:v>1.579089090473218E-4</c:v>
                </c:pt>
                <c:pt idx="20">
                  <c:v>1.5539829413246942E-4</c:v>
                </c:pt>
                <c:pt idx="21">
                  <c:v>1.5329908174788187E-4</c:v>
                </c:pt>
                <c:pt idx="22">
                  <c:v>1.7446771625029278E-4</c:v>
                </c:pt>
                <c:pt idx="23">
                  <c:v>2.4691550823385811E-4</c:v>
                </c:pt>
                <c:pt idx="24">
                  <c:v>3.811557764874518E-4</c:v>
                </c:pt>
                <c:pt idx="25">
                  <c:v>5.5683425742336645E-4</c:v>
                </c:pt>
                <c:pt idx="26">
                  <c:v>7.5544961935158916E-4</c:v>
                </c:pt>
                <c:pt idx="27">
                  <c:v>9.3927150992811903E-4</c:v>
                </c:pt>
                <c:pt idx="28">
                  <c:v>1.078973672359318E-3</c:v>
                </c:pt>
                <c:pt idx="29">
                  <c:v>1.1580691747854477E-3</c:v>
                </c:pt>
                <c:pt idx="30">
                  <c:v>1.1759876136825387E-3</c:v>
                </c:pt>
                <c:pt idx="31">
                  <c:v>1.1448480492666224E-3</c:v>
                </c:pt>
                <c:pt idx="32">
                  <c:v>1.083180527325478E-3</c:v>
                </c:pt>
                <c:pt idx="33">
                  <c:v>1.0095945743020529E-3</c:v>
                </c:pt>
                <c:pt idx="34">
                  <c:v>9.3847958939252685E-4</c:v>
                </c:pt>
                <c:pt idx="35">
                  <c:v>8.7825046299006004E-4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A-4877-A4A9-C7609B9F9543}"/>
            </c:ext>
          </c:extLst>
        </c:ser>
        <c:ser>
          <c:idx val="4"/>
          <c:order val="4"/>
          <c:tx>
            <c:strRef>
              <c:f>Données!$B$268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Données!$C$264:$AL$264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Données!$C$268:$AL$268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5.5498002309462002E-4</c:v>
                </c:pt>
                <c:pt idx="7">
                  <c:v>1.9171751390441694E-2</c:v>
                </c:pt>
                <c:pt idx="8">
                  <c:v>4.6030620585283177E-2</c:v>
                </c:pt>
                <c:pt idx="9">
                  <c:v>6.7726328463806107E-2</c:v>
                </c:pt>
                <c:pt idx="10">
                  <c:v>7.5363978829562361E-2</c:v>
                </c:pt>
                <c:pt idx="11">
                  <c:v>6.8755222254469839E-2</c:v>
                </c:pt>
                <c:pt idx="12">
                  <c:v>5.2443397259926749E-2</c:v>
                </c:pt>
                <c:pt idx="13">
                  <c:v>3.301570145379662E-2</c:v>
                </c:pt>
                <c:pt idx="14">
                  <c:v>1.590363700659303E-2</c:v>
                </c:pt>
                <c:pt idx="15">
                  <c:v>3.9297315679971412E-3</c:v>
                </c:pt>
                <c:pt idx="16">
                  <c:v>-2.5948116782336106E-3</c:v>
                </c:pt>
                <c:pt idx="17">
                  <c:v>-4.9724275290250475E-3</c:v>
                </c:pt>
                <c:pt idx="18">
                  <c:v>-5.0502554057187954E-3</c:v>
                </c:pt>
                <c:pt idx="19">
                  <c:v>-4.3801648085320943E-3</c:v>
                </c:pt>
                <c:pt idx="20">
                  <c:v>-3.878050321853066E-3</c:v>
                </c:pt>
                <c:pt idx="21">
                  <c:v>-3.5141372541088733E-3</c:v>
                </c:pt>
                <c:pt idx="22">
                  <c:v>-3.0220335967341416E-3</c:v>
                </c:pt>
                <c:pt idx="23">
                  <c:v>-2.055057552002526E-3</c:v>
                </c:pt>
                <c:pt idx="24">
                  <c:v>-4.4599649442988998E-4</c:v>
                </c:pt>
                <c:pt idx="25">
                  <c:v>1.5954776883821964E-3</c:v>
                </c:pt>
                <c:pt idx="26">
                  <c:v>3.8912321155311069E-3</c:v>
                </c:pt>
                <c:pt idx="27">
                  <c:v>6.0297509968827434E-3</c:v>
                </c:pt>
                <c:pt idx="28">
                  <c:v>7.6547219530307409E-3</c:v>
                </c:pt>
                <c:pt idx="29">
                  <c:v>8.5630290520966046E-3</c:v>
                </c:pt>
                <c:pt idx="30">
                  <c:v>8.7426410224964446E-3</c:v>
                </c:pt>
                <c:pt idx="31">
                  <c:v>8.3370133225300069E-3</c:v>
                </c:pt>
                <c:pt idx="32">
                  <c:v>7.569330777450034E-3</c:v>
                </c:pt>
                <c:pt idx="33">
                  <c:v>6.6643674965753963E-3</c:v>
                </c:pt>
                <c:pt idx="34">
                  <c:v>5.7950418018084537E-3</c:v>
                </c:pt>
                <c:pt idx="35">
                  <c:v>5.061276967241124E-3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A-4877-A4A9-C7609B9F9543}"/>
            </c:ext>
          </c:extLst>
        </c:ser>
        <c:ser>
          <c:idx val="5"/>
          <c:order val="5"/>
          <c:tx>
            <c:strRef>
              <c:f>Données!$B$270</c:f>
              <c:strCache>
                <c:ptCount val="1"/>
                <c:pt idx="0">
                  <c:v>Ménages</c:v>
                </c:pt>
              </c:strCache>
            </c:strRef>
          </c:tx>
          <c:spPr>
            <a:ln w="412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Données!$C$264:$AL$264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Données!$C$270:$AL$270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3.1666005766117777E-4</c:v>
                </c:pt>
                <c:pt idx="7">
                  <c:v>5.6593385815379982E-3</c:v>
                </c:pt>
                <c:pt idx="8">
                  <c:v>1.2443982151250532E-2</c:v>
                </c:pt>
                <c:pt idx="9">
                  <c:v>1.7279833611584916E-2</c:v>
                </c:pt>
                <c:pt idx="10">
                  <c:v>1.8550259892792909E-2</c:v>
                </c:pt>
                <c:pt idx="11">
                  <c:v>1.6941967562978721E-2</c:v>
                </c:pt>
                <c:pt idx="12">
                  <c:v>1.3618079362210489E-2</c:v>
                </c:pt>
                <c:pt idx="13">
                  <c:v>1.0094340691423564E-2</c:v>
                </c:pt>
                <c:pt idx="14">
                  <c:v>7.5535635232995002E-3</c:v>
                </c:pt>
                <c:pt idx="15">
                  <c:v>6.507847759375629E-3</c:v>
                </c:pt>
                <c:pt idx="16">
                  <c:v>6.7384375727199686E-3</c:v>
                </c:pt>
                <c:pt idx="17">
                  <c:v>7.7102184302813015E-3</c:v>
                </c:pt>
                <c:pt idx="18">
                  <c:v>8.8583338085095331E-3</c:v>
                </c:pt>
                <c:pt idx="19">
                  <c:v>9.7899984342653124E-3</c:v>
                </c:pt>
                <c:pt idx="20">
                  <c:v>1.0320077905596303E-2</c:v>
                </c:pt>
                <c:pt idx="21">
                  <c:v>1.0617701716327144E-2</c:v>
                </c:pt>
                <c:pt idx="22">
                  <c:v>1.0811932309089833E-2</c:v>
                </c:pt>
                <c:pt idx="23">
                  <c:v>1.1028036231035099E-2</c:v>
                </c:pt>
                <c:pt idx="24">
                  <c:v>1.1318236928371306E-2</c:v>
                </c:pt>
                <c:pt idx="25">
                  <c:v>1.1624189198789159E-2</c:v>
                </c:pt>
                <c:pt idx="26">
                  <c:v>1.1932467944215208E-2</c:v>
                </c:pt>
                <c:pt idx="27">
                  <c:v>1.214089622001624E-2</c:v>
                </c:pt>
                <c:pt idx="28">
                  <c:v>1.218931908785259E-2</c:v>
                </c:pt>
                <c:pt idx="29">
                  <c:v>1.2058777688126687E-2</c:v>
                </c:pt>
                <c:pt idx="30">
                  <c:v>1.1771847854698203E-2</c:v>
                </c:pt>
                <c:pt idx="31">
                  <c:v>1.1361232866438087E-2</c:v>
                </c:pt>
                <c:pt idx="32">
                  <c:v>1.0876394859035132E-2</c:v>
                </c:pt>
                <c:pt idx="33">
                  <c:v>1.0368474804937522E-2</c:v>
                </c:pt>
                <c:pt idx="34">
                  <c:v>9.8727064172459134E-3</c:v>
                </c:pt>
                <c:pt idx="35">
                  <c:v>9.4350120340174204E-3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A-4877-A4A9-C7609B9F9543}"/>
            </c:ext>
          </c:extLst>
        </c:ser>
        <c:ser>
          <c:idx val="6"/>
          <c:order val="6"/>
          <c:tx>
            <c:strRef>
              <c:f>Données!$B$271</c:f>
              <c:strCache>
                <c:ptCount val="1"/>
                <c:pt idx="0">
                  <c:v>Ménages (logement)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Données!$C$264:$AL$264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Données!$C$271:$AL$271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4.9568230382623923E-4</c:v>
                </c:pt>
                <c:pt idx="7">
                  <c:v>6.2806198594029805E-3</c:v>
                </c:pt>
                <c:pt idx="8">
                  <c:v>1.3568826490317987E-2</c:v>
                </c:pt>
                <c:pt idx="9">
                  <c:v>1.8510135957398921E-2</c:v>
                </c:pt>
                <c:pt idx="10">
                  <c:v>1.9338982845342745E-2</c:v>
                </c:pt>
                <c:pt idx="11">
                  <c:v>1.6851019173009352E-2</c:v>
                </c:pt>
                <c:pt idx="12">
                  <c:v>1.2441726905175754E-2</c:v>
                </c:pt>
                <c:pt idx="13">
                  <c:v>7.8438872402251114E-3</c:v>
                </c:pt>
                <c:pt idx="14">
                  <c:v>4.5086040022106477E-3</c:v>
                </c:pt>
                <c:pt idx="15">
                  <c:v>3.1169340768750775E-3</c:v>
                </c:pt>
                <c:pt idx="16">
                  <c:v>3.3875098524871472E-3</c:v>
                </c:pt>
                <c:pt idx="17">
                  <c:v>4.6661275348940379E-3</c:v>
                </c:pt>
                <c:pt idx="18">
                  <c:v>6.2563820441274842E-3</c:v>
                </c:pt>
                <c:pt idx="19">
                  <c:v>7.6580969554302936E-3</c:v>
                </c:pt>
                <c:pt idx="20">
                  <c:v>8.6129592521828613E-3</c:v>
                </c:pt>
                <c:pt idx="21">
                  <c:v>9.3256108894665957E-3</c:v>
                </c:pt>
                <c:pt idx="22">
                  <c:v>9.943794239249959E-3</c:v>
                </c:pt>
                <c:pt idx="23">
                  <c:v>1.0592538752105085E-2</c:v>
                </c:pt>
                <c:pt idx="24">
                  <c:v>1.1310957411252209E-2</c:v>
                </c:pt>
                <c:pt idx="25">
                  <c:v>1.2018439408735704E-2</c:v>
                </c:pt>
                <c:pt idx="26">
                  <c:v>1.2676932167809962E-2</c:v>
                </c:pt>
                <c:pt idx="27">
                  <c:v>1.3168382122768607E-2</c:v>
                </c:pt>
                <c:pt idx="28">
                  <c:v>1.3424185450559012E-2</c:v>
                </c:pt>
                <c:pt idx="29">
                  <c:v>1.34274647442576E-2</c:v>
                </c:pt>
                <c:pt idx="30">
                  <c:v>1.3211704597771767E-2</c:v>
                </c:pt>
                <c:pt idx="31">
                  <c:v>1.2808816324587857E-2</c:v>
                </c:pt>
                <c:pt idx="32">
                  <c:v>1.2278508105498798E-2</c:v>
                </c:pt>
                <c:pt idx="33">
                  <c:v>1.1691593672358946E-2</c:v>
                </c:pt>
                <c:pt idx="34">
                  <c:v>1.1101368409106138E-2</c:v>
                </c:pt>
                <c:pt idx="35">
                  <c:v>1.0596832014929891E-2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A-4877-A4A9-C7609B9F9543}"/>
            </c:ext>
          </c:extLst>
        </c:ser>
        <c:ser>
          <c:idx val="7"/>
          <c:order val="7"/>
          <c:tx>
            <c:strRef>
              <c:f>Données!$B$272</c:f>
              <c:strCache>
                <c:ptCount val="1"/>
                <c:pt idx="0">
                  <c:v>Ménages (transport)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Données!$C$264:$AL$264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Données!$C$272:$AL$272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1.0777240815862399E-4</c:v>
                </c:pt>
                <c:pt idx="7">
                  <c:v>4.938808289687957E-3</c:v>
                </c:pt>
                <c:pt idx="8">
                  <c:v>1.1147093309945122E-2</c:v>
                </c:pt>
                <c:pt idx="9">
                  <c:v>1.5869761640034952E-2</c:v>
                </c:pt>
                <c:pt idx="10">
                  <c:v>1.7651565939044378E-2</c:v>
                </c:pt>
                <c:pt idx="11">
                  <c:v>1.7044938616907368E-2</c:v>
                </c:pt>
                <c:pt idx="12">
                  <c:v>1.4940988963459745E-2</c:v>
                </c:pt>
                <c:pt idx="13">
                  <c:v>1.2607515867678609E-2</c:v>
                </c:pt>
                <c:pt idx="14">
                  <c:v>1.0929309273453924E-2</c:v>
                </c:pt>
                <c:pt idx="15">
                  <c:v>1.0238466737723551E-2</c:v>
                </c:pt>
                <c:pt idx="16">
                  <c:v>1.0395869449010497E-2</c:v>
                </c:pt>
                <c:pt idx="17">
                  <c:v>1.1005968848777137E-2</c:v>
                </c:pt>
                <c:pt idx="18">
                  <c:v>1.1652846314874843E-2</c:v>
                </c:pt>
                <c:pt idx="19">
                  <c:v>1.2061948962720059E-2</c:v>
                </c:pt>
                <c:pt idx="20">
                  <c:v>1.2125691545390005E-2</c:v>
                </c:pt>
                <c:pt idx="21">
                  <c:v>1.1974926881131553E-2</c:v>
                </c:pt>
                <c:pt idx="22">
                  <c:v>1.1718047335344428E-2</c:v>
                </c:pt>
                <c:pt idx="23">
                  <c:v>1.1479951972318325E-2</c:v>
                </c:pt>
                <c:pt idx="24">
                  <c:v>1.132575125713875E-2</c:v>
                </c:pt>
                <c:pt idx="25">
                  <c:v>1.1219320134628896E-2</c:v>
                </c:pt>
                <c:pt idx="26">
                  <c:v>1.11713807744247E-2</c:v>
                </c:pt>
                <c:pt idx="27">
                  <c:v>1.1094533031707376E-2</c:v>
                </c:pt>
                <c:pt idx="28">
                  <c:v>1.0935922704274237E-2</c:v>
                </c:pt>
                <c:pt idx="29">
                  <c:v>1.0673389071422568E-2</c:v>
                </c:pt>
                <c:pt idx="30">
                  <c:v>1.0317666668507197E-2</c:v>
                </c:pt>
                <c:pt idx="31">
                  <c:v>9.901741619759763E-3</c:v>
                </c:pt>
                <c:pt idx="32">
                  <c:v>9.4644533073580117E-3</c:v>
                </c:pt>
                <c:pt idx="33">
                  <c:v>9.037064072703993E-3</c:v>
                </c:pt>
                <c:pt idx="34">
                  <c:v>8.6367154236586252E-3</c:v>
                </c:pt>
                <c:pt idx="35">
                  <c:v>8.2661987090855149E-3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A-4877-A4A9-C7609B9F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/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  <c:majorUnit val="4.0000000000000008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 baseline="0"/>
              <a:t>Valeur ajoutée sectorielle</a:t>
            </a:r>
          </a:p>
          <a:p>
            <a:pPr>
              <a:defRPr/>
            </a:pPr>
            <a:r>
              <a:rPr lang="fr-FR" sz="1800" i="0" baseline="0"/>
              <a:t>(% d'écart au tendanciel)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5469120517936996"/>
          <c:w val="0.88919974947941849"/>
          <c:h val="0.6762613254578818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Données!$B$101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Données!$C$99:$E$99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Données!$C$101:$E$101</c:f>
              <c:numCache>
                <c:formatCode>0.0%</c:formatCode>
                <c:ptCount val="3"/>
                <c:pt idx="0">
                  <c:v>-0.13256823155553796</c:v>
                </c:pt>
                <c:pt idx="1">
                  <c:v>-0.12044268948156592</c:v>
                </c:pt>
                <c:pt idx="2">
                  <c:v>-0.1210618457514803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Données!$B$102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Données!$C$99:$E$99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Données!$C$102:$E$102</c:f>
              <c:numCache>
                <c:formatCode>0.0%</c:formatCode>
                <c:ptCount val="3"/>
                <c:pt idx="0">
                  <c:v>-1.7485232013492349E-2</c:v>
                </c:pt>
                <c:pt idx="1">
                  <c:v>-1.2054442343594296E-2</c:v>
                </c:pt>
                <c:pt idx="2">
                  <c:v>-1.1214123152738318E-2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Données!$B$103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Données!$C$99:$E$99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Données!$C$103:$E$103</c:f>
              <c:numCache>
                <c:formatCode>0.0%</c:formatCode>
                <c:ptCount val="3"/>
                <c:pt idx="0">
                  <c:v>-1.771308329129519E-2</c:v>
                </c:pt>
                <c:pt idx="1">
                  <c:v>7.5759105769729711E-3</c:v>
                </c:pt>
                <c:pt idx="2">
                  <c:v>-1.1538022493517042E-3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4"/>
          <c:order val="4"/>
          <c:tx>
            <c:strRef>
              <c:f>Données!$B$104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Données!$C$99:$E$99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Données!$C$104:$E$104</c:f>
              <c:numCache>
                <c:formatCode>0.0%</c:formatCode>
                <c:ptCount val="3"/>
                <c:pt idx="0">
                  <c:v>-2.5863958487436996E-2</c:v>
                </c:pt>
                <c:pt idx="1">
                  <c:v>-2.2064958245578515E-2</c:v>
                </c:pt>
                <c:pt idx="2">
                  <c:v>-2.0219299115336247E-2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C3EF-431D-9A51-747E617C00CC}"/>
            </c:ext>
          </c:extLst>
        </c:ser>
        <c:ser>
          <c:idx val="5"/>
          <c:order val="5"/>
          <c:tx>
            <c:strRef>
              <c:f>Données!$B$105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Données!$C$99:$E$99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Données!$C$105:$E$105</c:f>
              <c:numCache>
                <c:formatCode>0.0%</c:formatCode>
                <c:ptCount val="3"/>
                <c:pt idx="0">
                  <c:v>-5.3696594764128169E-3</c:v>
                </c:pt>
                <c:pt idx="1">
                  <c:v>-7.0333553270763927E-3</c:v>
                </c:pt>
                <c:pt idx="2">
                  <c:v>-5.4213877820770131E-3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ser>
          <c:idx val="6"/>
          <c:order val="6"/>
          <c:tx>
            <c:strRef>
              <c:f>Données!$B$106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Données!$C$99:$E$99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Données!$C$106:$E$106</c:f>
              <c:numCache>
                <c:formatCode>0.0%</c:formatCode>
                <c:ptCount val="3"/>
                <c:pt idx="0">
                  <c:v>-1.0122045434132974E-2</c:v>
                </c:pt>
                <c:pt idx="1">
                  <c:v>-8.8905851228392382E-3</c:v>
                </c:pt>
                <c:pt idx="2">
                  <c:v>-9.022032836904656E-3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7-4A45-A893-6FC38B935A54}"/>
            </c:ext>
          </c:extLst>
        </c:ser>
        <c:ser>
          <c:idx val="7"/>
          <c:order val="7"/>
          <c:tx>
            <c:strRef>
              <c:f>Données!$B$107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Données!$C$99:$E$99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Données!$C$107:$E$107</c:f>
              <c:numCache>
                <c:formatCode>0.0%</c:formatCode>
                <c:ptCount val="3"/>
                <c:pt idx="0">
                  <c:v>-1.5496988037335792E-2</c:v>
                </c:pt>
                <c:pt idx="1">
                  <c:v>-1.3697081597871341E-2</c:v>
                </c:pt>
                <c:pt idx="2">
                  <c:v>-1.2862749588849176E-2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04-4294-8BCA-AB4920EEC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Données!$B$100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bg1"/>
                  </a:solidFill>
                  <a:ln w="25400"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Données!$C$99:$E$99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2040</c:v>
                      </c:pt>
                      <c:pt idx="2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Données!$C$100:$E$100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-1.4364476350562348E-2</c:v>
                      </c:pt>
                      <c:pt idx="1">
                        <c:v>-1.2001363392816971E-2</c:v>
                      </c:pt>
                      <c:pt idx="2">
                        <c:v>-1.1719382277541119E-2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3EF-431D-9A51-747E617C00C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 baseline="0"/>
              <a:t>Valeur ajoutée sectorielle</a:t>
            </a:r>
          </a:p>
          <a:p>
            <a:pPr>
              <a:defRPr/>
            </a:pPr>
            <a:r>
              <a:rPr lang="fr-FR" sz="1800" i="0" baseline="0"/>
              <a:t>(contributions à l'écart en %)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5678679337219906"/>
          <c:w val="0.88919974947941849"/>
          <c:h val="0.64482750256544541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Données!$B$111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Données!$C$109:$E$109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Données!$C$111:$E$111</c:f>
              <c:numCache>
                <c:formatCode>0.0%</c:formatCode>
                <c:ptCount val="3"/>
                <c:pt idx="0">
                  <c:v>-2.0317021444765499E-3</c:v>
                </c:pt>
                <c:pt idx="1">
                  <c:v>-1.6365916219022809E-3</c:v>
                </c:pt>
                <c:pt idx="2">
                  <c:v>-1.4726209700785986E-3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0-47FE-9AA2-B7A42F957044}"/>
            </c:ext>
          </c:extLst>
        </c:ser>
        <c:ser>
          <c:idx val="2"/>
          <c:order val="2"/>
          <c:tx>
            <c:strRef>
              <c:f>Données!$B$112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Données!$C$109:$E$109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Données!$C$112:$E$112</c:f>
              <c:numCache>
                <c:formatCode>0.0%</c:formatCode>
                <c:ptCount val="3"/>
                <c:pt idx="0">
                  <c:v>-1.0470215723766038E-3</c:v>
                </c:pt>
                <c:pt idx="1">
                  <c:v>-6.9400443704382216E-4</c:v>
                </c:pt>
                <c:pt idx="2">
                  <c:v>-6.6572137336994236E-4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B0-47FE-9AA2-B7A42F957044}"/>
            </c:ext>
          </c:extLst>
        </c:ser>
        <c:ser>
          <c:idx val="3"/>
          <c:order val="3"/>
          <c:tx>
            <c:strRef>
              <c:f>Données!$B$113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Données!$C$109:$E$109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Données!$C$113:$E$113</c:f>
              <c:numCache>
                <c:formatCode>0.0%</c:formatCode>
                <c:ptCount val="3"/>
                <c:pt idx="0">
                  <c:v>-1.2864457135496835E-4</c:v>
                </c:pt>
                <c:pt idx="1">
                  <c:v>5.2720843894006443E-5</c:v>
                </c:pt>
                <c:pt idx="2">
                  <c:v>-8.1200998013984655E-6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B0-47FE-9AA2-B7A42F957044}"/>
            </c:ext>
          </c:extLst>
        </c:ser>
        <c:ser>
          <c:idx val="4"/>
          <c:order val="4"/>
          <c:tx>
            <c:strRef>
              <c:f>Données!$B$114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Données!$C$109:$E$109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Données!$C$114:$E$114</c:f>
              <c:numCache>
                <c:formatCode>0.0%</c:formatCode>
                <c:ptCount val="3"/>
                <c:pt idx="0">
                  <c:v>-2.867076007539068E-3</c:v>
                </c:pt>
                <c:pt idx="1">
                  <c:v>-2.3663380329998177E-3</c:v>
                </c:pt>
                <c:pt idx="2">
                  <c:v>-2.1190566556293982E-3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0BB0-47FE-9AA2-B7A42F957044}"/>
            </c:ext>
          </c:extLst>
        </c:ser>
        <c:ser>
          <c:idx val="5"/>
          <c:order val="5"/>
          <c:tx>
            <c:strRef>
              <c:f>Données!$B$115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Données!$C$109:$E$109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Données!$C$115:$E$115</c:f>
              <c:numCache>
                <c:formatCode>0.0%</c:formatCode>
                <c:ptCount val="3"/>
                <c:pt idx="0">
                  <c:v>-1.1242753311075779E-5</c:v>
                </c:pt>
                <c:pt idx="1">
                  <c:v>-1.3978044183888513E-5</c:v>
                </c:pt>
                <c:pt idx="2">
                  <c:v>-1.0243195907153898E-5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B0-47FE-9AA2-B7A42F957044}"/>
            </c:ext>
          </c:extLst>
        </c:ser>
        <c:ser>
          <c:idx val="6"/>
          <c:order val="6"/>
          <c:tx>
            <c:strRef>
              <c:f>Données!$B$116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Données!$C$109:$E$109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Données!$C$116:$E$116</c:f>
              <c:numCache>
                <c:formatCode>0.0%</c:formatCode>
                <c:ptCount val="3"/>
                <c:pt idx="0">
                  <c:v>-7.8903088047692343E-3</c:v>
                </c:pt>
                <c:pt idx="1">
                  <c:v>-7.0061987796528943E-3</c:v>
                </c:pt>
                <c:pt idx="2">
                  <c:v>-7.1321429723113878E-3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B0-47FE-9AA2-B7A42F957044}"/>
            </c:ext>
          </c:extLst>
        </c:ser>
        <c:ser>
          <c:idx val="7"/>
          <c:order val="7"/>
          <c:tx>
            <c:strRef>
              <c:f>Données!$B$117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Données!$C$109:$E$109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Données!$C$117:$E$117</c:f>
              <c:numCache>
                <c:formatCode>0.0%</c:formatCode>
                <c:ptCount val="3"/>
                <c:pt idx="0">
                  <c:v>-3.8848021537477831E-4</c:v>
                </c:pt>
                <c:pt idx="1">
                  <c:v>-3.369729602141912E-4</c:v>
                </c:pt>
                <c:pt idx="2">
                  <c:v>-3.1147710636920885E-4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B0-47FE-9AA2-B7A42F957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Données!$B$110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Données!$C$109:$E$109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Données!$C$110:$E$110</c:f>
              <c:numCache>
                <c:formatCode>0.0%</c:formatCode>
                <c:ptCount val="3"/>
                <c:pt idx="0">
                  <c:v>-1.4364476350562348E-2</c:v>
                </c:pt>
                <c:pt idx="1">
                  <c:v>-1.2001363392816971E-2</c:v>
                </c:pt>
                <c:pt idx="2">
                  <c:v>-1.1719382277541119E-2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0BB0-47FE-9AA2-B7A42F957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5400816247630916"/>
          <c:y val="0.87424292751360444"/>
          <c:w val="0.6947173802581903"/>
          <c:h val="0.1131835433294210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Valeur</a:t>
            </a:r>
            <a:r>
              <a:rPr lang="fr-FR" sz="2400" baseline="0"/>
              <a:t> ajoutée sectorielle</a:t>
            </a:r>
          </a:p>
          <a:p>
            <a:pPr>
              <a:defRPr/>
            </a:pPr>
            <a:r>
              <a:rPr lang="fr-FR" sz="1800" baseline="0"/>
              <a:t>(écart au tendanciel en % de l'économie)</a:t>
            </a:r>
            <a:endParaRPr lang="fr-FR"/>
          </a:p>
        </c:rich>
      </c:tx>
      <c:layout>
        <c:manualLayout>
          <c:xMode val="edge"/>
          <c:yMode val="edge"/>
          <c:x val="0.30247765977521579"/>
          <c:y val="2.29601500873948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268310946183582"/>
          <c:y val="0.1620204274663877"/>
          <c:w val="0.8723044830036335"/>
          <c:h val="0.684057487482444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Données!$B$120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Données!$C$119:$E$119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Données!$C$120:$E$120</c:f>
              <c:numCache>
                <c:formatCode>0.0%</c:formatCode>
                <c:ptCount val="3"/>
                <c:pt idx="0">
                  <c:v>-1.8379576587701368E-3</c:v>
                </c:pt>
                <c:pt idx="1">
                  <c:v>-1.4914144732882158E-3</c:v>
                </c:pt>
                <c:pt idx="2">
                  <c:v>-1.3458363861605996E-3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Données!$B$121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Données!$C$119:$E$119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Données!$C$121:$E$121</c:f>
              <c:numCache>
                <c:formatCode>0.0%</c:formatCode>
                <c:ptCount val="3"/>
                <c:pt idx="0">
                  <c:v>-1.8959533617286806E-4</c:v>
                </c:pt>
                <c:pt idx="1">
                  <c:v>-3.0930084552113768E-6</c:v>
                </c:pt>
                <c:pt idx="2">
                  <c:v>3.0350165715786748E-5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Données!$B$122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Données!$C$119:$E$119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Données!$C$122:$E$122</c:f>
              <c:numCache>
                <c:formatCode>0.0%</c:formatCode>
                <c:ptCount val="3"/>
                <c:pt idx="0">
                  <c:v>-2.4674316140250833E-5</c:v>
                </c:pt>
                <c:pt idx="1">
                  <c:v>1.3789337039145019E-4</c:v>
                </c:pt>
                <c:pt idx="2">
                  <c:v>7.5239006396771516E-5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Données!$B$123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Données!$C$119:$E$119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Données!$C$123:$E$123</c:f>
              <c:numCache>
                <c:formatCode>0.0%</c:formatCode>
                <c:ptCount val="3"/>
                <c:pt idx="0">
                  <c:v>-1.2933204574057805E-3</c:v>
                </c:pt>
                <c:pt idx="1">
                  <c:v>-1.0923717822504259E-3</c:v>
                </c:pt>
                <c:pt idx="2">
                  <c:v>-9.0138612734047552E-4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Données!$B$124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Données!$C$119:$E$119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Données!$C$124:$E$124</c:f>
              <c:numCache>
                <c:formatCode>0.0%</c:formatCode>
                <c:ptCount val="3"/>
                <c:pt idx="0">
                  <c:v>1.9107414041194971E-5</c:v>
                </c:pt>
                <c:pt idx="1">
                  <c:v>9.993320066967095E-6</c:v>
                </c:pt>
                <c:pt idx="2">
                  <c:v>1.2040568837305221E-5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Données!$B$125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Données!$C$119:$E$119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Données!$C$125:$E$125</c:f>
              <c:numCache>
                <c:formatCode>0.0%</c:formatCode>
                <c:ptCount val="3"/>
                <c:pt idx="0">
                  <c:v>3.3552443182416347E-3</c:v>
                </c:pt>
                <c:pt idx="1">
                  <c:v>2.4812174211391591E-3</c:v>
                </c:pt>
                <c:pt idx="2">
                  <c:v>2.1576081398543279E-3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ser>
          <c:idx val="6"/>
          <c:order val="6"/>
          <c:tx>
            <c:strRef>
              <c:f>Données!$B$126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Données!$C$119:$E$119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Données!$C$126:$E$126</c:f>
              <c:numCache>
                <c:formatCode>0.0%</c:formatCode>
                <c:ptCount val="3"/>
                <c:pt idx="0">
                  <c:v>-2.8803678362922247E-5</c:v>
                </c:pt>
                <c:pt idx="1">
                  <c:v>-4.2224483661916501E-5</c:v>
                </c:pt>
                <c:pt idx="2">
                  <c:v>-2.8015463380205025E-5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7-4945-8C79-01199D2AD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  <c:majorUnit val="1.0000000000000002E-3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Production sectorielle</a:t>
            </a:r>
          </a:p>
          <a:p>
            <a:pPr>
              <a:defRPr/>
            </a:pPr>
            <a:r>
              <a:rPr lang="fr-FR" sz="1800" baseline="0"/>
              <a:t>(% d'écart au tendanciel)</a:t>
            </a:r>
            <a:endParaRPr lang="fr-FR"/>
          </a:p>
        </c:rich>
      </c:tx>
      <c:layout>
        <c:manualLayout>
          <c:xMode val="edge"/>
          <c:yMode val="edge"/>
          <c:x val="0.33272800300307576"/>
          <c:y val="1.8862276338454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571602891676875E-2"/>
          <c:y val="0.17305998269885345"/>
          <c:w val="0.88919974947941849"/>
          <c:h val="0.6266490464731503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Données!$B$152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Données!$C$150:$E$150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Données!$C$152:$E$152</c:f>
              <c:numCache>
                <c:formatCode>0.0%</c:formatCode>
                <c:ptCount val="3"/>
                <c:pt idx="0">
                  <c:v>-5.8144347047460805E-2</c:v>
                </c:pt>
                <c:pt idx="1">
                  <c:v>-4.541745940179661E-2</c:v>
                </c:pt>
                <c:pt idx="2">
                  <c:v>-4.5778450294410133E-2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Données!$B$153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Données!$C$150:$E$150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Données!$C$153:$E$153</c:f>
              <c:numCache>
                <c:formatCode>0.0%</c:formatCode>
                <c:ptCount val="3"/>
                <c:pt idx="0">
                  <c:v>-1.7785565328166275E-2</c:v>
                </c:pt>
                <c:pt idx="1">
                  <c:v>-1.1892582973579745E-2</c:v>
                </c:pt>
                <c:pt idx="2">
                  <c:v>-1.1179311777595355E-2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Données!$B$154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Données!$C$150:$E$150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Données!$C$154:$E$154</c:f>
              <c:numCache>
                <c:formatCode>0.0%</c:formatCode>
                <c:ptCount val="3"/>
                <c:pt idx="0">
                  <c:v>-1.6741157960898086E-2</c:v>
                </c:pt>
                <c:pt idx="1">
                  <c:v>6.4054069916612486E-3</c:v>
                </c:pt>
                <c:pt idx="2">
                  <c:v>-1.6281470824459328E-3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Données!$B$155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Données!$C$150:$E$150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Données!$C$155:$E$155</c:f>
              <c:numCache>
                <c:formatCode>0.0%</c:formatCode>
                <c:ptCount val="3"/>
                <c:pt idx="0">
                  <c:v>-2.7033633887766053E-2</c:v>
                </c:pt>
                <c:pt idx="1">
                  <c:v>-2.2208749452806101E-2</c:v>
                </c:pt>
                <c:pt idx="2">
                  <c:v>-2.0570268269285763E-2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7"/>
          <c:order val="5"/>
          <c:tx>
            <c:strRef>
              <c:f>Données!$B$156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Données!$C$150:$E$150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Données!$C$156:$E$156</c:f>
              <c:numCache>
                <c:formatCode>0.0%</c:formatCode>
                <c:ptCount val="3"/>
                <c:pt idx="0">
                  <c:v>-1.6933859603514966E-3</c:v>
                </c:pt>
                <c:pt idx="1">
                  <c:v>-3.9708271982357062E-3</c:v>
                </c:pt>
                <c:pt idx="2">
                  <c:v>-3.1825855168608821E-3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2-45B6-A986-EF05989A50E2}"/>
            </c:ext>
          </c:extLst>
        </c:ser>
        <c:ser>
          <c:idx val="6"/>
          <c:order val="6"/>
          <c:tx>
            <c:strRef>
              <c:f>Données!$B$157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Données!$C$150:$E$150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Données!$C$157:$E$157</c:f>
              <c:numCache>
                <c:formatCode>0.0%</c:formatCode>
                <c:ptCount val="3"/>
                <c:pt idx="0">
                  <c:v>-1.0809982139761238E-2</c:v>
                </c:pt>
                <c:pt idx="1">
                  <c:v>-9.3934332266981755E-3</c:v>
                </c:pt>
                <c:pt idx="2">
                  <c:v>-9.4826569562983468E-3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5B6-A986-EF05989A50E2}"/>
            </c:ext>
          </c:extLst>
        </c:ser>
        <c:ser>
          <c:idx val="5"/>
          <c:order val="7"/>
          <c:tx>
            <c:strRef>
              <c:f>Données!$B$158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Données!$C$150:$E$150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Données!$C$158:$E$158</c:f>
              <c:numCache>
                <c:formatCode>0.0%</c:formatCode>
                <c:ptCount val="3"/>
                <c:pt idx="0">
                  <c:v>-1.6027623382812245E-2</c:v>
                </c:pt>
                <c:pt idx="1">
                  <c:v>-1.3646197636987703E-2</c:v>
                </c:pt>
                <c:pt idx="2">
                  <c:v>-1.2869636065400689E-2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3-402B-99FF-FCD4904E3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Données!$B$151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solidFill>
                    <a:schemeClr val="bg1"/>
                  </a:solidFill>
                  <a:ln w="15875"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Données!$C$150:$E$150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2040</c:v>
                      </c:pt>
                      <c:pt idx="2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Données!$C$151:$E$151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-1.518917643505256E-2</c:v>
                      </c:pt>
                      <c:pt idx="1">
                        <c:v>-1.224480155967627E-2</c:v>
                      </c:pt>
                      <c:pt idx="2">
                        <c:v>-1.1933843938481547E-2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A2D-4067-BD64-AD80378C548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4.7265608894168178E-2"/>
          <c:y val="0.90410587034305578"/>
          <c:w val="0.89999992464320977"/>
          <c:h val="5.8169576980035692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Production sectorielle</a:t>
            </a:r>
          </a:p>
          <a:p>
            <a:pPr>
              <a:defRPr/>
            </a:pPr>
            <a:r>
              <a:rPr lang="fr-FR" sz="1800" baseline="0"/>
              <a:t>(contributions à l'écart en %)</a:t>
            </a:r>
            <a:endParaRPr lang="fr-FR"/>
          </a:p>
        </c:rich>
      </c:tx>
      <c:layout>
        <c:manualLayout>
          <c:xMode val="edge"/>
          <c:yMode val="edge"/>
          <c:x val="0.33272800300307576"/>
          <c:y val="1.8862276338454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571602891676875E-2"/>
          <c:y val="0.17305998269885345"/>
          <c:w val="0.88919974947941849"/>
          <c:h val="0.59102030227829239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Données!$B$162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Données!$C$160:$E$160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Données!$C$162:$E$162</c:f>
              <c:numCache>
                <c:formatCode>0.0%</c:formatCode>
                <c:ptCount val="3"/>
                <c:pt idx="0">
                  <c:v>-1.1408313332245518E-3</c:v>
                </c:pt>
                <c:pt idx="1">
                  <c:v>-7.9282031139093459E-4</c:v>
                </c:pt>
                <c:pt idx="2">
                  <c:v>-7.159335918433974E-4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E-4871-A0C0-CDCBAB32DBE7}"/>
            </c:ext>
          </c:extLst>
        </c:ser>
        <c:ser>
          <c:idx val="2"/>
          <c:order val="2"/>
          <c:tx>
            <c:strRef>
              <c:f>Données!$B$163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Données!$C$160:$E$160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Données!$C$163:$E$163</c:f>
              <c:numCache>
                <c:formatCode>0.0%</c:formatCode>
                <c:ptCount val="3"/>
                <c:pt idx="0">
                  <c:v>-1.3583295800008999E-3</c:v>
                </c:pt>
                <c:pt idx="1">
                  <c:v>-8.8281503517732309E-4</c:v>
                </c:pt>
                <c:pt idx="2">
                  <c:v>-8.5425163772446828E-4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E-4871-A0C0-CDCBAB32DBE7}"/>
            </c:ext>
          </c:extLst>
        </c:ser>
        <c:ser>
          <c:idx val="3"/>
          <c:order val="3"/>
          <c:tx>
            <c:strRef>
              <c:f>Données!$B$164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Données!$C$160:$E$160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Données!$C$164:$E$164</c:f>
              <c:numCache>
                <c:formatCode>0.0%</c:formatCode>
                <c:ptCount val="3"/>
                <c:pt idx="0">
                  <c:v>-2.0002211422473224E-4</c:v>
                </c:pt>
                <c:pt idx="1">
                  <c:v>7.367732214283707E-5</c:v>
                </c:pt>
                <c:pt idx="2">
                  <c:v>-1.8899240676200527E-5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E-4871-A0C0-CDCBAB32DBE7}"/>
            </c:ext>
          </c:extLst>
        </c:ser>
        <c:ser>
          <c:idx val="4"/>
          <c:order val="4"/>
          <c:tx>
            <c:strRef>
              <c:f>Données!$B$165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Données!$C$160:$E$160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Données!$C$165:$E$165</c:f>
              <c:numCache>
                <c:formatCode>0.0%</c:formatCode>
                <c:ptCount val="3"/>
                <c:pt idx="0">
                  <c:v>-4.7528248201234016E-3</c:v>
                </c:pt>
                <c:pt idx="1">
                  <c:v>-3.7860168872974036E-3</c:v>
                </c:pt>
                <c:pt idx="2">
                  <c:v>-3.4264155746862482E-3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E-4871-A0C0-CDCBAB32DBE7}"/>
            </c:ext>
          </c:extLst>
        </c:ser>
        <c:ser>
          <c:idx val="7"/>
          <c:order val="5"/>
          <c:tx>
            <c:strRef>
              <c:f>Données!$B$166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Données!$C$160:$E$160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Données!$C$166:$E$166</c:f>
              <c:numCache>
                <c:formatCode>0.0%</c:formatCode>
                <c:ptCount val="3"/>
                <c:pt idx="0">
                  <c:v>-3.010390382894035E-5</c:v>
                </c:pt>
                <c:pt idx="1">
                  <c:v>-6.7533497869907836E-5</c:v>
                </c:pt>
                <c:pt idx="2">
                  <c:v>-5.1211152191787413E-5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E-4871-A0C0-CDCBAB32DBE7}"/>
            </c:ext>
          </c:extLst>
        </c:ser>
        <c:ser>
          <c:idx val="6"/>
          <c:order val="6"/>
          <c:tx>
            <c:strRef>
              <c:f>Données!$B$167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Données!$C$160:$E$160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Données!$C$167:$E$167</c:f>
              <c:numCache>
                <c:formatCode>0.0%</c:formatCode>
                <c:ptCount val="3"/>
                <c:pt idx="0">
                  <c:v>-7.2259658814014596E-3</c:v>
                </c:pt>
                <c:pt idx="1">
                  <c:v>-6.3841093629480178E-3</c:v>
                </c:pt>
                <c:pt idx="2">
                  <c:v>-6.4887657642072006E-3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E-4871-A0C0-CDCBAB32DBE7}"/>
            </c:ext>
          </c:extLst>
        </c:ser>
        <c:ser>
          <c:idx val="5"/>
          <c:order val="7"/>
          <c:tx>
            <c:strRef>
              <c:f>Données!$B$168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Données!$C$160:$E$160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Données!$C$168:$E$168</c:f>
              <c:numCache>
                <c:formatCode>0.0%</c:formatCode>
                <c:ptCount val="3"/>
                <c:pt idx="0">
                  <c:v>-4.810987486249807E-4</c:v>
                </c:pt>
                <c:pt idx="1">
                  <c:v>-4.051836620411246E-4</c:v>
                </c:pt>
                <c:pt idx="2">
                  <c:v>-3.7836690677042458E-4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E-4871-A0C0-CDCBAB32D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Données!$B$161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Données!$C$160:$E$160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Données!$C$161:$E$161</c:f>
              <c:numCache>
                <c:formatCode>0.0%</c:formatCode>
                <c:ptCount val="3"/>
                <c:pt idx="0">
                  <c:v>-1.518917643505256E-2</c:v>
                </c:pt>
                <c:pt idx="1">
                  <c:v>-1.224480155967627E-2</c:v>
                </c:pt>
                <c:pt idx="2">
                  <c:v>-1.1933843938481547E-2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34E-4871-A0C0-CDCBAB32D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066404511158891"/>
          <c:y val="0.85799808373794539"/>
          <c:w val="0.7071649128450278"/>
          <c:h val="0.11319544123699567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Production </a:t>
            </a:r>
            <a:r>
              <a:rPr lang="fr-FR" baseline="0"/>
              <a:t>sectorielle</a:t>
            </a:r>
          </a:p>
          <a:p>
            <a:pPr>
              <a:defRPr/>
            </a:pPr>
            <a:r>
              <a:rPr lang="fr-FR" sz="1800" baseline="0"/>
              <a:t>(écart au tendanciel de la part en %)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1940426989276671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38689909529092"/>
          <c:y val="0.16700270330876876"/>
          <c:w val="0.88457713027791363"/>
          <c:h val="0.657507131187615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Données!$B$171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Données!$C$170:$E$170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Données!$C$171:$E$171</c:f>
              <c:numCache>
                <c:formatCode>0.0%</c:formatCode>
                <c:ptCount val="3"/>
                <c:pt idx="0">
                  <c:v>-8.558084655090302E-4</c:v>
                </c:pt>
                <c:pt idx="1">
                  <c:v>-5.8625002798489562E-4</c:v>
                </c:pt>
                <c:pt idx="2">
                  <c:v>-5.6309441478316277E-4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Données!$B$172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Données!$C$170:$E$170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Données!$C$172:$E$172</c:f>
              <c:numCache>
                <c:formatCode>0.0%</c:formatCode>
                <c:ptCount val="3"/>
                <c:pt idx="0">
                  <c:v>-2.013512887931862E-4</c:v>
                </c:pt>
                <c:pt idx="1">
                  <c:v>2.6470154502619692E-5</c:v>
                </c:pt>
                <c:pt idx="2">
                  <c:v>3.0709757914096358E-5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Données!$B$173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Données!$C$170:$E$170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Données!$C$173:$E$173</c:f>
              <c:numCache>
                <c:formatCode>0.0%</c:formatCode>
                <c:ptCount val="3"/>
                <c:pt idx="0">
                  <c:v>-1.882895655918454E-5</c:v>
                </c:pt>
                <c:pt idx="1">
                  <c:v>2.1718082162340904E-4</c:v>
                </c:pt>
                <c:pt idx="2">
                  <c:v>2.3235632900117133E-4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Données!$B$174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Données!$C$170:$E$170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Données!$C$174:$E$174</c:f>
              <c:numCache>
                <c:formatCode>0.0%</c:formatCode>
                <c:ptCount val="3"/>
                <c:pt idx="0">
                  <c:v>-2.1145099766971265E-3</c:v>
                </c:pt>
                <c:pt idx="1">
                  <c:v>-1.7196519869304705E-3</c:v>
                </c:pt>
                <c:pt idx="2">
                  <c:v>-1.6481305518378786E-3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Données!$B$175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Données!$C$170:$E$170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Données!$C$175:$E$175</c:f>
              <c:numCache>
                <c:formatCode>0.0%</c:formatCode>
                <c:ptCount val="3"/>
                <c:pt idx="0">
                  <c:v>2.4361968492167888E-4</c:v>
                </c:pt>
                <c:pt idx="1">
                  <c:v>1.4246333386463278E-4</c:v>
                </c:pt>
                <c:pt idx="2">
                  <c:v>1.446743149017965E-4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Données!$B$176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Données!$C$170:$E$170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Données!$C$176:$E$176</c:f>
              <c:numCache>
                <c:formatCode>0.0%</c:formatCode>
                <c:ptCount val="3"/>
                <c:pt idx="0">
                  <c:v>2.9724347608933721E-3</c:v>
                </c:pt>
                <c:pt idx="1">
                  <c:v>1.9619139879871739E-3</c:v>
                </c:pt>
                <c:pt idx="2">
                  <c:v>1.8425941616035946E-3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ser>
          <c:idx val="6"/>
          <c:order val="6"/>
          <c:tx>
            <c:strRef>
              <c:f>Données!$B$177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Données!$C$170:$E$170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Données!$C$177:$E$177</c:f>
              <c:numCache>
                <c:formatCode>0.0%</c:formatCode>
                <c:ptCount val="3"/>
                <c:pt idx="0">
                  <c:v>-2.5555705424451514E-5</c:v>
                </c:pt>
                <c:pt idx="1">
                  <c:v>-4.2126156993810282E-5</c:v>
                </c:pt>
                <c:pt idx="2">
                  <c:v>-3.9109699833495687E-5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D-41DD-B0C4-371ACB164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0000037670649387E-2"/>
          <c:y val="0.92507183164803475"/>
          <c:w val="0.89999992465870116"/>
          <c:h val="5.8163462809332329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chart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>
    <tabColor rgb="FFFF0000"/>
  </sheetPr>
  <sheetViews>
    <sheetView zoomScale="4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>
    <tabColor rgb="FFFF0000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70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>
    <tabColor rgb="FFFF0000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>
    <tabColor theme="7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>
    <tabColor theme="7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>
    <tabColor theme="7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>
    <tabColor theme="7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DDA2B46-5A07-4ACE-885C-07A2D48EDB46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4114DFF-06B8-43B9-B39F-3ACF44666A0A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>
    <tabColor rgb="FF7030A0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>
    <tabColor rgb="FF7030A0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BDA4938-6DEA-4E86-B7A8-FEF44F7274B9}">
  <sheetPr>
    <tabColor rgb="FF7030A0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2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>
    <tabColor rgb="FF7030A0"/>
  </sheetPr>
  <sheetViews>
    <sheetView tabSelected="1" zoomScale="70" workbookViewId="0"/>
  </sheetViews>
  <pageMargins left="0.7" right="0.7" top="0.75" bottom="0.75" header="0.3" footer="0.3"/>
  <drawing r:id="rId1"/>
</chartsheet>
</file>

<file path=xl/chartsheets/sheet2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6FC3720-83B2-4315-9FAD-13ED81F9AB47}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500-000000000000}">
  <sheetPr>
    <tabColor rgb="FF7030A0"/>
  </sheetPr>
  <sheetViews>
    <sheetView zoomScale="7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77350" cy="60579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DB0A543-F1F5-7285-B880-A9AED1CDD3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31245AD-793D-C7EB-8120-76A89EADAF1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E908D0-2AE8-2580-D739-4790B3FD3C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558F814-7EC0-C772-3C76-2743A5B95D4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lori\Documents\Github\ThreeME_V3-ADEME\results\2023-01-30_00-58-00_Result_France.xlsx" TargetMode="External"/><Relationship Id="rId1" Type="http://schemas.openxmlformats.org/officeDocument/2006/relationships/externalLinkPath" Target="2023-01-30_00-58-00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"/>
      <sheetName val="Import"/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/>
      <sheetData sheetId="2"/>
      <sheetData sheetId="3">
        <row r="2">
          <cell r="B2">
            <v>3868284.6170000001</v>
          </cell>
          <cell r="C2">
            <v>3909663.2990000001</v>
          </cell>
          <cell r="D2">
            <v>3966673.949</v>
          </cell>
          <cell r="E2">
            <v>4030622.2629999998</v>
          </cell>
          <cell r="F2">
            <v>4096308.3960000002</v>
          </cell>
          <cell r="G2">
            <v>4162293.906</v>
          </cell>
          <cell r="H2">
            <v>4226999.0539999995</v>
          </cell>
          <cell r="I2">
            <v>4275853.5520000001</v>
          </cell>
          <cell r="J2">
            <v>4315966.392</v>
          </cell>
          <cell r="K2">
            <v>4356999.6150000002</v>
          </cell>
          <cell r="L2">
            <v>4412023.2810000004</v>
          </cell>
          <cell r="M2">
            <v>4471777.4809999997</v>
          </cell>
          <cell r="N2">
            <v>4540322.324</v>
          </cell>
          <cell r="O2">
            <v>4613604.1349999998</v>
          </cell>
          <cell r="P2">
            <v>4687942.8250000002</v>
          </cell>
          <cell r="Q2">
            <v>4761202.8849999998</v>
          </cell>
          <cell r="R2">
            <v>4833038.3739999998</v>
          </cell>
          <cell r="S2">
            <v>4904427.1550000003</v>
          </cell>
          <cell r="T2">
            <v>4976844.693</v>
          </cell>
          <cell r="U2">
            <v>5051516.4119999995</v>
          </cell>
          <cell r="V2">
            <v>5124164.3600000003</v>
          </cell>
          <cell r="W2">
            <v>5203794.92</v>
          </cell>
          <cell r="X2">
            <v>5285944.8480000002</v>
          </cell>
          <cell r="Y2">
            <v>5369691.1469999999</v>
          </cell>
          <cell r="Z2">
            <v>5454398.1069999998</v>
          </cell>
          <cell r="AA2">
            <v>5523937.7209999999</v>
          </cell>
          <cell r="AB2">
            <v>5603244.8509999998</v>
          </cell>
          <cell r="AC2">
            <v>5682933.1409999998</v>
          </cell>
          <cell r="AD2">
            <v>5763511.608</v>
          </cell>
          <cell r="AE2">
            <v>5845467.3600000003</v>
          </cell>
          <cell r="AF2">
            <v>5928844.9550000001</v>
          </cell>
          <cell r="AG2">
            <v>6013410.8300000001</v>
          </cell>
          <cell r="AH2">
            <v>6098900.5120000001</v>
          </cell>
          <cell r="AI2">
            <v>6185186.2259999998</v>
          </cell>
          <cell r="AJ2">
            <v>6272322.9289999995</v>
          </cell>
          <cell r="AK2">
            <v>6360495.1909999996</v>
          </cell>
        </row>
        <row r="3">
          <cell r="B3">
            <v>3868284.6170000001</v>
          </cell>
          <cell r="C3">
            <v>3909663.2990000001</v>
          </cell>
          <cell r="D3">
            <v>3966673.949</v>
          </cell>
          <cell r="E3">
            <v>4030622.2629999998</v>
          </cell>
          <cell r="F3">
            <v>4096308.3960000002</v>
          </cell>
          <cell r="G3">
            <v>4162293.906</v>
          </cell>
          <cell r="H3">
            <v>4223870.4740000004</v>
          </cell>
          <cell r="I3">
            <v>4286003.0410000002</v>
          </cell>
          <cell r="J3">
            <v>4348765.3159999996</v>
          </cell>
          <cell r="K3">
            <v>4412893.5789999999</v>
          </cell>
          <cell r="L3">
            <v>4484762.7410000004</v>
          </cell>
          <cell r="M3">
            <v>4553351.034</v>
          </cell>
          <cell r="N3">
            <v>4623408.3210000005</v>
          </cell>
          <cell r="O3">
            <v>4693831.2680000002</v>
          </cell>
          <cell r="P3">
            <v>4764189.08</v>
          </cell>
          <cell r="Q3">
            <v>4834637.04</v>
          </cell>
          <cell r="R3">
            <v>4905655.7450000001</v>
          </cell>
          <cell r="S3">
            <v>4977786.3550000004</v>
          </cell>
          <cell r="T3">
            <v>5051446.0999999996</v>
          </cell>
          <cell r="U3">
            <v>5126852.2680000002</v>
          </cell>
          <cell r="V3">
            <v>5199078.6310000001</v>
          </cell>
          <cell r="W3">
            <v>5277381.9970000004</v>
          </cell>
          <cell r="X3">
            <v>5357715.5889999997</v>
          </cell>
          <cell r="Y3">
            <v>5439757.7510000002</v>
          </cell>
          <cell r="Z3">
            <v>5523365.4469999997</v>
          </cell>
          <cell r="AA3">
            <v>5592415.7419999996</v>
          </cell>
          <cell r="AB3">
            <v>5672103.6830000002</v>
          </cell>
          <cell r="AC3">
            <v>5752753.3399999999</v>
          </cell>
          <cell r="AD3">
            <v>5834570.8779999996</v>
          </cell>
          <cell r="AE3">
            <v>5917776.8849999998</v>
          </cell>
          <cell r="AF3">
            <v>6002252.8449999997</v>
          </cell>
          <cell r="AG3">
            <v>6087719.3109999998</v>
          </cell>
          <cell r="AH3">
            <v>6173947.0350000001</v>
          </cell>
          <cell r="AI3">
            <v>6260871.9479999999</v>
          </cell>
          <cell r="AJ3">
            <v>6348597.7180000003</v>
          </cell>
          <cell r="AK3">
            <v>6437317.1289999997</v>
          </cell>
        </row>
        <row r="4">
          <cell r="B4">
            <v>81877.160969999997</v>
          </cell>
          <cell r="C4">
            <v>81292.904280000002</v>
          </cell>
          <cell r="D4">
            <v>80878.373590000003</v>
          </cell>
          <cell r="E4">
            <v>80772.120150000002</v>
          </cell>
          <cell r="F4">
            <v>81008.892630000002</v>
          </cell>
          <cell r="G4">
            <v>81550.997969999997</v>
          </cell>
          <cell r="H4">
            <v>82679.735400000005</v>
          </cell>
          <cell r="I4">
            <v>83252.609750000003</v>
          </cell>
          <cell r="J4">
            <v>83487.147020000004</v>
          </cell>
          <cell r="K4">
            <v>83479.289839999998</v>
          </cell>
          <cell r="L4">
            <v>83409.946419999993</v>
          </cell>
          <cell r="M4">
            <v>83257.939469999998</v>
          </cell>
          <cell r="N4">
            <v>83105.299190000005</v>
          </cell>
          <cell r="O4">
            <v>82990.33743</v>
          </cell>
          <cell r="P4">
            <v>82935.636870000002</v>
          </cell>
          <cell r="Q4">
            <v>82954.051680000004</v>
          </cell>
          <cell r="R4">
            <v>83052.588000000003</v>
          </cell>
          <cell r="S4">
            <v>83233.859400000001</v>
          </cell>
          <cell r="T4">
            <v>83495.867729999998</v>
          </cell>
          <cell r="U4">
            <v>83831.323059999995</v>
          </cell>
          <cell r="V4">
            <v>84173.066089999993</v>
          </cell>
          <cell r="W4">
            <v>84585.688779999997</v>
          </cell>
          <cell r="X4">
            <v>85032.932390000002</v>
          </cell>
          <cell r="Y4">
            <v>85496.59663</v>
          </cell>
          <cell r="Z4">
            <v>85959.884330000001</v>
          </cell>
          <cell r="AA4">
            <v>86252.748089999994</v>
          </cell>
          <cell r="AB4">
            <v>86533.91949</v>
          </cell>
          <cell r="AC4">
            <v>86782.271630000003</v>
          </cell>
          <cell r="AD4">
            <v>87008.392900000006</v>
          </cell>
          <cell r="AE4">
            <v>87221.123380000005</v>
          </cell>
          <cell r="AF4">
            <v>87426.842139999993</v>
          </cell>
          <cell r="AG4">
            <v>87629.647989999998</v>
          </cell>
          <cell r="AH4">
            <v>87832.018960000001</v>
          </cell>
          <cell r="AI4">
            <v>88035.526419999995</v>
          </cell>
          <cell r="AJ4">
            <v>88241.311820000003</v>
          </cell>
          <cell r="AK4">
            <v>88450.242580000006</v>
          </cell>
        </row>
        <row r="5">
          <cell r="B5">
            <v>81877.160969999997</v>
          </cell>
          <cell r="C5">
            <v>81292.904280000002</v>
          </cell>
          <cell r="D5">
            <v>80878.373590000003</v>
          </cell>
          <cell r="E5">
            <v>80772.120150000002</v>
          </cell>
          <cell r="F5">
            <v>81008.892630000002</v>
          </cell>
          <cell r="G5">
            <v>81550.997969999997</v>
          </cell>
          <cell r="H5">
            <v>82276.408070000005</v>
          </cell>
          <cell r="I5">
            <v>83118.085229999997</v>
          </cell>
          <cell r="J5">
            <v>84001.503899999996</v>
          </cell>
          <cell r="K5">
            <v>84867.123319999999</v>
          </cell>
          <cell r="L5">
            <v>85752.285350000006</v>
          </cell>
          <cell r="M5">
            <v>86515.260899999994</v>
          </cell>
          <cell r="N5">
            <v>87164.324670000002</v>
          </cell>
          <cell r="O5">
            <v>87696.603350000005</v>
          </cell>
          <cell r="P5">
            <v>88121.477729999999</v>
          </cell>
          <cell r="Q5">
            <v>88457.262910000005</v>
          </cell>
          <cell r="R5">
            <v>88727.112299999993</v>
          </cell>
          <cell r="S5">
            <v>88955.079310000001</v>
          </cell>
          <cell r="T5">
            <v>89162.999989999997</v>
          </cell>
          <cell r="U5">
            <v>89368.56306</v>
          </cell>
          <cell r="V5">
            <v>89526.04866</v>
          </cell>
          <cell r="W5">
            <v>89731.617559999999</v>
          </cell>
          <cell r="X5">
            <v>89969.814979999996</v>
          </cell>
          <cell r="Y5">
            <v>90241.461079999994</v>
          </cell>
          <cell r="Z5">
            <v>90543.65122</v>
          </cell>
          <cell r="AA5">
            <v>90705.170530000003</v>
          </cell>
          <cell r="AB5">
            <v>90899.238740000001</v>
          </cell>
          <cell r="AC5">
            <v>91100.299679999996</v>
          </cell>
          <cell r="AD5">
            <v>91314.026849999995</v>
          </cell>
          <cell r="AE5">
            <v>91542.318780000001</v>
          </cell>
          <cell r="AF5">
            <v>91783.975120000003</v>
          </cell>
          <cell r="AG5">
            <v>92035.910550000001</v>
          </cell>
          <cell r="AH5">
            <v>92294.432499999995</v>
          </cell>
          <cell r="AI5">
            <v>92556.200639999995</v>
          </cell>
          <cell r="AJ5">
            <v>92818.691990000007</v>
          </cell>
          <cell r="AK5">
            <v>93080.211030000006</v>
          </cell>
        </row>
        <row r="6">
          <cell r="B6">
            <v>6539.3680640000002</v>
          </cell>
          <cell r="C6">
            <v>6393.2424870000004</v>
          </cell>
          <cell r="D6">
            <v>6281.1610280000004</v>
          </cell>
          <cell r="E6">
            <v>6201.4005459999998</v>
          </cell>
          <cell r="F6">
            <v>6148.9225829999996</v>
          </cell>
          <cell r="G6">
            <v>6119.9838200000004</v>
          </cell>
          <cell r="H6">
            <v>6208.6486809999997</v>
          </cell>
          <cell r="I6">
            <v>6206.7781340000001</v>
          </cell>
          <cell r="J6">
            <v>6198.1327799999999</v>
          </cell>
          <cell r="K6">
            <v>6196.8554190000004</v>
          </cell>
          <cell r="L6">
            <v>6218.8179550000004</v>
          </cell>
          <cell r="M6">
            <v>6237.2908100000004</v>
          </cell>
          <cell r="N6">
            <v>6265.089919</v>
          </cell>
          <cell r="O6">
            <v>6301.5179440000002</v>
          </cell>
          <cell r="P6">
            <v>6343.7338879999998</v>
          </cell>
          <cell r="Q6">
            <v>6389.2847320000001</v>
          </cell>
          <cell r="R6">
            <v>6436.6827800000001</v>
          </cell>
          <cell r="S6">
            <v>6485.5219459999998</v>
          </cell>
          <cell r="T6">
            <v>6536.1008259999999</v>
          </cell>
          <cell r="U6">
            <v>6589.0914769999999</v>
          </cell>
          <cell r="V6">
            <v>6635.7533489999996</v>
          </cell>
          <cell r="W6">
            <v>6695.7154549999996</v>
          </cell>
          <cell r="X6">
            <v>6759.6734900000001</v>
          </cell>
          <cell r="Y6">
            <v>6825.9341530000002</v>
          </cell>
          <cell r="Z6">
            <v>6894.1524069999996</v>
          </cell>
          <cell r="AA6">
            <v>6936.2982970000003</v>
          </cell>
          <cell r="AB6">
            <v>6998.0536229999998</v>
          </cell>
          <cell r="AC6">
            <v>7063.4507149999999</v>
          </cell>
          <cell r="AD6">
            <v>7129.5522069999997</v>
          </cell>
          <cell r="AE6">
            <v>7196.3108229999998</v>
          </cell>
          <cell r="AF6">
            <v>7263.9760239999996</v>
          </cell>
          <cell r="AG6">
            <v>7332.5923489999996</v>
          </cell>
          <cell r="AH6">
            <v>7402.0622439999997</v>
          </cell>
          <cell r="AI6">
            <v>7472.2768539999997</v>
          </cell>
          <cell r="AJ6">
            <v>7543.1989439999998</v>
          </cell>
          <cell r="AK6">
            <v>7614.8882309999999</v>
          </cell>
        </row>
        <row r="7">
          <cell r="B7">
            <v>6539.3680640000002</v>
          </cell>
          <cell r="C7">
            <v>6393.2424870000004</v>
          </cell>
          <cell r="D7">
            <v>6281.1610280000004</v>
          </cell>
          <cell r="E7">
            <v>6201.4005459999998</v>
          </cell>
          <cell r="F7">
            <v>6148.9225829999996</v>
          </cell>
          <cell r="G7">
            <v>6119.9838200000004</v>
          </cell>
          <cell r="H7">
            <v>6102.4058409999998</v>
          </cell>
          <cell r="I7">
            <v>6102.155197</v>
          </cell>
          <cell r="J7">
            <v>6115.8716839999997</v>
          </cell>
          <cell r="K7">
            <v>6140.1308310000004</v>
          </cell>
          <cell r="L7">
            <v>6185.1247009999997</v>
          </cell>
          <cell r="M7">
            <v>6222.2028449999998</v>
          </cell>
          <cell r="N7">
            <v>6263.1922039999999</v>
          </cell>
          <cell r="O7">
            <v>6307.7822930000002</v>
          </cell>
          <cell r="P7">
            <v>6354.2824490000003</v>
          </cell>
          <cell r="Q7">
            <v>6401.5789219999997</v>
          </cell>
          <cell r="R7">
            <v>6449.3175760000004</v>
          </cell>
          <cell r="S7">
            <v>6497.6592920000003</v>
          </cell>
          <cell r="T7">
            <v>6547.0257549999997</v>
          </cell>
          <cell r="U7">
            <v>6597.9084460000004</v>
          </cell>
          <cell r="V7">
            <v>6641.3860459999996</v>
          </cell>
          <cell r="W7">
            <v>6697.0227720000003</v>
          </cell>
          <cell r="X7">
            <v>6755.8394509999998</v>
          </cell>
          <cell r="Y7">
            <v>6816.6784239999997</v>
          </cell>
          <cell r="Z7">
            <v>6879.7664279999999</v>
          </cell>
          <cell r="AA7">
            <v>6917.6566469999998</v>
          </cell>
          <cell r="AB7">
            <v>6976.0879759999998</v>
          </cell>
          <cell r="AC7">
            <v>7039.2306699999999</v>
          </cell>
          <cell r="AD7">
            <v>7104.1090839999997</v>
          </cell>
          <cell r="AE7">
            <v>7170.4870360000004</v>
          </cell>
          <cell r="AF7">
            <v>7238.3789070000003</v>
          </cell>
          <cell r="AG7">
            <v>7307.63022</v>
          </cell>
          <cell r="AH7">
            <v>7377.9796630000001</v>
          </cell>
          <cell r="AI7">
            <v>7449.1815189999998</v>
          </cell>
          <cell r="AJ7">
            <v>7521.0831749999998</v>
          </cell>
          <cell r="AK7">
            <v>7593.611355</v>
          </cell>
        </row>
        <row r="8">
          <cell r="B8">
            <v>157908.59880000001</v>
          </cell>
          <cell r="C8">
            <v>158446.57029999999</v>
          </cell>
          <cell r="D8">
            <v>159032.052</v>
          </cell>
          <cell r="E8">
            <v>159846.05559999999</v>
          </cell>
          <cell r="F8">
            <v>160905.26029999999</v>
          </cell>
          <cell r="G8">
            <v>162152.24710000001</v>
          </cell>
          <cell r="H8">
            <v>163598.05729999999</v>
          </cell>
          <cell r="I8">
            <v>163863.8291</v>
          </cell>
          <cell r="J8">
            <v>163614.9388</v>
          </cell>
          <cell r="K8">
            <v>163174.56039999999</v>
          </cell>
          <cell r="L8">
            <v>162911.80220000001</v>
          </cell>
          <cell r="M8">
            <v>162700.86249999999</v>
          </cell>
          <cell r="N8">
            <v>162587.55170000001</v>
          </cell>
          <cell r="O8">
            <v>162551.68400000001</v>
          </cell>
          <cell r="P8">
            <v>162576.28219999999</v>
          </cell>
          <cell r="Q8">
            <v>162661.77619999999</v>
          </cell>
          <cell r="R8">
            <v>162824.97719999999</v>
          </cell>
          <cell r="S8">
            <v>163088.7788</v>
          </cell>
          <cell r="T8">
            <v>163469.85440000001</v>
          </cell>
          <cell r="U8">
            <v>163970.20759999999</v>
          </cell>
          <cell r="V8">
            <v>164469.62549999999</v>
          </cell>
          <cell r="W8">
            <v>165094.65109999999</v>
          </cell>
          <cell r="X8">
            <v>165787.63310000001</v>
          </cell>
          <cell r="Y8">
            <v>166514.77439999999</v>
          </cell>
          <cell r="Z8">
            <v>167246.09659999999</v>
          </cell>
          <cell r="AA8">
            <v>167659.79800000001</v>
          </cell>
          <cell r="AB8">
            <v>168057.3744</v>
          </cell>
          <cell r="AC8">
            <v>168423.60800000001</v>
          </cell>
          <cell r="AD8">
            <v>168779.4148</v>
          </cell>
          <cell r="AE8">
            <v>169135.80100000001</v>
          </cell>
          <cell r="AF8">
            <v>169496.63260000001</v>
          </cell>
          <cell r="AG8">
            <v>169861.95430000001</v>
          </cell>
          <cell r="AH8">
            <v>170230.90479999999</v>
          </cell>
          <cell r="AI8">
            <v>170603.43299999999</v>
          </cell>
          <cell r="AJ8">
            <v>170980.61780000001</v>
          </cell>
          <cell r="AK8">
            <v>171363.98449999999</v>
          </cell>
        </row>
        <row r="9">
          <cell r="B9">
            <v>157908.59880000001</v>
          </cell>
          <cell r="C9">
            <v>158446.57029999999</v>
          </cell>
          <cell r="D9">
            <v>159032.052</v>
          </cell>
          <cell r="E9">
            <v>159846.05559999999</v>
          </cell>
          <cell r="F9">
            <v>160905.26029999999</v>
          </cell>
          <cell r="G9">
            <v>162152.24710000001</v>
          </cell>
          <cell r="H9">
            <v>163415.74799999999</v>
          </cell>
          <cell r="I9">
            <v>164666.41130000001</v>
          </cell>
          <cell r="J9">
            <v>165869.9333</v>
          </cell>
          <cell r="K9">
            <v>167005.31349999999</v>
          </cell>
          <cell r="L9">
            <v>168216.74590000001</v>
          </cell>
          <cell r="M9">
            <v>169262.943</v>
          </cell>
          <cell r="N9">
            <v>170168.2481</v>
          </cell>
          <cell r="O9">
            <v>170932.86989999999</v>
          </cell>
          <cell r="P9">
            <v>171574.4112</v>
          </cell>
          <cell r="Q9">
            <v>172121.85250000001</v>
          </cell>
          <cell r="R9">
            <v>172608.2862</v>
          </cell>
          <cell r="S9">
            <v>173064.50399999999</v>
          </cell>
          <cell r="T9">
            <v>173514.86319999999</v>
          </cell>
          <cell r="U9">
            <v>173975.82490000001</v>
          </cell>
          <cell r="V9">
            <v>174343.05739999999</v>
          </cell>
          <cell r="W9">
            <v>174787.48389999999</v>
          </cell>
          <cell r="X9">
            <v>175280.9388</v>
          </cell>
          <cell r="Y9">
            <v>175818.2058</v>
          </cell>
          <cell r="Z9">
            <v>176389.7862</v>
          </cell>
          <cell r="AA9">
            <v>176665.18470000001</v>
          </cell>
          <cell r="AB9">
            <v>176972.03270000001</v>
          </cell>
          <cell r="AC9">
            <v>177286.76759999999</v>
          </cell>
          <cell r="AD9">
            <v>177622.9026</v>
          </cell>
          <cell r="AE9">
            <v>177982.7482</v>
          </cell>
          <cell r="AF9">
            <v>178362.2389</v>
          </cell>
          <cell r="AG9">
            <v>178755.2555</v>
          </cell>
          <cell r="AH9">
            <v>179156.67679999999</v>
          </cell>
          <cell r="AI9">
            <v>179563.72229999999</v>
          </cell>
          <cell r="AJ9">
            <v>179975.7561</v>
          </cell>
          <cell r="AK9">
            <v>180393.17610000001</v>
          </cell>
        </row>
        <row r="10">
          <cell r="B10">
            <v>125850.70209999999</v>
          </cell>
          <cell r="C10">
            <v>126776.57030000001</v>
          </cell>
          <cell r="D10">
            <v>128374.32709999999</v>
          </cell>
          <cell r="E10">
            <v>130220.21060000001</v>
          </cell>
          <cell r="F10">
            <v>132154.8916</v>
          </cell>
          <cell r="G10">
            <v>134118.4638</v>
          </cell>
          <cell r="H10">
            <v>135988.3315</v>
          </cell>
          <cell r="I10">
            <v>137594.054</v>
          </cell>
          <cell r="J10">
            <v>138964.97150000001</v>
          </cell>
          <cell r="K10">
            <v>140304.41740000001</v>
          </cell>
          <cell r="L10">
            <v>141969.17189999999</v>
          </cell>
          <cell r="M10">
            <v>143650.5864</v>
          </cell>
          <cell r="N10">
            <v>145484.155</v>
          </cell>
          <cell r="O10">
            <v>147416.0508</v>
          </cell>
          <cell r="P10">
            <v>149386.4761</v>
          </cell>
          <cell r="Q10">
            <v>151356.36550000001</v>
          </cell>
          <cell r="R10">
            <v>153316.45740000001</v>
          </cell>
          <cell r="S10">
            <v>155282.29860000001</v>
          </cell>
          <cell r="T10">
            <v>157281.1489</v>
          </cell>
          <cell r="U10">
            <v>159338.2917</v>
          </cell>
          <cell r="V10">
            <v>161321.8854</v>
          </cell>
          <cell r="W10">
            <v>163506.5808</v>
          </cell>
          <cell r="X10">
            <v>165771.5993</v>
          </cell>
          <cell r="Y10">
            <v>168099.07120000001</v>
          </cell>
          <cell r="Z10">
            <v>170471.1974</v>
          </cell>
          <cell r="AA10">
            <v>172446.568</v>
          </cell>
          <cell r="AB10">
            <v>174626.07550000001</v>
          </cell>
          <cell r="AC10">
            <v>176846.6721</v>
          </cell>
          <cell r="AD10">
            <v>179113.62839999999</v>
          </cell>
          <cell r="AE10">
            <v>181428.3602</v>
          </cell>
          <cell r="AF10">
            <v>183786.8708</v>
          </cell>
          <cell r="AG10">
            <v>186181.70139999999</v>
          </cell>
          <cell r="AH10">
            <v>188605.32990000001</v>
          </cell>
          <cell r="AI10">
            <v>191052.98939999999</v>
          </cell>
          <cell r="AJ10">
            <v>193523.77859999999</v>
          </cell>
          <cell r="AK10">
            <v>196020.0105</v>
          </cell>
        </row>
        <row r="11">
          <cell r="B11">
            <v>125850.70209999999</v>
          </cell>
          <cell r="C11">
            <v>126776.57030000001</v>
          </cell>
          <cell r="D11">
            <v>128374.32709999999</v>
          </cell>
          <cell r="E11">
            <v>130220.21060000001</v>
          </cell>
          <cell r="F11">
            <v>132154.8916</v>
          </cell>
          <cell r="G11">
            <v>134118.4638</v>
          </cell>
          <cell r="H11">
            <v>135981.31039999999</v>
          </cell>
          <cell r="I11">
            <v>137842.8504</v>
          </cell>
          <cell r="J11">
            <v>139720.49979999999</v>
          </cell>
          <cell r="K11">
            <v>141630.97649999999</v>
          </cell>
          <cell r="L11">
            <v>143781.46669999999</v>
          </cell>
          <cell r="M11">
            <v>145799.6814</v>
          </cell>
          <cell r="N11">
            <v>147824.3976</v>
          </cell>
          <cell r="O11">
            <v>149842.3248</v>
          </cell>
          <cell r="P11">
            <v>151847.41250000001</v>
          </cell>
          <cell r="Q11">
            <v>153843.2151</v>
          </cell>
          <cell r="R11">
            <v>155840.27470000001</v>
          </cell>
          <cell r="S11">
            <v>157851.8064</v>
          </cell>
          <cell r="T11">
            <v>159889.97589999999</v>
          </cell>
          <cell r="U11">
            <v>161963.85999999999</v>
          </cell>
          <cell r="V11">
            <v>163929.39490000001</v>
          </cell>
          <cell r="W11">
            <v>166068.5539</v>
          </cell>
          <cell r="X11">
            <v>168269.3015</v>
          </cell>
          <cell r="Y11">
            <v>170527.36749999999</v>
          </cell>
          <cell r="Z11">
            <v>172837.845</v>
          </cell>
          <cell r="AA11">
            <v>174761.03030000001</v>
          </cell>
          <cell r="AB11">
            <v>176910.09820000001</v>
          </cell>
          <cell r="AC11">
            <v>179119.0834</v>
          </cell>
          <cell r="AD11">
            <v>181389.15119999999</v>
          </cell>
          <cell r="AE11">
            <v>183717.00039999999</v>
          </cell>
          <cell r="AF11">
            <v>186094.88200000001</v>
          </cell>
          <cell r="AG11">
            <v>188513.1703</v>
          </cell>
          <cell r="AH11">
            <v>190963.481</v>
          </cell>
          <cell r="AI11">
            <v>193440.7605</v>
          </cell>
          <cell r="AJ11">
            <v>195943.6887</v>
          </cell>
          <cell r="AK11">
            <v>198473.58259999999</v>
          </cell>
        </row>
        <row r="12">
          <cell r="B12">
            <v>22131.72005</v>
          </cell>
          <cell r="C12">
            <v>22907.156279999999</v>
          </cell>
          <cell r="D12">
            <v>23816.512429999999</v>
          </cell>
          <cell r="E12">
            <v>24528.682580000001</v>
          </cell>
          <cell r="F12">
            <v>25064.36292</v>
          </cell>
          <cell r="G12">
            <v>25506.700290000001</v>
          </cell>
          <cell r="H12">
            <v>25724.275549999998</v>
          </cell>
          <cell r="I12">
            <v>25913.490969999999</v>
          </cell>
          <cell r="J12">
            <v>26083.286260000001</v>
          </cell>
          <cell r="K12">
            <v>26270.638070000001</v>
          </cell>
          <cell r="L12">
            <v>26823.411120000001</v>
          </cell>
          <cell r="M12">
            <v>27023.677640000002</v>
          </cell>
          <cell r="N12">
            <v>27342.176810000001</v>
          </cell>
          <cell r="O12">
            <v>27757.528849999999</v>
          </cell>
          <cell r="P12">
            <v>28214.466560000001</v>
          </cell>
          <cell r="Q12">
            <v>28677.61162</v>
          </cell>
          <cell r="R12">
            <v>29133.165140000001</v>
          </cell>
          <cell r="S12">
            <v>29582.960899999998</v>
          </cell>
          <cell r="T12">
            <v>30036.53398</v>
          </cell>
          <cell r="U12">
            <v>30503.928360000002</v>
          </cell>
          <cell r="V12">
            <v>30773.116679999999</v>
          </cell>
          <cell r="W12">
            <v>31363.282709999999</v>
          </cell>
          <cell r="X12">
            <v>31951.895769999999</v>
          </cell>
          <cell r="Y12">
            <v>32518.751120000001</v>
          </cell>
          <cell r="Z12">
            <v>33074.167930000003</v>
          </cell>
          <cell r="AA12">
            <v>32981.533280000003</v>
          </cell>
          <cell r="AB12">
            <v>33515.25131</v>
          </cell>
          <cell r="AC12">
            <v>34089.459219999997</v>
          </cell>
          <cell r="AD12">
            <v>34646.282769999998</v>
          </cell>
          <cell r="AE12">
            <v>35194.473830000003</v>
          </cell>
          <cell r="AF12">
            <v>35742.852319999998</v>
          </cell>
          <cell r="AG12">
            <v>36294.637210000001</v>
          </cell>
          <cell r="AH12">
            <v>36849.992440000002</v>
          </cell>
          <cell r="AI12">
            <v>37408.576480000003</v>
          </cell>
          <cell r="AJ12">
            <v>37970.83412</v>
          </cell>
          <cell r="AK12">
            <v>38538.128779999999</v>
          </cell>
        </row>
        <row r="13">
          <cell r="B13">
            <v>22131.72005</v>
          </cell>
          <cell r="C13">
            <v>22907.156279999999</v>
          </cell>
          <cell r="D13">
            <v>23816.512429999999</v>
          </cell>
          <cell r="E13">
            <v>24528.682580000001</v>
          </cell>
          <cell r="F13">
            <v>25064.36292</v>
          </cell>
          <cell r="G13">
            <v>25506.700290000001</v>
          </cell>
          <cell r="H13">
            <v>25701.608329999999</v>
          </cell>
          <cell r="I13">
            <v>25980.961879999999</v>
          </cell>
          <cell r="J13">
            <v>26320.657329999998</v>
          </cell>
          <cell r="K13">
            <v>26693.864229999999</v>
          </cell>
          <cell r="L13">
            <v>27393.707559999999</v>
          </cell>
          <cell r="M13">
            <v>27677.86594</v>
          </cell>
          <cell r="N13">
            <v>28017.256399999998</v>
          </cell>
          <cell r="O13">
            <v>28410.25344</v>
          </cell>
          <cell r="P13">
            <v>28827.69944</v>
          </cell>
          <cell r="Q13">
            <v>29255.708210000001</v>
          </cell>
          <cell r="R13">
            <v>29691.1204</v>
          </cell>
          <cell r="S13">
            <v>30135.484059999999</v>
          </cell>
          <cell r="T13">
            <v>30591.312480000001</v>
          </cell>
          <cell r="U13">
            <v>31060.279790000001</v>
          </cell>
          <cell r="V13">
            <v>31323.32272</v>
          </cell>
          <cell r="W13">
            <v>31901.12084</v>
          </cell>
          <cell r="X13">
            <v>32472.712230000001</v>
          </cell>
          <cell r="Y13">
            <v>33022.243040000001</v>
          </cell>
          <cell r="Z13">
            <v>33564.301249999997</v>
          </cell>
          <cell r="AA13">
            <v>33461.859819999998</v>
          </cell>
          <cell r="AB13">
            <v>33994.591189999999</v>
          </cell>
          <cell r="AC13">
            <v>34573.473919999997</v>
          </cell>
          <cell r="AD13">
            <v>35138.265220000001</v>
          </cell>
          <cell r="AE13">
            <v>35695.463159999999</v>
          </cell>
          <cell r="AF13">
            <v>36252.271549999998</v>
          </cell>
          <cell r="AG13">
            <v>36811.189460000001</v>
          </cell>
          <cell r="AH13">
            <v>37372.412980000001</v>
          </cell>
          <cell r="AI13">
            <v>37936.000590000003</v>
          </cell>
          <cell r="AJ13">
            <v>38502.781040000002</v>
          </cell>
          <cell r="AK13">
            <v>39074.236019999997</v>
          </cell>
        </row>
        <row r="14">
          <cell r="B14">
            <v>25199.693340000002</v>
          </cell>
          <cell r="C14">
            <v>25374.297139999999</v>
          </cell>
          <cell r="D14">
            <v>25666.659299999999</v>
          </cell>
          <cell r="E14">
            <v>26079.642339999999</v>
          </cell>
          <cell r="F14">
            <v>26554.081020000001</v>
          </cell>
          <cell r="G14">
            <v>27053.381880000001</v>
          </cell>
          <cell r="H14">
            <v>27592.780419999999</v>
          </cell>
          <cell r="I14">
            <v>28011.420150000002</v>
          </cell>
          <cell r="J14">
            <v>28348.144909999999</v>
          </cell>
          <cell r="K14">
            <v>28673.52507</v>
          </cell>
          <cell r="L14">
            <v>29019.627789999999</v>
          </cell>
          <cell r="M14">
            <v>29490.966960000002</v>
          </cell>
          <cell r="N14">
            <v>30002.130710000001</v>
          </cell>
          <cell r="O14">
            <v>30534.53558</v>
          </cell>
          <cell r="P14">
            <v>31069.172989999999</v>
          </cell>
          <cell r="Q14">
            <v>31593.649990000002</v>
          </cell>
          <cell r="R14">
            <v>32106.00678</v>
          </cell>
          <cell r="S14">
            <v>32612.933939999999</v>
          </cell>
          <cell r="T14">
            <v>33124.85583</v>
          </cell>
          <cell r="U14">
            <v>33650.945390000001</v>
          </cell>
          <cell r="V14">
            <v>34207.707929999997</v>
          </cell>
          <cell r="W14">
            <v>34744.443780000001</v>
          </cell>
          <cell r="X14">
            <v>35310.24914</v>
          </cell>
          <cell r="Y14">
            <v>35896.473810000003</v>
          </cell>
          <cell r="Z14">
            <v>36494.707260000003</v>
          </cell>
          <cell r="AA14">
            <v>37122.359320000003</v>
          </cell>
          <cell r="AB14">
            <v>37671.596890000001</v>
          </cell>
          <cell r="AC14">
            <v>38227.163719999997</v>
          </cell>
          <cell r="AD14">
            <v>38795.285799999998</v>
          </cell>
          <cell r="AE14">
            <v>39377.046540000003</v>
          </cell>
          <cell r="AF14">
            <v>39971.136010000002</v>
          </cell>
          <cell r="AG14">
            <v>40575.009330000001</v>
          </cell>
          <cell r="AH14">
            <v>41186.224820000003</v>
          </cell>
          <cell r="AI14">
            <v>41803.428079999998</v>
          </cell>
          <cell r="AJ14">
            <v>42426.644820000001</v>
          </cell>
          <cell r="AK14">
            <v>43056.934809999999</v>
          </cell>
        </row>
        <row r="15">
          <cell r="B15">
            <v>25199.693340000002</v>
          </cell>
          <cell r="C15">
            <v>25374.297139999999</v>
          </cell>
          <cell r="D15">
            <v>25666.659299999999</v>
          </cell>
          <cell r="E15">
            <v>26079.642339999999</v>
          </cell>
          <cell r="F15">
            <v>26554.081020000001</v>
          </cell>
          <cell r="G15">
            <v>27053.381880000001</v>
          </cell>
          <cell r="H15">
            <v>27572.762210000001</v>
          </cell>
          <cell r="I15">
            <v>28069.917710000002</v>
          </cell>
          <cell r="J15">
            <v>28555.829150000001</v>
          </cell>
          <cell r="K15">
            <v>29041.91747</v>
          </cell>
          <cell r="L15">
            <v>29512.091059999999</v>
          </cell>
          <cell r="M15">
            <v>30055.00303</v>
          </cell>
          <cell r="N15">
            <v>30587.345270000002</v>
          </cell>
          <cell r="O15">
            <v>31108.952369999999</v>
          </cell>
          <cell r="P15">
            <v>31622.690989999999</v>
          </cell>
          <cell r="Q15">
            <v>32132.45001</v>
          </cell>
          <cell r="R15">
            <v>32642.848010000002</v>
          </cell>
          <cell r="S15">
            <v>33158.372799999997</v>
          </cell>
          <cell r="T15">
            <v>33682.515809999997</v>
          </cell>
          <cell r="U15">
            <v>34217.363940000003</v>
          </cell>
          <cell r="V15">
            <v>34774.450369999999</v>
          </cell>
          <cell r="W15">
            <v>35304.442730000002</v>
          </cell>
          <cell r="X15">
            <v>35859.059500000003</v>
          </cell>
          <cell r="Y15">
            <v>36433.796759999997</v>
          </cell>
          <cell r="Z15">
            <v>37023.898809999999</v>
          </cell>
          <cell r="AA15">
            <v>37647.123720000003</v>
          </cell>
          <cell r="AB15">
            <v>38197.955750000001</v>
          </cell>
          <cell r="AC15">
            <v>38759.621679999997</v>
          </cell>
          <cell r="AD15">
            <v>39336.454460000001</v>
          </cell>
          <cell r="AE15">
            <v>39927.762239999996</v>
          </cell>
          <cell r="AF15">
            <v>40531.06667</v>
          </cell>
          <cell r="AG15">
            <v>41143.388570000003</v>
          </cell>
          <cell r="AH15">
            <v>41762.406049999998</v>
          </cell>
          <cell r="AI15">
            <v>42387.108820000001</v>
          </cell>
          <cell r="AJ15">
            <v>43017.790419999998</v>
          </cell>
          <cell r="AK15">
            <v>43655.53976</v>
          </cell>
        </row>
        <row r="16">
          <cell r="B16">
            <v>85770.056960000002</v>
          </cell>
          <cell r="C16">
            <v>85761.742639999997</v>
          </cell>
          <cell r="D16">
            <v>86294.643490000002</v>
          </cell>
          <cell r="E16">
            <v>87156.789210000003</v>
          </cell>
          <cell r="F16">
            <v>88225.335999999996</v>
          </cell>
          <cell r="G16">
            <v>89429.750310000003</v>
          </cell>
          <cell r="H16">
            <v>90710.548800000004</v>
          </cell>
          <cell r="I16">
            <v>91729.870269999999</v>
          </cell>
          <cell r="J16">
            <v>92577.14589</v>
          </cell>
          <cell r="K16">
            <v>93382.178289999996</v>
          </cell>
          <cell r="L16">
            <v>94442.140780000002</v>
          </cell>
          <cell r="M16">
            <v>95501.420450000005</v>
          </cell>
          <cell r="N16">
            <v>96719.133289999998</v>
          </cell>
          <cell r="O16">
            <v>98064.685750000004</v>
          </cell>
          <cell r="P16">
            <v>99476.257329999993</v>
          </cell>
          <cell r="Q16">
            <v>100905.3155</v>
          </cell>
          <cell r="R16">
            <v>102330.6514</v>
          </cell>
          <cell r="S16">
            <v>103757.1</v>
          </cell>
          <cell r="T16">
            <v>105204.8667</v>
          </cell>
          <cell r="U16">
            <v>106696.48420000001</v>
          </cell>
          <cell r="V16">
            <v>108123.0374</v>
          </cell>
          <cell r="W16">
            <v>109730.90519999999</v>
          </cell>
          <cell r="X16">
            <v>111407.73970000001</v>
          </cell>
          <cell r="Y16">
            <v>113128.989</v>
          </cell>
          <cell r="Z16">
            <v>114882.5748</v>
          </cell>
          <cell r="AA16">
            <v>116285.84359999999</v>
          </cell>
          <cell r="AB16">
            <v>117914.63370000001</v>
          </cell>
          <cell r="AC16">
            <v>119582.60920000001</v>
          </cell>
          <cell r="AD16">
            <v>121273.65240000001</v>
          </cell>
          <cell r="AE16">
            <v>122994.24159999999</v>
          </cell>
          <cell r="AF16">
            <v>124746.93889999999</v>
          </cell>
          <cell r="AG16">
            <v>126528.83719999999</v>
          </cell>
          <cell r="AH16">
            <v>128334.8428</v>
          </cell>
          <cell r="AI16">
            <v>130160.9831</v>
          </cell>
          <cell r="AJ16">
            <v>132006.14550000001</v>
          </cell>
          <cell r="AK16">
            <v>133872.02059999999</v>
          </cell>
        </row>
        <row r="17">
          <cell r="B17">
            <v>85770.056960000002</v>
          </cell>
          <cell r="C17">
            <v>85761.742639999997</v>
          </cell>
          <cell r="D17">
            <v>86294.643490000002</v>
          </cell>
          <cell r="E17">
            <v>87156.789210000003</v>
          </cell>
          <cell r="F17">
            <v>88225.335999999996</v>
          </cell>
          <cell r="G17">
            <v>89429.750310000003</v>
          </cell>
          <cell r="H17">
            <v>90615.412609999999</v>
          </cell>
          <cell r="I17">
            <v>91859.208870000002</v>
          </cell>
          <cell r="J17">
            <v>93147.051019999999</v>
          </cell>
          <cell r="K17">
            <v>94471.985199999996</v>
          </cell>
          <cell r="L17">
            <v>96000.322560000001</v>
          </cell>
          <cell r="M17">
            <v>97402.143079999994</v>
          </cell>
          <cell r="N17">
            <v>98817.464359999998</v>
          </cell>
          <cell r="O17">
            <v>100243.933</v>
          </cell>
          <cell r="P17">
            <v>101669.40949999999</v>
          </cell>
          <cell r="Q17">
            <v>103091.85279999999</v>
          </cell>
          <cell r="R17">
            <v>104517.8559</v>
          </cell>
          <cell r="S17">
            <v>105958.103</v>
          </cell>
          <cell r="T17">
            <v>107423.24099999999</v>
          </cell>
          <cell r="U17">
            <v>108921.3331</v>
          </cell>
          <cell r="V17">
            <v>110329.73050000001</v>
          </cell>
          <cell r="W17">
            <v>111899.09179999999</v>
          </cell>
          <cell r="X17">
            <v>113521.4749</v>
          </cell>
          <cell r="Y17">
            <v>115183.4078</v>
          </cell>
          <cell r="Z17">
            <v>116884.21610000001</v>
          </cell>
          <cell r="AA17">
            <v>118242.3915</v>
          </cell>
          <cell r="AB17">
            <v>119847.0722</v>
          </cell>
          <cell r="AC17">
            <v>121508.08809999999</v>
          </cell>
          <cell r="AD17">
            <v>123205.3838</v>
          </cell>
          <cell r="AE17">
            <v>124940.72139999999</v>
          </cell>
          <cell r="AF17">
            <v>126712.6488</v>
          </cell>
          <cell r="AG17">
            <v>128515.7798</v>
          </cell>
          <cell r="AH17">
            <v>130344.0242</v>
          </cell>
          <cell r="AI17">
            <v>132193.28210000001</v>
          </cell>
          <cell r="AJ17">
            <v>134062.4601</v>
          </cell>
          <cell r="AK17">
            <v>135952.87049999999</v>
          </cell>
        </row>
        <row r="18">
          <cell r="B18">
            <v>29127.679220000002</v>
          </cell>
          <cell r="C18">
            <v>29261.082600000002</v>
          </cell>
          <cell r="D18">
            <v>29572.612860000001</v>
          </cell>
          <cell r="E18">
            <v>29955.598730000002</v>
          </cell>
          <cell r="F18">
            <v>30373.7209</v>
          </cell>
          <cell r="G18">
            <v>30817.762859999999</v>
          </cell>
          <cell r="H18">
            <v>31245.820390000001</v>
          </cell>
          <cell r="I18">
            <v>31600.983230000002</v>
          </cell>
          <cell r="J18">
            <v>31899.805980000001</v>
          </cell>
          <cell r="K18">
            <v>32189.830139999998</v>
          </cell>
          <cell r="L18">
            <v>32610.677189999999</v>
          </cell>
          <cell r="M18">
            <v>32979.594409999998</v>
          </cell>
          <cell r="N18">
            <v>33410.880369999999</v>
          </cell>
          <cell r="O18">
            <v>33890.882420000002</v>
          </cell>
          <cell r="P18">
            <v>34393.283329999998</v>
          </cell>
          <cell r="Q18">
            <v>34899.484770000003</v>
          </cell>
          <cell r="R18">
            <v>35402.388140000003</v>
          </cell>
          <cell r="S18">
            <v>35904.671280000002</v>
          </cell>
          <cell r="T18">
            <v>36414.233639999999</v>
          </cell>
          <cell r="U18">
            <v>36939.284630000002</v>
          </cell>
          <cell r="V18">
            <v>37415.985439999997</v>
          </cell>
          <cell r="W18">
            <v>37993.09489</v>
          </cell>
          <cell r="X18">
            <v>38590.325929999999</v>
          </cell>
          <cell r="Y18">
            <v>39197.318099999997</v>
          </cell>
          <cell r="Z18">
            <v>39811.972820000003</v>
          </cell>
          <cell r="AA18">
            <v>40225.96271</v>
          </cell>
          <cell r="AB18">
            <v>40799.130660000003</v>
          </cell>
          <cell r="AC18">
            <v>41389.482810000001</v>
          </cell>
          <cell r="AD18">
            <v>41983.779739999998</v>
          </cell>
          <cell r="AE18">
            <v>42585.289349999999</v>
          </cell>
          <cell r="AF18">
            <v>43196.0772</v>
          </cell>
          <cell r="AG18">
            <v>43815.749150000003</v>
          </cell>
          <cell r="AH18">
            <v>44442.83354</v>
          </cell>
          <cell r="AI18">
            <v>45076.132319999997</v>
          </cell>
          <cell r="AJ18">
            <v>45715.401859999998</v>
          </cell>
          <cell r="AK18">
            <v>46361.332869999998</v>
          </cell>
        </row>
        <row r="19">
          <cell r="B19">
            <v>29127.679220000002</v>
          </cell>
          <cell r="C19">
            <v>29261.082600000002</v>
          </cell>
          <cell r="D19">
            <v>29572.612860000001</v>
          </cell>
          <cell r="E19">
            <v>29955.598730000002</v>
          </cell>
          <cell r="F19">
            <v>30373.7209</v>
          </cell>
          <cell r="G19">
            <v>30817.762859999999</v>
          </cell>
          <cell r="H19">
            <v>31219.2333</v>
          </cell>
          <cell r="I19">
            <v>31651.29046</v>
          </cell>
          <cell r="J19">
            <v>32106.354449999999</v>
          </cell>
          <cell r="K19">
            <v>32578.48833</v>
          </cell>
          <cell r="L19">
            <v>33159.830869999998</v>
          </cell>
          <cell r="M19">
            <v>33643.593589999997</v>
          </cell>
          <cell r="N19">
            <v>34139.786670000001</v>
          </cell>
          <cell r="O19">
            <v>34646.672989999999</v>
          </cell>
          <cell r="P19">
            <v>35156.144439999996</v>
          </cell>
          <cell r="Q19">
            <v>35665.503349999999</v>
          </cell>
          <cell r="R19">
            <v>36176.195740000003</v>
          </cell>
          <cell r="S19">
            <v>36691.522319999996</v>
          </cell>
          <cell r="T19">
            <v>37214.875419999997</v>
          </cell>
          <cell r="U19">
            <v>37748.762069999997</v>
          </cell>
          <cell r="V19">
            <v>38224.200279999997</v>
          </cell>
          <cell r="W19">
            <v>38792.146009999997</v>
          </cell>
          <cell r="X19">
            <v>39373.972399999999</v>
          </cell>
          <cell r="Y19">
            <v>39963.412980000001</v>
          </cell>
          <cell r="Z19">
            <v>40562.48461</v>
          </cell>
          <cell r="AA19">
            <v>40962.688419999999</v>
          </cell>
          <cell r="AB19">
            <v>41529.481480000002</v>
          </cell>
          <cell r="AC19">
            <v>42119.071089999998</v>
          </cell>
          <cell r="AD19">
            <v>42716.756950000003</v>
          </cell>
          <cell r="AE19">
            <v>43324.212610000002</v>
          </cell>
          <cell r="AF19">
            <v>43942.224920000001</v>
          </cell>
          <cell r="AG19">
            <v>44569.689769999997</v>
          </cell>
          <cell r="AH19">
            <v>45204.941149999999</v>
          </cell>
          <cell r="AI19">
            <v>45846.859940000002</v>
          </cell>
          <cell r="AJ19">
            <v>46495.28789</v>
          </cell>
          <cell r="AK19">
            <v>47150.820540000001</v>
          </cell>
        </row>
        <row r="20">
          <cell r="B20">
            <v>30379.53026</v>
          </cell>
          <cell r="C20">
            <v>30843.059639999999</v>
          </cell>
          <cell r="D20">
            <v>31423.82617</v>
          </cell>
          <cell r="E20">
            <v>32032.463680000001</v>
          </cell>
          <cell r="F20">
            <v>32654.912970000001</v>
          </cell>
          <cell r="G20">
            <v>33289.656080000001</v>
          </cell>
          <cell r="H20">
            <v>33872.085850000003</v>
          </cell>
          <cell r="I20">
            <v>34397.866170000001</v>
          </cell>
          <cell r="J20">
            <v>34854.824399999998</v>
          </cell>
          <cell r="K20">
            <v>35271.092960000002</v>
          </cell>
          <cell r="L20">
            <v>35796.339630000002</v>
          </cell>
          <cell r="M20">
            <v>36224.526109999999</v>
          </cell>
          <cell r="N20">
            <v>36701.4064</v>
          </cell>
          <cell r="O20">
            <v>37222.385110000003</v>
          </cell>
          <cell r="P20">
            <v>37766.843000000001</v>
          </cell>
          <cell r="Q20">
            <v>38317.49843</v>
          </cell>
          <cell r="R20">
            <v>38865.898399999998</v>
          </cell>
          <cell r="S20">
            <v>39412.767800000001</v>
          </cell>
          <cell r="T20">
            <v>39964.992969999999</v>
          </cell>
          <cell r="U20">
            <v>40531.27347</v>
          </cell>
          <cell r="V20">
            <v>41040.902170000001</v>
          </cell>
          <cell r="W20">
            <v>41665.440569999999</v>
          </cell>
          <cell r="X20">
            <v>42311.521939999999</v>
          </cell>
          <cell r="Y20">
            <v>42971.357530000001</v>
          </cell>
          <cell r="Z20">
            <v>43643.068319999998</v>
          </cell>
          <cell r="AA20">
            <v>44097.032529999997</v>
          </cell>
          <cell r="AB20">
            <v>44728.194940000001</v>
          </cell>
          <cell r="AC20">
            <v>45375.918989999998</v>
          </cell>
          <cell r="AD20">
            <v>46027.514430000003</v>
          </cell>
          <cell r="AE20">
            <v>46685.756459999997</v>
          </cell>
          <cell r="AF20">
            <v>47352.854789999998</v>
          </cell>
          <cell r="AG20">
            <v>48028.73749</v>
          </cell>
          <cell r="AH20">
            <v>48712.071170000003</v>
          </cell>
          <cell r="AI20">
            <v>49401.543769999997</v>
          </cell>
          <cell r="AJ20">
            <v>50096.681049999999</v>
          </cell>
          <cell r="AK20">
            <v>50798.024169999997</v>
          </cell>
        </row>
        <row r="21">
          <cell r="B21">
            <v>30379.53026</v>
          </cell>
          <cell r="C21">
            <v>30843.059639999999</v>
          </cell>
          <cell r="D21">
            <v>31423.82617</v>
          </cell>
          <cell r="E21">
            <v>32032.463680000001</v>
          </cell>
          <cell r="F21">
            <v>32654.912970000001</v>
          </cell>
          <cell r="G21">
            <v>33289.656080000001</v>
          </cell>
          <cell r="H21">
            <v>33864.121290000003</v>
          </cell>
          <cell r="I21">
            <v>34456.910320000003</v>
          </cell>
          <cell r="J21">
            <v>35057.731299999999</v>
          </cell>
          <cell r="K21">
            <v>35658.726790000001</v>
          </cell>
          <cell r="L21">
            <v>36365.469210000003</v>
          </cell>
          <cell r="M21">
            <v>36939.240409999999</v>
          </cell>
          <cell r="N21">
            <v>37512.674919999998</v>
          </cell>
          <cell r="O21">
            <v>38084.628669999998</v>
          </cell>
          <cell r="P21">
            <v>38648.030639999997</v>
          </cell>
          <cell r="Q21">
            <v>39201.111239999998</v>
          </cell>
          <cell r="R21">
            <v>39746.693010000003</v>
          </cell>
          <cell r="S21">
            <v>40290.102650000001</v>
          </cell>
          <cell r="T21">
            <v>40837.284229999997</v>
          </cell>
          <cell r="U21">
            <v>41393.501380000002</v>
          </cell>
          <cell r="V21">
            <v>41883.765619999998</v>
          </cell>
          <cell r="W21">
            <v>42482.032760000002</v>
          </cell>
          <cell r="X21">
            <v>43096.287539999998</v>
          </cell>
          <cell r="Y21">
            <v>43722.985419999997</v>
          </cell>
          <cell r="Z21">
            <v>44364.94382</v>
          </cell>
          <cell r="AA21">
            <v>44793.29535</v>
          </cell>
          <cell r="AB21">
            <v>45409.476450000002</v>
          </cell>
          <cell r="AC21">
            <v>46051.51197</v>
          </cell>
          <cell r="AD21">
            <v>46705.39789</v>
          </cell>
          <cell r="AE21">
            <v>47371.995490000001</v>
          </cell>
          <cell r="AF21">
            <v>48051.531000000003</v>
          </cell>
          <cell r="AG21">
            <v>48742.301659999997</v>
          </cell>
          <cell r="AH21">
            <v>49441.825770000003</v>
          </cell>
          <cell r="AI21">
            <v>50148.024189999996</v>
          </cell>
          <cell r="AJ21">
            <v>50859.845560000002</v>
          </cell>
          <cell r="AK21">
            <v>51577.272810000002</v>
          </cell>
        </row>
        <row r="22">
          <cell r="B22">
            <v>210514.98190000001</v>
          </cell>
          <cell r="C22">
            <v>211088.6495</v>
          </cell>
          <cell r="D22">
            <v>212909.5007</v>
          </cell>
          <cell r="E22">
            <v>215398.45180000001</v>
          </cell>
          <cell r="F22">
            <v>218270.9595</v>
          </cell>
          <cell r="G22">
            <v>221397.53760000001</v>
          </cell>
          <cell r="H22">
            <v>224689.48980000001</v>
          </cell>
          <cell r="I22">
            <v>227213.96580000001</v>
          </cell>
          <cell r="J22">
            <v>229283.6954</v>
          </cell>
          <cell r="K22">
            <v>231257.51430000001</v>
          </cell>
          <cell r="L22">
            <v>233962.77830000001</v>
          </cell>
          <cell r="M22">
            <v>236570.81899999999</v>
          </cell>
          <cell r="N22">
            <v>239591.5871</v>
          </cell>
          <cell r="O22">
            <v>242939.8376</v>
          </cell>
          <cell r="P22">
            <v>246445.16819999999</v>
          </cell>
          <cell r="Q22">
            <v>249980.4657</v>
          </cell>
          <cell r="R22">
            <v>253494.82209999999</v>
          </cell>
          <cell r="S22">
            <v>257006.13709999999</v>
          </cell>
          <cell r="T22">
            <v>260570.66</v>
          </cell>
          <cell r="U22">
            <v>264248.31670000002</v>
          </cell>
          <cell r="V22">
            <v>267714.77860000002</v>
          </cell>
          <cell r="W22">
            <v>271713.16560000001</v>
          </cell>
          <cell r="X22">
            <v>275881.98830000003</v>
          </cell>
          <cell r="Y22">
            <v>280150.63069999998</v>
          </cell>
          <cell r="Z22">
            <v>284492.17259999999</v>
          </cell>
          <cell r="AA22">
            <v>287791.39610000001</v>
          </cell>
          <cell r="AB22">
            <v>291822.73830000003</v>
          </cell>
          <cell r="AC22">
            <v>295965.40519999998</v>
          </cell>
          <cell r="AD22">
            <v>300155.6642</v>
          </cell>
          <cell r="AE22">
            <v>304411.20919999998</v>
          </cell>
          <cell r="AF22">
            <v>308740.88459999999</v>
          </cell>
          <cell r="AG22">
            <v>313138.47820000001</v>
          </cell>
          <cell r="AH22">
            <v>317591.70630000002</v>
          </cell>
          <cell r="AI22">
            <v>322091.15919999999</v>
          </cell>
          <cell r="AJ22">
            <v>326634.81949999998</v>
          </cell>
          <cell r="AK22">
            <v>331227.75890000002</v>
          </cell>
        </row>
        <row r="23">
          <cell r="B23">
            <v>210514.98190000001</v>
          </cell>
          <cell r="C23">
            <v>211088.6495</v>
          </cell>
          <cell r="D23">
            <v>212909.5007</v>
          </cell>
          <cell r="E23">
            <v>215398.45180000001</v>
          </cell>
          <cell r="F23">
            <v>218270.9595</v>
          </cell>
          <cell r="G23">
            <v>221397.53760000001</v>
          </cell>
          <cell r="H23">
            <v>224371.9572</v>
          </cell>
          <cell r="I23">
            <v>227495.53039999999</v>
          </cell>
          <cell r="J23">
            <v>230735.16560000001</v>
          </cell>
          <cell r="K23">
            <v>234068.71030000001</v>
          </cell>
          <cell r="L23">
            <v>237981.82440000001</v>
          </cell>
          <cell r="M23">
            <v>241463.685</v>
          </cell>
          <cell r="N23">
            <v>244983.86619999999</v>
          </cell>
          <cell r="O23">
            <v>248537.3553</v>
          </cell>
          <cell r="P23">
            <v>252084.6153</v>
          </cell>
          <cell r="Q23">
            <v>255616.55910000001</v>
          </cell>
          <cell r="R23">
            <v>259149.39249999999</v>
          </cell>
          <cell r="S23">
            <v>262711.06819999998</v>
          </cell>
          <cell r="T23">
            <v>266329.7169</v>
          </cell>
          <cell r="U23">
            <v>270026.78460000001</v>
          </cell>
          <cell r="V23">
            <v>273443.07699999999</v>
          </cell>
          <cell r="W23">
            <v>277335.42300000001</v>
          </cell>
          <cell r="X23">
            <v>281355.6874</v>
          </cell>
          <cell r="Y23">
            <v>285463.38890000002</v>
          </cell>
          <cell r="Z23">
            <v>289661.92109999998</v>
          </cell>
          <cell r="AA23">
            <v>292838.36609999998</v>
          </cell>
          <cell r="AB23">
            <v>296802.60190000001</v>
          </cell>
          <cell r="AC23">
            <v>300922.9903</v>
          </cell>
          <cell r="AD23">
            <v>305125.10330000002</v>
          </cell>
          <cell r="AE23">
            <v>309414.34299999999</v>
          </cell>
          <cell r="AF23">
            <v>313789.277</v>
          </cell>
          <cell r="AG23">
            <v>318237.48220000003</v>
          </cell>
          <cell r="AH23">
            <v>322744.23430000001</v>
          </cell>
          <cell r="AI23">
            <v>327299.77980000002</v>
          </cell>
          <cell r="AJ23">
            <v>331901.9902</v>
          </cell>
          <cell r="AK23">
            <v>336554.65529999998</v>
          </cell>
        </row>
        <row r="24">
          <cell r="B24">
            <v>16338.015219999999</v>
          </cell>
          <cell r="C24">
            <v>15974.087240000001</v>
          </cell>
          <cell r="D24">
            <v>15776.24264</v>
          </cell>
          <cell r="E24">
            <v>15737.643120000001</v>
          </cell>
          <cell r="F24">
            <v>15794.901589999999</v>
          </cell>
          <cell r="G24">
            <v>15911.1486</v>
          </cell>
          <cell r="H24">
            <v>16099.070180000001</v>
          </cell>
          <cell r="I24">
            <v>16236.804099999999</v>
          </cell>
          <cell r="J24">
            <v>16356.39258</v>
          </cell>
          <cell r="K24">
            <v>16493.37372</v>
          </cell>
          <cell r="L24">
            <v>16623.488549999998</v>
          </cell>
          <cell r="M24">
            <v>16893.131399999998</v>
          </cell>
          <cell r="N24">
            <v>17178.39776</v>
          </cell>
          <cell r="O24">
            <v>17474.955590000001</v>
          </cell>
          <cell r="P24">
            <v>17774.345000000001</v>
          </cell>
          <cell r="Q24">
            <v>18070.94065</v>
          </cell>
          <cell r="R24">
            <v>18364.245429999999</v>
          </cell>
          <cell r="S24">
            <v>18657.791980000002</v>
          </cell>
          <cell r="T24">
            <v>18956.578969999999</v>
          </cell>
          <cell r="U24">
            <v>19264.65092</v>
          </cell>
          <cell r="V24">
            <v>19614.13391</v>
          </cell>
          <cell r="W24">
            <v>19913.52131</v>
          </cell>
          <cell r="X24">
            <v>20237.791160000001</v>
          </cell>
          <cell r="Y24">
            <v>20576.768329999999</v>
          </cell>
          <cell r="Z24">
            <v>20924.297030000002</v>
          </cell>
          <cell r="AA24">
            <v>21355.01094</v>
          </cell>
          <cell r="AB24">
            <v>21667.593049999999</v>
          </cell>
          <cell r="AC24">
            <v>21990.729670000001</v>
          </cell>
          <cell r="AD24">
            <v>22324.20781</v>
          </cell>
          <cell r="AE24">
            <v>22667.33093</v>
          </cell>
          <cell r="AF24">
            <v>23018.651959999999</v>
          </cell>
          <cell r="AG24">
            <v>23376.458620000001</v>
          </cell>
          <cell r="AH24">
            <v>23739.37732</v>
          </cell>
          <cell r="AI24">
            <v>24106.756079999999</v>
          </cell>
          <cell r="AJ24">
            <v>24478.69584</v>
          </cell>
          <cell r="AK24">
            <v>24855.787919999999</v>
          </cell>
        </row>
        <row r="25">
          <cell r="B25">
            <v>16338.015219999999</v>
          </cell>
          <cell r="C25">
            <v>15974.087240000001</v>
          </cell>
          <cell r="D25">
            <v>15776.24264</v>
          </cell>
          <cell r="E25">
            <v>15737.643120000001</v>
          </cell>
          <cell r="F25">
            <v>15794.901589999999</v>
          </cell>
          <cell r="G25">
            <v>15911.1486</v>
          </cell>
          <cell r="H25">
            <v>16095.50217</v>
          </cell>
          <cell r="I25">
            <v>16281.86521</v>
          </cell>
          <cell r="J25">
            <v>16479.927769999998</v>
          </cell>
          <cell r="K25">
            <v>16695.23502</v>
          </cell>
          <cell r="L25">
            <v>16880.586780000001</v>
          </cell>
          <cell r="M25">
            <v>17177.655040000001</v>
          </cell>
          <cell r="N25">
            <v>17465.73486</v>
          </cell>
          <cell r="O25">
            <v>17751.812880000001</v>
          </cell>
          <cell r="P25">
            <v>18039.055680000001</v>
          </cell>
          <cell r="Q25">
            <v>18329.538410000001</v>
          </cell>
          <cell r="R25">
            <v>18625.0056</v>
          </cell>
          <cell r="S25">
            <v>18926.832579999998</v>
          </cell>
          <cell r="T25">
            <v>19235.81854</v>
          </cell>
          <cell r="U25">
            <v>19552.13351</v>
          </cell>
          <cell r="V25">
            <v>19905.434710000001</v>
          </cell>
          <cell r="W25">
            <v>20204.912810000002</v>
          </cell>
          <cell r="X25">
            <v>20526.930209999999</v>
          </cell>
          <cell r="Y25">
            <v>20863.289769999999</v>
          </cell>
          <cell r="Z25">
            <v>21209.43591</v>
          </cell>
          <cell r="AA25">
            <v>21640.093980000001</v>
          </cell>
          <cell r="AB25">
            <v>21954.545770000001</v>
          </cell>
          <cell r="AC25">
            <v>22280.791819999999</v>
          </cell>
          <cell r="AD25">
            <v>22617.735069999999</v>
          </cell>
          <cell r="AE25">
            <v>22963.969590000001</v>
          </cell>
          <cell r="AF25">
            <v>23317.71675</v>
          </cell>
          <cell r="AG25">
            <v>23677.306</v>
          </cell>
          <cell r="AH25">
            <v>24041.647229999999</v>
          </cell>
          <cell r="AI25">
            <v>24410.425350000001</v>
          </cell>
          <cell r="AJ25">
            <v>24783.977350000001</v>
          </cell>
          <cell r="AK25">
            <v>25162.974300000002</v>
          </cell>
        </row>
        <row r="26">
          <cell r="B26">
            <v>271387.72100000002</v>
          </cell>
          <cell r="C26">
            <v>289699.11139999999</v>
          </cell>
          <cell r="D26">
            <v>308482.28049999999</v>
          </cell>
          <cell r="E26">
            <v>320452.14569999999</v>
          </cell>
          <cell r="F26">
            <v>327771.49070000002</v>
          </cell>
          <cell r="G26">
            <v>332814.07150000002</v>
          </cell>
          <cell r="H26">
            <v>331377.36410000001</v>
          </cell>
          <cell r="I26">
            <v>331419.43550000002</v>
          </cell>
          <cell r="J26">
            <v>331763.09330000001</v>
          </cell>
          <cell r="K26">
            <v>332814.89919999999</v>
          </cell>
          <cell r="L26">
            <v>343465.8003</v>
          </cell>
          <cell r="M26">
            <v>342509.55900000001</v>
          </cell>
          <cell r="N26">
            <v>345633.4877</v>
          </cell>
          <cell r="O26">
            <v>350750.23139999999</v>
          </cell>
          <cell r="P26">
            <v>356642.89500000002</v>
          </cell>
          <cell r="Q26">
            <v>362666.6924</v>
          </cell>
          <cell r="R26">
            <v>368585.58970000001</v>
          </cell>
          <cell r="S26">
            <v>374427.7487</v>
          </cell>
          <cell r="T26">
            <v>380340.16100000002</v>
          </cell>
          <cell r="U26">
            <v>386469.12959999999</v>
          </cell>
          <cell r="V26">
            <v>386977.609</v>
          </cell>
          <cell r="W26">
            <v>396838.51740000001</v>
          </cell>
          <cell r="X26">
            <v>405281.70919999998</v>
          </cell>
          <cell r="Y26">
            <v>412986.10739999998</v>
          </cell>
          <cell r="Z26">
            <v>420343.04269999999</v>
          </cell>
          <cell r="AA26">
            <v>410201.40130000003</v>
          </cell>
          <cell r="AB26">
            <v>419501.52189999999</v>
          </cell>
          <cell r="AC26">
            <v>427707.07809999998</v>
          </cell>
          <cell r="AD26">
            <v>435274.94189999998</v>
          </cell>
          <cell r="AE26">
            <v>442592.68839999998</v>
          </cell>
          <cell r="AF26">
            <v>449851.16700000002</v>
          </cell>
          <cell r="AG26">
            <v>457114.7084</v>
          </cell>
          <cell r="AH26">
            <v>464393.03850000002</v>
          </cell>
          <cell r="AI26">
            <v>471688.11790000001</v>
          </cell>
          <cell r="AJ26">
            <v>479014.48100000003</v>
          </cell>
          <cell r="AK26">
            <v>486399.5907</v>
          </cell>
        </row>
        <row r="27">
          <cell r="B27">
            <v>271387.72100000002</v>
          </cell>
          <cell r="C27">
            <v>289699.11139999999</v>
          </cell>
          <cell r="D27">
            <v>308482.28049999999</v>
          </cell>
          <cell r="E27">
            <v>320452.14569999999</v>
          </cell>
          <cell r="F27">
            <v>327771.49070000002</v>
          </cell>
          <cell r="G27">
            <v>332814.07150000002</v>
          </cell>
          <cell r="H27">
            <v>331249.59539999999</v>
          </cell>
          <cell r="I27">
            <v>332851.28940000001</v>
          </cell>
          <cell r="J27">
            <v>335839.54969999997</v>
          </cell>
          <cell r="K27">
            <v>339563.09980000003</v>
          </cell>
          <cell r="L27">
            <v>352082.83750000002</v>
          </cell>
          <cell r="M27">
            <v>351920.45649999997</v>
          </cell>
          <cell r="N27">
            <v>354841.83860000002</v>
          </cell>
          <cell r="O27">
            <v>359131.946</v>
          </cell>
          <cell r="P27">
            <v>364028.0539</v>
          </cell>
          <cell r="Q27">
            <v>369233.72289999999</v>
          </cell>
          <cell r="R27">
            <v>374663.73469999997</v>
          </cell>
          <cell r="S27">
            <v>380315.14909999998</v>
          </cell>
          <cell r="T27">
            <v>386201.13579999999</v>
          </cell>
          <cell r="U27">
            <v>392322.28749999998</v>
          </cell>
          <cell r="V27">
            <v>392740.86009999999</v>
          </cell>
          <cell r="W27">
            <v>402416.0871</v>
          </cell>
          <cell r="X27">
            <v>410627.027</v>
          </cell>
          <cell r="Y27">
            <v>418115.65990000003</v>
          </cell>
          <cell r="Z27">
            <v>425331.19929999998</v>
          </cell>
          <cell r="AA27">
            <v>415138.47</v>
          </cell>
          <cell r="AB27">
            <v>424482.62880000001</v>
          </cell>
          <cell r="AC27">
            <v>432799.20770000003</v>
          </cell>
          <cell r="AD27">
            <v>440505.451</v>
          </cell>
          <cell r="AE27">
            <v>447952.05180000002</v>
          </cell>
          <cell r="AF27">
            <v>455306.45419999998</v>
          </cell>
          <cell r="AG27">
            <v>462626.11580000003</v>
          </cell>
          <cell r="AH27">
            <v>469926.6715</v>
          </cell>
          <cell r="AI27">
            <v>477221.36609999998</v>
          </cell>
          <cell r="AJ27">
            <v>484534.6789</v>
          </cell>
          <cell r="AK27">
            <v>491898.67940000002</v>
          </cell>
        </row>
        <row r="28">
          <cell r="B28">
            <v>25038.293470000001</v>
          </cell>
          <cell r="C28">
            <v>24986.498159999999</v>
          </cell>
          <cell r="D28">
            <v>25045.666710000001</v>
          </cell>
          <cell r="E28">
            <v>25204.255270000001</v>
          </cell>
          <cell r="F28">
            <v>25426.933959999998</v>
          </cell>
          <cell r="G28">
            <v>25691.076010000001</v>
          </cell>
          <cell r="H28">
            <v>25995.14025</v>
          </cell>
          <cell r="I28">
            <v>26240.547930000001</v>
          </cell>
          <cell r="J28">
            <v>26451.595399999998</v>
          </cell>
          <cell r="K28">
            <v>26665.07574</v>
          </cell>
          <cell r="L28">
            <v>26916.49106</v>
          </cell>
          <cell r="M28">
            <v>27222.999889999999</v>
          </cell>
          <cell r="N28">
            <v>27560.636699999999</v>
          </cell>
          <cell r="O28">
            <v>27917.666089999999</v>
          </cell>
          <cell r="P28">
            <v>28282.090540000001</v>
          </cell>
          <cell r="Q28">
            <v>28646.044590000001</v>
          </cell>
          <cell r="R28">
            <v>29007.684399999998</v>
          </cell>
          <cell r="S28">
            <v>29370.131659999999</v>
          </cell>
          <cell r="T28">
            <v>29738.749199999998</v>
          </cell>
          <cell r="U28">
            <v>30118.366910000001</v>
          </cell>
          <cell r="V28">
            <v>30504.708299999998</v>
          </cell>
          <cell r="W28">
            <v>30898.045610000001</v>
          </cell>
          <cell r="X28">
            <v>31309.269660000002</v>
          </cell>
          <cell r="Y28">
            <v>31733.820660000001</v>
          </cell>
          <cell r="Z28">
            <v>32167.37573</v>
          </cell>
          <cell r="AA28">
            <v>32581.256249999999</v>
          </cell>
          <cell r="AB28">
            <v>32980.66057</v>
          </cell>
          <cell r="AC28">
            <v>33384.827599999997</v>
          </cell>
          <cell r="AD28">
            <v>33796.313800000004</v>
          </cell>
          <cell r="AE28">
            <v>34216.069049999998</v>
          </cell>
          <cell r="AF28">
            <v>34643.71153</v>
          </cell>
          <cell r="AG28">
            <v>35078.037420000001</v>
          </cell>
          <cell r="AH28">
            <v>35517.779320000001</v>
          </cell>
          <cell r="AI28">
            <v>35962.184959999999</v>
          </cell>
          <cell r="AJ28">
            <v>36411.215629999999</v>
          </cell>
          <cell r="AK28">
            <v>36865.389049999998</v>
          </cell>
        </row>
        <row r="29">
          <cell r="B29">
            <v>25038.293470000001</v>
          </cell>
          <cell r="C29">
            <v>24986.498159999999</v>
          </cell>
          <cell r="D29">
            <v>25045.666710000001</v>
          </cell>
          <cell r="E29">
            <v>25204.255270000001</v>
          </cell>
          <cell r="F29">
            <v>25426.933959999998</v>
          </cell>
          <cell r="G29">
            <v>25691.076010000001</v>
          </cell>
          <cell r="H29">
            <v>25979.048470000002</v>
          </cell>
          <cell r="I29">
            <v>26278.21257</v>
          </cell>
          <cell r="J29">
            <v>26589.50462</v>
          </cell>
          <cell r="K29">
            <v>26914.847979999999</v>
          </cell>
          <cell r="L29">
            <v>27260.63608</v>
          </cell>
          <cell r="M29">
            <v>27632.698179999999</v>
          </cell>
          <cell r="N29">
            <v>28006.852869999999</v>
          </cell>
          <cell r="O29">
            <v>28380.24294</v>
          </cell>
          <cell r="P29">
            <v>28752.12023</v>
          </cell>
          <cell r="Q29">
            <v>29123.248220000001</v>
          </cell>
          <cell r="R29">
            <v>29495.468359999999</v>
          </cell>
          <cell r="S29">
            <v>29870.985860000001</v>
          </cell>
          <cell r="T29">
            <v>30251.727930000001</v>
          </cell>
          <cell r="U29">
            <v>30639.004570000001</v>
          </cell>
          <cell r="V29">
            <v>31026.05284</v>
          </cell>
          <cell r="W29">
            <v>31414.374049999999</v>
          </cell>
          <cell r="X29">
            <v>31816.615559999998</v>
          </cell>
          <cell r="Y29">
            <v>32230.872090000001</v>
          </cell>
          <cell r="Z29">
            <v>32655.219980000002</v>
          </cell>
          <cell r="AA29">
            <v>33061.27362</v>
          </cell>
          <cell r="AB29">
            <v>33456.181219999999</v>
          </cell>
          <cell r="AC29">
            <v>33858.583639999997</v>
          </cell>
          <cell r="AD29">
            <v>34270.241099999999</v>
          </cell>
          <cell r="AE29">
            <v>34691.27115</v>
          </cell>
          <cell r="AF29">
            <v>35120.707260000003</v>
          </cell>
          <cell r="AG29">
            <v>35557.101020000002</v>
          </cell>
          <cell r="AH29">
            <v>35999.201130000001</v>
          </cell>
          <cell r="AI29">
            <v>36446.369850000003</v>
          </cell>
          <cell r="AJ29">
            <v>36898.631229999999</v>
          </cell>
          <cell r="AK29">
            <v>37356.428630000002</v>
          </cell>
        </row>
        <row r="30">
          <cell r="B30">
            <v>59920.685109999999</v>
          </cell>
          <cell r="C30">
            <v>59745.39299</v>
          </cell>
          <cell r="D30">
            <v>59835.752919999999</v>
          </cell>
          <cell r="E30">
            <v>60175.356639999998</v>
          </cell>
          <cell r="F30">
            <v>60674.95768</v>
          </cell>
          <cell r="G30">
            <v>61272.235130000001</v>
          </cell>
          <cell r="H30">
            <v>61958.837090000001</v>
          </cell>
          <cell r="I30">
            <v>62476.654790000001</v>
          </cell>
          <cell r="J30">
            <v>62891.315110000003</v>
          </cell>
          <cell r="K30">
            <v>63312.141600000003</v>
          </cell>
          <cell r="L30">
            <v>63840.886659999996</v>
          </cell>
          <cell r="M30">
            <v>64528.959309999998</v>
          </cell>
          <cell r="N30">
            <v>65314.477980000003</v>
          </cell>
          <cell r="O30">
            <v>66159.059899999993</v>
          </cell>
          <cell r="P30">
            <v>67023.143880000003</v>
          </cell>
          <cell r="Q30">
            <v>67880.447690000001</v>
          </cell>
          <cell r="R30">
            <v>68723.966990000001</v>
          </cell>
          <cell r="S30">
            <v>69562.593789999999</v>
          </cell>
          <cell r="T30">
            <v>70412.476339999994</v>
          </cell>
          <cell r="U30">
            <v>71288.262109999996</v>
          </cell>
          <cell r="V30">
            <v>72183.04767</v>
          </cell>
          <cell r="W30">
            <v>73094.853959999993</v>
          </cell>
          <cell r="X30">
            <v>74048.995710000003</v>
          </cell>
          <cell r="Y30">
            <v>75033.051210000005</v>
          </cell>
          <cell r="Z30">
            <v>76035.241190000001</v>
          </cell>
          <cell r="AA30">
            <v>76991.656870000006</v>
          </cell>
          <cell r="AB30">
            <v>77909.514689999996</v>
          </cell>
          <cell r="AC30">
            <v>78836.880319999997</v>
          </cell>
          <cell r="AD30">
            <v>79781.887719999999</v>
          </cell>
          <cell r="AE30">
            <v>80747.836139999999</v>
          </cell>
          <cell r="AF30">
            <v>81733.743100000007</v>
          </cell>
          <cell r="AG30">
            <v>82735.992639999997</v>
          </cell>
          <cell r="AH30">
            <v>83750.725229999996</v>
          </cell>
          <cell r="AI30">
            <v>84775.651519999999</v>
          </cell>
          <cell r="AJ30">
            <v>85810.675780000005</v>
          </cell>
          <cell r="AK30">
            <v>86857.411600000007</v>
          </cell>
        </row>
        <row r="31">
          <cell r="B31">
            <v>59920.685109999999</v>
          </cell>
          <cell r="C31">
            <v>59745.39299</v>
          </cell>
          <cell r="D31">
            <v>59835.752919999999</v>
          </cell>
          <cell r="E31">
            <v>60175.356639999998</v>
          </cell>
          <cell r="F31">
            <v>60674.95768</v>
          </cell>
          <cell r="G31">
            <v>61272.235130000001</v>
          </cell>
          <cell r="H31">
            <v>61921.022109999998</v>
          </cell>
          <cell r="I31">
            <v>62588.032829999996</v>
          </cell>
          <cell r="J31">
            <v>63276.880499999999</v>
          </cell>
          <cell r="K31">
            <v>63995.76943</v>
          </cell>
          <cell r="L31">
            <v>64761.448969999998</v>
          </cell>
          <cell r="M31">
            <v>65593.207939999993</v>
          </cell>
          <cell r="N31">
            <v>66432.441519999993</v>
          </cell>
          <cell r="O31">
            <v>67271.622180000006</v>
          </cell>
          <cell r="P31">
            <v>68108.896829999998</v>
          </cell>
          <cell r="Q31">
            <v>68946.722250000006</v>
          </cell>
          <cell r="R31">
            <v>69790.464999999997</v>
          </cell>
          <cell r="S31">
            <v>70646.190329999998</v>
          </cell>
          <cell r="T31">
            <v>71518.752999999997</v>
          </cell>
          <cell r="U31">
            <v>72410.8704</v>
          </cell>
          <cell r="V31">
            <v>73307.0962</v>
          </cell>
          <cell r="W31">
            <v>74207.486650000006</v>
          </cell>
          <cell r="X31">
            <v>75141.735350000003</v>
          </cell>
          <cell r="Y31">
            <v>76104.470730000001</v>
          </cell>
          <cell r="Z31">
            <v>77090.202130000005</v>
          </cell>
          <cell r="AA31">
            <v>78035.672640000004</v>
          </cell>
          <cell r="AB31">
            <v>78952.213910000006</v>
          </cell>
          <cell r="AC31">
            <v>79885.450209999995</v>
          </cell>
          <cell r="AD31">
            <v>80840.513210000005</v>
          </cell>
          <cell r="AE31">
            <v>81817.818580000006</v>
          </cell>
          <cell r="AF31">
            <v>82814.483460000003</v>
          </cell>
          <cell r="AG31">
            <v>83826.222020000001</v>
          </cell>
          <cell r="AH31">
            <v>84849.439889999994</v>
          </cell>
          <cell r="AI31">
            <v>85882.495699999999</v>
          </cell>
          <cell r="AJ31">
            <v>86925.816099999996</v>
          </cell>
          <cell r="AK31">
            <v>87981.116880000001</v>
          </cell>
        </row>
        <row r="32">
          <cell r="B32">
            <v>15481.18449</v>
          </cell>
          <cell r="C32">
            <v>15743.546109999999</v>
          </cell>
          <cell r="D32">
            <v>16051.440280000001</v>
          </cell>
          <cell r="E32">
            <v>16386.759979999999</v>
          </cell>
          <cell r="F32">
            <v>16738.853729999999</v>
          </cell>
          <cell r="G32">
            <v>17095.257109999999</v>
          </cell>
          <cell r="H32">
            <v>17428.688979999999</v>
          </cell>
          <cell r="I32">
            <v>17714.698919999999</v>
          </cell>
          <cell r="J32">
            <v>17945.380580000001</v>
          </cell>
          <cell r="K32">
            <v>18140.175200000001</v>
          </cell>
          <cell r="L32">
            <v>18357.58914</v>
          </cell>
          <cell r="M32">
            <v>18568.42829</v>
          </cell>
          <cell r="N32">
            <v>18808.486720000001</v>
          </cell>
          <cell r="O32">
            <v>19075.70492</v>
          </cell>
          <cell r="P32">
            <v>19360.555079999998</v>
          </cell>
          <cell r="Q32">
            <v>19652.306990000001</v>
          </cell>
          <cell r="R32">
            <v>19943.66374</v>
          </cell>
          <cell r="S32">
            <v>20232.567220000001</v>
          </cell>
          <cell r="T32">
            <v>20521.34908</v>
          </cell>
          <cell r="U32">
            <v>20814.404310000002</v>
          </cell>
          <cell r="V32">
            <v>21095.417689999998</v>
          </cell>
          <cell r="W32">
            <v>21405.974920000001</v>
          </cell>
          <cell r="X32">
            <v>21727.810119999998</v>
          </cell>
          <cell r="Y32">
            <v>22059.316630000001</v>
          </cell>
          <cell r="Z32">
            <v>22397.806260000001</v>
          </cell>
          <cell r="AA32">
            <v>22681.76701</v>
          </cell>
          <cell r="AB32">
            <v>22995.873350000002</v>
          </cell>
          <cell r="AC32">
            <v>23312.588800000001</v>
          </cell>
          <cell r="AD32">
            <v>23634.069019999999</v>
          </cell>
          <cell r="AE32">
            <v>23962.100979999999</v>
          </cell>
          <cell r="AF32">
            <v>24297.323540000001</v>
          </cell>
          <cell r="AG32">
            <v>24639.224409999999</v>
          </cell>
          <cell r="AH32">
            <v>24986.652959999999</v>
          </cell>
          <cell r="AI32">
            <v>25338.476070000001</v>
          </cell>
          <cell r="AJ32">
            <v>25694.05918</v>
          </cell>
          <cell r="AK32">
            <v>26053.417160000001</v>
          </cell>
        </row>
        <row r="33">
          <cell r="B33">
            <v>15481.18449</v>
          </cell>
          <cell r="C33">
            <v>15743.546109999999</v>
          </cell>
          <cell r="D33">
            <v>16051.440280000001</v>
          </cell>
          <cell r="E33">
            <v>16386.759979999999</v>
          </cell>
          <cell r="F33">
            <v>16738.853729999999</v>
          </cell>
          <cell r="G33">
            <v>17095.257109999999</v>
          </cell>
          <cell r="H33">
            <v>17429.979739999999</v>
          </cell>
          <cell r="I33">
            <v>17750.93867</v>
          </cell>
          <cell r="J33">
            <v>18057.07792</v>
          </cell>
          <cell r="K33">
            <v>18351.313880000002</v>
          </cell>
          <cell r="L33">
            <v>18666.499810000001</v>
          </cell>
          <cell r="M33">
            <v>18952.329430000002</v>
          </cell>
          <cell r="N33">
            <v>19235.359229999998</v>
          </cell>
          <cell r="O33">
            <v>19515.374319999999</v>
          </cell>
          <cell r="P33">
            <v>19792.259239999999</v>
          </cell>
          <cell r="Q33">
            <v>20066.89932</v>
          </cell>
          <cell r="R33">
            <v>20341.27533</v>
          </cell>
          <cell r="S33">
            <v>20617.988679999999</v>
          </cell>
          <cell r="T33">
            <v>20899.591609999999</v>
          </cell>
          <cell r="U33">
            <v>21188.048210000001</v>
          </cell>
          <cell r="V33">
            <v>21463.613809999999</v>
          </cell>
          <cell r="W33">
            <v>21766.991470000001</v>
          </cell>
          <cell r="X33">
            <v>22079.561959999999</v>
          </cell>
          <cell r="Y33">
            <v>22401.091369999998</v>
          </cell>
          <cell r="Z33">
            <v>22730.8406</v>
          </cell>
          <cell r="AA33">
            <v>23007.922449999998</v>
          </cell>
          <cell r="AB33">
            <v>23319.347300000001</v>
          </cell>
          <cell r="AC33">
            <v>23637.155940000001</v>
          </cell>
          <cell r="AD33">
            <v>23962.7798</v>
          </cell>
          <cell r="AE33">
            <v>24296.901180000001</v>
          </cell>
          <cell r="AF33">
            <v>24639.08166</v>
          </cell>
          <cell r="AG33">
            <v>24988.034739999999</v>
          </cell>
          <cell r="AH33">
            <v>25342.222470000001</v>
          </cell>
          <cell r="AI33">
            <v>25700.434580000001</v>
          </cell>
          <cell r="AJ33">
            <v>26062.11348</v>
          </cell>
          <cell r="AK33">
            <v>26427.351890000002</v>
          </cell>
        </row>
        <row r="34">
          <cell r="B34">
            <v>20688.03844</v>
          </cell>
          <cell r="C34">
            <v>20981.895039999999</v>
          </cell>
          <cell r="D34">
            <v>21344.397359999999</v>
          </cell>
          <cell r="E34">
            <v>21750.508030000001</v>
          </cell>
          <cell r="F34">
            <v>22177.65841</v>
          </cell>
          <cell r="G34">
            <v>22610.735779999999</v>
          </cell>
          <cell r="H34">
            <v>23029.542560000002</v>
          </cell>
          <cell r="I34">
            <v>23371.417880000001</v>
          </cell>
          <cell r="J34">
            <v>23664.57645</v>
          </cell>
          <cell r="K34">
            <v>23961.226409999999</v>
          </cell>
          <cell r="L34">
            <v>24327.991859999998</v>
          </cell>
          <cell r="M34">
            <v>24736.45651</v>
          </cell>
          <cell r="N34">
            <v>25188.675950000001</v>
          </cell>
          <cell r="O34">
            <v>25664.34606</v>
          </cell>
          <cell r="P34">
            <v>26143.957480000001</v>
          </cell>
          <cell r="Q34">
            <v>26615.83221</v>
          </cell>
          <cell r="R34">
            <v>27078.231899999999</v>
          </cell>
          <cell r="S34">
            <v>27536.99682</v>
          </cell>
          <cell r="T34">
            <v>28000.9532</v>
          </cell>
          <cell r="U34">
            <v>28477.62312</v>
          </cell>
          <cell r="V34">
            <v>28950.352500000001</v>
          </cell>
          <cell r="W34">
            <v>29451.3357</v>
          </cell>
          <cell r="X34">
            <v>29969.987349999999</v>
          </cell>
          <cell r="Y34">
            <v>30502.203819999999</v>
          </cell>
          <cell r="Z34">
            <v>31043.90524</v>
          </cell>
          <cell r="AA34">
            <v>31529.684789999999</v>
          </cell>
          <cell r="AB34">
            <v>32032.542239999999</v>
          </cell>
          <cell r="AC34">
            <v>32543.886999999999</v>
          </cell>
          <cell r="AD34">
            <v>33067.755810000002</v>
          </cell>
          <cell r="AE34">
            <v>33605.323850000001</v>
          </cell>
          <cell r="AF34">
            <v>34155.606910000002</v>
          </cell>
          <cell r="AG34">
            <v>34716.566319999998</v>
          </cell>
          <cell r="AH34">
            <v>35286.332779999997</v>
          </cell>
          <cell r="AI34">
            <v>35864.02029</v>
          </cell>
          <cell r="AJ34">
            <v>36449.901100000003</v>
          </cell>
          <cell r="AK34">
            <v>37045.041160000001</v>
          </cell>
        </row>
        <row r="35">
          <cell r="B35">
            <v>20688.03844</v>
          </cell>
          <cell r="C35">
            <v>20981.895039999999</v>
          </cell>
          <cell r="D35">
            <v>21344.397359999999</v>
          </cell>
          <cell r="E35">
            <v>21750.508030000001</v>
          </cell>
          <cell r="F35">
            <v>22177.65841</v>
          </cell>
          <cell r="G35">
            <v>22610.735779999999</v>
          </cell>
          <cell r="H35">
            <v>23028.0121</v>
          </cell>
          <cell r="I35">
            <v>23437.629069999999</v>
          </cell>
          <cell r="J35">
            <v>23845.883870000001</v>
          </cell>
          <cell r="K35">
            <v>24260.08107</v>
          </cell>
          <cell r="L35">
            <v>24710.993429999999</v>
          </cell>
          <cell r="M35">
            <v>25159.193810000001</v>
          </cell>
          <cell r="N35">
            <v>25612.687549999999</v>
          </cell>
          <cell r="O35">
            <v>26068.209320000002</v>
          </cell>
          <cell r="P35">
            <v>26524.815559999999</v>
          </cell>
          <cell r="Q35">
            <v>26983.699519999998</v>
          </cell>
          <cell r="R35">
            <v>27447.386930000001</v>
          </cell>
          <cell r="S35">
            <v>27918.5861</v>
          </cell>
          <cell r="T35">
            <v>28399.29292</v>
          </cell>
          <cell r="U35">
            <v>28890.438770000001</v>
          </cell>
          <cell r="V35">
            <v>29370.88841</v>
          </cell>
          <cell r="W35">
            <v>29873.691190000001</v>
          </cell>
          <cell r="X35">
            <v>30390.146850000001</v>
          </cell>
          <cell r="Y35">
            <v>30919.245210000001</v>
          </cell>
          <cell r="Z35">
            <v>31459.517670000001</v>
          </cell>
          <cell r="AA35">
            <v>31945.451700000001</v>
          </cell>
          <cell r="AB35">
            <v>32451.672719999999</v>
          </cell>
          <cell r="AC35">
            <v>32968.181320000003</v>
          </cell>
          <cell r="AD35">
            <v>33497.571960000001</v>
          </cell>
          <cell r="AE35">
            <v>34039.847430000002</v>
          </cell>
          <cell r="AF35">
            <v>34593.487099999998</v>
          </cell>
          <cell r="AG35">
            <v>35156.575660000002</v>
          </cell>
          <cell r="AH35">
            <v>35727.787069999998</v>
          </cell>
          <cell r="AI35">
            <v>36306.867429999998</v>
          </cell>
          <cell r="AJ35">
            <v>36894.543749999997</v>
          </cell>
          <cell r="AK35">
            <v>37492.029340000001</v>
          </cell>
        </row>
        <row r="36">
          <cell r="B36">
            <v>1902943.2180000001</v>
          </cell>
          <cell r="C36">
            <v>1913638.91</v>
          </cell>
          <cell r="D36">
            <v>1934061.1880000001</v>
          </cell>
          <cell r="E36">
            <v>1964272.2409999999</v>
          </cell>
          <cell r="F36">
            <v>1998452.8559999999</v>
          </cell>
          <cell r="G36">
            <v>2033584.057</v>
          </cell>
          <cell r="H36">
            <v>2072263.0330000001</v>
          </cell>
          <cell r="I36">
            <v>2098360.3339999998</v>
          </cell>
          <cell r="J36">
            <v>2117884.415</v>
          </cell>
          <cell r="K36">
            <v>2138040.807</v>
          </cell>
          <cell r="L36">
            <v>2159841.83</v>
          </cell>
          <cell r="M36">
            <v>2196773.0040000002</v>
          </cell>
          <cell r="N36">
            <v>2237167.8330000001</v>
          </cell>
          <cell r="O36">
            <v>2279301.9040000001</v>
          </cell>
          <cell r="P36">
            <v>2321225.858</v>
          </cell>
          <cell r="Q36">
            <v>2361787.1460000002</v>
          </cell>
          <cell r="R36">
            <v>2400928.86</v>
          </cell>
          <cell r="S36">
            <v>2439411.6979999999</v>
          </cell>
          <cell r="T36">
            <v>2478273.5630000001</v>
          </cell>
          <cell r="U36">
            <v>2518342.7179999999</v>
          </cell>
          <cell r="V36">
            <v>2562344.4759999998</v>
          </cell>
          <cell r="W36">
            <v>2602437.4210000001</v>
          </cell>
          <cell r="X36">
            <v>2645229.5350000001</v>
          </cell>
          <cell r="Y36">
            <v>2689546.0630000001</v>
          </cell>
          <cell r="Z36">
            <v>2734591.9010000001</v>
          </cell>
          <cell r="AA36">
            <v>2785616.0860000001</v>
          </cell>
          <cell r="AB36">
            <v>2826043.5550000002</v>
          </cell>
          <cell r="AC36">
            <v>2867374.1469999999</v>
          </cell>
          <cell r="AD36">
            <v>2909823.9070000001</v>
          </cell>
          <cell r="AE36">
            <v>2953445.4750000001</v>
          </cell>
          <cell r="AF36">
            <v>2998083.034</v>
          </cell>
          <cell r="AG36">
            <v>3043476.446</v>
          </cell>
          <cell r="AH36">
            <v>3089398.2050000001</v>
          </cell>
          <cell r="AI36">
            <v>3135743.0980000002</v>
          </cell>
          <cell r="AJ36">
            <v>3182542.8990000002</v>
          </cell>
          <cell r="AK36">
            <v>3229919.6970000002</v>
          </cell>
        </row>
        <row r="37">
          <cell r="B37">
            <v>1902943.2180000001</v>
          </cell>
          <cell r="C37">
            <v>1913638.91</v>
          </cell>
          <cell r="D37">
            <v>1934061.1880000001</v>
          </cell>
          <cell r="E37">
            <v>1964272.2409999999</v>
          </cell>
          <cell r="F37">
            <v>1998452.8559999999</v>
          </cell>
          <cell r="G37">
            <v>2033584.057</v>
          </cell>
          <cell r="H37">
            <v>2070799.307</v>
          </cell>
          <cell r="I37">
            <v>2105100.8029999998</v>
          </cell>
          <cell r="J37">
            <v>2138247.068</v>
          </cell>
          <cell r="K37">
            <v>2171610.1239999998</v>
          </cell>
          <cell r="L37">
            <v>2201946.0980000002</v>
          </cell>
          <cell r="M37">
            <v>2241984.2349999999</v>
          </cell>
          <cell r="N37">
            <v>2280806.85</v>
          </cell>
          <cell r="O37">
            <v>2318914.2799999998</v>
          </cell>
          <cell r="P37">
            <v>2356650.8050000002</v>
          </cell>
          <cell r="Q37">
            <v>2394391.3739999998</v>
          </cell>
          <cell r="R37">
            <v>2432538.301</v>
          </cell>
          <cell r="S37">
            <v>2471438.3810000001</v>
          </cell>
          <cell r="T37">
            <v>2511311.2110000001</v>
          </cell>
          <cell r="U37">
            <v>2552229.2769999998</v>
          </cell>
          <cell r="V37">
            <v>2596438.1239999998</v>
          </cell>
          <cell r="W37">
            <v>2636221.966</v>
          </cell>
          <cell r="X37">
            <v>2678428.4339999999</v>
          </cell>
          <cell r="Y37">
            <v>2722246.12</v>
          </cell>
          <cell r="Z37">
            <v>2767163.1140000001</v>
          </cell>
          <cell r="AA37">
            <v>2818410.2119999998</v>
          </cell>
          <cell r="AB37">
            <v>2859525.2170000002</v>
          </cell>
          <cell r="AC37">
            <v>2901798.338</v>
          </cell>
          <cell r="AD37">
            <v>2945239.6529999999</v>
          </cell>
          <cell r="AE37">
            <v>2989736.9440000001</v>
          </cell>
          <cell r="AF37">
            <v>3035050.4019999998</v>
          </cell>
          <cell r="AG37">
            <v>3080917.8879999998</v>
          </cell>
          <cell r="AH37">
            <v>3127163.5180000002</v>
          </cell>
          <cell r="AI37">
            <v>3173748.821</v>
          </cell>
          <cell r="AJ37">
            <v>3220756.5129999998</v>
          </cell>
          <cell r="AK37">
            <v>3268329.0690000001</v>
          </cell>
        </row>
        <row r="38">
          <cell r="B38">
            <v>662377.19709999999</v>
          </cell>
          <cell r="C38">
            <v>669319.93960000004</v>
          </cell>
          <cell r="D38">
            <v>678191.98459999997</v>
          </cell>
          <cell r="E38">
            <v>688745.29940000002</v>
          </cell>
          <cell r="F38">
            <v>700092.0723</v>
          </cell>
          <cell r="G38">
            <v>711805.60010000004</v>
          </cell>
          <cell r="H38">
            <v>723937.74230000004</v>
          </cell>
          <cell r="I38">
            <v>734765.29839999997</v>
          </cell>
          <cell r="J38">
            <v>745122.56920000003</v>
          </cell>
          <cell r="K38">
            <v>755831.55900000001</v>
          </cell>
          <cell r="L38">
            <v>767204.65630000003</v>
          </cell>
          <cell r="M38">
            <v>780459.91969999997</v>
          </cell>
          <cell r="N38">
            <v>793991.88040000002</v>
          </cell>
          <cell r="O38">
            <v>807684.63600000006</v>
          </cell>
          <cell r="P38">
            <v>821380.55119999999</v>
          </cell>
          <cell r="Q38">
            <v>835005.96310000005</v>
          </cell>
          <cell r="R38">
            <v>848597.24739999999</v>
          </cell>
          <cell r="S38">
            <v>862262.62399999995</v>
          </cell>
          <cell r="T38">
            <v>876122.63500000001</v>
          </cell>
          <cell r="U38">
            <v>890262.60049999994</v>
          </cell>
          <cell r="V38">
            <v>904731.92819999997</v>
          </cell>
          <cell r="W38">
            <v>918912.8371</v>
          </cell>
          <cell r="X38">
            <v>933641.80720000004</v>
          </cell>
          <cell r="Y38">
            <v>948730.60719999997</v>
          </cell>
          <cell r="Z38">
            <v>964073.90870000003</v>
          </cell>
          <cell r="AA38">
            <v>979484.80059999996</v>
          </cell>
          <cell r="AB38">
            <v>993665.90789999999</v>
          </cell>
          <cell r="AC38">
            <v>1008149.0550000001</v>
          </cell>
          <cell r="AD38">
            <v>1022929.4620000001</v>
          </cell>
          <cell r="AE38">
            <v>1037996.292</v>
          </cell>
          <cell r="AF38">
            <v>1053323.9569999999</v>
          </cell>
          <cell r="AG38">
            <v>1068882.6100000001</v>
          </cell>
          <cell r="AH38">
            <v>1084650.8419999999</v>
          </cell>
          <cell r="AI38">
            <v>1100622.649</v>
          </cell>
          <cell r="AJ38">
            <v>1116806.594</v>
          </cell>
          <cell r="AK38">
            <v>1133219.274</v>
          </cell>
        </row>
        <row r="39">
          <cell r="B39">
            <v>662377.19709999999</v>
          </cell>
          <cell r="C39">
            <v>669319.93960000004</v>
          </cell>
          <cell r="D39">
            <v>678191.98459999997</v>
          </cell>
          <cell r="E39">
            <v>688745.29940000002</v>
          </cell>
          <cell r="F39">
            <v>700092.0723</v>
          </cell>
          <cell r="G39">
            <v>711805.60010000004</v>
          </cell>
          <cell r="H39">
            <v>723846.95669999998</v>
          </cell>
          <cell r="I39">
            <v>735577.65339999995</v>
          </cell>
          <cell r="J39">
            <v>747297.5821</v>
          </cell>
          <cell r="K39">
            <v>759197.37430000002</v>
          </cell>
          <cell r="L39">
            <v>771183.57140000002</v>
          </cell>
          <cell r="M39">
            <v>784480.69059999997</v>
          </cell>
          <cell r="N39">
            <v>797619.81720000005</v>
          </cell>
          <cell r="O39">
            <v>810756.60389999999</v>
          </cell>
          <cell r="P39">
            <v>823975.0024</v>
          </cell>
          <cell r="Q39">
            <v>837336.65740000003</v>
          </cell>
          <cell r="R39">
            <v>850891.66489999997</v>
          </cell>
          <cell r="S39">
            <v>864676.07030000002</v>
          </cell>
          <cell r="T39">
            <v>878708.7</v>
          </cell>
          <cell r="U39">
            <v>892992.40910000005</v>
          </cell>
          <cell r="V39">
            <v>907532.75020000001</v>
          </cell>
          <cell r="W39">
            <v>921728.23659999995</v>
          </cell>
          <cell r="X39">
            <v>936446.25289999996</v>
          </cell>
          <cell r="Y39">
            <v>951535.28049999999</v>
          </cell>
          <cell r="Z39">
            <v>966914.64939999999</v>
          </cell>
          <cell r="AA39">
            <v>982393.2683</v>
          </cell>
          <cell r="AB39">
            <v>996673.64939999999</v>
          </cell>
          <cell r="AC39">
            <v>1011266.657</v>
          </cell>
          <cell r="AD39">
            <v>1026146.519</v>
          </cell>
          <cell r="AE39">
            <v>1041288.307</v>
          </cell>
          <cell r="AF39">
            <v>1056662.155</v>
          </cell>
          <cell r="AG39">
            <v>1072242.338</v>
          </cell>
          <cell r="AH39">
            <v>1088016.1510000001</v>
          </cell>
          <cell r="AI39">
            <v>1103986.54</v>
          </cell>
          <cell r="AJ39">
            <v>1120168.192</v>
          </cell>
          <cell r="AK39">
            <v>1136580.145</v>
          </cell>
        </row>
        <row r="40">
          <cell r="B40">
            <v>5823.3892779999996</v>
          </cell>
          <cell r="C40">
            <v>6522.9384460000001</v>
          </cell>
          <cell r="D40">
            <v>7141.6198940000004</v>
          </cell>
          <cell r="E40">
            <v>7658.8474379999998</v>
          </cell>
          <cell r="F40">
            <v>8093.4473980000002</v>
          </cell>
          <cell r="G40">
            <v>8467.7065399999992</v>
          </cell>
          <cell r="H40">
            <v>8782.7035579999992</v>
          </cell>
          <cell r="I40">
            <v>9040.2837940000009</v>
          </cell>
          <cell r="J40">
            <v>9256.3544590000001</v>
          </cell>
          <cell r="K40">
            <v>9445.4642430000004</v>
          </cell>
          <cell r="L40">
            <v>9670.3479619999998</v>
          </cell>
          <cell r="M40">
            <v>9832.5203180000008</v>
          </cell>
          <cell r="N40">
            <v>10003.575409999999</v>
          </cell>
          <cell r="O40">
            <v>10183.38445</v>
          </cell>
          <cell r="P40">
            <v>10365.12585</v>
          </cell>
          <cell r="Q40">
            <v>10543.694659999999</v>
          </cell>
          <cell r="R40">
            <v>10717.08308</v>
          </cell>
          <cell r="S40">
            <v>10886.282230000001</v>
          </cell>
          <cell r="T40">
            <v>11054.115669999999</v>
          </cell>
          <cell r="U40">
            <v>11223.77838</v>
          </cell>
          <cell r="V40">
            <v>11363.553169999999</v>
          </cell>
          <cell r="W40">
            <v>11552.264939999999</v>
          </cell>
          <cell r="X40">
            <v>11744.45407</v>
          </cell>
          <cell r="Y40">
            <v>11936.887640000001</v>
          </cell>
          <cell r="Z40">
            <v>12130.162350000001</v>
          </cell>
          <cell r="AA40">
            <v>12223.63414</v>
          </cell>
          <cell r="AB40">
            <v>12405.363859999999</v>
          </cell>
          <cell r="AC40">
            <v>12593.534739999999</v>
          </cell>
          <cell r="AD40">
            <v>12780.386699999999</v>
          </cell>
          <cell r="AE40">
            <v>12967.264429999999</v>
          </cell>
          <cell r="AF40">
            <v>13155.520619999999</v>
          </cell>
          <cell r="AG40">
            <v>13345.55286</v>
          </cell>
          <cell r="AH40">
            <v>13537.22112</v>
          </cell>
          <cell r="AI40">
            <v>13730.324210000001</v>
          </cell>
          <cell r="AJ40">
            <v>13924.87204</v>
          </cell>
          <cell r="AK40">
            <v>14121.14055</v>
          </cell>
        </row>
        <row r="41">
          <cell r="B41">
            <v>5823.3892779999996</v>
          </cell>
          <cell r="C41">
            <v>6522.9384460000001</v>
          </cell>
          <cell r="D41">
            <v>7141.6198940000004</v>
          </cell>
          <cell r="E41">
            <v>7658.8474379999998</v>
          </cell>
          <cell r="F41">
            <v>8093.4473980000002</v>
          </cell>
          <cell r="G41">
            <v>8467.7065399999992</v>
          </cell>
          <cell r="H41">
            <v>8765.6870319999998</v>
          </cell>
          <cell r="I41">
            <v>9040.8774659999999</v>
          </cell>
          <cell r="J41">
            <v>9296.4013269999996</v>
          </cell>
          <cell r="K41">
            <v>9534.0008049999997</v>
          </cell>
          <cell r="L41">
            <v>9803.8196059999991</v>
          </cell>
          <cell r="M41">
            <v>9999.2058720000005</v>
          </cell>
          <cell r="N41">
            <v>10188.855009999999</v>
          </cell>
          <cell r="O41">
            <v>10374.593929999999</v>
          </cell>
          <cell r="P41">
            <v>10554.13977</v>
          </cell>
          <cell r="Q41">
            <v>10727.19522</v>
          </cell>
          <cell r="R41">
            <v>10895.17145</v>
          </cell>
          <cell r="S41">
            <v>11060.277260000001</v>
          </cell>
          <cell r="T41">
            <v>11224.80752</v>
          </cell>
          <cell r="U41">
            <v>11390.70586</v>
          </cell>
          <cell r="V41">
            <v>11525.04407</v>
          </cell>
          <cell r="W41">
            <v>11706.68144</v>
          </cell>
          <cell r="X41">
            <v>11890.69817</v>
          </cell>
          <cell r="Y41">
            <v>12075.0286</v>
          </cell>
          <cell r="Z41">
            <v>12261.52889</v>
          </cell>
          <cell r="AA41">
            <v>12350.08517</v>
          </cell>
          <cell r="AB41">
            <v>12529.64047</v>
          </cell>
          <cell r="AC41">
            <v>12718.129849999999</v>
          </cell>
          <cell r="AD41">
            <v>12907.287200000001</v>
          </cell>
          <cell r="AE41">
            <v>13097.794330000001</v>
          </cell>
          <cell r="AF41">
            <v>13290.373670000001</v>
          </cell>
          <cell r="AG41">
            <v>13484.96902</v>
          </cell>
          <cell r="AH41">
            <v>13681.15652</v>
          </cell>
          <cell r="AI41">
            <v>13878.56919</v>
          </cell>
          <cell r="AJ41">
            <v>14077.1106</v>
          </cell>
          <cell r="AK41">
            <v>14276.91934</v>
          </cell>
        </row>
        <row r="42">
          <cell r="B42">
            <v>45757.195350000002</v>
          </cell>
          <cell r="C42">
            <v>46375.756909999996</v>
          </cell>
          <cell r="D42">
            <v>46902.934789999999</v>
          </cell>
          <cell r="E42">
            <v>47418.738559999998</v>
          </cell>
          <cell r="F42">
            <v>47958.547899999998</v>
          </cell>
          <cell r="G42">
            <v>48534.212350000002</v>
          </cell>
          <cell r="H42">
            <v>49183.300060000001</v>
          </cell>
          <cell r="I42">
            <v>49857.684500000003</v>
          </cell>
          <cell r="J42">
            <v>50562.479480000002</v>
          </cell>
          <cell r="K42">
            <v>51257.17942</v>
          </cell>
          <cell r="L42">
            <v>51966.566500000001</v>
          </cell>
          <cell r="M42">
            <v>52584.889900000002</v>
          </cell>
          <cell r="N42">
            <v>53175.472479999997</v>
          </cell>
          <cell r="O42">
            <v>53757.3773</v>
          </cell>
          <cell r="P42">
            <v>54343.114139999998</v>
          </cell>
          <cell r="Q42">
            <v>54937.442889999998</v>
          </cell>
          <cell r="R42">
            <v>55538.682679999998</v>
          </cell>
          <cell r="S42">
            <v>56141.981849999996</v>
          </cell>
          <cell r="T42">
            <v>56742.583809999996</v>
          </cell>
          <cell r="U42">
            <v>57337.983939999998</v>
          </cell>
          <cell r="V42">
            <v>57887.511930000001</v>
          </cell>
          <cell r="W42">
            <v>58471.886140000002</v>
          </cell>
          <cell r="X42">
            <v>59057.675139999999</v>
          </cell>
          <cell r="Y42">
            <v>59645.928119999997</v>
          </cell>
          <cell r="Z42">
            <v>60238.578520000003</v>
          </cell>
          <cell r="AA42">
            <v>60714.401469999997</v>
          </cell>
          <cell r="AB42">
            <v>61251.345240000002</v>
          </cell>
          <cell r="AC42">
            <v>61786.122410000004</v>
          </cell>
          <cell r="AD42">
            <v>62312.941229999997</v>
          </cell>
          <cell r="AE42">
            <v>62831.722320000001</v>
          </cell>
          <cell r="AF42">
            <v>63344.154280000002</v>
          </cell>
          <cell r="AG42">
            <v>63852.1325</v>
          </cell>
          <cell r="AH42">
            <v>64356.950199999999</v>
          </cell>
          <cell r="AI42">
            <v>64858.988899999997</v>
          </cell>
          <cell r="AJ42">
            <v>65357.858509999998</v>
          </cell>
          <cell r="AK42">
            <v>65852.825469999996</v>
          </cell>
        </row>
        <row r="43">
          <cell r="B43">
            <v>45757.195350000002</v>
          </cell>
          <cell r="C43">
            <v>46375.756909999996</v>
          </cell>
          <cell r="D43">
            <v>46902.934789999999</v>
          </cell>
          <cell r="E43">
            <v>47418.738559999998</v>
          </cell>
          <cell r="F43">
            <v>47958.547899999998</v>
          </cell>
          <cell r="G43">
            <v>48534.212350000002</v>
          </cell>
          <cell r="H43">
            <v>49110.47582</v>
          </cell>
          <cell r="I43">
            <v>49715.577080000003</v>
          </cell>
          <cell r="J43">
            <v>50340.860979999998</v>
          </cell>
          <cell r="K43">
            <v>50976.74338</v>
          </cell>
          <cell r="L43">
            <v>51670.364609999997</v>
          </cell>
          <cell r="M43">
            <v>52313.968489999999</v>
          </cell>
          <cell r="N43">
            <v>52958.068460000002</v>
          </cell>
          <cell r="O43">
            <v>53603.372880000003</v>
          </cell>
          <cell r="P43">
            <v>54247.30603</v>
          </cell>
          <cell r="Q43">
            <v>54886.768559999997</v>
          </cell>
          <cell r="R43">
            <v>55519.240230000003</v>
          </cell>
          <cell r="S43">
            <v>56143.398860000001</v>
          </cell>
          <cell r="T43">
            <v>56759.321069999998</v>
          </cell>
          <cell r="U43">
            <v>57368.243869999998</v>
          </cell>
          <cell r="V43">
            <v>57931.330150000002</v>
          </cell>
          <cell r="W43">
            <v>58528.162259999997</v>
          </cell>
          <cell r="X43">
            <v>59123.98934</v>
          </cell>
          <cell r="Y43">
            <v>59718.6005</v>
          </cell>
          <cell r="Z43">
            <v>60313.510329999997</v>
          </cell>
          <cell r="AA43">
            <v>60788.411840000001</v>
          </cell>
          <cell r="AB43">
            <v>61322.329109999999</v>
          </cell>
          <cell r="AC43">
            <v>61853.579819999999</v>
          </cell>
          <cell r="AD43">
            <v>62377.892500000002</v>
          </cell>
          <cell r="AE43">
            <v>62896.16517</v>
          </cell>
          <cell r="AF43">
            <v>63410.370040000002</v>
          </cell>
          <cell r="AG43">
            <v>63922.132899999997</v>
          </cell>
          <cell r="AH43">
            <v>64432.173219999997</v>
          </cell>
          <cell r="AI43">
            <v>64940.263030000002</v>
          </cell>
          <cell r="AJ43">
            <v>65445.552580000003</v>
          </cell>
          <cell r="AK43">
            <v>65947.035879999996</v>
          </cell>
        </row>
        <row r="44">
          <cell r="B44">
            <v>3853.083674</v>
          </cell>
          <cell r="C44">
            <v>3945.1136160000001</v>
          </cell>
          <cell r="D44">
            <v>4022.2579310000001</v>
          </cell>
          <cell r="E44">
            <v>4093.0210579999998</v>
          </cell>
          <cell r="F44">
            <v>4161.2685520000005</v>
          </cell>
          <cell r="G44">
            <v>4228.5133779999996</v>
          </cell>
          <cell r="H44">
            <v>4297.9587140000003</v>
          </cell>
          <cell r="I44">
            <v>4365.3740299999999</v>
          </cell>
          <cell r="J44">
            <v>4432.4606229999999</v>
          </cell>
          <cell r="K44">
            <v>4497.4671399999997</v>
          </cell>
          <cell r="L44">
            <v>4564.0544749999999</v>
          </cell>
          <cell r="M44">
            <v>4623.1440810000004</v>
          </cell>
          <cell r="N44">
            <v>4680.2392120000004</v>
          </cell>
          <cell r="O44">
            <v>4736.4500859999998</v>
          </cell>
          <cell r="P44">
            <v>4792.388207</v>
          </cell>
          <cell r="Q44">
            <v>4848.2416249999997</v>
          </cell>
          <cell r="R44">
            <v>4903.890402</v>
          </cell>
          <cell r="S44">
            <v>4959.0954359999996</v>
          </cell>
          <cell r="T44">
            <v>5013.6584089999997</v>
          </cell>
          <cell r="U44">
            <v>5067.512221</v>
          </cell>
          <cell r="V44">
            <v>5117.0900449999999</v>
          </cell>
          <cell r="W44">
            <v>5169.5745109999998</v>
          </cell>
          <cell r="X44">
            <v>5221.8203370000001</v>
          </cell>
          <cell r="Y44">
            <v>5273.8470180000004</v>
          </cell>
          <cell r="Z44">
            <v>5325.7651610000003</v>
          </cell>
          <cell r="AA44">
            <v>5366.8566419999997</v>
          </cell>
          <cell r="AB44">
            <v>5413.0334810000004</v>
          </cell>
          <cell r="AC44">
            <v>5458.6963530000003</v>
          </cell>
          <cell r="AD44">
            <v>5503.459535</v>
          </cell>
          <cell r="AE44">
            <v>5547.3556239999998</v>
          </cell>
          <cell r="AF44">
            <v>5590.5110830000003</v>
          </cell>
          <cell r="AG44">
            <v>5633.045505</v>
          </cell>
          <cell r="AH44">
            <v>5675.0331480000004</v>
          </cell>
          <cell r="AI44">
            <v>5716.4933780000001</v>
          </cell>
          <cell r="AJ44">
            <v>5757.4034199999996</v>
          </cell>
          <cell r="AK44">
            <v>5797.7245059999996</v>
          </cell>
        </row>
        <row r="45">
          <cell r="B45">
            <v>3853.083674</v>
          </cell>
          <cell r="C45">
            <v>3945.1136160000001</v>
          </cell>
          <cell r="D45">
            <v>4022.2579310000001</v>
          </cell>
          <cell r="E45">
            <v>4093.0210579999998</v>
          </cell>
          <cell r="F45">
            <v>4161.2685520000005</v>
          </cell>
          <cell r="G45">
            <v>4228.5133779999996</v>
          </cell>
          <cell r="H45">
            <v>4292.175115</v>
          </cell>
          <cell r="I45">
            <v>4355.3234709999997</v>
          </cell>
          <cell r="J45">
            <v>4417.8432499999999</v>
          </cell>
          <cell r="K45">
            <v>4479.5362949999999</v>
          </cell>
          <cell r="L45">
            <v>4545.1508560000002</v>
          </cell>
          <cell r="M45">
            <v>4605.3653430000004</v>
          </cell>
          <cell r="N45">
            <v>4664.9697990000004</v>
          </cell>
          <cell r="O45">
            <v>4724.1511739999996</v>
          </cell>
          <cell r="P45">
            <v>4782.8168779999996</v>
          </cell>
          <cell r="Q45">
            <v>4840.8365549999999</v>
          </cell>
          <cell r="R45">
            <v>4898.1138389999996</v>
          </cell>
          <cell r="S45">
            <v>4954.6130679999997</v>
          </cell>
          <cell r="T45">
            <v>5010.3631089999999</v>
          </cell>
          <cell r="U45">
            <v>5065.440936</v>
          </cell>
          <cell r="V45">
            <v>5116.3210419999996</v>
          </cell>
          <cell r="W45">
            <v>5170.0706540000001</v>
          </cell>
          <cell r="X45">
            <v>5223.441202</v>
          </cell>
          <cell r="Y45">
            <v>5276.3716569999997</v>
          </cell>
          <cell r="Z45">
            <v>5328.9464619999999</v>
          </cell>
          <cell r="AA45">
            <v>5370.4898499999999</v>
          </cell>
          <cell r="AB45">
            <v>5416.9701800000003</v>
          </cell>
          <cell r="AC45">
            <v>5462.8678680000003</v>
          </cell>
          <cell r="AD45">
            <v>5507.8746970000002</v>
          </cell>
          <cell r="AE45">
            <v>5552.0740210000004</v>
          </cell>
          <cell r="AF45">
            <v>5595.6093309999997</v>
          </cell>
          <cell r="AG45">
            <v>5638.5924969999996</v>
          </cell>
          <cell r="AH45">
            <v>5681.0771640000003</v>
          </cell>
          <cell r="AI45">
            <v>5723.0619379999998</v>
          </cell>
          <cell r="AJ45">
            <v>5764.5115900000001</v>
          </cell>
          <cell r="AK45">
            <v>5805.3821900000003</v>
          </cell>
        </row>
        <row r="46">
          <cell r="B46">
            <v>18448.615529999999</v>
          </cell>
          <cell r="C46">
            <v>19361.452649999999</v>
          </cell>
          <cell r="D46">
            <v>20082.192630000001</v>
          </cell>
          <cell r="E46">
            <v>20688.784909999998</v>
          </cell>
          <cell r="F46">
            <v>21228.604289999999</v>
          </cell>
          <cell r="G46">
            <v>21734.64428</v>
          </cell>
          <cell r="H46">
            <v>22238.442950000001</v>
          </cell>
          <cell r="I46">
            <v>22798.512630000001</v>
          </cell>
          <cell r="J46">
            <v>23370.15626</v>
          </cell>
          <cell r="K46">
            <v>23882.535899999999</v>
          </cell>
          <cell r="L46">
            <v>24311.463299999999</v>
          </cell>
          <cell r="M46">
            <v>24631.588250000001</v>
          </cell>
          <cell r="N46">
            <v>24883.000690000001</v>
          </cell>
          <cell r="O46">
            <v>25108.019530000001</v>
          </cell>
          <cell r="P46">
            <v>25336.370299999999</v>
          </cell>
          <cell r="Q46">
            <v>25580.961060000001</v>
          </cell>
          <cell r="R46">
            <v>25840.376820000001</v>
          </cell>
          <cell r="S46">
            <v>26106.242139999998</v>
          </cell>
          <cell r="T46">
            <v>26370.061369999999</v>
          </cell>
          <cell r="U46">
            <v>26627.6911</v>
          </cell>
          <cell r="V46">
            <v>26865.048299999999</v>
          </cell>
          <cell r="W46">
            <v>27112.040369999999</v>
          </cell>
          <cell r="X46">
            <v>27369.011829999999</v>
          </cell>
          <cell r="Y46">
            <v>27638.33509</v>
          </cell>
          <cell r="Z46">
            <v>27922.941050000001</v>
          </cell>
          <cell r="AA46">
            <v>28174.686959999999</v>
          </cell>
          <cell r="AB46">
            <v>28451.45191</v>
          </cell>
          <cell r="AC46">
            <v>28736.303960000001</v>
          </cell>
          <cell r="AD46">
            <v>29020.174620000002</v>
          </cell>
          <cell r="AE46">
            <v>29302.093229999999</v>
          </cell>
          <cell r="AF46">
            <v>29584.624790000002</v>
          </cell>
          <cell r="AG46">
            <v>29870.907749999998</v>
          </cell>
          <cell r="AH46">
            <v>30163.12067</v>
          </cell>
          <cell r="AI46">
            <v>30461.841469999999</v>
          </cell>
          <cell r="AJ46">
            <v>30766.231210000002</v>
          </cell>
          <cell r="AK46">
            <v>31074.800139999999</v>
          </cell>
        </row>
        <row r="47">
          <cell r="B47">
            <v>18448.615529999999</v>
          </cell>
          <cell r="C47">
            <v>19361.452649999999</v>
          </cell>
          <cell r="D47">
            <v>20082.192630000001</v>
          </cell>
          <cell r="E47">
            <v>20688.784909999998</v>
          </cell>
          <cell r="F47">
            <v>21228.604289999999</v>
          </cell>
          <cell r="G47">
            <v>21734.64428</v>
          </cell>
          <cell r="H47">
            <v>22208.686799999999</v>
          </cell>
          <cell r="I47">
            <v>22669.615880000001</v>
          </cell>
          <cell r="J47">
            <v>23117.480650000001</v>
          </cell>
          <cell r="K47">
            <v>23547.053879999999</v>
          </cell>
          <cell r="L47">
            <v>23974.167079999999</v>
          </cell>
          <cell r="M47">
            <v>24368.055110000001</v>
          </cell>
          <cell r="N47">
            <v>24742.355589999999</v>
          </cell>
          <cell r="O47">
            <v>25103.335070000001</v>
          </cell>
          <cell r="P47">
            <v>25450.48187</v>
          </cell>
          <cell r="Q47">
            <v>25781.178680000001</v>
          </cell>
          <cell r="R47">
            <v>26093.601650000001</v>
          </cell>
          <cell r="S47">
            <v>26387.977129999999</v>
          </cell>
          <cell r="T47">
            <v>26666.91966</v>
          </cell>
          <cell r="U47">
            <v>26934.911499999998</v>
          </cell>
          <cell r="V47">
            <v>27182.175459999999</v>
          </cell>
          <cell r="W47">
            <v>27436.929479999999</v>
          </cell>
          <cell r="X47">
            <v>27696.845990000002</v>
          </cell>
          <cell r="Y47">
            <v>27962.100770000001</v>
          </cell>
          <cell r="Z47">
            <v>28235.15035</v>
          </cell>
          <cell r="AA47">
            <v>28469.704180000001</v>
          </cell>
          <cell r="AB47">
            <v>28726.086469999998</v>
          </cell>
          <cell r="AC47">
            <v>28990.606930000002</v>
          </cell>
          <cell r="AD47">
            <v>29257.12645</v>
          </cell>
          <cell r="AE47">
            <v>29526.469669999999</v>
          </cell>
          <cell r="AF47">
            <v>29801.598569999998</v>
          </cell>
          <cell r="AG47">
            <v>30085.04823</v>
          </cell>
          <cell r="AH47">
            <v>30377.762999999999</v>
          </cell>
          <cell r="AI47">
            <v>30678.964759999999</v>
          </cell>
          <cell r="AJ47">
            <v>30986.75058</v>
          </cell>
          <cell r="AK47">
            <v>31298.787219999998</v>
          </cell>
        </row>
        <row r="48">
          <cell r="B48">
            <v>313.58305380000002</v>
          </cell>
          <cell r="C48">
            <v>329.09913690000002</v>
          </cell>
          <cell r="D48">
            <v>341.35002070000002</v>
          </cell>
          <cell r="E48">
            <v>351.66066210000002</v>
          </cell>
          <cell r="F48">
            <v>360.83632130000001</v>
          </cell>
          <cell r="G48">
            <v>369.43781039999999</v>
          </cell>
          <cell r="H48">
            <v>378.00120240000001</v>
          </cell>
          <cell r="I48">
            <v>387.52106900000001</v>
          </cell>
          <cell r="J48">
            <v>397.2376658</v>
          </cell>
          <cell r="K48">
            <v>405.94691390000003</v>
          </cell>
          <cell r="L48">
            <v>413.23767049999998</v>
          </cell>
          <cell r="M48">
            <v>418.67904129999999</v>
          </cell>
          <cell r="N48">
            <v>422.95246120000002</v>
          </cell>
          <cell r="O48">
            <v>426.77725199999998</v>
          </cell>
          <cell r="P48">
            <v>430.65867789999999</v>
          </cell>
          <cell r="Q48">
            <v>434.81614510000003</v>
          </cell>
          <cell r="R48">
            <v>439.22560270000002</v>
          </cell>
          <cell r="S48">
            <v>443.74468760000002</v>
          </cell>
          <cell r="T48">
            <v>448.22899369999999</v>
          </cell>
          <cell r="U48">
            <v>452.60809280000001</v>
          </cell>
          <cell r="V48">
            <v>456.64260669999999</v>
          </cell>
          <cell r="W48">
            <v>460.84089069999999</v>
          </cell>
          <cell r="X48">
            <v>465.20880090000003</v>
          </cell>
          <cell r="Y48">
            <v>469.7866626</v>
          </cell>
          <cell r="Z48">
            <v>474.62429429999997</v>
          </cell>
          <cell r="AA48">
            <v>478.90338229999998</v>
          </cell>
          <cell r="AB48">
            <v>483.6077353</v>
          </cell>
          <cell r="AC48">
            <v>488.4495498</v>
          </cell>
          <cell r="AD48">
            <v>493.2746831</v>
          </cell>
          <cell r="AE48">
            <v>498.0666362</v>
          </cell>
          <cell r="AF48">
            <v>502.86900780000002</v>
          </cell>
          <cell r="AG48">
            <v>507.73514460000001</v>
          </cell>
          <cell r="AH48">
            <v>512.70207660000005</v>
          </cell>
          <cell r="AI48">
            <v>517.77962720000005</v>
          </cell>
          <cell r="AJ48">
            <v>522.95353669999997</v>
          </cell>
          <cell r="AK48">
            <v>528.19848239999999</v>
          </cell>
        </row>
        <row r="49">
          <cell r="B49">
            <v>313.58305380000002</v>
          </cell>
          <cell r="C49">
            <v>329.09913690000002</v>
          </cell>
          <cell r="D49">
            <v>341.35002070000002</v>
          </cell>
          <cell r="E49">
            <v>351.66066210000002</v>
          </cell>
          <cell r="F49">
            <v>360.83632130000001</v>
          </cell>
          <cell r="G49">
            <v>369.43781039999999</v>
          </cell>
          <cell r="H49">
            <v>377.49541779999998</v>
          </cell>
          <cell r="I49">
            <v>385.33012760000003</v>
          </cell>
          <cell r="J49">
            <v>392.9427748</v>
          </cell>
          <cell r="K49">
            <v>400.24450899999999</v>
          </cell>
          <cell r="L49">
            <v>407.50442839999999</v>
          </cell>
          <cell r="M49">
            <v>414.1995981</v>
          </cell>
          <cell r="N49">
            <v>420.56182539999998</v>
          </cell>
          <cell r="O49">
            <v>426.6976272</v>
          </cell>
          <cell r="P49">
            <v>432.59830590000001</v>
          </cell>
          <cell r="Q49">
            <v>438.21937359999998</v>
          </cell>
          <cell r="R49">
            <v>443.52982889999998</v>
          </cell>
          <cell r="S49">
            <v>448.53351950000001</v>
          </cell>
          <cell r="T49">
            <v>453.27488599999998</v>
          </cell>
          <cell r="U49">
            <v>457.83011679999998</v>
          </cell>
          <cell r="V49">
            <v>462.03302230000003</v>
          </cell>
          <cell r="W49">
            <v>466.3632412</v>
          </cell>
          <cell r="X49">
            <v>470.7812103</v>
          </cell>
          <cell r="Y49">
            <v>475.28991739999998</v>
          </cell>
          <cell r="Z49">
            <v>479.93111770000002</v>
          </cell>
          <cell r="AA49">
            <v>483.91798089999998</v>
          </cell>
          <cell r="AB49">
            <v>488.2758766</v>
          </cell>
          <cell r="AC49">
            <v>492.7721019</v>
          </cell>
          <cell r="AD49">
            <v>497.30230669999997</v>
          </cell>
          <cell r="AE49">
            <v>501.88050759999999</v>
          </cell>
          <cell r="AF49">
            <v>506.5570515</v>
          </cell>
          <cell r="AG49">
            <v>511.3750288</v>
          </cell>
          <cell r="AH49">
            <v>516.3504911</v>
          </cell>
          <cell r="AI49">
            <v>521.47021229999996</v>
          </cell>
          <cell r="AJ49">
            <v>526.70184689999996</v>
          </cell>
          <cell r="AK49">
            <v>532.00573559999998</v>
          </cell>
        </row>
        <row r="50">
          <cell r="B50">
            <v>32440.48358</v>
          </cell>
          <cell r="C50">
            <v>32637.12372</v>
          </cell>
          <cell r="D50">
            <v>32810.753190000003</v>
          </cell>
          <cell r="E50">
            <v>33057.583659999997</v>
          </cell>
          <cell r="F50">
            <v>33429.048089999997</v>
          </cell>
          <cell r="G50">
            <v>33952.737350000003</v>
          </cell>
          <cell r="H50">
            <v>34667.374459999999</v>
          </cell>
          <cell r="I50">
            <v>35629.688170000001</v>
          </cell>
          <cell r="J50">
            <v>36746.759019999998</v>
          </cell>
          <cell r="K50">
            <v>37845.685449999997</v>
          </cell>
          <cell r="L50">
            <v>38801.875469999999</v>
          </cell>
          <cell r="M50">
            <v>39537.030030000002</v>
          </cell>
          <cell r="N50">
            <v>40083.608229999998</v>
          </cell>
          <cell r="O50">
            <v>40513.642760000002</v>
          </cell>
          <cell r="P50">
            <v>40905.762840000003</v>
          </cell>
          <cell r="Q50">
            <v>41313.388780000001</v>
          </cell>
          <cell r="R50">
            <v>41755.091939999998</v>
          </cell>
          <cell r="S50">
            <v>42230.305209999999</v>
          </cell>
          <cell r="T50">
            <v>42731.68101</v>
          </cell>
          <cell r="U50">
            <v>43255.278039999997</v>
          </cell>
          <cell r="V50">
            <v>43785.514179999998</v>
          </cell>
          <cell r="W50">
            <v>44359.407079999997</v>
          </cell>
          <cell r="X50">
            <v>44981.93993</v>
          </cell>
          <cell r="Y50">
            <v>45658.720939999999</v>
          </cell>
          <cell r="Z50">
            <v>46391.836990000003</v>
          </cell>
          <cell r="AA50">
            <v>47111.86881</v>
          </cell>
          <cell r="AB50">
            <v>47875.402069999996</v>
          </cell>
          <cell r="AC50">
            <v>48647.090020000003</v>
          </cell>
          <cell r="AD50">
            <v>49405.457000000002</v>
          </cell>
          <cell r="AE50">
            <v>50142.783510000001</v>
          </cell>
          <cell r="AF50">
            <v>50861.084179999998</v>
          </cell>
          <cell r="AG50">
            <v>51566.11176</v>
          </cell>
          <cell r="AH50">
            <v>52264.743459999998</v>
          </cell>
          <cell r="AI50">
            <v>52962.4375</v>
          </cell>
          <cell r="AJ50">
            <v>53662.064749999998</v>
          </cell>
          <cell r="AK50">
            <v>54364.732660000001</v>
          </cell>
        </row>
        <row r="51">
          <cell r="B51">
            <v>32440.48358</v>
          </cell>
          <cell r="C51">
            <v>32637.12372</v>
          </cell>
          <cell r="D51">
            <v>32810.753190000003</v>
          </cell>
          <cell r="E51">
            <v>33057.583659999997</v>
          </cell>
          <cell r="F51">
            <v>33429.048089999997</v>
          </cell>
          <cell r="G51">
            <v>33952.737350000003</v>
          </cell>
          <cell r="H51">
            <v>34613.084750000002</v>
          </cell>
          <cell r="I51">
            <v>35403.632870000001</v>
          </cell>
          <cell r="J51">
            <v>36290.17643</v>
          </cell>
          <cell r="K51">
            <v>37226.60903</v>
          </cell>
          <cell r="L51">
            <v>38187.997230000001</v>
          </cell>
          <cell r="M51">
            <v>39104.704120000002</v>
          </cell>
          <cell r="N51">
            <v>39960.371760000002</v>
          </cell>
          <cell r="O51">
            <v>40740.98934</v>
          </cell>
          <cell r="P51">
            <v>41434.186079999999</v>
          </cell>
          <cell r="Q51">
            <v>42032.460959999997</v>
          </cell>
          <cell r="R51">
            <v>42541.779849999999</v>
          </cell>
          <cell r="S51">
            <v>42979.702559999998</v>
          </cell>
          <cell r="T51">
            <v>43372.582990000003</v>
          </cell>
          <cell r="U51">
            <v>43751.354379999997</v>
          </cell>
          <cell r="V51">
            <v>44128.21284</v>
          </cell>
          <cell r="W51">
            <v>44549.785329999999</v>
          </cell>
          <cell r="X51">
            <v>45026.452599999997</v>
          </cell>
          <cell r="Y51">
            <v>45567.486040000003</v>
          </cell>
          <cell r="Z51">
            <v>46179.146990000001</v>
          </cell>
          <cell r="AA51">
            <v>46799.659509999998</v>
          </cell>
          <cell r="AB51">
            <v>47490.149069999999</v>
          </cell>
          <cell r="AC51">
            <v>48221.215369999998</v>
          </cell>
          <cell r="AD51">
            <v>48974.798999999999</v>
          </cell>
          <cell r="AE51">
            <v>49742.333100000003</v>
          </cell>
          <cell r="AF51">
            <v>50520.446190000002</v>
          </cell>
          <cell r="AG51">
            <v>51307.102650000001</v>
          </cell>
          <cell r="AH51">
            <v>52099.0726</v>
          </cell>
          <cell r="AI51">
            <v>52891.1895</v>
          </cell>
          <cell r="AJ51">
            <v>53677.264009999999</v>
          </cell>
          <cell r="AK51">
            <v>54450.089099999997</v>
          </cell>
        </row>
        <row r="52">
          <cell r="B52">
            <v>433.44833030000001</v>
          </cell>
          <cell r="C52">
            <v>436.07570600000003</v>
          </cell>
          <cell r="D52">
            <v>438.39562840000002</v>
          </cell>
          <cell r="E52">
            <v>441.69361420000001</v>
          </cell>
          <cell r="F52">
            <v>446.65687680000002</v>
          </cell>
          <cell r="G52">
            <v>453.65406710000002</v>
          </cell>
          <cell r="H52">
            <v>463.2025764</v>
          </cell>
          <cell r="I52">
            <v>476.06037709999998</v>
          </cell>
          <cell r="J52">
            <v>490.98594059999999</v>
          </cell>
          <cell r="K52">
            <v>505.6690701</v>
          </cell>
          <cell r="L52">
            <v>518.4450501</v>
          </cell>
          <cell r="M52">
            <v>528.26770009999996</v>
          </cell>
          <cell r="N52">
            <v>535.57071719999999</v>
          </cell>
          <cell r="O52">
            <v>541.31655479999995</v>
          </cell>
          <cell r="P52">
            <v>546.55580450000002</v>
          </cell>
          <cell r="Q52">
            <v>552.00223319999998</v>
          </cell>
          <cell r="R52">
            <v>557.90397940000003</v>
          </cell>
          <cell r="S52">
            <v>564.25346539999998</v>
          </cell>
          <cell r="T52">
            <v>570.95251789999998</v>
          </cell>
          <cell r="U52">
            <v>577.94847600000003</v>
          </cell>
          <cell r="V52">
            <v>585.03314130000001</v>
          </cell>
          <cell r="W52">
            <v>592.70111940000004</v>
          </cell>
          <cell r="X52">
            <v>601.0189924</v>
          </cell>
          <cell r="Y52">
            <v>610.06169369999998</v>
          </cell>
          <cell r="Z52">
            <v>619.85710640000002</v>
          </cell>
          <cell r="AA52">
            <v>629.47769640000001</v>
          </cell>
          <cell r="AB52">
            <v>639.67952390000005</v>
          </cell>
          <cell r="AC52">
            <v>649.99030889999995</v>
          </cell>
          <cell r="AD52">
            <v>660.123108</v>
          </cell>
          <cell r="AE52">
            <v>669.97477809999998</v>
          </cell>
          <cell r="AF52">
            <v>679.57223750000003</v>
          </cell>
          <cell r="AG52">
            <v>688.99235080000005</v>
          </cell>
          <cell r="AH52">
            <v>698.32700639999996</v>
          </cell>
          <cell r="AI52">
            <v>707.64913379999996</v>
          </cell>
          <cell r="AJ52">
            <v>716.99709129999997</v>
          </cell>
          <cell r="AK52">
            <v>726.38567609999996</v>
          </cell>
        </row>
        <row r="53">
          <cell r="B53">
            <v>433.44833030000001</v>
          </cell>
          <cell r="C53">
            <v>436.07570600000003</v>
          </cell>
          <cell r="D53">
            <v>438.39562840000002</v>
          </cell>
          <cell r="E53">
            <v>441.69361420000001</v>
          </cell>
          <cell r="F53">
            <v>446.65687680000002</v>
          </cell>
          <cell r="G53">
            <v>453.65406710000002</v>
          </cell>
          <cell r="H53">
            <v>462.47719310000002</v>
          </cell>
          <cell r="I53">
            <v>473.03997529999998</v>
          </cell>
          <cell r="J53">
            <v>484.88538519999997</v>
          </cell>
          <cell r="K53">
            <v>497.39737960000002</v>
          </cell>
          <cell r="L53">
            <v>510.24281430000002</v>
          </cell>
          <cell r="M53">
            <v>522.49124670000003</v>
          </cell>
          <cell r="N53">
            <v>533.92411279999999</v>
          </cell>
          <cell r="O53">
            <v>544.35420969999996</v>
          </cell>
          <cell r="P53">
            <v>553.61624710000001</v>
          </cell>
          <cell r="Q53">
            <v>561.61000120000006</v>
          </cell>
          <cell r="R53">
            <v>568.41518410000003</v>
          </cell>
          <cell r="S53">
            <v>574.26641819999998</v>
          </cell>
          <cell r="T53">
            <v>579.51582719999999</v>
          </cell>
          <cell r="U53">
            <v>584.57672060000004</v>
          </cell>
          <cell r="V53">
            <v>589.6120545</v>
          </cell>
          <cell r="W53">
            <v>595.24482790000002</v>
          </cell>
          <cell r="X53">
            <v>601.61374139999998</v>
          </cell>
          <cell r="Y53">
            <v>608.84267320000004</v>
          </cell>
          <cell r="Z53">
            <v>617.01528299999995</v>
          </cell>
          <cell r="AA53">
            <v>625.30616169999996</v>
          </cell>
          <cell r="AB53">
            <v>634.53202759999999</v>
          </cell>
          <cell r="AC53">
            <v>644.30005289999997</v>
          </cell>
          <cell r="AD53">
            <v>654.36893999999995</v>
          </cell>
          <cell r="AE53">
            <v>664.62422409999999</v>
          </cell>
          <cell r="AF53">
            <v>675.0208576</v>
          </cell>
          <cell r="AG53">
            <v>685.53164200000003</v>
          </cell>
          <cell r="AH53">
            <v>696.11342179999997</v>
          </cell>
          <cell r="AI53">
            <v>706.69716500000004</v>
          </cell>
          <cell r="AJ53">
            <v>717.20017370000005</v>
          </cell>
          <cell r="AK53">
            <v>727.52615249999997</v>
          </cell>
        </row>
        <row r="54">
          <cell r="B54">
            <v>1656.108532</v>
          </cell>
          <cell r="C54">
            <v>1666.147144</v>
          </cell>
          <cell r="D54">
            <v>1675.011045</v>
          </cell>
          <cell r="E54">
            <v>1687.611907</v>
          </cell>
          <cell r="F54">
            <v>1706.5754159999999</v>
          </cell>
          <cell r="G54">
            <v>1733.3101059999999</v>
          </cell>
          <cell r="H54">
            <v>1769.792811</v>
          </cell>
          <cell r="I54">
            <v>1818.919574</v>
          </cell>
          <cell r="J54">
            <v>1875.9467930000001</v>
          </cell>
          <cell r="K54">
            <v>1932.0477269999999</v>
          </cell>
          <cell r="L54">
            <v>1980.8618719999999</v>
          </cell>
          <cell r="M54">
            <v>2018.3920069999999</v>
          </cell>
          <cell r="N54">
            <v>2046.295192</v>
          </cell>
          <cell r="O54">
            <v>2068.2487449999999</v>
          </cell>
          <cell r="P54">
            <v>2088.2667390000001</v>
          </cell>
          <cell r="Q54">
            <v>2109.076317</v>
          </cell>
          <cell r="R54">
            <v>2131.6255609999998</v>
          </cell>
          <cell r="S54">
            <v>2155.8855189999999</v>
          </cell>
          <cell r="T54">
            <v>2181.4810910000001</v>
          </cell>
          <cell r="U54">
            <v>2208.2110720000001</v>
          </cell>
          <cell r="V54">
            <v>2235.2799839999998</v>
          </cell>
          <cell r="W54">
            <v>2264.5776030000002</v>
          </cell>
          <cell r="X54">
            <v>2296.3583239999998</v>
          </cell>
          <cell r="Y54">
            <v>2330.9084509999998</v>
          </cell>
          <cell r="Z54">
            <v>2368.3345180000001</v>
          </cell>
          <cell r="AA54">
            <v>2405.0926279999999</v>
          </cell>
          <cell r="AB54">
            <v>2444.0715150000001</v>
          </cell>
          <cell r="AC54">
            <v>2483.4667049999998</v>
          </cell>
          <cell r="AD54">
            <v>2522.1818499999999</v>
          </cell>
          <cell r="AE54">
            <v>2559.8228640000002</v>
          </cell>
          <cell r="AF54">
            <v>2596.4925969999999</v>
          </cell>
          <cell r="AG54">
            <v>2632.4847300000001</v>
          </cell>
          <cell r="AH54">
            <v>2668.150349</v>
          </cell>
          <cell r="AI54">
            <v>2703.7680999999998</v>
          </cell>
          <cell r="AJ54">
            <v>2739.4845420000001</v>
          </cell>
          <cell r="AK54">
            <v>2775.3562120000001</v>
          </cell>
        </row>
        <row r="55">
          <cell r="B55">
            <v>1656.108532</v>
          </cell>
          <cell r="C55">
            <v>1666.147144</v>
          </cell>
          <cell r="D55">
            <v>1675.011045</v>
          </cell>
          <cell r="E55">
            <v>1687.611907</v>
          </cell>
          <cell r="F55">
            <v>1706.5754159999999</v>
          </cell>
          <cell r="G55">
            <v>1733.3101059999999</v>
          </cell>
          <cell r="H55">
            <v>1767.021285</v>
          </cell>
          <cell r="I55">
            <v>1807.3792989999999</v>
          </cell>
          <cell r="J55">
            <v>1852.6379440000001</v>
          </cell>
          <cell r="K55">
            <v>1900.4434590000001</v>
          </cell>
          <cell r="L55">
            <v>1949.5229750000001</v>
          </cell>
          <cell r="M55">
            <v>1996.321479</v>
          </cell>
          <cell r="N55">
            <v>2040.0038870000001</v>
          </cell>
          <cell r="O55">
            <v>2079.8549410000001</v>
          </cell>
          <cell r="P55">
            <v>2115.243101</v>
          </cell>
          <cell r="Q55">
            <v>2145.785437</v>
          </cell>
          <cell r="R55">
            <v>2171.786509</v>
          </cell>
          <cell r="S55">
            <v>2194.142758</v>
          </cell>
          <cell r="T55">
            <v>2214.1995689999999</v>
          </cell>
          <cell r="U55">
            <v>2233.5361029999999</v>
          </cell>
          <cell r="V55">
            <v>2252.774981</v>
          </cell>
          <cell r="W55">
            <v>2274.2965410000002</v>
          </cell>
          <cell r="X55">
            <v>2298.6307259999999</v>
          </cell>
          <cell r="Y55">
            <v>2326.2508480000001</v>
          </cell>
          <cell r="Z55">
            <v>2357.4765510000002</v>
          </cell>
          <cell r="AA55">
            <v>2389.154133</v>
          </cell>
          <cell r="AB55">
            <v>2424.40409</v>
          </cell>
          <cell r="AC55">
            <v>2461.7255169999999</v>
          </cell>
          <cell r="AD55">
            <v>2500.196469</v>
          </cell>
          <cell r="AE55">
            <v>2539.3796010000001</v>
          </cell>
          <cell r="AF55">
            <v>2579.1027989999998</v>
          </cell>
          <cell r="AG55">
            <v>2619.2621399999998</v>
          </cell>
          <cell r="AH55">
            <v>2659.69274</v>
          </cell>
          <cell r="AI55">
            <v>2700.1308410000001</v>
          </cell>
          <cell r="AJ55">
            <v>2740.2604740000002</v>
          </cell>
          <cell r="AK55">
            <v>2779.7137149999999</v>
          </cell>
        </row>
        <row r="56">
          <cell r="B56">
            <v>787.58519079999996</v>
          </cell>
          <cell r="C56">
            <v>792.35919060000003</v>
          </cell>
          <cell r="D56">
            <v>796.57454069999994</v>
          </cell>
          <cell r="E56">
            <v>802.56705380000005</v>
          </cell>
          <cell r="F56">
            <v>811.58541160000004</v>
          </cell>
          <cell r="G56">
            <v>824.29946089999999</v>
          </cell>
          <cell r="H56">
            <v>841.64931330000002</v>
          </cell>
          <cell r="I56">
            <v>865.01222110000003</v>
          </cell>
          <cell r="J56">
            <v>892.13229960000001</v>
          </cell>
          <cell r="K56">
            <v>918.81187039999998</v>
          </cell>
          <cell r="L56">
            <v>942.02610819999995</v>
          </cell>
          <cell r="M56">
            <v>959.87408019999998</v>
          </cell>
          <cell r="N56">
            <v>973.14382369999998</v>
          </cell>
          <cell r="O56">
            <v>983.5841375</v>
          </cell>
          <cell r="P56">
            <v>993.10396990000004</v>
          </cell>
          <cell r="Q56">
            <v>1003.000251</v>
          </cell>
          <cell r="R56">
            <v>1013.723854</v>
          </cell>
          <cell r="S56">
            <v>1025.2610110000001</v>
          </cell>
          <cell r="T56">
            <v>1037.4333369999999</v>
          </cell>
          <cell r="U56">
            <v>1050.145147</v>
          </cell>
          <cell r="V56">
            <v>1063.018141</v>
          </cell>
          <cell r="W56">
            <v>1076.951026</v>
          </cell>
          <cell r="X56">
            <v>1092.064785</v>
          </cell>
          <cell r="Y56">
            <v>1108.4955729999999</v>
          </cell>
          <cell r="Z56">
            <v>1126.2940550000001</v>
          </cell>
          <cell r="AA56">
            <v>1143.7748790000001</v>
          </cell>
          <cell r="AB56">
            <v>1162.311825</v>
          </cell>
          <cell r="AC56">
            <v>1181.0467490000001</v>
          </cell>
          <cell r="AD56">
            <v>1199.458269</v>
          </cell>
          <cell r="AE56">
            <v>1217.3589710000001</v>
          </cell>
          <cell r="AF56">
            <v>1234.797767</v>
          </cell>
          <cell r="AG56">
            <v>1251.914321</v>
          </cell>
          <cell r="AH56">
            <v>1268.8755960000001</v>
          </cell>
          <cell r="AI56">
            <v>1285.814108</v>
          </cell>
          <cell r="AJ56">
            <v>1302.7995530000001</v>
          </cell>
          <cell r="AK56">
            <v>1319.858819</v>
          </cell>
        </row>
        <row r="57">
          <cell r="B57">
            <v>787.58519079999996</v>
          </cell>
          <cell r="C57">
            <v>792.35919060000003</v>
          </cell>
          <cell r="D57">
            <v>796.57454069999994</v>
          </cell>
          <cell r="E57">
            <v>802.56705380000005</v>
          </cell>
          <cell r="F57">
            <v>811.58541160000004</v>
          </cell>
          <cell r="G57">
            <v>824.29946089999999</v>
          </cell>
          <cell r="H57">
            <v>840.33127579999996</v>
          </cell>
          <cell r="I57">
            <v>859.52408439999999</v>
          </cell>
          <cell r="J57">
            <v>881.04745579999997</v>
          </cell>
          <cell r="K57">
            <v>903.78202599999997</v>
          </cell>
          <cell r="L57">
            <v>927.12246459999994</v>
          </cell>
          <cell r="M57">
            <v>949.37813679999999</v>
          </cell>
          <cell r="N57">
            <v>970.15190710000002</v>
          </cell>
          <cell r="O57">
            <v>989.10362359999999</v>
          </cell>
          <cell r="P57">
            <v>1005.93295</v>
          </cell>
          <cell r="Q57">
            <v>1020.457778</v>
          </cell>
          <cell r="R57">
            <v>1032.8229449999999</v>
          </cell>
          <cell r="S57">
            <v>1043.4547669999999</v>
          </cell>
          <cell r="T57">
            <v>1052.9930589999999</v>
          </cell>
          <cell r="U57">
            <v>1062.1888140000001</v>
          </cell>
          <cell r="V57">
            <v>1071.338127</v>
          </cell>
          <cell r="W57">
            <v>1081.573001</v>
          </cell>
          <cell r="X57">
            <v>1093.1454570000001</v>
          </cell>
          <cell r="Y57">
            <v>1106.2805860000001</v>
          </cell>
          <cell r="Z57">
            <v>1121.1303989999999</v>
          </cell>
          <cell r="AA57">
            <v>1136.195109</v>
          </cell>
          <cell r="AB57">
            <v>1152.958711</v>
          </cell>
          <cell r="AC57">
            <v>1170.7074279999999</v>
          </cell>
          <cell r="AD57">
            <v>1189.002819</v>
          </cell>
          <cell r="AE57">
            <v>1207.636896</v>
          </cell>
          <cell r="AF57">
            <v>1226.5278089999999</v>
          </cell>
          <cell r="AG57">
            <v>1245.626137</v>
          </cell>
          <cell r="AH57">
            <v>1264.853464</v>
          </cell>
          <cell r="AI57">
            <v>1284.0843589999999</v>
          </cell>
          <cell r="AJ57">
            <v>1303.1685580000001</v>
          </cell>
          <cell r="AK57">
            <v>1321.93109</v>
          </cell>
        </row>
        <row r="58">
          <cell r="B58">
            <v>1543.621744</v>
          </cell>
          <cell r="C58">
            <v>1552.9785099999999</v>
          </cell>
          <cell r="D58">
            <v>1561.240354</v>
          </cell>
          <cell r="E58">
            <v>1572.985336</v>
          </cell>
          <cell r="F58">
            <v>1590.660799</v>
          </cell>
          <cell r="G58">
            <v>1615.5796049999999</v>
          </cell>
          <cell r="H58">
            <v>1649.5843199999999</v>
          </cell>
          <cell r="I58">
            <v>1695.3742769999999</v>
          </cell>
          <cell r="J58">
            <v>1748.5280740000001</v>
          </cell>
          <cell r="K58">
            <v>1800.8185000000001</v>
          </cell>
          <cell r="L58">
            <v>1846.3170729999999</v>
          </cell>
          <cell r="M58">
            <v>1881.2980729999999</v>
          </cell>
          <cell r="N58">
            <v>1907.3060089999999</v>
          </cell>
          <cell r="O58">
            <v>1927.7684240000001</v>
          </cell>
          <cell r="P58">
            <v>1946.426749</v>
          </cell>
          <cell r="Q58">
            <v>1965.8228919999999</v>
          </cell>
          <cell r="R58">
            <v>1986.8405379999999</v>
          </cell>
          <cell r="S58">
            <v>2009.452702</v>
          </cell>
          <cell r="T58">
            <v>2033.309763</v>
          </cell>
          <cell r="U58">
            <v>2058.224181</v>
          </cell>
          <cell r="V58">
            <v>2083.4545090000001</v>
          </cell>
          <cell r="W58">
            <v>2110.7621650000001</v>
          </cell>
          <cell r="X58">
            <v>2140.3842639999998</v>
          </cell>
          <cell r="Y58">
            <v>2172.587665</v>
          </cell>
          <cell r="Z58">
            <v>2207.4716659999999</v>
          </cell>
          <cell r="AA58">
            <v>2241.7330780000002</v>
          </cell>
          <cell r="AB58">
            <v>2278.0644280000001</v>
          </cell>
          <cell r="AC58">
            <v>2314.7838029999998</v>
          </cell>
          <cell r="AD58">
            <v>2350.8693250000001</v>
          </cell>
          <cell r="AE58">
            <v>2385.953673</v>
          </cell>
          <cell r="AF58">
            <v>2420.1327110000002</v>
          </cell>
          <cell r="AG58">
            <v>2453.6801740000001</v>
          </cell>
          <cell r="AH58">
            <v>2486.9232999999999</v>
          </cell>
          <cell r="AI58">
            <v>2520.1218090000002</v>
          </cell>
          <cell r="AJ58">
            <v>2553.4123070000001</v>
          </cell>
          <cell r="AK58">
            <v>2586.8474879999999</v>
          </cell>
        </row>
        <row r="59">
          <cell r="B59">
            <v>1543.621744</v>
          </cell>
          <cell r="C59">
            <v>1552.9785099999999</v>
          </cell>
          <cell r="D59">
            <v>1561.240354</v>
          </cell>
          <cell r="E59">
            <v>1572.985336</v>
          </cell>
          <cell r="F59">
            <v>1590.660799</v>
          </cell>
          <cell r="G59">
            <v>1615.5796049999999</v>
          </cell>
          <cell r="H59">
            <v>1647.0010420000001</v>
          </cell>
          <cell r="I59">
            <v>1684.6178440000001</v>
          </cell>
          <cell r="J59">
            <v>1726.8024170000001</v>
          </cell>
          <cell r="K59">
            <v>1771.360868</v>
          </cell>
          <cell r="L59">
            <v>1817.1067880000001</v>
          </cell>
          <cell r="M59">
            <v>1860.726627</v>
          </cell>
          <cell r="N59">
            <v>1901.4420239999999</v>
          </cell>
          <cell r="O59">
            <v>1938.5862999999999</v>
          </cell>
          <cell r="P59">
            <v>1971.570813</v>
          </cell>
          <cell r="Q59">
            <v>2000.038642</v>
          </cell>
          <cell r="R59">
            <v>2024.2736600000001</v>
          </cell>
          <cell r="S59">
            <v>2045.11142</v>
          </cell>
          <cell r="T59">
            <v>2063.8059250000001</v>
          </cell>
          <cell r="U59">
            <v>2081.829076</v>
          </cell>
          <cell r="V59">
            <v>2099.7612049999998</v>
          </cell>
          <cell r="W59">
            <v>2119.8209689999999</v>
          </cell>
          <cell r="X59">
            <v>2142.5023190000002</v>
          </cell>
          <cell r="Y59">
            <v>2168.2464169999998</v>
          </cell>
          <cell r="Z59">
            <v>2197.351197</v>
          </cell>
          <cell r="AA59">
            <v>2226.8771630000001</v>
          </cell>
          <cell r="AB59">
            <v>2259.7328600000001</v>
          </cell>
          <cell r="AC59">
            <v>2294.5193279999999</v>
          </cell>
          <cell r="AD59">
            <v>2330.377242</v>
          </cell>
          <cell r="AE59">
            <v>2366.8989649999999</v>
          </cell>
          <cell r="AF59">
            <v>2403.9240690000001</v>
          </cell>
          <cell r="AG59">
            <v>2441.3556939999999</v>
          </cell>
          <cell r="AH59">
            <v>2479.040152</v>
          </cell>
          <cell r="AI59">
            <v>2516.7316019999998</v>
          </cell>
          <cell r="AJ59">
            <v>2554.1355349999999</v>
          </cell>
          <cell r="AK59">
            <v>2590.9090200000001</v>
          </cell>
        </row>
        <row r="60">
          <cell r="B60">
            <v>439.11497550000001</v>
          </cell>
          <cell r="C60">
            <v>441.77669989999998</v>
          </cell>
          <cell r="D60">
            <v>444.12695159999998</v>
          </cell>
          <cell r="E60">
            <v>447.46805330000001</v>
          </cell>
          <cell r="F60">
            <v>452.4962026</v>
          </cell>
          <cell r="G60">
            <v>459.58487009999999</v>
          </cell>
          <cell r="H60">
            <v>469.25821089999999</v>
          </cell>
          <cell r="I60">
            <v>482.28410680000002</v>
          </cell>
          <cell r="J60">
            <v>497.40479820000002</v>
          </cell>
          <cell r="K60">
            <v>512.27988619999996</v>
          </cell>
          <cell r="L60">
            <v>525.22289169999999</v>
          </cell>
          <cell r="M60">
            <v>535.17395720000002</v>
          </cell>
          <cell r="N60">
            <v>542.57244960000003</v>
          </cell>
          <cell r="O60">
            <v>548.39340489999995</v>
          </cell>
          <cell r="P60">
            <v>553.70114939999996</v>
          </cell>
          <cell r="Q60">
            <v>559.21878149999998</v>
          </cell>
          <cell r="R60">
            <v>565.19768350000004</v>
          </cell>
          <cell r="S60">
            <v>571.630179</v>
          </cell>
          <cell r="T60">
            <v>578.41681089999997</v>
          </cell>
          <cell r="U60">
            <v>585.50422990000004</v>
          </cell>
          <cell r="V60">
            <v>592.68151599999999</v>
          </cell>
          <cell r="W60">
            <v>600.44974060000004</v>
          </cell>
          <cell r="X60">
            <v>608.87635660000001</v>
          </cell>
          <cell r="Y60">
            <v>618.03727670000001</v>
          </cell>
          <cell r="Z60">
            <v>627.96074880000003</v>
          </cell>
          <cell r="AA60">
            <v>637.70711270000004</v>
          </cell>
          <cell r="AB60">
            <v>648.04231279999999</v>
          </cell>
          <cell r="AC60">
            <v>658.48789490000001</v>
          </cell>
          <cell r="AD60">
            <v>668.75316410000005</v>
          </cell>
          <cell r="AE60">
            <v>678.73362910000003</v>
          </cell>
          <cell r="AF60">
            <v>688.45655999999997</v>
          </cell>
          <cell r="AG60">
            <v>697.99982620000003</v>
          </cell>
          <cell r="AH60">
            <v>707.45651759999998</v>
          </cell>
          <cell r="AI60">
            <v>716.90051689999996</v>
          </cell>
          <cell r="AJ60">
            <v>726.37068399999998</v>
          </cell>
          <cell r="AK60">
            <v>735.88200959999995</v>
          </cell>
        </row>
        <row r="61">
          <cell r="B61">
            <v>439.11497550000001</v>
          </cell>
          <cell r="C61">
            <v>441.77669989999998</v>
          </cell>
          <cell r="D61">
            <v>444.12695159999998</v>
          </cell>
          <cell r="E61">
            <v>447.46805330000001</v>
          </cell>
          <cell r="F61">
            <v>452.4962026</v>
          </cell>
          <cell r="G61">
            <v>459.58487009999999</v>
          </cell>
          <cell r="H61">
            <v>468.52334430000002</v>
          </cell>
          <cell r="I61">
            <v>479.22421809999997</v>
          </cell>
          <cell r="J61">
            <v>491.22448780000002</v>
          </cell>
          <cell r="K61">
            <v>503.90005650000001</v>
          </cell>
          <cell r="L61">
            <v>516.91342480000003</v>
          </cell>
          <cell r="M61">
            <v>529.32198589999996</v>
          </cell>
          <cell r="N61">
            <v>540.90431850000004</v>
          </cell>
          <cell r="O61">
            <v>551.47077230000002</v>
          </cell>
          <cell r="P61">
            <v>560.85389599999996</v>
          </cell>
          <cell r="Q61">
            <v>568.95215570000005</v>
          </cell>
          <cell r="R61">
            <v>575.84630540000001</v>
          </cell>
          <cell r="S61">
            <v>581.77403519999996</v>
          </cell>
          <cell r="T61">
            <v>587.09207179999999</v>
          </cell>
          <cell r="U61">
            <v>592.2191282</v>
          </cell>
          <cell r="V61">
            <v>597.32029120000004</v>
          </cell>
          <cell r="W61">
            <v>603.02670409999996</v>
          </cell>
          <cell r="X61">
            <v>609.478881</v>
          </cell>
          <cell r="Y61">
            <v>616.80231949999995</v>
          </cell>
          <cell r="Z61">
            <v>625.08177309999996</v>
          </cell>
          <cell r="AA61">
            <v>633.48104179999996</v>
          </cell>
          <cell r="AB61">
            <v>642.82752119999998</v>
          </cell>
          <cell r="AC61">
            <v>652.72324779999997</v>
          </cell>
          <cell r="AD61">
            <v>662.92376960000001</v>
          </cell>
          <cell r="AE61">
            <v>673.31312509999998</v>
          </cell>
          <cell r="AF61">
            <v>683.84567809999999</v>
          </cell>
          <cell r="AG61">
            <v>694.49387409999997</v>
          </cell>
          <cell r="AH61">
            <v>705.21399389999999</v>
          </cell>
          <cell r="AI61">
            <v>715.93610260000003</v>
          </cell>
          <cell r="AJ61">
            <v>726.57642139999996</v>
          </cell>
          <cell r="AK61">
            <v>737.03739580000001</v>
          </cell>
        </row>
        <row r="62">
          <cell r="B62">
            <v>4447.9757689999997</v>
          </cell>
          <cell r="C62">
            <v>4474.9374690000004</v>
          </cell>
          <cell r="D62">
            <v>4498.7441319999998</v>
          </cell>
          <cell r="E62">
            <v>4532.5875219999998</v>
          </cell>
          <cell r="F62">
            <v>4583.5197099999996</v>
          </cell>
          <cell r="G62">
            <v>4655.3237310000004</v>
          </cell>
          <cell r="H62">
            <v>4753.30897</v>
          </cell>
          <cell r="I62">
            <v>4885.2536140000002</v>
          </cell>
          <cell r="J62">
            <v>5038.4173019999998</v>
          </cell>
          <cell r="K62">
            <v>5189.0931719999999</v>
          </cell>
          <cell r="L62">
            <v>5320.1981859999996</v>
          </cell>
          <cell r="M62">
            <v>5420.9966119999999</v>
          </cell>
          <cell r="N62">
            <v>5495.9389769999998</v>
          </cell>
          <cell r="O62">
            <v>5554.9018210000004</v>
          </cell>
          <cell r="P62">
            <v>5608.6661430000004</v>
          </cell>
          <cell r="Q62">
            <v>5664.5565029999998</v>
          </cell>
          <cell r="R62">
            <v>5725.1192549999996</v>
          </cell>
          <cell r="S62">
            <v>5790.2766410000004</v>
          </cell>
          <cell r="T62">
            <v>5859.021221</v>
          </cell>
          <cell r="U62">
            <v>5930.8125959999998</v>
          </cell>
          <cell r="V62">
            <v>6003.514271</v>
          </cell>
          <cell r="W62">
            <v>6082.2018070000004</v>
          </cell>
          <cell r="X62">
            <v>6167.5584570000001</v>
          </cell>
          <cell r="Y62">
            <v>6260.3531759999996</v>
          </cell>
          <cell r="Z62">
            <v>6360.8720970000004</v>
          </cell>
          <cell r="AA62">
            <v>6459.5970159999997</v>
          </cell>
          <cell r="AB62">
            <v>6564.2864980000004</v>
          </cell>
          <cell r="AC62">
            <v>6670.0940860000001</v>
          </cell>
          <cell r="AD62">
            <v>6774.07521</v>
          </cell>
          <cell r="AE62">
            <v>6875.1714350000002</v>
          </cell>
          <cell r="AF62">
            <v>6973.6589919999997</v>
          </cell>
          <cell r="AG62">
            <v>7070.3266519999997</v>
          </cell>
          <cell r="AH62">
            <v>7166.1173589999999</v>
          </cell>
          <cell r="AI62">
            <v>7261.7795020000003</v>
          </cell>
          <cell r="AJ62">
            <v>7357.7067120000002</v>
          </cell>
          <cell r="AK62">
            <v>7454.0508309999996</v>
          </cell>
        </row>
        <row r="63">
          <cell r="B63">
            <v>4447.9757689999997</v>
          </cell>
          <cell r="C63">
            <v>4474.9374690000004</v>
          </cell>
          <cell r="D63">
            <v>4498.7441319999998</v>
          </cell>
          <cell r="E63">
            <v>4532.5875219999998</v>
          </cell>
          <cell r="F63">
            <v>4583.5197099999996</v>
          </cell>
          <cell r="G63">
            <v>4655.3237310000004</v>
          </cell>
          <cell r="H63">
            <v>4745.8652050000001</v>
          </cell>
          <cell r="I63">
            <v>4854.2587460000004</v>
          </cell>
          <cell r="J63">
            <v>4975.814402</v>
          </cell>
          <cell r="K63">
            <v>5104.2104390000004</v>
          </cell>
          <cell r="L63">
            <v>5236.0281859999996</v>
          </cell>
          <cell r="M63">
            <v>5361.7195929999998</v>
          </cell>
          <cell r="N63">
            <v>5479.0417930000003</v>
          </cell>
          <cell r="O63">
            <v>5586.0737390000004</v>
          </cell>
          <cell r="P63">
            <v>5681.1192490000003</v>
          </cell>
          <cell r="Q63">
            <v>5763.1498449999999</v>
          </cell>
          <cell r="R63">
            <v>5832.9835160000002</v>
          </cell>
          <cell r="S63">
            <v>5893.0279229999996</v>
          </cell>
          <cell r="T63">
            <v>5946.8964980000001</v>
          </cell>
          <cell r="U63">
            <v>5998.8305570000002</v>
          </cell>
          <cell r="V63">
            <v>6050.5023289999999</v>
          </cell>
          <cell r="W63">
            <v>6108.3049270000001</v>
          </cell>
          <cell r="X63">
            <v>6173.6616739999999</v>
          </cell>
          <cell r="Y63">
            <v>6247.8437880000001</v>
          </cell>
          <cell r="Z63">
            <v>6331.7097709999998</v>
          </cell>
          <cell r="AA63">
            <v>6416.7894100000003</v>
          </cell>
          <cell r="AB63">
            <v>6511.4637350000003</v>
          </cell>
          <cell r="AC63">
            <v>6611.7016100000001</v>
          </cell>
          <cell r="AD63">
            <v>6715.0268809999998</v>
          </cell>
          <cell r="AE63">
            <v>6820.2649259999998</v>
          </cell>
          <cell r="AF63">
            <v>6926.953477</v>
          </cell>
          <cell r="AG63">
            <v>7034.8134239999999</v>
          </cell>
          <cell r="AH63">
            <v>7143.4019159999998</v>
          </cell>
          <cell r="AI63">
            <v>7252.0105549999998</v>
          </cell>
          <cell r="AJ63">
            <v>7359.7907100000002</v>
          </cell>
          <cell r="AK63">
            <v>7465.7542130000002</v>
          </cell>
        </row>
        <row r="64">
          <cell r="B64">
            <v>2812.1004539999999</v>
          </cell>
          <cell r="C64">
            <v>2838.0870599999998</v>
          </cell>
          <cell r="D64">
            <v>2865.0379360000002</v>
          </cell>
          <cell r="E64">
            <v>2897.5863680000002</v>
          </cell>
          <cell r="F64">
            <v>2937.9578769999998</v>
          </cell>
          <cell r="G64">
            <v>2987.2329249999998</v>
          </cell>
          <cell r="H64">
            <v>3047.0781419999998</v>
          </cell>
          <cell r="I64">
            <v>3121.703305</v>
          </cell>
          <cell r="J64">
            <v>3204.4014320000001</v>
          </cell>
          <cell r="K64">
            <v>3283.91381</v>
          </cell>
          <cell r="L64">
            <v>3354.0689950000001</v>
          </cell>
          <cell r="M64">
            <v>3409.1034749999999</v>
          </cell>
          <cell r="N64">
            <v>3452.0614679999999</v>
          </cell>
          <cell r="O64">
            <v>3488.299798</v>
          </cell>
          <cell r="P64">
            <v>3523.2880129999999</v>
          </cell>
          <cell r="Q64">
            <v>3560.4203229999998</v>
          </cell>
          <cell r="R64">
            <v>3600.3791759999999</v>
          </cell>
          <cell r="S64">
            <v>3642.657428</v>
          </cell>
          <cell r="T64">
            <v>3686.4222989999998</v>
          </cell>
          <cell r="U64">
            <v>3731.1877599999998</v>
          </cell>
          <cell r="V64">
            <v>3774.9705490000001</v>
          </cell>
          <cell r="W64">
            <v>3821.307585</v>
          </cell>
          <cell r="X64">
            <v>3870.4875619999998</v>
          </cell>
          <cell r="Y64">
            <v>3922.702331</v>
          </cell>
          <cell r="Z64">
            <v>3978.0453429999998</v>
          </cell>
          <cell r="AA64">
            <v>4029.683841</v>
          </cell>
          <cell r="AB64">
            <v>4083.670556</v>
          </cell>
          <cell r="AC64">
            <v>4138.1611039999998</v>
          </cell>
          <cell r="AD64">
            <v>4191.7893979999999</v>
          </cell>
          <cell r="AE64">
            <v>4244.1414809999997</v>
          </cell>
          <cell r="AF64">
            <v>4295.4257909999997</v>
          </cell>
          <cell r="AG64">
            <v>4345.9794629999997</v>
          </cell>
          <cell r="AH64">
            <v>4396.2002389999998</v>
          </cell>
          <cell r="AI64">
            <v>4446.4020769999997</v>
          </cell>
          <cell r="AJ64">
            <v>4496.7215249999999</v>
          </cell>
          <cell r="AK64">
            <v>4547.1763989999999</v>
          </cell>
        </row>
        <row r="65">
          <cell r="B65">
            <v>2812.1004539999999</v>
          </cell>
          <cell r="C65">
            <v>2838.0870599999998</v>
          </cell>
          <cell r="D65">
            <v>2865.0379360000002</v>
          </cell>
          <cell r="E65">
            <v>2897.5863680000002</v>
          </cell>
          <cell r="F65">
            <v>2937.9578769999998</v>
          </cell>
          <cell r="G65">
            <v>2987.2329249999998</v>
          </cell>
          <cell r="H65">
            <v>3043.1444139999999</v>
          </cell>
          <cell r="I65">
            <v>3105.4523800000002</v>
          </cell>
          <cell r="J65">
            <v>3172.1959019999999</v>
          </cell>
          <cell r="K65">
            <v>3240.7120070000001</v>
          </cell>
          <cell r="L65">
            <v>3311.1429979999998</v>
          </cell>
          <cell r="M65">
            <v>3377.8343789999999</v>
          </cell>
          <cell r="N65">
            <v>3440.439312</v>
          </cell>
          <cell r="O65">
            <v>3498.813611</v>
          </cell>
          <cell r="P65">
            <v>3552.4644050000002</v>
          </cell>
          <cell r="Q65">
            <v>3600.8582729999998</v>
          </cell>
          <cell r="R65">
            <v>3644.3547990000002</v>
          </cell>
          <cell r="S65">
            <v>3684.0272850000001</v>
          </cell>
          <cell r="T65">
            <v>3721.4636009999999</v>
          </cell>
          <cell r="U65">
            <v>3758.4928989999999</v>
          </cell>
          <cell r="V65">
            <v>3794.8613989999999</v>
          </cell>
          <cell r="W65">
            <v>3834.2575459999998</v>
          </cell>
          <cell r="X65">
            <v>3876.9563349999999</v>
          </cell>
          <cell r="Y65">
            <v>3923.1223190000001</v>
          </cell>
          <cell r="Z65">
            <v>3972.9403179999999</v>
          </cell>
          <cell r="AA65">
            <v>4019.9625110000002</v>
          </cell>
          <cell r="AB65">
            <v>4070.4850529999999</v>
          </cell>
          <cell r="AC65">
            <v>4123.0241770000002</v>
          </cell>
          <cell r="AD65">
            <v>4176.4567109999998</v>
          </cell>
          <cell r="AE65">
            <v>4230.3703880000003</v>
          </cell>
          <cell r="AF65">
            <v>4284.7099609999996</v>
          </cell>
          <cell r="AG65">
            <v>4339.485901</v>
          </cell>
          <cell r="AH65">
            <v>4394.5990840000004</v>
          </cell>
          <cell r="AI65">
            <v>4449.7952770000002</v>
          </cell>
          <cell r="AJ65">
            <v>4504.7303650000003</v>
          </cell>
          <cell r="AK65">
            <v>4558.8465020000003</v>
          </cell>
        </row>
        <row r="66">
          <cell r="B66">
            <v>54.467068869999999</v>
          </cell>
          <cell r="C66">
            <v>54.797224610000001</v>
          </cell>
          <cell r="D66">
            <v>55.088745799999998</v>
          </cell>
          <cell r="E66">
            <v>55.503170320000002</v>
          </cell>
          <cell r="F66">
            <v>56.126853349999998</v>
          </cell>
          <cell r="G66">
            <v>57.006119499999997</v>
          </cell>
          <cell r="H66">
            <v>58.205984119999997</v>
          </cell>
          <cell r="I66">
            <v>59.82169391</v>
          </cell>
          <cell r="J66">
            <v>61.697238560000002</v>
          </cell>
          <cell r="K66">
            <v>63.542318979999997</v>
          </cell>
          <cell r="L66">
            <v>65.147747199999998</v>
          </cell>
          <cell r="M66">
            <v>66.38206031</v>
          </cell>
          <cell r="N66">
            <v>67.299756630000005</v>
          </cell>
          <cell r="O66">
            <v>68.021777940000007</v>
          </cell>
          <cell r="P66">
            <v>68.680141460000002</v>
          </cell>
          <cell r="Q66">
            <v>69.364539100000002</v>
          </cell>
          <cell r="R66">
            <v>70.106151850000003</v>
          </cell>
          <cell r="S66">
            <v>70.904027569999997</v>
          </cell>
          <cell r="T66">
            <v>71.745829760000007</v>
          </cell>
          <cell r="U66">
            <v>72.624941059999998</v>
          </cell>
          <cell r="V66">
            <v>73.515199319999994</v>
          </cell>
          <cell r="W66">
            <v>74.478756590000003</v>
          </cell>
          <cell r="X66">
            <v>75.523979589999996</v>
          </cell>
          <cell r="Y66">
            <v>76.660284419999996</v>
          </cell>
          <cell r="Z66">
            <v>77.891174890000002</v>
          </cell>
          <cell r="AA66">
            <v>79.100097160000004</v>
          </cell>
          <cell r="AB66">
            <v>80.382057660000001</v>
          </cell>
          <cell r="AC66">
            <v>81.677709759999999</v>
          </cell>
          <cell r="AD66">
            <v>82.950996169999996</v>
          </cell>
          <cell r="AE66">
            <v>84.188955930000006</v>
          </cell>
          <cell r="AF66">
            <v>85.394971609999999</v>
          </cell>
          <cell r="AG66">
            <v>86.578702000000007</v>
          </cell>
          <cell r="AH66">
            <v>87.751693779999997</v>
          </cell>
          <cell r="AI66">
            <v>88.923111270000007</v>
          </cell>
          <cell r="AJ66">
            <v>90.097774569999999</v>
          </cell>
          <cell r="AK66">
            <v>91.277543089999995</v>
          </cell>
        </row>
        <row r="67">
          <cell r="B67">
            <v>54.467068869999999</v>
          </cell>
          <cell r="C67">
            <v>54.797224610000001</v>
          </cell>
          <cell r="D67">
            <v>55.088745799999998</v>
          </cell>
          <cell r="E67">
            <v>55.503170320000002</v>
          </cell>
          <cell r="F67">
            <v>56.126853349999998</v>
          </cell>
          <cell r="G67">
            <v>57.006119499999997</v>
          </cell>
          <cell r="H67">
            <v>58.114832530000001</v>
          </cell>
          <cell r="I67">
            <v>59.442150570000003</v>
          </cell>
          <cell r="J67">
            <v>60.930643459999999</v>
          </cell>
          <cell r="K67">
            <v>62.50289927</v>
          </cell>
          <cell r="L67">
            <v>64.117055160000007</v>
          </cell>
          <cell r="M67">
            <v>65.656191809999996</v>
          </cell>
          <cell r="N67">
            <v>67.092844499999998</v>
          </cell>
          <cell r="O67">
            <v>68.403489309999998</v>
          </cell>
          <cell r="P67">
            <v>69.567355890000002</v>
          </cell>
          <cell r="Q67">
            <v>70.571850150000003</v>
          </cell>
          <cell r="R67">
            <v>71.42698867</v>
          </cell>
          <cell r="S67">
            <v>72.162254099999998</v>
          </cell>
          <cell r="T67">
            <v>72.821894240000006</v>
          </cell>
          <cell r="U67">
            <v>73.457845539999994</v>
          </cell>
          <cell r="V67">
            <v>74.090585039999993</v>
          </cell>
          <cell r="W67">
            <v>74.798398719999994</v>
          </cell>
          <cell r="X67">
            <v>75.598715679999998</v>
          </cell>
          <cell r="Y67">
            <v>76.507102439999997</v>
          </cell>
          <cell r="Z67">
            <v>77.534071679999997</v>
          </cell>
          <cell r="AA67">
            <v>78.575902580000005</v>
          </cell>
          <cell r="AB67">
            <v>79.735223849999997</v>
          </cell>
          <cell r="AC67">
            <v>80.962672819999995</v>
          </cell>
          <cell r="AD67">
            <v>82.227928059999996</v>
          </cell>
          <cell r="AE67">
            <v>83.516605909999996</v>
          </cell>
          <cell r="AF67">
            <v>84.823045719999996</v>
          </cell>
          <cell r="AG67">
            <v>86.143829710000006</v>
          </cell>
          <cell r="AH67">
            <v>87.473534990000005</v>
          </cell>
          <cell r="AI67">
            <v>88.803486980000002</v>
          </cell>
          <cell r="AJ67">
            <v>90.123293880000006</v>
          </cell>
          <cell r="AK67">
            <v>91.420855220000007</v>
          </cell>
        </row>
      </sheetData>
      <sheetData sheetId="4">
        <row r="2">
          <cell r="B2">
            <v>8841531.8310000002</v>
          </cell>
          <cell r="C2">
            <v>8943711.9890000001</v>
          </cell>
          <cell r="D2">
            <v>9048139.1319999993</v>
          </cell>
          <cell r="E2">
            <v>9156345.7510000002</v>
          </cell>
          <cell r="F2">
            <v>9268951.4289999995</v>
          </cell>
          <cell r="G2">
            <v>9385810.2229999993</v>
          </cell>
          <cell r="H2">
            <v>9506700.4539999999</v>
          </cell>
          <cell r="I2">
            <v>9627794.716</v>
          </cell>
          <cell r="J2">
            <v>9746738.1349999998</v>
          </cell>
          <cell r="K2">
            <v>9863423.7620000001</v>
          </cell>
          <cell r="L2">
            <v>9979321.3550000004</v>
          </cell>
          <cell r="M2">
            <v>10097112.720000001</v>
          </cell>
          <cell r="N2">
            <v>10218657.77</v>
          </cell>
          <cell r="O2">
            <v>10344941.15</v>
          </cell>
          <cell r="P2">
            <v>10476137.25</v>
          </cell>
          <cell r="Q2">
            <v>10611905.42</v>
          </cell>
          <cell r="R2">
            <v>10751776.130000001</v>
          </cell>
          <cell r="S2">
            <v>10895453.85</v>
          </cell>
          <cell r="T2">
            <v>11042943.789999999</v>
          </cell>
          <cell r="U2">
            <v>11194511.34</v>
          </cell>
          <cell r="V2">
            <v>11350573.460000001</v>
          </cell>
          <cell r="W2">
            <v>11511157.99</v>
          </cell>
          <cell r="X2">
            <v>11676565.369999999</v>
          </cell>
          <cell r="Y2">
            <v>11846972.15</v>
          </cell>
          <cell r="Z2">
            <v>12022366.42</v>
          </cell>
          <cell r="AA2">
            <v>12202550.699999999</v>
          </cell>
          <cell r="AB2">
            <v>12386621.93</v>
          </cell>
          <cell r="AC2">
            <v>12574327.539999999</v>
          </cell>
          <cell r="AD2">
            <v>12765694.48</v>
          </cell>
          <cell r="AE2">
            <v>12960846.029999999</v>
          </cell>
          <cell r="AF2">
            <v>13159889.07</v>
          </cell>
          <cell r="AG2">
            <v>13362857.189999999</v>
          </cell>
          <cell r="AH2">
            <v>13569708.26</v>
          </cell>
          <cell r="AI2">
            <v>13780359.390000001</v>
          </cell>
          <cell r="AJ2">
            <v>13994732.720000001</v>
          </cell>
          <cell r="AK2">
            <v>14212788.789999999</v>
          </cell>
        </row>
        <row r="3">
          <cell r="B3">
            <v>8841531.8310000002</v>
          </cell>
          <cell r="C3">
            <v>8943711.9890000001</v>
          </cell>
          <cell r="D3">
            <v>9048139.1319999993</v>
          </cell>
          <cell r="E3">
            <v>9156345.7510000002</v>
          </cell>
          <cell r="F3">
            <v>9268951.4289999995</v>
          </cell>
          <cell r="G3">
            <v>9385810.2229999993</v>
          </cell>
          <cell r="H3">
            <v>9506493.659</v>
          </cell>
          <cell r="I3">
            <v>9630225.6089999992</v>
          </cell>
          <cell r="J3">
            <v>9756459.6600000001</v>
          </cell>
          <cell r="K3">
            <v>9885010.8870000001</v>
          </cell>
          <cell r="L3">
            <v>10015840.01</v>
          </cell>
          <cell r="M3">
            <v>10149688.98</v>
          </cell>
          <cell r="N3">
            <v>10286635.890000001</v>
          </cell>
          <cell r="O3">
            <v>10426552.640000001</v>
          </cell>
          <cell r="P3">
            <v>10569296.48</v>
          </cell>
          <cell r="Q3">
            <v>10714807.82</v>
          </cell>
          <cell r="R3">
            <v>10863152.98</v>
          </cell>
          <cell r="S3">
            <v>11014518.43</v>
          </cell>
          <cell r="T3">
            <v>11169171.119999999</v>
          </cell>
          <cell r="U3">
            <v>11327406.01</v>
          </cell>
          <cell r="V3">
            <v>11489511.880000001</v>
          </cell>
          <cell r="W3">
            <v>11655402.84</v>
          </cell>
          <cell r="X3">
            <v>11825349.25</v>
          </cell>
          <cell r="Y3">
            <v>11999617.380000001</v>
          </cell>
          <cell r="Z3">
            <v>12178383.85</v>
          </cell>
          <cell r="AA3">
            <v>12361650.289999999</v>
          </cell>
          <cell r="AB3">
            <v>12548721.880000001</v>
          </cell>
          <cell r="AC3">
            <v>12739492.140000001</v>
          </cell>
          <cell r="AD3">
            <v>12934052.289999999</v>
          </cell>
          <cell r="AE3">
            <v>13132517.49</v>
          </cell>
          <cell r="AF3">
            <v>13334940.75</v>
          </cell>
          <cell r="AG3">
            <v>13541286.51</v>
          </cell>
          <cell r="AH3">
            <v>13751451.050000001</v>
          </cell>
          <cell r="AI3">
            <v>13965307.5</v>
          </cell>
          <cell r="AJ3">
            <v>14182750.16</v>
          </cell>
          <cell r="AK3">
            <v>14403719.560000001</v>
          </cell>
        </row>
        <row r="4">
          <cell r="B4">
            <v>181362.3504</v>
          </cell>
          <cell r="C4">
            <v>183345.15979999999</v>
          </cell>
          <cell r="D4">
            <v>185203.9479</v>
          </cell>
          <cell r="E4">
            <v>186958.94680000001</v>
          </cell>
          <cell r="F4">
            <v>188642.90289999999</v>
          </cell>
          <cell r="G4">
            <v>190286.5895</v>
          </cell>
          <cell r="H4">
            <v>191944.06719999999</v>
          </cell>
          <cell r="I4">
            <v>193566.82709999999</v>
          </cell>
          <cell r="J4">
            <v>195092.63759999999</v>
          </cell>
          <cell r="K4">
            <v>196491.81159999999</v>
          </cell>
          <cell r="L4">
            <v>197769.8633</v>
          </cell>
          <cell r="M4">
            <v>198937.05929999999</v>
          </cell>
          <cell r="N4">
            <v>200006.78109999999</v>
          </cell>
          <cell r="O4">
            <v>200990.04</v>
          </cell>
          <cell r="P4">
            <v>201894.59890000001</v>
          </cell>
          <cell r="Q4">
            <v>202727.11350000001</v>
          </cell>
          <cell r="R4">
            <v>203495.783</v>
          </cell>
          <cell r="S4">
            <v>204211.7224</v>
          </cell>
          <cell r="T4">
            <v>204888.56159999999</v>
          </cell>
          <cell r="U4">
            <v>205540.7482</v>
          </cell>
          <cell r="V4">
            <v>206176.02220000001</v>
          </cell>
          <cell r="W4">
            <v>206805.5116</v>
          </cell>
          <cell r="X4">
            <v>207436.96520000001</v>
          </cell>
          <cell r="Y4">
            <v>208074.12640000001</v>
          </cell>
          <cell r="Z4">
            <v>208717.18719999999</v>
          </cell>
          <cell r="AA4">
            <v>209348.71729999999</v>
          </cell>
          <cell r="AB4">
            <v>209961.89110000001</v>
          </cell>
          <cell r="AC4">
            <v>210552.88269999999</v>
          </cell>
          <cell r="AD4">
            <v>211120.2561</v>
          </cell>
          <cell r="AE4">
            <v>211664.01569999999</v>
          </cell>
          <cell r="AF4">
            <v>212184.72349999999</v>
          </cell>
          <cell r="AG4">
            <v>212682.9909</v>
          </cell>
          <cell r="AH4">
            <v>213159.3855</v>
          </cell>
          <cell r="AI4">
            <v>213614.5999</v>
          </cell>
          <cell r="AJ4">
            <v>214049.66990000001</v>
          </cell>
          <cell r="AK4">
            <v>214466.0779</v>
          </cell>
        </row>
        <row r="5">
          <cell r="B5">
            <v>181362.3504</v>
          </cell>
          <cell r="C5">
            <v>183345.15979999999</v>
          </cell>
          <cell r="D5">
            <v>185203.9479</v>
          </cell>
          <cell r="E5">
            <v>186958.94680000001</v>
          </cell>
          <cell r="F5">
            <v>188642.90289999999</v>
          </cell>
          <cell r="G5">
            <v>190286.5895</v>
          </cell>
          <cell r="H5">
            <v>191909.07250000001</v>
          </cell>
          <cell r="I5">
            <v>193520.7634</v>
          </cell>
          <cell r="J5">
            <v>195125.8101</v>
          </cell>
          <cell r="K5">
            <v>196723.61439999999</v>
          </cell>
          <cell r="L5">
            <v>198318.02309999999</v>
          </cell>
          <cell r="M5">
            <v>199899.69579999999</v>
          </cell>
          <cell r="N5">
            <v>201454.96369999999</v>
          </cell>
          <cell r="O5">
            <v>202968.6476</v>
          </cell>
          <cell r="P5">
            <v>204426.78880000001</v>
          </cell>
          <cell r="Q5">
            <v>205818.67370000001</v>
          </cell>
          <cell r="R5">
            <v>207137.80470000001</v>
          </cell>
          <cell r="S5">
            <v>208381.86199999999</v>
          </cell>
          <cell r="T5">
            <v>209551.9712</v>
          </cell>
          <cell r="U5">
            <v>210651.6692</v>
          </cell>
          <cell r="V5">
            <v>211679.99230000001</v>
          </cell>
          <cell r="W5">
            <v>212643.89009999999</v>
          </cell>
          <cell r="X5">
            <v>213550.95069999999</v>
          </cell>
          <cell r="Y5">
            <v>214408.37400000001</v>
          </cell>
          <cell r="Z5">
            <v>215222.42929999999</v>
          </cell>
          <cell r="AA5">
            <v>215982.18849999999</v>
          </cell>
          <cell r="AB5">
            <v>216688.54990000001</v>
          </cell>
          <cell r="AC5">
            <v>217344.81020000001</v>
          </cell>
          <cell r="AD5">
            <v>217955.49590000001</v>
          </cell>
          <cell r="AE5">
            <v>218525.23629999999</v>
          </cell>
          <cell r="AF5">
            <v>219057.97779999999</v>
          </cell>
          <cell r="AG5">
            <v>219556.7164</v>
          </cell>
          <cell r="AH5">
            <v>220023.6588</v>
          </cell>
          <cell r="AI5">
            <v>220460.59160000001</v>
          </cell>
          <cell r="AJ5">
            <v>220869.231</v>
          </cell>
          <cell r="AK5">
            <v>221251.40789999999</v>
          </cell>
        </row>
        <row r="6">
          <cell r="B6">
            <v>14497.343419999999</v>
          </cell>
          <cell r="C6">
            <v>14644.828079999999</v>
          </cell>
          <cell r="D6">
            <v>14770.84374</v>
          </cell>
          <cell r="E6">
            <v>14877.63631</v>
          </cell>
          <cell r="F6">
            <v>14968.32698</v>
          </cell>
          <cell r="G6">
            <v>15045.82935</v>
          </cell>
          <cell r="H6">
            <v>15121.67771</v>
          </cell>
          <cell r="I6">
            <v>15191.03357</v>
          </cell>
          <cell r="J6">
            <v>15250.8812</v>
          </cell>
          <cell r="K6">
            <v>15301.84137</v>
          </cell>
          <cell r="L6">
            <v>15347.46883</v>
          </cell>
          <cell r="M6">
            <v>15389.47414</v>
          </cell>
          <cell r="N6">
            <v>15429.843489999999</v>
          </cell>
          <cell r="O6">
            <v>15470.230079999999</v>
          </cell>
          <cell r="P6">
            <v>15511.65704</v>
          </cell>
          <cell r="Q6">
            <v>15554.62918</v>
          </cell>
          <cell r="R6">
            <v>15599.39428</v>
          </cell>
          <cell r="S6">
            <v>15646.18347</v>
          </cell>
          <cell r="T6">
            <v>15695.3382</v>
          </cell>
          <cell r="U6">
            <v>15747.3316</v>
          </cell>
          <cell r="V6">
            <v>15801.845590000001</v>
          </cell>
          <cell r="W6">
            <v>15860.065199999999</v>
          </cell>
          <cell r="X6">
            <v>15922.754139999999</v>
          </cell>
          <cell r="Y6">
            <v>15990.305319999999</v>
          </cell>
          <cell r="Z6">
            <v>16062.918110000001</v>
          </cell>
          <cell r="AA6">
            <v>16138.13787</v>
          </cell>
          <cell r="AB6">
            <v>16216.87953</v>
          </cell>
          <cell r="AC6">
            <v>16299.78608</v>
          </cell>
          <cell r="AD6">
            <v>16387.142260000001</v>
          </cell>
          <cell r="AE6">
            <v>16479.102599999998</v>
          </cell>
          <cell r="AF6">
            <v>16575.773069999999</v>
          </cell>
          <cell r="AG6">
            <v>16677.21558</v>
          </cell>
          <cell r="AH6">
            <v>16783.447469999999</v>
          </cell>
          <cell r="AI6">
            <v>16894.456399999999</v>
          </cell>
          <cell r="AJ6">
            <v>17010.223979999999</v>
          </cell>
          <cell r="AK6">
            <v>17130.746749999998</v>
          </cell>
        </row>
        <row r="7">
          <cell r="B7">
            <v>14497.343419999999</v>
          </cell>
          <cell r="C7">
            <v>14644.828079999999</v>
          </cell>
          <cell r="D7">
            <v>14770.84374</v>
          </cell>
          <cell r="E7">
            <v>14877.63631</v>
          </cell>
          <cell r="F7">
            <v>14968.32698</v>
          </cell>
          <cell r="G7">
            <v>15045.82935</v>
          </cell>
          <cell r="H7">
            <v>15111.879559999999</v>
          </cell>
          <cell r="I7">
            <v>15168.521769999999</v>
          </cell>
          <cell r="J7">
            <v>15217.771210000001</v>
          </cell>
          <cell r="K7">
            <v>15261.44009</v>
          </cell>
          <cell r="L7">
            <v>15302.319</v>
          </cell>
          <cell r="M7">
            <v>15340.75362</v>
          </cell>
          <cell r="N7">
            <v>15377.35001</v>
          </cell>
          <cell r="O7">
            <v>15412.76815</v>
          </cell>
          <cell r="P7">
            <v>15447.542880000001</v>
          </cell>
          <cell r="Q7">
            <v>15482.09885</v>
          </cell>
          <cell r="R7">
            <v>15516.82279</v>
          </cell>
          <cell r="S7">
            <v>15552.115599999999</v>
          </cell>
          <cell r="T7">
            <v>15588.410029999999</v>
          </cell>
          <cell r="U7">
            <v>15626.16402</v>
          </cell>
          <cell r="V7">
            <v>15664.99186</v>
          </cell>
          <cell r="W7">
            <v>15705.98149</v>
          </cell>
          <cell r="X7">
            <v>15749.867560000001</v>
          </cell>
          <cell r="Y7">
            <v>15797.11723</v>
          </cell>
          <cell r="Z7">
            <v>15848.098249999999</v>
          </cell>
          <cell r="AA7">
            <v>15900.672420000001</v>
          </cell>
          <cell r="AB7">
            <v>15955.97179</v>
          </cell>
          <cell r="AC7">
            <v>16014.84411</v>
          </cell>
          <cell r="AD7">
            <v>16077.753779999999</v>
          </cell>
          <cell r="AE7">
            <v>16144.993130000001</v>
          </cell>
          <cell r="AF7">
            <v>16216.765020000001</v>
          </cell>
          <cell r="AG7">
            <v>16293.20059</v>
          </cell>
          <cell r="AH7">
            <v>16374.370699999999</v>
          </cell>
          <cell r="AI7">
            <v>16460.30659</v>
          </cell>
          <cell r="AJ7">
            <v>16551.024160000001</v>
          </cell>
          <cell r="AK7">
            <v>16646.539720000001</v>
          </cell>
        </row>
        <row r="8">
          <cell r="B8">
            <v>75635.827739999993</v>
          </cell>
          <cell r="C8">
            <v>76494.193950000001</v>
          </cell>
          <cell r="D8">
            <v>77333.004860000001</v>
          </cell>
          <cell r="E8">
            <v>78153.922279999999</v>
          </cell>
          <cell r="F8">
            <v>78958.787100000001</v>
          </cell>
          <cell r="G8">
            <v>79746.668749999997</v>
          </cell>
          <cell r="H8">
            <v>80516.21011</v>
          </cell>
          <cell r="I8">
            <v>81207.6204</v>
          </cell>
          <cell r="J8">
            <v>81787.918040000004</v>
          </cell>
          <cell r="K8">
            <v>82253.892070000002</v>
          </cell>
          <cell r="L8">
            <v>82626.309949999995</v>
          </cell>
          <cell r="M8">
            <v>82925.995670000004</v>
          </cell>
          <cell r="N8">
            <v>83170.414929999999</v>
          </cell>
          <cell r="O8">
            <v>83370.565789999993</v>
          </cell>
          <cell r="P8">
            <v>83531.818339999998</v>
          </cell>
          <cell r="Q8">
            <v>83656.848459999994</v>
          </cell>
          <cell r="R8">
            <v>83748.601519999997</v>
          </cell>
          <cell r="S8">
            <v>83811.947350000002</v>
          </cell>
          <cell r="T8">
            <v>83853.727840000007</v>
          </cell>
          <cell r="U8">
            <v>83881.675019999995</v>
          </cell>
          <cell r="V8">
            <v>83899.972200000004</v>
          </cell>
          <cell r="W8">
            <v>83914.674410000007</v>
          </cell>
          <cell r="X8">
            <v>83930.105439999999</v>
          </cell>
          <cell r="Y8">
            <v>83948.381930000003</v>
          </cell>
          <cell r="Z8">
            <v>83969.746740000002</v>
          </cell>
          <cell r="AA8">
            <v>83985.076629999996</v>
          </cell>
          <cell r="AB8">
            <v>83991.427989999996</v>
          </cell>
          <cell r="AC8">
            <v>83988.360190000007</v>
          </cell>
          <cell r="AD8">
            <v>83977.034880000007</v>
          </cell>
          <cell r="AE8">
            <v>83959.271139999997</v>
          </cell>
          <cell r="AF8">
            <v>83936.844200000007</v>
          </cell>
          <cell r="AG8">
            <v>83911.161479999995</v>
          </cell>
          <cell r="AH8">
            <v>83883.272469999996</v>
          </cell>
          <cell r="AI8">
            <v>83854.061900000001</v>
          </cell>
          <cell r="AJ8">
            <v>83824.457150000002</v>
          </cell>
          <cell r="AK8">
            <v>83795.533859999996</v>
          </cell>
        </row>
        <row r="9">
          <cell r="B9">
            <v>75635.827739999993</v>
          </cell>
          <cell r="C9">
            <v>76494.193950000001</v>
          </cell>
          <cell r="D9">
            <v>77333.004860000001</v>
          </cell>
          <cell r="E9">
            <v>78153.922279999999</v>
          </cell>
          <cell r="F9">
            <v>78958.787100000001</v>
          </cell>
          <cell r="G9">
            <v>79746.668749999997</v>
          </cell>
          <cell r="H9">
            <v>80511.757270000002</v>
          </cell>
          <cell r="I9">
            <v>81247.460000000006</v>
          </cell>
          <cell r="J9">
            <v>81948.888210000005</v>
          </cell>
          <cell r="K9">
            <v>82613.460930000001</v>
          </cell>
          <cell r="L9">
            <v>83245.201579999994</v>
          </cell>
          <cell r="M9">
            <v>83842.800480000005</v>
          </cell>
          <cell r="N9">
            <v>84403.56594</v>
          </cell>
          <cell r="O9">
            <v>84924.537200000006</v>
          </cell>
          <cell r="P9">
            <v>85403.653770000004</v>
          </cell>
          <cell r="Q9">
            <v>85840.531510000001</v>
          </cell>
          <cell r="R9">
            <v>86236.643490000002</v>
          </cell>
          <cell r="S9">
            <v>86594.976599999995</v>
          </cell>
          <cell r="T9">
            <v>86919.39834</v>
          </cell>
          <cell r="U9">
            <v>87213.995800000004</v>
          </cell>
          <cell r="V9">
            <v>87479.21269</v>
          </cell>
          <cell r="W9">
            <v>87719.127800000002</v>
          </cell>
          <cell r="X9">
            <v>87937.730169999995</v>
          </cell>
          <cell r="Y9">
            <v>88138.325719999993</v>
          </cell>
          <cell r="Z9">
            <v>88323.373699999996</v>
          </cell>
          <cell r="AA9">
            <v>88485.511689999999</v>
          </cell>
          <cell r="AB9">
            <v>88624.20925</v>
          </cell>
          <cell r="AC9">
            <v>88741.073220000006</v>
          </cell>
          <cell r="AD9">
            <v>88838.739700000006</v>
          </cell>
          <cell r="AE9">
            <v>88919.94932</v>
          </cell>
          <cell r="AF9">
            <v>88987.005489999996</v>
          </cell>
          <cell r="AG9">
            <v>89041.652709999995</v>
          </cell>
          <cell r="AH9">
            <v>89085.251539999997</v>
          </cell>
          <cell r="AI9">
            <v>89119.061400000006</v>
          </cell>
          <cell r="AJ9">
            <v>89144.464720000004</v>
          </cell>
          <cell r="AK9">
            <v>89163.042000000001</v>
          </cell>
        </row>
        <row r="10">
          <cell r="B10">
            <v>124585.4045</v>
          </cell>
          <cell r="C10">
            <v>126014.78810000001</v>
          </cell>
          <cell r="D10">
            <v>127471.8462</v>
          </cell>
          <cell r="E10">
            <v>128983.3903</v>
          </cell>
          <cell r="F10">
            <v>130556.9394</v>
          </cell>
          <cell r="G10">
            <v>132188.2856</v>
          </cell>
          <cell r="H10">
            <v>133860.424</v>
          </cell>
          <cell r="I10">
            <v>135525.49890000001</v>
          </cell>
          <cell r="J10">
            <v>137147.7776</v>
          </cell>
          <cell r="K10">
            <v>138721.31940000001</v>
          </cell>
          <cell r="L10">
            <v>140281.1936</v>
          </cell>
          <cell r="M10">
            <v>141848.35089999999</v>
          </cell>
          <cell r="N10">
            <v>143445.4253</v>
          </cell>
          <cell r="O10">
            <v>145086.75399999999</v>
          </cell>
          <cell r="P10">
            <v>146776.14350000001</v>
          </cell>
          <cell r="Q10">
            <v>148509.9852</v>
          </cell>
          <cell r="R10">
            <v>150282.26730000001</v>
          </cell>
          <cell r="S10">
            <v>152088.78210000001</v>
          </cell>
          <cell r="T10">
            <v>153929.1286</v>
          </cell>
          <cell r="U10">
            <v>155806.45680000001</v>
          </cell>
          <cell r="V10">
            <v>157714.57060000001</v>
          </cell>
          <cell r="W10">
            <v>159665.0625</v>
          </cell>
          <cell r="X10">
            <v>161664.9039</v>
          </cell>
          <cell r="Y10">
            <v>163717.2059</v>
          </cell>
          <cell r="Z10">
            <v>165822.0496</v>
          </cell>
          <cell r="AA10">
            <v>167944.8481</v>
          </cell>
          <cell r="AB10">
            <v>170088.01360000001</v>
          </cell>
          <cell r="AC10">
            <v>172254.2855</v>
          </cell>
          <cell r="AD10">
            <v>174446.9908</v>
          </cell>
          <cell r="AE10">
            <v>176669.61720000001</v>
          </cell>
          <cell r="AF10">
            <v>178924.97469999999</v>
          </cell>
          <cell r="AG10">
            <v>181214.6483</v>
          </cell>
          <cell r="AH10">
            <v>183538.9927</v>
          </cell>
          <cell r="AI10">
            <v>185897.5724</v>
          </cell>
          <cell r="AJ10">
            <v>188289.76730000001</v>
          </cell>
          <cell r="AK10">
            <v>190715.25949999999</v>
          </cell>
        </row>
        <row r="11">
          <cell r="B11">
            <v>124585.4045</v>
          </cell>
          <cell r="C11">
            <v>126014.78810000001</v>
          </cell>
          <cell r="D11">
            <v>127471.8462</v>
          </cell>
          <cell r="E11">
            <v>128983.3903</v>
          </cell>
          <cell r="F11">
            <v>130556.9394</v>
          </cell>
          <cell r="G11">
            <v>132188.2856</v>
          </cell>
          <cell r="H11">
            <v>133860.46739999999</v>
          </cell>
          <cell r="I11">
            <v>135561.80100000001</v>
          </cell>
          <cell r="J11">
            <v>137286.10380000001</v>
          </cell>
          <cell r="K11">
            <v>139032.11470000001</v>
          </cell>
          <cell r="L11">
            <v>140817.2879</v>
          </cell>
          <cell r="M11">
            <v>142635.60819999999</v>
          </cell>
          <cell r="N11">
            <v>144484.10990000001</v>
          </cell>
          <cell r="O11">
            <v>146360.03109999999</v>
          </cell>
          <cell r="P11">
            <v>148260.56219999999</v>
          </cell>
          <cell r="Q11">
            <v>150183.64139999999</v>
          </cell>
          <cell r="R11">
            <v>152128.61989999999</v>
          </cell>
          <cell r="S11">
            <v>154096.37789999999</v>
          </cell>
          <cell r="T11">
            <v>156088.94450000001</v>
          </cell>
          <cell r="U11">
            <v>158108.88639999999</v>
          </cell>
          <cell r="V11">
            <v>160147.13920000001</v>
          </cell>
          <cell r="W11">
            <v>162212.81390000001</v>
          </cell>
          <cell r="X11">
            <v>164311.50339999999</v>
          </cell>
          <cell r="Y11">
            <v>166446.6367</v>
          </cell>
          <cell r="Z11">
            <v>168620.17120000001</v>
          </cell>
          <cell r="AA11">
            <v>170799.51430000001</v>
          </cell>
          <cell r="AB11">
            <v>172990.04810000001</v>
          </cell>
          <cell r="AC11">
            <v>175197.00539999999</v>
          </cell>
          <cell r="AD11">
            <v>177425.3726</v>
          </cell>
          <cell r="AE11">
            <v>179679.48879999999</v>
          </cell>
          <cell r="AF11">
            <v>181962.47870000001</v>
          </cell>
          <cell r="AG11">
            <v>184276.0466</v>
          </cell>
          <cell r="AH11">
            <v>186620.73430000001</v>
          </cell>
          <cell r="AI11">
            <v>188996.47279999999</v>
          </cell>
          <cell r="AJ11">
            <v>191403.15599999999</v>
          </cell>
          <cell r="AK11">
            <v>193841.0092</v>
          </cell>
        </row>
        <row r="13">
          <cell r="B13">
            <v>17704.603169999998</v>
          </cell>
          <cell r="C13">
            <v>17940.347689999999</v>
          </cell>
          <cell r="D13">
            <v>18223.67511</v>
          </cell>
          <cell r="E13">
            <v>18548.01628</v>
          </cell>
          <cell r="F13">
            <v>18899.77189</v>
          </cell>
          <cell r="G13">
            <v>19267.106960000001</v>
          </cell>
          <cell r="H13">
            <v>19631.287649999998</v>
          </cell>
          <cell r="I13">
            <v>19989.067220000001</v>
          </cell>
          <cell r="J13">
            <v>20341.822069999998</v>
          </cell>
          <cell r="K13">
            <v>20691.494060000001</v>
          </cell>
          <cell r="L13">
            <v>21055.527269999999</v>
          </cell>
          <cell r="M13">
            <v>21417.893660000002</v>
          </cell>
          <cell r="N13">
            <v>21775.982889999999</v>
          </cell>
          <cell r="O13">
            <v>22131.682789999999</v>
          </cell>
          <cell r="P13">
            <v>22486.793399999999</v>
          </cell>
          <cell r="Q13">
            <v>22842.48948</v>
          </cell>
          <cell r="R13">
            <v>23199.72249</v>
          </cell>
          <cell r="S13">
            <v>23559.518039999999</v>
          </cell>
          <cell r="T13">
            <v>23923.018980000001</v>
          </cell>
          <cell r="U13">
            <v>24291.37313</v>
          </cell>
          <cell r="V13">
            <v>24654.3704</v>
          </cell>
          <cell r="W13">
            <v>25024.908650000001</v>
          </cell>
          <cell r="X13">
            <v>25406.60685</v>
          </cell>
          <cell r="Y13">
            <v>25798.959190000001</v>
          </cell>
          <cell r="Z13">
            <v>26200.844089999999</v>
          </cell>
          <cell r="AA13">
            <v>26578.368200000001</v>
          </cell>
          <cell r="AB13">
            <v>26953.458299999998</v>
          </cell>
          <cell r="AC13">
            <v>27335.618859999999</v>
          </cell>
          <cell r="AD13">
            <v>27726.82545</v>
          </cell>
          <cell r="AE13">
            <v>28126.956900000001</v>
          </cell>
          <cell r="AF13">
            <v>28535.506839999998</v>
          </cell>
          <cell r="AG13">
            <v>28951.890490000002</v>
          </cell>
          <cell r="AH13">
            <v>29375.48746</v>
          </cell>
          <cell r="AI13">
            <v>29805.719649999999</v>
          </cell>
          <cell r="AJ13">
            <v>30242.157220000001</v>
          </cell>
          <cell r="AK13">
            <v>30684.584620000001</v>
          </cell>
        </row>
        <row r="14">
          <cell r="B14">
            <v>21939.480589999999</v>
          </cell>
          <cell r="C14">
            <v>22192.0648</v>
          </cell>
          <cell r="D14">
            <v>22449.40438</v>
          </cell>
          <cell r="E14">
            <v>22717.258150000001</v>
          </cell>
          <cell r="F14">
            <v>22998.889950000001</v>
          </cell>
          <cell r="G14">
            <v>23294.93807</v>
          </cell>
          <cell r="H14">
            <v>23605.78918</v>
          </cell>
          <cell r="I14">
            <v>23921.38481</v>
          </cell>
          <cell r="J14">
            <v>24234.403279999999</v>
          </cell>
          <cell r="K14">
            <v>24543.456559999999</v>
          </cell>
          <cell r="L14">
            <v>24851.28284</v>
          </cell>
          <cell r="M14">
            <v>25165.639729999999</v>
          </cell>
          <cell r="N14">
            <v>25491.630430000001</v>
          </cell>
          <cell r="O14">
            <v>25831.80372</v>
          </cell>
          <cell r="P14">
            <v>26186.480090000001</v>
          </cell>
          <cell r="Q14">
            <v>26554.535609999999</v>
          </cell>
          <cell r="R14">
            <v>26934.432850000001</v>
          </cell>
          <cell r="S14">
            <v>27325.068950000001</v>
          </cell>
          <cell r="T14">
            <v>27726.170620000001</v>
          </cell>
          <cell r="U14">
            <v>28138.22651</v>
          </cell>
          <cell r="V14">
            <v>28562.55975</v>
          </cell>
          <cell r="W14">
            <v>28998.60543</v>
          </cell>
          <cell r="X14">
            <v>29447.038410000001</v>
          </cell>
          <cell r="Y14">
            <v>29908.413540000001</v>
          </cell>
          <cell r="Z14">
            <v>30382.770059999999</v>
          </cell>
          <cell r="AA14">
            <v>30870.562119999999</v>
          </cell>
          <cell r="AB14">
            <v>31368.132389999999</v>
          </cell>
          <cell r="AC14">
            <v>31874.231650000002</v>
          </cell>
          <cell r="AD14">
            <v>32388.782800000001</v>
          </cell>
          <cell r="AE14">
            <v>32912.101560000003</v>
          </cell>
          <cell r="AF14">
            <v>33444.488819999999</v>
          </cell>
          <cell r="AG14">
            <v>33986.043519999999</v>
          </cell>
          <cell r="AH14">
            <v>34536.642800000001</v>
          </cell>
          <cell r="AI14">
            <v>35096.031669999997</v>
          </cell>
          <cell r="AJ14">
            <v>35663.94932</v>
          </cell>
          <cell r="AK14">
            <v>36240.227299999999</v>
          </cell>
        </row>
        <row r="15">
          <cell r="B15">
            <v>21939.480589999999</v>
          </cell>
          <cell r="C15">
            <v>22192.0648</v>
          </cell>
          <cell r="D15">
            <v>22449.40438</v>
          </cell>
          <cell r="E15">
            <v>22717.258150000001</v>
          </cell>
          <cell r="F15">
            <v>22998.889950000001</v>
          </cell>
          <cell r="G15">
            <v>23294.93807</v>
          </cell>
          <cell r="H15">
            <v>23605.082310000002</v>
          </cell>
          <cell r="I15">
            <v>23927.153419999999</v>
          </cell>
          <cell r="J15">
            <v>24259.294620000001</v>
          </cell>
          <cell r="K15">
            <v>24600.610980000001</v>
          </cell>
          <cell r="L15">
            <v>24950.15078</v>
          </cell>
          <cell r="M15">
            <v>25310.462299999999</v>
          </cell>
          <cell r="N15">
            <v>25681.6734</v>
          </cell>
          <cell r="O15">
            <v>26063.070350000002</v>
          </cell>
          <cell r="P15">
            <v>26453.869050000001</v>
          </cell>
          <cell r="Q15">
            <v>26853.537240000001</v>
          </cell>
          <cell r="R15">
            <v>27261.914199999999</v>
          </cell>
          <cell r="S15">
            <v>27679.19486</v>
          </cell>
          <cell r="T15">
            <v>28105.822609999999</v>
          </cell>
          <cell r="U15">
            <v>28542.345840000002</v>
          </cell>
          <cell r="V15">
            <v>28989.66879</v>
          </cell>
          <cell r="W15">
            <v>29446.80618</v>
          </cell>
          <cell r="X15">
            <v>29914.22466</v>
          </cell>
          <cell r="Y15">
            <v>30392.598999999998</v>
          </cell>
          <cell r="Z15">
            <v>30882.377560000001</v>
          </cell>
          <cell r="AA15">
            <v>31384.4751</v>
          </cell>
          <cell r="AB15">
            <v>31895.752670000002</v>
          </cell>
          <cell r="AC15">
            <v>32415.353500000001</v>
          </cell>
          <cell r="AD15">
            <v>32943.39387</v>
          </cell>
          <cell r="AE15">
            <v>33480.196210000002</v>
          </cell>
          <cell r="AF15">
            <v>34025.946060000002</v>
          </cell>
          <cell r="AG15">
            <v>34580.5841</v>
          </cell>
          <cell r="AH15">
            <v>35143.848610000001</v>
          </cell>
          <cell r="AI15">
            <v>35715.394460000003</v>
          </cell>
          <cell r="AJ15">
            <v>36294.916879999997</v>
          </cell>
          <cell r="AK15">
            <v>36882.227919999998</v>
          </cell>
        </row>
        <row r="16">
          <cell r="B16">
            <v>93588.710269999996</v>
          </cell>
          <cell r="C16">
            <v>94615.004149999993</v>
          </cell>
          <cell r="D16">
            <v>95606.934810000006</v>
          </cell>
          <cell r="E16">
            <v>96595.231119999997</v>
          </cell>
          <cell r="F16">
            <v>97602.392290000003</v>
          </cell>
          <cell r="G16">
            <v>98641.726450000002</v>
          </cell>
          <cell r="H16">
            <v>99718.755160000001</v>
          </cell>
          <cell r="I16">
            <v>100801.96060000001</v>
          </cell>
          <cell r="J16">
            <v>101866.77220000001</v>
          </cell>
          <cell r="K16">
            <v>102906.62549999999</v>
          </cell>
          <cell r="L16">
            <v>103945.0944</v>
          </cell>
          <cell r="M16">
            <v>104994.1728</v>
          </cell>
          <cell r="N16">
            <v>106071.5509</v>
          </cell>
          <cell r="O16">
            <v>107191.7699</v>
          </cell>
          <cell r="P16">
            <v>108361.7843</v>
          </cell>
          <cell r="Q16">
            <v>109581.8394</v>
          </cell>
          <cell r="R16">
            <v>110848.82709999999</v>
          </cell>
          <cell r="S16">
            <v>112159.7444</v>
          </cell>
          <cell r="T16">
            <v>113513.8282</v>
          </cell>
          <cell r="U16">
            <v>114912.97779999999</v>
          </cell>
          <cell r="V16">
            <v>116351.6075</v>
          </cell>
          <cell r="W16">
            <v>117839.9278</v>
          </cell>
          <cell r="X16">
            <v>119384.1868</v>
          </cell>
          <cell r="Y16">
            <v>120986.8189</v>
          </cell>
          <cell r="Z16">
            <v>122647.8075</v>
          </cell>
          <cell r="AA16">
            <v>124337.6519</v>
          </cell>
          <cell r="AB16">
            <v>126061.61689999999</v>
          </cell>
          <cell r="AC16">
            <v>127822.6816</v>
          </cell>
          <cell r="AD16">
            <v>129621.7696</v>
          </cell>
          <cell r="AE16">
            <v>131459.57889999999</v>
          </cell>
          <cell r="AF16">
            <v>133336.7175</v>
          </cell>
          <cell r="AG16">
            <v>135253.30970000001</v>
          </cell>
          <cell r="AH16">
            <v>137208.8015</v>
          </cell>
          <cell r="AI16">
            <v>139202.122</v>
          </cell>
          <cell r="AJ16">
            <v>141232.05650000001</v>
          </cell>
          <cell r="AK16">
            <v>143297.6139</v>
          </cell>
        </row>
        <row r="17">
          <cell r="B17">
            <v>93588.710269999996</v>
          </cell>
          <cell r="C17">
            <v>94615.004149999993</v>
          </cell>
          <cell r="D17">
            <v>95606.934810000006</v>
          </cell>
          <cell r="E17">
            <v>96595.231119999997</v>
          </cell>
          <cell r="F17">
            <v>97602.392290000003</v>
          </cell>
          <cell r="G17">
            <v>98641.726450000002</v>
          </cell>
          <cell r="H17">
            <v>99712.043099999995</v>
          </cell>
          <cell r="I17">
            <v>100813.852</v>
          </cell>
          <cell r="J17">
            <v>101948.2871</v>
          </cell>
          <cell r="K17">
            <v>103116.96610000001</v>
          </cell>
          <cell r="L17">
            <v>104334.5929</v>
          </cell>
          <cell r="M17">
            <v>105594.7547</v>
          </cell>
          <cell r="N17">
            <v>106894.5294</v>
          </cell>
          <cell r="O17">
            <v>108232.0727</v>
          </cell>
          <cell r="P17">
            <v>109605.1401</v>
          </cell>
          <cell r="Q17">
            <v>111011.5162</v>
          </cell>
          <cell r="R17">
            <v>112449.7892</v>
          </cell>
          <cell r="S17">
            <v>113919.7671</v>
          </cell>
          <cell r="T17">
            <v>115422.4256</v>
          </cell>
          <cell r="U17">
            <v>116959.5419</v>
          </cell>
          <cell r="V17">
            <v>118523.625</v>
          </cell>
          <cell r="W17">
            <v>120123.1934</v>
          </cell>
          <cell r="X17">
            <v>121763.4347</v>
          </cell>
          <cell r="Y17">
            <v>123446.99589999999</v>
          </cell>
          <cell r="Z17">
            <v>125175.4086</v>
          </cell>
          <cell r="AA17">
            <v>126920.8986</v>
          </cell>
          <cell r="AB17">
            <v>128691.6381</v>
          </cell>
          <cell r="AC17">
            <v>130493.2031</v>
          </cell>
          <cell r="AD17">
            <v>132328.44990000001</v>
          </cell>
          <cell r="AE17">
            <v>134199.27960000001</v>
          </cell>
          <cell r="AF17">
            <v>136106.90470000001</v>
          </cell>
          <cell r="AG17">
            <v>138051.69039999999</v>
          </cell>
          <cell r="AH17">
            <v>140033.1857</v>
          </cell>
          <cell r="AI17">
            <v>142050.4241</v>
          </cell>
          <cell r="AJ17">
            <v>144102.3328</v>
          </cell>
          <cell r="AK17">
            <v>146188.05650000001</v>
          </cell>
        </row>
        <row r="18">
          <cell r="B18">
            <v>23293.305919999999</v>
          </cell>
          <cell r="C18">
            <v>23556.967659999998</v>
          </cell>
          <cell r="D18">
            <v>23822.31234</v>
          </cell>
          <cell r="E18">
            <v>24094.535449999999</v>
          </cell>
          <cell r="F18">
            <v>24376.026559999998</v>
          </cell>
          <cell r="G18">
            <v>24667.551329999998</v>
          </cell>
          <cell r="H18">
            <v>24967.20651</v>
          </cell>
          <cell r="I18">
            <v>25266.307339999999</v>
          </cell>
          <cell r="J18">
            <v>25558.744460000002</v>
          </cell>
          <cell r="K18">
            <v>25843.54032</v>
          </cell>
          <cell r="L18">
            <v>26129.086920000002</v>
          </cell>
          <cell r="M18">
            <v>26416.981250000001</v>
          </cell>
          <cell r="N18">
            <v>26711.621810000001</v>
          </cell>
          <cell r="O18">
            <v>27016.804970000001</v>
          </cell>
          <cell r="P18">
            <v>27334.191940000001</v>
          </cell>
          <cell r="Q18">
            <v>27663.623220000001</v>
          </cell>
          <cell r="R18">
            <v>28004.128929999999</v>
          </cell>
          <cell r="S18">
            <v>28354.886050000001</v>
          </cell>
          <cell r="T18">
            <v>28715.750329999999</v>
          </cell>
          <cell r="U18">
            <v>29087.304400000001</v>
          </cell>
          <cell r="V18">
            <v>29467.097979999999</v>
          </cell>
          <cell r="W18">
            <v>29859.120510000001</v>
          </cell>
          <cell r="X18">
            <v>30265.205139999998</v>
          </cell>
          <cell r="Y18">
            <v>30685.74051</v>
          </cell>
          <cell r="Z18">
            <v>31120.452929999999</v>
          </cell>
          <cell r="AA18">
            <v>31558.322189999999</v>
          </cell>
          <cell r="AB18">
            <v>32003.36652</v>
          </cell>
          <cell r="AC18">
            <v>32457.434079999999</v>
          </cell>
          <cell r="AD18">
            <v>32920.93821</v>
          </cell>
          <cell r="AE18">
            <v>33393.990989999998</v>
          </cell>
          <cell r="AF18">
            <v>33876.6512</v>
          </cell>
          <cell r="AG18">
            <v>34368.867100000003</v>
          </cell>
          <cell r="AH18">
            <v>34870.432990000001</v>
          </cell>
          <cell r="AI18">
            <v>35381.033600000002</v>
          </cell>
          <cell r="AJ18">
            <v>35900.341330000003</v>
          </cell>
          <cell r="AK18">
            <v>36428.106679999997</v>
          </cell>
        </row>
        <row r="19">
          <cell r="B19">
            <v>23293.305919999999</v>
          </cell>
          <cell r="C19">
            <v>23556.967659999998</v>
          </cell>
          <cell r="D19">
            <v>23822.31234</v>
          </cell>
          <cell r="E19">
            <v>24094.535449999999</v>
          </cell>
          <cell r="F19">
            <v>24376.026559999998</v>
          </cell>
          <cell r="G19">
            <v>24667.551329999998</v>
          </cell>
          <cell r="H19">
            <v>24965.995350000001</v>
          </cell>
          <cell r="I19">
            <v>25270.907279999999</v>
          </cell>
          <cell r="J19">
            <v>25582.694810000001</v>
          </cell>
          <cell r="K19">
            <v>25901.99955</v>
          </cell>
          <cell r="L19">
            <v>26234.342400000001</v>
          </cell>
          <cell r="M19">
            <v>26576.218280000001</v>
          </cell>
          <cell r="N19">
            <v>26926.68708</v>
          </cell>
          <cell r="O19">
            <v>27285.602350000001</v>
          </cell>
          <cell r="P19">
            <v>27652.700290000001</v>
          </cell>
          <cell r="Q19">
            <v>28027.63738</v>
          </cell>
          <cell r="R19">
            <v>28410.214370000002</v>
          </cell>
          <cell r="S19">
            <v>28800.501</v>
          </cell>
          <cell r="T19">
            <v>29198.82458</v>
          </cell>
          <cell r="U19">
            <v>29605.67354</v>
          </cell>
          <cell r="V19">
            <v>30018.00578</v>
          </cell>
          <cell r="W19">
            <v>30439.326679999998</v>
          </cell>
          <cell r="X19">
            <v>30871.171689999999</v>
          </cell>
          <cell r="Y19">
            <v>31313.978889999999</v>
          </cell>
          <cell r="Z19">
            <v>31767.872189999998</v>
          </cell>
          <cell r="AA19">
            <v>32222.2251</v>
          </cell>
          <cell r="AB19">
            <v>32681.791239999999</v>
          </cell>
          <cell r="AC19">
            <v>33149.034769999998</v>
          </cell>
          <cell r="AD19">
            <v>33624.788740000004</v>
          </cell>
          <cell r="AE19">
            <v>34109.39157</v>
          </cell>
          <cell r="AF19">
            <v>34602.983440000004</v>
          </cell>
          <cell r="AG19">
            <v>35105.517699999997</v>
          </cell>
          <cell r="AH19">
            <v>35616.777529999999</v>
          </cell>
          <cell r="AI19">
            <v>36136.45362</v>
          </cell>
          <cell r="AJ19">
            <v>36664.245649999997</v>
          </cell>
          <cell r="AK19">
            <v>37199.936730000001</v>
          </cell>
        </row>
        <row r="20">
          <cell r="B20">
            <v>25789.09474</v>
          </cell>
          <cell r="C20">
            <v>26097.909589999999</v>
          </cell>
          <cell r="D20">
            <v>26425.53068</v>
          </cell>
          <cell r="E20">
            <v>26774.6675</v>
          </cell>
          <cell r="F20">
            <v>27145.288479999999</v>
          </cell>
          <cell r="G20">
            <v>27536.090530000001</v>
          </cell>
          <cell r="H20">
            <v>27942.42568</v>
          </cell>
          <cell r="I20">
            <v>28354.147629999999</v>
          </cell>
          <cell r="J20">
            <v>28763.97407</v>
          </cell>
          <cell r="K20">
            <v>29169.259669999999</v>
          </cell>
          <cell r="L20">
            <v>29576.55906</v>
          </cell>
          <cell r="M20">
            <v>29985.683239999998</v>
          </cell>
          <cell r="N20">
            <v>30399.820619999999</v>
          </cell>
          <cell r="O20">
            <v>30822.061699999998</v>
          </cell>
          <cell r="P20">
            <v>31253.78155</v>
          </cell>
          <cell r="Q20">
            <v>31694.763739999999</v>
          </cell>
          <cell r="R20">
            <v>32144.045770000001</v>
          </cell>
          <cell r="S20">
            <v>32600.787509999998</v>
          </cell>
          <cell r="T20">
            <v>33064.791929999999</v>
          </cell>
          <cell r="U20">
            <v>33536.592449999996</v>
          </cell>
          <cell r="V20">
            <v>34013.738559999998</v>
          </cell>
          <cell r="W20">
            <v>34500.369250000003</v>
          </cell>
          <cell r="X20">
            <v>34998.427710000004</v>
          </cell>
          <cell r="Y20">
            <v>35508.542529999999</v>
          </cell>
          <cell r="Z20">
            <v>36030.7212</v>
          </cell>
          <cell r="AA20">
            <v>36554.450279999997</v>
          </cell>
          <cell r="AB20">
            <v>37083.734859999997</v>
          </cell>
          <cell r="AC20">
            <v>37620.413890000003</v>
          </cell>
          <cell r="AD20">
            <v>38165.040399999998</v>
          </cell>
          <cell r="AE20">
            <v>38717.874739999999</v>
          </cell>
          <cell r="AF20">
            <v>39279.104789999998</v>
          </cell>
          <cell r="AG20">
            <v>39848.798750000002</v>
          </cell>
          <cell r="AH20">
            <v>40426.867610000001</v>
          </cell>
          <cell r="AI20">
            <v>41013.10673</v>
          </cell>
          <cell r="AJ20">
            <v>41607.2886</v>
          </cell>
          <cell r="AK20">
            <v>42209.253360000002</v>
          </cell>
        </row>
        <row r="21">
          <cell r="B21">
            <v>25789.09474</v>
          </cell>
          <cell r="C21">
            <v>26097.909589999999</v>
          </cell>
          <cell r="D21">
            <v>26425.53068</v>
          </cell>
          <cell r="E21">
            <v>26774.6675</v>
          </cell>
          <cell r="F21">
            <v>27145.288479999999</v>
          </cell>
          <cell r="G21">
            <v>27536.090530000001</v>
          </cell>
          <cell r="H21">
            <v>27942.249930000002</v>
          </cell>
          <cell r="I21">
            <v>28361.550810000001</v>
          </cell>
          <cell r="J21">
            <v>28792.733939999998</v>
          </cell>
          <cell r="K21">
            <v>29234.927090000001</v>
          </cell>
          <cell r="L21">
            <v>29692.41459</v>
          </cell>
          <cell r="M21">
            <v>30160.382089999999</v>
          </cell>
          <cell r="N21">
            <v>30636.840370000002</v>
          </cell>
          <cell r="O21">
            <v>31120.737690000002</v>
          </cell>
          <cell r="P21">
            <v>31611.073710000001</v>
          </cell>
          <cell r="Q21">
            <v>32106.908879999999</v>
          </cell>
          <cell r="R21">
            <v>32607.567019999999</v>
          </cell>
          <cell r="S21">
            <v>33112.757720000001</v>
          </cell>
          <cell r="T21">
            <v>33622.572110000001</v>
          </cell>
          <cell r="U21">
            <v>34137.390930000001</v>
          </cell>
          <cell r="V21">
            <v>34654.168949999999</v>
          </cell>
          <cell r="W21">
            <v>35176.606440000003</v>
          </cell>
          <cell r="X21">
            <v>35706.377090000002</v>
          </cell>
          <cell r="Y21">
            <v>36244.178189999999</v>
          </cell>
          <cell r="Z21">
            <v>36790.441200000001</v>
          </cell>
          <cell r="AA21">
            <v>37335.068749999999</v>
          </cell>
          <cell r="AB21">
            <v>37882.897259999998</v>
          </cell>
          <cell r="AC21">
            <v>38436.496220000001</v>
          </cell>
          <cell r="AD21">
            <v>38996.965389999998</v>
          </cell>
          <cell r="AE21">
            <v>39564.91678</v>
          </cell>
          <cell r="AF21">
            <v>40140.726710000003</v>
          </cell>
          <cell r="AG21">
            <v>40724.545109999999</v>
          </cell>
          <cell r="AH21">
            <v>41316.31263</v>
          </cell>
          <cell r="AI21">
            <v>41915.836889999999</v>
          </cell>
          <cell r="AJ21">
            <v>42522.895259999998</v>
          </cell>
          <cell r="AK21">
            <v>43137.316989999999</v>
          </cell>
        </row>
        <row r="22">
          <cell r="B22">
            <v>202273.5183</v>
          </cell>
          <cell r="C22">
            <v>204525.27350000001</v>
          </cell>
          <cell r="D22">
            <v>206749.37210000001</v>
          </cell>
          <cell r="E22">
            <v>209009.06390000001</v>
          </cell>
          <cell r="F22">
            <v>211340.59820000001</v>
          </cell>
          <cell r="G22">
            <v>213758.66390000001</v>
          </cell>
          <cell r="H22">
            <v>216264.15100000001</v>
          </cell>
          <cell r="I22">
            <v>218751.38099999999</v>
          </cell>
          <cell r="J22">
            <v>221148.7996</v>
          </cell>
          <cell r="K22">
            <v>223444.9718</v>
          </cell>
          <cell r="L22">
            <v>225716.71720000001</v>
          </cell>
          <cell r="M22">
            <v>227999.72940000001</v>
          </cell>
          <cell r="N22">
            <v>230345.17290000001</v>
          </cell>
          <cell r="O22">
            <v>232792.7194</v>
          </cell>
          <cell r="P22">
            <v>235358.533</v>
          </cell>
          <cell r="Q22">
            <v>238039.50599999999</v>
          </cell>
          <cell r="R22">
            <v>240824.06330000001</v>
          </cell>
          <cell r="S22">
            <v>243702.30290000001</v>
          </cell>
          <cell r="T22">
            <v>246671.6011</v>
          </cell>
          <cell r="U22">
            <v>249737.07320000001</v>
          </cell>
          <cell r="V22">
            <v>252881.7225</v>
          </cell>
          <cell r="W22">
            <v>256135.6237</v>
          </cell>
          <cell r="X22">
            <v>259514.83670000001</v>
          </cell>
          <cell r="Y22">
            <v>263023.41729999997</v>
          </cell>
          <cell r="Z22">
            <v>266658.65580000001</v>
          </cell>
          <cell r="AA22">
            <v>270333.55040000001</v>
          </cell>
          <cell r="AB22">
            <v>274069.47940000001</v>
          </cell>
          <cell r="AC22">
            <v>277878.08769999997</v>
          </cell>
          <cell r="AD22">
            <v>281762.98550000001</v>
          </cell>
          <cell r="AE22">
            <v>285726.41350000002</v>
          </cell>
          <cell r="AF22">
            <v>289770.12099999998</v>
          </cell>
          <cell r="AG22">
            <v>293894.42460000003</v>
          </cell>
          <cell r="AH22">
            <v>298097.80050000001</v>
          </cell>
          <cell r="AI22">
            <v>302377.46059999999</v>
          </cell>
          <cell r="AJ22">
            <v>306730.4571</v>
          </cell>
          <cell r="AK22">
            <v>311154.67509999999</v>
          </cell>
        </row>
        <row r="23">
          <cell r="B23">
            <v>202273.5183</v>
          </cell>
          <cell r="C23">
            <v>204525.27350000001</v>
          </cell>
          <cell r="D23">
            <v>206749.37210000001</v>
          </cell>
          <cell r="E23">
            <v>209009.06390000001</v>
          </cell>
          <cell r="F23">
            <v>211340.59820000001</v>
          </cell>
          <cell r="G23">
            <v>213758.66390000001</v>
          </cell>
          <cell r="H23">
            <v>216241.9804</v>
          </cell>
          <cell r="I23">
            <v>218783.1127</v>
          </cell>
          <cell r="J23">
            <v>221381.22889999999</v>
          </cell>
          <cell r="K23">
            <v>224039.35889999999</v>
          </cell>
          <cell r="L23">
            <v>226799.8486</v>
          </cell>
          <cell r="M23">
            <v>229640.69870000001</v>
          </cell>
          <cell r="N23">
            <v>232553.83730000001</v>
          </cell>
          <cell r="O23">
            <v>235535.72990000001</v>
          </cell>
          <cell r="P23">
            <v>238581.93539999999</v>
          </cell>
          <cell r="Q23">
            <v>241688.1165</v>
          </cell>
          <cell r="R23">
            <v>244852.14240000001</v>
          </cell>
          <cell r="S23">
            <v>248075.0796</v>
          </cell>
          <cell r="T23">
            <v>251360.8322</v>
          </cell>
          <cell r="U23">
            <v>254714.9724</v>
          </cell>
          <cell r="V23">
            <v>258115.7341</v>
          </cell>
          <cell r="W23">
            <v>261589.193</v>
          </cell>
          <cell r="X23">
            <v>265149.36540000001</v>
          </cell>
          <cell r="Y23">
            <v>268801.85460000002</v>
          </cell>
          <cell r="Z23">
            <v>272549.02529999998</v>
          </cell>
          <cell r="AA23">
            <v>276309.10979999998</v>
          </cell>
          <cell r="AB23">
            <v>280111.53739999997</v>
          </cell>
          <cell r="AC23">
            <v>283974.68640000001</v>
          </cell>
          <cell r="AD23">
            <v>287906.74660000001</v>
          </cell>
          <cell r="AE23">
            <v>291912.40950000001</v>
          </cell>
          <cell r="AF23">
            <v>295994.29090000002</v>
          </cell>
          <cell r="AG23">
            <v>300152.75790000003</v>
          </cell>
          <cell r="AH23">
            <v>304386.1814</v>
          </cell>
          <cell r="AI23">
            <v>308691.8725</v>
          </cell>
          <cell r="AJ23">
            <v>313067.228</v>
          </cell>
          <cell r="AK23">
            <v>317510.53950000001</v>
          </cell>
        </row>
        <row r="24">
          <cell r="B24">
            <v>9372.4958069999993</v>
          </cell>
          <cell r="C24">
            <v>9464.5287410000001</v>
          </cell>
          <cell r="D24">
            <v>9541.3224759999994</v>
          </cell>
          <cell r="E24">
            <v>9608.3342759999996</v>
          </cell>
          <cell r="F24">
            <v>9670.1853790000005</v>
          </cell>
          <cell r="G24">
            <v>9729.8579890000001</v>
          </cell>
          <cell r="H24">
            <v>9790.1675200000009</v>
          </cell>
          <cell r="I24">
            <v>9848.6294300000009</v>
          </cell>
          <cell r="J24">
            <v>9903.7811469999997</v>
          </cell>
          <cell r="K24">
            <v>9956.3976779999994</v>
          </cell>
          <cell r="L24">
            <v>10007.498299999999</v>
          </cell>
          <cell r="M24">
            <v>10062.4835</v>
          </cell>
          <cell r="N24">
            <v>10123.92175</v>
          </cell>
          <cell r="O24">
            <v>10192.9591</v>
          </cell>
          <cell r="P24">
            <v>10269.801229999999</v>
          </cell>
          <cell r="Q24">
            <v>10354.10103</v>
          </cell>
          <cell r="R24">
            <v>10445.367329999999</v>
          </cell>
          <cell r="S24">
            <v>10543.275949999999</v>
          </cell>
          <cell r="T24">
            <v>10647.800149999999</v>
          </cell>
          <cell r="U24">
            <v>10759.16922</v>
          </cell>
          <cell r="V24">
            <v>10878.644689999999</v>
          </cell>
          <cell r="W24">
            <v>11004.95557</v>
          </cell>
          <cell r="X24">
            <v>11138.27671</v>
          </cell>
          <cell r="Y24">
            <v>11278.886049999999</v>
          </cell>
          <cell r="Z24">
            <v>11426.846</v>
          </cell>
          <cell r="AA24">
            <v>11584.413399999999</v>
          </cell>
          <cell r="AB24">
            <v>11748.3439</v>
          </cell>
          <cell r="AC24">
            <v>11917.717280000001</v>
          </cell>
          <cell r="AD24">
            <v>12092.44217</v>
          </cell>
          <cell r="AE24">
            <v>12272.64832</v>
          </cell>
          <cell r="AF24">
            <v>12458.45422</v>
          </cell>
          <cell r="AG24">
            <v>12649.88464</v>
          </cell>
          <cell r="AH24">
            <v>12846.86889</v>
          </cell>
          <cell r="AI24">
            <v>13049.281720000001</v>
          </cell>
          <cell r="AJ24">
            <v>13256.99473</v>
          </cell>
          <cell r="AK24">
            <v>13469.913570000001</v>
          </cell>
        </row>
        <row r="25">
          <cell r="B25">
            <v>9372.4958069999993</v>
          </cell>
          <cell r="C25">
            <v>9464.5287410000001</v>
          </cell>
          <cell r="D25">
            <v>9541.3224759999994</v>
          </cell>
          <cell r="E25">
            <v>9608.3342759999996</v>
          </cell>
          <cell r="F25">
            <v>9670.1853790000005</v>
          </cell>
          <cell r="G25">
            <v>9729.8579890000001</v>
          </cell>
          <cell r="H25">
            <v>9790.1084320000009</v>
          </cell>
          <cell r="I25">
            <v>9851.5545719999991</v>
          </cell>
          <cell r="J25">
            <v>9914.6022400000002</v>
          </cell>
          <cell r="K25">
            <v>9979.9027760000008</v>
          </cell>
          <cell r="L25">
            <v>10046.794389999999</v>
          </cell>
          <cell r="M25">
            <v>10118.59304</v>
          </cell>
          <cell r="N25">
            <v>10196.007229999999</v>
          </cell>
          <cell r="O25">
            <v>10279.083710000001</v>
          </cell>
          <cell r="P25">
            <v>10367.79257</v>
          </cell>
          <cell r="Q25">
            <v>10462.179760000001</v>
          </cell>
          <cell r="R25">
            <v>10562.39697</v>
          </cell>
          <cell r="S25">
            <v>10668.681</v>
          </cell>
          <cell r="T25">
            <v>10781.30746</v>
          </cell>
          <cell r="U25">
            <v>10900.5389</v>
          </cell>
          <cell r="V25">
            <v>11027.488439999999</v>
          </cell>
          <cell r="W25">
            <v>11160.72429</v>
          </cell>
          <cell r="X25">
            <v>11300.34368</v>
          </cell>
          <cell r="Y25">
            <v>11446.66394</v>
          </cell>
          <cell r="Z25">
            <v>11599.88322</v>
          </cell>
          <cell r="AA25">
            <v>11762.41483</v>
          </cell>
          <cell r="AB25">
            <v>11931.15526</v>
          </cell>
          <cell r="AC25">
            <v>12105.280549999999</v>
          </cell>
          <cell r="AD25">
            <v>12284.72472</v>
          </cell>
          <cell r="AE25">
            <v>12469.580889999999</v>
          </cell>
          <cell r="AF25">
            <v>12659.8968</v>
          </cell>
          <cell r="AG25">
            <v>12855.62329</v>
          </cell>
          <cell r="AH25">
            <v>13056.634889999999</v>
          </cell>
          <cell r="AI25">
            <v>13262.779339999999</v>
          </cell>
          <cell r="AJ25">
            <v>13473.9252</v>
          </cell>
          <cell r="AK25">
            <v>13689.98863</v>
          </cell>
        </row>
        <row r="26">
          <cell r="B26">
            <v>84744.617679999996</v>
          </cell>
          <cell r="C26">
            <v>86030.010800000004</v>
          </cell>
          <cell r="D26">
            <v>87728.139320000002</v>
          </cell>
          <cell r="E26">
            <v>89730.074030000003</v>
          </cell>
          <cell r="F26">
            <v>91897.795280000006</v>
          </cell>
          <cell r="G26">
            <v>94132.047909999994</v>
          </cell>
          <cell r="H26">
            <v>96263.698539999998</v>
          </cell>
          <cell r="I26">
            <v>98248.889190000002</v>
          </cell>
          <cell r="J26">
            <v>100080.50599999999</v>
          </cell>
          <cell r="K26">
            <v>101779.1489</v>
          </cell>
          <cell r="L26">
            <v>103554.3388</v>
          </cell>
          <cell r="M26">
            <v>105245.9667</v>
          </cell>
          <cell r="N26">
            <v>106888.74129999999</v>
          </cell>
          <cell r="O26">
            <v>108535.969</v>
          </cell>
          <cell r="P26">
            <v>110217.4808</v>
          </cell>
          <cell r="Q26">
            <v>111941.246</v>
          </cell>
          <cell r="R26">
            <v>113704.0796</v>
          </cell>
          <cell r="S26">
            <v>115501.1758</v>
          </cell>
          <cell r="T26">
            <v>117331.38189999999</v>
          </cell>
          <cell r="U26">
            <v>119198.1721</v>
          </cell>
          <cell r="V26">
            <v>120989.0885</v>
          </cell>
          <cell r="W26">
            <v>122857.4399</v>
          </cell>
          <cell r="X26">
            <v>124821.5959</v>
          </cell>
          <cell r="Y26">
            <v>126867.7666</v>
          </cell>
          <cell r="Z26">
            <v>128980.4786</v>
          </cell>
          <cell r="AA26">
            <v>130797.6194</v>
          </cell>
          <cell r="AB26">
            <v>132603.63320000001</v>
          </cell>
          <cell r="AC26">
            <v>134467.2432</v>
          </cell>
          <cell r="AD26">
            <v>136393.85159999999</v>
          </cell>
          <cell r="AE26">
            <v>138377.96059999999</v>
          </cell>
          <cell r="AF26">
            <v>140414.60870000001</v>
          </cell>
          <cell r="AG26">
            <v>142500.09479999999</v>
          </cell>
          <cell r="AH26">
            <v>144631.15330000001</v>
          </cell>
          <cell r="AI26">
            <v>146804.71849999999</v>
          </cell>
          <cell r="AJ26">
            <v>149018.25810000001</v>
          </cell>
          <cell r="AK26">
            <v>151270.18789999999</v>
          </cell>
        </row>
        <row r="27">
          <cell r="B27">
            <v>84744.617679999996</v>
          </cell>
          <cell r="C27">
            <v>86030.010800000004</v>
          </cell>
          <cell r="D27">
            <v>87728.139320000002</v>
          </cell>
          <cell r="E27">
            <v>89730.074030000003</v>
          </cell>
          <cell r="F27">
            <v>91897.795280000006</v>
          </cell>
          <cell r="G27">
            <v>94132.047909999994</v>
          </cell>
          <cell r="H27">
            <v>96261.728489999994</v>
          </cell>
          <cell r="I27">
            <v>98292.658089999997</v>
          </cell>
          <cell r="J27">
            <v>100254.32249999999</v>
          </cell>
          <cell r="K27">
            <v>102170.39939999999</v>
          </cell>
          <cell r="L27">
            <v>104224.8391</v>
          </cell>
          <cell r="M27">
            <v>106217.6112</v>
          </cell>
          <cell r="N27">
            <v>108145.1891</v>
          </cell>
          <cell r="O27">
            <v>110035.5505</v>
          </cell>
          <cell r="P27">
            <v>111909.52340000001</v>
          </cell>
          <cell r="Q27">
            <v>113779.5873</v>
          </cell>
          <cell r="R27">
            <v>115654.12790000001</v>
          </cell>
          <cell r="S27">
            <v>117540.3398</v>
          </cell>
          <cell r="T27">
            <v>119445.2236</v>
          </cell>
          <cell r="U27">
            <v>121375.4246</v>
          </cell>
          <cell r="V27">
            <v>123217.1863</v>
          </cell>
          <cell r="W27">
            <v>125122.89750000001</v>
          </cell>
          <cell r="X27">
            <v>127110.3138</v>
          </cell>
          <cell r="Y27">
            <v>129166.9132</v>
          </cell>
          <cell r="Z27">
            <v>131280.44330000001</v>
          </cell>
          <cell r="AA27">
            <v>133091.7641</v>
          </cell>
          <cell r="AB27">
            <v>134890.19899999999</v>
          </cell>
          <cell r="AC27">
            <v>136747.5711</v>
          </cell>
          <cell r="AD27">
            <v>138670.7071</v>
          </cell>
          <cell r="AE27">
            <v>140654.06049999999</v>
          </cell>
          <cell r="AF27">
            <v>142691.6263</v>
          </cell>
          <cell r="AG27">
            <v>144778.26980000001</v>
          </cell>
          <cell r="AH27">
            <v>146909.40580000001</v>
          </cell>
          <cell r="AI27">
            <v>149081.02739999999</v>
          </cell>
          <cell r="AJ27">
            <v>151290.05679999999</v>
          </cell>
          <cell r="AK27">
            <v>153534.61139999999</v>
          </cell>
        </row>
        <row r="28">
          <cell r="B28">
            <v>10027.22546</v>
          </cell>
          <cell r="C28">
            <v>10136.2834</v>
          </cell>
          <cell r="D28">
            <v>10239.97834</v>
          </cell>
          <cell r="E28">
            <v>10341.17812</v>
          </cell>
          <cell r="F28">
            <v>10441.98236</v>
          </cell>
          <cell r="G28">
            <v>10543.423290000001</v>
          </cell>
          <cell r="H28">
            <v>10646.11202</v>
          </cell>
          <cell r="I28">
            <v>10745.552079999999</v>
          </cell>
          <cell r="J28">
            <v>10839.20318</v>
          </cell>
          <cell r="K28">
            <v>10927.533869999999</v>
          </cell>
          <cell r="L28">
            <v>11013.43138</v>
          </cell>
          <cell r="M28">
            <v>11100.534680000001</v>
          </cell>
          <cell r="N28">
            <v>11191.4827</v>
          </cell>
          <cell r="O28">
            <v>11287.65259</v>
          </cell>
          <cell r="P28">
            <v>11389.290929999999</v>
          </cell>
          <cell r="Q28">
            <v>11495.952090000001</v>
          </cell>
          <cell r="R28">
            <v>11607.02469</v>
          </cell>
          <cell r="S28">
            <v>11722.12586</v>
          </cell>
          <cell r="T28">
            <v>11841.255590000001</v>
          </cell>
          <cell r="U28">
            <v>11964.73286</v>
          </cell>
          <cell r="V28">
            <v>12092.80768</v>
          </cell>
          <cell r="W28">
            <v>12225.663210000001</v>
          </cell>
          <cell r="X28">
            <v>12363.64544</v>
          </cell>
          <cell r="Y28">
            <v>12506.916380000001</v>
          </cell>
          <cell r="Z28">
            <v>12655.392159999999</v>
          </cell>
          <cell r="AA28">
            <v>12808.089379999999</v>
          </cell>
          <cell r="AB28">
            <v>12964.028679999999</v>
          </cell>
          <cell r="AC28">
            <v>13122.89632</v>
          </cell>
          <cell r="AD28">
            <v>13284.71255</v>
          </cell>
          <cell r="AE28">
            <v>13449.61081</v>
          </cell>
          <cell r="AF28">
            <v>13617.6978</v>
          </cell>
          <cell r="AG28">
            <v>13788.98662</v>
          </cell>
          <cell r="AH28">
            <v>13963.39761</v>
          </cell>
          <cell r="AI28">
            <v>14140.80366</v>
          </cell>
          <cell r="AJ28">
            <v>14321.086740000001</v>
          </cell>
          <cell r="AK28">
            <v>14504.17786</v>
          </cell>
        </row>
        <row r="29">
          <cell r="B29">
            <v>10027.22546</v>
          </cell>
          <cell r="C29">
            <v>10136.2834</v>
          </cell>
          <cell r="D29">
            <v>10239.97834</v>
          </cell>
          <cell r="E29">
            <v>10341.17812</v>
          </cell>
          <cell r="F29">
            <v>10441.98236</v>
          </cell>
          <cell r="G29">
            <v>10543.423290000001</v>
          </cell>
          <cell r="H29">
            <v>10645.77218</v>
          </cell>
          <cell r="I29">
            <v>10748.84534</v>
          </cell>
          <cell r="J29">
            <v>10852.626780000001</v>
          </cell>
          <cell r="K29">
            <v>10957.42812</v>
          </cell>
          <cell r="L29">
            <v>11063.98892</v>
          </cell>
          <cell r="M29">
            <v>11173.232480000001</v>
          </cell>
          <cell r="N29">
            <v>11285.39143</v>
          </cell>
          <cell r="O29">
            <v>11400.384319999999</v>
          </cell>
          <cell r="P29">
            <v>11518.05867</v>
          </cell>
          <cell r="Q29">
            <v>11638.333790000001</v>
          </cell>
          <cell r="R29">
            <v>11761.266680000001</v>
          </cell>
          <cell r="S29">
            <v>11887.05024</v>
          </cell>
          <cell r="T29">
            <v>12015.96574</v>
          </cell>
          <cell r="U29">
            <v>12148.318799999999</v>
          </cell>
          <cell r="V29">
            <v>12284.154049999999</v>
          </cell>
          <cell r="W29">
            <v>12423.49518</v>
          </cell>
          <cell r="X29">
            <v>12566.65004</v>
          </cell>
          <cell r="Y29">
            <v>12713.904210000001</v>
          </cell>
          <cell r="Z29">
            <v>12865.427079999999</v>
          </cell>
          <cell r="AA29">
            <v>13020.493469999999</v>
          </cell>
          <cell r="AB29">
            <v>13178.4085</v>
          </cell>
          <cell r="AC29">
            <v>13339.06885</v>
          </cell>
          <cell r="AD29">
            <v>13502.60657</v>
          </cell>
          <cell r="AE29">
            <v>13669.18044</v>
          </cell>
          <cell r="AF29">
            <v>13838.86894</v>
          </cell>
          <cell r="AG29">
            <v>14011.63978</v>
          </cell>
          <cell r="AH29">
            <v>14187.3771</v>
          </cell>
          <cell r="AI29">
            <v>14365.937250000001</v>
          </cell>
          <cell r="AJ29">
            <v>14547.202139999999</v>
          </cell>
          <cell r="AK29">
            <v>14731.10859</v>
          </cell>
        </row>
        <row r="30">
          <cell r="B30">
            <v>105580.5068</v>
          </cell>
          <cell r="C30">
            <v>106718.83259999999</v>
          </cell>
          <cell r="D30">
            <v>107787.63159999999</v>
          </cell>
          <cell r="E30">
            <v>108818.3927</v>
          </cell>
          <cell r="F30">
            <v>109836.2162</v>
          </cell>
          <cell r="G30">
            <v>110854.8403</v>
          </cell>
          <cell r="H30">
            <v>111882.9795</v>
          </cell>
          <cell r="I30">
            <v>112878.9415</v>
          </cell>
          <cell r="J30">
            <v>113816.2559</v>
          </cell>
          <cell r="K30">
            <v>114697.3371</v>
          </cell>
          <cell r="L30">
            <v>115549.6621</v>
          </cell>
          <cell r="M30">
            <v>116410.7194</v>
          </cell>
          <cell r="N30">
            <v>117308.91529999999</v>
          </cell>
          <cell r="O30">
            <v>118260.1039</v>
          </cell>
          <cell r="P30">
            <v>119268.19560000001</v>
          </cell>
          <cell r="Q30">
            <v>120329.2399</v>
          </cell>
          <cell r="R30">
            <v>121436.8125</v>
          </cell>
          <cell r="S30">
            <v>122586.34</v>
          </cell>
          <cell r="T30">
            <v>123777.0613</v>
          </cell>
          <cell r="U30">
            <v>125011.6689</v>
          </cell>
          <cell r="V30">
            <v>126292.67200000001</v>
          </cell>
          <cell r="W30">
            <v>127621.85159999999</v>
          </cell>
          <cell r="X30">
            <v>129002.8539</v>
          </cell>
          <cell r="Y30">
            <v>130437.5387</v>
          </cell>
          <cell r="Z30">
            <v>131925.23060000001</v>
          </cell>
          <cell r="AA30">
            <v>133456.53570000001</v>
          </cell>
          <cell r="AB30">
            <v>135021.367</v>
          </cell>
          <cell r="AC30">
            <v>136616.27489999999</v>
          </cell>
          <cell r="AD30">
            <v>138241.3107</v>
          </cell>
          <cell r="AE30">
            <v>139897.86429999999</v>
          </cell>
          <cell r="AF30">
            <v>141587.20389999999</v>
          </cell>
          <cell r="AG30">
            <v>143309.704</v>
          </cell>
          <cell r="AH30">
            <v>145064.764</v>
          </cell>
          <cell r="AI30">
            <v>146851.21830000001</v>
          </cell>
          <cell r="AJ30">
            <v>148667.908</v>
          </cell>
          <cell r="AK30">
            <v>150514.12</v>
          </cell>
        </row>
        <row r="31">
          <cell r="B31">
            <v>105580.5068</v>
          </cell>
          <cell r="C31">
            <v>106718.83259999999</v>
          </cell>
          <cell r="D31">
            <v>107787.63159999999</v>
          </cell>
          <cell r="E31">
            <v>108818.3927</v>
          </cell>
          <cell r="F31">
            <v>109836.2162</v>
          </cell>
          <cell r="G31">
            <v>110854.8403</v>
          </cell>
          <cell r="H31">
            <v>111879.2559</v>
          </cell>
          <cell r="I31">
            <v>112908.7291</v>
          </cell>
          <cell r="J31">
            <v>113943.4203</v>
          </cell>
          <cell r="K31">
            <v>114986.50109999999</v>
          </cell>
          <cell r="L31">
            <v>116045.2395</v>
          </cell>
          <cell r="M31">
            <v>117129.5529</v>
          </cell>
          <cell r="N31">
            <v>118242.433</v>
          </cell>
          <cell r="O31">
            <v>119383.6038</v>
          </cell>
          <cell r="P31">
            <v>120551.9103</v>
          </cell>
          <cell r="Q31">
            <v>121746.7766</v>
          </cell>
          <cell r="R31">
            <v>122968.9388</v>
          </cell>
          <cell r="S31">
            <v>124220.4953</v>
          </cell>
          <cell r="T31">
            <v>125504.4636</v>
          </cell>
          <cell r="U31">
            <v>126824.1312</v>
          </cell>
          <cell r="V31">
            <v>128180.33749999999</v>
          </cell>
          <cell r="W31">
            <v>129573.30409999999</v>
          </cell>
          <cell r="X31">
            <v>131006.15270000001</v>
          </cell>
          <cell r="Y31">
            <v>132481.7886</v>
          </cell>
          <cell r="Z31">
            <v>134001.92259999999</v>
          </cell>
          <cell r="AA31">
            <v>135559.68580000001</v>
          </cell>
          <cell r="AB31">
            <v>137147.81169999999</v>
          </cell>
          <cell r="AC31">
            <v>138764.9503</v>
          </cell>
          <cell r="AD31">
            <v>140412.24359999999</v>
          </cell>
          <cell r="AE31">
            <v>142091.25450000001</v>
          </cell>
          <cell r="AF31">
            <v>143802.83309999999</v>
          </cell>
          <cell r="AG31">
            <v>145546.726</v>
          </cell>
          <cell r="AH31">
            <v>147321.7887</v>
          </cell>
          <cell r="AI31">
            <v>149126.52799999999</v>
          </cell>
          <cell r="AJ31">
            <v>150959.66020000001</v>
          </cell>
          <cell r="AK31">
            <v>152820.44680000001</v>
          </cell>
        </row>
        <row r="32">
          <cell r="B32">
            <v>21039.049439999999</v>
          </cell>
          <cell r="C32">
            <v>21294.4175</v>
          </cell>
          <cell r="D32">
            <v>21567.411749999999</v>
          </cell>
          <cell r="E32">
            <v>21861.595020000001</v>
          </cell>
          <cell r="F32">
            <v>22178.673449999998</v>
          </cell>
          <cell r="G32">
            <v>22518.510839999999</v>
          </cell>
          <cell r="H32">
            <v>22877.875059999998</v>
          </cell>
          <cell r="I32">
            <v>23249.322980000001</v>
          </cell>
          <cell r="J32">
            <v>23624.738089999999</v>
          </cell>
          <cell r="K32">
            <v>23998.365040000001</v>
          </cell>
          <cell r="L32">
            <v>24370.97956</v>
          </cell>
          <cell r="M32">
            <v>24742.57475</v>
          </cell>
          <cell r="N32">
            <v>25115.936870000001</v>
          </cell>
          <cell r="O32">
            <v>25494.239750000001</v>
          </cell>
          <cell r="P32">
            <v>25879.635760000001</v>
          </cell>
          <cell r="Q32">
            <v>26272.85526</v>
          </cell>
          <cell r="R32">
            <v>26673.534240000001</v>
          </cell>
          <cell r="S32">
            <v>27080.873329999999</v>
          </cell>
          <cell r="T32">
            <v>27494.251779999999</v>
          </cell>
          <cell r="U32">
            <v>27913.564999999999</v>
          </cell>
          <cell r="V32">
            <v>28337.345089999999</v>
          </cell>
          <cell r="W32">
            <v>28767.555619999999</v>
          </cell>
          <cell r="X32">
            <v>29205.470710000001</v>
          </cell>
          <cell r="Y32">
            <v>29651.889340000002</v>
          </cell>
          <cell r="Z32">
            <v>30107.16131</v>
          </cell>
          <cell r="AA32">
            <v>30565.74725</v>
          </cell>
          <cell r="AB32">
            <v>31028.30803</v>
          </cell>
          <cell r="AC32">
            <v>31494.99466</v>
          </cell>
          <cell r="AD32">
            <v>31965.972730000001</v>
          </cell>
          <cell r="AE32">
            <v>32441.575239999998</v>
          </cell>
          <cell r="AF32">
            <v>32922.218339999999</v>
          </cell>
          <cell r="AG32">
            <v>33408.262519999997</v>
          </cell>
          <cell r="AH32">
            <v>33899.920449999998</v>
          </cell>
          <cell r="AI32">
            <v>34397.247389999997</v>
          </cell>
          <cell r="AJ32">
            <v>34900.199430000001</v>
          </cell>
          <cell r="AK32">
            <v>35408.718760000003</v>
          </cell>
        </row>
        <row r="33">
          <cell r="B33">
            <v>21039.049439999999</v>
          </cell>
          <cell r="C33">
            <v>21294.4175</v>
          </cell>
          <cell r="D33">
            <v>21567.411749999999</v>
          </cell>
          <cell r="E33">
            <v>21861.595020000001</v>
          </cell>
          <cell r="F33">
            <v>22178.673449999998</v>
          </cell>
          <cell r="G33">
            <v>22518.510839999999</v>
          </cell>
          <cell r="H33">
            <v>22878.033719999999</v>
          </cell>
          <cell r="I33">
            <v>23254.057079999999</v>
          </cell>
          <cell r="J33">
            <v>23643.455129999998</v>
          </cell>
          <cell r="K33">
            <v>24043.540639999999</v>
          </cell>
          <cell r="L33">
            <v>24454.905279999999</v>
          </cell>
          <cell r="M33">
            <v>24874.499800000001</v>
          </cell>
          <cell r="N33">
            <v>25300.5674</v>
          </cell>
          <cell r="O33">
            <v>25731.805049999999</v>
          </cell>
          <cell r="P33">
            <v>26167.086060000001</v>
          </cell>
          <cell r="Q33">
            <v>26605.482830000001</v>
          </cell>
          <cell r="R33">
            <v>27046.373500000002</v>
          </cell>
          <cell r="S33">
            <v>27489.515090000001</v>
          </cell>
          <cell r="T33">
            <v>27935.036499999998</v>
          </cell>
          <cell r="U33">
            <v>28383.357769999999</v>
          </cell>
          <cell r="V33">
            <v>28833.113290000001</v>
          </cell>
          <cell r="W33">
            <v>29286.214489999998</v>
          </cell>
          <cell r="X33">
            <v>29743.826809999999</v>
          </cell>
          <cell r="Y33">
            <v>30206.784739999999</v>
          </cell>
          <cell r="Z33">
            <v>30675.713930000002</v>
          </cell>
          <cell r="AA33">
            <v>31145.435860000001</v>
          </cell>
          <cell r="AB33">
            <v>31617.246749999998</v>
          </cell>
          <cell r="AC33">
            <v>32091.92323</v>
          </cell>
          <cell r="AD33">
            <v>32570.148410000002</v>
          </cell>
          <cell r="AE33">
            <v>33052.609380000002</v>
          </cell>
          <cell r="AF33">
            <v>33539.910830000001</v>
          </cell>
          <cell r="AG33">
            <v>34032.474929999997</v>
          </cell>
          <cell r="AH33">
            <v>34530.50404</v>
          </cell>
          <cell r="AI33">
            <v>35034.019059999999</v>
          </cell>
          <cell r="AJ33">
            <v>35542.945749999999</v>
          </cell>
          <cell r="AK33">
            <v>36057.206180000001</v>
          </cell>
        </row>
        <row r="34">
          <cell r="B34">
            <v>28141.630369999999</v>
          </cell>
          <cell r="C34">
            <v>28477.422210000001</v>
          </cell>
          <cell r="D34">
            <v>28833.158899999999</v>
          </cell>
          <cell r="E34">
            <v>29214.30241</v>
          </cell>
          <cell r="F34">
            <v>29622.700710000001</v>
          </cell>
          <cell r="G34">
            <v>30057.32416</v>
          </cell>
          <cell r="H34">
            <v>30514.32847</v>
          </cell>
          <cell r="I34">
            <v>30979.075069999999</v>
          </cell>
          <cell r="J34">
            <v>31441.388620000002</v>
          </cell>
          <cell r="K34">
            <v>31899.964400000001</v>
          </cell>
          <cell r="L34">
            <v>32363.436880000001</v>
          </cell>
          <cell r="M34">
            <v>32840.112549999998</v>
          </cell>
          <cell r="N34">
            <v>33337.248890000003</v>
          </cell>
          <cell r="O34">
            <v>33858.716310000003</v>
          </cell>
          <cell r="P34">
            <v>34404.710359999997</v>
          </cell>
          <cell r="Q34">
            <v>34972.946830000001</v>
          </cell>
          <cell r="R34">
            <v>35560.416369999999</v>
          </cell>
          <cell r="S34">
            <v>36164.840730000004</v>
          </cell>
          <cell r="T34">
            <v>36785.354299999999</v>
          </cell>
          <cell r="U34">
            <v>37422.396500000003</v>
          </cell>
          <cell r="V34">
            <v>38075.176200000002</v>
          </cell>
          <cell r="W34">
            <v>38745.414409999998</v>
          </cell>
          <cell r="X34">
            <v>39434.427680000001</v>
          </cell>
          <cell r="Y34">
            <v>40142.754410000001</v>
          </cell>
          <cell r="Z34">
            <v>40870.149850000002</v>
          </cell>
          <cell r="AA34">
            <v>41609.882490000004</v>
          </cell>
          <cell r="AB34">
            <v>42360.381809999999</v>
          </cell>
          <cell r="AC34">
            <v>43121.259239999999</v>
          </cell>
          <cell r="AD34">
            <v>43892.950929999999</v>
          </cell>
          <cell r="AE34">
            <v>44676.224040000001</v>
          </cell>
          <cell r="AF34">
            <v>45471.739410000002</v>
          </cell>
          <cell r="AG34">
            <v>46279.81149</v>
          </cell>
          <cell r="AH34">
            <v>47100.400399999999</v>
          </cell>
          <cell r="AI34">
            <v>47933.271189999999</v>
          </cell>
          <cell r="AJ34">
            <v>48778.204850000002</v>
          </cell>
          <cell r="AK34">
            <v>49635.155930000001</v>
          </cell>
        </row>
        <row r="35">
          <cell r="B35">
            <v>28141.630369999999</v>
          </cell>
          <cell r="C35">
            <v>28477.422210000001</v>
          </cell>
          <cell r="D35">
            <v>28833.158899999999</v>
          </cell>
          <cell r="E35">
            <v>29214.30241</v>
          </cell>
          <cell r="F35">
            <v>29622.700710000001</v>
          </cell>
          <cell r="G35">
            <v>30057.32416</v>
          </cell>
          <cell r="H35">
            <v>30514.353709999999</v>
          </cell>
          <cell r="I35">
            <v>30990.098819999999</v>
          </cell>
          <cell r="J35">
            <v>31482.04753</v>
          </cell>
          <cell r="K35">
            <v>31989.16116</v>
          </cell>
          <cell r="L35">
            <v>32513.987880000001</v>
          </cell>
          <cell r="M35">
            <v>33056.364670000003</v>
          </cell>
          <cell r="N35">
            <v>33615.820330000002</v>
          </cell>
          <cell r="O35">
            <v>34191.480730000003</v>
          </cell>
          <cell r="P35">
            <v>34782.349490000001</v>
          </cell>
          <cell r="Q35">
            <v>35387.655550000003</v>
          </cell>
          <cell r="R35">
            <v>36007.077819999999</v>
          </cell>
          <cell r="S35">
            <v>36640.772879999997</v>
          </cell>
          <cell r="T35">
            <v>37289.239119999998</v>
          </cell>
          <cell r="U35">
            <v>37953.108</v>
          </cell>
          <cell r="V35">
            <v>38630.924420000003</v>
          </cell>
          <cell r="W35">
            <v>39323.725189999997</v>
          </cell>
          <cell r="X35">
            <v>40032.443809999997</v>
          </cell>
          <cell r="Y35">
            <v>40757.742100000003</v>
          </cell>
          <cell r="Z35">
            <v>41499.94526</v>
          </cell>
          <cell r="AA35">
            <v>42252.927689999997</v>
          </cell>
          <cell r="AB35">
            <v>43015.855869999999</v>
          </cell>
          <cell r="AC35">
            <v>43788.84779</v>
          </cell>
          <cell r="AD35">
            <v>44572.527130000002</v>
          </cell>
          <cell r="AE35">
            <v>45367.570500000002</v>
          </cell>
          <cell r="AF35">
            <v>46174.389340000002</v>
          </cell>
          <cell r="AG35">
            <v>46993.025520000003</v>
          </cell>
          <cell r="AH35">
            <v>47823.241860000002</v>
          </cell>
          <cell r="AI35">
            <v>48664.719060000003</v>
          </cell>
          <cell r="AJ35">
            <v>49517.250079999998</v>
          </cell>
          <cell r="AK35">
            <v>50380.849699999999</v>
          </cell>
        </row>
        <row r="36">
          <cell r="B36">
            <v>6034445.0060000001</v>
          </cell>
          <cell r="C36">
            <v>6103779.3669999996</v>
          </cell>
          <cell r="D36">
            <v>6174269.551</v>
          </cell>
          <cell r="E36">
            <v>6247176.7939999998</v>
          </cell>
          <cell r="F36">
            <v>6323104.2999999998</v>
          </cell>
          <cell r="G36">
            <v>6402035.091</v>
          </cell>
          <cell r="H36">
            <v>6484007.7340000002</v>
          </cell>
          <cell r="I36">
            <v>6566362.2039999999</v>
          </cell>
          <cell r="J36">
            <v>6647374.5029999996</v>
          </cell>
          <cell r="K36">
            <v>6726907.9539999999</v>
          </cell>
          <cell r="L36">
            <v>6805666.1050000004</v>
          </cell>
          <cell r="M36">
            <v>6885929.0779999997</v>
          </cell>
          <cell r="N36">
            <v>6969090.125</v>
          </cell>
          <cell r="O36">
            <v>7055845.1560000004</v>
          </cell>
          <cell r="P36">
            <v>7146300.3710000003</v>
          </cell>
          <cell r="Q36">
            <v>7240189.1500000004</v>
          </cell>
          <cell r="R36">
            <v>7337147.9670000002</v>
          </cell>
          <cell r="S36">
            <v>7436935.6399999997</v>
          </cell>
          <cell r="T36">
            <v>7539528.5029999996</v>
          </cell>
          <cell r="U36">
            <v>7645095.0049999999</v>
          </cell>
          <cell r="V36">
            <v>7754139.085</v>
          </cell>
          <cell r="W36">
            <v>7866422.4359999998</v>
          </cell>
          <cell r="X36">
            <v>7982120.7350000003</v>
          </cell>
          <cell r="Y36">
            <v>8101379.9539999999</v>
          </cell>
          <cell r="Z36">
            <v>8224215.2010000004</v>
          </cell>
          <cell r="AA36">
            <v>8351128.3830000004</v>
          </cell>
          <cell r="AB36">
            <v>8481046.0280000009</v>
          </cell>
          <cell r="AC36">
            <v>8613659.1459999997</v>
          </cell>
          <cell r="AD36">
            <v>8748968.8499999996</v>
          </cell>
          <cell r="AE36">
            <v>8887073.6510000005</v>
          </cell>
          <cell r="AF36">
            <v>9028064.2180000003</v>
          </cell>
          <cell r="AG36">
            <v>9171976.0739999991</v>
          </cell>
          <cell r="AH36">
            <v>9318786.4739999995</v>
          </cell>
          <cell r="AI36">
            <v>9468439.6879999992</v>
          </cell>
          <cell r="AJ36">
            <v>9620880.7239999995</v>
          </cell>
          <cell r="AK36">
            <v>9776080.443</v>
          </cell>
        </row>
        <row r="37">
          <cell r="B37">
            <v>6034445.0060000001</v>
          </cell>
          <cell r="C37">
            <v>6103779.3669999996</v>
          </cell>
          <cell r="D37">
            <v>6174269.551</v>
          </cell>
          <cell r="E37">
            <v>6247176.7939999998</v>
          </cell>
          <cell r="F37">
            <v>6323104.2999999998</v>
          </cell>
          <cell r="G37">
            <v>6402035.091</v>
          </cell>
          <cell r="H37">
            <v>6483891.2290000003</v>
          </cell>
          <cell r="I37">
            <v>6568085.5580000002</v>
          </cell>
          <cell r="J37">
            <v>6654161.2850000001</v>
          </cell>
          <cell r="K37">
            <v>6741945.2630000003</v>
          </cell>
          <cell r="L37">
            <v>6831078.7419999996</v>
          </cell>
          <cell r="M37">
            <v>6922471.46</v>
          </cell>
          <cell r="N37">
            <v>7016253.324</v>
          </cell>
          <cell r="O37">
            <v>7112335.5010000002</v>
          </cell>
          <cell r="P37">
            <v>7210616.3119999999</v>
          </cell>
          <cell r="Q37">
            <v>7311059.8020000001</v>
          </cell>
          <cell r="R37">
            <v>7413722.4189999998</v>
          </cell>
          <cell r="S37">
            <v>7518744.8990000002</v>
          </cell>
          <cell r="T37">
            <v>7626321.6200000001</v>
          </cell>
          <cell r="U37">
            <v>7736662.165</v>
          </cell>
          <cell r="V37">
            <v>7850188.4400000004</v>
          </cell>
          <cell r="W37">
            <v>7966576.1129999999</v>
          </cell>
          <cell r="X37">
            <v>8085969.0310000004</v>
          </cell>
          <cell r="Y37">
            <v>8208562.8779999996</v>
          </cell>
          <cell r="Z37">
            <v>8334490.9199999999</v>
          </cell>
          <cell r="AA37">
            <v>8464383.4389999993</v>
          </cell>
          <cell r="AB37">
            <v>8597295.8849999998</v>
          </cell>
          <cell r="AC37">
            <v>8733006.3080000002</v>
          </cell>
          <cell r="AD37">
            <v>8871545.7300000004</v>
          </cell>
          <cell r="AE37">
            <v>9012992.0370000005</v>
          </cell>
          <cell r="AF37">
            <v>9157384.0610000007</v>
          </cell>
          <cell r="AG37">
            <v>9304696.4949999992</v>
          </cell>
          <cell r="AH37">
            <v>9454853.5879999995</v>
          </cell>
          <cell r="AI37">
            <v>9607761.9079999998</v>
          </cell>
          <cell r="AJ37">
            <v>9763342.9759999998</v>
          </cell>
          <cell r="AK37">
            <v>9921552.1899999995</v>
          </cell>
        </row>
        <row r="38">
          <cell r="B38">
            <v>1607668.66</v>
          </cell>
          <cell r="C38">
            <v>1626566.9550000001</v>
          </cell>
          <cell r="D38">
            <v>1646168.142</v>
          </cell>
          <cell r="E38">
            <v>1666661.327</v>
          </cell>
          <cell r="F38">
            <v>1688071.4140000001</v>
          </cell>
          <cell r="G38">
            <v>1710298.121</v>
          </cell>
          <cell r="H38">
            <v>1733194.6029999999</v>
          </cell>
          <cell r="I38">
            <v>1756019.4129999999</v>
          </cell>
          <cell r="J38">
            <v>1778430.9029999999</v>
          </cell>
          <cell r="K38">
            <v>1800508.6580000001</v>
          </cell>
          <cell r="L38">
            <v>1822591.2150000001</v>
          </cell>
          <cell r="M38">
            <v>1845146.0859999999</v>
          </cell>
          <cell r="N38">
            <v>1868476.0730000001</v>
          </cell>
          <cell r="O38">
            <v>1892722.0390000001</v>
          </cell>
          <cell r="P38">
            <v>1917887.9029999999</v>
          </cell>
          <cell r="Q38">
            <v>1943901.4080000001</v>
          </cell>
          <cell r="R38">
            <v>1970683.108</v>
          </cell>
          <cell r="S38">
            <v>1998193.432</v>
          </cell>
          <cell r="T38">
            <v>2026446.102</v>
          </cell>
          <cell r="U38">
            <v>2055494.14</v>
          </cell>
          <cell r="V38">
            <v>2085399.2520000001</v>
          </cell>
          <cell r="W38">
            <v>2116168.574</v>
          </cell>
          <cell r="X38">
            <v>2147841.2289999998</v>
          </cell>
          <cell r="Y38">
            <v>2180431.048</v>
          </cell>
          <cell r="Z38">
            <v>2213920.4989999998</v>
          </cell>
          <cell r="AA38">
            <v>2248249.8679999998</v>
          </cell>
          <cell r="AB38">
            <v>2283262.6779999998</v>
          </cell>
          <cell r="AC38">
            <v>2318921.9070000001</v>
          </cell>
          <cell r="AD38">
            <v>2355240.29</v>
          </cell>
          <cell r="AE38">
            <v>2392243.1970000002</v>
          </cell>
          <cell r="AF38">
            <v>2429948.5690000001</v>
          </cell>
          <cell r="AG38">
            <v>2468359.1809999999</v>
          </cell>
          <cell r="AH38">
            <v>2507464.7560000001</v>
          </cell>
          <cell r="AI38">
            <v>2547249.6809999999</v>
          </cell>
          <cell r="AJ38">
            <v>2587701.3199999998</v>
          </cell>
          <cell r="AK38">
            <v>2628815.148</v>
          </cell>
        </row>
        <row r="39">
          <cell r="B39">
            <v>1607668.66</v>
          </cell>
          <cell r="C39">
            <v>1626566.9550000001</v>
          </cell>
          <cell r="D39">
            <v>1646168.142</v>
          </cell>
          <cell r="E39">
            <v>1666661.327</v>
          </cell>
          <cell r="F39">
            <v>1688071.4140000001</v>
          </cell>
          <cell r="G39">
            <v>1710298.121</v>
          </cell>
          <cell r="H39">
            <v>1733205.26</v>
          </cell>
          <cell r="I39">
            <v>1756612.83</v>
          </cell>
          <cell r="J39">
            <v>1780402.0430000001</v>
          </cell>
          <cell r="K39">
            <v>1804531.3529999999</v>
          </cell>
          <cell r="L39">
            <v>1829008.6240000001</v>
          </cell>
          <cell r="M39">
            <v>1853943.5970000001</v>
          </cell>
          <cell r="N39">
            <v>1879344.5989999999</v>
          </cell>
          <cell r="O39">
            <v>1905196.8430000001</v>
          </cell>
          <cell r="P39">
            <v>1931493.8189999999</v>
          </cell>
          <cell r="Q39">
            <v>1958250.2239999999</v>
          </cell>
          <cell r="R39">
            <v>1985504.422</v>
          </cell>
          <cell r="S39">
            <v>2013313.1569999999</v>
          </cell>
          <cell r="T39">
            <v>2041741.952</v>
          </cell>
          <cell r="U39">
            <v>2070855.0379999999</v>
          </cell>
          <cell r="V39">
            <v>2100701.5819999999</v>
          </cell>
          <cell r="W39">
            <v>2131282.3050000002</v>
          </cell>
          <cell r="X39">
            <v>2162645.568</v>
          </cell>
          <cell r="Y39">
            <v>2194833.8629999999</v>
          </cell>
          <cell r="Z39">
            <v>2227871.7000000002</v>
          </cell>
          <cell r="AA39">
            <v>2261739.77</v>
          </cell>
          <cell r="AB39">
            <v>2296317.9559999998</v>
          </cell>
          <cell r="AC39">
            <v>2331590.5320000001</v>
          </cell>
          <cell r="AD39">
            <v>2367575.4079999998</v>
          </cell>
          <cell r="AE39">
            <v>2404290.645</v>
          </cell>
          <cell r="AF39">
            <v>2441740.2590000001</v>
          </cell>
          <cell r="AG39">
            <v>2479912.1770000001</v>
          </cell>
          <cell r="AH39">
            <v>2518784.1060000001</v>
          </cell>
          <cell r="AI39">
            <v>2558332.469</v>
          </cell>
          <cell r="AJ39">
            <v>2598539.96</v>
          </cell>
          <cell r="AK39">
            <v>2639398.9939999999</v>
          </cell>
        </row>
        <row r="40">
          <cell r="B40">
            <v>27852.997329999998</v>
          </cell>
          <cell r="C40">
            <v>28246.390520000001</v>
          </cell>
          <cell r="D40">
            <v>28731.85987</v>
          </cell>
          <cell r="E40">
            <v>29306.8416</v>
          </cell>
          <cell r="F40">
            <v>29962.68219</v>
          </cell>
          <cell r="G40">
            <v>30690.114249999999</v>
          </cell>
          <cell r="H40">
            <v>31479.047020000002</v>
          </cell>
          <cell r="I40">
            <v>32313.925950000001</v>
          </cell>
          <cell r="J40">
            <v>33184.090089999998</v>
          </cell>
          <cell r="K40">
            <v>34084.159220000001</v>
          </cell>
          <cell r="L40">
            <v>35018.963109999997</v>
          </cell>
          <cell r="M40">
            <v>35984.580699999999</v>
          </cell>
          <cell r="N40">
            <v>36981.746209999998</v>
          </cell>
          <cell r="O40">
            <v>38011.821309999999</v>
          </cell>
          <cell r="P40">
            <v>39074.697030000003</v>
          </cell>
          <cell r="Q40">
            <v>40168.76829</v>
          </cell>
          <cell r="R40">
            <v>41291.756399999998</v>
          </cell>
          <cell r="S40">
            <v>42441.592290000001</v>
          </cell>
          <cell r="T40">
            <v>43616.944839999996</v>
          </cell>
          <cell r="U40">
            <v>44817.301440000003</v>
          </cell>
          <cell r="V40">
            <v>46038.063110000003</v>
          </cell>
          <cell r="W40">
            <v>47283.648330000004</v>
          </cell>
          <cell r="X40">
            <v>48555.384230000003</v>
          </cell>
          <cell r="Y40">
            <v>49852.798119999999</v>
          </cell>
          <cell r="Z40">
            <v>51174.713499999998</v>
          </cell>
          <cell r="AA40">
            <v>52505.522259999998</v>
          </cell>
          <cell r="AB40">
            <v>53850.806559999997</v>
          </cell>
          <cell r="AC40">
            <v>55212.561199999996</v>
          </cell>
          <cell r="AD40">
            <v>56590.500390000001</v>
          </cell>
          <cell r="AE40">
            <v>57983.770069999999</v>
          </cell>
          <cell r="AF40">
            <v>59391.418559999998</v>
          </cell>
          <cell r="AG40">
            <v>60812.39806</v>
          </cell>
          <cell r="AH40">
            <v>62245.535049999999</v>
          </cell>
          <cell r="AI40">
            <v>63689.582880000002</v>
          </cell>
          <cell r="AJ40">
            <v>65143.327299999997</v>
          </cell>
          <cell r="AK40">
            <v>66605.683869999993</v>
          </cell>
        </row>
        <row r="41">
          <cell r="B41">
            <v>27852.997329999998</v>
          </cell>
          <cell r="C41">
            <v>28246.390520000001</v>
          </cell>
          <cell r="D41">
            <v>28731.85987</v>
          </cell>
          <cell r="E41">
            <v>29306.8416</v>
          </cell>
          <cell r="F41">
            <v>29962.68219</v>
          </cell>
          <cell r="G41">
            <v>30690.114249999999</v>
          </cell>
          <cell r="H41">
            <v>31477.289529999998</v>
          </cell>
          <cell r="I41">
            <v>32317.163339999999</v>
          </cell>
          <cell r="J41">
            <v>33204.959799999997</v>
          </cell>
          <cell r="K41">
            <v>34137.024100000002</v>
          </cell>
          <cell r="L41">
            <v>35116.325629999999</v>
          </cell>
          <cell r="M41">
            <v>36134.87182</v>
          </cell>
          <cell r="N41">
            <v>37188.71284</v>
          </cell>
          <cell r="O41">
            <v>38275.442450000002</v>
          </cell>
          <cell r="P41">
            <v>39392.847070000003</v>
          </cell>
          <cell r="Q41">
            <v>40538.787980000001</v>
          </cell>
          <cell r="R41">
            <v>41711.403610000001</v>
          </cell>
          <cell r="S41">
            <v>42909.253199999999</v>
          </cell>
          <cell r="T41">
            <v>44131.326560000001</v>
          </cell>
          <cell r="U41">
            <v>45376.95463</v>
          </cell>
          <cell r="V41">
            <v>46640.93017</v>
          </cell>
          <cell r="W41">
            <v>47927.186450000001</v>
          </cell>
          <cell r="X41">
            <v>49236.745069999997</v>
          </cell>
          <cell r="Y41">
            <v>50569.195310000003</v>
          </cell>
          <cell r="Z41">
            <v>51923.805869999997</v>
          </cell>
          <cell r="AA41">
            <v>53285.446519999998</v>
          </cell>
          <cell r="AB41">
            <v>54660.531649999997</v>
          </cell>
          <cell r="AC41">
            <v>56051.752119999997</v>
          </cell>
          <cell r="AD41">
            <v>57459.29853</v>
          </cell>
          <cell r="AE41">
            <v>58882.565730000002</v>
          </cell>
          <cell r="AF41">
            <v>60320.663520000002</v>
          </cell>
          <cell r="AG41">
            <v>61772.488120000002</v>
          </cell>
          <cell r="AH41">
            <v>63236.755960000002</v>
          </cell>
          <cell r="AI41">
            <v>64712.093800000002</v>
          </cell>
          <cell r="AJ41">
            <v>66197.15496</v>
          </cell>
          <cell r="AK41">
            <v>67690.702780000007</v>
          </cell>
        </row>
        <row r="42">
          <cell r="B42">
            <v>9832.3778089999996</v>
          </cell>
          <cell r="C42">
            <v>9947.6303110000008</v>
          </cell>
          <cell r="D42">
            <v>10064.557000000001</v>
          </cell>
          <cell r="E42">
            <v>10182.642089999999</v>
          </cell>
          <cell r="F42">
            <v>10301.9328</v>
          </cell>
          <cell r="G42">
            <v>10422.787829999999</v>
          </cell>
          <cell r="H42">
            <v>10546.09909</v>
          </cell>
          <cell r="I42">
            <v>10672.27757</v>
          </cell>
          <cell r="J42">
            <v>10801.70421</v>
          </cell>
          <cell r="K42">
            <v>10934.30207</v>
          </cell>
          <cell r="L42">
            <v>11070.15604</v>
          </cell>
          <cell r="M42">
            <v>11208.14199</v>
          </cell>
          <cell r="N42">
            <v>11347.497139999999</v>
          </cell>
          <cell r="O42">
            <v>11487.8043</v>
          </cell>
          <cell r="P42">
            <v>11628.89817</v>
          </cell>
          <cell r="Q42">
            <v>11770.74791</v>
          </cell>
          <cell r="R42">
            <v>11913.34814</v>
          </cell>
          <cell r="S42">
            <v>12056.649590000001</v>
          </cell>
          <cell r="T42">
            <v>12200.53902</v>
          </cell>
          <cell r="U42">
            <v>12344.85858</v>
          </cell>
          <cell r="V42">
            <v>12488.956179999999</v>
          </cell>
          <cell r="W42">
            <v>12632.99192</v>
          </cell>
          <cell r="X42">
            <v>12776.989149999999</v>
          </cell>
          <cell r="Y42">
            <v>12920.932779999999</v>
          </cell>
          <cell r="Z42">
            <v>13064.820009999999</v>
          </cell>
          <cell r="AA42">
            <v>13207.213669999999</v>
          </cell>
          <cell r="AB42">
            <v>13348.360549999999</v>
          </cell>
          <cell r="AC42">
            <v>13488.30776</v>
          </cell>
          <cell r="AD42">
            <v>13626.96227</v>
          </cell>
          <cell r="AE42">
            <v>13764.1922</v>
          </cell>
          <cell r="AF42">
            <v>13899.87896</v>
          </cell>
          <cell r="AG42">
            <v>14033.93534</v>
          </cell>
          <cell r="AH42">
            <v>14166.30387</v>
          </cell>
          <cell r="AI42">
            <v>14296.94563</v>
          </cell>
          <cell r="AJ42">
            <v>14425.827859999999</v>
          </cell>
          <cell r="AK42">
            <v>14552.916080000001</v>
          </cell>
        </row>
        <row r="43">
          <cell r="B43">
            <v>9832.3778089999996</v>
          </cell>
          <cell r="C43">
            <v>9947.6303110000008</v>
          </cell>
          <cell r="D43">
            <v>10064.557000000001</v>
          </cell>
          <cell r="E43">
            <v>10182.642089999999</v>
          </cell>
          <cell r="F43">
            <v>10301.9328</v>
          </cell>
          <cell r="G43">
            <v>10422.787829999999</v>
          </cell>
          <cell r="H43">
            <v>10545.240110000001</v>
          </cell>
          <cell r="I43">
            <v>10669.55226</v>
          </cell>
          <cell r="J43">
            <v>10795.96306</v>
          </cell>
          <cell r="K43">
            <v>10924.589679999999</v>
          </cell>
          <cell r="L43">
            <v>11056.06983</v>
          </cell>
          <cell r="M43">
            <v>11189.920029999999</v>
          </cell>
          <cell r="N43">
            <v>11325.894399999999</v>
          </cell>
          <cell r="O43">
            <v>11463.8418</v>
          </cell>
          <cell r="P43">
            <v>11603.611370000001</v>
          </cell>
          <cell r="Q43">
            <v>11745.01836</v>
          </cell>
          <cell r="R43">
            <v>11887.84144</v>
          </cell>
          <cell r="S43">
            <v>12031.836439999999</v>
          </cell>
          <cell r="T43">
            <v>12176.757149999999</v>
          </cell>
          <cell r="U43">
            <v>12322.37527</v>
          </cell>
          <cell r="V43">
            <v>12468.00957</v>
          </cell>
          <cell r="W43">
            <v>12613.79154</v>
          </cell>
          <cell r="X43">
            <v>12759.702310000001</v>
          </cell>
          <cell r="Y43">
            <v>12905.66742</v>
          </cell>
          <cell r="Z43">
            <v>13051.615750000001</v>
          </cell>
          <cell r="AA43">
            <v>13196.05032</v>
          </cell>
          <cell r="AB43">
            <v>13339.17353</v>
          </cell>
          <cell r="AC43">
            <v>13481.011329999999</v>
          </cell>
          <cell r="AD43">
            <v>13621.47408</v>
          </cell>
          <cell r="AE43">
            <v>13760.451800000001</v>
          </cell>
          <cell r="AF43">
            <v>13897.856449999999</v>
          </cell>
          <cell r="AG43">
            <v>14033.63067</v>
          </cell>
          <cell r="AH43">
            <v>14167.73965</v>
          </cell>
          <cell r="AI43">
            <v>14300.1577</v>
          </cell>
          <cell r="AJ43">
            <v>14430.856900000001</v>
          </cell>
          <cell r="AK43">
            <v>14559.80178</v>
          </cell>
        </row>
        <row r="44">
          <cell r="B44">
            <v>3233.1438499999999</v>
          </cell>
          <cell r="C44">
            <v>3273.7220590000002</v>
          </cell>
          <cell r="D44">
            <v>3317.585497</v>
          </cell>
          <cell r="E44">
            <v>3364.144425</v>
          </cell>
          <cell r="F44">
            <v>3412.92994</v>
          </cell>
          <cell r="G44">
            <v>3463.6102559999999</v>
          </cell>
          <cell r="H44">
            <v>3516.0972999999999</v>
          </cell>
          <cell r="I44">
            <v>3570.022872</v>
          </cell>
          <cell r="J44">
            <v>3625.155753</v>
          </cell>
          <cell r="K44">
            <v>3681.2649550000001</v>
          </cell>
          <cell r="L44">
            <v>3738.3760050000001</v>
          </cell>
          <cell r="M44">
            <v>3796.0256239999999</v>
          </cell>
          <cell r="N44">
            <v>3853.9263430000001</v>
          </cell>
          <cell r="O44">
            <v>3911.9024479999998</v>
          </cell>
          <cell r="P44">
            <v>3969.8387619999999</v>
          </cell>
          <cell r="Q44">
            <v>4027.648948</v>
          </cell>
          <cell r="R44">
            <v>4085.2558260000001</v>
          </cell>
          <cell r="S44">
            <v>4142.5823250000003</v>
          </cell>
          <cell r="T44">
            <v>4199.5506489999998</v>
          </cell>
          <cell r="U44">
            <v>4256.0864789999996</v>
          </cell>
          <cell r="V44">
            <v>4311.8992040000003</v>
          </cell>
          <cell r="W44">
            <v>4367.0834459999996</v>
          </cell>
          <cell r="X44">
            <v>4421.6563429999997</v>
          </cell>
          <cell r="Y44">
            <v>4475.6062060000004</v>
          </cell>
          <cell r="Z44">
            <v>4528.9192430000003</v>
          </cell>
          <cell r="AA44">
            <v>4580.9208600000002</v>
          </cell>
          <cell r="AB44">
            <v>4631.7416679999997</v>
          </cell>
          <cell r="AC44">
            <v>4681.4263730000002</v>
          </cell>
          <cell r="AD44">
            <v>4729.9668860000002</v>
          </cell>
          <cell r="AE44">
            <v>4777.3438299999998</v>
          </cell>
          <cell r="AF44">
            <v>4823.5435930000003</v>
          </cell>
          <cell r="AG44">
            <v>4868.5624980000002</v>
          </cell>
          <cell r="AH44">
            <v>4912.4056639999999</v>
          </cell>
          <cell r="AI44">
            <v>4955.0840719999997</v>
          </cell>
          <cell r="AJ44">
            <v>4996.6117080000004</v>
          </cell>
          <cell r="AK44">
            <v>5037.003831</v>
          </cell>
        </row>
        <row r="45">
          <cell r="B45">
            <v>3233.1438499999999</v>
          </cell>
          <cell r="C45">
            <v>3273.7220590000002</v>
          </cell>
          <cell r="D45">
            <v>3317.585497</v>
          </cell>
          <cell r="E45">
            <v>3364.144425</v>
          </cell>
          <cell r="F45">
            <v>3412.92994</v>
          </cell>
          <cell r="G45">
            <v>3463.6102559999999</v>
          </cell>
          <cell r="H45">
            <v>3515.7489099999998</v>
          </cell>
          <cell r="I45">
            <v>3569.0791380000001</v>
          </cell>
          <cell r="J45">
            <v>3623.3999079999999</v>
          </cell>
          <cell r="K45">
            <v>3678.5324989999999</v>
          </cell>
          <cell r="L45">
            <v>3734.6078309999998</v>
          </cell>
          <cell r="M45">
            <v>3791.2755809999999</v>
          </cell>
          <cell r="N45">
            <v>3848.3336680000002</v>
          </cell>
          <cell r="O45">
            <v>3905.6478510000002</v>
          </cell>
          <cell r="P45">
            <v>3963.1051950000001</v>
          </cell>
          <cell r="Q45">
            <v>4020.5986079999998</v>
          </cell>
          <cell r="R45">
            <v>4078.0242880000001</v>
          </cell>
          <cell r="S45">
            <v>4135.2836950000001</v>
          </cell>
          <cell r="T45">
            <v>4192.286607</v>
          </cell>
          <cell r="U45">
            <v>4248.9535669999996</v>
          </cell>
          <cell r="V45">
            <v>4304.9922450000004</v>
          </cell>
          <cell r="W45">
            <v>4360.4918520000001</v>
          </cell>
          <cell r="X45">
            <v>4415.4592549999998</v>
          </cell>
          <cell r="Y45">
            <v>4469.8686669999997</v>
          </cell>
          <cell r="Z45">
            <v>4523.6906630000003</v>
          </cell>
          <cell r="AA45">
            <v>4576.2365099999997</v>
          </cell>
          <cell r="AB45">
            <v>4627.6252789999999</v>
          </cell>
          <cell r="AC45">
            <v>4677.8936990000002</v>
          </cell>
          <cell r="AD45">
            <v>4727.0296479999997</v>
          </cell>
          <cell r="AE45">
            <v>4775.012823</v>
          </cell>
          <cell r="AF45">
            <v>4821.8302450000001</v>
          </cell>
          <cell r="AG45">
            <v>4867.4790759999996</v>
          </cell>
          <cell r="AH45">
            <v>4911.9645650000002</v>
          </cell>
          <cell r="AI45">
            <v>4955.2968440000004</v>
          </cell>
          <cell r="AJ45">
            <v>4997.4883399999999</v>
          </cell>
          <cell r="AK45">
            <v>5038.5523750000002</v>
          </cell>
        </row>
        <row r="46">
          <cell r="B46">
            <v>34438.20882</v>
          </cell>
          <cell r="C46">
            <v>34910.319909999998</v>
          </cell>
          <cell r="D46">
            <v>35463.369530000004</v>
          </cell>
          <cell r="E46">
            <v>36084.234790000002</v>
          </cell>
          <cell r="F46">
            <v>36760.055399999997</v>
          </cell>
          <cell r="G46">
            <v>37481.615259999999</v>
          </cell>
          <cell r="H46">
            <v>38244.250569999997</v>
          </cell>
          <cell r="I46">
            <v>39049.844870000001</v>
          </cell>
          <cell r="J46">
            <v>39898.879939999999</v>
          </cell>
          <cell r="K46">
            <v>40784.309829999998</v>
          </cell>
          <cell r="L46">
            <v>41694.341540000001</v>
          </cell>
          <cell r="M46">
            <v>42612.852129999999</v>
          </cell>
          <cell r="N46">
            <v>43526.615129999998</v>
          </cell>
          <cell r="O46">
            <v>44427.900659999999</v>
          </cell>
          <cell r="P46">
            <v>45313.953829999999</v>
          </cell>
          <cell r="Q46">
            <v>46185.045140000002</v>
          </cell>
          <cell r="R46">
            <v>47042.337030000002</v>
          </cell>
          <cell r="S46">
            <v>47886.47406</v>
          </cell>
          <cell r="T46">
            <v>48717.123050000002</v>
          </cell>
          <cell r="U46">
            <v>49533.28297</v>
          </cell>
          <cell r="V46">
            <v>50332.233110000001</v>
          </cell>
          <cell r="W46">
            <v>51114.098389999999</v>
          </cell>
          <cell r="X46">
            <v>51879.964</v>
          </cell>
          <cell r="Y46">
            <v>52631.43763</v>
          </cell>
          <cell r="Z46">
            <v>53370.590559999997</v>
          </cell>
          <cell r="AA46">
            <v>54094.290509999999</v>
          </cell>
          <cell r="AB46">
            <v>54804.292280000001</v>
          </cell>
          <cell r="AC46">
            <v>55502.144610000003</v>
          </cell>
          <cell r="AD46">
            <v>56188.326430000001</v>
          </cell>
          <cell r="AE46">
            <v>56862.887710000003</v>
          </cell>
          <cell r="AF46">
            <v>57526.034359999998</v>
          </cell>
          <cell r="AG46">
            <v>58178.364699999998</v>
          </cell>
          <cell r="AH46">
            <v>58820.835249999996</v>
          </cell>
          <cell r="AI46">
            <v>59454.578049999996</v>
          </cell>
          <cell r="AJ46">
            <v>60080.69371</v>
          </cell>
          <cell r="AK46">
            <v>60700.118629999997</v>
          </cell>
        </row>
        <row r="47">
          <cell r="B47">
            <v>34438.20882</v>
          </cell>
          <cell r="C47">
            <v>34910.319909999998</v>
          </cell>
          <cell r="D47">
            <v>35463.369530000004</v>
          </cell>
          <cell r="E47">
            <v>36084.234790000002</v>
          </cell>
          <cell r="F47">
            <v>36760.055399999997</v>
          </cell>
          <cell r="G47">
            <v>37481.615259999999</v>
          </cell>
          <cell r="H47">
            <v>38241.135040000001</v>
          </cell>
          <cell r="I47">
            <v>39033.369500000001</v>
          </cell>
          <cell r="J47">
            <v>39854.041949999999</v>
          </cell>
          <cell r="K47">
            <v>40698.729480000002</v>
          </cell>
          <cell r="L47">
            <v>41564.768889999999</v>
          </cell>
          <cell r="M47">
            <v>42446.709889999998</v>
          </cell>
          <cell r="N47">
            <v>43339.673300000002</v>
          </cell>
          <cell r="O47">
            <v>44239.72251</v>
          </cell>
          <cell r="P47">
            <v>45143.246500000001</v>
          </cell>
          <cell r="Q47">
            <v>46046.546150000002</v>
          </cell>
          <cell r="R47">
            <v>46945.800810000001</v>
          </cell>
          <cell r="S47">
            <v>47837.284319999999</v>
          </cell>
          <cell r="T47">
            <v>48717.68939</v>
          </cell>
          <cell r="U47">
            <v>49584.424270000003</v>
          </cell>
          <cell r="V47">
            <v>50434.0939</v>
          </cell>
          <cell r="W47">
            <v>51266.296249999999</v>
          </cell>
          <cell r="X47">
            <v>52081.379630000003</v>
          </cell>
          <cell r="Y47">
            <v>52879.953240000003</v>
          </cell>
          <cell r="Z47">
            <v>53662.993929999997</v>
          </cell>
          <cell r="AA47">
            <v>54426.448380000002</v>
          </cell>
          <cell r="AB47">
            <v>55171.51137</v>
          </cell>
          <cell r="AC47">
            <v>55899.62904</v>
          </cell>
          <cell r="AD47">
            <v>56611.628219999999</v>
          </cell>
          <cell r="AE47">
            <v>57308.231659999998</v>
          </cell>
          <cell r="AF47">
            <v>57990.452279999998</v>
          </cell>
          <cell r="AG47">
            <v>58659.663630000003</v>
          </cell>
          <cell r="AH47">
            <v>59317.447339999999</v>
          </cell>
          <cell r="AI47">
            <v>59965.36189</v>
          </cell>
          <cell r="AJ47">
            <v>60604.753380000002</v>
          </cell>
          <cell r="AK47">
            <v>61236.653259999999</v>
          </cell>
        </row>
        <row r="48">
          <cell r="B48">
            <v>589.64171269999997</v>
          </cell>
          <cell r="C48">
            <v>597.73379590000002</v>
          </cell>
          <cell r="D48">
            <v>607.22246480000001</v>
          </cell>
          <cell r="E48">
            <v>617.88240819999999</v>
          </cell>
          <cell r="F48">
            <v>629.49057470000002</v>
          </cell>
          <cell r="G48">
            <v>641.88503430000003</v>
          </cell>
          <cell r="H48">
            <v>654.98141129999999</v>
          </cell>
          <cell r="I48">
            <v>668.79803179999999</v>
          </cell>
          <cell r="J48">
            <v>683.33716479999998</v>
          </cell>
          <cell r="K48">
            <v>698.47973690000003</v>
          </cell>
          <cell r="L48">
            <v>714.03030100000001</v>
          </cell>
          <cell r="M48">
            <v>729.71968149999998</v>
          </cell>
          <cell r="N48">
            <v>745.32670310000003</v>
          </cell>
          <cell r="O48">
            <v>760.72156519999999</v>
          </cell>
          <cell r="P48">
            <v>775.85720019999997</v>
          </cell>
          <cell r="Q48">
            <v>790.73706719999996</v>
          </cell>
          <cell r="R48">
            <v>805.37988499999994</v>
          </cell>
          <cell r="S48">
            <v>819.79627419999997</v>
          </cell>
          <cell r="T48">
            <v>833.98102849999998</v>
          </cell>
          <cell r="U48">
            <v>847.91810120000002</v>
          </cell>
          <cell r="V48">
            <v>861.56193859999996</v>
          </cell>
          <cell r="W48">
            <v>874.91560589999995</v>
          </cell>
          <cell r="X48">
            <v>887.9981626</v>
          </cell>
          <cell r="Y48">
            <v>900.83702510000001</v>
          </cell>
          <cell r="Z48">
            <v>913.46709120000003</v>
          </cell>
          <cell r="AA48">
            <v>925.83355489999997</v>
          </cell>
          <cell r="AB48">
            <v>937.96586460000003</v>
          </cell>
          <cell r="AC48">
            <v>949.8905853</v>
          </cell>
          <cell r="AD48">
            <v>961.61632020000002</v>
          </cell>
          <cell r="AE48">
            <v>973.14437410000005</v>
          </cell>
          <cell r="AF48">
            <v>984.47854389999998</v>
          </cell>
          <cell r="AG48">
            <v>995.62909390000004</v>
          </cell>
          <cell r="AH48">
            <v>1006.6122319999999</v>
          </cell>
          <cell r="AI48">
            <v>1017.4471129999999</v>
          </cell>
          <cell r="AJ48">
            <v>1028.1524219999999</v>
          </cell>
          <cell r="AK48">
            <v>1038.744162</v>
          </cell>
        </row>
        <row r="49">
          <cell r="B49">
            <v>589.64171269999997</v>
          </cell>
          <cell r="C49">
            <v>597.73379590000002</v>
          </cell>
          <cell r="D49">
            <v>607.22246480000001</v>
          </cell>
          <cell r="E49">
            <v>617.88240819999999</v>
          </cell>
          <cell r="F49">
            <v>629.49057470000002</v>
          </cell>
          <cell r="G49">
            <v>641.88503430000003</v>
          </cell>
          <cell r="H49">
            <v>654.9282637</v>
          </cell>
          <cell r="I49">
            <v>668.52667240000005</v>
          </cell>
          <cell r="J49">
            <v>682.60458730000005</v>
          </cell>
          <cell r="K49">
            <v>697.08519130000002</v>
          </cell>
          <cell r="L49">
            <v>711.92306940000003</v>
          </cell>
          <cell r="M49">
            <v>727.02504669999996</v>
          </cell>
          <cell r="N49">
            <v>742.30751740000005</v>
          </cell>
          <cell r="O49">
            <v>757.70298089999994</v>
          </cell>
          <cell r="P49">
            <v>773.14973220000002</v>
          </cell>
          <cell r="Q49">
            <v>788.5849657</v>
          </cell>
          <cell r="R49">
            <v>803.94424600000002</v>
          </cell>
          <cell r="S49">
            <v>819.16510359999995</v>
          </cell>
          <cell r="T49">
            <v>834.1923994</v>
          </cell>
          <cell r="U49">
            <v>848.98321060000001</v>
          </cell>
          <cell r="V49">
            <v>863.48047629999996</v>
          </cell>
          <cell r="W49">
            <v>877.67846429999997</v>
          </cell>
          <cell r="X49">
            <v>891.5841216</v>
          </cell>
          <cell r="Y49">
            <v>905.20857169999999</v>
          </cell>
          <cell r="Z49">
            <v>918.56893300000002</v>
          </cell>
          <cell r="AA49">
            <v>931.5954931</v>
          </cell>
          <cell r="AB49">
            <v>944.30882699999995</v>
          </cell>
          <cell r="AC49">
            <v>956.73416020000002</v>
          </cell>
          <cell r="AD49">
            <v>968.88617699999998</v>
          </cell>
          <cell r="AE49">
            <v>980.77760030000002</v>
          </cell>
          <cell r="AF49">
            <v>992.42582170000003</v>
          </cell>
          <cell r="AG49">
            <v>1003.8541269999999</v>
          </cell>
          <cell r="AH49">
            <v>1015.089209</v>
          </cell>
          <cell r="AI49">
            <v>1026.1573550000001</v>
          </cell>
          <cell r="AJ49">
            <v>1037.081326</v>
          </cell>
          <cell r="AK49">
            <v>1047.878647</v>
          </cell>
        </row>
        <row r="50">
          <cell r="B50">
            <v>61002.877050000003</v>
          </cell>
          <cell r="C50">
            <v>61689.48229</v>
          </cell>
          <cell r="D50">
            <v>62356.992819999999</v>
          </cell>
          <cell r="E50">
            <v>63010.612050000003</v>
          </cell>
          <cell r="F50">
            <v>63665.325649999999</v>
          </cell>
          <cell r="G50">
            <v>64341.770060000003</v>
          </cell>
          <cell r="H50">
            <v>65066.010560000002</v>
          </cell>
          <cell r="I50">
            <v>65871.30171</v>
          </cell>
          <cell r="J50">
            <v>66782.866649999996</v>
          </cell>
          <cell r="K50">
            <v>67804.760380000007</v>
          </cell>
          <cell r="L50">
            <v>68920.946389999997</v>
          </cell>
          <cell r="M50">
            <v>70100.708490000005</v>
          </cell>
          <cell r="N50">
            <v>71312.328439999997</v>
          </cell>
          <cell r="O50">
            <v>72531.885869999998</v>
          </cell>
          <cell r="P50">
            <v>73746.750839999993</v>
          </cell>
          <cell r="Q50">
            <v>74953.848710000006</v>
          </cell>
          <cell r="R50">
            <v>76155.198470000003</v>
          </cell>
          <cell r="S50">
            <v>77354.347039999993</v>
          </cell>
          <cell r="T50">
            <v>78554.491810000007</v>
          </cell>
          <cell r="U50">
            <v>79758.267370000001</v>
          </cell>
          <cell r="V50">
            <v>80966.428400000004</v>
          </cell>
          <cell r="W50">
            <v>82183.156719999999</v>
          </cell>
          <cell r="X50">
            <v>83414.238429999998</v>
          </cell>
          <cell r="Y50">
            <v>84666.474879999994</v>
          </cell>
          <cell r="Z50">
            <v>85947.100189999997</v>
          </cell>
          <cell r="AA50">
            <v>87255.814069999993</v>
          </cell>
          <cell r="AB50">
            <v>88596.030079999997</v>
          </cell>
          <cell r="AC50">
            <v>89968.491569999998</v>
          </cell>
          <cell r="AD50">
            <v>91370.679969999997</v>
          </cell>
          <cell r="AE50">
            <v>92798.220050000004</v>
          </cell>
          <cell r="AF50">
            <v>94246.43088</v>
          </cell>
          <cell r="AG50">
            <v>95711.236569999994</v>
          </cell>
          <cell r="AH50">
            <v>97189.570869999996</v>
          </cell>
          <cell r="AI50">
            <v>98679.337159999995</v>
          </cell>
          <cell r="AJ50">
            <v>100179.0993</v>
          </cell>
          <cell r="AK50">
            <v>101687.78230000001</v>
          </cell>
        </row>
        <row r="51">
          <cell r="B51">
            <v>61002.877050000003</v>
          </cell>
          <cell r="C51">
            <v>61689.48229</v>
          </cell>
          <cell r="D51">
            <v>62356.992819999999</v>
          </cell>
          <cell r="E51">
            <v>63010.612050000003</v>
          </cell>
          <cell r="F51">
            <v>63665.325649999999</v>
          </cell>
          <cell r="G51">
            <v>64341.770060000003</v>
          </cell>
          <cell r="H51">
            <v>65060.287499999999</v>
          </cell>
          <cell r="I51">
            <v>65840.043160000001</v>
          </cell>
          <cell r="J51">
            <v>66695.895959999994</v>
          </cell>
          <cell r="K51">
            <v>67636.218280000001</v>
          </cell>
          <cell r="L51">
            <v>68664.521349999995</v>
          </cell>
          <cell r="M51">
            <v>69775.312659999996</v>
          </cell>
          <cell r="N51">
            <v>70958.442020000002</v>
          </cell>
          <cell r="O51">
            <v>72200.839840000001</v>
          </cell>
          <cell r="P51">
            <v>73487.259730000005</v>
          </cell>
          <cell r="Q51">
            <v>74801.069629999998</v>
          </cell>
          <cell r="R51">
            <v>76126.001459999999</v>
          </cell>
          <cell r="S51">
            <v>77448.009279999998</v>
          </cell>
          <cell r="T51">
            <v>78756.833429999999</v>
          </cell>
          <cell r="U51">
            <v>80046.979420000003</v>
          </cell>
          <cell r="V51">
            <v>81315.938070000004</v>
          </cell>
          <cell r="W51">
            <v>82567.320689999993</v>
          </cell>
          <cell r="X51">
            <v>83807.823829999994</v>
          </cell>
          <cell r="Y51">
            <v>85046.048020000002</v>
          </cell>
          <cell r="Z51">
            <v>86291.764339999994</v>
          </cell>
          <cell r="AA51">
            <v>87548.237510000006</v>
          </cell>
          <cell r="AB51">
            <v>88823.261339999997</v>
          </cell>
          <cell r="AC51">
            <v>90122.795599999998</v>
          </cell>
          <cell r="AD51">
            <v>91450.104319999999</v>
          </cell>
          <cell r="AE51">
            <v>92806.597829999999</v>
          </cell>
          <cell r="AF51">
            <v>94192.699630000003</v>
          </cell>
          <cell r="AG51">
            <v>95608.278399999996</v>
          </cell>
          <cell r="AH51">
            <v>97052.658970000004</v>
          </cell>
          <cell r="AI51">
            <v>98524.420790000004</v>
          </cell>
          <cell r="AJ51">
            <v>100021.2349</v>
          </cell>
          <cell r="AK51">
            <v>101539.719</v>
          </cell>
        </row>
        <row r="52">
          <cell r="B52">
            <v>815.08018019999997</v>
          </cell>
          <cell r="C52">
            <v>824.25414620000004</v>
          </cell>
          <cell r="D52">
            <v>833.17298140000003</v>
          </cell>
          <cell r="E52">
            <v>841.90621009999995</v>
          </cell>
          <cell r="F52">
            <v>850.65406110000004</v>
          </cell>
          <cell r="G52">
            <v>859.69226479999998</v>
          </cell>
          <cell r="H52">
            <v>869.36908840000001</v>
          </cell>
          <cell r="I52">
            <v>880.12885730000005</v>
          </cell>
          <cell r="J52">
            <v>892.3085863</v>
          </cell>
          <cell r="K52">
            <v>905.96245580000004</v>
          </cell>
          <cell r="L52">
            <v>920.87619670000004</v>
          </cell>
          <cell r="M52">
            <v>936.63939909999999</v>
          </cell>
          <cell r="N52">
            <v>952.8282653</v>
          </cell>
          <cell r="O52">
            <v>969.12318670000002</v>
          </cell>
          <cell r="P52">
            <v>985.35541060000003</v>
          </cell>
          <cell r="Q52">
            <v>1001.4838559999999</v>
          </cell>
          <cell r="R52">
            <v>1017.535498</v>
          </cell>
          <cell r="S52">
            <v>1033.55773</v>
          </cell>
          <cell r="T52">
            <v>1049.5932720000001</v>
          </cell>
          <cell r="U52">
            <v>1065.6773270000001</v>
          </cell>
          <cell r="V52">
            <v>1081.8199770000001</v>
          </cell>
          <cell r="W52">
            <v>1098.077098</v>
          </cell>
          <cell r="X52">
            <v>1114.525999</v>
          </cell>
          <cell r="Y52">
            <v>1131.257556</v>
          </cell>
          <cell r="Z52">
            <v>1148.368426</v>
          </cell>
          <cell r="AA52">
            <v>1165.854597</v>
          </cell>
          <cell r="AB52">
            <v>1183.761679</v>
          </cell>
          <cell r="AC52">
            <v>1202.0996029999999</v>
          </cell>
          <cell r="AD52">
            <v>1220.834719</v>
          </cell>
          <cell r="AE52">
            <v>1239.9085680000001</v>
          </cell>
          <cell r="AF52">
            <v>1259.258605</v>
          </cell>
          <cell r="AG52">
            <v>1278.8303719999999</v>
          </cell>
          <cell r="AH52">
            <v>1298.582899</v>
          </cell>
          <cell r="AI52">
            <v>1318.488173</v>
          </cell>
          <cell r="AJ52">
            <v>1338.5270049999999</v>
          </cell>
          <cell r="AK52">
            <v>1358.6850320000001</v>
          </cell>
        </row>
        <row r="53">
          <cell r="B53">
            <v>815.08018019999997</v>
          </cell>
          <cell r="C53">
            <v>824.25414620000004</v>
          </cell>
          <cell r="D53">
            <v>833.17298140000003</v>
          </cell>
          <cell r="E53">
            <v>841.90621009999995</v>
          </cell>
          <cell r="F53">
            <v>850.65406110000004</v>
          </cell>
          <cell r="G53">
            <v>859.69226479999998</v>
          </cell>
          <cell r="H53">
            <v>869.29262070000004</v>
          </cell>
          <cell r="I53">
            <v>879.71120110000004</v>
          </cell>
          <cell r="J53">
            <v>891.14654129999997</v>
          </cell>
          <cell r="K53">
            <v>903.71050760000003</v>
          </cell>
          <cell r="L53">
            <v>917.45001439999999</v>
          </cell>
          <cell r="M53">
            <v>932.29167480000001</v>
          </cell>
          <cell r="N53">
            <v>948.09986839999999</v>
          </cell>
          <cell r="O53">
            <v>964.69996809999998</v>
          </cell>
          <cell r="P53">
            <v>981.88826170000004</v>
          </cell>
          <cell r="Q53">
            <v>999.44252240000003</v>
          </cell>
          <cell r="R53">
            <v>1017.145387</v>
          </cell>
          <cell r="S53">
            <v>1034.8091830000001</v>
          </cell>
          <cell r="T53">
            <v>1052.2968269999999</v>
          </cell>
          <cell r="U53">
            <v>1069.534907</v>
          </cell>
          <cell r="V53">
            <v>1086.4898949999999</v>
          </cell>
          <cell r="W53">
            <v>1103.210043</v>
          </cell>
          <cell r="X53">
            <v>1119.784827</v>
          </cell>
          <cell r="Y53">
            <v>1136.329162</v>
          </cell>
          <cell r="Z53">
            <v>1152.9736009999999</v>
          </cell>
          <cell r="AA53">
            <v>1169.7617660000001</v>
          </cell>
          <cell r="AB53">
            <v>1186.797793</v>
          </cell>
          <cell r="AC53">
            <v>1204.161312</v>
          </cell>
          <cell r="AD53">
            <v>1221.895935</v>
          </cell>
          <cell r="AE53">
            <v>1240.0205060000001</v>
          </cell>
          <cell r="AF53">
            <v>1258.5406840000001</v>
          </cell>
          <cell r="AG53">
            <v>1277.4547130000001</v>
          </cell>
          <cell r="AH53">
            <v>1296.753573</v>
          </cell>
          <cell r="AI53">
            <v>1316.418283</v>
          </cell>
          <cell r="AJ53">
            <v>1336.417725</v>
          </cell>
          <cell r="AK53">
            <v>1356.7067070000001</v>
          </cell>
        </row>
        <row r="54">
          <cell r="B54">
            <v>3114.2379529999998</v>
          </cell>
          <cell r="C54">
            <v>3149.2896129999999</v>
          </cell>
          <cell r="D54">
            <v>3183.3664749999998</v>
          </cell>
          <cell r="E54">
            <v>3216.7341769999998</v>
          </cell>
          <cell r="F54">
            <v>3250.1577470000002</v>
          </cell>
          <cell r="G54">
            <v>3284.690689</v>
          </cell>
          <cell r="H54">
            <v>3321.6636549999998</v>
          </cell>
          <cell r="I54">
            <v>3362.7743099999998</v>
          </cell>
          <cell r="J54">
            <v>3409.3103139999998</v>
          </cell>
          <cell r="K54">
            <v>3461.4786770000001</v>
          </cell>
          <cell r="L54">
            <v>3518.4607249999999</v>
          </cell>
          <cell r="M54">
            <v>3578.6883739999998</v>
          </cell>
          <cell r="N54">
            <v>3640.5423890000002</v>
          </cell>
          <cell r="O54">
            <v>3702.8016170000001</v>
          </cell>
          <cell r="P54">
            <v>3764.8212920000001</v>
          </cell>
          <cell r="Q54">
            <v>3826.4444509999998</v>
          </cell>
          <cell r="R54">
            <v>3887.7741649999998</v>
          </cell>
          <cell r="S54">
            <v>3948.9915070000002</v>
          </cell>
          <cell r="T54">
            <v>4010.2597059999998</v>
          </cell>
          <cell r="U54">
            <v>4071.7132580000002</v>
          </cell>
          <cell r="V54">
            <v>4133.3906930000003</v>
          </cell>
          <cell r="W54">
            <v>4195.5054929999997</v>
          </cell>
          <cell r="X54">
            <v>4258.3530430000001</v>
          </cell>
          <cell r="Y54">
            <v>4322.280557</v>
          </cell>
          <cell r="Z54">
            <v>4387.6573410000001</v>
          </cell>
          <cell r="AA54">
            <v>4454.4680660000004</v>
          </cell>
          <cell r="AB54">
            <v>4522.8869960000002</v>
          </cell>
          <cell r="AC54">
            <v>4592.9520789999997</v>
          </cell>
          <cell r="AD54">
            <v>4664.5347410000004</v>
          </cell>
          <cell r="AE54">
            <v>4737.4116240000003</v>
          </cell>
          <cell r="AF54">
            <v>4811.3437620000004</v>
          </cell>
          <cell r="AG54">
            <v>4886.123079</v>
          </cell>
          <cell r="AH54">
            <v>4961.5930410000001</v>
          </cell>
          <cell r="AI54">
            <v>5037.6466129999999</v>
          </cell>
          <cell r="AJ54">
            <v>5114.2104790000003</v>
          </cell>
          <cell r="AK54">
            <v>5191.229765</v>
          </cell>
        </row>
        <row r="55">
          <cell r="B55">
            <v>3114.2379529999998</v>
          </cell>
          <cell r="C55">
            <v>3149.2896129999999</v>
          </cell>
          <cell r="D55">
            <v>3183.3664749999998</v>
          </cell>
          <cell r="E55">
            <v>3216.7341769999998</v>
          </cell>
          <cell r="F55">
            <v>3250.1577470000002</v>
          </cell>
          <cell r="G55">
            <v>3284.690689</v>
          </cell>
          <cell r="H55">
            <v>3321.3714890000001</v>
          </cell>
          <cell r="I55">
            <v>3361.1785399999999</v>
          </cell>
          <cell r="J55">
            <v>3404.870402</v>
          </cell>
          <cell r="K55">
            <v>3452.8744889999998</v>
          </cell>
          <cell r="L55">
            <v>3505.3700530000001</v>
          </cell>
          <cell r="M55">
            <v>3562.0766979999999</v>
          </cell>
          <cell r="N55">
            <v>3622.4762479999999</v>
          </cell>
          <cell r="O55">
            <v>3685.9014940000002</v>
          </cell>
          <cell r="P55">
            <v>3751.5740959999998</v>
          </cell>
          <cell r="Q55">
            <v>3818.644976</v>
          </cell>
          <cell r="R55">
            <v>3886.2836379999999</v>
          </cell>
          <cell r="S55">
            <v>3953.7730270000002</v>
          </cell>
          <cell r="T55">
            <v>4020.5893820000001</v>
          </cell>
          <cell r="U55">
            <v>4086.4522029999998</v>
          </cell>
          <cell r="V55">
            <v>4151.233397</v>
          </cell>
          <cell r="W55">
            <v>4215.1173220000001</v>
          </cell>
          <cell r="X55">
            <v>4278.4458430000004</v>
          </cell>
          <cell r="Y55">
            <v>4341.6580219999996</v>
          </cell>
          <cell r="Z55">
            <v>4405.2526790000002</v>
          </cell>
          <cell r="AA55">
            <v>4469.3964800000003</v>
          </cell>
          <cell r="AB55">
            <v>4534.4873049999997</v>
          </cell>
          <cell r="AC55">
            <v>4600.8294040000001</v>
          </cell>
          <cell r="AD55">
            <v>4668.5894079999998</v>
          </cell>
          <cell r="AE55">
            <v>4737.8393150000002</v>
          </cell>
          <cell r="AF55">
            <v>4808.6007449999997</v>
          </cell>
          <cell r="AG55">
            <v>4880.8669950000003</v>
          </cell>
          <cell r="AH55">
            <v>4954.6035959999999</v>
          </cell>
          <cell r="AI55">
            <v>5029.7380279999998</v>
          </cell>
          <cell r="AJ55">
            <v>5106.1513949999999</v>
          </cell>
          <cell r="AK55">
            <v>5183.6710309999999</v>
          </cell>
        </row>
        <row r="56">
          <cell r="B56">
            <v>1481.0186920000001</v>
          </cell>
          <cell r="C56">
            <v>1497.687991</v>
          </cell>
          <cell r="D56">
            <v>1513.8937120000001</v>
          </cell>
          <cell r="E56">
            <v>1529.7621810000001</v>
          </cell>
          <cell r="F56">
            <v>1545.6572189999999</v>
          </cell>
          <cell r="G56">
            <v>1562.079835</v>
          </cell>
          <cell r="H56">
            <v>1579.662838</v>
          </cell>
          <cell r="I56">
            <v>1599.213575</v>
          </cell>
          <cell r="J56">
            <v>1621.3444119999999</v>
          </cell>
          <cell r="K56">
            <v>1646.1537949999999</v>
          </cell>
          <cell r="L56">
            <v>1673.252391</v>
          </cell>
          <cell r="M56">
            <v>1701.8944779999999</v>
          </cell>
          <cell r="N56">
            <v>1731.310005</v>
          </cell>
          <cell r="O56">
            <v>1760.918238</v>
          </cell>
          <cell r="P56">
            <v>1790.4125469999999</v>
          </cell>
          <cell r="Q56">
            <v>1819.718288</v>
          </cell>
          <cell r="R56">
            <v>1848.8844770000001</v>
          </cell>
          <cell r="S56">
            <v>1877.997226</v>
          </cell>
          <cell r="T56">
            <v>1907.1341609999999</v>
          </cell>
          <cell r="U56">
            <v>1936.3592430000001</v>
          </cell>
          <cell r="V56">
            <v>1965.690795</v>
          </cell>
          <cell r="W56">
            <v>1995.2303420000001</v>
          </cell>
          <cell r="X56">
            <v>2025.1183599999999</v>
          </cell>
          <cell r="Y56">
            <v>2055.5199680000001</v>
          </cell>
          <cell r="Z56">
            <v>2086.6107969999998</v>
          </cell>
          <cell r="AA56">
            <v>2118.3835560000002</v>
          </cell>
          <cell r="AB56">
            <v>2150.9211190000001</v>
          </cell>
          <cell r="AC56">
            <v>2184.2415329999999</v>
          </cell>
          <cell r="AD56">
            <v>2218.283653</v>
          </cell>
          <cell r="AE56">
            <v>2252.941257</v>
          </cell>
          <cell r="AF56">
            <v>2288.1007020000002</v>
          </cell>
          <cell r="AG56">
            <v>2323.6630340000002</v>
          </cell>
          <cell r="AH56">
            <v>2359.553813</v>
          </cell>
          <cell r="AI56">
            <v>2395.722135</v>
          </cell>
          <cell r="AJ56">
            <v>2432.133135</v>
          </cell>
          <cell r="AK56">
            <v>2468.7607159999998</v>
          </cell>
        </row>
        <row r="57">
          <cell r="B57">
            <v>1481.0186920000001</v>
          </cell>
          <cell r="C57">
            <v>1497.687991</v>
          </cell>
          <cell r="D57">
            <v>1513.8937120000001</v>
          </cell>
          <cell r="E57">
            <v>1529.7621810000001</v>
          </cell>
          <cell r="F57">
            <v>1545.6572189999999</v>
          </cell>
          <cell r="G57">
            <v>1562.079835</v>
          </cell>
          <cell r="H57">
            <v>1579.5238939999999</v>
          </cell>
          <cell r="I57">
            <v>1598.4546849999999</v>
          </cell>
          <cell r="J57">
            <v>1619.232951</v>
          </cell>
          <cell r="K57">
            <v>1642.0619549999999</v>
          </cell>
          <cell r="L57">
            <v>1667.026942</v>
          </cell>
          <cell r="M57">
            <v>1693.994567</v>
          </cell>
          <cell r="N57">
            <v>1722.718404</v>
          </cell>
          <cell r="O57">
            <v>1752.8811519999999</v>
          </cell>
          <cell r="P57">
            <v>1784.1126609999999</v>
          </cell>
          <cell r="Q57">
            <v>1816.0091399999999</v>
          </cell>
          <cell r="R57">
            <v>1848.1756359999999</v>
          </cell>
          <cell r="S57">
            <v>1880.271144</v>
          </cell>
          <cell r="T57">
            <v>1912.0465799999999</v>
          </cell>
          <cell r="U57">
            <v>1943.368551</v>
          </cell>
          <cell r="V57">
            <v>1974.176138</v>
          </cell>
          <cell r="W57">
            <v>2004.557018</v>
          </cell>
          <cell r="X57">
            <v>2034.673767</v>
          </cell>
          <cell r="Y57">
            <v>2064.7351880000001</v>
          </cell>
          <cell r="Z57">
            <v>2094.9785019999999</v>
          </cell>
          <cell r="AA57">
            <v>2125.4829690000001</v>
          </cell>
          <cell r="AB57">
            <v>2156.4378059999999</v>
          </cell>
          <cell r="AC57">
            <v>2187.9877029999998</v>
          </cell>
          <cell r="AD57">
            <v>2220.2119050000001</v>
          </cell>
          <cell r="AE57">
            <v>2253.1446510000001</v>
          </cell>
          <cell r="AF57">
            <v>2286.7962219999999</v>
          </cell>
          <cell r="AG57">
            <v>2321.1634309999999</v>
          </cell>
          <cell r="AH57">
            <v>2356.2298860000001</v>
          </cell>
          <cell r="AI57">
            <v>2391.9610990000001</v>
          </cell>
          <cell r="AJ57">
            <v>2428.300526</v>
          </cell>
          <cell r="AK57">
            <v>2465.166056</v>
          </cell>
        </row>
        <row r="58">
          <cell r="B58">
            <v>2902.7115840000001</v>
          </cell>
          <cell r="C58">
            <v>2935.3824530000002</v>
          </cell>
          <cell r="D58">
            <v>2967.144734</v>
          </cell>
          <cell r="E58">
            <v>2998.2460230000002</v>
          </cell>
          <cell r="F58">
            <v>3029.399386</v>
          </cell>
          <cell r="G58">
            <v>3061.5867699999999</v>
          </cell>
          <cell r="H58">
            <v>3096.048444</v>
          </cell>
          <cell r="I58">
            <v>3134.3667679999999</v>
          </cell>
          <cell r="J58">
            <v>3177.7419369999998</v>
          </cell>
          <cell r="K58">
            <v>3226.3669020000002</v>
          </cell>
          <cell r="L58">
            <v>3279.478595</v>
          </cell>
          <cell r="M58">
            <v>3335.61544</v>
          </cell>
          <cell r="N58">
            <v>3393.2681849999999</v>
          </cell>
          <cell r="O58">
            <v>3451.29862</v>
          </cell>
          <cell r="P58">
            <v>3509.1057719999999</v>
          </cell>
          <cell r="Q58">
            <v>3566.5433410000001</v>
          </cell>
          <cell r="R58">
            <v>3623.7073970000001</v>
          </cell>
          <cell r="S58">
            <v>3680.766713</v>
          </cell>
          <cell r="T58">
            <v>3737.8734319999999</v>
          </cell>
          <cell r="U58">
            <v>3795.1529139999998</v>
          </cell>
          <cell r="V58">
            <v>3852.6410719999999</v>
          </cell>
          <cell r="W58">
            <v>3910.536889</v>
          </cell>
          <cell r="X58">
            <v>3969.1156860000001</v>
          </cell>
          <cell r="Y58">
            <v>4028.7010930000001</v>
          </cell>
          <cell r="Z58">
            <v>4089.6373319999998</v>
          </cell>
          <cell r="AA58">
            <v>4151.9101149999997</v>
          </cell>
          <cell r="AB58">
            <v>4215.6818709999998</v>
          </cell>
          <cell r="AC58">
            <v>4280.9879680000004</v>
          </cell>
          <cell r="AD58">
            <v>4347.708568</v>
          </cell>
          <cell r="AE58">
            <v>4415.6354810000003</v>
          </cell>
          <cell r="AF58">
            <v>4484.5459739999997</v>
          </cell>
          <cell r="AG58">
            <v>4554.2461039999998</v>
          </cell>
          <cell r="AH58">
            <v>4624.5899680000002</v>
          </cell>
          <cell r="AI58">
            <v>4695.4778029999998</v>
          </cell>
          <cell r="AJ58">
            <v>4766.8412719999997</v>
          </cell>
          <cell r="AK58">
            <v>4838.629226</v>
          </cell>
        </row>
        <row r="59">
          <cell r="B59">
            <v>2902.7115840000001</v>
          </cell>
          <cell r="C59">
            <v>2935.3824530000002</v>
          </cell>
          <cell r="D59">
            <v>2967.144734</v>
          </cell>
          <cell r="E59">
            <v>2998.2460230000002</v>
          </cell>
          <cell r="F59">
            <v>3029.399386</v>
          </cell>
          <cell r="G59">
            <v>3061.5867699999999</v>
          </cell>
          <cell r="H59">
            <v>3095.7761230000001</v>
          </cell>
          <cell r="I59">
            <v>3132.8793860000001</v>
          </cell>
          <cell r="J59">
            <v>3173.6035929999998</v>
          </cell>
          <cell r="K59">
            <v>3218.347131</v>
          </cell>
          <cell r="L59">
            <v>3267.2770719999999</v>
          </cell>
          <cell r="M59">
            <v>3320.1320679999999</v>
          </cell>
          <cell r="N59">
            <v>3376.4291389999999</v>
          </cell>
          <cell r="O59">
            <v>3435.5463930000001</v>
          </cell>
          <cell r="P59">
            <v>3496.7583570000002</v>
          </cell>
          <cell r="Q59">
            <v>3559.2736249999998</v>
          </cell>
          <cell r="R59">
            <v>3622.3181100000002</v>
          </cell>
          <cell r="S59">
            <v>3685.2234619999999</v>
          </cell>
          <cell r="T59">
            <v>3747.5014919999999</v>
          </cell>
          <cell r="U59">
            <v>3808.8907559999998</v>
          </cell>
          <cell r="V59">
            <v>3869.2718580000001</v>
          </cell>
          <cell r="W59">
            <v>3928.8166369999999</v>
          </cell>
          <cell r="X59">
            <v>3987.8437349999999</v>
          </cell>
          <cell r="Y59">
            <v>4046.7623939999999</v>
          </cell>
          <cell r="Z59">
            <v>4106.0375530000001</v>
          </cell>
          <cell r="AA59">
            <v>4165.8245559999996</v>
          </cell>
          <cell r="AB59">
            <v>4226.4942590000001</v>
          </cell>
          <cell r="AC59">
            <v>4288.3302469999999</v>
          </cell>
          <cell r="AD59">
            <v>4351.4878319999998</v>
          </cell>
          <cell r="AE59">
            <v>4416.034122</v>
          </cell>
          <cell r="AF59">
            <v>4481.98927</v>
          </cell>
          <cell r="AG59">
            <v>4549.3470260000004</v>
          </cell>
          <cell r="AH59">
            <v>4618.0752629999997</v>
          </cell>
          <cell r="AI59">
            <v>4688.1063880000002</v>
          </cell>
          <cell r="AJ59">
            <v>4759.3295790000002</v>
          </cell>
          <cell r="AK59">
            <v>4831.5838990000002</v>
          </cell>
        </row>
        <row r="60">
          <cell r="B60">
            <v>825.73605280000004</v>
          </cell>
          <cell r="C60">
            <v>835.02995380000004</v>
          </cell>
          <cell r="D60">
            <v>844.06538839999996</v>
          </cell>
          <cell r="E60">
            <v>852.91279020000002</v>
          </cell>
          <cell r="F60">
            <v>861.77500529999998</v>
          </cell>
          <cell r="G60">
            <v>870.93136919999995</v>
          </cell>
          <cell r="H60">
            <v>880.73470180000004</v>
          </cell>
          <cell r="I60">
            <v>891.63513750000004</v>
          </cell>
          <cell r="J60">
            <v>903.97409709999999</v>
          </cell>
          <cell r="K60">
            <v>917.80646909999996</v>
          </cell>
          <cell r="L60">
            <v>932.91518329999997</v>
          </cell>
          <cell r="M60">
            <v>948.88446450000004</v>
          </cell>
          <cell r="N60">
            <v>965.28497419999997</v>
          </cell>
          <cell r="O60">
            <v>981.79292569999996</v>
          </cell>
          <cell r="P60">
            <v>998.23735999999997</v>
          </cell>
          <cell r="Q60">
            <v>1014.5766589999999</v>
          </cell>
          <cell r="R60">
            <v>1030.8381509999999</v>
          </cell>
          <cell r="S60">
            <v>1047.0698480000001</v>
          </cell>
          <cell r="T60">
            <v>1063.3150290000001</v>
          </cell>
          <cell r="U60">
            <v>1079.609357</v>
          </cell>
          <cell r="V60">
            <v>1095.963047</v>
          </cell>
          <cell r="W60">
            <v>1112.4327029999999</v>
          </cell>
          <cell r="X60">
            <v>1129.096648</v>
          </cell>
          <cell r="Y60">
            <v>1146.0469430000001</v>
          </cell>
          <cell r="Z60">
            <v>1163.381511</v>
          </cell>
          <cell r="AA60">
            <v>1181.0962850000001</v>
          </cell>
          <cell r="AB60">
            <v>1199.237474</v>
          </cell>
          <cell r="AC60">
            <v>1217.815137</v>
          </cell>
          <cell r="AD60">
            <v>1236.7951849999999</v>
          </cell>
          <cell r="AE60">
            <v>1256.1183940000001</v>
          </cell>
          <cell r="AF60">
            <v>1275.7214019999999</v>
          </cell>
          <cell r="AG60">
            <v>1295.5490380000001</v>
          </cell>
          <cell r="AH60">
            <v>1315.559798</v>
          </cell>
          <cell r="AI60">
            <v>1335.7253020000001</v>
          </cell>
          <cell r="AJ60">
            <v>1356.0261089999999</v>
          </cell>
          <cell r="AK60">
            <v>1376.44767</v>
          </cell>
        </row>
        <row r="61">
          <cell r="B61">
            <v>825.73605280000004</v>
          </cell>
          <cell r="C61">
            <v>835.02995380000004</v>
          </cell>
          <cell r="D61">
            <v>844.06538839999996</v>
          </cell>
          <cell r="E61">
            <v>852.91279020000002</v>
          </cell>
          <cell r="F61">
            <v>861.77500529999998</v>
          </cell>
          <cell r="G61">
            <v>870.93136919999995</v>
          </cell>
          <cell r="H61">
            <v>880.65723439999999</v>
          </cell>
          <cell r="I61">
            <v>891.21202110000002</v>
          </cell>
          <cell r="J61">
            <v>902.7968601</v>
          </cell>
          <cell r="K61">
            <v>915.52508020000005</v>
          </cell>
          <cell r="L61">
            <v>929.44420920000005</v>
          </cell>
          <cell r="M61">
            <v>944.47990059999995</v>
          </cell>
          <cell r="N61">
            <v>960.49476110000001</v>
          </cell>
          <cell r="O61">
            <v>977.31188059999999</v>
          </cell>
          <cell r="P61">
            <v>994.72488369999996</v>
          </cell>
          <cell r="Q61">
            <v>1012.508638</v>
          </cell>
          <cell r="R61">
            <v>1030.4429399999999</v>
          </cell>
          <cell r="S61">
            <v>1048.3376619999999</v>
          </cell>
          <cell r="T61">
            <v>1066.0539289999999</v>
          </cell>
          <cell r="U61">
            <v>1083.5173689999999</v>
          </cell>
          <cell r="V61">
            <v>1100.6940159999999</v>
          </cell>
          <cell r="W61">
            <v>1117.632754</v>
          </cell>
          <cell r="X61">
            <v>1134.424227</v>
          </cell>
          <cell r="Y61">
            <v>1151.1848520000001</v>
          </cell>
          <cell r="Z61">
            <v>1168.046891</v>
          </cell>
          <cell r="AA61">
            <v>1185.0545340000001</v>
          </cell>
          <cell r="AB61">
            <v>1202.3132800000001</v>
          </cell>
          <cell r="AC61">
            <v>1219.9038</v>
          </cell>
          <cell r="AD61">
            <v>1237.870275</v>
          </cell>
          <cell r="AE61">
            <v>1256.2317949999999</v>
          </cell>
          <cell r="AF61">
            <v>1274.9940939999999</v>
          </cell>
          <cell r="AG61">
            <v>1294.1553939999999</v>
          </cell>
          <cell r="AH61">
            <v>1313.7065560000001</v>
          </cell>
          <cell r="AI61">
            <v>1333.6283510000001</v>
          </cell>
          <cell r="AJ61">
            <v>1353.8892539999999</v>
          </cell>
          <cell r="AK61">
            <v>1374.4434819999999</v>
          </cell>
        </row>
        <row r="62">
          <cell r="B62">
            <v>8364.2193040000002</v>
          </cell>
          <cell r="C62">
            <v>8458.3610410000001</v>
          </cell>
          <cell r="D62">
            <v>8549.8846659999999</v>
          </cell>
          <cell r="E62">
            <v>8639.5036299999992</v>
          </cell>
          <cell r="F62">
            <v>8729.2726430000002</v>
          </cell>
          <cell r="G62">
            <v>8822.0212100000008</v>
          </cell>
          <cell r="H62">
            <v>8921.3231880000003</v>
          </cell>
          <cell r="I62">
            <v>9031.7381740000001</v>
          </cell>
          <cell r="J62">
            <v>9156.7245590000002</v>
          </cell>
          <cell r="K62">
            <v>9296.8383310000008</v>
          </cell>
          <cell r="L62">
            <v>9449.8806970000005</v>
          </cell>
          <cell r="M62">
            <v>9611.6400979999999</v>
          </cell>
          <cell r="N62">
            <v>9777.7675909999998</v>
          </cell>
          <cell r="O62">
            <v>9944.9834059999994</v>
          </cell>
          <cell r="P62">
            <v>10111.555829999999</v>
          </cell>
          <cell r="Q62">
            <v>10277.06329</v>
          </cell>
          <cell r="R62">
            <v>10441.78262</v>
          </cell>
          <cell r="S62">
            <v>10606.200129999999</v>
          </cell>
          <cell r="T62">
            <v>10770.75424</v>
          </cell>
          <cell r="U62">
            <v>10935.80618</v>
          </cell>
          <cell r="V62">
            <v>11101.459409999999</v>
          </cell>
          <cell r="W62">
            <v>11268.287319999999</v>
          </cell>
          <cell r="X62">
            <v>11437.08325</v>
          </cell>
          <cell r="Y62">
            <v>11608.77975</v>
          </cell>
          <cell r="Z62">
            <v>11784.368689999999</v>
          </cell>
          <cell r="AA62">
            <v>11963.808919999999</v>
          </cell>
          <cell r="AB62">
            <v>12147.56846</v>
          </cell>
          <cell r="AC62">
            <v>12335.749229999999</v>
          </cell>
          <cell r="AD62">
            <v>12528.005929999999</v>
          </cell>
          <cell r="AE62">
            <v>12723.73863</v>
          </cell>
          <cell r="AF62">
            <v>12922.305549999999</v>
          </cell>
          <cell r="AG62">
            <v>13123.14781</v>
          </cell>
          <cell r="AH62">
            <v>13325.845009999999</v>
          </cell>
          <cell r="AI62">
            <v>13530.10967</v>
          </cell>
          <cell r="AJ62">
            <v>13735.74488</v>
          </cell>
          <cell r="AK62">
            <v>13942.60325</v>
          </cell>
        </row>
        <row r="63">
          <cell r="B63">
            <v>8364.2193040000002</v>
          </cell>
          <cell r="C63">
            <v>8458.3610410000001</v>
          </cell>
          <cell r="D63">
            <v>8549.8846659999999</v>
          </cell>
          <cell r="E63">
            <v>8639.5036299999992</v>
          </cell>
          <cell r="F63">
            <v>8729.2726430000002</v>
          </cell>
          <cell r="G63">
            <v>8822.0212100000008</v>
          </cell>
          <cell r="H63">
            <v>8920.5384890000005</v>
          </cell>
          <cell r="I63">
            <v>9027.4522539999998</v>
          </cell>
          <cell r="J63">
            <v>9144.7998430000007</v>
          </cell>
          <cell r="K63">
            <v>9273.7292070000003</v>
          </cell>
          <cell r="L63">
            <v>9414.7217760000003</v>
          </cell>
          <cell r="M63">
            <v>9567.0244640000001</v>
          </cell>
          <cell r="N63">
            <v>9729.2455570000002</v>
          </cell>
          <cell r="O63">
            <v>9899.5930609999996</v>
          </cell>
          <cell r="P63">
            <v>10075.97651</v>
          </cell>
          <cell r="Q63">
            <v>10256.115460000001</v>
          </cell>
          <cell r="R63">
            <v>10437.77936</v>
          </cell>
          <cell r="S63">
            <v>10619.04234</v>
          </cell>
          <cell r="T63">
            <v>10798.49768</v>
          </cell>
          <cell r="U63">
            <v>10975.392030000001</v>
          </cell>
          <cell r="V63">
            <v>11149.38134</v>
          </cell>
          <cell r="W63">
            <v>11320.96076</v>
          </cell>
          <cell r="X63">
            <v>11491.048479999999</v>
          </cell>
          <cell r="Y63">
            <v>11660.82373</v>
          </cell>
          <cell r="Z63">
            <v>11831.62624</v>
          </cell>
          <cell r="AA63">
            <v>12003.90364</v>
          </cell>
          <cell r="AB63">
            <v>12178.724560000001</v>
          </cell>
          <cell r="AC63">
            <v>12356.906150000001</v>
          </cell>
          <cell r="AD63">
            <v>12538.89595</v>
          </cell>
          <cell r="AE63">
            <v>12724.88733</v>
          </cell>
          <cell r="AF63">
            <v>12914.93835</v>
          </cell>
          <cell r="AG63">
            <v>13109.03102</v>
          </cell>
          <cell r="AH63">
            <v>13307.072759999999</v>
          </cell>
          <cell r="AI63">
            <v>13508.8688</v>
          </cell>
          <cell r="AJ63">
            <v>13714.09979</v>
          </cell>
          <cell r="AK63">
            <v>13922.302009999999</v>
          </cell>
        </row>
        <row r="64">
          <cell r="B64">
            <v>5288.327988</v>
          </cell>
          <cell r="C64">
            <v>5348.7750329999999</v>
          </cell>
          <cell r="D64">
            <v>5409.1134700000002</v>
          </cell>
          <cell r="E64">
            <v>5469.8691410000001</v>
          </cell>
          <cell r="F64">
            <v>5532.0115150000001</v>
          </cell>
          <cell r="G64">
            <v>5596.7434679999997</v>
          </cell>
          <cell r="H64">
            <v>5665.4936879999996</v>
          </cell>
          <cell r="I64">
            <v>5740.1805290000002</v>
          </cell>
          <cell r="J64">
            <v>5822.1389730000001</v>
          </cell>
          <cell r="K64">
            <v>5911.3012570000001</v>
          </cell>
          <cell r="L64">
            <v>6006.4883559999998</v>
          </cell>
          <cell r="M64">
            <v>6105.5612419999998</v>
          </cell>
          <cell r="N64">
            <v>6206.4190150000004</v>
          </cell>
          <cell r="O64">
            <v>6307.5783149999997</v>
          </cell>
          <cell r="P64">
            <v>6408.364474</v>
          </cell>
          <cell r="Q64">
            <v>6508.7373589999997</v>
          </cell>
          <cell r="R64">
            <v>6608.9327899999998</v>
          </cell>
          <cell r="S64">
            <v>6709.2156930000001</v>
          </cell>
          <cell r="T64">
            <v>6809.7671520000004</v>
          </cell>
          <cell r="U64">
            <v>6910.6880369999999</v>
          </cell>
          <cell r="V64">
            <v>7011.8396149999999</v>
          </cell>
          <cell r="W64">
            <v>7113.3940629999997</v>
          </cell>
          <cell r="X64">
            <v>7215.6550189999998</v>
          </cell>
          <cell r="Y64">
            <v>7318.9829870000003</v>
          </cell>
          <cell r="Z64">
            <v>7423.760663</v>
          </cell>
          <cell r="AA64">
            <v>7529.6301530000001</v>
          </cell>
          <cell r="AB64">
            <v>7636.6585020000002</v>
          </cell>
          <cell r="AC64">
            <v>7744.8530790000004</v>
          </cell>
          <cell r="AD64">
            <v>7854.0504780000001</v>
          </cell>
          <cell r="AE64">
            <v>7963.9909500000003</v>
          </cell>
          <cell r="AF64">
            <v>8074.4125610000001</v>
          </cell>
          <cell r="AG64">
            <v>8185.0953069999996</v>
          </cell>
          <cell r="AH64">
            <v>8295.8808829999998</v>
          </cell>
          <cell r="AI64">
            <v>8406.6688560000002</v>
          </cell>
          <cell r="AJ64">
            <v>8517.3952169999993</v>
          </cell>
          <cell r="AK64">
            <v>8628.0121170000002</v>
          </cell>
        </row>
        <row r="65">
          <cell r="B65">
            <v>5288.327988</v>
          </cell>
          <cell r="C65">
            <v>5348.7750329999999</v>
          </cell>
          <cell r="D65">
            <v>5409.1134700000002</v>
          </cell>
          <cell r="E65">
            <v>5469.8691410000001</v>
          </cell>
          <cell r="F65">
            <v>5532.0115150000001</v>
          </cell>
          <cell r="G65">
            <v>5596.7434679999997</v>
          </cell>
          <cell r="H65">
            <v>5665.078117</v>
          </cell>
          <cell r="I65">
            <v>5737.922372</v>
          </cell>
          <cell r="J65">
            <v>5815.9262660000004</v>
          </cell>
          <cell r="K65">
            <v>5899.3628280000003</v>
          </cell>
          <cell r="L65">
            <v>5988.3917259999998</v>
          </cell>
          <cell r="M65">
            <v>6082.5310900000004</v>
          </cell>
          <cell r="N65">
            <v>6181.0547530000003</v>
          </cell>
          <cell r="O65">
            <v>6283.1501859999998</v>
          </cell>
          <cell r="P65">
            <v>6387.9314400000003</v>
          </cell>
          <cell r="Q65">
            <v>6494.4400439999999</v>
          </cell>
          <cell r="R65">
            <v>6601.7440980000001</v>
          </cell>
          <cell r="S65">
            <v>6709.0494870000002</v>
          </cell>
          <cell r="T65">
            <v>6815.7913319999998</v>
          </cell>
          <cell r="U65">
            <v>6921.6874779999998</v>
          </cell>
          <cell r="V65">
            <v>7026.52585</v>
          </cell>
          <cell r="W65">
            <v>7130.5233870000002</v>
          </cell>
          <cell r="X65">
            <v>7234.0646230000002</v>
          </cell>
          <cell r="Y65">
            <v>7337.5998239999999</v>
          </cell>
          <cell r="Z65">
            <v>7441.6144940000004</v>
          </cell>
          <cell r="AA65">
            <v>7545.897997</v>
          </cell>
          <cell r="AB65">
            <v>7650.706091</v>
          </cell>
          <cell r="AC65">
            <v>7756.2843480000001</v>
          </cell>
          <cell r="AD65">
            <v>7862.7461789999998</v>
          </cell>
          <cell r="AE65">
            <v>7970.1166439999997</v>
          </cell>
          <cell r="AF65">
            <v>8078.3873899999999</v>
          </cell>
          <cell r="AG65">
            <v>8187.5415510000003</v>
          </cell>
          <cell r="AH65">
            <v>8297.549567</v>
          </cell>
          <cell r="AI65">
            <v>8408.3510729999998</v>
          </cell>
          <cell r="AJ65">
            <v>8519.8399910000007</v>
          </cell>
          <cell r="AK65">
            <v>8631.8376200000002</v>
          </cell>
        </row>
        <row r="66">
          <cell r="B66">
            <v>102.4228846</v>
          </cell>
          <cell r="C66">
            <v>103.5756841</v>
          </cell>
          <cell r="D66">
            <v>104.69642399999999</v>
          </cell>
          <cell r="E66">
            <v>105.7938405</v>
          </cell>
          <cell r="F66">
            <v>106.8930945</v>
          </cell>
          <cell r="G66">
            <v>108.02883420000001</v>
          </cell>
          <cell r="H66">
            <v>109.2448227</v>
          </cell>
          <cell r="I66">
            <v>110.5968941</v>
          </cell>
          <cell r="J66">
            <v>112.1273975</v>
          </cell>
          <cell r="K66">
            <v>113.84314120000001</v>
          </cell>
          <cell r="L66">
            <v>115.71720019999999</v>
          </cell>
          <cell r="M66">
            <v>117.6980025</v>
          </cell>
          <cell r="N66">
            <v>119.73229360000001</v>
          </cell>
          <cell r="O66">
            <v>121.77991160000001</v>
          </cell>
          <cell r="P66">
            <v>123.8196511</v>
          </cell>
          <cell r="Q66">
            <v>125.8463497</v>
          </cell>
          <cell r="R66">
            <v>127.8633973</v>
          </cell>
          <cell r="S66">
            <v>129.87674910000001</v>
          </cell>
          <cell r="T66">
            <v>131.89177359999999</v>
          </cell>
          <cell r="U66">
            <v>133.91289409999999</v>
          </cell>
          <cell r="V66">
            <v>135.9413777</v>
          </cell>
          <cell r="W66">
            <v>137.9842457</v>
          </cell>
          <cell r="X66">
            <v>140.0512128</v>
          </cell>
          <cell r="Y66">
            <v>142.1536984</v>
          </cell>
          <cell r="Z66">
            <v>144.30384839999999</v>
          </cell>
          <cell r="AA66">
            <v>146.50115869999999</v>
          </cell>
          <cell r="AB66">
            <v>148.7513606</v>
          </cell>
          <cell r="AC66">
            <v>151.05570220000001</v>
          </cell>
          <cell r="AD66">
            <v>153.40995480000001</v>
          </cell>
          <cell r="AE66">
            <v>155.8067724</v>
          </cell>
          <cell r="AF66">
            <v>158.2382959</v>
          </cell>
          <cell r="AG66">
            <v>160.69768199999999</v>
          </cell>
          <cell r="AH66">
            <v>163.1797823</v>
          </cell>
          <cell r="AI66">
            <v>165.6810768</v>
          </cell>
          <cell r="AJ66">
            <v>168.19915420000001</v>
          </cell>
          <cell r="AK66">
            <v>170.7322096</v>
          </cell>
        </row>
        <row r="67">
          <cell r="B67">
            <v>102.4228846</v>
          </cell>
          <cell r="C67">
            <v>103.5756841</v>
          </cell>
          <cell r="D67">
            <v>104.69642399999999</v>
          </cell>
          <cell r="E67">
            <v>105.7938405</v>
          </cell>
          <cell r="F67">
            <v>106.8930945</v>
          </cell>
          <cell r="G67">
            <v>108.02883420000001</v>
          </cell>
          <cell r="H67">
            <v>109.2352138</v>
          </cell>
          <cell r="I67">
            <v>110.5444115</v>
          </cell>
          <cell r="J67">
            <v>111.981375</v>
          </cell>
          <cell r="K67">
            <v>113.5601616</v>
          </cell>
          <cell r="L67">
            <v>115.2866665</v>
          </cell>
          <cell r="M67">
            <v>117.15166790000001</v>
          </cell>
          <cell r="N67">
            <v>119.1381238</v>
          </cell>
          <cell r="O67">
            <v>121.2240905</v>
          </cell>
          <cell r="P67">
            <v>123.38396950000001</v>
          </cell>
          <cell r="Q67">
            <v>125.58983600000001</v>
          </cell>
          <cell r="R67">
            <v>127.8143759</v>
          </cell>
          <cell r="S67">
            <v>130.0340066</v>
          </cell>
          <cell r="T67">
            <v>132.23150200000001</v>
          </cell>
          <cell r="U67">
            <v>134.3976371</v>
          </cell>
          <cell r="V67">
            <v>136.528199</v>
          </cell>
          <cell r="W67">
            <v>138.62925100000001</v>
          </cell>
          <cell r="X67">
            <v>140.7120366</v>
          </cell>
          <cell r="Y67">
            <v>142.79099579999999</v>
          </cell>
          <cell r="Z67">
            <v>144.88253420000001</v>
          </cell>
          <cell r="AA67">
            <v>146.99213309999999</v>
          </cell>
          <cell r="AB67">
            <v>149.13287840000001</v>
          </cell>
          <cell r="AC67">
            <v>151.31477620000001</v>
          </cell>
          <cell r="AD67">
            <v>153.543307</v>
          </cell>
          <cell r="AE67">
            <v>155.8208386</v>
          </cell>
          <cell r="AF67">
            <v>158.14808199999999</v>
          </cell>
          <cell r="AG67">
            <v>160.5248168</v>
          </cell>
          <cell r="AH67">
            <v>162.9499094</v>
          </cell>
          <cell r="AI67">
            <v>165.42097469999999</v>
          </cell>
          <cell r="AJ67">
            <v>167.93410230000001</v>
          </cell>
          <cell r="AK67">
            <v>170.48361360000001</v>
          </cell>
        </row>
      </sheetData>
      <sheetData sheetId="5" refreshError="1"/>
      <sheetData sheetId="6">
        <row r="3">
          <cell r="F3">
            <v>32317.940999999999</v>
          </cell>
          <cell r="G3">
            <v>31968.137040000001</v>
          </cell>
          <cell r="H3">
            <v>31825.75805</v>
          </cell>
          <cell r="I3">
            <v>31807.685979999998</v>
          </cell>
          <cell r="J3">
            <v>31863.05039</v>
          </cell>
          <cell r="K3">
            <v>31963.492910000001</v>
          </cell>
          <cell r="L3">
            <v>32091.555359999998</v>
          </cell>
          <cell r="M3">
            <v>32238.657670000001</v>
          </cell>
          <cell r="N3">
            <v>32407.042020000001</v>
          </cell>
          <cell r="O3">
            <v>32615.900750000001</v>
          </cell>
          <cell r="P3">
            <v>32878.917670000003</v>
          </cell>
          <cell r="Q3">
            <v>33181.270049999999</v>
          </cell>
          <cell r="R3">
            <v>33507.383520000003</v>
          </cell>
          <cell r="S3">
            <v>33841.807229999999</v>
          </cell>
          <cell r="T3">
            <v>34173.746959999997</v>
          </cell>
          <cell r="U3">
            <v>34498.610650000002</v>
          </cell>
          <cell r="V3">
            <v>34816.787020000003</v>
          </cell>
          <cell r="W3">
            <v>35131.201009999997</v>
          </cell>
          <cell r="X3">
            <v>35444.925920000001</v>
          </cell>
          <cell r="Y3">
            <v>35759.687230000003</v>
          </cell>
          <cell r="Z3">
            <v>36070.609149999997</v>
          </cell>
          <cell r="AA3">
            <v>36382.298970000003</v>
          </cell>
          <cell r="AB3">
            <v>36693.692439999999</v>
          </cell>
          <cell r="AC3">
            <v>37003.880060000003</v>
          </cell>
          <cell r="AD3">
            <v>37312.540390000002</v>
          </cell>
          <cell r="AE3">
            <v>37605.484920000003</v>
          </cell>
          <cell r="AF3">
            <v>37895.296159999998</v>
          </cell>
          <cell r="AG3">
            <v>38185.145109999998</v>
          </cell>
          <cell r="AH3">
            <v>38476.993340000001</v>
          </cell>
          <cell r="AI3">
            <v>38771.4666</v>
          </cell>
          <cell r="AJ3">
            <v>39068.410129999997</v>
          </cell>
          <cell r="AK3">
            <v>39367.498919999998</v>
          </cell>
          <cell r="AL3">
            <v>39668.670180000001</v>
          </cell>
          <cell r="AM3">
            <v>39972.279670000004</v>
          </cell>
          <cell r="AN3">
            <v>40279.010829999999</v>
          </cell>
          <cell r="AO3">
            <v>40589.652329999997</v>
          </cell>
        </row>
        <row r="4">
          <cell r="F4">
            <v>32271.24</v>
          </cell>
          <cell r="G4">
            <v>31903.236649999999</v>
          </cell>
          <cell r="H4">
            <v>31741.058860000001</v>
          </cell>
          <cell r="I4">
            <v>31701.457600000002</v>
          </cell>
          <cell r="J4">
            <v>31732.86853</v>
          </cell>
          <cell r="K4">
            <v>31805.7713</v>
          </cell>
          <cell r="L4">
            <v>31901.246780000001</v>
          </cell>
          <cell r="M4">
            <v>32008.95248</v>
          </cell>
          <cell r="N4">
            <v>32129.238239999999</v>
          </cell>
          <cell r="O4">
            <v>32279.11188</v>
          </cell>
          <cell r="P4">
            <v>32470.359390000001</v>
          </cell>
          <cell r="Q4">
            <v>32687.47885</v>
          </cell>
          <cell r="R4">
            <v>32914.808369999999</v>
          </cell>
          <cell r="S4">
            <v>33137.193200000002</v>
          </cell>
          <cell r="T4">
            <v>33344.077510000003</v>
          </cell>
          <cell r="U4">
            <v>33530.7327</v>
          </cell>
          <cell r="V4">
            <v>33696.936549999999</v>
          </cell>
          <cell r="W4">
            <v>33844.601260000003</v>
          </cell>
          <cell r="X4">
            <v>33975.543250000002</v>
          </cell>
          <cell r="Y4">
            <v>34090.145230000002</v>
          </cell>
          <cell r="Z4">
            <v>34182.660839999997</v>
          </cell>
          <cell r="AA4">
            <v>34255.92568</v>
          </cell>
          <cell r="AB4">
            <v>34307.550860000003</v>
          </cell>
          <cell r="AC4">
            <v>34335.273809999999</v>
          </cell>
          <cell r="AD4">
            <v>34337.36621</v>
          </cell>
          <cell r="AE4">
            <v>34300.295400000003</v>
          </cell>
          <cell r="AF4">
            <v>34233.785459999999</v>
          </cell>
          <cell r="AG4">
            <v>34139.40754</v>
          </cell>
          <cell r="AH4">
            <v>34017.774850000002</v>
          </cell>
          <cell r="AI4">
            <v>33868.504079999999</v>
          </cell>
          <cell r="AJ4">
            <v>33690.714679999997</v>
          </cell>
          <cell r="AK4">
            <v>33483.53026</v>
          </cell>
          <cell r="AL4">
            <v>33246.404470000001</v>
          </cell>
          <cell r="AM4">
            <v>32979.215179999999</v>
          </cell>
          <cell r="AN4">
            <v>32682.173350000001</v>
          </cell>
          <cell r="AO4">
            <v>32355.65048</v>
          </cell>
        </row>
        <row r="12">
          <cell r="F12">
            <v>44.765000000000001</v>
          </cell>
          <cell r="G12">
            <v>62.90532503</v>
          </cell>
          <cell r="H12">
            <v>82.633856399999999</v>
          </cell>
          <cell r="I12">
            <v>104.0879429</v>
          </cell>
          <cell r="J12">
            <v>127.9653084</v>
          </cell>
          <cell r="K12">
            <v>155.42999620000001</v>
          </cell>
          <cell r="L12">
            <v>187.9442396</v>
          </cell>
          <cell r="M12">
            <v>227.27100250000001</v>
          </cell>
          <cell r="N12">
            <v>275.3023594</v>
          </cell>
          <cell r="O12">
            <v>334.22114040000002</v>
          </cell>
          <cell r="P12">
            <v>405.92393029999999</v>
          </cell>
          <cell r="Q12">
            <v>491.09097059999999</v>
          </cell>
          <cell r="R12">
            <v>589.81087500000001</v>
          </cell>
          <cell r="S12">
            <v>701.78864850000002</v>
          </cell>
          <cell r="T12">
            <v>826.78661450000004</v>
          </cell>
          <cell r="U12">
            <v>964.9416129</v>
          </cell>
          <cell r="V12">
            <v>1116.8644589999999</v>
          </cell>
          <cell r="W12">
            <v>1283.5676559999999</v>
          </cell>
          <cell r="X12">
            <v>1466.307802</v>
          </cell>
          <cell r="Y12">
            <v>1666.427551</v>
          </cell>
          <cell r="Z12">
            <v>1884.7978519999999</v>
          </cell>
          <cell r="AA12">
            <v>2123.1900970000002</v>
          </cell>
          <cell r="AB12">
            <v>2382.929032</v>
          </cell>
          <cell r="AC12">
            <v>2665.3678570000002</v>
          </cell>
          <cell r="AD12">
            <v>2971.9135230000002</v>
          </cell>
          <cell r="AE12">
            <v>3301.9112730000002</v>
          </cell>
          <cell r="AF12">
            <v>3658.218672</v>
          </cell>
          <cell r="AG12">
            <v>4042.435399</v>
          </cell>
          <cell r="AH12">
            <v>4455.9097149999998</v>
          </cell>
          <cell r="AI12">
            <v>4899.65067</v>
          </cell>
          <cell r="AJ12">
            <v>5374.3840920000002</v>
          </cell>
          <cell r="AK12">
            <v>5880.6613889999999</v>
          </cell>
          <cell r="AL12">
            <v>6418.9661480000004</v>
          </cell>
          <cell r="AM12">
            <v>6989.7762210000001</v>
          </cell>
          <cell r="AN12">
            <v>7593.5640700000004</v>
          </cell>
          <cell r="AO12">
            <v>8230.746776</v>
          </cell>
        </row>
        <row r="20">
          <cell r="F20">
            <v>1.9359999999999999</v>
          </cell>
          <cell r="G20">
            <v>1.995067251</v>
          </cell>
          <cell r="H20">
            <v>2.0653284699999999</v>
          </cell>
          <cell r="I20">
            <v>2.1404358490000002</v>
          </cell>
          <cell r="J20">
            <v>2.2165559159999999</v>
          </cell>
          <cell r="K20">
            <v>2.291609609</v>
          </cell>
          <cell r="L20">
            <v>2.3643454259999999</v>
          </cell>
          <cell r="M20">
            <v>2.4341869300000001</v>
          </cell>
          <cell r="N20">
            <v>2.501424364</v>
          </cell>
          <cell r="O20">
            <v>2.567731572</v>
          </cell>
          <cell r="P20">
            <v>2.6343502860000001</v>
          </cell>
          <cell r="Q20">
            <v>2.700229201</v>
          </cell>
          <cell r="R20">
            <v>2.7642679289999998</v>
          </cell>
          <cell r="S20">
            <v>2.825375068</v>
          </cell>
          <cell r="T20">
            <v>2.8828147089999998</v>
          </cell>
          <cell r="U20">
            <v>2.9363174760000001</v>
          </cell>
          <cell r="V20">
            <v>2.985978502</v>
          </cell>
          <cell r="W20">
            <v>3.032064831</v>
          </cell>
          <cell r="X20">
            <v>3.0748312790000001</v>
          </cell>
          <cell r="Y20">
            <v>3.1144081579999998</v>
          </cell>
          <cell r="Z20">
            <v>3.1504052329999999</v>
          </cell>
          <cell r="AA20">
            <v>3.1831400639999998</v>
          </cell>
          <cell r="AB20">
            <v>3.2124899899999999</v>
          </cell>
          <cell r="AC20">
            <v>3.2383350129999999</v>
          </cell>
          <cell r="AD20">
            <v>3.2605927210000001</v>
          </cell>
          <cell r="AE20">
            <v>3.278182862</v>
          </cell>
          <cell r="AF20">
            <v>3.291958046</v>
          </cell>
          <cell r="AG20">
            <v>3.302096234</v>
          </cell>
          <cell r="AH20">
            <v>3.3086940600000001</v>
          </cell>
          <cell r="AI20">
            <v>3.3117624060000002</v>
          </cell>
          <cell r="AJ20">
            <v>3.3112671960000002</v>
          </cell>
          <cell r="AK20">
            <v>3.307171077</v>
          </cell>
          <cell r="AL20">
            <v>3.299461027</v>
          </cell>
          <cell r="AM20">
            <v>3.288156904</v>
          </cell>
          <cell r="AN20">
            <v>3.2733045110000001</v>
          </cell>
          <cell r="AO20">
            <v>3.2549616549999998</v>
          </cell>
        </row>
        <row r="28">
          <cell r="F28">
            <v>32317.940999999999</v>
          </cell>
          <cell r="G28">
            <v>31968.137040000001</v>
          </cell>
          <cell r="H28">
            <v>31825.75805</v>
          </cell>
          <cell r="I28">
            <v>31807.685979999998</v>
          </cell>
          <cell r="J28">
            <v>31863.05039</v>
          </cell>
          <cell r="K28">
            <v>31963.492910000001</v>
          </cell>
          <cell r="L28">
            <v>32091.11177</v>
          </cell>
          <cell r="M28">
            <v>32241.870350000001</v>
          </cell>
          <cell r="N28">
            <v>32415.42899</v>
          </cell>
          <cell r="O28">
            <v>32612.420770000001</v>
          </cell>
          <cell r="P28">
            <v>32838.573369999998</v>
          </cell>
          <cell r="Q28">
            <v>33084.349970000003</v>
          </cell>
          <cell r="R28">
            <v>33346.703119999998</v>
          </cell>
          <cell r="S28">
            <v>33622.650930000003</v>
          </cell>
          <cell r="T28">
            <v>33910.13478</v>
          </cell>
          <cell r="U28">
            <v>34207.814559999999</v>
          </cell>
          <cell r="V28">
            <v>34514.55891</v>
          </cell>
          <cell r="W28">
            <v>34829.029949999996</v>
          </cell>
          <cell r="X28">
            <v>35149.536269999997</v>
          </cell>
          <cell r="Y28">
            <v>35474.152829999999</v>
          </cell>
          <cell r="Z28">
            <v>35796.098850000002</v>
          </cell>
          <cell r="AA28">
            <v>36119.448880000004</v>
          </cell>
          <cell r="AB28">
            <v>36443.427389999997</v>
          </cell>
          <cell r="AC28">
            <v>36767.245669999997</v>
          </cell>
          <cell r="AD28">
            <v>37090.299939999997</v>
          </cell>
          <cell r="AE28">
            <v>37397.693019999999</v>
          </cell>
          <cell r="AF28">
            <v>37700.902820000003</v>
          </cell>
          <cell r="AG28">
            <v>38002.190269999999</v>
          </cell>
          <cell r="AH28">
            <v>38302.778700000003</v>
          </cell>
          <cell r="AI28">
            <v>38603.006070000003</v>
          </cell>
          <cell r="AJ28">
            <v>38902.87934</v>
          </cell>
          <cell r="AK28">
            <v>39202.547599999998</v>
          </cell>
          <cell r="AL28">
            <v>39502.5452</v>
          </cell>
          <cell r="AM28">
            <v>39803.784529999997</v>
          </cell>
          <cell r="AN28">
            <v>40107.373769999998</v>
          </cell>
          <cell r="AO28">
            <v>40414.377439999997</v>
          </cell>
        </row>
        <row r="29">
          <cell r="F29">
            <v>32271.24</v>
          </cell>
          <cell r="G29">
            <v>31903.236649999999</v>
          </cell>
          <cell r="H29">
            <v>31741.058860000001</v>
          </cell>
          <cell r="I29">
            <v>31701.457600000002</v>
          </cell>
          <cell r="J29">
            <v>31732.86853</v>
          </cell>
          <cell r="K29">
            <v>31805.7713</v>
          </cell>
          <cell r="L29">
            <v>31900.817319999998</v>
          </cell>
          <cell r="M29">
            <v>32012.26036</v>
          </cell>
          <cell r="N29">
            <v>32138.00477</v>
          </cell>
          <cell r="O29">
            <v>32277.016919999998</v>
          </cell>
          <cell r="P29">
            <v>32433.399079999999</v>
          </cell>
          <cell r="Q29">
            <v>32596.660800000001</v>
          </cell>
          <cell r="R29">
            <v>32762.92064</v>
          </cell>
          <cell r="S29">
            <v>32928.625310000003</v>
          </cell>
          <cell r="T29">
            <v>33091.303870000003</v>
          </cell>
          <cell r="U29">
            <v>33249.285459999999</v>
          </cell>
          <cell r="V29">
            <v>33401.12962</v>
          </cell>
          <cell r="W29">
            <v>33545.15842</v>
          </cell>
          <cell r="X29">
            <v>33679.257590000001</v>
          </cell>
          <cell r="Y29">
            <v>33800.944210000001</v>
          </cell>
          <cell r="Z29">
            <v>33903.159890000003</v>
          </cell>
          <cell r="AA29">
            <v>33988.553800000002</v>
          </cell>
          <cell r="AB29">
            <v>34055.159169999999</v>
          </cell>
          <cell r="AC29">
            <v>34100.847159999998</v>
          </cell>
          <cell r="AD29">
            <v>34123.552409999997</v>
          </cell>
          <cell r="AE29">
            <v>34108.912199999999</v>
          </cell>
          <cell r="AF29">
            <v>34065.487090000002</v>
          </cell>
          <cell r="AG29">
            <v>33993.821510000002</v>
          </cell>
          <cell r="AH29">
            <v>33893.648670000002</v>
          </cell>
          <cell r="AI29">
            <v>33764.092799999999</v>
          </cell>
          <cell r="AJ29">
            <v>33604.1702</v>
          </cell>
          <cell r="AK29">
            <v>33413.182309999997</v>
          </cell>
          <cell r="AL29">
            <v>33190.895329999999</v>
          </cell>
          <cell r="AM29">
            <v>32937.511980000003</v>
          </cell>
          <cell r="AN29">
            <v>32653.513439999999</v>
          </cell>
          <cell r="AO29">
            <v>32339.472559999998</v>
          </cell>
        </row>
        <row r="37">
          <cell r="F37">
            <v>44.765000000000001</v>
          </cell>
          <cell r="G37">
            <v>62.90532503</v>
          </cell>
          <cell r="H37">
            <v>82.633856399999999</v>
          </cell>
          <cell r="I37">
            <v>104.0879429</v>
          </cell>
          <cell r="J37">
            <v>127.9653084</v>
          </cell>
          <cell r="K37">
            <v>155.42999620000001</v>
          </cell>
          <cell r="L37">
            <v>187.93014489999999</v>
          </cell>
          <cell r="M37">
            <v>227.17552380000001</v>
          </cell>
          <cell r="N37">
            <v>274.92205860000001</v>
          </cell>
          <cell r="O37">
            <v>332.83628340000001</v>
          </cell>
          <cell r="P37">
            <v>402.54303490000001</v>
          </cell>
          <cell r="Q37">
            <v>484.99660519999998</v>
          </cell>
          <cell r="R37">
            <v>581.03110939999999</v>
          </cell>
          <cell r="S37">
            <v>691.21809140000005</v>
          </cell>
          <cell r="T37">
            <v>815.96989619999999</v>
          </cell>
          <cell r="U37">
            <v>955.61727780000001</v>
          </cell>
          <cell r="V37">
            <v>1110.469321</v>
          </cell>
          <cell r="W37">
            <v>1280.866082</v>
          </cell>
          <cell r="X37">
            <v>1467.2304839999999</v>
          </cell>
          <cell r="Y37">
            <v>1670.1205150000001</v>
          </cell>
          <cell r="Z37">
            <v>1889.8142849999999</v>
          </cell>
          <cell r="AA37">
            <v>2127.73686</v>
          </cell>
          <cell r="AB37">
            <v>2385.0795640000001</v>
          </cell>
          <cell r="AC37">
            <v>2663.1826510000001</v>
          </cell>
          <cell r="AD37">
            <v>2963.5078060000001</v>
          </cell>
          <cell r="AE37">
            <v>3285.5217050000001</v>
          </cell>
          <cell r="AF37">
            <v>3632.1409469999999</v>
          </cell>
          <cell r="AG37">
            <v>4005.0819390000001</v>
          </cell>
          <cell r="AH37">
            <v>4405.8348029999997</v>
          </cell>
          <cell r="AI37">
            <v>4835.6132749999997</v>
          </cell>
          <cell r="AJ37">
            <v>5295.408066</v>
          </cell>
          <cell r="AK37">
            <v>5786.0668759999999</v>
          </cell>
          <cell r="AL37">
            <v>6308.3578260000004</v>
          </cell>
          <cell r="AM37">
            <v>6862.9905330000001</v>
          </cell>
          <cell r="AN37">
            <v>7450.5919439999998</v>
          </cell>
          <cell r="AO37">
            <v>8071.6536599999999</v>
          </cell>
        </row>
        <row r="45">
          <cell r="F45">
            <v>1.9359999999999999</v>
          </cell>
          <cell r="G45">
            <v>1.995067251</v>
          </cell>
          <cell r="H45">
            <v>2.0653284699999999</v>
          </cell>
          <cell r="I45">
            <v>2.1404358490000002</v>
          </cell>
          <cell r="J45">
            <v>2.2165559159999999</v>
          </cell>
          <cell r="K45">
            <v>2.291609609</v>
          </cell>
          <cell r="L45">
            <v>2.3643093460000002</v>
          </cell>
          <cell r="M45">
            <v>2.4344642749999998</v>
          </cell>
          <cell r="N45">
            <v>2.5021645879999999</v>
          </cell>
          <cell r="O45">
            <v>2.567570361</v>
          </cell>
          <cell r="P45">
            <v>2.6312563820000001</v>
          </cell>
          <cell r="Q45">
            <v>2.6925623839999999</v>
          </cell>
          <cell r="R45">
            <v>2.751356012</v>
          </cell>
          <cell r="S45">
            <v>2.8075153739999998</v>
          </cell>
          <cell r="T45">
            <v>2.8609938970000002</v>
          </cell>
          <cell r="U45">
            <v>2.9117989789999998</v>
          </cell>
          <cell r="V45">
            <v>2.9599459860000001</v>
          </cell>
          <cell r="W45">
            <v>3.0054199599999998</v>
          </cell>
          <cell r="X45">
            <v>3.048159246</v>
          </cell>
          <cell r="Y45">
            <v>3.0880612529999998</v>
          </cell>
          <cell r="Z45">
            <v>3.124629176</v>
          </cell>
          <cell r="AA45">
            <v>3.1581666589999999</v>
          </cell>
          <cell r="AB45">
            <v>3.1885878949999999</v>
          </cell>
          <cell r="AC45">
            <v>3.2157859680000001</v>
          </cell>
          <cell r="AD45">
            <v>3.2396520569999998</v>
          </cell>
          <cell r="AE45">
            <v>3.2590375310000002</v>
          </cell>
          <cell r="AF45">
            <v>3.274697449</v>
          </cell>
          <cell r="AG45">
            <v>3.2867222059999999</v>
          </cell>
          <cell r="AH45">
            <v>3.2951319560000001</v>
          </cell>
          <cell r="AI45">
            <v>3.2998926869999998</v>
          </cell>
          <cell r="AJ45">
            <v>3.3009577210000001</v>
          </cell>
          <cell r="AK45">
            <v>3.2983008190000001</v>
          </cell>
          <cell r="AL45">
            <v>3.291931859</v>
          </cell>
          <cell r="AM45">
            <v>3.281895252</v>
          </cell>
          <cell r="AN45">
            <v>3.2682573449999999</v>
          </cell>
          <cell r="AO45">
            <v>3.2510911870000001</v>
          </cell>
        </row>
        <row r="104">
          <cell r="F104">
            <v>3.476542051</v>
          </cell>
          <cell r="G104">
            <v>5.9493271419999996</v>
          </cell>
          <cell r="H104">
            <v>8.9586324899999994</v>
          </cell>
          <cell r="I104">
            <v>12.522361070000001</v>
          </cell>
          <cell r="J104">
            <v>16.48542767</v>
          </cell>
          <cell r="K104">
            <v>20.700597349999999</v>
          </cell>
          <cell r="L104">
            <v>25.04107531</v>
          </cell>
          <cell r="M104">
            <v>29.463652849999999</v>
          </cell>
          <cell r="N104">
            <v>33.945720280000003</v>
          </cell>
          <cell r="O104">
            <v>38.454898040000003</v>
          </cell>
          <cell r="P104">
            <v>43.005256469999999</v>
          </cell>
          <cell r="Q104">
            <v>47.5000255</v>
          </cell>
          <cell r="R104">
            <v>51.9683007</v>
          </cell>
          <cell r="S104">
            <v>56.40259373</v>
          </cell>
          <cell r="T104">
            <v>60.799986789999998</v>
          </cell>
          <cell r="U104">
            <v>65.162065819999995</v>
          </cell>
          <cell r="V104">
            <v>69.492916080000001</v>
          </cell>
          <cell r="W104">
            <v>73.796838080000001</v>
          </cell>
          <cell r="X104">
            <v>78.076836810000003</v>
          </cell>
          <cell r="Y104">
            <v>82.334792789999995</v>
          </cell>
          <cell r="Z104">
            <v>86.545158209999997</v>
          </cell>
          <cell r="AA104">
            <v>90.763283040000005</v>
          </cell>
          <cell r="AB104">
            <v>94.964961700000003</v>
          </cell>
          <cell r="AC104">
            <v>99.151803909999998</v>
          </cell>
          <cell r="AD104">
            <v>103.32460140000001</v>
          </cell>
          <cell r="AE104">
            <v>107.40973</v>
          </cell>
          <cell r="AF104">
            <v>111.5173202</v>
          </cell>
          <cell r="AG104">
            <v>115.607956</v>
          </cell>
          <cell r="AH104">
            <v>119.6796154</v>
          </cell>
          <cell r="AI104">
            <v>123.73008</v>
          </cell>
          <cell r="AJ104">
            <v>127.7574351</v>
          </cell>
          <cell r="AK104">
            <v>131.76032810000001</v>
          </cell>
          <cell r="AL104">
            <v>135.73804949999999</v>
          </cell>
          <cell r="AM104">
            <v>139.69036489999999</v>
          </cell>
          <cell r="AN104">
            <v>143.61728890000001</v>
          </cell>
          <cell r="AO104">
            <v>147.5189383</v>
          </cell>
        </row>
        <row r="105">
          <cell r="F105">
            <v>68.80476281</v>
          </cell>
          <cell r="G105">
            <v>76.548945099999997</v>
          </cell>
          <cell r="H105">
            <v>84.201254050000003</v>
          </cell>
          <cell r="I105">
            <v>91.342237030000007</v>
          </cell>
          <cell r="J105">
            <v>97.994505090000004</v>
          </cell>
          <cell r="K105">
            <v>104.15698020000001</v>
          </cell>
          <cell r="L105">
            <v>109.2651066</v>
          </cell>
          <cell r="M105">
            <v>114.0690692</v>
          </cell>
          <cell r="N105">
            <v>118.4801075</v>
          </cell>
          <cell r="O105">
            <v>122.59265120000001</v>
          </cell>
          <cell r="P105">
            <v>127.6012298</v>
          </cell>
          <cell r="Q105">
            <v>131.5973985</v>
          </cell>
          <cell r="R105">
            <v>135.7157843</v>
          </cell>
          <cell r="S105">
            <v>139.99615979999999</v>
          </cell>
          <cell r="T105">
            <v>144.42371270000001</v>
          </cell>
          <cell r="U105">
            <v>148.95397130000001</v>
          </cell>
          <cell r="V105">
            <v>153.53805969999999</v>
          </cell>
          <cell r="W105">
            <v>158.13795210000001</v>
          </cell>
          <cell r="X105">
            <v>162.7321073</v>
          </cell>
          <cell r="Y105">
            <v>167.30997859999999</v>
          </cell>
          <cell r="Z105">
            <v>171.18204420000001</v>
          </cell>
          <cell r="AA105">
            <v>175.70456949999999</v>
          </cell>
          <cell r="AB105">
            <v>180.1791053</v>
          </cell>
          <cell r="AC105">
            <v>184.5947779</v>
          </cell>
          <cell r="AD105">
            <v>188.94541129999999</v>
          </cell>
          <cell r="AE105">
            <v>191.3674087</v>
          </cell>
          <cell r="AF105">
            <v>194.72323539999999</v>
          </cell>
          <cell r="AG105">
            <v>198.0281665</v>
          </cell>
          <cell r="AH105">
            <v>201.29972649999999</v>
          </cell>
          <cell r="AI105">
            <v>204.5576226</v>
          </cell>
          <cell r="AJ105">
            <v>207.8181615</v>
          </cell>
          <cell r="AK105">
            <v>211.0916244</v>
          </cell>
          <cell r="AL105">
            <v>214.3820537</v>
          </cell>
          <cell r="AM105">
            <v>217.6894394</v>
          </cell>
          <cell r="AN105">
            <v>221.01205200000001</v>
          </cell>
          <cell r="AO105">
            <v>224.34779080000001</v>
          </cell>
        </row>
        <row r="106">
          <cell r="F106">
            <v>408.28039699999999</v>
          </cell>
          <cell r="G106">
            <v>425.45424279999997</v>
          </cell>
          <cell r="H106">
            <v>444.51863500000002</v>
          </cell>
          <cell r="I106">
            <v>463.85994299999999</v>
          </cell>
          <cell r="J106">
            <v>482.92276079999999</v>
          </cell>
          <cell r="K106">
            <v>501.27536880000002</v>
          </cell>
          <cell r="L106">
            <v>517.05202940000004</v>
          </cell>
          <cell r="M106">
            <v>532.14373599999999</v>
          </cell>
          <cell r="N106">
            <v>546.36330450000003</v>
          </cell>
          <cell r="O106">
            <v>559.92943030000004</v>
          </cell>
          <cell r="P106">
            <v>576.06623969999998</v>
          </cell>
          <cell r="Q106">
            <v>589.26114640000003</v>
          </cell>
          <cell r="R106">
            <v>602.63672499999996</v>
          </cell>
          <cell r="S106">
            <v>616.30281179999997</v>
          </cell>
          <cell r="T106">
            <v>630.25009490000002</v>
          </cell>
          <cell r="U106">
            <v>644.39695010000003</v>
          </cell>
          <cell r="V106">
            <v>658.6432499</v>
          </cell>
          <cell r="W106">
            <v>672.90457160000005</v>
          </cell>
          <cell r="X106">
            <v>687.12795900000003</v>
          </cell>
          <cell r="Y106">
            <v>701.28359169999999</v>
          </cell>
          <cell r="Z106">
            <v>713.43063219999999</v>
          </cell>
          <cell r="AA106">
            <v>727.3856131</v>
          </cell>
          <cell r="AB106">
            <v>741.19777239999996</v>
          </cell>
          <cell r="AC106">
            <v>754.84583769999995</v>
          </cell>
          <cell r="AD106">
            <v>768.31942270000002</v>
          </cell>
          <cell r="AE106">
            <v>776.37793009999996</v>
          </cell>
          <cell r="AF106">
            <v>787.06423380000001</v>
          </cell>
          <cell r="AG106">
            <v>797.61364639999999</v>
          </cell>
          <cell r="AH106">
            <v>808.06677509999997</v>
          </cell>
          <cell r="AI106">
            <v>818.4674076</v>
          </cell>
          <cell r="AJ106">
            <v>828.85156470000004</v>
          </cell>
          <cell r="AK106">
            <v>839.24218800000006</v>
          </cell>
          <cell r="AL106">
            <v>849.64851599999997</v>
          </cell>
          <cell r="AM106">
            <v>860.07068960000004</v>
          </cell>
          <cell r="AN106">
            <v>870.50477230000001</v>
          </cell>
          <cell r="AO106">
            <v>880.94571510000003</v>
          </cell>
        </row>
        <row r="107">
          <cell r="F107">
            <v>954.38155940000001</v>
          </cell>
          <cell r="G107">
            <v>948.79342759999997</v>
          </cell>
          <cell r="H107">
            <v>944.11476779999998</v>
          </cell>
          <cell r="I107">
            <v>939.60345819999998</v>
          </cell>
          <cell r="J107">
            <v>935.1567483</v>
          </cell>
          <cell r="K107">
            <v>930.72706019999998</v>
          </cell>
          <cell r="L107">
            <v>926.30194879999999</v>
          </cell>
          <cell r="M107">
            <v>921.88038740000002</v>
          </cell>
          <cell r="N107">
            <v>917.46144560000005</v>
          </cell>
          <cell r="O107">
            <v>913.05078660000004</v>
          </cell>
          <cell r="P107">
            <v>908.65539709999996</v>
          </cell>
          <cell r="Q107">
            <v>904.28336809999996</v>
          </cell>
          <cell r="R107">
            <v>899.94005049999998</v>
          </cell>
          <cell r="S107">
            <v>895.62897599999997</v>
          </cell>
          <cell r="T107">
            <v>891.35144500000001</v>
          </cell>
          <cell r="U107">
            <v>887.1067276</v>
          </cell>
          <cell r="V107">
            <v>882.89245389999996</v>
          </cell>
          <cell r="W107">
            <v>878.70541679999997</v>
          </cell>
          <cell r="X107">
            <v>874.54262329999995</v>
          </cell>
          <cell r="Y107">
            <v>870.40175920000001</v>
          </cell>
          <cell r="Z107">
            <v>866.28122829999995</v>
          </cell>
          <cell r="AA107">
            <v>862.17952049999997</v>
          </cell>
          <cell r="AB107">
            <v>858.09614620000002</v>
          </cell>
          <cell r="AC107">
            <v>854.03059380000002</v>
          </cell>
          <cell r="AD107">
            <v>849.98266360000002</v>
          </cell>
          <cell r="AE107">
            <v>845.95261359999995</v>
          </cell>
          <cell r="AF107">
            <v>841.94014849999996</v>
          </cell>
          <cell r="AG107">
            <v>837.94658660000005</v>
          </cell>
          <cell r="AH107">
            <v>833.97303050000005</v>
          </cell>
          <cell r="AI107">
            <v>830.0206081</v>
          </cell>
          <cell r="AJ107">
            <v>826.09029899999996</v>
          </cell>
          <cell r="AK107">
            <v>822.18280400000003</v>
          </cell>
          <cell r="AL107">
            <v>818.29847219999999</v>
          </cell>
          <cell r="AM107">
            <v>814.43736279999996</v>
          </cell>
          <cell r="AN107">
            <v>810.59934499999997</v>
          </cell>
          <cell r="AO107">
            <v>806.78417760000002</v>
          </cell>
        </row>
        <row r="108">
          <cell r="F108">
            <v>878.79999729999997</v>
          </cell>
          <cell r="G108">
            <v>867.28083979999997</v>
          </cell>
          <cell r="H108">
            <v>854.93762000000004</v>
          </cell>
          <cell r="I108">
            <v>842.00446169999998</v>
          </cell>
          <cell r="J108">
            <v>829.23736169999995</v>
          </cell>
          <cell r="K108">
            <v>817.25585360000002</v>
          </cell>
          <cell r="L108">
            <v>806.24922100000003</v>
          </cell>
          <cell r="M108">
            <v>796.04058650000002</v>
          </cell>
          <cell r="N108">
            <v>786.96369779999998</v>
          </cell>
          <cell r="O108">
            <v>778.76968509999995</v>
          </cell>
          <cell r="P108">
            <v>771.03898089999996</v>
          </cell>
          <cell r="Q108">
            <v>763.3301262</v>
          </cell>
          <cell r="R108">
            <v>755.34490719999997</v>
          </cell>
          <cell r="S108">
            <v>746.94963789999997</v>
          </cell>
          <cell r="T108">
            <v>738.17731389999994</v>
          </cell>
          <cell r="U108">
            <v>729.15425040000002</v>
          </cell>
          <cell r="V108">
            <v>720.02321740000002</v>
          </cell>
          <cell r="W108">
            <v>710.89793710000004</v>
          </cell>
          <cell r="X108">
            <v>701.84546260000002</v>
          </cell>
          <cell r="Y108">
            <v>692.90083949999996</v>
          </cell>
          <cell r="Z108">
            <v>684.0751262</v>
          </cell>
          <cell r="AA108">
            <v>675.41474229999994</v>
          </cell>
          <cell r="AB108">
            <v>666.95823849999999</v>
          </cell>
          <cell r="AC108">
            <v>658.73571130000005</v>
          </cell>
          <cell r="AD108">
            <v>650.76318189999995</v>
          </cell>
          <cell r="AE108">
            <v>643.00609459999998</v>
          </cell>
          <cell r="AF108">
            <v>635.46586630000002</v>
          </cell>
          <cell r="AG108">
            <v>628.11291849999998</v>
          </cell>
          <cell r="AH108">
            <v>620.89334329999997</v>
          </cell>
          <cell r="AI108">
            <v>613.74805249999997</v>
          </cell>
          <cell r="AJ108">
            <v>606.6286053</v>
          </cell>
          <cell r="AK108">
            <v>599.50472209999998</v>
          </cell>
          <cell r="AL108">
            <v>592.36490100000003</v>
          </cell>
          <cell r="AM108">
            <v>585.20985340000004</v>
          </cell>
          <cell r="AN108">
            <v>578.04551300000003</v>
          </cell>
          <cell r="AO108">
            <v>570.87898719999998</v>
          </cell>
        </row>
        <row r="109">
          <cell r="F109">
            <v>139.85209269999999</v>
          </cell>
          <cell r="G109">
            <v>137.9738577</v>
          </cell>
          <cell r="H109">
            <v>136.18879580000001</v>
          </cell>
          <cell r="I109">
            <v>134.53879280000001</v>
          </cell>
          <cell r="J109">
            <v>133.05573200000001</v>
          </cell>
          <cell r="K109">
            <v>131.746453</v>
          </cell>
          <cell r="L109">
            <v>130.5904907</v>
          </cell>
          <cell r="M109">
            <v>129.55360150000001</v>
          </cell>
          <cell r="N109">
            <v>128.6042157</v>
          </cell>
          <cell r="O109">
            <v>127.7093071</v>
          </cell>
          <cell r="P109">
            <v>126.84509130000001</v>
          </cell>
          <cell r="Q109">
            <v>125.9953053</v>
          </cell>
          <cell r="R109">
            <v>125.1478783</v>
          </cell>
          <cell r="S109">
            <v>124.2928885</v>
          </cell>
          <cell r="T109">
            <v>123.4240573</v>
          </cell>
          <cell r="U109">
            <v>122.5401734</v>
          </cell>
          <cell r="V109">
            <v>121.6448219</v>
          </cell>
          <cell r="W109">
            <v>120.7443811</v>
          </cell>
          <cell r="X109">
            <v>119.8451802</v>
          </cell>
          <cell r="Y109">
            <v>118.9521864</v>
          </cell>
          <cell r="Z109">
            <v>118.0687575</v>
          </cell>
          <cell r="AA109">
            <v>117.1976682</v>
          </cell>
          <cell r="AB109">
            <v>116.34048629999999</v>
          </cell>
          <cell r="AC109">
            <v>115.4981021</v>
          </cell>
          <cell r="AD109">
            <v>114.67054589999999</v>
          </cell>
          <cell r="AE109">
            <v>113.8565978</v>
          </cell>
          <cell r="AF109">
            <v>113.05484319999999</v>
          </cell>
          <cell r="AG109">
            <v>112.26282639999999</v>
          </cell>
          <cell r="AH109">
            <v>111.4778081</v>
          </cell>
          <cell r="AI109">
            <v>110.6970393</v>
          </cell>
          <cell r="AJ109">
            <v>109.91806</v>
          </cell>
          <cell r="AK109">
            <v>109.1389413</v>
          </cell>
          <cell r="AL109">
            <v>108.35846909999999</v>
          </cell>
          <cell r="AM109">
            <v>107.57605460000001</v>
          </cell>
          <cell r="AN109">
            <v>106.7915417</v>
          </cell>
          <cell r="AO109">
            <v>106.0050469</v>
          </cell>
        </row>
        <row r="110">
          <cell r="F110">
            <v>3.874567114</v>
          </cell>
          <cell r="G110">
            <v>3.7257333199999998</v>
          </cell>
          <cell r="H110">
            <v>3.5884012969999999</v>
          </cell>
          <cell r="I110">
            <v>3.465730529</v>
          </cell>
          <cell r="J110">
            <v>3.360677511</v>
          </cell>
          <cell r="K110">
            <v>3.2746864850000001</v>
          </cell>
          <cell r="L110">
            <v>3.2069173649999998</v>
          </cell>
          <cell r="M110">
            <v>3.1548149859999999</v>
          </cell>
          <cell r="N110">
            <v>3.1157856829999999</v>
          </cell>
          <cell r="O110">
            <v>3.085417112</v>
          </cell>
          <cell r="P110">
            <v>3.059686036</v>
          </cell>
          <cell r="Q110">
            <v>3.0352868900000001</v>
          </cell>
          <cell r="R110">
            <v>3.0096059230000001</v>
          </cell>
          <cell r="S110">
            <v>2.980700476</v>
          </cell>
          <cell r="T110">
            <v>2.947697324</v>
          </cell>
          <cell r="U110">
            <v>2.9108348020000001</v>
          </cell>
          <cell r="V110">
            <v>2.8711490799999999</v>
          </cell>
          <cell r="W110">
            <v>2.8299975970000002</v>
          </cell>
          <cell r="X110">
            <v>2.7885875580000001</v>
          </cell>
          <cell r="Y110">
            <v>2.747810496</v>
          </cell>
          <cell r="Z110">
            <v>2.7082438259999999</v>
          </cell>
          <cell r="AA110">
            <v>2.670362586</v>
          </cell>
          <cell r="AB110">
            <v>2.634440391</v>
          </cell>
          <cell r="AC110">
            <v>2.6006437999999998</v>
          </cell>
          <cell r="AD110">
            <v>2.5689971620000001</v>
          </cell>
          <cell r="AE110">
            <v>2.5392869500000002</v>
          </cell>
          <cell r="AF110">
            <v>2.5112692710000002</v>
          </cell>
          <cell r="AG110">
            <v>2.4844795240000002</v>
          </cell>
          <cell r="AH110">
            <v>2.4583794440000002</v>
          </cell>
          <cell r="AI110">
            <v>2.4324286979999998</v>
          </cell>
          <cell r="AJ110">
            <v>2.4061623989999998</v>
          </cell>
          <cell r="AK110">
            <v>2.3792452590000002</v>
          </cell>
          <cell r="AL110">
            <v>2.3514990629999999</v>
          </cell>
          <cell r="AM110">
            <v>2.322873199</v>
          </cell>
          <cell r="AN110">
            <v>2.293398882</v>
          </cell>
          <cell r="AO110">
            <v>2.2631533020000001</v>
          </cell>
        </row>
        <row r="112">
          <cell r="F112">
            <v>3.476542051</v>
          </cell>
          <cell r="G112">
            <v>5.9493271419999996</v>
          </cell>
          <cell r="H112">
            <v>8.9586324899999994</v>
          </cell>
          <cell r="I112">
            <v>12.522361070000001</v>
          </cell>
          <cell r="J112">
            <v>16.48542767</v>
          </cell>
          <cell r="K112">
            <v>20.700597349999999</v>
          </cell>
          <cell r="L112">
            <v>25.043697160000001</v>
          </cell>
          <cell r="M112">
            <v>29.474793550000001</v>
          </cell>
          <cell r="N112">
            <v>33.952691979999997</v>
          </cell>
          <cell r="O112">
            <v>38.44972207</v>
          </cell>
          <cell r="P112">
            <v>42.987637939999999</v>
          </cell>
          <cell r="Q112">
            <v>47.47369295</v>
          </cell>
          <cell r="R112">
            <v>51.93936557</v>
          </cell>
          <cell r="S112">
            <v>56.378909720000003</v>
          </cell>
          <cell r="T112">
            <v>60.787521230000003</v>
          </cell>
          <cell r="U112">
            <v>65.160634290000004</v>
          </cell>
          <cell r="V112">
            <v>69.493949330000007</v>
          </cell>
          <cell r="W112">
            <v>73.783745679999996</v>
          </cell>
          <cell r="X112">
            <v>78.027800299999996</v>
          </cell>
          <cell r="Y112">
            <v>82.226684309999996</v>
          </cell>
          <cell r="Z112">
            <v>86.357168439999995</v>
          </cell>
          <cell r="AA112">
            <v>90.481609090000006</v>
          </cell>
          <cell r="AB112">
            <v>94.584363100000004</v>
          </cell>
          <cell r="AC112">
            <v>98.675094290000004</v>
          </cell>
          <cell r="AD112">
            <v>102.76032429999999</v>
          </cell>
          <cell r="AE112">
            <v>106.7685895</v>
          </cell>
          <cell r="AF112">
            <v>110.8118638</v>
          </cell>
          <cell r="AG112">
            <v>114.8503819</v>
          </cell>
          <cell r="AH112">
            <v>118.8809093</v>
          </cell>
          <cell r="AI112">
            <v>122.89984629999999</v>
          </cell>
          <cell r="AJ112">
            <v>126.9040033</v>
          </cell>
          <cell r="AK112">
            <v>130.8908054</v>
          </cell>
          <cell r="AL112">
            <v>134.85818259999999</v>
          </cell>
          <cell r="AM112">
            <v>138.8043653</v>
          </cell>
          <cell r="AN112">
            <v>142.72771829999999</v>
          </cell>
          <cell r="AO112">
            <v>146.6267259</v>
          </cell>
        </row>
        <row r="113">
          <cell r="F113">
            <v>68.80476281</v>
          </cell>
          <cell r="G113">
            <v>76.548945099999997</v>
          </cell>
          <cell r="H113">
            <v>84.201254050000003</v>
          </cell>
          <cell r="I113">
            <v>91.342237030000007</v>
          </cell>
          <cell r="J113">
            <v>97.994505090000004</v>
          </cell>
          <cell r="K113">
            <v>104.15698020000001</v>
          </cell>
          <cell r="L113">
            <v>109.2362589</v>
          </cell>
          <cell r="M113">
            <v>113.9164674</v>
          </cell>
          <cell r="N113">
            <v>118.2795764</v>
          </cell>
          <cell r="O113">
            <v>122.4167202</v>
          </cell>
          <cell r="P113">
            <v>127.44774719999999</v>
          </cell>
          <cell r="Q113">
            <v>131.385896</v>
          </cell>
          <cell r="R113">
            <v>135.33052330000001</v>
          </cell>
          <cell r="S113">
            <v>139.32855409999999</v>
          </cell>
          <cell r="T113">
            <v>143.41498809999999</v>
          </cell>
          <cell r="U113">
            <v>147.6155947</v>
          </cell>
          <cell r="V113">
            <v>151.9468315</v>
          </cell>
          <cell r="W113">
            <v>156.41567979999999</v>
          </cell>
          <cell r="X113">
            <v>161.01686319999999</v>
          </cell>
          <cell r="Y113">
            <v>165.73065829999999</v>
          </cell>
          <cell r="Z113">
            <v>169.84274970000001</v>
          </cell>
          <cell r="AA113">
            <v>174.6743744</v>
          </cell>
          <cell r="AB113">
            <v>179.49201249999999</v>
          </cell>
          <cell r="AC113">
            <v>184.25373930000001</v>
          </cell>
          <cell r="AD113">
            <v>188.92937649999999</v>
          </cell>
          <cell r="AE113">
            <v>191.64012740000001</v>
          </cell>
          <cell r="AF113">
            <v>195.23516710000001</v>
          </cell>
          <cell r="AG113">
            <v>198.7241113</v>
          </cell>
          <cell r="AH113">
            <v>202.12255669999999</v>
          </cell>
          <cell r="AI113">
            <v>205.4508548</v>
          </cell>
          <cell r="AJ113">
            <v>208.72838960000001</v>
          </cell>
          <cell r="AK113">
            <v>211.97140630000001</v>
          </cell>
          <cell r="AL113">
            <v>215.19321249999999</v>
          </cell>
          <cell r="AM113">
            <v>218.40522849999999</v>
          </cell>
          <cell r="AN113">
            <v>221.6178185</v>
          </cell>
          <cell r="AO113">
            <v>224.84006959999999</v>
          </cell>
        </row>
        <row r="114">
          <cell r="F114">
            <v>408.28039699999999</v>
          </cell>
          <cell r="G114">
            <v>425.45424279999997</v>
          </cell>
          <cell r="H114">
            <v>444.51863500000002</v>
          </cell>
          <cell r="I114">
            <v>463.85994299999999</v>
          </cell>
          <cell r="J114">
            <v>482.92276079999999</v>
          </cell>
          <cell r="K114">
            <v>501.27536880000002</v>
          </cell>
          <cell r="L114">
            <v>516.99354410000001</v>
          </cell>
          <cell r="M114">
            <v>531.85167679999995</v>
          </cell>
          <cell r="N114">
            <v>545.99704859999997</v>
          </cell>
          <cell r="O114">
            <v>559.62430640000002</v>
          </cell>
          <cell r="P114">
            <v>575.82885929999998</v>
          </cell>
          <cell r="Q114">
            <v>588.96569950000003</v>
          </cell>
          <cell r="R114">
            <v>602.07106490000001</v>
          </cell>
          <cell r="S114">
            <v>615.24509479999995</v>
          </cell>
          <cell r="T114">
            <v>628.56771470000001</v>
          </cell>
          <cell r="U114">
            <v>642.10193349999997</v>
          </cell>
          <cell r="V114">
            <v>655.89061670000001</v>
          </cell>
          <cell r="W114">
            <v>669.9540131</v>
          </cell>
          <cell r="X114">
            <v>684.28232849999995</v>
          </cell>
          <cell r="Y114">
            <v>698.83083399999998</v>
          </cell>
          <cell r="Z114">
            <v>711.60600309999995</v>
          </cell>
          <cell r="AA114">
            <v>726.34517200000005</v>
          </cell>
          <cell r="AB114">
            <v>741.01588819999995</v>
          </cell>
          <cell r="AC114">
            <v>755.52311150000003</v>
          </cell>
          <cell r="AD114">
            <v>769.79867119999994</v>
          </cell>
          <cell r="AE114">
            <v>778.56588580000005</v>
          </cell>
          <cell r="AF114">
            <v>789.83712290000005</v>
          </cell>
          <cell r="AG114">
            <v>800.83619220000003</v>
          </cell>
          <cell r="AH114">
            <v>811.60214229999997</v>
          </cell>
          <cell r="AI114">
            <v>822.18337759999997</v>
          </cell>
          <cell r="AJ114">
            <v>832.6254596</v>
          </cell>
          <cell r="AK114">
            <v>842.96650769999997</v>
          </cell>
          <cell r="AL114">
            <v>853.23763959999997</v>
          </cell>
          <cell r="AM114">
            <v>863.46525550000001</v>
          </cell>
          <cell r="AN114">
            <v>873.67292299999997</v>
          </cell>
          <cell r="AO114">
            <v>883.88099350000005</v>
          </cell>
        </row>
        <row r="115">
          <cell r="F115">
            <v>954.38155940000001</v>
          </cell>
          <cell r="G115">
            <v>948.79342759999997</v>
          </cell>
          <cell r="H115">
            <v>944.11476779999998</v>
          </cell>
          <cell r="I115">
            <v>939.60345819999998</v>
          </cell>
          <cell r="J115">
            <v>935.1567483</v>
          </cell>
          <cell r="K115">
            <v>930.72706019999998</v>
          </cell>
          <cell r="L115">
            <v>926.30126819999998</v>
          </cell>
          <cell r="M115">
            <v>921.87863600000003</v>
          </cell>
          <cell r="N115">
            <v>917.46255240000005</v>
          </cell>
          <cell r="O115">
            <v>913.0571013</v>
          </cell>
          <cell r="P115">
            <v>908.66624379999996</v>
          </cell>
          <cell r="Q115">
            <v>904.29465219999997</v>
          </cell>
          <cell r="R115">
            <v>899.9459617</v>
          </cell>
          <cell r="S115">
            <v>895.62383260000001</v>
          </cell>
          <cell r="T115">
            <v>891.33132420000004</v>
          </cell>
          <cell r="U115">
            <v>887.07092050000006</v>
          </cell>
          <cell r="V115">
            <v>882.84454370000003</v>
          </cell>
          <cell r="W115">
            <v>878.65346569999997</v>
          </cell>
          <cell r="X115">
            <v>874.4978476</v>
          </cell>
          <cell r="Y115">
            <v>870.37627780000003</v>
          </cell>
          <cell r="Z115">
            <v>866.28581689999999</v>
          </cell>
          <cell r="AA115">
            <v>862.22180130000004</v>
          </cell>
          <cell r="AB115">
            <v>858.17971620000003</v>
          </cell>
          <cell r="AC115">
            <v>854.15513380000004</v>
          </cell>
          <cell r="AD115">
            <v>850.14484860000005</v>
          </cell>
          <cell r="AE115">
            <v>846.1473671</v>
          </cell>
          <cell r="AF115">
            <v>842.16152980000004</v>
          </cell>
          <cell r="AG115">
            <v>838.18867109999997</v>
          </cell>
          <cell r="AH115">
            <v>834.23026749999997</v>
          </cell>
          <cell r="AI115">
            <v>830.28795019999995</v>
          </cell>
          <cell r="AJ115">
            <v>826.36323990000005</v>
          </cell>
          <cell r="AK115">
            <v>822.45744319999994</v>
          </cell>
          <cell r="AL115">
            <v>818.5716592</v>
          </cell>
          <cell r="AM115">
            <v>814.70683229999997</v>
          </cell>
          <cell r="AN115">
            <v>810.86380589999999</v>
          </cell>
          <cell r="AO115">
            <v>807.04331439999999</v>
          </cell>
        </row>
        <row r="116">
          <cell r="F116">
            <v>878.79999729999997</v>
          </cell>
          <cell r="G116">
            <v>867.28083979999997</v>
          </cell>
          <cell r="H116">
            <v>854.93762000000004</v>
          </cell>
          <cell r="I116">
            <v>842.00446169999998</v>
          </cell>
          <cell r="J116">
            <v>829.23736169999995</v>
          </cell>
          <cell r="K116">
            <v>817.25585360000002</v>
          </cell>
          <cell r="L116">
            <v>806.33468889999995</v>
          </cell>
          <cell r="M116">
            <v>796.47759340000005</v>
          </cell>
          <cell r="N116">
            <v>787.53321129999995</v>
          </cell>
          <cell r="O116">
            <v>779.27214309999999</v>
          </cell>
          <cell r="P116">
            <v>771.46888109999998</v>
          </cell>
          <cell r="Q116">
            <v>763.88832230000003</v>
          </cell>
          <cell r="R116">
            <v>756.34918389999996</v>
          </cell>
          <cell r="S116">
            <v>748.71496790000003</v>
          </cell>
          <cell r="T116">
            <v>740.88043870000001</v>
          </cell>
          <cell r="U116">
            <v>732.7670488</v>
          </cell>
          <cell r="V116">
            <v>724.32574720000002</v>
          </cell>
          <cell r="W116">
            <v>715.53827920000003</v>
          </cell>
          <cell r="X116">
            <v>706.42493000000002</v>
          </cell>
          <cell r="Y116">
            <v>697.04895280000005</v>
          </cell>
          <cell r="Z116">
            <v>687.4945467</v>
          </cell>
          <cell r="AA116">
            <v>677.90908479999996</v>
          </cell>
          <cell r="AB116">
            <v>668.43098429999998</v>
          </cell>
          <cell r="AC116">
            <v>659.17886769999996</v>
          </cell>
          <cell r="AD116">
            <v>650.23854470000003</v>
          </cell>
          <cell r="AE116">
            <v>641.62122109999996</v>
          </cell>
          <cell r="AF116">
            <v>633.36881489999996</v>
          </cell>
          <cell r="AG116">
            <v>625.46989459999998</v>
          </cell>
          <cell r="AH116">
            <v>617.87667309999995</v>
          </cell>
          <cell r="AI116">
            <v>610.52770720000001</v>
          </cell>
          <cell r="AJ116">
            <v>603.36452020000002</v>
          </cell>
          <cell r="AK116">
            <v>596.33804120000002</v>
          </cell>
          <cell r="AL116">
            <v>589.40817049999998</v>
          </cell>
          <cell r="AM116">
            <v>582.54082019999998</v>
          </cell>
          <cell r="AN116">
            <v>575.70551609999995</v>
          </cell>
          <cell r="AO116">
            <v>568.87604280000005</v>
          </cell>
        </row>
        <row r="117">
          <cell r="F117">
            <v>139.85209269999999</v>
          </cell>
          <cell r="G117">
            <v>137.9738577</v>
          </cell>
          <cell r="H117">
            <v>136.18879580000001</v>
          </cell>
          <cell r="I117">
            <v>134.53879280000001</v>
          </cell>
          <cell r="J117">
            <v>133.05573200000001</v>
          </cell>
          <cell r="K117">
            <v>131.746453</v>
          </cell>
          <cell r="L117">
            <v>130.59047229999999</v>
          </cell>
          <cell r="M117">
            <v>129.5523249</v>
          </cell>
          <cell r="N117">
            <v>128.59574939999999</v>
          </cell>
          <cell r="O117">
            <v>127.6916976</v>
          </cell>
          <cell r="P117">
            <v>126.82003280000001</v>
          </cell>
          <cell r="Q117">
            <v>125.96732539999999</v>
          </cell>
          <cell r="R117">
            <v>125.1246617</v>
          </cell>
          <cell r="S117">
            <v>124.2851149</v>
          </cell>
          <cell r="T117">
            <v>123.4421376</v>
          </cell>
          <cell r="U117">
            <v>122.58883659999999</v>
          </cell>
          <cell r="V117">
            <v>121.7183117</v>
          </cell>
          <cell r="W117">
            <v>120.82463850000001</v>
          </cell>
          <cell r="X117">
            <v>119.9047095</v>
          </cell>
          <cell r="Y117">
            <v>118.9599777</v>
          </cell>
          <cell r="Z117">
            <v>117.9965665</v>
          </cell>
          <cell r="AA117">
            <v>117.0255191</v>
          </cell>
          <cell r="AB117">
            <v>116.0593925</v>
          </cell>
          <cell r="AC117">
            <v>115.109942</v>
          </cell>
          <cell r="AD117">
            <v>114.18547119999999</v>
          </cell>
          <cell r="AE117">
            <v>113.2892473</v>
          </cell>
          <cell r="AF117">
            <v>112.4218128</v>
          </cell>
          <cell r="AG117">
            <v>111.57999</v>
          </cell>
          <cell r="AH117">
            <v>110.7593138</v>
          </cell>
          <cell r="AI117">
            <v>109.9551403</v>
          </cell>
          <cell r="AJ117">
            <v>109.1633257</v>
          </cell>
          <cell r="AK117">
            <v>108.3804119</v>
          </cell>
          <cell r="AL117">
            <v>107.60352570000001</v>
          </cell>
          <cell r="AM117">
            <v>106.83017460000001</v>
          </cell>
          <cell r="AN117">
            <v>106.0580617</v>
          </cell>
          <cell r="AO117">
            <v>105.28506520000001</v>
          </cell>
        </row>
        <row r="118">
          <cell r="F118">
            <v>3.874567114</v>
          </cell>
          <cell r="G118">
            <v>3.7257333199999998</v>
          </cell>
          <cell r="H118">
            <v>3.5884012969999999</v>
          </cell>
          <cell r="I118">
            <v>3.465730529</v>
          </cell>
          <cell r="J118">
            <v>3.360677511</v>
          </cell>
          <cell r="K118">
            <v>3.2746864850000001</v>
          </cell>
          <cell r="L118">
            <v>3.2068595800000002</v>
          </cell>
          <cell r="M118">
            <v>3.1543563890000001</v>
          </cell>
          <cell r="N118">
            <v>3.1134469619999998</v>
          </cell>
          <cell r="O118">
            <v>3.0804849330000001</v>
          </cell>
          <cell r="P118">
            <v>3.052479124</v>
          </cell>
          <cell r="Q118">
            <v>3.0270684719999998</v>
          </cell>
          <cell r="R118">
            <v>3.0024908080000001</v>
          </cell>
          <cell r="S118">
            <v>2.9772941999999998</v>
          </cell>
          <cell r="T118">
            <v>2.9501832389999998</v>
          </cell>
          <cell r="U118">
            <v>2.9200049670000001</v>
          </cell>
          <cell r="V118">
            <v>2.885867819</v>
          </cell>
          <cell r="W118">
            <v>2.847272582</v>
          </cell>
          <cell r="X118">
            <v>2.8042777550000002</v>
          </cell>
          <cell r="Y118">
            <v>2.7575737579999999</v>
          </cell>
          <cell r="Z118">
            <v>2.708338999</v>
          </cell>
          <cell r="AA118">
            <v>2.6581985079999999</v>
          </cell>
          <cell r="AB118">
            <v>2.608794085</v>
          </cell>
          <cell r="AC118">
            <v>2.5615818770000001</v>
          </cell>
          <cell r="AD118">
            <v>2.5175875790000002</v>
          </cell>
          <cell r="AE118">
            <v>2.4772236319999998</v>
          </cell>
          <cell r="AF118">
            <v>2.4406054209999999</v>
          </cell>
          <cell r="AG118">
            <v>2.4073386960000001</v>
          </cell>
          <cell r="AH118">
            <v>2.3768156070000002</v>
          </cell>
          <cell r="AI118">
            <v>2.34836242</v>
          </cell>
          <cell r="AJ118">
            <v>2.3213499039999999</v>
          </cell>
          <cell r="AK118">
            <v>2.2952372780000001</v>
          </cell>
          <cell r="AL118">
            <v>2.2695705159999999</v>
          </cell>
          <cell r="AM118">
            <v>2.243961525</v>
          </cell>
          <cell r="AN118">
            <v>2.2180681980000001</v>
          </cell>
          <cell r="AO118">
            <v>2.1915978209999998</v>
          </cell>
        </row>
        <row r="205">
          <cell r="E205" t="str">
            <v>YG_toe_2</v>
          </cell>
          <cell r="F205">
            <v>142.13563060000001</v>
          </cell>
          <cell r="G205">
            <v>144.72748569999999</v>
          </cell>
          <cell r="H205">
            <v>146.82706379999999</v>
          </cell>
          <cell r="I205">
            <v>148.90727089999999</v>
          </cell>
          <cell r="J205">
            <v>151.1655442</v>
          </cell>
          <cell r="K205">
            <v>153.70087599999999</v>
          </cell>
          <cell r="L205">
            <v>156.6816077</v>
          </cell>
          <cell r="M205">
            <v>160.17085410000001</v>
          </cell>
          <cell r="N205">
            <v>163.9855057</v>
          </cell>
          <cell r="O205">
            <v>167.68044750000001</v>
          </cell>
          <cell r="P205">
            <v>171.03831199999999</v>
          </cell>
          <cell r="Q205">
            <v>173.7383073</v>
          </cell>
          <cell r="R205">
            <v>175.97108159999999</v>
          </cell>
          <cell r="S205">
            <v>177.9403959</v>
          </cell>
          <cell r="T205">
            <v>179.840293</v>
          </cell>
          <cell r="U205">
            <v>181.7906965</v>
          </cell>
          <cell r="V205">
            <v>183.82509519999999</v>
          </cell>
          <cell r="W205">
            <v>185.92857169999999</v>
          </cell>
          <cell r="X205">
            <v>188.07251450000001</v>
          </cell>
          <cell r="Y205">
            <v>190.24185259999999</v>
          </cell>
          <cell r="Z205">
            <v>192.3338655</v>
          </cell>
          <cell r="AA205">
            <v>194.56351330000001</v>
          </cell>
          <cell r="AB205">
            <v>196.89238019999999</v>
          </cell>
          <cell r="AC205">
            <v>199.33648109999999</v>
          </cell>
          <cell r="AD205">
            <v>201.9053773</v>
          </cell>
          <cell r="AE205">
            <v>204.2442796</v>
          </cell>
          <cell r="AF205">
            <v>206.77068610000001</v>
          </cell>
          <cell r="AG205">
            <v>209.310453</v>
          </cell>
          <cell r="AH205">
            <v>211.81051249999999</v>
          </cell>
          <cell r="AI205">
            <v>214.2560632</v>
          </cell>
          <cell r="AJ205">
            <v>216.65552489999999</v>
          </cell>
          <cell r="AK205">
            <v>219.02550429999999</v>
          </cell>
          <cell r="AL205">
            <v>221.3827517</v>
          </cell>
          <cell r="AM205">
            <v>223.73830319999999</v>
          </cell>
          <cell r="AN205">
            <v>226.09587160000001</v>
          </cell>
          <cell r="AO205">
            <v>228.45479</v>
          </cell>
        </row>
        <row r="206">
          <cell r="E206" t="str">
            <v>YG_toe_ccoa_2</v>
          </cell>
          <cell r="F206">
            <v>2.2587199849999999</v>
          </cell>
          <cell r="G206">
            <v>1.638087055</v>
          </cell>
          <cell r="H206">
            <v>1.1227227099999999</v>
          </cell>
          <cell r="I206">
            <v>0.70654462870000001</v>
          </cell>
          <cell r="J206">
            <v>0.37278752279999999</v>
          </cell>
          <cell r="K206">
            <v>0.1049911218</v>
          </cell>
          <cell r="L206">
            <v>-0.10575546969999999</v>
          </cell>
          <cell r="M206">
            <v>-0.27206443670000002</v>
          </cell>
          <cell r="N206">
            <v>-0.4027991112</v>
          </cell>
          <cell r="O206">
            <v>-0.50739059080000004</v>
          </cell>
          <cell r="P206">
            <v>-0.60140988279999996</v>
          </cell>
          <cell r="Q206">
            <v>-0.67496652030000004</v>
          </cell>
          <cell r="R206">
            <v>-0.74012214229999995</v>
          </cell>
          <cell r="S206">
            <v>-0.79942357399999997</v>
          </cell>
          <cell r="T206">
            <v>-0.85290033580000002</v>
          </cell>
          <cell r="U206">
            <v>-0.90045520420000003</v>
          </cell>
          <cell r="V206">
            <v>-0.94247712689999996</v>
          </cell>
          <cell r="W206">
            <v>-0.97986575220000005</v>
          </cell>
          <cell r="X206">
            <v>-1.0138071980000001</v>
          </cell>
          <cell r="Y206">
            <v>-1.0454725039999999</v>
          </cell>
          <cell r="Z206">
            <v>-1.070793112</v>
          </cell>
          <cell r="AA206">
            <v>-1.101429727</v>
          </cell>
          <cell r="AB206">
            <v>-1.1319256209999999</v>
          </cell>
          <cell r="AC206">
            <v>-1.161398097</v>
          </cell>
          <cell r="AD206">
            <v>-1.19002835</v>
          </cell>
          <cell r="AE206">
            <v>-1.203538601</v>
          </cell>
          <cell r="AF206">
            <v>-1.228359311</v>
          </cell>
          <cell r="AG206">
            <v>-1.255389761</v>
          </cell>
          <cell r="AH206">
            <v>-1.2826520079999999</v>
          </cell>
          <cell r="AI206">
            <v>-1.3102352340000001</v>
          </cell>
          <cell r="AJ206">
            <v>-1.3383876029999999</v>
          </cell>
          <cell r="AK206">
            <v>-1.367185756</v>
          </cell>
          <cell r="AL206">
            <v>-1.39658298</v>
          </cell>
          <cell r="AM206">
            <v>-1.4265088079999999</v>
          </cell>
          <cell r="AN206">
            <v>-1.4569340609999999</v>
          </cell>
          <cell r="AO206">
            <v>-1.4878856250000001</v>
          </cell>
        </row>
        <row r="209">
          <cell r="E209" t="str">
            <v>YG_toe_ccoi_2</v>
          </cell>
          <cell r="F209">
            <v>1.2014653360000001</v>
          </cell>
          <cell r="G209">
            <v>0.96354411949999996</v>
          </cell>
          <cell r="H209">
            <v>0.77320611340000001</v>
          </cell>
          <cell r="I209">
            <v>0.62095120439999996</v>
          </cell>
          <cell r="J209">
            <v>0.49917359309999998</v>
          </cell>
          <cell r="K209">
            <v>0.40178350270000002</v>
          </cell>
          <cell r="L209">
            <v>0.3239205148</v>
          </cell>
          <cell r="M209">
            <v>0.26166721710000002</v>
          </cell>
          <cell r="N209">
            <v>0.21190690919999999</v>
          </cell>
          <cell r="O209">
            <v>0.17213064140000001</v>
          </cell>
          <cell r="P209">
            <v>0.1403382041</v>
          </cell>
          <cell r="Q209">
            <v>0.11491368170000001</v>
          </cell>
          <cell r="R209">
            <v>9.4589221400000006E-2</v>
          </cell>
          <cell r="S209">
            <v>7.8350551199999993E-2</v>
          </cell>
          <cell r="T209">
            <v>6.5384233099999994E-2</v>
          </cell>
          <cell r="U209">
            <v>5.50374712E-2</v>
          </cell>
          <cell r="V209">
            <v>4.6786220400000002E-2</v>
          </cell>
          <cell r="W209">
            <v>4.0210053599999997E-2</v>
          </cell>
          <cell r="X209">
            <v>3.4972231800000003E-2</v>
          </cell>
          <cell r="Y209">
            <v>3.0803727900000001E-2</v>
          </cell>
          <cell r="Z209">
            <v>2.7482802099999998E-2</v>
          </cell>
          <cell r="AA209">
            <v>2.4851042E-2</v>
          </cell>
          <cell r="AB209">
            <v>2.2768502199999999E-2</v>
          </cell>
          <cell r="AC209">
            <v>2.1124891699999999E-2</v>
          </cell>
          <cell r="AD209">
            <v>1.98328818E-2</v>
          </cell>
          <cell r="AE209">
            <v>1.8800305400000002E-2</v>
          </cell>
          <cell r="AF209">
            <v>1.7998848599999999E-2</v>
          </cell>
          <cell r="AG209">
            <v>1.7377278199999999E-2</v>
          </cell>
          <cell r="AH209">
            <v>1.6896351899999999E-2</v>
          </cell>
          <cell r="AI209">
            <v>1.6526917799999999E-2</v>
          </cell>
          <cell r="AJ209">
            <v>1.6246443700000002E-2</v>
          </cell>
          <cell r="AK209">
            <v>1.6037142800000001E-2</v>
          </cell>
          <cell r="AL209">
            <v>1.5884723600000001E-2</v>
          </cell>
          <cell r="AM209">
            <v>1.57775322E-2</v>
          </cell>
          <cell r="AN209">
            <v>1.5706002E-2</v>
          </cell>
          <cell r="AO209">
            <v>1.56623223E-2</v>
          </cell>
        </row>
        <row r="212">
          <cell r="E212" t="str">
            <v>YG_toe_cfut_2</v>
          </cell>
          <cell r="F212">
            <v>54.412399020000002</v>
          </cell>
          <cell r="G212">
            <v>55.940596620000001</v>
          </cell>
          <cell r="H212">
            <v>57.23962504</v>
          </cell>
          <cell r="I212">
            <v>58.418674070000002</v>
          </cell>
          <cell r="J212">
            <v>59.538420549999998</v>
          </cell>
          <cell r="K212">
            <v>60.62913649</v>
          </cell>
          <cell r="L212">
            <v>61.761608379999998</v>
          </cell>
          <cell r="M212">
            <v>62.858370559999997</v>
          </cell>
          <cell r="N212">
            <v>63.950674300000003</v>
          </cell>
          <cell r="O212">
            <v>65.000090159999999</v>
          </cell>
          <cell r="P212">
            <v>66.055010429999996</v>
          </cell>
          <cell r="Q212">
            <v>66.972966830000004</v>
          </cell>
          <cell r="R212">
            <v>67.846942100000007</v>
          </cell>
          <cell r="S212">
            <v>68.703077780000001</v>
          </cell>
          <cell r="T212">
            <v>69.558127940000006</v>
          </cell>
          <cell r="U212">
            <v>70.418910490000002</v>
          </cell>
          <cell r="V212">
            <v>71.284203770000005</v>
          </cell>
          <cell r="W212">
            <v>72.148949509999994</v>
          </cell>
          <cell r="X212">
            <v>73.008230549999993</v>
          </cell>
          <cell r="Y212">
            <v>73.859810409999994</v>
          </cell>
          <cell r="Z212">
            <v>74.647517820000004</v>
          </cell>
          <cell r="AA212">
            <v>75.485331270000003</v>
          </cell>
          <cell r="AB212">
            <v>76.324859860000004</v>
          </cell>
          <cell r="AC212">
            <v>77.167432980000001</v>
          </cell>
          <cell r="AD212">
            <v>78.015690129999996</v>
          </cell>
          <cell r="AE212">
            <v>78.700929070000001</v>
          </cell>
          <cell r="AF212">
            <v>79.474930000000001</v>
          </cell>
          <cell r="AG212">
            <v>80.247914179999995</v>
          </cell>
          <cell r="AH212">
            <v>81.012692119999997</v>
          </cell>
          <cell r="AI212">
            <v>81.769586720000007</v>
          </cell>
          <cell r="AJ212">
            <v>82.520975239999999</v>
          </cell>
          <cell r="AK212">
            <v>83.269318740000003</v>
          </cell>
          <cell r="AL212">
            <v>84.016247000000007</v>
          </cell>
          <cell r="AM212">
            <v>84.762243940000005</v>
          </cell>
          <cell r="AN212">
            <v>85.506848579999996</v>
          </cell>
          <cell r="AO212">
            <v>86.249183299999999</v>
          </cell>
        </row>
        <row r="215">
          <cell r="E215" t="str">
            <v>YG_toe_cfuh_2</v>
          </cell>
          <cell r="F215">
            <v>5.0159870910000004</v>
          </cell>
          <cell r="G215">
            <v>4.9091412520000004</v>
          </cell>
          <cell r="H215">
            <v>4.8081419170000004</v>
          </cell>
          <cell r="I215">
            <v>4.7203907410000001</v>
          </cell>
          <cell r="J215">
            <v>4.6494879989999998</v>
          </cell>
          <cell r="K215">
            <v>4.5968269680000002</v>
          </cell>
          <cell r="L215">
            <v>4.5812186580000001</v>
          </cell>
          <cell r="M215">
            <v>4.573467087</v>
          </cell>
          <cell r="N215">
            <v>4.5780049009999999</v>
          </cell>
          <cell r="O215">
            <v>4.5858427510000004</v>
          </cell>
          <cell r="P215">
            <v>4.5943890649999997</v>
          </cell>
          <cell r="Q215">
            <v>4.5933167470000003</v>
          </cell>
          <cell r="R215">
            <v>4.5889695970000002</v>
          </cell>
          <cell r="S215">
            <v>4.5848396109999996</v>
          </cell>
          <cell r="T215">
            <v>4.5834432219999997</v>
          </cell>
          <cell r="U215">
            <v>4.5858379229999997</v>
          </cell>
          <cell r="V215">
            <v>4.5917104599999998</v>
          </cell>
          <cell r="W215">
            <v>4.5999604439999997</v>
          </cell>
          <cell r="X215">
            <v>4.6093829680000002</v>
          </cell>
          <cell r="Y215">
            <v>4.6191793390000004</v>
          </cell>
          <cell r="Z215">
            <v>4.6258140670000003</v>
          </cell>
          <cell r="AA215">
            <v>4.6360341570000001</v>
          </cell>
          <cell r="AB215">
            <v>4.6473355280000002</v>
          </cell>
          <cell r="AC215">
            <v>4.6599870460000004</v>
          </cell>
          <cell r="AD215">
            <v>4.6744445990000001</v>
          </cell>
          <cell r="AE215">
            <v>4.6808595970000004</v>
          </cell>
          <cell r="AF215">
            <v>4.6943024070000003</v>
          </cell>
          <cell r="AG215">
            <v>4.7088894540000004</v>
          </cell>
          <cell r="AH215">
            <v>4.7235661670000004</v>
          </cell>
          <cell r="AI215">
            <v>4.7382395439999998</v>
          </cell>
          <cell r="AJ215">
            <v>4.7531252759999996</v>
          </cell>
          <cell r="AK215">
            <v>4.7685070029999999</v>
          </cell>
          <cell r="AL215">
            <v>4.7845878490000002</v>
          </cell>
          <cell r="AM215">
            <v>4.8014201090000004</v>
          </cell>
          <cell r="AN215">
            <v>4.8189166370000001</v>
          </cell>
          <cell r="AO215">
            <v>4.8369187550000001</v>
          </cell>
        </row>
        <row r="217">
          <cell r="E217" t="str">
            <v>YG_toe_cgas_2</v>
          </cell>
          <cell r="F217">
            <v>2.44830434</v>
          </cell>
          <cell r="G217">
            <v>4.3147918389999997</v>
          </cell>
          <cell r="H217">
            <v>5.7104032660000001</v>
          </cell>
          <cell r="I217">
            <v>6.8424424569999998</v>
          </cell>
          <cell r="J217">
            <v>7.7824758840000001</v>
          </cell>
          <cell r="K217">
            <v>8.5758622199999994</v>
          </cell>
          <cell r="L217">
            <v>9.2655241630000003</v>
          </cell>
          <cell r="M217">
            <v>9.9043645530000006</v>
          </cell>
          <cell r="N217">
            <v>10.474864699999999</v>
          </cell>
          <cell r="O217">
            <v>10.95270981</v>
          </cell>
          <cell r="P217">
            <v>11.33261663</v>
          </cell>
          <cell r="Q217">
            <v>11.62978055</v>
          </cell>
          <cell r="R217">
            <v>11.863573300000001</v>
          </cell>
          <cell r="S217">
            <v>12.059279910000001</v>
          </cell>
          <cell r="T217">
            <v>12.236314289999999</v>
          </cell>
          <cell r="U217">
            <v>12.40496576</v>
          </cell>
          <cell r="V217">
            <v>12.56770766</v>
          </cell>
          <cell r="W217">
            <v>12.723255869999999</v>
          </cell>
          <cell r="X217">
            <v>12.86993676</v>
          </cell>
          <cell r="Y217">
            <v>13.007853170000001</v>
          </cell>
          <cell r="Z217">
            <v>13.136374780000001</v>
          </cell>
          <cell r="AA217">
            <v>13.26116042</v>
          </cell>
          <cell r="AB217">
            <v>13.38828455</v>
          </cell>
          <cell r="AC217">
            <v>13.52083522</v>
          </cell>
          <cell r="AD217">
            <v>13.660545020000001</v>
          </cell>
          <cell r="AE217">
            <v>13.797000110000001</v>
          </cell>
          <cell r="AF217">
            <v>13.93394908</v>
          </cell>
          <cell r="AG217">
            <v>14.07033126</v>
          </cell>
          <cell r="AH217">
            <v>14.20541242</v>
          </cell>
          <cell r="AI217">
            <v>14.33968475</v>
          </cell>
          <cell r="AJ217">
            <v>14.474500920000001</v>
          </cell>
          <cell r="AK217">
            <v>14.61130064</v>
          </cell>
          <cell r="AL217">
            <v>14.751092509999999</v>
          </cell>
          <cell r="AM217">
            <v>14.89416362</v>
          </cell>
          <cell r="AN217">
            <v>15.04015938</v>
          </cell>
          <cell r="AO217">
            <v>15.188458750000001</v>
          </cell>
        </row>
        <row r="223">
          <cell r="E223" t="str">
            <v>YG_toe_cele_2</v>
          </cell>
          <cell r="F223">
            <v>49.428636269999998</v>
          </cell>
          <cell r="G223">
            <v>49.778660209999998</v>
          </cell>
          <cell r="H223">
            <v>50.119860180000003</v>
          </cell>
          <cell r="I223">
            <v>50.596495400000002</v>
          </cell>
          <cell r="J223">
            <v>51.286782299999999</v>
          </cell>
          <cell r="K223">
            <v>52.233820719999997</v>
          </cell>
          <cell r="L223">
            <v>53.500407129999999</v>
          </cell>
          <cell r="M223">
            <v>55.188732809999998</v>
          </cell>
          <cell r="N223">
            <v>57.14164023</v>
          </cell>
          <cell r="O223">
            <v>59.062398680000001</v>
          </cell>
          <cell r="P223">
            <v>60.734329989999999</v>
          </cell>
          <cell r="Q223">
            <v>62.025525020000003</v>
          </cell>
          <cell r="R223">
            <v>62.99180338</v>
          </cell>
          <cell r="S223">
            <v>63.75763474</v>
          </cell>
          <cell r="T223">
            <v>64.455338479999995</v>
          </cell>
          <cell r="U223">
            <v>65.174456860000006</v>
          </cell>
          <cell r="V223">
            <v>65.947734030000007</v>
          </cell>
          <cell r="W223">
            <v>66.774365299999999</v>
          </cell>
          <cell r="X223">
            <v>67.641667920000003</v>
          </cell>
          <cell r="Y223">
            <v>68.542798680000004</v>
          </cell>
          <cell r="Z223">
            <v>69.452257810000006</v>
          </cell>
          <cell r="AA223">
            <v>70.431710699999996</v>
          </cell>
          <cell r="AB223">
            <v>71.490023669999999</v>
          </cell>
          <cell r="AC223">
            <v>72.636931180000005</v>
          </cell>
          <cell r="AD223">
            <v>73.876012119999999</v>
          </cell>
          <cell r="AE223">
            <v>75.091188889999998</v>
          </cell>
          <cell r="AF223">
            <v>76.376208030000001</v>
          </cell>
          <cell r="AG223">
            <v>77.669621770000006</v>
          </cell>
          <cell r="AH223">
            <v>78.934011630000001</v>
          </cell>
          <cell r="AI223">
            <v>80.155853899999997</v>
          </cell>
          <cell r="AJ223">
            <v>81.338500030000006</v>
          </cell>
          <cell r="AK223">
            <v>82.492350680000001</v>
          </cell>
          <cell r="AL223">
            <v>83.629401430000001</v>
          </cell>
          <cell r="AM223">
            <v>84.758800370000003</v>
          </cell>
          <cell r="AN223">
            <v>85.88515735</v>
          </cell>
          <cell r="AO223">
            <v>87.010077609999996</v>
          </cell>
        </row>
        <row r="233">
          <cell r="E233" t="str">
            <v>YG_toe_chea_2</v>
          </cell>
          <cell r="F233">
            <v>3.5782539770000001</v>
          </cell>
          <cell r="G233">
            <v>3.6049663600000001</v>
          </cell>
          <cell r="H233">
            <v>3.6353219330000002</v>
          </cell>
          <cell r="I233">
            <v>3.6750157219999999</v>
          </cell>
          <cell r="J233">
            <v>3.7249350689999998</v>
          </cell>
          <cell r="K233">
            <v>3.7848788199999999</v>
          </cell>
          <cell r="L233">
            <v>3.8558039559999999</v>
          </cell>
          <cell r="M233">
            <v>3.9430569229999999</v>
          </cell>
          <cell r="N233">
            <v>4.0378906969999999</v>
          </cell>
          <cell r="O233">
            <v>4.1274983580000004</v>
          </cell>
          <cell r="P233">
            <v>4.2052420609999999</v>
          </cell>
          <cell r="Q233">
            <v>4.2682437609999999</v>
          </cell>
          <cell r="R233">
            <v>4.3192809729999997</v>
          </cell>
          <cell r="S233">
            <v>4.3649572870000002</v>
          </cell>
          <cell r="T233">
            <v>4.4113083880000001</v>
          </cell>
          <cell r="U233">
            <v>4.4615182620000002</v>
          </cell>
          <cell r="V233">
            <v>4.5155722010000003</v>
          </cell>
          <cell r="W233">
            <v>4.5721537080000001</v>
          </cell>
          <cell r="X233">
            <v>4.6297394609999998</v>
          </cell>
          <cell r="Y233">
            <v>4.6873899569999997</v>
          </cell>
          <cell r="Z233">
            <v>4.7430514060000002</v>
          </cell>
          <cell r="AA233">
            <v>4.7991911189999996</v>
          </cell>
          <cell r="AB233">
            <v>4.8574638649999997</v>
          </cell>
          <cell r="AC233">
            <v>4.9181641259999997</v>
          </cell>
          <cell r="AD233">
            <v>4.981450283</v>
          </cell>
          <cell r="AE233">
            <v>5.0409132010000004</v>
          </cell>
          <cell r="AF233">
            <v>5.1000204150000004</v>
          </cell>
          <cell r="AG233">
            <v>5.1593479279999999</v>
          </cell>
          <cell r="AH233">
            <v>5.2178803350000003</v>
          </cell>
          <cell r="AI233">
            <v>5.2753495580000003</v>
          </cell>
          <cell r="AJ233">
            <v>5.3320764829999998</v>
          </cell>
          <cell r="AK233">
            <v>5.3884340630000001</v>
          </cell>
          <cell r="AL233">
            <v>5.444784769</v>
          </cell>
          <cell r="AM233">
            <v>5.5013454189999997</v>
          </cell>
          <cell r="AN233">
            <v>5.5581122140000003</v>
          </cell>
          <cell r="AO233">
            <v>5.6149512469999996</v>
          </cell>
        </row>
        <row r="235">
          <cell r="E235" t="str">
            <v>YG_toe_cbio_2</v>
          </cell>
          <cell r="F235">
            <v>11.16292316</v>
          </cell>
          <cell r="G235">
            <v>11.197930769999999</v>
          </cell>
          <cell r="H235">
            <v>11.20919194</v>
          </cell>
          <cell r="I235">
            <v>11.22123625</v>
          </cell>
          <cell r="J235">
            <v>11.24580572</v>
          </cell>
          <cell r="K235">
            <v>11.28896076</v>
          </cell>
          <cell r="L235">
            <v>11.341679620000001</v>
          </cell>
          <cell r="M235">
            <v>11.41717133</v>
          </cell>
          <cell r="N235">
            <v>11.51277606</v>
          </cell>
          <cell r="O235">
            <v>11.61099798</v>
          </cell>
          <cell r="P235">
            <v>11.704772889999999</v>
          </cell>
          <cell r="Q235">
            <v>11.77550493</v>
          </cell>
          <cell r="R235">
            <v>11.82879359</v>
          </cell>
          <cell r="S235">
            <v>11.87272941</v>
          </cell>
          <cell r="T235">
            <v>11.914964680000001</v>
          </cell>
          <cell r="U235">
            <v>11.96027</v>
          </cell>
          <cell r="V235">
            <v>12.009843679999999</v>
          </cell>
          <cell r="W235">
            <v>12.06302136</v>
          </cell>
          <cell r="X235">
            <v>12.118480780000001</v>
          </cell>
          <cell r="Y235">
            <v>12.175641479999999</v>
          </cell>
          <cell r="Z235">
            <v>12.22880642</v>
          </cell>
          <cell r="AA235">
            <v>12.288786289999999</v>
          </cell>
          <cell r="AB235">
            <v>12.354783299999999</v>
          </cell>
          <cell r="AC235">
            <v>12.42678252</v>
          </cell>
          <cell r="AD235">
            <v>12.504920500000001</v>
          </cell>
          <cell r="AE235">
            <v>12.57020904</v>
          </cell>
          <cell r="AF235">
            <v>12.643042189999999</v>
          </cell>
          <cell r="AG235">
            <v>12.71859422</v>
          </cell>
          <cell r="AH235">
            <v>12.793990539999999</v>
          </cell>
          <cell r="AI235">
            <v>12.86837871</v>
          </cell>
          <cell r="AJ235">
            <v>12.941973640000001</v>
          </cell>
          <cell r="AK235">
            <v>13.01526651</v>
          </cell>
          <cell r="AL235">
            <v>13.08876834</v>
          </cell>
          <cell r="AM235">
            <v>13.162822329999999</v>
          </cell>
          <cell r="AN235">
            <v>13.237528230000001</v>
          </cell>
          <cell r="AO235">
            <v>13.312844910000001</v>
          </cell>
        </row>
        <row r="238">
          <cell r="E238" t="str">
            <v>YG_toe_cote_2</v>
          </cell>
          <cell r="F238">
            <v>12.62894139</v>
          </cell>
          <cell r="G238">
            <v>12.379767490000001</v>
          </cell>
          <cell r="H238">
            <v>12.20859066</v>
          </cell>
          <cell r="I238">
            <v>12.105520390000001</v>
          </cell>
          <cell r="J238">
            <v>12.065675580000001</v>
          </cell>
          <cell r="K238">
            <v>12.08461544</v>
          </cell>
          <cell r="L238">
            <v>12.157200789999999</v>
          </cell>
          <cell r="M238">
            <v>12.29608807</v>
          </cell>
          <cell r="N238">
            <v>12.480547059999999</v>
          </cell>
          <cell r="O238">
            <v>12.676169659999999</v>
          </cell>
          <cell r="P238">
            <v>12.87302264</v>
          </cell>
          <cell r="Q238">
            <v>13.03302227</v>
          </cell>
          <cell r="R238">
            <v>13.177251589999999</v>
          </cell>
          <cell r="S238">
            <v>13.318950149999999</v>
          </cell>
          <cell r="T238">
            <v>13.46831212</v>
          </cell>
          <cell r="U238">
            <v>13.63015496</v>
          </cell>
          <cell r="V238">
            <v>13.804014260000001</v>
          </cell>
          <cell r="W238">
            <v>13.986521249999999</v>
          </cell>
          <cell r="X238">
            <v>14.17391104</v>
          </cell>
          <cell r="Y238">
            <v>14.36384833</v>
          </cell>
          <cell r="Z238">
            <v>14.54335354</v>
          </cell>
          <cell r="AA238">
            <v>14.737878029999999</v>
          </cell>
          <cell r="AB238">
            <v>14.93878658</v>
          </cell>
          <cell r="AC238">
            <v>15.14662128</v>
          </cell>
          <cell r="AD238">
            <v>15.3625101</v>
          </cell>
          <cell r="AE238">
            <v>15.54791799</v>
          </cell>
          <cell r="AF238">
            <v>15.7585944</v>
          </cell>
          <cell r="AG238">
            <v>15.97376669</v>
          </cell>
          <cell r="AH238">
            <v>16.188714959999999</v>
          </cell>
          <cell r="AI238">
            <v>16.402678330000001</v>
          </cell>
          <cell r="AJ238">
            <v>16.61651449</v>
          </cell>
          <cell r="AK238">
            <v>16.83147529</v>
          </cell>
          <cell r="AL238">
            <v>17.04856809</v>
          </cell>
          <cell r="AM238">
            <v>17.268238719999999</v>
          </cell>
          <cell r="AN238">
            <v>17.490377259999999</v>
          </cell>
          <cell r="AO238">
            <v>17.714578679999999</v>
          </cell>
        </row>
        <row r="241">
          <cell r="E241" t="str">
            <v>YG_toe_0</v>
          </cell>
          <cell r="F241">
            <v>142.13563060000001</v>
          </cell>
          <cell r="G241">
            <v>144.72748569999999</v>
          </cell>
          <cell r="H241">
            <v>146.82706379999999</v>
          </cell>
          <cell r="I241">
            <v>148.90727089999999</v>
          </cell>
          <cell r="J241">
            <v>151.1655442</v>
          </cell>
          <cell r="K241">
            <v>153.70087599999999</v>
          </cell>
          <cell r="L241">
            <v>156.43630880000001</v>
          </cell>
          <cell r="M241">
            <v>159.41901619999999</v>
          </cell>
          <cell r="N241">
            <v>162.57544960000001</v>
          </cell>
          <cell r="O241">
            <v>165.805013</v>
          </cell>
          <cell r="P241">
            <v>169.14935510000001</v>
          </cell>
          <cell r="Q241">
            <v>172.2973752</v>
          </cell>
          <cell r="R241">
            <v>175.3052505</v>
          </cell>
          <cell r="S241">
            <v>178.15376040000001</v>
          </cell>
          <cell r="T241">
            <v>180.8183794</v>
          </cell>
          <cell r="U241">
            <v>183.28122949999999</v>
          </cell>
          <cell r="V241">
            <v>185.5484936</v>
          </cell>
          <cell r="W241">
            <v>187.6504601</v>
          </cell>
          <cell r="X241">
            <v>189.637755</v>
          </cell>
          <cell r="Y241">
            <v>191.57312200000001</v>
          </cell>
          <cell r="Z241">
            <v>193.4117713</v>
          </cell>
          <cell r="AA241">
            <v>195.38490759999999</v>
          </cell>
          <cell r="AB241">
            <v>197.46058160000001</v>
          </cell>
          <cell r="AC241">
            <v>199.65795779999999</v>
          </cell>
          <cell r="AD241">
            <v>201.99332749999999</v>
          </cell>
          <cell r="AE241">
            <v>204.12932699999999</v>
          </cell>
          <cell r="AF241">
            <v>206.49557909999999</v>
          </cell>
          <cell r="AG241">
            <v>208.93468580000001</v>
          </cell>
          <cell r="AH241">
            <v>211.40513720000001</v>
          </cell>
          <cell r="AI241">
            <v>213.8938599</v>
          </cell>
          <cell r="AJ241">
            <v>216.40015940000001</v>
          </cell>
          <cell r="AK241">
            <v>218.9248269</v>
          </cell>
          <cell r="AL241">
            <v>221.4636217</v>
          </cell>
          <cell r="AM241">
            <v>224.00567699999999</v>
          </cell>
          <cell r="AN241">
            <v>226.53622799999999</v>
          </cell>
          <cell r="AO241">
            <v>229.038656</v>
          </cell>
        </row>
        <row r="242">
          <cell r="E242" t="str">
            <v>YG_toe_ccoa_0</v>
          </cell>
          <cell r="F242">
            <v>2.2587199849999999</v>
          </cell>
          <cell r="G242">
            <v>1.638087055</v>
          </cell>
          <cell r="H242">
            <v>1.1227227099999999</v>
          </cell>
          <cell r="I242">
            <v>0.70654462870000001</v>
          </cell>
          <cell r="J242">
            <v>0.37278752279999999</v>
          </cell>
          <cell r="K242">
            <v>0.1049911218</v>
          </cell>
          <cell r="L242">
            <v>-0.1057949066</v>
          </cell>
          <cell r="M242">
            <v>-0.27638814140000001</v>
          </cell>
          <cell r="N242">
            <v>-0.41556677910000001</v>
          </cell>
          <cell r="O242">
            <v>-0.52985005490000003</v>
          </cell>
          <cell r="P242">
            <v>-0.63167300559999995</v>
          </cell>
          <cell r="Q242">
            <v>-0.70963875860000003</v>
          </cell>
          <cell r="R242">
            <v>-0.77557625640000005</v>
          </cell>
          <cell r="S242">
            <v>-0.83305184229999996</v>
          </cell>
          <cell r="T242">
            <v>-0.88363090050000004</v>
          </cell>
          <cell r="U242">
            <v>-0.92860297260000002</v>
          </cell>
          <cell r="V242">
            <v>-0.9691712267</v>
          </cell>
          <cell r="W242">
            <v>-1.006392178</v>
          </cell>
          <cell r="X242">
            <v>-1.0411152800000001</v>
          </cell>
          <cell r="Y242">
            <v>-1.073967761</v>
          </cell>
          <cell r="Z242">
            <v>-1.100337766</v>
          </cell>
          <cell r="AA242">
            <v>-1.131710188</v>
          </cell>
          <cell r="AB242">
            <v>-1.1625679550000001</v>
          </cell>
          <cell r="AC242">
            <v>-1.192129657</v>
          </cell>
          <cell r="AD242">
            <v>-1.2207356220000001</v>
          </cell>
          <cell r="AE242">
            <v>-1.234068223</v>
          </cell>
          <cell r="AF242">
            <v>-1.2588554359999999</v>
          </cell>
          <cell r="AG242">
            <v>-1.2859067230000001</v>
          </cell>
          <cell r="AH242">
            <v>-1.3131606140000001</v>
          </cell>
          <cell r="AI242">
            <v>-1.3406330870000001</v>
          </cell>
          <cell r="AJ242">
            <v>-1.368534927</v>
          </cell>
          <cell r="AK242">
            <v>-1.3969546690000001</v>
          </cell>
          <cell r="AL242">
            <v>-1.4259021270000001</v>
          </cell>
          <cell r="AM242">
            <v>-1.455385537</v>
          </cell>
          <cell r="AN242">
            <v>-1.4854499489999999</v>
          </cell>
          <cell r="AO242">
            <v>-1.5161736379999999</v>
          </cell>
        </row>
        <row r="245">
          <cell r="E245" t="str">
            <v>YG_toe_ccoi_0</v>
          </cell>
          <cell r="F245">
            <v>1.2014653360000001</v>
          </cell>
          <cell r="G245">
            <v>0.96354411949999996</v>
          </cell>
          <cell r="H245">
            <v>0.77320611340000001</v>
          </cell>
          <cell r="I245">
            <v>0.62095120439999996</v>
          </cell>
          <cell r="J245">
            <v>0.49917359309999998</v>
          </cell>
          <cell r="K245">
            <v>0.40178350270000002</v>
          </cell>
          <cell r="L245">
            <v>0.3238992839</v>
          </cell>
          <cell r="M245">
            <v>0.26162459459999998</v>
          </cell>
          <cell r="N245">
            <v>0.2118376287</v>
          </cell>
          <cell r="O245">
            <v>0.17203908279999999</v>
          </cell>
          <cell r="P245">
            <v>0.14023898779999999</v>
          </cell>
          <cell r="Q245">
            <v>0.1148217684</v>
          </cell>
          <cell r="R245">
            <v>9.4514683200000005E-2</v>
          </cell>
          <cell r="S245">
            <v>7.8296817300000002E-2</v>
          </cell>
          <cell r="T245">
            <v>6.5349613799999998E-2</v>
          </cell>
          <cell r="U245">
            <v>5.5017685699999999E-2</v>
          </cell>
          <cell r="V245">
            <v>4.6776627899999999E-2</v>
          </cell>
          <cell r="W245">
            <v>4.0207106499999999E-2</v>
          </cell>
          <cell r="X245">
            <v>3.4974022100000002E-2</v>
          </cell>
          <cell r="Y245">
            <v>3.0809695299999999E-2</v>
          </cell>
          <cell r="Z245">
            <v>2.7493059399999999E-2</v>
          </cell>
          <cell r="AA245">
            <v>2.4865375200000001E-2</v>
          </cell>
          <cell r="AB245">
            <v>2.27862042E-2</v>
          </cell>
          <cell r="AC245">
            <v>2.1144790100000001E-2</v>
          </cell>
          <cell r="AD245">
            <v>1.9853620900000001E-2</v>
          </cell>
          <cell r="AE245">
            <v>1.8820778199999999E-2</v>
          </cell>
          <cell r="AF245">
            <v>1.8018309999999999E-2</v>
          </cell>
          <cell r="AG245">
            <v>1.7395523199999999E-2</v>
          </cell>
          <cell r="AH245">
            <v>1.6913697599999999E-2</v>
          </cell>
          <cell r="AI245">
            <v>1.6544016799999998E-2</v>
          </cell>
          <cell r="AJ245">
            <v>1.62640428E-2</v>
          </cell>
          <cell r="AK245">
            <v>1.6055894599999999E-2</v>
          </cell>
          <cell r="AL245">
            <v>1.59050908E-2</v>
          </cell>
          <cell r="AM245">
            <v>1.57997806E-2</v>
          </cell>
          <cell r="AN245">
            <v>1.57302517E-2</v>
          </cell>
          <cell r="AO245">
            <v>1.5688610400000001E-2</v>
          </cell>
        </row>
        <row r="248">
          <cell r="E248" t="str">
            <v>YG_toe_cfut_0</v>
          </cell>
          <cell r="F248">
            <v>54.412399020000002</v>
          </cell>
          <cell r="G248">
            <v>55.940596620000001</v>
          </cell>
          <cell r="H248">
            <v>57.23962504</v>
          </cell>
          <cell r="I248">
            <v>58.418674070000002</v>
          </cell>
          <cell r="J248">
            <v>59.538420549999998</v>
          </cell>
          <cell r="K248">
            <v>60.62913649</v>
          </cell>
          <cell r="L248">
            <v>61.655661969999997</v>
          </cell>
          <cell r="M248">
            <v>62.670229970000001</v>
          </cell>
          <cell r="N248">
            <v>63.671870409999997</v>
          </cell>
          <cell r="O248">
            <v>64.657049569999998</v>
          </cell>
          <cell r="P248">
            <v>65.699746669999996</v>
          </cell>
          <cell r="Q248">
            <v>66.653871589999994</v>
          </cell>
          <cell r="R248">
            <v>67.596230759999997</v>
          </cell>
          <cell r="S248">
            <v>68.531013239999993</v>
          </cell>
          <cell r="T248">
            <v>69.457340200000004</v>
          </cell>
          <cell r="U248">
            <v>70.37324194</v>
          </cell>
          <cell r="V248">
            <v>71.277155859999993</v>
          </cell>
          <cell r="W248">
            <v>72.168666560000005</v>
          </cell>
          <cell r="X248">
            <v>73.048742820000001</v>
          </cell>
          <cell r="Y248">
            <v>73.919473980000006</v>
          </cell>
          <cell r="Z248">
            <v>74.726593989999998</v>
          </cell>
          <cell r="AA248">
            <v>75.582396669999994</v>
          </cell>
          <cell r="AB248">
            <v>76.436583150000004</v>
          </cell>
          <cell r="AC248">
            <v>77.288867319999994</v>
          </cell>
          <cell r="AD248">
            <v>78.141371379999995</v>
          </cell>
          <cell r="AE248">
            <v>78.826396459999998</v>
          </cell>
          <cell r="AF248">
            <v>79.597067699999997</v>
          </cell>
          <cell r="AG248">
            <v>80.36552356</v>
          </cell>
          <cell r="AH248">
            <v>81.126420920000001</v>
          </cell>
          <cell r="AI248">
            <v>81.881307059999997</v>
          </cell>
          <cell r="AJ248">
            <v>82.632986380000006</v>
          </cell>
          <cell r="AK248">
            <v>83.383733210000003</v>
          </cell>
          <cell r="AL248">
            <v>84.134647860000001</v>
          </cell>
          <cell r="AM248">
            <v>84.88564298</v>
          </cell>
          <cell r="AN248">
            <v>85.635853220000001</v>
          </cell>
          <cell r="AO248">
            <v>86.38416737</v>
          </cell>
        </row>
        <row r="251">
          <cell r="E251" t="str">
            <v>YG_toe_cfuh_0</v>
          </cell>
          <cell r="F251">
            <v>5.0159870910000004</v>
          </cell>
          <cell r="G251">
            <v>4.9091412520000004</v>
          </cell>
          <cell r="H251">
            <v>4.8081419170000004</v>
          </cell>
          <cell r="I251">
            <v>4.7203907410000001</v>
          </cell>
          <cell r="J251">
            <v>4.6494879989999998</v>
          </cell>
          <cell r="K251">
            <v>4.5968269680000002</v>
          </cell>
          <cell r="L251">
            <v>4.5582502390000004</v>
          </cell>
          <cell r="M251">
            <v>4.5349168249999998</v>
          </cell>
          <cell r="N251">
            <v>4.5234829550000004</v>
          </cell>
          <cell r="O251">
            <v>4.5204301820000001</v>
          </cell>
          <cell r="P251">
            <v>4.5273884310000003</v>
          </cell>
          <cell r="Q251">
            <v>4.5338708649999999</v>
          </cell>
          <cell r="R251">
            <v>4.5433646899999998</v>
          </cell>
          <cell r="S251">
            <v>4.5553290970000004</v>
          </cell>
          <cell r="T251">
            <v>4.5688419790000001</v>
          </cell>
          <cell r="U251">
            <v>4.582972496</v>
          </cell>
          <cell r="V251">
            <v>4.5969306750000003</v>
          </cell>
          <cell r="W251">
            <v>4.6101906289999999</v>
          </cell>
          <cell r="X251">
            <v>4.6225524179999997</v>
          </cell>
          <cell r="Y251">
            <v>4.6341183150000003</v>
          </cell>
          <cell r="Z251">
            <v>4.6419147609999998</v>
          </cell>
          <cell r="AA251">
            <v>4.6526754710000002</v>
          </cell>
          <cell r="AB251">
            <v>4.6638426319999997</v>
          </cell>
          <cell r="AC251">
            <v>4.6755097040000004</v>
          </cell>
          <cell r="AD251">
            <v>4.6880821429999999</v>
          </cell>
          <cell r="AE251">
            <v>4.6919708340000001</v>
          </cell>
          <cell r="AF251">
            <v>4.7025072479999999</v>
          </cell>
          <cell r="AG251">
            <v>4.7141704100000004</v>
          </cell>
          <cell r="AH251">
            <v>4.726238919</v>
          </cell>
          <cell r="AI251">
            <v>4.7388400019999999</v>
          </cell>
          <cell r="AJ251">
            <v>4.7522685879999997</v>
          </cell>
          <cell r="AK251">
            <v>4.7667693489999996</v>
          </cell>
          <cell r="AL251">
            <v>4.782435113</v>
          </cell>
          <cell r="AM251">
            <v>4.7991888109999996</v>
          </cell>
          <cell r="AN251">
            <v>4.8168325239999996</v>
          </cell>
          <cell r="AO251">
            <v>4.8351289849999999</v>
          </cell>
        </row>
        <row r="253">
          <cell r="E253" t="str">
            <v>YG_toe_cgas_0</v>
          </cell>
          <cell r="F253">
            <v>2.44830434</v>
          </cell>
          <cell r="G253">
            <v>4.3147918389999997</v>
          </cell>
          <cell r="H253">
            <v>5.7104032660000001</v>
          </cell>
          <cell r="I253">
            <v>6.8424424569999998</v>
          </cell>
          <cell r="J253">
            <v>7.7824758840000001</v>
          </cell>
          <cell r="K253">
            <v>8.5758622199999994</v>
          </cell>
          <cell r="L253">
            <v>9.2512437890000001</v>
          </cell>
          <cell r="M253">
            <v>9.8314771200000006</v>
          </cell>
          <cell r="N253">
            <v>10.332371370000001</v>
          </cell>
          <cell r="O253">
            <v>10.765676450000001</v>
          </cell>
          <cell r="P253">
            <v>11.14426926</v>
          </cell>
          <cell r="Q253">
            <v>11.47754454</v>
          </cell>
          <cell r="R253">
            <v>11.77112578</v>
          </cell>
          <cell r="S253">
            <v>12.03201423</v>
          </cell>
          <cell r="T253">
            <v>12.26454478</v>
          </cell>
          <cell r="U253">
            <v>12.47164053</v>
          </cell>
          <cell r="V253">
            <v>12.65610616</v>
          </cell>
          <cell r="W253">
            <v>12.8212122</v>
          </cell>
          <cell r="X253">
            <v>12.97091298</v>
          </cell>
          <cell r="Y253">
            <v>13.109619820000001</v>
          </cell>
          <cell r="Z253">
            <v>13.23895856</v>
          </cell>
          <cell r="AA253">
            <v>13.36352417</v>
          </cell>
          <cell r="AB253">
            <v>13.48832157</v>
          </cell>
          <cell r="AC253">
            <v>13.615609640000001</v>
          </cell>
          <cell r="AD253">
            <v>13.747100789999999</v>
          </cell>
          <cell r="AE253">
            <v>13.87369049</v>
          </cell>
          <cell r="AF253">
            <v>13.99996554</v>
          </cell>
          <cell r="AG253">
            <v>14.126556089999999</v>
          </cell>
          <cell r="AH253">
            <v>14.254090870000001</v>
          </cell>
          <cell r="AI253">
            <v>14.383760799999999</v>
          </cell>
          <cell r="AJ253">
            <v>14.516884490000001</v>
          </cell>
          <cell r="AK253">
            <v>14.65440572</v>
          </cell>
          <cell r="AL253">
            <v>14.796525730000001</v>
          </cell>
          <cell r="AM253">
            <v>14.94268664</v>
          </cell>
          <cell r="AN253">
            <v>15.09187841</v>
          </cell>
          <cell r="AO253">
            <v>15.242928129999999</v>
          </cell>
        </row>
        <row r="259">
          <cell r="E259" t="str">
            <v>YG_toe_cele_0</v>
          </cell>
          <cell r="F259">
            <v>49.428636269999998</v>
          </cell>
          <cell r="G259">
            <v>49.778660209999998</v>
          </cell>
          <cell r="H259">
            <v>50.119860180000003</v>
          </cell>
          <cell r="I259">
            <v>50.596495400000002</v>
          </cell>
          <cell r="J259">
            <v>51.286782299999999</v>
          </cell>
          <cell r="K259">
            <v>52.233820719999997</v>
          </cell>
          <cell r="L259">
            <v>53.410971089999997</v>
          </cell>
          <cell r="M259">
            <v>54.807377610000003</v>
          </cell>
          <cell r="N259">
            <v>56.365369469999997</v>
          </cell>
          <cell r="O259">
            <v>58.006903510000001</v>
          </cell>
          <cell r="P259">
            <v>59.687863120000003</v>
          </cell>
          <cell r="Q259">
            <v>61.291960860000003</v>
          </cell>
          <cell r="R259">
            <v>62.790370379999999</v>
          </cell>
          <cell r="S259">
            <v>64.15820995</v>
          </cell>
          <cell r="T259">
            <v>65.374538020000003</v>
          </cell>
          <cell r="U259">
            <v>66.427750059999994</v>
          </cell>
          <cell r="V259">
            <v>67.32707723</v>
          </cell>
          <cell r="W259">
            <v>68.100833320000007</v>
          </cell>
          <cell r="X259">
            <v>68.792348360000005</v>
          </cell>
          <cell r="Y259">
            <v>69.453108569999998</v>
          </cell>
          <cell r="Z259">
            <v>70.104034080000005</v>
          </cell>
          <cell r="AA259">
            <v>70.82512509</v>
          </cell>
          <cell r="AB259">
            <v>71.63538337</v>
          </cell>
          <cell r="AC259">
            <v>72.551106930000003</v>
          </cell>
          <cell r="AD259">
            <v>73.583122579999994</v>
          </cell>
          <cell r="AE259">
            <v>74.628546360000001</v>
          </cell>
          <cell r="AF259">
            <v>75.789055700000006</v>
          </cell>
          <cell r="AG259">
            <v>77.013612730000006</v>
          </cell>
          <cell r="AH259">
            <v>78.27088311</v>
          </cell>
          <cell r="AI259">
            <v>79.546061530000003</v>
          </cell>
          <cell r="AJ259">
            <v>80.833340489999998</v>
          </cell>
          <cell r="AK259">
            <v>82.129182389999997</v>
          </cell>
          <cell r="AL259">
            <v>83.427925819999999</v>
          </cell>
          <cell r="AM259">
            <v>84.720505770000003</v>
          </cell>
          <cell r="AN259">
            <v>85.996054060000006</v>
          </cell>
          <cell r="AO259">
            <v>87.242933980000004</v>
          </cell>
        </row>
        <row r="269">
          <cell r="E269" t="str">
            <v>YG_toe_chea_0</v>
          </cell>
          <cell r="F269">
            <v>3.5782539770000001</v>
          </cell>
          <cell r="G269">
            <v>3.6049663600000001</v>
          </cell>
          <cell r="H269">
            <v>3.6353219330000002</v>
          </cell>
          <cell r="I269">
            <v>3.6750157219999999</v>
          </cell>
          <cell r="J269">
            <v>3.7249350689999998</v>
          </cell>
          <cell r="K269">
            <v>3.7848788199999999</v>
          </cell>
          <cell r="L269">
            <v>3.8516340929999999</v>
          </cell>
          <cell r="M269">
            <v>3.9236026640000001</v>
          </cell>
          <cell r="N269">
            <v>3.998704263</v>
          </cell>
          <cell r="O269">
            <v>4.0744363400000001</v>
          </cell>
          <cell r="P269">
            <v>4.1512327899999999</v>
          </cell>
          <cell r="Q269">
            <v>4.2258358510000003</v>
          </cell>
          <cell r="R269">
            <v>4.2970397010000001</v>
          </cell>
          <cell r="S269">
            <v>4.3654991650000001</v>
          </cell>
          <cell r="T269">
            <v>4.431192544</v>
          </cell>
          <cell r="U269">
            <v>4.4935874130000002</v>
          </cell>
          <cell r="V269">
            <v>4.5527326060000002</v>
          </cell>
          <cell r="W269">
            <v>4.6092065580000003</v>
          </cell>
          <cell r="X269">
            <v>4.6640265589999998</v>
          </cell>
          <cell r="Y269">
            <v>4.7184539369999996</v>
          </cell>
          <cell r="Z269">
            <v>4.7718723670000003</v>
          </cell>
          <cell r="AA269">
            <v>4.8263895789999998</v>
          </cell>
          <cell r="AB269">
            <v>4.8831865700000003</v>
          </cell>
          <cell r="AC269">
            <v>4.9421543129999996</v>
          </cell>
          <cell r="AD269">
            <v>5.0032914980000003</v>
          </cell>
          <cell r="AE269">
            <v>5.0604307449999997</v>
          </cell>
          <cell r="AF269">
            <v>5.1172946240000003</v>
          </cell>
          <cell r="AG269">
            <v>5.1748659889999997</v>
          </cell>
          <cell r="AH269">
            <v>5.2324951310000003</v>
          </cell>
          <cell r="AI269">
            <v>5.2900822280000002</v>
          </cell>
          <cell r="AJ269">
            <v>5.3478749560000001</v>
          </cell>
          <cell r="AK269">
            <v>5.4061419390000003</v>
          </cell>
          <cell r="AL269">
            <v>5.4649669919999999</v>
          </cell>
          <cell r="AM269">
            <v>5.5242000100000004</v>
          </cell>
          <cell r="AN269">
            <v>5.5835365030000004</v>
          </cell>
          <cell r="AO269">
            <v>5.6423736519999999</v>
          </cell>
        </row>
        <row r="271">
          <cell r="E271" t="str">
            <v>YG_toe_cbio_0</v>
          </cell>
          <cell r="F271">
            <v>11.16292316</v>
          </cell>
          <cell r="G271">
            <v>11.197930769999999</v>
          </cell>
          <cell r="H271">
            <v>11.20919194</v>
          </cell>
          <cell r="I271">
            <v>11.22123625</v>
          </cell>
          <cell r="J271">
            <v>11.24580572</v>
          </cell>
          <cell r="K271">
            <v>11.28896076</v>
          </cell>
          <cell r="L271">
            <v>11.34623249</v>
          </cell>
          <cell r="M271">
            <v>11.41903321</v>
          </cell>
          <cell r="N271">
            <v>11.503820060000001</v>
          </cell>
          <cell r="O271">
            <v>11.59546271</v>
          </cell>
          <cell r="P271">
            <v>11.69735828</v>
          </cell>
          <cell r="Q271">
            <v>11.79290084</v>
          </cell>
          <cell r="R271">
            <v>11.88311328</v>
          </cell>
          <cell r="S271">
            <v>11.967704790000001</v>
          </cell>
          <cell r="T271">
            <v>12.04549742</v>
          </cell>
          <cell r="U271">
            <v>12.11532012</v>
          </cell>
          <cell r="V271">
            <v>12.177140830000001</v>
          </cell>
          <cell r="W271">
            <v>12.23208447</v>
          </cell>
          <cell r="X271">
            <v>12.282228569999999</v>
          </cell>
          <cell r="Y271">
            <v>12.330240180000001</v>
          </cell>
          <cell r="Z271">
            <v>12.3727274</v>
          </cell>
          <cell r="AA271">
            <v>12.42129804</v>
          </cell>
          <cell r="AB271">
            <v>12.47545991</v>
          </cell>
          <cell r="AC271">
            <v>12.5355048</v>
          </cell>
          <cell r="AD271">
            <v>12.60208005</v>
          </cell>
          <cell r="AE271">
            <v>12.65683295</v>
          </cell>
          <cell r="AF271">
            <v>12.721149909999999</v>
          </cell>
          <cell r="AG271">
            <v>12.790912609999999</v>
          </cell>
          <cell r="AH271">
            <v>12.863687430000001</v>
          </cell>
          <cell r="AI271">
            <v>12.93867693</v>
          </cell>
          <cell r="AJ271">
            <v>13.01572532</v>
          </cell>
          <cell r="AK271">
            <v>13.094743749999999</v>
          </cell>
          <cell r="AL271">
            <v>13.17543588</v>
          </cell>
          <cell r="AM271">
            <v>13.25724932</v>
          </cell>
          <cell r="AN271">
            <v>13.339494950000001</v>
          </cell>
          <cell r="AO271">
            <v>13.42133171</v>
          </cell>
        </row>
        <row r="274">
          <cell r="E274" t="str">
            <v>YG_toe_cote_0</v>
          </cell>
          <cell r="F274">
            <v>12.62894139</v>
          </cell>
          <cell r="G274">
            <v>12.379767490000001</v>
          </cell>
          <cell r="H274">
            <v>12.20859066</v>
          </cell>
          <cell r="I274">
            <v>12.105520390000001</v>
          </cell>
          <cell r="J274">
            <v>12.065675580000001</v>
          </cell>
          <cell r="K274">
            <v>12.08461544</v>
          </cell>
          <cell r="L274">
            <v>12.144210749999999</v>
          </cell>
          <cell r="M274">
            <v>12.247142289999999</v>
          </cell>
          <cell r="N274">
            <v>12.383560230000001</v>
          </cell>
          <cell r="O274">
            <v>12.542865219999999</v>
          </cell>
          <cell r="P274">
            <v>12.732930530000001</v>
          </cell>
          <cell r="Q274">
            <v>12.916207679999999</v>
          </cell>
          <cell r="R274">
            <v>13.105067529999999</v>
          </cell>
          <cell r="S274">
            <v>13.298744960000001</v>
          </cell>
          <cell r="T274">
            <v>13.49470571</v>
          </cell>
          <cell r="U274">
            <v>13.690302239999999</v>
          </cell>
          <cell r="V274">
            <v>13.883744889999999</v>
          </cell>
          <cell r="W274">
            <v>14.074451399999999</v>
          </cell>
          <cell r="X274">
            <v>14.263084559999999</v>
          </cell>
          <cell r="Y274">
            <v>14.451265230000001</v>
          </cell>
          <cell r="Z274">
            <v>14.62851485</v>
          </cell>
          <cell r="AA274">
            <v>14.82034341</v>
          </cell>
          <cell r="AB274">
            <v>15.01758613</v>
          </cell>
          <cell r="AC274">
            <v>15.220189980000001</v>
          </cell>
          <cell r="AD274">
            <v>15.429161089999999</v>
          </cell>
          <cell r="AE274">
            <v>15.606706620000001</v>
          </cell>
          <cell r="AF274">
            <v>15.809375510000001</v>
          </cell>
          <cell r="AG274">
            <v>16.017555600000001</v>
          </cell>
          <cell r="AH274">
            <v>16.227567740000001</v>
          </cell>
          <cell r="AI274">
            <v>16.439220389999999</v>
          </cell>
          <cell r="AJ274">
            <v>16.653350100000001</v>
          </cell>
          <cell r="AK274">
            <v>16.870749289999999</v>
          </cell>
          <cell r="AL274">
            <v>17.091681340000001</v>
          </cell>
          <cell r="AM274">
            <v>17.315789200000001</v>
          </cell>
          <cell r="AN274">
            <v>17.54229801</v>
          </cell>
          <cell r="AO274">
            <v>17.770277199999999</v>
          </cell>
        </row>
        <row r="281">
          <cell r="F281">
            <v>150.77321449999999</v>
          </cell>
          <cell r="G281">
            <v>151.2336043</v>
          </cell>
          <cell r="H281">
            <v>151.5248004</v>
          </cell>
          <cell r="I281">
            <v>152.00206460000001</v>
          </cell>
          <cell r="J281">
            <v>152.8286712</v>
          </cell>
          <cell r="K281">
            <v>154.0876782</v>
          </cell>
          <cell r="L281">
            <v>156.00600639999999</v>
          </cell>
          <cell r="M281">
            <v>158.5434042</v>
          </cell>
          <cell r="N281">
            <v>161.4874724</v>
          </cell>
          <cell r="O281">
            <v>164.32356680000001</v>
          </cell>
          <cell r="P281">
            <v>166.81437729999999</v>
          </cell>
          <cell r="Q281">
            <v>168.6438163</v>
          </cell>
          <cell r="R281">
            <v>170.06290709999999</v>
          </cell>
          <cell r="S281">
            <v>171.31487530000001</v>
          </cell>
          <cell r="T281">
            <v>172.5883336</v>
          </cell>
          <cell r="U281">
            <v>173.97707840000001</v>
          </cell>
          <cell r="V281">
            <v>175.4832059</v>
          </cell>
          <cell r="W281">
            <v>177.06166379999999</v>
          </cell>
          <cell r="X281">
            <v>178.66055059999999</v>
          </cell>
          <cell r="Y281">
            <v>180.25039369999999</v>
          </cell>
          <cell r="Z281">
            <v>181.72040920000001</v>
          </cell>
          <cell r="AA281">
            <v>183.29715469999999</v>
          </cell>
          <cell r="AB281">
            <v>184.94029399999999</v>
          </cell>
          <cell r="AC281">
            <v>186.66024039999999</v>
          </cell>
          <cell r="AD281">
            <v>188.47434720000001</v>
          </cell>
          <cell r="AE281">
            <v>190.02584540000001</v>
          </cell>
          <cell r="AF281">
            <v>191.7932424</v>
          </cell>
          <cell r="AG281">
            <v>193.58649550000001</v>
          </cell>
          <cell r="AH281">
            <v>195.33235239999999</v>
          </cell>
          <cell r="AI281">
            <v>197.02009409999999</v>
          </cell>
          <cell r="AJ281">
            <v>198.6641142</v>
          </cell>
          <cell r="AK281">
            <v>200.28413259999999</v>
          </cell>
          <cell r="AL281">
            <v>201.89597889999999</v>
          </cell>
          <cell r="AM281">
            <v>203.5067014</v>
          </cell>
          <cell r="AN281">
            <v>205.11469210000001</v>
          </cell>
          <cell r="AO281">
            <v>206.7140296</v>
          </cell>
        </row>
        <row r="282">
          <cell r="E282" t="str">
            <v>CF_toe_ccoa_2</v>
          </cell>
          <cell r="F282">
            <v>7.5758440929999997</v>
          </cell>
          <cell r="G282">
            <v>7.9218975909999996</v>
          </cell>
          <cell r="H282">
            <v>8.2698668029999993</v>
          </cell>
          <cell r="I282">
            <v>8.5706847550000003</v>
          </cell>
          <cell r="J282">
            <v>8.8282209559999991</v>
          </cell>
          <cell r="K282">
            <v>9.0558886750000003</v>
          </cell>
          <cell r="L282">
            <v>9.2501204850000001</v>
          </cell>
          <cell r="M282">
            <v>9.4259036429999998</v>
          </cell>
          <cell r="N282">
            <v>9.583704633</v>
          </cell>
          <cell r="O282">
            <v>9.7246367060000001</v>
          </cell>
          <cell r="P282">
            <v>9.8909723239999998</v>
          </cell>
          <cell r="Q282">
            <v>10.01502835</v>
          </cell>
          <cell r="R282">
            <v>10.144247979999999</v>
          </cell>
          <cell r="S282">
            <v>10.286381950000001</v>
          </cell>
          <cell r="T282">
            <v>10.4381892</v>
          </cell>
          <cell r="U282">
            <v>10.59475662</v>
          </cell>
          <cell r="V282">
            <v>10.75215105</v>
          </cell>
          <cell r="W282">
            <v>10.90840347</v>
          </cell>
          <cell r="X282">
            <v>11.06350918</v>
          </cell>
          <cell r="Y282">
            <v>11.21878248</v>
          </cell>
          <cell r="Z282">
            <v>11.35039428</v>
          </cell>
          <cell r="AA282">
            <v>11.51466954</v>
          </cell>
          <cell r="AB282">
            <v>11.68509474</v>
          </cell>
          <cell r="AC282">
            <v>11.857028550000001</v>
          </cell>
          <cell r="AD282">
            <v>12.030961250000001</v>
          </cell>
          <cell r="AE282">
            <v>12.13205067</v>
          </cell>
          <cell r="AF282">
            <v>12.29076674</v>
          </cell>
          <cell r="AG282">
            <v>12.461731690000001</v>
          </cell>
          <cell r="AH282">
            <v>12.63414452</v>
          </cell>
          <cell r="AI282">
            <v>12.80797679</v>
          </cell>
          <cell r="AJ282">
            <v>12.98457806</v>
          </cell>
          <cell r="AK282">
            <v>13.16470172</v>
          </cell>
          <cell r="AL282">
            <v>13.348428480000001</v>
          </cell>
          <cell r="AM282">
            <v>13.53547187</v>
          </cell>
          <cell r="AN282">
            <v>13.72548132</v>
          </cell>
          <cell r="AO282">
            <v>13.918231049999999</v>
          </cell>
        </row>
        <row r="285">
          <cell r="E285" t="str">
            <v>CF_toe_ccoi_2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</row>
        <row r="288">
          <cell r="E288" t="str">
            <v>CF_toe_cfut_2</v>
          </cell>
          <cell r="F288">
            <v>51.75528259</v>
          </cell>
          <cell r="G288">
            <v>51.650926740000003</v>
          </cell>
          <cell r="H288">
            <v>51.473230970000003</v>
          </cell>
          <cell r="I288">
            <v>51.386586600000001</v>
          </cell>
          <cell r="J288">
            <v>51.426825700000002</v>
          </cell>
          <cell r="K288">
            <v>51.590233120000001</v>
          </cell>
          <cell r="L288">
            <v>51.984415200000001</v>
          </cell>
          <cell r="M288">
            <v>52.416129130000002</v>
          </cell>
          <cell r="N288">
            <v>52.913476260000003</v>
          </cell>
          <cell r="O288">
            <v>53.411870039999997</v>
          </cell>
          <cell r="P288">
            <v>53.903366759999997</v>
          </cell>
          <cell r="Q288">
            <v>54.316323369999999</v>
          </cell>
          <cell r="R288">
            <v>54.703887299999998</v>
          </cell>
          <cell r="S288">
            <v>55.089664839999998</v>
          </cell>
          <cell r="T288">
            <v>55.484996189999997</v>
          </cell>
          <cell r="U288">
            <v>55.890188639999998</v>
          </cell>
          <cell r="V288">
            <v>56.297721060000001</v>
          </cell>
          <cell r="W288">
            <v>56.697169090000003</v>
          </cell>
          <cell r="X288">
            <v>57.079702910000002</v>
          </cell>
          <cell r="Y288">
            <v>57.44068935</v>
          </cell>
          <cell r="Z288">
            <v>57.751471119999998</v>
          </cell>
          <cell r="AA288">
            <v>58.068049459999997</v>
          </cell>
          <cell r="AB288">
            <v>58.370392189999997</v>
          </cell>
          <cell r="AC288">
            <v>58.659058979999998</v>
          </cell>
          <cell r="AD288">
            <v>58.936724769999998</v>
          </cell>
          <cell r="AE288">
            <v>59.11606948</v>
          </cell>
          <cell r="AF288">
            <v>59.326556859999997</v>
          </cell>
          <cell r="AG288">
            <v>59.517589020000003</v>
          </cell>
          <cell r="AH288">
            <v>59.679770670000003</v>
          </cell>
          <cell r="AI288">
            <v>59.813941890000002</v>
          </cell>
          <cell r="AJ288">
            <v>59.923223059999998</v>
          </cell>
          <cell r="AK288">
            <v>60.010526779999999</v>
          </cell>
          <cell r="AL288">
            <v>60.0774793</v>
          </cell>
          <cell r="AM288">
            <v>60.124161659999999</v>
          </cell>
          <cell r="AN288">
            <v>60.149490980000003</v>
          </cell>
          <cell r="AO288">
            <v>60.151943430000003</v>
          </cell>
        </row>
        <row r="291">
          <cell r="E291" t="str">
            <v>CF_toe_cfuh_2</v>
          </cell>
          <cell r="F291">
            <v>9.6683350959999999</v>
          </cell>
          <cell r="G291">
            <v>9.6657842299999999</v>
          </cell>
          <cell r="H291">
            <v>9.6269180839999997</v>
          </cell>
          <cell r="I291">
            <v>9.5770797949999995</v>
          </cell>
          <cell r="J291">
            <v>9.5316749420000004</v>
          </cell>
          <cell r="K291">
            <v>9.4997956049999992</v>
          </cell>
          <cell r="L291">
            <v>9.5207967720000006</v>
          </cell>
          <cell r="M291">
            <v>9.5450415599999996</v>
          </cell>
          <cell r="N291">
            <v>9.5822268059999995</v>
          </cell>
          <cell r="O291">
            <v>9.6180957340000006</v>
          </cell>
          <cell r="P291">
            <v>9.6505443020000001</v>
          </cell>
          <cell r="Q291">
            <v>9.6603132400000007</v>
          </cell>
          <cell r="R291">
            <v>9.6601099609999999</v>
          </cell>
          <cell r="S291">
            <v>9.6569394200000005</v>
          </cell>
          <cell r="T291">
            <v>9.6558681750000002</v>
          </cell>
          <cell r="U291">
            <v>9.6593085439999999</v>
          </cell>
          <cell r="V291">
            <v>9.6671915409999993</v>
          </cell>
          <cell r="W291">
            <v>9.6779638370000001</v>
          </cell>
          <cell r="X291">
            <v>9.6897891299999994</v>
          </cell>
          <cell r="Y291">
            <v>9.7014679049999994</v>
          </cell>
          <cell r="Z291">
            <v>9.7061637439999995</v>
          </cell>
          <cell r="AA291">
            <v>9.7172813629999997</v>
          </cell>
          <cell r="AB291">
            <v>9.7300306350000003</v>
          </cell>
          <cell r="AC291">
            <v>9.7449124919999992</v>
          </cell>
          <cell r="AD291">
            <v>9.7628413789999993</v>
          </cell>
          <cell r="AE291">
            <v>9.7644392969999991</v>
          </cell>
          <cell r="AF291">
            <v>9.7791710890000001</v>
          </cell>
          <cell r="AG291">
            <v>9.7961787069999993</v>
          </cell>
          <cell r="AH291">
            <v>9.8134906139999991</v>
          </cell>
          <cell r="AI291">
            <v>9.8309008200000001</v>
          </cell>
          <cell r="AJ291">
            <v>9.8487517570000005</v>
          </cell>
          <cell r="AK291">
            <v>9.8675133269999993</v>
          </cell>
          <cell r="AL291">
            <v>9.887524075</v>
          </cell>
          <cell r="AM291">
            <v>9.9088676109999998</v>
          </cell>
          <cell r="AN291">
            <v>9.9313904090000005</v>
          </cell>
          <cell r="AO291">
            <v>9.9548169089999998</v>
          </cell>
        </row>
        <row r="293">
          <cell r="E293" t="str">
            <v>CF_toe_cgas_2</v>
          </cell>
          <cell r="F293">
            <v>28.033094800000001</v>
          </cell>
          <cell r="G293">
            <v>28.136281700000001</v>
          </cell>
          <cell r="H293">
            <v>28.203385220000001</v>
          </cell>
          <cell r="I293">
            <v>28.279739599999999</v>
          </cell>
          <cell r="J293">
            <v>28.389398880000002</v>
          </cell>
          <cell r="K293">
            <v>28.54837362</v>
          </cell>
          <cell r="L293">
            <v>28.771587759999999</v>
          </cell>
          <cell r="M293">
            <v>29.1172243</v>
          </cell>
          <cell r="N293">
            <v>29.517825590000001</v>
          </cell>
          <cell r="O293">
            <v>29.884210199999998</v>
          </cell>
          <cell r="P293">
            <v>30.198208130000001</v>
          </cell>
          <cell r="Q293">
            <v>30.410910940000001</v>
          </cell>
          <cell r="R293">
            <v>30.580336280000001</v>
          </cell>
          <cell r="S293">
            <v>30.751987029999999</v>
          </cell>
          <cell r="T293">
            <v>30.951341370000002</v>
          </cell>
          <cell r="U293">
            <v>31.184471309999999</v>
          </cell>
          <cell r="V293">
            <v>31.44342219</v>
          </cell>
          <cell r="W293">
            <v>31.71435301</v>
          </cell>
          <cell r="X293">
            <v>31.985116000000001</v>
          </cell>
          <cell r="Y293">
            <v>32.249799420000002</v>
          </cell>
          <cell r="Z293">
            <v>32.485090139999997</v>
          </cell>
          <cell r="AA293">
            <v>32.74016623</v>
          </cell>
          <cell r="AB293">
            <v>33.0067989</v>
          </cell>
          <cell r="AC293">
            <v>33.286004759999997</v>
          </cell>
          <cell r="AD293">
            <v>33.581349850000002</v>
          </cell>
          <cell r="AE293">
            <v>33.818665709999998</v>
          </cell>
          <cell r="AF293">
            <v>34.102505579999999</v>
          </cell>
          <cell r="AG293">
            <v>34.399582649999999</v>
          </cell>
          <cell r="AH293">
            <v>34.69722239</v>
          </cell>
          <cell r="AI293">
            <v>34.995116869999997</v>
          </cell>
          <cell r="AJ293">
            <v>35.296845040000001</v>
          </cell>
          <cell r="AK293">
            <v>35.606152430000002</v>
          </cell>
          <cell r="AL293">
            <v>35.925150019999997</v>
          </cell>
          <cell r="AM293">
            <v>36.253817159999997</v>
          </cell>
          <cell r="AN293">
            <v>36.590504750000001</v>
          </cell>
          <cell r="AO293">
            <v>36.932950390000002</v>
          </cell>
        </row>
        <row r="299">
          <cell r="E299" t="str">
            <v>CF_toe_cele_2</v>
          </cell>
          <cell r="F299">
            <v>36.380602070000002</v>
          </cell>
          <cell r="G299">
            <v>36.460156789999999</v>
          </cell>
          <cell r="H299">
            <v>36.532820309999998</v>
          </cell>
          <cell r="I299">
            <v>36.727624659999996</v>
          </cell>
          <cell r="J299">
            <v>37.109243229999997</v>
          </cell>
          <cell r="K299">
            <v>37.713382150000001</v>
          </cell>
          <cell r="L299">
            <v>38.60079795</v>
          </cell>
          <cell r="M299">
            <v>39.857776610000002</v>
          </cell>
          <cell r="N299">
            <v>41.339884060000003</v>
          </cell>
          <cell r="O299">
            <v>42.778410260000001</v>
          </cell>
          <cell r="P299">
            <v>43.966740430000002</v>
          </cell>
          <cell r="Q299">
            <v>44.828277069999999</v>
          </cell>
          <cell r="R299">
            <v>45.41377602</v>
          </cell>
          <cell r="S299">
            <v>45.845374630000002</v>
          </cell>
          <cell r="T299">
            <v>46.243817270000001</v>
          </cell>
          <cell r="U299">
            <v>46.684817330000001</v>
          </cell>
          <cell r="V299">
            <v>47.1899765</v>
          </cell>
          <cell r="W299">
            <v>47.749716300000003</v>
          </cell>
          <cell r="X299">
            <v>48.343953089999999</v>
          </cell>
          <cell r="Y299">
            <v>48.958843459999997</v>
          </cell>
          <cell r="Z299">
            <v>49.577761610000003</v>
          </cell>
          <cell r="AA299">
            <v>50.229665249999996</v>
          </cell>
          <cell r="AB299">
            <v>50.932770550000001</v>
          </cell>
          <cell r="AC299">
            <v>51.697393550000001</v>
          </cell>
          <cell r="AD299">
            <v>52.53028089</v>
          </cell>
          <cell r="AE299">
            <v>53.368132989999999</v>
          </cell>
          <cell r="AF299">
            <v>54.249867879999996</v>
          </cell>
          <cell r="AG299">
            <v>55.14310965</v>
          </cell>
          <cell r="AH299">
            <v>56.018586990000003</v>
          </cell>
          <cell r="AI299">
            <v>56.866708850000002</v>
          </cell>
          <cell r="AJ299">
            <v>57.691328140000003</v>
          </cell>
          <cell r="AK299">
            <v>58.501322860000002</v>
          </cell>
          <cell r="AL299">
            <v>59.306090849999997</v>
          </cell>
          <cell r="AM299">
            <v>60.111997389999999</v>
          </cell>
          <cell r="AN299">
            <v>60.921240920000002</v>
          </cell>
          <cell r="AO299">
            <v>61.733455509999999</v>
          </cell>
        </row>
        <row r="309">
          <cell r="E309" t="str">
            <v>CF_toe_chea_2</v>
          </cell>
          <cell r="F309">
            <v>2.763125901</v>
          </cell>
          <cell r="G309">
            <v>2.7804084929999999</v>
          </cell>
          <cell r="H309">
            <v>2.8020371759999998</v>
          </cell>
          <cell r="I309">
            <v>2.8325627020000002</v>
          </cell>
          <cell r="J309">
            <v>2.8723268499999999</v>
          </cell>
          <cell r="K309">
            <v>2.9209586569999999</v>
          </cell>
          <cell r="L309">
            <v>2.9789092680000002</v>
          </cell>
          <cell r="M309">
            <v>3.051627898</v>
          </cell>
          <cell r="N309">
            <v>3.1310053689999999</v>
          </cell>
          <cell r="O309">
            <v>3.2056207259999998</v>
          </cell>
          <cell r="P309">
            <v>3.2690919030000001</v>
          </cell>
          <cell r="Q309">
            <v>3.3199023969999999</v>
          </cell>
          <cell r="R309">
            <v>3.3600412319999999</v>
          </cell>
          <cell r="S309">
            <v>3.3953475970000002</v>
          </cell>
          <cell r="T309">
            <v>3.431245836</v>
          </cell>
          <cell r="U309">
            <v>3.4706173040000001</v>
          </cell>
          <cell r="V309">
            <v>3.5134613319999999</v>
          </cell>
          <cell r="W309">
            <v>3.5586145500000002</v>
          </cell>
          <cell r="X309">
            <v>3.6047248380000001</v>
          </cell>
          <cell r="Y309">
            <v>3.6509557969999999</v>
          </cell>
          <cell r="Z309">
            <v>3.6958601459999998</v>
          </cell>
          <cell r="AA309">
            <v>3.7408728550000001</v>
          </cell>
          <cell r="AB309">
            <v>3.7878081130000001</v>
          </cell>
          <cell r="AC309">
            <v>3.8369599810000001</v>
          </cell>
          <cell r="AD309">
            <v>3.8884564519999998</v>
          </cell>
          <cell r="AE309">
            <v>3.9377052460000002</v>
          </cell>
          <cell r="AF309">
            <v>3.986078531</v>
          </cell>
          <cell r="AG309">
            <v>4.0346143679999997</v>
          </cell>
          <cell r="AH309">
            <v>4.0824949679999998</v>
          </cell>
          <cell r="AI309">
            <v>4.1294865820000002</v>
          </cell>
          <cell r="AJ309">
            <v>4.1758692310000001</v>
          </cell>
          <cell r="AK309">
            <v>4.2219654650000003</v>
          </cell>
          <cell r="AL309">
            <v>4.268094434</v>
          </cell>
          <cell r="AM309">
            <v>4.3144512649999998</v>
          </cell>
          <cell r="AN309">
            <v>4.3610363960000003</v>
          </cell>
          <cell r="AO309">
            <v>4.4077344800000002</v>
          </cell>
        </row>
        <row r="311">
          <cell r="E311" t="str">
            <v>CF_toe_cbio_2</v>
          </cell>
          <cell r="F311">
            <v>8.0997826370000006</v>
          </cell>
          <cell r="G311">
            <v>8.1069285919999992</v>
          </cell>
          <cell r="H311">
            <v>8.0880865400000008</v>
          </cell>
          <cell r="I311">
            <v>8.0633621190000007</v>
          </cell>
          <cell r="J311">
            <v>8.0421830360000008</v>
          </cell>
          <cell r="K311">
            <v>8.0296068199999997</v>
          </cell>
          <cell r="L311">
            <v>8.017414402</v>
          </cell>
          <cell r="M311">
            <v>8.0134109470000006</v>
          </cell>
          <cell r="N311">
            <v>8.0201728600000006</v>
          </cell>
          <cell r="O311">
            <v>8.0312194790000007</v>
          </cell>
          <cell r="P311">
            <v>8.0461234360000002</v>
          </cell>
          <cell r="Q311">
            <v>8.0534869170000007</v>
          </cell>
          <cell r="R311">
            <v>8.0560752749999995</v>
          </cell>
          <cell r="S311">
            <v>8.0567002789999993</v>
          </cell>
          <cell r="T311">
            <v>8.0573155169999993</v>
          </cell>
          <cell r="U311">
            <v>8.0589264529999998</v>
          </cell>
          <cell r="V311">
            <v>8.0617207149999999</v>
          </cell>
          <cell r="W311">
            <v>8.0654388679999993</v>
          </cell>
          <cell r="X311">
            <v>8.0695937910000008</v>
          </cell>
          <cell r="Y311">
            <v>8.0741409409999996</v>
          </cell>
          <cell r="Z311">
            <v>8.0756168020000008</v>
          </cell>
          <cell r="AA311">
            <v>8.0809135340000005</v>
          </cell>
          <cell r="AB311">
            <v>8.0890824299999995</v>
          </cell>
          <cell r="AC311">
            <v>8.0998286180000001</v>
          </cell>
          <cell r="AD311">
            <v>8.1131720640000005</v>
          </cell>
          <cell r="AE311">
            <v>8.1175647649999991</v>
          </cell>
          <cell r="AF311">
            <v>8.126665397</v>
          </cell>
          <cell r="AG311">
            <v>8.1376954940000008</v>
          </cell>
          <cell r="AH311">
            <v>8.1492271519999999</v>
          </cell>
          <cell r="AI311">
            <v>8.1609558559999993</v>
          </cell>
          <cell r="AJ311">
            <v>8.1729427280000007</v>
          </cell>
          <cell r="AK311">
            <v>8.1853135259999998</v>
          </cell>
          <cell r="AL311">
            <v>8.1981405879999993</v>
          </cell>
          <cell r="AM311">
            <v>8.2114107599999997</v>
          </cell>
          <cell r="AN311">
            <v>8.2250505599999997</v>
          </cell>
          <cell r="AO311">
            <v>8.2389805979999995</v>
          </cell>
        </row>
        <row r="314">
          <cell r="E314" t="str">
            <v>CF_toe_cote_2</v>
          </cell>
          <cell r="F314">
            <v>6.4971472649999997</v>
          </cell>
          <cell r="G314">
            <v>6.5112201719999998</v>
          </cell>
          <cell r="H314">
            <v>6.5284552590000002</v>
          </cell>
          <cell r="I314">
            <v>6.5644243649999998</v>
          </cell>
          <cell r="J314">
            <v>6.6287975530000001</v>
          </cell>
          <cell r="K314">
            <v>6.7294395260000002</v>
          </cell>
          <cell r="L314">
            <v>6.8819645249999999</v>
          </cell>
          <cell r="M314">
            <v>7.1162901009999997</v>
          </cell>
          <cell r="N314">
            <v>7.3991768560000004</v>
          </cell>
          <cell r="O314">
            <v>7.6695036539999997</v>
          </cell>
          <cell r="P314">
            <v>7.8893299690000003</v>
          </cell>
          <cell r="Q314">
            <v>8.0395739689999992</v>
          </cell>
          <cell r="R314">
            <v>8.1444330820000008</v>
          </cell>
          <cell r="S314">
            <v>8.2324796009999996</v>
          </cell>
          <cell r="T314">
            <v>8.325560007</v>
          </cell>
          <cell r="U314">
            <v>8.4339921619999991</v>
          </cell>
          <cell r="V314">
            <v>8.5575615539999994</v>
          </cell>
          <cell r="W314">
            <v>8.6900047009999994</v>
          </cell>
          <cell r="X314">
            <v>8.8241616450000002</v>
          </cell>
          <cell r="Y314">
            <v>8.9557143630000002</v>
          </cell>
          <cell r="Z314">
            <v>9.0780513759999995</v>
          </cell>
          <cell r="AA314">
            <v>9.2055364970000007</v>
          </cell>
          <cell r="AB314">
            <v>9.3383164569999995</v>
          </cell>
          <cell r="AC314">
            <v>9.4790534500000003</v>
          </cell>
          <cell r="AD314">
            <v>9.630560504</v>
          </cell>
          <cell r="AE314">
            <v>9.7712172000000006</v>
          </cell>
          <cell r="AF314">
            <v>9.9316302820000004</v>
          </cell>
          <cell r="AG314">
            <v>10.095993930000001</v>
          </cell>
          <cell r="AH314">
            <v>10.257415119999999</v>
          </cell>
          <cell r="AI314">
            <v>10.41500643</v>
          </cell>
          <cell r="AJ314">
            <v>10.57057621</v>
          </cell>
          <cell r="AK314">
            <v>10.72663648</v>
          </cell>
          <cell r="AL314">
            <v>10.885071200000001</v>
          </cell>
          <cell r="AM314">
            <v>11.046523730000001</v>
          </cell>
          <cell r="AN314">
            <v>11.21049674</v>
          </cell>
          <cell r="AO314">
            <v>11.3759172</v>
          </cell>
        </row>
        <row r="317">
          <cell r="E317" t="str">
            <v>CF_toe_0</v>
          </cell>
          <cell r="F317">
            <v>150.77321449999999</v>
          </cell>
          <cell r="G317">
            <v>151.2336043</v>
          </cell>
          <cell r="H317">
            <v>151.5248004</v>
          </cell>
          <cell r="I317">
            <v>152.00206460000001</v>
          </cell>
          <cell r="J317">
            <v>152.8286712</v>
          </cell>
          <cell r="K317">
            <v>154.0876782</v>
          </cell>
          <cell r="L317">
            <v>155.66155449999999</v>
          </cell>
          <cell r="M317">
            <v>157.59654230000001</v>
          </cell>
          <cell r="N317">
            <v>159.78566480000001</v>
          </cell>
          <cell r="O317">
            <v>162.096924</v>
          </cell>
          <cell r="P317">
            <v>164.56488429999999</v>
          </cell>
          <cell r="Q317">
            <v>166.86385709999999</v>
          </cell>
          <cell r="R317">
            <v>169.08721879999999</v>
          </cell>
          <cell r="S317">
            <v>171.24149320000001</v>
          </cell>
          <cell r="T317">
            <v>173.3024101</v>
          </cell>
          <cell r="U317">
            <v>175.24260369999999</v>
          </cell>
          <cell r="V317">
            <v>177.04994139999999</v>
          </cell>
          <cell r="W317">
            <v>178.7312082</v>
          </cell>
          <cell r="X317">
            <v>180.31171850000001</v>
          </cell>
          <cell r="Y317">
            <v>181.82993759999999</v>
          </cell>
          <cell r="Z317">
            <v>183.21826229999999</v>
          </cell>
          <cell r="AA317">
            <v>184.70500730000001</v>
          </cell>
          <cell r="AB317">
            <v>186.24376280000001</v>
          </cell>
          <cell r="AC317">
            <v>187.83835379999999</v>
          </cell>
          <cell r="AD317">
            <v>189.50723009999999</v>
          </cell>
          <cell r="AE317">
            <v>190.90764419999999</v>
          </cell>
          <cell r="AF317">
            <v>192.5336853</v>
          </cell>
          <cell r="AG317">
            <v>194.21449229999999</v>
          </cell>
          <cell r="AH317">
            <v>195.8928899</v>
          </cell>
          <cell r="AI317">
            <v>197.56543300000001</v>
          </cell>
          <cell r="AJ317">
            <v>199.24351680000001</v>
          </cell>
          <cell r="AK317">
            <v>200.9369897</v>
          </cell>
          <cell r="AL317">
            <v>202.6469999</v>
          </cell>
          <cell r="AM317">
            <v>204.3650878</v>
          </cell>
          <cell r="AN317">
            <v>206.07687820000001</v>
          </cell>
          <cell r="AO317">
            <v>207.76577399999999</v>
          </cell>
        </row>
        <row r="318">
          <cell r="E318" t="str">
            <v>CF_toe_ccoa_0</v>
          </cell>
          <cell r="F318">
            <v>7.5758440929999997</v>
          </cell>
          <cell r="G318">
            <v>7.9218975909999996</v>
          </cell>
          <cell r="H318">
            <v>8.2698668029999993</v>
          </cell>
          <cell r="I318">
            <v>8.5706847550000003</v>
          </cell>
          <cell r="J318">
            <v>8.8282209559999991</v>
          </cell>
          <cell r="K318">
            <v>9.0558886750000003</v>
          </cell>
          <cell r="L318">
            <v>9.2400001389999993</v>
          </cell>
          <cell r="M318">
            <v>9.4156769279999999</v>
          </cell>
          <cell r="N318">
            <v>9.5870465150000008</v>
          </cell>
          <cell r="O318">
            <v>9.7541938459999997</v>
          </cell>
          <cell r="P318">
            <v>9.9535135480000001</v>
          </cell>
          <cell r="Q318">
            <v>10.10992841</v>
          </cell>
          <cell r="R318">
            <v>10.265191229999999</v>
          </cell>
          <cell r="S318">
            <v>10.42500791</v>
          </cell>
          <cell r="T318">
            <v>10.587354769999999</v>
          </cell>
          <cell r="U318">
            <v>10.750367499999999</v>
          </cell>
          <cell r="V318">
            <v>10.91327821</v>
          </cell>
          <cell r="W318">
            <v>11.07610633</v>
          </cell>
          <cell r="X318">
            <v>11.239254600000001</v>
          </cell>
          <cell r="Y318">
            <v>11.40320225</v>
          </cell>
          <cell r="Z318">
            <v>11.542589420000001</v>
          </cell>
          <cell r="AA318">
            <v>11.71274867</v>
          </cell>
          <cell r="AB318">
            <v>11.88648405</v>
          </cell>
          <cell r="AC318">
            <v>12.05921056</v>
          </cell>
          <cell r="AD318">
            <v>12.23199011</v>
          </cell>
          <cell r="AE318">
            <v>12.33020151</v>
          </cell>
          <cell r="AF318">
            <v>12.485791470000001</v>
          </cell>
          <cell r="AG318">
            <v>12.65361532</v>
          </cell>
          <cell r="AH318">
            <v>12.82305244</v>
          </cell>
          <cell r="AI318">
            <v>12.994116500000001</v>
          </cell>
          <cell r="AJ318">
            <v>13.168124000000001</v>
          </cell>
          <cell r="AK318">
            <v>13.34582537</v>
          </cell>
          <cell r="AL318">
            <v>13.52737574</v>
          </cell>
          <cell r="AM318">
            <v>13.71263145</v>
          </cell>
          <cell r="AN318">
            <v>13.90140764</v>
          </cell>
          <cell r="AO318">
            <v>14.09359362</v>
          </cell>
        </row>
        <row r="321">
          <cell r="E321" t="str">
            <v>CF_toe_ccoi_0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</row>
        <row r="324">
          <cell r="E324" t="str">
            <v>CF_toe_cfut_0</v>
          </cell>
          <cell r="F324">
            <v>51.75528259</v>
          </cell>
          <cell r="G324">
            <v>51.650926740000003</v>
          </cell>
          <cell r="H324">
            <v>51.473230970000003</v>
          </cell>
          <cell r="I324">
            <v>51.386586600000001</v>
          </cell>
          <cell r="J324">
            <v>51.426825700000002</v>
          </cell>
          <cell r="K324">
            <v>51.590233120000001</v>
          </cell>
          <cell r="L324">
            <v>51.828786239999999</v>
          </cell>
          <cell r="M324">
            <v>52.149123320000001</v>
          </cell>
          <cell r="N324">
            <v>52.526985889999999</v>
          </cell>
          <cell r="O324">
            <v>52.940583279999998</v>
          </cell>
          <cell r="P324">
            <v>53.411720969999998</v>
          </cell>
          <cell r="Q324">
            <v>53.861850599999997</v>
          </cell>
          <cell r="R324">
            <v>54.323951200000003</v>
          </cell>
          <cell r="S324">
            <v>54.795944339999998</v>
          </cell>
          <cell r="T324">
            <v>55.270162329999998</v>
          </cell>
          <cell r="U324">
            <v>55.738711719999998</v>
          </cell>
          <cell r="V324">
            <v>56.194845729999997</v>
          </cell>
          <cell r="W324">
            <v>56.633735450000003</v>
          </cell>
          <cell r="X324">
            <v>57.052685339999996</v>
          </cell>
          <cell r="Y324">
            <v>57.450784980000002</v>
          </cell>
          <cell r="Z324">
            <v>57.800144099999997</v>
          </cell>
          <cell r="AA324">
            <v>58.153471840000002</v>
          </cell>
          <cell r="AB324">
            <v>58.48767368</v>
          </cell>
          <cell r="AC324">
            <v>58.800856500000002</v>
          </cell>
          <cell r="AD324">
            <v>59.09479717</v>
          </cell>
          <cell r="AE324">
            <v>59.283218130000002</v>
          </cell>
          <cell r="AF324">
            <v>59.497180780000001</v>
          </cell>
          <cell r="AG324">
            <v>59.688406929999999</v>
          </cell>
          <cell r="AH324">
            <v>59.849826800000002</v>
          </cell>
          <cell r="AI324">
            <v>59.983945560000002</v>
          </cell>
          <cell r="AJ324">
            <v>60.09468038</v>
          </cell>
          <cell r="AK324">
            <v>60.185040479999998</v>
          </cell>
          <cell r="AL324">
            <v>60.256414280000001</v>
          </cell>
          <cell r="AM324">
            <v>60.308641139999999</v>
          </cell>
          <cell r="AN324">
            <v>60.34057104</v>
          </cell>
          <cell r="AO324">
            <v>60.350814249999999</v>
          </cell>
        </row>
        <row r="327">
          <cell r="E327" t="str">
            <v>CF_toe_cfuh_0</v>
          </cell>
          <cell r="F327">
            <v>9.6683350959999999</v>
          </cell>
          <cell r="G327">
            <v>9.6657842299999999</v>
          </cell>
          <cell r="H327">
            <v>9.6269180839999997</v>
          </cell>
          <cell r="I327">
            <v>9.5770797949999995</v>
          </cell>
          <cell r="J327">
            <v>9.5316749420000004</v>
          </cell>
          <cell r="K327">
            <v>9.4997956049999992</v>
          </cell>
          <cell r="L327">
            <v>9.4781133010000005</v>
          </cell>
          <cell r="M327">
            <v>9.4725926349999998</v>
          </cell>
          <cell r="N327">
            <v>9.4797360160000004</v>
          </cell>
          <cell r="O327">
            <v>9.4949860560000001</v>
          </cell>
          <cell r="P327">
            <v>9.5235602939999993</v>
          </cell>
          <cell r="Q327">
            <v>9.5460252259999994</v>
          </cell>
          <cell r="R327">
            <v>9.5700410569999992</v>
          </cell>
          <cell r="S327">
            <v>9.5954608260000001</v>
          </cell>
          <cell r="T327">
            <v>9.6212319330000007</v>
          </cell>
          <cell r="U327">
            <v>9.6461490909999998</v>
          </cell>
          <cell r="V327">
            <v>9.6691365610000002</v>
          </cell>
          <cell r="W327">
            <v>9.6894987970000006</v>
          </cell>
          <cell r="X327">
            <v>9.7070639249999999</v>
          </cell>
          <cell r="Y327">
            <v>9.7221721209999998</v>
          </cell>
          <cell r="Z327">
            <v>9.7289791579999996</v>
          </cell>
          <cell r="AA327">
            <v>9.7409141750000003</v>
          </cell>
          <cell r="AB327">
            <v>9.7531908289999993</v>
          </cell>
          <cell r="AC327">
            <v>9.7660240030000001</v>
          </cell>
          <cell r="AD327">
            <v>9.7802470540000002</v>
          </cell>
          <cell r="AE327">
            <v>9.7769859399999994</v>
          </cell>
          <cell r="AF327">
            <v>9.7861967050000001</v>
          </cell>
          <cell r="AG327">
            <v>9.7976788199999998</v>
          </cell>
          <cell r="AH327">
            <v>9.8100614149999998</v>
          </cell>
          <cell r="AI327">
            <v>9.8235391490000001</v>
          </cell>
          <cell r="AJ327">
            <v>9.8386068380000005</v>
          </cell>
          <cell r="AK327">
            <v>9.8556736330000003</v>
          </cell>
          <cell r="AL327">
            <v>9.87488776</v>
          </cell>
          <cell r="AM327">
            <v>9.8961042960000007</v>
          </cell>
          <cell r="AN327">
            <v>9.9189680360000008</v>
          </cell>
          <cell r="AO327">
            <v>9.9430588899999996</v>
          </cell>
        </row>
        <row r="329">
          <cell r="E329" t="str">
            <v>CF_toe_cgas_0</v>
          </cell>
          <cell r="F329">
            <v>28.033094800000001</v>
          </cell>
          <cell r="G329">
            <v>28.136281700000001</v>
          </cell>
          <cell r="H329">
            <v>28.203385220000001</v>
          </cell>
          <cell r="I329">
            <v>28.279739599999999</v>
          </cell>
          <cell r="J329">
            <v>28.389398880000002</v>
          </cell>
          <cell r="K329">
            <v>28.54837362</v>
          </cell>
          <cell r="L329">
            <v>28.734066120000001</v>
          </cell>
          <cell r="M329">
            <v>28.963569020000001</v>
          </cell>
          <cell r="N329">
            <v>29.225829990000001</v>
          </cell>
          <cell r="O329">
            <v>29.506400889999998</v>
          </cell>
          <cell r="P329">
            <v>29.827663009999998</v>
          </cell>
          <cell r="Q329">
            <v>30.129468859999999</v>
          </cell>
          <cell r="R329">
            <v>30.4376319</v>
          </cell>
          <cell r="S329">
            <v>30.757931259999999</v>
          </cell>
          <cell r="T329">
            <v>31.085982449999999</v>
          </cell>
          <cell r="U329">
            <v>31.415277419999999</v>
          </cell>
          <cell r="V329">
            <v>31.739835580000001</v>
          </cell>
          <cell r="W329">
            <v>32.055804549999998</v>
          </cell>
          <cell r="X329">
            <v>32.362059449999997</v>
          </cell>
          <cell r="Y329">
            <v>32.65984186</v>
          </cell>
          <cell r="Z329">
            <v>32.927824989999998</v>
          </cell>
          <cell r="AA329">
            <v>33.211566130000001</v>
          </cell>
          <cell r="AB329">
            <v>33.498636189999999</v>
          </cell>
          <cell r="AC329">
            <v>33.786856870000001</v>
          </cell>
          <cell r="AD329">
            <v>34.0789762</v>
          </cell>
          <cell r="AE329">
            <v>34.30261256</v>
          </cell>
          <cell r="AF329">
            <v>34.565577910000002</v>
          </cell>
          <cell r="AG329">
            <v>34.838384560000001</v>
          </cell>
          <cell r="AH329">
            <v>35.111965640000001</v>
          </cell>
          <cell r="AI329">
            <v>35.388511479999998</v>
          </cell>
          <cell r="AJ329">
            <v>35.672698160000003</v>
          </cell>
          <cell r="AK329">
            <v>35.968249370000002</v>
          </cell>
          <cell r="AL329">
            <v>36.276702389999997</v>
          </cell>
          <cell r="AM329">
            <v>36.597424549999999</v>
          </cell>
          <cell r="AN329">
            <v>36.9284003</v>
          </cell>
          <cell r="AO329">
            <v>37.26729933</v>
          </cell>
        </row>
        <row r="335">
          <cell r="E335" t="str">
            <v>CF_toe_cele_0</v>
          </cell>
          <cell r="F335">
            <v>36.380602070000002</v>
          </cell>
          <cell r="G335">
            <v>36.460156789999999</v>
          </cell>
          <cell r="H335">
            <v>36.532820309999998</v>
          </cell>
          <cell r="I335">
            <v>36.727624659999996</v>
          </cell>
          <cell r="J335">
            <v>37.109243229999997</v>
          </cell>
          <cell r="K335">
            <v>37.713382150000001</v>
          </cell>
          <cell r="L335">
            <v>38.52167506</v>
          </cell>
          <cell r="M335">
            <v>39.512226419999998</v>
          </cell>
          <cell r="N335">
            <v>40.626426109999997</v>
          </cell>
          <cell r="O335">
            <v>41.789881919999999</v>
          </cell>
          <cell r="P335">
            <v>42.950465360000003</v>
          </cell>
          <cell r="Q335">
            <v>44.046322699999997</v>
          </cell>
          <cell r="R335">
            <v>45.055774149999998</v>
          </cell>
          <cell r="S335">
            <v>45.974296029999998</v>
          </cell>
          <cell r="T335">
            <v>46.795278230000001</v>
          </cell>
          <cell r="U335">
            <v>47.512801879999998</v>
          </cell>
          <cell r="V335">
            <v>48.132098640000002</v>
          </cell>
          <cell r="W335">
            <v>48.669790749999997</v>
          </cell>
          <cell r="X335">
            <v>49.15256041</v>
          </cell>
          <cell r="Y335">
            <v>49.613302439999998</v>
          </cell>
          <cell r="Z335">
            <v>50.070684399999998</v>
          </cell>
          <cell r="AA335">
            <v>50.563628379999997</v>
          </cell>
          <cell r="AB335">
            <v>51.113816780000001</v>
          </cell>
          <cell r="AC335">
            <v>51.732458559999998</v>
          </cell>
          <cell r="AD335">
            <v>52.428885190000003</v>
          </cell>
          <cell r="AE335">
            <v>53.148471350000001</v>
          </cell>
          <cell r="AF335">
            <v>53.93653664</v>
          </cell>
          <cell r="AG335">
            <v>54.769806019999997</v>
          </cell>
          <cell r="AH335">
            <v>55.625661319999999</v>
          </cell>
          <cell r="AI335">
            <v>56.495626829999999</v>
          </cell>
          <cell r="AJ335">
            <v>57.378439579999998</v>
          </cell>
          <cell r="AK335">
            <v>58.274039979999998</v>
          </cell>
          <cell r="AL335">
            <v>59.179736220000002</v>
          </cell>
          <cell r="AM335">
            <v>60.089147599999997</v>
          </cell>
          <cell r="AN335">
            <v>60.99367299</v>
          </cell>
          <cell r="AO335">
            <v>61.883471989999997</v>
          </cell>
        </row>
        <row r="345">
          <cell r="E345" t="str">
            <v>CF_toe_chea_0</v>
          </cell>
          <cell r="F345">
            <v>2.763125901</v>
          </cell>
          <cell r="G345">
            <v>2.7804084929999999</v>
          </cell>
          <cell r="H345">
            <v>2.8020371759999998</v>
          </cell>
          <cell r="I345">
            <v>2.8325627020000002</v>
          </cell>
          <cell r="J345">
            <v>2.8723268499999999</v>
          </cell>
          <cell r="K345">
            <v>2.9209586569999999</v>
          </cell>
          <cell r="L345">
            <v>2.9758550650000002</v>
          </cell>
          <cell r="M345">
            <v>3.035261604</v>
          </cell>
          <cell r="N345">
            <v>3.097316921</v>
          </cell>
          <cell r="O345">
            <v>3.1598162830000001</v>
          </cell>
          <cell r="P345">
            <v>3.2226492879999999</v>
          </cell>
          <cell r="Q345">
            <v>3.2839425200000001</v>
          </cell>
          <cell r="R345">
            <v>3.3421386150000001</v>
          </cell>
          <cell r="S345">
            <v>3.3977849459999998</v>
          </cell>
          <cell r="T345">
            <v>3.4508828899999999</v>
          </cell>
          <cell r="U345">
            <v>3.5009753699999999</v>
          </cell>
          <cell r="V345">
            <v>3.5481392469999999</v>
          </cell>
          <cell r="W345">
            <v>3.5929283220000001</v>
          </cell>
          <cell r="X345">
            <v>3.6362860829999999</v>
          </cell>
          <cell r="Y345">
            <v>3.679367558</v>
          </cell>
          <cell r="Z345">
            <v>3.722032317</v>
          </cell>
          <cell r="AA345">
            <v>3.765392071</v>
          </cell>
          <cell r="AB345">
            <v>3.8108378369999998</v>
          </cell>
          <cell r="AC345">
            <v>3.858305476</v>
          </cell>
          <cell r="AD345">
            <v>3.9077812430000001</v>
          </cell>
          <cell r="AE345">
            <v>3.954887297</v>
          </cell>
          <cell r="AF345">
            <v>4.0012190419999998</v>
          </cell>
          <cell r="AG345">
            <v>4.0481724139999997</v>
          </cell>
          <cell r="AH345">
            <v>4.0952497470000004</v>
          </cell>
          <cell r="AI345">
            <v>4.1423605830000003</v>
          </cell>
          <cell r="AJ345">
            <v>4.1897128559999999</v>
          </cell>
          <cell r="AK345">
            <v>4.2375352570000002</v>
          </cell>
          <cell r="AL345">
            <v>4.285895537</v>
          </cell>
          <cell r="AM345">
            <v>4.3346563329999999</v>
          </cell>
          <cell r="AN345">
            <v>4.3835453019999999</v>
          </cell>
          <cell r="AO345">
            <v>4.4320160169999996</v>
          </cell>
        </row>
        <row r="347">
          <cell r="E347" t="str">
            <v>CF_toe_cbio_0</v>
          </cell>
          <cell r="F347">
            <v>8.0997826370000006</v>
          </cell>
          <cell r="G347">
            <v>8.1069285919999992</v>
          </cell>
          <cell r="H347">
            <v>8.0880865400000008</v>
          </cell>
          <cell r="I347">
            <v>8.0633621190000007</v>
          </cell>
          <cell r="J347">
            <v>8.0421830360000008</v>
          </cell>
          <cell r="K347">
            <v>8.0296068199999997</v>
          </cell>
          <cell r="L347">
            <v>8.0236058610000001</v>
          </cell>
          <cell r="M347">
            <v>8.0258485959999994</v>
          </cell>
          <cell r="N347">
            <v>8.0348127789999992</v>
          </cell>
          <cell r="O347">
            <v>8.0481872810000006</v>
          </cell>
          <cell r="P347">
            <v>8.0692123280000008</v>
          </cell>
          <cell r="Q347">
            <v>8.0877479090000008</v>
          </cell>
          <cell r="R347">
            <v>8.1052037489999993</v>
          </cell>
          <cell r="S347">
            <v>8.1216517199999991</v>
          </cell>
          <cell r="T347">
            <v>8.1364663559999997</v>
          </cell>
          <cell r="U347">
            <v>8.149029531</v>
          </cell>
          <cell r="V347">
            <v>8.1589903449999994</v>
          </cell>
          <cell r="W347">
            <v>8.1663595309999994</v>
          </cell>
          <cell r="X347">
            <v>8.1715144599999991</v>
          </cell>
          <cell r="Y347">
            <v>8.1751307969999996</v>
          </cell>
          <cell r="Z347">
            <v>8.1741132479999994</v>
          </cell>
          <cell r="AA347">
            <v>8.175735435</v>
          </cell>
          <cell r="AB347">
            <v>8.1792974039999997</v>
          </cell>
          <cell r="AC347">
            <v>8.1848097309999996</v>
          </cell>
          <cell r="AD347">
            <v>8.1926964410000007</v>
          </cell>
          <cell r="AE347">
            <v>8.1916813850000008</v>
          </cell>
          <cell r="AF347">
            <v>8.1961025339999996</v>
          </cell>
          <cell r="AG347">
            <v>8.2035130719999998</v>
          </cell>
          <cell r="AH347">
            <v>8.2126607440000008</v>
          </cell>
          <cell r="AI347">
            <v>8.2232784559999992</v>
          </cell>
          <cell r="AJ347">
            <v>8.2353238829999995</v>
          </cell>
          <cell r="AK347">
            <v>8.2487133410000002</v>
          </cell>
          <cell r="AL347">
            <v>8.2632511579999992</v>
          </cell>
          <cell r="AM347">
            <v>8.2786463440000002</v>
          </cell>
          <cell r="AN347">
            <v>8.2945741860000002</v>
          </cell>
          <cell r="AO347">
            <v>8.3107527619999999</v>
          </cell>
        </row>
        <row r="350">
          <cell r="E350" t="str">
            <v>CF_toe_cote_0</v>
          </cell>
          <cell r="F350">
            <v>6.4971472649999997</v>
          </cell>
          <cell r="G350">
            <v>6.5112201719999998</v>
          </cell>
          <cell r="H350">
            <v>6.5284552590000002</v>
          </cell>
          <cell r="I350">
            <v>6.5644243649999998</v>
          </cell>
          <cell r="J350">
            <v>6.6287975530000001</v>
          </cell>
          <cell r="K350">
            <v>6.7294395260000002</v>
          </cell>
          <cell r="L350">
            <v>6.8594527100000002</v>
          </cell>
          <cell r="M350">
            <v>7.0222437680000001</v>
          </cell>
          <cell r="N350">
            <v>7.2075105959999997</v>
          </cell>
          <cell r="O350">
            <v>7.4028744209999999</v>
          </cell>
          <cell r="P350">
            <v>7.6060995419999999</v>
          </cell>
          <cell r="Q350">
            <v>7.7985708699999998</v>
          </cell>
          <cell r="R350">
            <v>7.9872868879999999</v>
          </cell>
          <cell r="S350">
            <v>8.1734161360000002</v>
          </cell>
          <cell r="T350">
            <v>8.3550511239999992</v>
          </cell>
          <cell r="U350">
            <v>8.5292911480000004</v>
          </cell>
          <cell r="V350">
            <v>8.6936171019999993</v>
          </cell>
          <cell r="W350">
            <v>8.8469844670000004</v>
          </cell>
          <cell r="X350">
            <v>8.9902942259999996</v>
          </cell>
          <cell r="Y350">
            <v>9.1261356060000001</v>
          </cell>
          <cell r="Z350">
            <v>9.2518946510000006</v>
          </cell>
          <cell r="AA350">
            <v>9.3815505750000003</v>
          </cell>
          <cell r="AB350">
            <v>9.5138260030000001</v>
          </cell>
          <cell r="AC350">
            <v>9.6498320979999992</v>
          </cell>
          <cell r="AD350">
            <v>9.7918566620000007</v>
          </cell>
          <cell r="AE350">
            <v>9.9195860600000003</v>
          </cell>
          <cell r="AF350">
            <v>10.06508021</v>
          </cell>
          <cell r="AG350">
            <v>10.2149152</v>
          </cell>
          <cell r="AH350">
            <v>10.36441179</v>
          </cell>
          <cell r="AI350">
            <v>10.51405448</v>
          </cell>
          <cell r="AJ350">
            <v>10.66593108</v>
          </cell>
          <cell r="AK350">
            <v>10.82191226</v>
          </cell>
          <cell r="AL350">
            <v>10.98273682</v>
          </cell>
          <cell r="AM350">
            <v>11.14783613</v>
          </cell>
          <cell r="AN350">
            <v>11.31573873</v>
          </cell>
          <cell r="AO350">
            <v>11.484767160000001</v>
          </cell>
        </row>
        <row r="353">
          <cell r="F353">
            <v>73.965462770000002</v>
          </cell>
          <cell r="G353">
            <v>73.83138649</v>
          </cell>
          <cell r="H353">
            <v>73.464010979999998</v>
          </cell>
          <cell r="I353">
            <v>73.117083109999996</v>
          </cell>
          <cell r="J353">
            <v>72.862901769999993</v>
          </cell>
          <cell r="K353">
            <v>72.707891239999995</v>
          </cell>
          <cell r="L353">
            <v>72.637621679999995</v>
          </cell>
          <cell r="M353">
            <v>72.637403829999997</v>
          </cell>
          <cell r="N353">
            <v>72.681655840000005</v>
          </cell>
          <cell r="O353">
            <v>72.761830470000007</v>
          </cell>
          <cell r="P353">
            <v>72.900599810000003</v>
          </cell>
          <cell r="Q353">
            <v>73.050039389999995</v>
          </cell>
          <cell r="R353">
            <v>73.201146539999996</v>
          </cell>
          <cell r="S353">
            <v>73.342418629999997</v>
          </cell>
          <cell r="T353">
            <v>73.472117490000002</v>
          </cell>
          <cell r="U353">
            <v>73.591194259999995</v>
          </cell>
          <cell r="V353">
            <v>73.697406650000005</v>
          </cell>
          <cell r="W353">
            <v>73.791950639999996</v>
          </cell>
          <cell r="X353">
            <v>73.876816390000002</v>
          </cell>
          <cell r="Y353">
            <v>73.953581220000004</v>
          </cell>
          <cell r="Z353">
            <v>74.00470061</v>
          </cell>
          <cell r="AA353">
            <v>74.055161870000006</v>
          </cell>
          <cell r="AB353">
            <v>74.100124579999999</v>
          </cell>
          <cell r="AC353">
            <v>74.136556889999994</v>
          </cell>
          <cell r="AD353">
            <v>74.16232617</v>
          </cell>
          <cell r="AE353">
            <v>74.12605112</v>
          </cell>
          <cell r="AF353">
            <v>74.074696680000002</v>
          </cell>
          <cell r="AG353">
            <v>74.008264560000001</v>
          </cell>
          <cell r="AH353">
            <v>73.926703070000002</v>
          </cell>
          <cell r="AI353">
            <v>73.829556760000003</v>
          </cell>
          <cell r="AJ353">
            <v>73.716118059999999</v>
          </cell>
          <cell r="AK353">
            <v>73.584501000000003</v>
          </cell>
          <cell r="AL353">
            <v>73.433862590000004</v>
          </cell>
          <cell r="AM353">
            <v>73.26459045</v>
          </cell>
          <cell r="AN353">
            <v>73.077547899999999</v>
          </cell>
          <cell r="AO353">
            <v>72.873726009999999</v>
          </cell>
        </row>
        <row r="354">
          <cell r="F354">
            <v>39.923462319999999</v>
          </cell>
          <cell r="G354">
            <v>40.19817115</v>
          </cell>
          <cell r="H354">
            <v>40.024225890000004</v>
          </cell>
          <cell r="I354">
            <v>39.742481340000005</v>
          </cell>
          <cell r="J354">
            <v>39.47893766</v>
          </cell>
          <cell r="K354">
            <v>39.270503850000004</v>
          </cell>
          <cell r="L354">
            <v>39.122016969999997</v>
          </cell>
          <cell r="M354">
            <v>39.029163450000006</v>
          </cell>
          <cell r="N354">
            <v>38.965788520000004</v>
          </cell>
          <cell r="O354">
            <v>38.904901180000003</v>
          </cell>
          <cell r="P354">
            <v>38.855881179999997</v>
          </cell>
          <cell r="Q354">
            <v>38.785984939999999</v>
          </cell>
          <cell r="R354">
            <v>38.701869430000002</v>
          </cell>
          <cell r="S354">
            <v>38.607476939999998</v>
          </cell>
          <cell r="T354">
            <v>38.511910950000001</v>
          </cell>
          <cell r="U354">
            <v>38.420913659999997</v>
          </cell>
          <cell r="V354">
            <v>38.332233989999999</v>
          </cell>
          <cell r="W354">
            <v>38.244678710000002</v>
          </cell>
          <cell r="X354">
            <v>38.157805100000004</v>
          </cell>
          <cell r="Y354">
            <v>38.072158359999996</v>
          </cell>
          <cell r="Z354">
            <v>37.975599600000002</v>
          </cell>
          <cell r="AA354">
            <v>37.889416229999995</v>
          </cell>
          <cell r="AB354">
            <v>37.810597799999996</v>
          </cell>
          <cell r="AC354">
            <v>37.737825819999998</v>
          </cell>
          <cell r="AD354">
            <v>37.670137099999998</v>
          </cell>
          <cell r="AE354">
            <v>37.570162479999993</v>
          </cell>
          <cell r="AF354">
            <v>37.473823439999997</v>
          </cell>
          <cell r="AG354">
            <v>37.378865900000001</v>
          </cell>
          <cell r="AH354">
            <v>37.284047489999999</v>
          </cell>
          <cell r="AI354">
            <v>37.188870130000005</v>
          </cell>
          <cell r="AJ354">
            <v>37.093209109999997</v>
          </cell>
          <cell r="AK354">
            <v>36.9958375</v>
          </cell>
          <cell r="AL354">
            <v>36.896273289999996</v>
          </cell>
          <cell r="AM354">
            <v>36.794843630000003</v>
          </cell>
          <cell r="AN354">
            <v>36.692018490000002</v>
          </cell>
          <cell r="AO354">
            <v>36.588255060000002</v>
          </cell>
        </row>
        <row r="362">
          <cell r="F362">
            <v>34.042000460000004</v>
          </cell>
          <cell r="G362">
            <v>33.633215340000007</v>
          </cell>
          <cell r="H362">
            <v>33.43978508</v>
          </cell>
          <cell r="I362">
            <v>33.374601760000004</v>
          </cell>
          <cell r="J362">
            <v>33.383964120000002</v>
          </cell>
          <cell r="K362">
            <v>33.437387379999997</v>
          </cell>
          <cell r="L362">
            <v>33.515604709999998</v>
          </cell>
          <cell r="M362">
            <v>33.608240380000005</v>
          </cell>
          <cell r="N362">
            <v>33.71586731</v>
          </cell>
          <cell r="O362">
            <v>33.856929289999997</v>
          </cell>
          <cell r="P362">
            <v>34.044718639999999</v>
          </cell>
          <cell r="Q362">
            <v>34.264054450000003</v>
          </cell>
          <cell r="R362">
            <v>34.499277110000001</v>
          </cell>
          <cell r="S362">
            <v>34.734941689999999</v>
          </cell>
          <cell r="T362">
            <v>34.960206540000001</v>
          </cell>
          <cell r="U362">
            <v>35.170280599999998</v>
          </cell>
          <cell r="V362">
            <v>35.365172649999998</v>
          </cell>
          <cell r="W362">
            <v>35.547271930000001</v>
          </cell>
          <cell r="X362">
            <v>35.719011289999997</v>
          </cell>
          <cell r="Y362">
            <v>35.881422860000001</v>
          </cell>
          <cell r="Z362">
            <v>36.029101009999998</v>
          </cell>
          <cell r="AA362">
            <v>36.165745630000004</v>
          </cell>
          <cell r="AB362">
            <v>36.289526780000003</v>
          </cell>
          <cell r="AC362">
            <v>36.398731070000004</v>
          </cell>
          <cell r="AD362">
            <v>36.492189060000001</v>
          </cell>
          <cell r="AE362">
            <v>36.555888639999999</v>
          </cell>
          <cell r="AF362">
            <v>36.600873229999998</v>
          </cell>
          <cell r="AG362">
            <v>36.62939866</v>
          </cell>
          <cell r="AH362">
            <v>36.642655579999996</v>
          </cell>
          <cell r="AI362">
            <v>36.640686639999998</v>
          </cell>
          <cell r="AJ362">
            <v>36.622908950000003</v>
          </cell>
          <cell r="AK362">
            <v>36.588663509999996</v>
          </cell>
          <cell r="AL362">
            <v>36.5375893</v>
          </cell>
          <cell r="AM362">
            <v>36.469746819999997</v>
          </cell>
          <cell r="AN362">
            <v>36.385529409999997</v>
          </cell>
          <cell r="AO362">
            <v>36.285470950000004</v>
          </cell>
        </row>
        <row r="366">
          <cell r="F366">
            <v>8.5557154489999991</v>
          </cell>
          <cell r="G366">
            <v>8.5697436039999992</v>
          </cell>
          <cell r="H366">
            <v>8.6035637170000001</v>
          </cell>
          <cell r="I366">
            <v>8.6688034399999996</v>
          </cell>
          <cell r="J366">
            <v>8.7584234290000005</v>
          </cell>
          <cell r="K366">
            <v>8.8656370580000008</v>
          </cell>
          <cell r="L366">
            <v>8.9874155499999997</v>
          </cell>
          <cell r="M366">
            <v>9.1052035320000009</v>
          </cell>
          <cell r="N366">
            <v>9.2152493409999998</v>
          </cell>
          <cell r="O366">
            <v>9.3211316570000005</v>
          </cell>
          <cell r="P366">
            <v>9.4325686780000009</v>
          </cell>
          <cell r="Q366">
            <v>9.5525824220000004</v>
          </cell>
          <cell r="R366">
            <v>9.6794666140000007</v>
          </cell>
          <cell r="S366">
            <v>9.8120146889999997</v>
          </cell>
          <cell r="T366">
            <v>9.9481060160000006</v>
          </cell>
          <cell r="U366">
            <v>10.08563425</v>
          </cell>
          <cell r="V366">
            <v>10.223470020000001</v>
          </cell>
          <cell r="W366">
            <v>10.36176923</v>
          </cell>
          <cell r="X366">
            <v>10.5016514</v>
          </cell>
          <cell r="Y366">
            <v>10.64456891</v>
          </cell>
          <cell r="Z366">
            <v>10.788291790000001</v>
          </cell>
          <cell r="AA366">
            <v>10.936148960000001</v>
          </cell>
          <cell r="AB366">
            <v>11.090312040000001</v>
          </cell>
          <cell r="AC366">
            <v>11.250118049999999</v>
          </cell>
          <cell r="AD366">
            <v>11.41442954</v>
          </cell>
          <cell r="AE366">
            <v>11.570579840000001</v>
          </cell>
          <cell r="AF366">
            <v>11.72500949</v>
          </cell>
          <cell r="AG366">
            <v>11.880830189999999</v>
          </cell>
          <cell r="AH366">
            <v>12.038870060000001</v>
          </cell>
          <cell r="AI366">
            <v>12.19949094</v>
          </cell>
          <cell r="AJ366">
            <v>12.362765960000001</v>
          </cell>
          <cell r="AK366">
            <v>12.528518890000001</v>
          </cell>
          <cell r="AL366">
            <v>12.69646155</v>
          </cell>
          <cell r="AM366">
            <v>12.866353159999999</v>
          </cell>
          <cell r="AN366">
            <v>13.03810455</v>
          </cell>
          <cell r="AO366">
            <v>13.21179648</v>
          </cell>
        </row>
        <row r="378">
          <cell r="F378">
            <v>4.9189742580000004</v>
          </cell>
          <cell r="G378">
            <v>4.8589847209999997</v>
          </cell>
          <cell r="H378">
            <v>4.7850852169999998</v>
          </cell>
          <cell r="I378">
            <v>4.7307539009999999</v>
          </cell>
          <cell r="J378">
            <v>4.7108863840000001</v>
          </cell>
          <cell r="K378">
            <v>4.7296013859999997</v>
          </cell>
          <cell r="L378">
            <v>5.0356968870000003</v>
          </cell>
          <cell r="M378">
            <v>5.181714511</v>
          </cell>
          <cell r="N378">
            <v>5.3194274970000004</v>
          </cell>
          <cell r="O378">
            <v>5.4286625690000001</v>
          </cell>
          <cell r="P378">
            <v>5.4892072750000001</v>
          </cell>
          <cell r="Q378">
            <v>5.4982058550000001</v>
          </cell>
          <cell r="R378">
            <v>5.4742462229999997</v>
          </cell>
          <cell r="S378">
            <v>5.4393964989999999</v>
          </cell>
          <cell r="T378">
            <v>5.410532817</v>
          </cell>
          <cell r="U378">
            <v>5.3957863179999999</v>
          </cell>
          <cell r="V378">
            <v>5.3954978039999997</v>
          </cell>
          <cell r="W378">
            <v>5.4054629299999997</v>
          </cell>
          <cell r="X378">
            <v>5.4204635139999997</v>
          </cell>
          <cell r="Y378">
            <v>5.4367547590000003</v>
          </cell>
          <cell r="Z378">
            <v>5.4502169719999998</v>
          </cell>
          <cell r="AA378">
            <v>5.465353532</v>
          </cell>
          <cell r="AB378">
            <v>5.4824450349999996</v>
          </cell>
          <cell r="AC378">
            <v>5.5028728669999998</v>
          </cell>
          <cell r="AD378">
            <v>5.5274969619999998</v>
          </cell>
          <cell r="AE378">
            <v>5.5477947240000001</v>
          </cell>
          <cell r="AF378">
            <v>5.5703743880000003</v>
          </cell>
          <cell r="AG378">
            <v>5.5911950209999999</v>
          </cell>
          <cell r="AH378">
            <v>5.6084703549999997</v>
          </cell>
          <cell r="AI378">
            <v>5.6222437320000003</v>
          </cell>
          <cell r="AJ378">
            <v>5.6337276679999997</v>
          </cell>
          <cell r="AK378">
            <v>5.6444561450000004</v>
          </cell>
          <cell r="AL378">
            <v>5.6555922780000003</v>
          </cell>
          <cell r="AM378">
            <v>5.6676070090000001</v>
          </cell>
          <cell r="AN378">
            <v>5.6803385229999996</v>
          </cell>
          <cell r="AO378">
            <v>5.6932891720000001</v>
          </cell>
        </row>
        <row r="390">
          <cell r="F390">
            <v>33.6739113</v>
          </cell>
          <cell r="G390">
            <v>34.39201611</v>
          </cell>
          <cell r="H390">
            <v>35.197246300000003</v>
          </cell>
          <cell r="I390">
            <v>35.952677649999998</v>
          </cell>
          <cell r="J390">
            <v>36.674745100000003</v>
          </cell>
          <cell r="K390">
            <v>37.40857424</v>
          </cell>
          <cell r="L390">
            <v>38.098660819999999</v>
          </cell>
          <cell r="M390">
            <v>38.837418839999998</v>
          </cell>
          <cell r="N390">
            <v>39.576512630000003</v>
          </cell>
          <cell r="O390">
            <v>40.260018549999998</v>
          </cell>
          <cell r="P390">
            <v>41.035677589999999</v>
          </cell>
          <cell r="Q390">
            <v>41.547055659999998</v>
          </cell>
          <cell r="R390">
            <v>42.03807011</v>
          </cell>
          <cell r="S390">
            <v>42.553583789999998</v>
          </cell>
          <cell r="T390">
            <v>43.098253440000001</v>
          </cell>
          <cell r="U390">
            <v>43.667327389999997</v>
          </cell>
          <cell r="V390">
            <v>44.253474859999997</v>
          </cell>
          <cell r="W390">
            <v>44.85122312</v>
          </cell>
          <cell r="X390">
            <v>45.459525419999999</v>
          </cell>
          <cell r="Y390">
            <v>46.081789540000003</v>
          </cell>
          <cell r="Z390">
            <v>46.601617070000003</v>
          </cell>
          <cell r="AA390">
            <v>47.292776770000003</v>
          </cell>
          <cell r="AB390">
            <v>48.015302910000003</v>
          </cell>
          <cell r="AC390">
            <v>48.751939659999998</v>
          </cell>
          <cell r="AD390">
            <v>49.505484099999997</v>
          </cell>
          <cell r="AE390">
            <v>49.912779649999997</v>
          </cell>
          <cell r="AF390">
            <v>50.618067189999998</v>
          </cell>
          <cell r="AG390">
            <v>51.363415869999997</v>
          </cell>
          <cell r="AH390">
            <v>52.098793569999998</v>
          </cell>
          <cell r="AI390">
            <v>52.823281969999996</v>
          </cell>
          <cell r="AJ390">
            <v>53.542903619999997</v>
          </cell>
          <cell r="AK390">
            <v>54.262287540000003</v>
          </cell>
          <cell r="AL390">
            <v>54.983747700000002</v>
          </cell>
          <cell r="AM390">
            <v>55.707952900000002</v>
          </cell>
          <cell r="AN390">
            <v>56.434908640000003</v>
          </cell>
          <cell r="AO390">
            <v>57.16479468</v>
          </cell>
        </row>
        <row r="402">
          <cell r="F402">
            <v>29.659150669999999</v>
          </cell>
          <cell r="G402">
            <v>29.581473389999999</v>
          </cell>
          <cell r="H402">
            <v>29.474894160000002</v>
          </cell>
          <cell r="I402">
            <v>29.532746490000001</v>
          </cell>
          <cell r="J402">
            <v>29.821714459999999</v>
          </cell>
          <cell r="K402">
            <v>30.375974249999999</v>
          </cell>
          <cell r="L402">
            <v>31.246611430000002</v>
          </cell>
          <cell r="M402">
            <v>32.781663469999998</v>
          </cell>
          <cell r="N402">
            <v>34.694627130000001</v>
          </cell>
          <cell r="O402">
            <v>36.551923549999998</v>
          </cell>
          <cell r="P402">
            <v>37.956323900000001</v>
          </cell>
          <cell r="Q402">
            <v>38.995932930000002</v>
          </cell>
          <cell r="R402">
            <v>39.669977629999998</v>
          </cell>
          <cell r="S402">
            <v>40.16746174</v>
          </cell>
          <cell r="T402">
            <v>40.659323790000002</v>
          </cell>
          <cell r="U402">
            <v>41.237136149999998</v>
          </cell>
          <cell r="V402">
            <v>41.913356589999999</v>
          </cell>
          <cell r="W402">
            <v>42.651257909999998</v>
          </cell>
          <cell r="X402">
            <v>43.402093870000002</v>
          </cell>
          <cell r="Y402">
            <v>44.133699280000002</v>
          </cell>
          <cell r="Z402">
            <v>44.875582770000001</v>
          </cell>
          <cell r="AA402">
            <v>45.547713590000001</v>
          </cell>
          <cell r="AB402">
            <v>46.252109449999999</v>
          </cell>
          <cell r="AC402">
            <v>47.018752919999997</v>
          </cell>
          <cell r="AD402">
            <v>47.864610399999997</v>
          </cell>
          <cell r="AE402">
            <v>48.868640030000002</v>
          </cell>
          <cell r="AF402">
            <v>49.805094619999998</v>
          </cell>
          <cell r="AG402">
            <v>50.742789870000003</v>
          </cell>
          <cell r="AH402">
            <v>51.659515370000001</v>
          </cell>
          <cell r="AI402">
            <v>52.545520670000002</v>
          </cell>
          <cell r="AJ402">
            <v>53.408598929999997</v>
          </cell>
          <cell r="AK402">
            <v>54.264369000000002</v>
          </cell>
          <cell r="AL402">
            <v>55.126314819999997</v>
          </cell>
          <cell r="AM402">
            <v>56.000197919999998</v>
          </cell>
          <cell r="AN402">
            <v>56.883792470000003</v>
          </cell>
          <cell r="AO402">
            <v>57.770423229999999</v>
          </cell>
        </row>
        <row r="414">
          <cell r="F414">
            <v>73.965462770000002</v>
          </cell>
          <cell r="G414">
            <v>73.83138649</v>
          </cell>
          <cell r="H414">
            <v>73.464010979999998</v>
          </cell>
          <cell r="I414">
            <v>73.117083109999996</v>
          </cell>
          <cell r="J414">
            <v>72.862901769999993</v>
          </cell>
          <cell r="K414">
            <v>72.707891239999995</v>
          </cell>
          <cell r="L414">
            <v>72.621503250000004</v>
          </cell>
          <cell r="M414">
            <v>72.593277490000006</v>
          </cell>
          <cell r="N414">
            <v>72.610585279999995</v>
          </cell>
          <cell r="O414">
            <v>72.661975409999997</v>
          </cell>
          <cell r="P414">
            <v>72.763672729999996</v>
          </cell>
          <cell r="Q414">
            <v>72.869594410000005</v>
          </cell>
          <cell r="R414">
            <v>72.978184519999999</v>
          </cell>
          <cell r="S414">
            <v>73.086152870000006</v>
          </cell>
          <cell r="T414">
            <v>73.187656309999994</v>
          </cell>
          <cell r="U414">
            <v>73.276476599999995</v>
          </cell>
          <cell r="V414">
            <v>73.352766630000005</v>
          </cell>
          <cell r="W414">
            <v>73.41949323</v>
          </cell>
          <cell r="X414">
            <v>73.480408890000007</v>
          </cell>
          <cell r="Y414">
            <v>73.538915610000004</v>
          </cell>
          <cell r="Z414">
            <v>73.579773939999995</v>
          </cell>
          <cell r="AA414">
            <v>73.624338620000003</v>
          </cell>
          <cell r="AB414">
            <v>73.666999279999999</v>
          </cell>
          <cell r="AC414">
            <v>73.704967659999994</v>
          </cell>
          <cell r="AD414">
            <v>73.736449890000003</v>
          </cell>
          <cell r="AE414">
            <v>73.710283779999997</v>
          </cell>
          <cell r="AF414">
            <v>73.672804099999993</v>
          </cell>
          <cell r="AG414">
            <v>73.623171279999994</v>
          </cell>
          <cell r="AH414">
            <v>73.560238029999994</v>
          </cell>
          <cell r="AI414">
            <v>73.482511669999994</v>
          </cell>
          <cell r="AJ414">
            <v>73.388452169999994</v>
          </cell>
          <cell r="AK414">
            <v>73.276817140000006</v>
          </cell>
          <cell r="AL414">
            <v>73.146869530000004</v>
          </cell>
          <cell r="AM414">
            <v>72.998407549999996</v>
          </cell>
          <cell r="AN414">
            <v>72.831660670000005</v>
          </cell>
          <cell r="AO414">
            <v>72.644983389999993</v>
          </cell>
        </row>
        <row r="415">
          <cell r="F415">
            <v>39.923462319999999</v>
          </cell>
          <cell r="G415">
            <v>40.19817115</v>
          </cell>
          <cell r="H415">
            <v>40.024225890000004</v>
          </cell>
          <cell r="I415">
            <v>39.742481340000005</v>
          </cell>
          <cell r="J415">
            <v>39.47893766</v>
          </cell>
          <cell r="K415">
            <v>39.270503850000004</v>
          </cell>
          <cell r="L415">
            <v>39.106337029999999</v>
          </cell>
          <cell r="M415">
            <v>38.981371600000003</v>
          </cell>
          <cell r="N415">
            <v>38.884485070000004</v>
          </cell>
          <cell r="O415">
            <v>38.804579429999997</v>
          </cell>
          <cell r="P415">
            <v>38.75289068</v>
          </cell>
          <cell r="Q415">
            <v>38.693638010000001</v>
          </cell>
          <cell r="R415">
            <v>38.628818719999998</v>
          </cell>
          <cell r="S415">
            <v>38.558485450000006</v>
          </cell>
          <cell r="T415">
            <v>38.4790937</v>
          </cell>
          <cell r="U415">
            <v>38.385925810000003</v>
          </cell>
          <cell r="V415">
            <v>38.28039261</v>
          </cell>
          <cell r="W415">
            <v>38.166937240000003</v>
          </cell>
          <cell r="X415">
            <v>38.051196359999999</v>
          </cell>
          <cell r="Y415">
            <v>37.938781299999995</v>
          </cell>
          <cell r="Z415">
            <v>37.821454170000003</v>
          </cell>
          <cell r="AA415">
            <v>37.717212850000003</v>
          </cell>
          <cell r="AB415">
            <v>37.621901369999996</v>
          </cell>
          <cell r="AC415">
            <v>37.534301200000002</v>
          </cell>
          <cell r="AD415">
            <v>37.45408638</v>
          </cell>
          <cell r="AE415">
            <v>37.344880270000004</v>
          </cell>
          <cell r="AF415">
            <v>37.243109830000002</v>
          </cell>
          <cell r="AG415">
            <v>37.146659540000002</v>
          </cell>
          <cell r="AH415">
            <v>37.054019500000003</v>
          </cell>
          <cell r="AI415">
            <v>36.96406975</v>
          </cell>
          <cell r="AJ415">
            <v>36.87585275</v>
          </cell>
          <cell r="AK415">
            <v>36.788488130000005</v>
          </cell>
          <cell r="AL415">
            <v>36.701170329999997</v>
          </cell>
          <cell r="AM415">
            <v>36.613215109999999</v>
          </cell>
          <cell r="AN415">
            <v>36.524122159999997</v>
          </cell>
          <cell r="AO415">
            <v>36.431477350000002</v>
          </cell>
        </row>
        <row r="423">
          <cell r="F423">
            <v>34.042000460000004</v>
          </cell>
          <cell r="G423">
            <v>33.633215340000007</v>
          </cell>
          <cell r="H423">
            <v>33.43978508</v>
          </cell>
          <cell r="I423">
            <v>33.374601760000004</v>
          </cell>
          <cell r="J423">
            <v>33.383964120000002</v>
          </cell>
          <cell r="K423">
            <v>33.437387379999997</v>
          </cell>
          <cell r="L423">
            <v>33.515166219999998</v>
          </cell>
          <cell r="M423">
            <v>33.611905890000003</v>
          </cell>
          <cell r="N423">
            <v>33.726100209999998</v>
          </cell>
          <cell r="O423">
            <v>33.85739598</v>
          </cell>
          <cell r="P423">
            <v>34.010782049999996</v>
          </cell>
          <cell r="Q423">
            <v>34.175956390000003</v>
          </cell>
          <cell r="R423">
            <v>34.349365799999994</v>
          </cell>
          <cell r="S423">
            <v>34.52766742</v>
          </cell>
          <cell r="T423">
            <v>34.708562610000001</v>
          </cell>
          <cell r="U423">
            <v>34.8905508</v>
          </cell>
          <cell r="V423">
            <v>35.072374020000005</v>
          </cell>
          <cell r="W423">
            <v>35.252555990000005</v>
          </cell>
          <cell r="X423">
            <v>35.429212530000001</v>
          </cell>
          <cell r="Y423">
            <v>35.600134310000001</v>
          </cell>
          <cell r="Z423">
            <v>35.75831977</v>
          </cell>
          <cell r="AA423">
            <v>35.90712577</v>
          </cell>
          <cell r="AB423">
            <v>36.045097909999996</v>
          </cell>
          <cell r="AC423">
            <v>36.17066646</v>
          </cell>
          <cell r="AD423">
            <v>36.282363509999996</v>
          </cell>
          <cell r="AE423">
            <v>36.36540351</v>
          </cell>
          <cell r="AF423">
            <v>36.429694270000006</v>
          </cell>
          <cell r="AG423">
            <v>36.47651175</v>
          </cell>
          <cell r="AH423">
            <v>36.506218529999998</v>
          </cell>
          <cell r="AI423">
            <v>36.518441920000001</v>
          </cell>
          <cell r="AJ423">
            <v>36.512599409999993</v>
          </cell>
          <cell r="AK423">
            <v>36.488329010000001</v>
          </cell>
          <cell r="AL423">
            <v>36.4456992</v>
          </cell>
          <cell r="AM423">
            <v>36.385192439999997</v>
          </cell>
          <cell r="AN423">
            <v>36.3075385</v>
          </cell>
          <cell r="AO423">
            <v>36.213506049999999</v>
          </cell>
        </row>
        <row r="427">
          <cell r="F427">
            <v>8.5557154489999991</v>
          </cell>
          <cell r="G427">
            <v>8.5697436039999992</v>
          </cell>
          <cell r="H427">
            <v>8.6035637170000001</v>
          </cell>
          <cell r="I427">
            <v>8.6688034399999996</v>
          </cell>
          <cell r="J427">
            <v>8.7584234290000005</v>
          </cell>
          <cell r="K427">
            <v>8.8656370580000008</v>
          </cell>
          <cell r="L427">
            <v>8.9831115639999997</v>
          </cell>
          <cell r="M427">
            <v>9.1071376609999994</v>
          </cell>
          <cell r="N427">
            <v>9.2364491569999991</v>
          </cell>
          <cell r="O427">
            <v>9.3703951629999995</v>
          </cell>
          <cell r="P427">
            <v>9.5119301729999997</v>
          </cell>
          <cell r="Q427">
            <v>9.658599486</v>
          </cell>
          <cell r="R427">
            <v>9.8058008240000003</v>
          </cell>
          <cell r="S427">
            <v>9.9521339340000008</v>
          </cell>
          <cell r="T427">
            <v>10.097063220000001</v>
          </cell>
          <cell r="U427">
            <v>10.24059888</v>
          </cell>
          <cell r="V427">
            <v>10.38324267</v>
          </cell>
          <cell r="W427">
            <v>10.525825660000001</v>
          </cell>
          <cell r="X427">
            <v>10.669286550000001</v>
          </cell>
          <cell r="Y427">
            <v>10.814482959999999</v>
          </cell>
          <cell r="Z427">
            <v>10.958522629999999</v>
          </cell>
          <cell r="AA427">
            <v>11.10481534</v>
          </cell>
          <cell r="AB427">
            <v>11.25584377</v>
          </cell>
          <cell r="AC427">
            <v>11.411629209999999</v>
          </cell>
          <cell r="AD427">
            <v>11.571828549999999</v>
          </cell>
          <cell r="AE427">
            <v>11.724130329999999</v>
          </cell>
          <cell r="AF427">
            <v>11.87580414</v>
          </cell>
          <cell r="AG427">
            <v>12.03007259</v>
          </cell>
          <cell r="AH427">
            <v>12.18770016</v>
          </cell>
          <cell r="AI427">
            <v>12.348846330000001</v>
          </cell>
          <cell r="AJ427">
            <v>12.51333299</v>
          </cell>
          <cell r="AK427">
            <v>12.680754690000001</v>
          </cell>
          <cell r="AL427">
            <v>12.85064532</v>
          </cell>
          <cell r="AM427">
            <v>13.02263286</v>
          </cell>
          <cell r="AN427">
            <v>13.19652331</v>
          </cell>
          <cell r="AO427">
            <v>13.37230003</v>
          </cell>
        </row>
        <row r="439">
          <cell r="F439">
            <v>4.9189742580000004</v>
          </cell>
          <cell r="G439">
            <v>4.8589847209999997</v>
          </cell>
          <cell r="H439">
            <v>4.7850852169999998</v>
          </cell>
          <cell r="I439">
            <v>4.7307539009999999</v>
          </cell>
          <cell r="J439">
            <v>4.7108863840000001</v>
          </cell>
          <cell r="K439">
            <v>4.7296013859999997</v>
          </cell>
          <cell r="L439">
            <v>4.7803670929999997</v>
          </cell>
          <cell r="M439">
            <v>4.8564066610000003</v>
          </cell>
          <cell r="N439">
            <v>4.9466364460000003</v>
          </cell>
          <cell r="O439">
            <v>5.0398699020000004</v>
          </cell>
          <cell r="P439">
            <v>5.1309643060000001</v>
          </cell>
          <cell r="Q439">
            <v>5.2110911509999998</v>
          </cell>
          <cell r="R439">
            <v>5.281324218</v>
          </cell>
          <cell r="S439">
            <v>5.3422904789999999</v>
          </cell>
          <cell r="T439">
            <v>5.3939201389999996</v>
          </cell>
          <cell r="U439">
            <v>5.4357488070000004</v>
          </cell>
          <cell r="V439">
            <v>5.467557813</v>
          </cell>
          <cell r="W439">
            <v>5.4899267299999996</v>
          </cell>
          <cell r="X439">
            <v>5.5044053890000004</v>
          </cell>
          <cell r="Y439">
            <v>5.5132795999999997</v>
          </cell>
          <cell r="Z439">
            <v>5.5165176599999999</v>
          </cell>
          <cell r="AA439">
            <v>5.5199524679999996</v>
          </cell>
          <cell r="AB439">
            <v>5.5241444020000001</v>
          </cell>
          <cell r="AC439">
            <v>5.5304211580000002</v>
          </cell>
          <cell r="AD439">
            <v>5.5398863870000001</v>
          </cell>
          <cell r="AE439">
            <v>5.5450879239999997</v>
          </cell>
          <cell r="AF439">
            <v>5.5536025410000001</v>
          </cell>
          <cell r="AG439">
            <v>5.5625284219999998</v>
          </cell>
          <cell r="AH439">
            <v>5.5710223189999999</v>
          </cell>
          <cell r="AI439">
            <v>5.5794995140000001</v>
          </cell>
          <cell r="AJ439">
            <v>5.5889196060000002</v>
          </cell>
          <cell r="AK439">
            <v>5.6001013740000003</v>
          </cell>
          <cell r="AL439">
            <v>5.6132954399999999</v>
          </cell>
          <cell r="AM439">
            <v>5.628110715</v>
          </cell>
          <cell r="AN439">
            <v>5.643729907</v>
          </cell>
          <cell r="AO439">
            <v>5.6592581859999997</v>
          </cell>
        </row>
        <row r="451">
          <cell r="F451">
            <v>33.6739113</v>
          </cell>
          <cell r="G451">
            <v>34.39201611</v>
          </cell>
          <cell r="H451">
            <v>35.197246300000003</v>
          </cell>
          <cell r="I451">
            <v>35.952677649999998</v>
          </cell>
          <cell r="J451">
            <v>36.674745100000003</v>
          </cell>
          <cell r="K451">
            <v>37.40857424</v>
          </cell>
          <cell r="L451">
            <v>38.064654300000001</v>
          </cell>
          <cell r="M451">
            <v>38.788967849999999</v>
          </cell>
          <cell r="N451">
            <v>39.563006819999998</v>
          </cell>
          <cell r="O451">
            <v>40.354335089999999</v>
          </cell>
          <cell r="P451">
            <v>41.306358209999999</v>
          </cell>
          <cell r="Q451">
            <v>42.033968770000001</v>
          </cell>
          <cell r="R451">
            <v>42.74091576</v>
          </cell>
          <cell r="S451">
            <v>43.43957434</v>
          </cell>
          <cell r="T451">
            <v>44.11675709</v>
          </cell>
          <cell r="U451">
            <v>44.765179590000002</v>
          </cell>
          <cell r="V451">
            <v>45.385537769999999</v>
          </cell>
          <cell r="W451">
            <v>45.9844413</v>
          </cell>
          <cell r="X451">
            <v>46.571949349999997</v>
          </cell>
          <cell r="Y451">
            <v>47.159212240000002</v>
          </cell>
          <cell r="Z451">
            <v>47.633760840000001</v>
          </cell>
          <cell r="AA451">
            <v>48.272481999999997</v>
          </cell>
          <cell r="AB451">
            <v>48.937761430000002</v>
          </cell>
          <cell r="AC451">
            <v>49.615972399999997</v>
          </cell>
          <cell r="AD451">
            <v>50.31462561</v>
          </cell>
          <cell r="AE451">
            <v>50.674687749999997</v>
          </cell>
          <cell r="AF451">
            <v>51.345491670000001</v>
          </cell>
          <cell r="AG451">
            <v>52.071468670000002</v>
          </cell>
          <cell r="AH451">
            <v>52.80323491</v>
          </cell>
          <cell r="AI451">
            <v>53.538509140000002</v>
          </cell>
          <cell r="AJ451">
            <v>54.280366129999997</v>
          </cell>
          <cell r="AK451">
            <v>55.029671989999997</v>
          </cell>
          <cell r="AL451">
            <v>55.784881550000001</v>
          </cell>
          <cell r="AM451">
            <v>56.543232539999998</v>
          </cell>
          <cell r="AN451">
            <v>57.302012939999997</v>
          </cell>
          <cell r="AO451">
            <v>58.059452370000002</v>
          </cell>
        </row>
        <row r="463">
          <cell r="F463">
            <v>29.659150669999999</v>
          </cell>
          <cell r="G463">
            <v>29.581473389999999</v>
          </cell>
          <cell r="H463">
            <v>29.474894160000002</v>
          </cell>
          <cell r="I463">
            <v>29.532746490000001</v>
          </cell>
          <cell r="J463">
            <v>29.821714459999999</v>
          </cell>
          <cell r="K463">
            <v>30.375974249999999</v>
          </cell>
          <cell r="L463">
            <v>31.21191829</v>
          </cell>
          <cell r="M463">
            <v>32.250752630000001</v>
          </cell>
          <cell r="N463">
            <v>33.428987120000002</v>
          </cell>
          <cell r="O463">
            <v>34.670348420000003</v>
          </cell>
          <cell r="P463">
            <v>35.851958920000001</v>
          </cell>
          <cell r="Q463">
            <v>37.090603270000003</v>
          </cell>
          <cell r="R463">
            <v>38.280993469999999</v>
          </cell>
          <cell r="S463">
            <v>39.421341550000001</v>
          </cell>
          <cell r="T463">
            <v>40.50701334</v>
          </cell>
          <cell r="U463">
            <v>41.524599780000003</v>
          </cell>
          <cell r="V463">
            <v>42.460836540000003</v>
          </cell>
          <cell r="W463">
            <v>43.311521290000002</v>
          </cell>
          <cell r="X463">
            <v>44.085668320000003</v>
          </cell>
          <cell r="Y463">
            <v>44.80404721</v>
          </cell>
          <cell r="Z463">
            <v>45.52968722</v>
          </cell>
          <cell r="AA463">
            <v>46.183418850000002</v>
          </cell>
          <cell r="AB463">
            <v>46.859013879999999</v>
          </cell>
          <cell r="AC463">
            <v>47.575363379999999</v>
          </cell>
          <cell r="AD463">
            <v>48.344439629999997</v>
          </cell>
          <cell r="AE463">
            <v>49.253454439999999</v>
          </cell>
          <cell r="AF463">
            <v>50.08598284</v>
          </cell>
          <cell r="AG463">
            <v>50.927251390000002</v>
          </cell>
          <cell r="AH463">
            <v>51.770694470000002</v>
          </cell>
          <cell r="AI463">
            <v>52.616066379999999</v>
          </cell>
          <cell r="AJ463">
            <v>53.472445870000001</v>
          </cell>
          <cell r="AK463">
            <v>54.349644499999997</v>
          </cell>
          <cell r="AL463">
            <v>55.25130806</v>
          </cell>
          <cell r="AM463">
            <v>56.172704170000003</v>
          </cell>
          <cell r="AN463">
            <v>57.102951400000002</v>
          </cell>
          <cell r="AO463">
            <v>58.029780039999999</v>
          </cell>
        </row>
        <row r="1365">
          <cell r="E1365" t="str">
            <v>100*(GDP_2/GDP_0-1)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-3.9946639302979037E-2</v>
          </cell>
          <cell r="M1365">
            <v>-0.42576878597562207</v>
          </cell>
          <cell r="N1365">
            <v>-0.98939576142926811</v>
          </cell>
          <cell r="O1365">
            <v>-1.4988965995153536</v>
          </cell>
          <cell r="P1365">
            <v>-1.7998616974512216</v>
          </cell>
          <cell r="Q1365">
            <v>-1.8853182655582779</v>
          </cell>
          <cell r="R1365">
            <v>-1.7985345336482772</v>
          </cell>
          <cell r="S1365">
            <v>-1.6318687916847874</v>
          </cell>
          <cell r="T1365">
            <v>-1.4693965618049032</v>
          </cell>
          <cell r="U1365">
            <v>-1.3605831873911067</v>
          </cell>
          <cell r="V1365">
            <v>-1.3150222850134674</v>
          </cell>
          <cell r="W1365">
            <v>-1.3135553150616763</v>
          </cell>
          <cell r="X1365">
            <v>-1.3266178693148833</v>
          </cell>
          <cell r="Y1365">
            <v>-1.3300111776241241</v>
          </cell>
          <cell r="Z1365">
            <v>-1.3114034393873042</v>
          </cell>
          <cell r="AA1365">
            <v>-1.2761839095143612</v>
          </cell>
          <cell r="AB1365">
            <v>-1.2342510710682708</v>
          </cell>
          <cell r="AC1365">
            <v>-1.1973022964065771</v>
          </cell>
          <cell r="AD1365">
            <v>-1.1734103974124777</v>
          </cell>
          <cell r="AE1365">
            <v>-1.1631351478532226</v>
          </cell>
          <cell r="AF1365">
            <v>-1.1652489579861647</v>
          </cell>
          <cell r="AG1365">
            <v>-1.1742965775187519</v>
          </cell>
          <cell r="AH1365">
            <v>-1.183819488157356</v>
          </cell>
          <cell r="AI1365">
            <v>-1.1892379172301459</v>
          </cell>
          <cell r="AJ1365">
            <v>-1.1886627408527084</v>
          </cell>
          <cell r="AK1365">
            <v>-1.1825891285797252</v>
          </cell>
          <cell r="AL1365">
            <v>-1.1728227178091188</v>
          </cell>
          <cell r="AM1365">
            <v>-1.1613251198195007</v>
          </cell>
          <cell r="AN1365">
            <v>-1.1494309794292557</v>
          </cell>
          <cell r="AO1365">
            <v>-1.1375487843219179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-6.7823325184945826E-2</v>
          </cell>
          <cell r="M1366">
            <v>-0.52261292511843749</v>
          </cell>
          <cell r="N1366">
            <v>-1.1940140784131303</v>
          </cell>
          <cell r="O1366">
            <v>-1.8179727492346642</v>
          </cell>
          <cell r="P1366">
            <v>-2.2100829820286938</v>
          </cell>
          <cell r="Q1366">
            <v>-2.3532066030131249</v>
          </cell>
          <cell r="R1366">
            <v>-2.2888671715506237</v>
          </cell>
          <cell r="S1366">
            <v>-2.1198582911828856</v>
          </cell>
          <cell r="T1366">
            <v>-1.9432180147322842</v>
          </cell>
          <cell r="U1366">
            <v>-1.8187248222128805</v>
          </cell>
          <cell r="V1366">
            <v>-1.7611259214592723</v>
          </cell>
          <cell r="W1366">
            <v>-1.7514071871400971</v>
          </cell>
          <cell r="X1366">
            <v>-1.7573058358586913</v>
          </cell>
          <cell r="Y1366">
            <v>-1.7515780205913489</v>
          </cell>
          <cell r="Z1366">
            <v>-1.7201618870963387</v>
          </cell>
          <cell r="AA1366">
            <v>-1.6686233257574123</v>
          </cell>
          <cell r="AB1366">
            <v>-1.6090778626521085</v>
          </cell>
          <cell r="AC1366">
            <v>-1.5554640570592526</v>
          </cell>
          <cell r="AD1366">
            <v>-1.5178567489940176</v>
          </cell>
          <cell r="AE1366">
            <v>-1.4980373657113466</v>
          </cell>
          <cell r="AF1366">
            <v>-1.493874701838771</v>
          </cell>
          <cell r="AG1366">
            <v>-1.5001611099822454</v>
          </cell>
          <cell r="AH1366">
            <v>-1.5090459326206118</v>
          </cell>
          <cell r="AI1366">
            <v>-1.5147817697434895</v>
          </cell>
          <cell r="AJ1366">
            <v>-1.514670935078799</v>
          </cell>
          <cell r="AK1366">
            <v>-1.508817742085522</v>
          </cell>
          <cell r="AL1366">
            <v>-1.4989365874959248</v>
          </cell>
          <cell r="AM1366">
            <v>-1.4870341121719144</v>
          </cell>
          <cell r="AN1366">
            <v>-1.4744901592031567</v>
          </cell>
          <cell r="AO1366">
            <v>-1.4616625013770368</v>
          </cell>
        </row>
        <row r="1367">
          <cell r="E1367" t="str">
            <v>100*((CH_2-CH_0)/GDP_0)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-5.1750526854107814E-3</v>
          </cell>
          <cell r="M1367">
            <v>-0.27366526126804164</v>
          </cell>
          <cell r="N1367">
            <v>-0.61527902228321041</v>
          </cell>
          <cell r="O1367">
            <v>-0.84776283782660744</v>
          </cell>
          <cell r="P1367">
            <v>-0.88561530678461631</v>
          </cell>
          <cell r="Q1367">
            <v>-0.76935929172245443</v>
          </cell>
          <cell r="R1367">
            <v>-0.56347318246608824</v>
          </cell>
          <cell r="S1367">
            <v>-0.35263669440976891</v>
          </cell>
          <cell r="T1367">
            <v>-0.19679514467688042</v>
          </cell>
          <cell r="U1367">
            <v>-0.11892576155988815</v>
          </cell>
          <cell r="V1367">
            <v>-0.10966287766474396</v>
          </cell>
          <cell r="W1367">
            <v>-0.14171053305950362</v>
          </cell>
          <cell r="X1367">
            <v>-0.1860205905868085</v>
          </cell>
          <cell r="Y1367">
            <v>-0.22287698028945727</v>
          </cell>
          <cell r="Z1367">
            <v>-0.24404199737510734</v>
          </cell>
          <cell r="AA1367">
            <v>-0.25586315531480974</v>
          </cell>
          <cell r="AB1367">
            <v>-0.26476515592928856</v>
          </cell>
          <cell r="AC1367">
            <v>-0.27756409360358708</v>
          </cell>
          <cell r="AD1367">
            <v>-0.29726572311689237</v>
          </cell>
          <cell r="AE1367">
            <v>-0.32070521991615381</v>
          </cell>
          <cell r="AF1367">
            <v>-0.34690702904661463</v>
          </cell>
          <cell r="AG1367">
            <v>-0.36980980609884739</v>
          </cell>
          <cell r="AH1367">
            <v>-0.38543128617656391</v>
          </cell>
          <cell r="AI1367">
            <v>-0.39203981138393634</v>
          </cell>
          <cell r="AJ1367">
            <v>-0.3902534924098498</v>
          </cell>
          <cell r="AK1367">
            <v>-0.38230076915712247</v>
          </cell>
          <cell r="AL1367">
            <v>-0.37091130930068794</v>
          </cell>
          <cell r="AM1367">
            <v>-0.35839677081075966</v>
          </cell>
          <cell r="AN1367">
            <v>-0.34618669382620104</v>
          </cell>
          <cell r="AO1367">
            <v>-0.33479153676562834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3.117671382905586E-4</v>
          </cell>
          <cell r="M1368">
            <v>-2.533890838137879E-3</v>
          </cell>
          <cell r="N1368">
            <v>-5.0102679811879795E-3</v>
          </cell>
          <cell r="O1368">
            <v>5.2741113530698873E-3</v>
          </cell>
          <cell r="P1368">
            <v>2.6759135401534521E-2</v>
          </cell>
          <cell r="Q1368">
            <v>5.0148381181770167E-2</v>
          </cell>
          <cell r="R1368">
            <v>6.6550686702050679E-2</v>
          </cell>
          <cell r="S1368">
            <v>7.2036518935225016E-2</v>
          </cell>
          <cell r="T1368">
            <v>6.7217092504538209E-2</v>
          </cell>
          <cell r="U1368">
            <v>5.5765307257440132E-2</v>
          </cell>
          <cell r="V1368">
            <v>4.2193133019280786E-2</v>
          </cell>
          <cell r="W1368">
            <v>3.0088526188038027E-2</v>
          </cell>
          <cell r="X1368">
            <v>2.1272315591264482E-2</v>
          </cell>
          <cell r="Y1368">
            <v>1.5851734680785459E-2</v>
          </cell>
          <cell r="Z1368">
            <v>1.2860205229449024E-2</v>
          </cell>
          <cell r="AA1368">
            <v>1.1052897516341432E-2</v>
          </cell>
          <cell r="AB1368">
            <v>9.4619172045792357E-3</v>
          </cell>
          <cell r="AC1368">
            <v>7.7661717289949899E-3</v>
          </cell>
          <cell r="AD1368">
            <v>6.0689199500730505E-3</v>
          </cell>
          <cell r="AE1368">
            <v>4.686245125096104E-3</v>
          </cell>
          <cell r="AF1368">
            <v>3.9451902688849884E-3</v>
          </cell>
          <cell r="AG1368">
            <v>3.940141480280452E-3</v>
          </cell>
          <cell r="AH1368">
            <v>4.6340753167068349E-3</v>
          </cell>
          <cell r="AI1368">
            <v>5.8008233227160172E-3</v>
          </cell>
          <cell r="AJ1368">
            <v>7.1313894178089239E-3</v>
          </cell>
          <cell r="AK1368">
            <v>8.3477474016321589E-3</v>
          </cell>
          <cell r="AL1368">
            <v>9.2760318238918702E-3</v>
          </cell>
          <cell r="AM1368">
            <v>9.8633928454985517E-3</v>
          </cell>
          <cell r="AN1368">
            <v>1.0149401420710058E-2</v>
          </cell>
          <cell r="AO1368">
            <v>1.0218143301050081E-2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</row>
        <row r="1370">
          <cell r="E1370" t="str">
            <v>100*((I_2-I_0)/GDP_0)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8.6208578766350293E-3</v>
          </cell>
          <cell r="M1370">
            <v>-0.10793348647718097</v>
          </cell>
          <cell r="N1370">
            <v>-0.29930220156456838</v>
          </cell>
          <cell r="O1370">
            <v>-0.49004342854834776</v>
          </cell>
          <cell r="P1370">
            <v>-0.62291582386426858</v>
          </cell>
          <cell r="Q1370">
            <v>-0.68218534380313323</v>
          </cell>
          <cell r="R1370">
            <v>-0.67356392197411952</v>
          </cell>
          <cell r="S1370">
            <v>-0.62261552839599177</v>
          </cell>
          <cell r="T1370">
            <v>-0.55889405140278792</v>
          </cell>
          <cell r="U1370">
            <v>-0.50415659971656868</v>
          </cell>
          <cell r="V1370">
            <v>-0.46746013771528122</v>
          </cell>
          <cell r="W1370">
            <v>-0.44681791146331745</v>
          </cell>
          <cell r="X1370">
            <v>-0.43450443877299699</v>
          </cell>
          <cell r="Y1370">
            <v>-0.4225417258790421</v>
          </cell>
          <cell r="Z1370">
            <v>-0.4059654396713997</v>
          </cell>
          <cell r="AA1370">
            <v>-0.38467323621663035</v>
          </cell>
          <cell r="AB1370">
            <v>-0.36175548561235171</v>
          </cell>
          <cell r="AC1370">
            <v>-0.34111882704356039</v>
          </cell>
          <cell r="AD1370">
            <v>-0.32594491943259485</v>
          </cell>
          <cell r="AE1370">
            <v>-0.31739762544081906</v>
          </cell>
          <cell r="AF1370">
            <v>-0.31444089566851935</v>
          </cell>
          <cell r="AG1370">
            <v>-0.31580474703623662</v>
          </cell>
          <cell r="AH1370">
            <v>-0.31897637481085228</v>
          </cell>
          <cell r="AI1370">
            <v>-0.32182414487040462</v>
          </cell>
          <cell r="AJ1370">
            <v>-0.32304660063674723</v>
          </cell>
          <cell r="AK1370">
            <v>-0.32224340263291074</v>
          </cell>
          <cell r="AL1370">
            <v>-0.31965772836625944</v>
          </cell>
          <cell r="AM1370">
            <v>-0.31579490678653782</v>
          </cell>
          <cell r="AN1370">
            <v>-0.31110244632652506</v>
          </cell>
          <cell r="AO1370">
            <v>-0.30578977290206688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</row>
        <row r="1372">
          <cell r="E1372" t="str">
            <v>100*((X_2-X_0)/GDP_0)-100*((M_2-M_0)/GDP_0)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-4.3392473675725719E-2</v>
          </cell>
          <cell r="M1372">
            <v>-4.4170021794509157E-2</v>
          </cell>
          <cell r="N1372">
            <v>-7.4814578088366945E-2</v>
          </cell>
          <cell r="O1372">
            <v>-0.1610903091840426</v>
          </cell>
          <cell r="P1372">
            <v>-0.29133055894171572</v>
          </cell>
          <cell r="Q1372">
            <v>-0.43377359906478929</v>
          </cell>
          <cell r="R1372">
            <v>-0.56149744064287188</v>
          </cell>
          <cell r="S1372">
            <v>-0.65661655011072229</v>
          </cell>
          <cell r="T1372">
            <v>-0.71370738790913035</v>
          </cell>
          <cell r="U1372">
            <v>-0.73750081154560554</v>
          </cell>
          <cell r="V1372">
            <v>-0.73789927680954226</v>
          </cell>
          <cell r="W1372">
            <v>-0.7250268705388685</v>
          </cell>
          <cell r="X1372">
            <v>-0.7060928678020979</v>
          </cell>
          <cell r="Y1372">
            <v>-0.68459247831107695</v>
          </cell>
          <cell r="Z1372">
            <v>-0.66139600909630103</v>
          </cell>
          <cell r="AA1372">
            <v>-0.63564753461243362</v>
          </cell>
          <cell r="AB1372">
            <v>-0.60773041315358145</v>
          </cell>
          <cell r="AC1372">
            <v>-0.57861937898330074</v>
          </cell>
          <cell r="AD1372">
            <v>-0.55019976755839728</v>
          </cell>
          <cell r="AE1372">
            <v>-0.52503229623102743</v>
          </cell>
          <cell r="AF1372">
            <v>-0.5039010147485441</v>
          </cell>
          <cell r="AG1372">
            <v>-0.4886820091684817</v>
          </cell>
          <cell r="AH1372">
            <v>-0.47941183916850638</v>
          </cell>
          <cell r="AI1372">
            <v>-0.47537393436511333</v>
          </cell>
          <cell r="AJ1372">
            <v>-0.47536265946389678</v>
          </cell>
          <cell r="AK1372">
            <v>-0.47804494529809594</v>
          </cell>
          <cell r="AL1372">
            <v>-0.4822536943031368</v>
          </cell>
          <cell r="AM1372">
            <v>-0.48713347572992927</v>
          </cell>
          <cell r="AN1372">
            <v>-0.49214184202969991</v>
          </cell>
          <cell r="AO1372">
            <v>-0.49696747465421437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-5.5367986147551737E-3</v>
          </cell>
          <cell r="M1373">
            <v>-0.27362301157872443</v>
          </cell>
          <cell r="N1373">
            <v>-0.61280350226942915</v>
          </cell>
          <cell r="O1373">
            <v>-0.84305582206665419</v>
          </cell>
          <cell r="P1373">
            <v>-0.88037145292191155</v>
          </cell>
          <cell r="Q1373">
            <v>-0.76576828479614756</v>
          </cell>
          <cell r="R1373">
            <v>-0.56276073305203256</v>
          </cell>
          <cell r="S1373">
            <v>-0.35496929436467944</v>
          </cell>
          <cell r="T1373">
            <v>-0.20130823691696018</v>
          </cell>
          <cell r="U1373">
            <v>-0.12411242936692743</v>
          </cell>
          <cell r="V1373">
            <v>-0.11394421484762728</v>
          </cell>
          <cell r="W1373">
            <v>-0.14388173515031497</v>
          </cell>
          <cell r="X1373">
            <v>-0.18550055447590685</v>
          </cell>
          <cell r="Y1373">
            <v>-0.21969971812078234</v>
          </cell>
          <cell r="Z1373">
            <v>-0.23859013148692085</v>
          </cell>
          <cell r="AA1373">
            <v>-0.24900946672189897</v>
          </cell>
          <cell r="AB1373">
            <v>-0.25709761553476929</v>
          </cell>
          <cell r="AC1373">
            <v>-0.26969782824751448</v>
          </cell>
          <cell r="AD1373">
            <v>-0.28969391373278891</v>
          </cell>
          <cell r="AE1373">
            <v>-0.3136942808858697</v>
          </cell>
          <cell r="AF1373">
            <v>-0.34072905607055409</v>
          </cell>
          <cell r="AG1373">
            <v>-0.36461609064382833</v>
          </cell>
          <cell r="AH1373">
            <v>-0.3812628671343542</v>
          </cell>
          <cell r="AI1373">
            <v>-0.38887729779421015</v>
          </cell>
          <cell r="AJ1373">
            <v>-0.38803311713943156</v>
          </cell>
          <cell r="AK1373">
            <v>-0.38091453130295461</v>
          </cell>
          <cell r="AL1373">
            <v>-0.37020393209195657</v>
          </cell>
          <cell r="AM1373">
            <v>-0.35817887226582201</v>
          </cell>
          <cell r="AN1373">
            <v>-0.3462577426211183</v>
          </cell>
          <cell r="AO1373">
            <v>-0.33496454788333158</v>
          </cell>
        </row>
        <row r="1374">
          <cell r="E1374" t="str">
            <v>100*((I_2+CH_ccon_2-(I_0+CH_ccon_0))/GDP_0)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8.9826038059769957E-3</v>
          </cell>
          <cell r="M1374">
            <v>-0.10797573616650778</v>
          </cell>
          <cell r="N1374">
            <v>-0.30177772157834021</v>
          </cell>
          <cell r="O1374">
            <v>-0.49475044430830567</v>
          </cell>
          <cell r="P1374">
            <v>-0.62815967772697334</v>
          </cell>
          <cell r="Q1374">
            <v>-0.68577635072943566</v>
          </cell>
          <cell r="R1374">
            <v>-0.67427637138817964</v>
          </cell>
          <cell r="S1374">
            <v>-0.62028292844108124</v>
          </cell>
          <cell r="T1374">
            <v>-0.55438095916271246</v>
          </cell>
          <cell r="U1374">
            <v>-0.49896993190952932</v>
          </cell>
          <cell r="V1374">
            <v>-0.46317880053239796</v>
          </cell>
          <cell r="W1374">
            <v>-0.44464670937251016</v>
          </cell>
          <cell r="X1374">
            <v>-0.43502447488389451</v>
          </cell>
          <cell r="Y1374">
            <v>-0.42571898804772107</v>
          </cell>
          <cell r="Z1374">
            <v>-0.41141730555957834</v>
          </cell>
          <cell r="AA1374">
            <v>-0.39152692480954493</v>
          </cell>
          <cell r="AB1374">
            <v>-0.36942302600686727</v>
          </cell>
          <cell r="AC1374">
            <v>-0.34898509239963671</v>
          </cell>
          <cell r="AD1374">
            <v>-0.33351672881669825</v>
          </cell>
          <cell r="AE1374">
            <v>-0.32440856447110683</v>
          </cell>
          <cell r="AF1374">
            <v>-0.32061886864457989</v>
          </cell>
          <cell r="AG1374">
            <v>-0.32099846249125219</v>
          </cell>
          <cell r="AH1374">
            <v>-0.32314479385306893</v>
          </cell>
          <cell r="AI1374">
            <v>-0.3249866584601343</v>
          </cell>
          <cell r="AJ1374">
            <v>-0.32526697590716541</v>
          </cell>
          <cell r="AK1374">
            <v>-0.32362964048707527</v>
          </cell>
          <cell r="AL1374">
            <v>-0.32036510557499082</v>
          </cell>
          <cell r="AM1374">
            <v>-0.31601280533147225</v>
          </cell>
          <cell r="AN1374">
            <v>-0.31103139753160775</v>
          </cell>
          <cell r="AO1374">
            <v>-0.30561676178436686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9.0651304259273674E-3</v>
          </cell>
          <cell r="M1375">
            <v>-8.3971851073708775E-2</v>
          </cell>
          <cell r="N1375">
            <v>-0.24260456241193737</v>
          </cell>
          <cell r="O1375">
            <v>-0.40521535592119096</v>
          </cell>
          <cell r="P1375">
            <v>-0.52294003708413195</v>
          </cell>
          <cell r="Q1375">
            <v>-0.58085052426087325</v>
          </cell>
          <cell r="R1375">
            <v>-0.582204785709732</v>
          </cell>
          <cell r="S1375">
            <v>-0.54721033628627724</v>
          </cell>
          <cell r="T1375">
            <v>-0.49998936374865316</v>
          </cell>
          <cell r="U1375">
            <v>-0.45874272534283406</v>
          </cell>
          <cell r="V1375">
            <v>-0.43143701495222803</v>
          </cell>
          <cell r="W1375">
            <v>-0.41686851049065593</v>
          </cell>
          <cell r="X1375">
            <v>-0.40887973407322359</v>
          </cell>
          <cell r="Y1375">
            <v>-0.40089216768994884</v>
          </cell>
          <cell r="Z1375">
            <v>-0.38872551620061963</v>
          </cell>
          <cell r="AA1375">
            <v>-0.37209482849249348</v>
          </cell>
          <cell r="AB1375">
            <v>-0.35355532380585281</v>
          </cell>
          <cell r="AC1375">
            <v>-0.33638538331250883</v>
          </cell>
          <cell r="AD1375">
            <v>-0.32334673811070352</v>
          </cell>
          <cell r="AE1375">
            <v>-0.31566055724265918</v>
          </cell>
          <cell r="AF1375">
            <v>-0.31243310101220889</v>
          </cell>
          <cell r="AG1375">
            <v>-0.31285571916300048</v>
          </cell>
          <cell r="AH1375">
            <v>-0.31490479656279974</v>
          </cell>
          <cell r="AI1375">
            <v>-0.31682072443764486</v>
          </cell>
          <cell r="AJ1375">
            <v>-0.31749527556826501</v>
          </cell>
          <cell r="AK1375">
            <v>-0.31655312567837252</v>
          </cell>
          <cell r="AL1375">
            <v>-0.31415551730661634</v>
          </cell>
          <cell r="AM1375">
            <v>-0.31069325970742773</v>
          </cell>
          <cell r="AN1375">
            <v>-0.30652241276390729</v>
          </cell>
          <cell r="AO1375">
            <v>-0.30180835066390449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3.6174592934166223E-4</v>
          </cell>
          <cell r="M1376">
            <v>-4.2249689324431481E-5</v>
          </cell>
          <cell r="N1376">
            <v>-2.4755200137730362E-3</v>
          </cell>
          <cell r="O1376">
            <v>-4.7070157599561511E-3</v>
          </cell>
          <cell r="P1376">
            <v>-5.2438538627036574E-3</v>
          </cell>
          <cell r="Q1376">
            <v>-3.5910069263020952E-3</v>
          </cell>
          <cell r="R1376">
            <v>-7.1244941405783932E-4</v>
          </cell>
          <cell r="S1376">
            <v>2.3325999549110802E-3</v>
          </cell>
          <cell r="T1376">
            <v>4.51309224007654E-3</v>
          </cell>
          <cell r="U1376">
            <v>5.1866678070390144E-3</v>
          </cell>
          <cell r="V1376">
            <v>4.2813371828812168E-3</v>
          </cell>
          <cell r="W1376">
            <v>2.1712020908077586E-3</v>
          </cell>
          <cell r="X1376">
            <v>-5.2003611089986414E-4</v>
          </cell>
          <cell r="Y1376">
            <v>-3.1772621686784225E-3</v>
          </cell>
          <cell r="Z1376">
            <v>-5.4518658881813195E-3</v>
          </cell>
          <cell r="AA1376">
            <v>-6.8536885929145986E-3</v>
          </cell>
          <cell r="AB1376">
            <v>-7.6675403945159898E-3</v>
          </cell>
          <cell r="AC1376">
            <v>-7.8662653560737615E-3</v>
          </cell>
          <cell r="AD1376">
            <v>-7.5718093841057399E-3</v>
          </cell>
          <cell r="AE1376">
            <v>-7.0109390302848301E-3</v>
          </cell>
          <cell r="AF1376">
            <v>-6.17797297606056E-3</v>
          </cell>
          <cell r="AG1376">
            <v>-5.1937154550172832E-3</v>
          </cell>
          <cell r="AH1376">
            <v>-4.1684190422136315E-3</v>
          </cell>
          <cell r="AI1376">
            <v>-3.162513589729036E-3</v>
          </cell>
          <cell r="AJ1376">
            <v>-2.2203752704173705E-3</v>
          </cell>
          <cell r="AK1376">
            <v>-1.3862378541638549E-3</v>
          </cell>
          <cell r="AL1376">
            <v>-7.0737720872975866E-4</v>
          </cell>
          <cell r="AM1376">
            <v>-2.1789854493558603E-4</v>
          </cell>
          <cell r="AN1376">
            <v>7.1048794917675766E-5</v>
          </cell>
          <cell r="AO1376">
            <v>1.7301111770064246E-4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-4.4427254929355151E-4</v>
          </cell>
          <cell r="M1377">
            <v>-2.3961635403471005E-2</v>
          </cell>
          <cell r="N1377">
            <v>-5.6697639152631568E-2</v>
          </cell>
          <cell r="O1377">
            <v>-8.4828072627156803E-2</v>
          </cell>
          <cell r="P1377">
            <v>-9.9975786780136702E-2</v>
          </cell>
          <cell r="Q1377">
            <v>-0.10133481954226116</v>
          </cell>
          <cell r="R1377">
            <v>-9.1359136264388713E-2</v>
          </cell>
          <cell r="S1377">
            <v>-7.5405192109714511E-2</v>
          </cell>
          <cell r="T1377">
            <v>-5.8904687654134737E-2</v>
          </cell>
          <cell r="U1377">
            <v>-4.5413874373735036E-2</v>
          </cell>
          <cell r="V1377">
            <v>-3.6023122763053667E-2</v>
          </cell>
          <cell r="W1377">
            <v>-2.9949400972660956E-2</v>
          </cell>
          <cell r="X1377">
            <v>-2.5624704699771874E-2</v>
          </cell>
          <cell r="Y1377">
            <v>-2.1649558189090302E-2</v>
          </cell>
          <cell r="Z1377">
            <v>-1.7239923470781106E-2</v>
          </cell>
          <cell r="AA1377">
            <v>-1.257840772413785E-2</v>
          </cell>
          <cell r="AB1377">
            <v>-8.2001618064974965E-3</v>
          </cell>
          <cell r="AC1377">
            <v>-4.7334437310501392E-3</v>
          </cell>
          <cell r="AD1377">
            <v>-2.5981813218885533E-3</v>
          </cell>
          <cell r="AE1377">
            <v>-1.7370681981598171E-3</v>
          </cell>
          <cell r="AF1377">
            <v>-2.0077946563113788E-3</v>
          </cell>
          <cell r="AG1377">
            <v>-2.9490278732362024E-3</v>
          </cell>
          <cell r="AH1377">
            <v>-4.0715782480520643E-3</v>
          </cell>
          <cell r="AI1377">
            <v>-5.0034204327598026E-3</v>
          </cell>
          <cell r="AJ1377">
            <v>-5.5513250684825939E-3</v>
          </cell>
          <cell r="AK1377">
            <v>-5.6902769545382585E-3</v>
          </cell>
          <cell r="AL1377">
            <v>-5.5022110596422884E-3</v>
          </cell>
          <cell r="AM1377">
            <v>-5.1016470791101194E-3</v>
          </cell>
          <cell r="AN1377">
            <v>-4.5800335626193381E-3</v>
          </cell>
          <cell r="AO1377">
            <v>-3.9814222381632019E-3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-9.467887378145079E-3</v>
          </cell>
          <cell r="M1378">
            <v>-0.50230543045932663</v>
          </cell>
          <cell r="N1378">
            <v>-1.1324272483624109</v>
          </cell>
          <cell r="O1378">
            <v>-1.5635415315608525</v>
          </cell>
          <cell r="P1378">
            <v>-1.6364881580093749</v>
          </cell>
          <cell r="Q1378">
            <v>-1.4224700547849634</v>
          </cell>
          <cell r="R1378">
            <v>-1.0420978386083024</v>
          </cell>
          <cell r="S1378">
            <v>-0.65221521161475948</v>
          </cell>
          <cell r="T1378">
            <v>-0.36393364511450033</v>
          </cell>
          <cell r="U1378">
            <v>-0.21986051724509625</v>
          </cell>
          <cell r="V1378">
            <v>-0.20263912965222675</v>
          </cell>
          <cell r="W1378">
            <v>-0.26170361399880937</v>
          </cell>
          <cell r="X1378">
            <v>-0.34331842525493483</v>
          </cell>
          <cell r="Y1378">
            <v>-0.41110279985522302</v>
          </cell>
          <cell r="Z1378">
            <v>-0.44986047200187285</v>
          </cell>
          <cell r="AA1378">
            <v>-0.471598707234544</v>
          </cell>
          <cell r="AB1378">
            <v>-0.48796712214950189</v>
          </cell>
          <cell r="AC1378">
            <v>-0.51159841205987711</v>
          </cell>
          <cell r="AD1378">
            <v>-0.54805519529343982</v>
          </cell>
          <cell r="AE1378">
            <v>-0.59148727613663743</v>
          </cell>
          <cell r="AF1378">
            <v>-0.64009874658088606</v>
          </cell>
          <cell r="AG1378">
            <v>-0.68274064691238312</v>
          </cell>
          <cell r="AH1378">
            <v>-0.71206867914311855</v>
          </cell>
          <cell r="AI1378">
            <v>-0.72485434765923173</v>
          </cell>
          <cell r="AJ1378">
            <v>-0.72220160006305489</v>
          </cell>
          <cell r="AK1378">
            <v>-0.70818493191407983</v>
          </cell>
          <cell r="AL1378">
            <v>-0.68780682624186573</v>
          </cell>
          <cell r="AM1378">
            <v>-0.66530719556806561</v>
          </cell>
          <cell r="AN1378">
            <v>-0.64330908246456042</v>
          </cell>
          <cell r="AO1378">
            <v>-0.62274818731073989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9.2971696081134425E-3</v>
          </cell>
          <cell r="M1379">
            <v>-7.593393380299629E-2</v>
          </cell>
          <cell r="N1379">
            <v>-0.15094004755897839</v>
          </cell>
          <cell r="O1379">
            <v>0.15964785268418602</v>
          </cell>
          <cell r="P1379">
            <v>0.81339880694286659</v>
          </cell>
          <cell r="Q1379">
            <v>1.5303829310532757</v>
          </cell>
          <cell r="R1379">
            <v>2.0405481423824146</v>
          </cell>
          <cell r="S1379">
            <v>2.2201377451014803</v>
          </cell>
          <cell r="T1379">
            <v>2.0828330419108587</v>
          </cell>
          <cell r="U1379">
            <v>1.737691464900526</v>
          </cell>
          <cell r="V1379">
            <v>1.3224885412243204</v>
          </cell>
          <cell r="W1379">
            <v>0.94898940255061515</v>
          </cell>
          <cell r="X1379">
            <v>0.67550178668782657</v>
          </cell>
          <cell r="Y1379">
            <v>0.50714799357503004</v>
          </cell>
          <cell r="Z1379">
            <v>0.41482891227861973</v>
          </cell>
          <cell r="AA1379">
            <v>0.35979318314840469</v>
          </cell>
          <cell r="AB1379">
            <v>0.31090062015357578</v>
          </cell>
          <cell r="AC1379">
            <v>0.2576806651185759</v>
          </cell>
          <cell r="AD1379">
            <v>0.20341614332775038</v>
          </cell>
          <cell r="AE1379">
            <v>0.15870421953885216</v>
          </cell>
          <cell r="AF1379">
            <v>0.13517243387888289</v>
          </cell>
          <cell r="AG1379">
            <v>0.13648163262420798</v>
          </cell>
          <cell r="AH1379">
            <v>0.16223997477815555</v>
          </cell>
          <cell r="AI1379">
            <v>0.20527698082526413</v>
          </cell>
          <cell r="AJ1379">
            <v>0.25513188167232137</v>
          </cell>
          <cell r="AK1379">
            <v>0.30198369360583399</v>
          </cell>
          <cell r="AL1379">
            <v>0.3393507415683672</v>
          </cell>
          <cell r="AM1379">
            <v>0.364917101899076</v>
          </cell>
          <cell r="AN1379">
            <v>0.37972991241177478</v>
          </cell>
          <cell r="AO1379">
            <v>0.38659646000644976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3.976244657004635E-2</v>
          </cell>
          <cell r="M1381">
            <v>-0.49727377954971175</v>
          </cell>
          <cell r="N1381">
            <v>-1.3786135845588188</v>
          </cell>
          <cell r="O1381">
            <v>-2.2577352878365375</v>
          </cell>
          <cell r="P1381">
            <v>-2.8747405279054394</v>
          </cell>
          <cell r="Q1381">
            <v>-3.1476733649406285</v>
          </cell>
          <cell r="R1381">
            <v>-3.1077139264142351</v>
          </cell>
          <cell r="S1381">
            <v>-2.8727645129341339</v>
          </cell>
          <cell r="T1381">
            <v>-2.5790504787864821</v>
          </cell>
          <cell r="U1381">
            <v>-2.3267531531105945</v>
          </cell>
          <cell r="V1381">
            <v>-2.1574886641991475</v>
          </cell>
          <cell r="W1381">
            <v>-2.0619494720614306</v>
          </cell>
          <cell r="X1381">
            <v>-2.0043749850944814</v>
          </cell>
          <cell r="Y1381">
            <v>-1.947916310337483</v>
          </cell>
          <cell r="Z1381">
            <v>-1.8681907183234259</v>
          </cell>
          <cell r="AA1381">
            <v>-1.7687737216919519</v>
          </cell>
          <cell r="AB1381">
            <v>-1.6615474310396783</v>
          </cell>
          <cell r="AC1381">
            <v>-1.5645655042223039</v>
          </cell>
          <cell r="AD1381">
            <v>-1.4925722802947461</v>
          </cell>
          <cell r="AE1381">
            <v>-1.4474325931629561</v>
          </cell>
          <cell r="AF1381">
            <v>-1.4317597197150644</v>
          </cell>
          <cell r="AG1381">
            <v>-1.4356790165362732</v>
          </cell>
          <cell r="AH1381">
            <v>-1.4476683339396668</v>
          </cell>
          <cell r="AI1381">
            <v>-1.4580535651411375</v>
          </cell>
          <cell r="AJ1381">
            <v>-1.4610232544047252</v>
          </cell>
          <cell r="AK1381">
            <v>-1.4548960304144321</v>
          </cell>
          <cell r="AL1381">
            <v>-1.4408894054042332</v>
          </cell>
          <cell r="AM1381">
            <v>-1.4213538989459984</v>
          </cell>
          <cell r="AN1381">
            <v>-1.3983223927005684</v>
          </cell>
          <cell r="AO1381">
            <v>-1.3727176432449584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5.0124950597818518E-2</v>
          </cell>
          <cell r="M1382">
            <v>-0.46379515200208887</v>
          </cell>
          <cell r="N1382">
            <v>-1.339528599076234</v>
          </cell>
          <cell r="O1382">
            <v>-2.2376904507743878</v>
          </cell>
          <cell r="P1382">
            <v>-2.8924369029350139</v>
          </cell>
          <cell r="Q1382">
            <v>-3.2117780792778383</v>
          </cell>
          <cell r="R1382">
            <v>-3.2186740639258415</v>
          </cell>
          <cell r="S1382">
            <v>-3.0249825985414924</v>
          </cell>
          <cell r="T1382">
            <v>-2.7640318679723053</v>
          </cell>
          <cell r="U1382">
            <v>-2.5362373716064091</v>
          </cell>
          <cell r="V1382">
            <v>-2.3854161048306621</v>
          </cell>
          <cell r="W1382">
            <v>-2.3047191378770426</v>
          </cell>
          <cell r="X1382">
            <v>-2.2599468411388934</v>
          </cell>
          <cell r="Y1382">
            <v>-2.2146499880161707</v>
          </cell>
          <cell r="Z1382">
            <v>-2.1439358525890295</v>
          </cell>
          <cell r="AA1382">
            <v>-2.050892392581094</v>
          </cell>
          <cell r="AB1382">
            <v>-1.946876424162336</v>
          </cell>
          <cell r="AC1382">
            <v>-1.8500376831679155</v>
          </cell>
          <cell r="AD1382">
            <v>-1.7757510010304567</v>
          </cell>
          <cell r="AE1382">
            <v>-1.7265869666222011</v>
          </cell>
          <cell r="AF1382">
            <v>-1.7065189958933358</v>
          </cell>
          <cell r="AG1382">
            <v>-1.7063047742663207</v>
          </cell>
          <cell r="AH1382">
            <v>-1.7148085289143689</v>
          </cell>
          <cell r="AI1382">
            <v>-1.722441430486954</v>
          </cell>
          <cell r="AJ1382">
            <v>-1.7232610365216838</v>
          </cell>
          <cell r="AK1382">
            <v>-1.7153664587954753</v>
          </cell>
          <cell r="AL1382">
            <v>-1.6997638729205455</v>
          </cell>
          <cell r="AM1382">
            <v>-1.6786525855379764</v>
          </cell>
          <cell r="AN1382">
            <v>-1.6539815159850813</v>
          </cell>
          <cell r="AO1382">
            <v>-1.6266242933053121</v>
          </cell>
        </row>
        <row r="1383">
          <cell r="E1383" t="str">
            <v>100*(X_2/X_0-1)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-8.7203000050828372E-3</v>
          </cell>
          <cell r="M1383">
            <v>-0.22321800825515492</v>
          </cell>
          <cell r="N1383">
            <v>-0.63669911603090323</v>
          </cell>
          <cell r="O1383">
            <v>-1.1535343302859213</v>
          </cell>
          <cell r="P1383">
            <v>-1.6583750023344113</v>
          </cell>
          <cell r="Q1383">
            <v>-2.0725110727646823</v>
          </cell>
          <cell r="R1383">
            <v>-2.3623113843304622</v>
          </cell>
          <cell r="S1383">
            <v>-2.534689106279997</v>
          </cell>
          <cell r="T1383">
            <v>-2.6201054906920485</v>
          </cell>
          <cell r="U1383">
            <v>-2.6537146957152702</v>
          </cell>
          <cell r="V1383">
            <v>-2.6618867241916089</v>
          </cell>
          <cell r="W1383">
            <v>-2.6571162017474781</v>
          </cell>
          <cell r="X1383">
            <v>-2.6404011462683341</v>
          </cell>
          <cell r="Y1383">
            <v>-2.6074499302815468</v>
          </cell>
          <cell r="Z1383">
            <v>-2.5542951713172446</v>
          </cell>
          <cell r="AA1383">
            <v>-2.4825912415070261</v>
          </cell>
          <cell r="AB1383">
            <v>-2.3985621830318271</v>
          </cell>
          <cell r="AC1383">
            <v>-2.3112776814778191</v>
          </cell>
          <cell r="AD1383">
            <v>-2.2299578973148493</v>
          </cell>
          <cell r="AE1383">
            <v>-2.1609393405498389</v>
          </cell>
          <cell r="AF1383">
            <v>-2.1081263827797403</v>
          </cell>
          <cell r="AG1383">
            <v>-2.0719120500123034</v>
          </cell>
          <cell r="AH1383">
            <v>-2.0500462353079452</v>
          </cell>
          <cell r="AI1383">
            <v>-2.0390165125447113</v>
          </cell>
          <cell r="AJ1383">
            <v>-2.0352856978734679</v>
          </cell>
          <cell r="AK1383">
            <v>-2.0360444129336019</v>
          </cell>
          <cell r="AL1383">
            <v>-2.0394011194645567</v>
          </cell>
          <cell r="AM1383">
            <v>-2.0441748900737133</v>
          </cell>
          <cell r="AN1383">
            <v>-2.0495428476203004</v>
          </cell>
          <cell r="AO1383">
            <v>-2.0547396560270048</v>
          </cell>
        </row>
        <row r="1384">
          <cell r="E1384" t="str">
            <v>100*(M_2/M_0-1)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0.13250496170567061</v>
          </cell>
          <cell r="M1384">
            <v>-7.6797803246064777E-2</v>
          </cell>
          <cell r="N1384">
            <v>-0.3882983519106098</v>
          </cell>
          <cell r="O1384">
            <v>-0.62443419926738741</v>
          </cell>
          <cell r="P1384">
            <v>-0.70908144888218727</v>
          </cell>
          <cell r="Q1384">
            <v>-0.66196791065860072</v>
          </cell>
          <cell r="R1384">
            <v>-0.53784663970557478</v>
          </cell>
          <cell r="S1384">
            <v>-0.40146089396408957</v>
          </cell>
          <cell r="T1384">
            <v>-0.30083466486285904</v>
          </cell>
          <cell r="U1384">
            <v>-0.2557245579827172</v>
          </cell>
          <cell r="V1384">
            <v>-0.26032095671993938</v>
          </cell>
          <cell r="W1384">
            <v>-0.2943077367156266</v>
          </cell>
          <cell r="X1384">
            <v>-0.33548424946096</v>
          </cell>
          <cell r="Y1384">
            <v>-0.36854896401616877</v>
          </cell>
          <cell r="Z1384">
            <v>-0.3863618468317731</v>
          </cell>
          <cell r="AA1384">
            <v>-0.39550556986117646</v>
          </cell>
          <cell r="AB1384">
            <v>-0.39984523805451921</v>
          </cell>
          <cell r="AC1384">
            <v>-0.40533808752448719</v>
          </cell>
          <cell r="AD1384">
            <v>-0.41504062817042664</v>
          </cell>
          <cell r="AE1384">
            <v>-0.4258001259993982</v>
          </cell>
          <cell r="AF1384">
            <v>-0.44039371964870178</v>
          </cell>
          <cell r="AG1384">
            <v>-0.45284151535259776</v>
          </cell>
          <cell r="AH1384">
            <v>-0.46042551665302911</v>
          </cell>
          <cell r="AI1384">
            <v>-0.46189534647393948</v>
          </cell>
          <cell r="AJ1384">
            <v>-0.45766440429969579</v>
          </cell>
          <cell r="AK1384">
            <v>-0.44928847838663355</v>
          </cell>
          <cell r="AL1384">
            <v>-0.43866004137705916</v>
          </cell>
          <cell r="AM1384">
            <v>-0.42732660066454597</v>
          </cell>
          <cell r="AN1384">
            <v>-0.41615701367142544</v>
          </cell>
          <cell r="AO1384">
            <v>-0.40533644970751626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-1.0556838622999276E-2</v>
          </cell>
          <cell r="M1385">
            <v>-0.52190894000726518</v>
          </cell>
          <cell r="N1385">
            <v>-1.170323004281737</v>
          </cell>
          <cell r="O1385">
            <v>-1.6119834757292506</v>
          </cell>
          <cell r="P1385">
            <v>-1.6970944511180641</v>
          </cell>
          <cell r="Q1385">
            <v>-1.4701496722320018</v>
          </cell>
          <cell r="R1385">
            <v>-1.0784826205488374</v>
          </cell>
          <cell r="S1385">
            <v>-0.67964137716799433</v>
          </cell>
          <cell r="T1385">
            <v>-0.38518344735184451</v>
          </cell>
          <cell r="U1385">
            <v>-0.23732438914614296</v>
          </cell>
          <cell r="V1385">
            <v>-0.21772183747291729</v>
          </cell>
          <cell r="W1385">
            <v>-0.27470024104493396</v>
          </cell>
          <cell r="X1385">
            <v>-0.35385587046922184</v>
          </cell>
          <cell r="Y1385">
            <v>-0.41874991605657108</v>
          </cell>
          <cell r="Z1385">
            <v>-0.45250336514380818</v>
          </cell>
          <cell r="AA1385">
            <v>-0.47321177701813433</v>
          </cell>
          <cell r="AB1385">
            <v>-0.48894551685972898</v>
          </cell>
          <cell r="AC1385">
            <v>-0.51304139435380813</v>
          </cell>
          <cell r="AD1385">
            <v>-0.5511567593580069</v>
          </cell>
          <cell r="AE1385">
            <v>-0.59037555474811265</v>
          </cell>
          <cell r="AF1385">
            <v>-0.64261169422340503</v>
          </cell>
          <cell r="AG1385">
            <v>-0.68860775179421241</v>
          </cell>
          <cell r="AH1385">
            <v>-0.72078633835679362</v>
          </cell>
          <cell r="AI1385">
            <v>-0.7358382760527582</v>
          </cell>
          <cell r="AJ1385">
            <v>-0.73488478167000881</v>
          </cell>
          <cell r="AK1385">
            <v>-0.72205929831048454</v>
          </cell>
          <cell r="AL1385">
            <v>-0.70241768800640703</v>
          </cell>
          <cell r="AM1385">
            <v>-0.68024590873012603</v>
          </cell>
          <cell r="AN1385">
            <v>-0.65821067545218659</v>
          </cell>
          <cell r="AO1385">
            <v>-0.63729536867370706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3.7596073308865385E-2</v>
          </cell>
          <cell r="M1386">
            <v>-0.45445213816718288</v>
          </cell>
          <cell r="N1386">
            <v>-1.2743330560329613</v>
          </cell>
          <cell r="O1386">
            <v>-2.0940503523631526</v>
          </cell>
          <cell r="P1386">
            <v>-2.6271628468877095</v>
          </cell>
          <cell r="Q1386">
            <v>-2.8971089349425938</v>
          </cell>
          <cell r="R1386">
            <v>-2.8614449436107359</v>
          </cell>
          <cell r="S1386">
            <v>-2.638191846509963</v>
          </cell>
          <cell r="T1386">
            <v>-2.360872015424853</v>
          </cell>
          <cell r="U1386">
            <v>-2.126648034273515</v>
          </cell>
          <cell r="V1386">
            <v>-1.9752246836798215</v>
          </cell>
          <cell r="W1386">
            <v>-1.8968595009491551</v>
          </cell>
          <cell r="X1386">
            <v>-1.8560427403548907</v>
          </cell>
          <cell r="Y1386">
            <v>-1.8161463613746265</v>
          </cell>
          <cell r="Z1386">
            <v>-1.7693790222045647</v>
          </cell>
          <cell r="AA1386">
            <v>-1.6745306351494516</v>
          </cell>
          <cell r="AB1386">
            <v>-1.5754348708079902</v>
          </cell>
          <cell r="AC1386">
            <v>-1.4857611370732382</v>
          </cell>
          <cell r="AD1386">
            <v>-1.4182044180434894</v>
          </cell>
          <cell r="AE1386">
            <v>-1.4096289076403923</v>
          </cell>
          <cell r="AF1386">
            <v>-1.3858506541286175</v>
          </cell>
          <cell r="AG1386">
            <v>-1.3828613428420677</v>
          </cell>
          <cell r="AH1386">
            <v>-1.3888676193146265</v>
          </cell>
          <cell r="AI1386">
            <v>-1.3942362502866956</v>
          </cell>
          <cell r="AJ1386">
            <v>-1.393261336977214</v>
          </cell>
          <cell r="AK1386">
            <v>-1.384324323366759</v>
          </cell>
          <cell r="AL1386">
            <v>-1.3686619281165657</v>
          </cell>
          <cell r="AM1386">
            <v>-1.3485837681623924</v>
          </cell>
          <cell r="AN1386">
            <v>-1.3260330156040112</v>
          </cell>
          <cell r="AO1386">
            <v>-1.3018129853762384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1.6357529578625574E-2</v>
          </cell>
          <cell r="M1387">
            <v>-2.0564493697916575E-3</v>
          </cell>
          <cell r="N1387">
            <v>-0.12560660618472497</v>
          </cell>
          <cell r="O1387">
            <v>-0.24497910196946693</v>
          </cell>
          <cell r="P1387">
            <v>-0.23393363684764967</v>
          </cell>
          <cell r="Q1387">
            <v>-0.1796965149519103</v>
          </cell>
          <cell r="R1387">
            <v>-3.7690633818832087E-2</v>
          </cell>
          <cell r="S1387">
            <v>0.12686658538347828</v>
          </cell>
          <cell r="T1387">
            <v>0.249134757102909</v>
          </cell>
          <cell r="U1387">
            <v>0.28896289171502776</v>
          </cell>
          <cell r="V1387">
            <v>0.2401792251740531</v>
          </cell>
          <cell r="W1387">
            <v>0.12256144060958096</v>
          </cell>
          <cell r="X1387">
            <v>-2.953949975806891E-2</v>
          </cell>
          <cell r="Y1387">
            <v>-0.18168234620195012</v>
          </cell>
          <cell r="Z1387">
            <v>-0.35828255418350885</v>
          </cell>
          <cell r="AA1387">
            <v>-0.41962853941285294</v>
          </cell>
          <cell r="AB1387">
            <v>-0.45728518770249416</v>
          </cell>
          <cell r="AC1387">
            <v>-0.46660330757598567</v>
          </cell>
          <cell r="AD1387">
            <v>-0.45096264916268947</v>
          </cell>
          <cell r="AE1387">
            <v>-0.64590859587090321</v>
          </cell>
          <cell r="AF1387">
            <v>-0.52653811574966403</v>
          </cell>
          <cell r="AG1387">
            <v>-0.4272070407271511</v>
          </cell>
          <cell r="AH1387">
            <v>-0.33807693224612301</v>
          </cell>
          <cell r="AI1387">
            <v>-0.25563503381714758</v>
          </cell>
          <cell r="AJ1387">
            <v>-0.17982484681915434</v>
          </cell>
          <cell r="AK1387">
            <v>-0.11276913993915061</v>
          </cell>
          <cell r="AL1387">
            <v>-5.7866724406074876E-2</v>
          </cell>
          <cell r="AM1387">
            <v>-1.7933383767410049E-2</v>
          </cell>
          <cell r="AN1387">
            <v>5.883872394774059E-3</v>
          </cell>
          <cell r="AO1387">
            <v>1.4417482897544076E-2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-1.2355188241353066E-2</v>
          </cell>
          <cell r="M1388">
            <v>-0.66566239991647791</v>
          </cell>
          <cell r="N1388">
            <v>-1.575290095619053</v>
          </cell>
          <cell r="O1388">
            <v>-2.3586640398013725</v>
          </cell>
          <cell r="P1388">
            <v>-2.7855958163750305</v>
          </cell>
          <cell r="Q1388">
            <v>-2.8245292818469325</v>
          </cell>
          <cell r="R1388">
            <v>-2.5479502473669702</v>
          </cell>
          <cell r="S1388">
            <v>-2.1043255921090687</v>
          </cell>
          <cell r="T1388">
            <v>-1.6447373469112514</v>
          </cell>
          <cell r="U1388">
            <v>-1.2684429430117716</v>
          </cell>
          <cell r="V1388">
            <v>-1.0061151932974521</v>
          </cell>
          <cell r="W1388">
            <v>-0.83609033818934364</v>
          </cell>
          <cell r="X1388">
            <v>-0.71470526748984575</v>
          </cell>
          <cell r="Y1388">
            <v>-0.60302555803277702</v>
          </cell>
          <cell r="Z1388">
            <v>-0.47901851380879323</v>
          </cell>
          <cell r="AA1388">
            <v>-0.34892052844136545</v>
          </cell>
          <cell r="AB1388">
            <v>-0.22702102037333027</v>
          </cell>
          <cell r="AC1388">
            <v>-0.13075233461501412</v>
          </cell>
          <cell r="AD1388">
            <v>-7.1599216556650358E-2</v>
          </cell>
          <cell r="AE1388">
            <v>-4.7643449030831952E-2</v>
          </cell>
          <cell r="AF1388">
            <v>-5.4953314962702393E-2</v>
          </cell>
          <cell r="AG1388">
            <v>-8.0539033628057588E-2</v>
          </cell>
          <cell r="AH1388">
            <v>-0.11094351412239689</v>
          </cell>
          <cell r="AI1388">
            <v>-0.13601888424127351</v>
          </cell>
          <cell r="AJ1388">
            <v>-0.15056946528525517</v>
          </cell>
          <cell r="AK1388">
            <v>-0.15400226885752266</v>
          </cell>
          <cell r="AL1388">
            <v>-0.14861009789788326</v>
          </cell>
          <cell r="AM1388">
            <v>-0.13753281675563667</v>
          </cell>
          <cell r="AN1388">
            <v>-0.12325613228167942</v>
          </cell>
          <cell r="AO1388">
            <v>-0.10697120279855588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2.6587555351764713E-2</v>
          </cell>
          <cell r="M1389">
            <v>0.43002620682561776</v>
          </cell>
          <cell r="N1389">
            <v>1.1102410908149229</v>
          </cell>
          <cell r="O1389">
            <v>1.9296188245413681</v>
          </cell>
          <cell r="P1389">
            <v>2.709801319381766</v>
          </cell>
          <cell r="Q1389">
            <v>3.3275159288209233</v>
          </cell>
          <cell r="R1389">
            <v>3.7216343776609762</v>
          </cell>
          <cell r="S1389">
            <v>3.9055747862663415</v>
          </cell>
          <cell r="T1389">
            <v>3.9347818976437132</v>
          </cell>
          <cell r="U1389">
            <v>3.8730304028314011</v>
          </cell>
          <cell r="V1389">
            <v>3.768775667783042</v>
          </cell>
          <cell r="W1389">
            <v>3.6470904264037207</v>
          </cell>
          <cell r="X1389">
            <v>3.5139405228088227</v>
          </cell>
          <cell r="Y1389">
            <v>3.3661055755036973</v>
          </cell>
          <cell r="Z1389">
            <v>3.1991662851985847</v>
          </cell>
          <cell r="AA1389">
            <v>3.0191862639663336</v>
          </cell>
          <cell r="AB1389">
            <v>2.835806290360221</v>
          </cell>
          <cell r="AC1389">
            <v>2.6628126650931172</v>
          </cell>
          <cell r="AD1389">
            <v>2.5130578488670841</v>
          </cell>
          <cell r="AE1389">
            <v>2.3930367748806969</v>
          </cell>
          <cell r="AF1389">
            <v>2.3079756258942208</v>
          </cell>
          <cell r="AG1389">
            <v>2.2552339790991249</v>
          </cell>
          <cell r="AH1389">
            <v>2.2289719162939869</v>
          </cell>
          <cell r="AI1389">
            <v>2.221735973005301</v>
          </cell>
          <cell r="AJ1389">
            <v>2.2264769805538709</v>
          </cell>
          <cell r="AK1389">
            <v>2.2377430988213654</v>
          </cell>
          <cell r="AL1389">
            <v>2.2519163646728346</v>
          </cell>
          <cell r="AM1389">
            <v>2.2667985973298332</v>
          </cell>
          <cell r="AN1389">
            <v>2.2809707030979176</v>
          </cell>
          <cell r="AO1389">
            <v>2.2932449071610295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-1.4087971008858169E-2</v>
          </cell>
          <cell r="M1390">
            <v>-0.74061294817657775</v>
          </cell>
          <cell r="N1390">
            <v>-1.3999979275790331</v>
          </cell>
          <cell r="O1390">
            <v>-1.7025706564214982</v>
          </cell>
          <cell r="P1390">
            <v>-1.5983251310022872</v>
          </cell>
          <cell r="Q1390">
            <v>-1.2589285806175798</v>
          </cell>
          <cell r="R1390">
            <v>-0.84243980907132698</v>
          </cell>
          <cell r="S1390">
            <v>-0.49714480663929361</v>
          </cell>
          <cell r="T1390">
            <v>-0.29650796690656733</v>
          </cell>
          <cell r="U1390">
            <v>-0.24052570009229779</v>
          </cell>
          <cell r="V1390">
            <v>-0.28264042887653495</v>
          </cell>
          <cell r="W1390">
            <v>-0.36292349956332792</v>
          </cell>
          <cell r="X1390">
            <v>-0.43481977059300903</v>
          </cell>
          <cell r="Y1390">
            <v>-0.47734725808468159</v>
          </cell>
          <cell r="Z1390">
            <v>-0.4900387045690513</v>
          </cell>
          <cell r="AA1390">
            <v>-0.49573726252254424</v>
          </cell>
          <cell r="AB1390">
            <v>-0.50697367200309706</v>
          </cell>
          <cell r="AC1390">
            <v>-0.53317987491514618</v>
          </cell>
          <cell r="AD1390">
            <v>-0.57475650902385489</v>
          </cell>
          <cell r="AE1390">
            <v>-0.62111365685788567</v>
          </cell>
          <cell r="AF1390">
            <v>-0.66882371603860236</v>
          </cell>
          <cell r="AG1390">
            <v>-0.70679630678291971</v>
          </cell>
          <cell r="AH1390">
            <v>-0.72914956632974537</v>
          </cell>
          <cell r="AI1390">
            <v>-0.73502925555568588</v>
          </cell>
          <cell r="AJ1390">
            <v>-0.72751427231469989</v>
          </cell>
          <cell r="AK1390">
            <v>-0.71157580116374408</v>
          </cell>
          <cell r="AL1390">
            <v>-0.69196759125429441</v>
          </cell>
          <cell r="AM1390">
            <v>-0.67193393691429293</v>
          </cell>
          <cell r="AN1390">
            <v>-0.65291471871136153</v>
          </cell>
          <cell r="AO1390">
            <v>-0.63491596070903711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-9.5765466791863929E-2</v>
          </cell>
          <cell r="M1391">
            <v>0.32847138421090438</v>
          </cell>
          <cell r="N1391">
            <v>1.1877618130193612</v>
          </cell>
          <cell r="O1391">
            <v>2.2874832832330827</v>
          </cell>
          <cell r="P1391">
            <v>3.3655526131909475</v>
          </cell>
          <cell r="Q1391">
            <v>4.2368088904494066</v>
          </cell>
          <cell r="R1391">
            <v>4.8067893685011747</v>
          </cell>
          <cell r="S1391">
            <v>5.0903790102118869</v>
          </cell>
          <cell r="T1391">
            <v>5.166023533695407</v>
          </cell>
          <cell r="U1391">
            <v>5.1258337489852206</v>
          </cell>
          <cell r="V1391">
            <v>5.0393870816219044</v>
          </cell>
          <cell r="W1391">
            <v>4.940327378688969</v>
          </cell>
          <cell r="X1391">
            <v>4.8321879288900753</v>
          </cell>
          <cell r="Y1391">
            <v>4.7037575753944409</v>
          </cell>
          <cell r="Z1391">
            <v>4.5427896127375185</v>
          </cell>
          <cell r="AA1391">
            <v>4.3516922659266211</v>
          </cell>
          <cell r="AB1391">
            <v>4.1417642685282363</v>
          </cell>
          <cell r="AC1391">
            <v>3.932098753097979</v>
          </cell>
          <cell r="AD1391">
            <v>3.7421249271272439</v>
          </cell>
          <cell r="AE1391">
            <v>3.5842390278560066</v>
          </cell>
          <cell r="AF1391">
            <v>3.4661163101143311</v>
          </cell>
          <cell r="AG1391">
            <v>3.3864276499884105</v>
          </cell>
          <cell r="AH1391">
            <v>3.3386273707359249</v>
          </cell>
          <cell r="AI1391">
            <v>3.3135757922682973</v>
          </cell>
          <cell r="AJ1391">
            <v>3.3025280759229503</v>
          </cell>
          <cell r="AK1391">
            <v>3.2989255411515428</v>
          </cell>
          <cell r="AL1391">
            <v>3.2987695061753697</v>
          </cell>
          <cell r="AM1391">
            <v>3.2999920555419338</v>
          </cell>
          <cell r="AN1391">
            <v>3.3014621373334774</v>
          </cell>
          <cell r="AO1391">
            <v>3.3021341349155242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-0.13644099315248681</v>
          </cell>
          <cell r="M1392">
            <v>-0.84216777079129113</v>
          </cell>
          <cell r="N1392">
            <v>-1.3224772053745948</v>
          </cell>
          <cell r="O1392">
            <v>-1.3447061977297836</v>
          </cell>
          <cell r="P1392">
            <v>-0.94257383719310583</v>
          </cell>
          <cell r="Q1392">
            <v>-0.34963561898909656</v>
          </cell>
          <cell r="R1392">
            <v>0.24271518176887152</v>
          </cell>
          <cell r="S1392">
            <v>0.6876594173062518</v>
          </cell>
          <cell r="T1392">
            <v>0.93473366914512646</v>
          </cell>
          <cell r="U1392">
            <v>1.0122776460615217</v>
          </cell>
          <cell r="V1392">
            <v>0.98797098496232749</v>
          </cell>
          <cell r="W1392">
            <v>0.93031345272192034</v>
          </cell>
          <cell r="X1392">
            <v>0.88342763548824355</v>
          </cell>
          <cell r="Y1392">
            <v>0.86030474180606209</v>
          </cell>
          <cell r="Z1392">
            <v>0.85358462296988247</v>
          </cell>
          <cell r="AA1392">
            <v>0.83676873943774321</v>
          </cell>
          <cell r="AB1392">
            <v>0.79898430616491822</v>
          </cell>
          <cell r="AC1392">
            <v>0.73610621308971558</v>
          </cell>
          <cell r="AD1392">
            <v>0.65431056923630493</v>
          </cell>
          <cell r="AE1392">
            <v>0.57008859611742402</v>
          </cell>
          <cell r="AF1392">
            <v>0.48931696818150794</v>
          </cell>
          <cell r="AG1392">
            <v>0.42439736410636586</v>
          </cell>
          <cell r="AH1392">
            <v>0.38050588811219255</v>
          </cell>
          <cell r="AI1392">
            <v>0.35681056370731046</v>
          </cell>
          <cell r="AJ1392">
            <v>0.3485368230543795</v>
          </cell>
          <cell r="AK1392">
            <v>0.34960664116643336</v>
          </cell>
          <cell r="AL1392">
            <v>0.35488555024824064</v>
          </cell>
          <cell r="AM1392">
            <v>0.36125952129780758</v>
          </cell>
          <cell r="AN1392">
            <v>0.36757671552419824</v>
          </cell>
          <cell r="AO1392">
            <v>0.37397326704545764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-1.4087971008858169E-2</v>
          </cell>
          <cell r="M1394">
            <v>-0.74061294817657775</v>
          </cell>
          <cell r="N1394">
            <v>-1.3999979275790331</v>
          </cell>
          <cell r="O1394">
            <v>-1.7025706564214982</v>
          </cell>
          <cell r="P1394">
            <v>-1.5983251310022872</v>
          </cell>
          <cell r="Q1394">
            <v>-1.2589285806175798</v>
          </cell>
          <cell r="R1394">
            <v>-0.84243980907132698</v>
          </cell>
          <cell r="S1394">
            <v>-0.49714480663929361</v>
          </cell>
          <cell r="T1394">
            <v>-0.29650796690656733</v>
          </cell>
          <cell r="U1394">
            <v>-0.24052570009229779</v>
          </cell>
          <cell r="V1394">
            <v>-0.28264042887653495</v>
          </cell>
          <cell r="W1394">
            <v>-0.36292349956332792</v>
          </cell>
          <cell r="X1394">
            <v>-0.43481977059300903</v>
          </cell>
          <cell r="Y1394">
            <v>-0.47734725808468159</v>
          </cell>
          <cell r="Z1394">
            <v>-0.4900387045690513</v>
          </cell>
          <cell r="AA1394">
            <v>-0.49573726252254424</v>
          </cell>
          <cell r="AB1394">
            <v>-0.50697367200309706</v>
          </cell>
          <cell r="AC1394">
            <v>-0.53317987491514618</v>
          </cell>
          <cell r="AD1394">
            <v>-0.57475650902385489</v>
          </cell>
          <cell r="AE1394">
            <v>-0.62111365685788567</v>
          </cell>
          <cell r="AF1394">
            <v>-0.66882371603860236</v>
          </cell>
          <cell r="AG1394">
            <v>-0.70679630678291971</v>
          </cell>
          <cell r="AH1394">
            <v>-0.72914956632974537</v>
          </cell>
          <cell r="AI1394">
            <v>-0.73502925555568588</v>
          </cell>
          <cell r="AJ1394">
            <v>-0.72751427231469989</v>
          </cell>
          <cell r="AK1394">
            <v>-0.71157580116374408</v>
          </cell>
          <cell r="AL1394">
            <v>-0.69196759125429441</v>
          </cell>
          <cell r="AM1394">
            <v>-0.67193393691429293</v>
          </cell>
          <cell r="AN1394">
            <v>-0.65291471871136153</v>
          </cell>
          <cell r="AO1394">
            <v>-0.63491596070903711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4.5901561802574875E-2</v>
          </cell>
          <cell r="M1395">
            <v>1.0273288502268496</v>
          </cell>
          <cell r="N1395">
            <v>2.3009897506278687</v>
          </cell>
          <cell r="O1395">
            <v>3.399184925090748</v>
          </cell>
          <cell r="P1395">
            <v>4.0629532027629311</v>
          </cell>
          <cell r="Q1395">
            <v>4.3140253857085753</v>
          </cell>
          <cell r="R1395">
            <v>4.2586339028900966</v>
          </cell>
          <cell r="S1395">
            <v>4.0621595489155338</v>
          </cell>
          <cell r="T1395">
            <v>3.8607238556498169</v>
          </cell>
          <cell r="U1395">
            <v>3.7229472297681587</v>
          </cell>
          <cell r="V1395">
            <v>3.6511367495406288</v>
          </cell>
          <cell r="W1395">
            <v>3.6074270232677064</v>
          </cell>
          <cell r="X1395">
            <v>3.5469449721266422</v>
          </cell>
          <cell r="Y1395">
            <v>3.441951077490546</v>
          </cell>
          <cell r="Z1395">
            <v>3.28764250126099</v>
          </cell>
          <cell r="AA1395">
            <v>3.1085843487985043</v>
          </cell>
          <cell r="AB1395">
            <v>2.9320480632386792</v>
          </cell>
          <cell r="AC1395">
            <v>2.782676702318998</v>
          </cell>
          <cell r="AD1395">
            <v>2.6748574184937146</v>
          </cell>
          <cell r="AE1395">
            <v>2.6076210042399461</v>
          </cell>
          <cell r="AF1395">
            <v>2.5768052059993662</v>
          </cell>
          <cell r="AG1395">
            <v>2.5707220523674579</v>
          </cell>
          <cell r="AH1395">
            <v>2.5767326119910061</v>
          </cell>
          <cell r="AI1395">
            <v>2.5856325032585614</v>
          </cell>
          <cell r="AJ1395">
            <v>2.5928397782160051</v>
          </cell>
          <cell r="AK1395">
            <v>2.5975743444391686</v>
          </cell>
          <cell r="AL1395">
            <v>2.6009229371816822</v>
          </cell>
          <cell r="AM1395">
            <v>2.6040011576478728</v>
          </cell>
          <cell r="AN1395">
            <v>2.6068973712316534</v>
          </cell>
          <cell r="AO1395">
            <v>2.6084603262672035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3.7544912679088327E-2</v>
          </cell>
          <cell r="M1396">
            <v>0.91745271313592447</v>
          </cell>
          <cell r="N1396">
            <v>2.0537496242751807</v>
          </cell>
          <cell r="O1396">
            <v>3.0564303946344795</v>
          </cell>
          <cell r="P1396">
            <v>3.6989659303895417</v>
          </cell>
          <cell r="Q1396">
            <v>3.9755437519647607</v>
          </cell>
          <cell r="R1396">
            <v>3.9761257146053941</v>
          </cell>
          <cell r="S1396">
            <v>3.8380474400820486</v>
          </cell>
          <cell r="T1396">
            <v>3.6789214675670756</v>
          </cell>
          <cell r="U1396">
            <v>3.5622014296965432</v>
          </cell>
          <cell r="V1396">
            <v>3.4956952162001231</v>
          </cell>
          <cell r="W1396">
            <v>3.451823862017589</v>
          </cell>
          <cell r="X1396">
            <v>3.3949015616822509</v>
          </cell>
          <cell r="Y1396">
            <v>3.301918190660369</v>
          </cell>
          <cell r="Z1396">
            <v>3.1683950317877629</v>
          </cell>
          <cell r="AA1396">
            <v>3.0146074300317682</v>
          </cell>
          <cell r="AB1396">
            <v>2.8633634888893367</v>
          </cell>
          <cell r="AC1396">
            <v>2.7359938707966824</v>
          </cell>
          <cell r="AD1396">
            <v>2.6453600334548133</v>
          </cell>
          <cell r="AE1396">
            <v>2.5908557280960531</v>
          </cell>
          <cell r="AF1396">
            <v>2.5702685341233877</v>
          </cell>
          <cell r="AG1396">
            <v>2.5728197799575137</v>
          </cell>
          <cell r="AH1396">
            <v>2.5873681653612701</v>
          </cell>
          <cell r="AI1396">
            <v>2.6054269624287585</v>
          </cell>
          <cell r="AJ1396">
            <v>2.6223323850434577</v>
          </cell>
          <cell r="AK1396">
            <v>2.6367180761734055</v>
          </cell>
          <cell r="AL1396">
            <v>2.6490000311716111</v>
          </cell>
          <cell r="AM1396">
            <v>2.6598543136546748</v>
          </cell>
          <cell r="AN1396">
            <v>2.6692881267358137</v>
          </cell>
          <cell r="AO1396">
            <v>2.6764073980729552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6.0491065956735923E-3</v>
          </cell>
          <cell r="M1397">
            <v>0.37746719728968259</v>
          </cell>
          <cell r="N1397">
            <v>0.67108425073205691</v>
          </cell>
          <cell r="O1397">
            <v>0.86946934850664626</v>
          </cell>
          <cell r="P1397">
            <v>0.98574416245140739</v>
          </cell>
          <cell r="Q1397">
            <v>1.043196159859372</v>
          </cell>
          <cell r="R1397">
            <v>1.0692555044164553</v>
          </cell>
          <cell r="S1397">
            <v>1.0822309093135418</v>
          </cell>
          <cell r="T1397">
            <v>1.092500388239892</v>
          </cell>
          <cell r="U1397">
            <v>1.1036126299964533</v>
          </cell>
          <cell r="V1397">
            <v>1.1146527816083385</v>
          </cell>
          <cell r="W1397">
            <v>1.1227834712978391</v>
          </cell>
          <cell r="X1397">
            <v>1.1252446794336235</v>
          </cell>
          <cell r="Y1397">
            <v>1.120446070690484</v>
          </cell>
          <cell r="Z1397">
            <v>1.1077146647546776</v>
          </cell>
          <cell r="AA1397">
            <v>1.0893551883959018</v>
          </cell>
          <cell r="AB1397">
            <v>1.0655519377410938</v>
          </cell>
          <cell r="AC1397">
            <v>1.0384001052166525</v>
          </cell>
          <cell r="AD1397">
            <v>1.0097443064461364</v>
          </cell>
          <cell r="AE1397">
            <v>0.9802769910790099</v>
          </cell>
          <cell r="AF1397">
            <v>0.95335550541588709</v>
          </cell>
          <cell r="AG1397">
            <v>0.92831459321833787</v>
          </cell>
          <cell r="AH1397">
            <v>0.90614199566894094</v>
          </cell>
          <cell r="AI1397">
            <v>0.88730165136279293</v>
          </cell>
          <cell r="AJ1397">
            <v>0.87186885772383427</v>
          </cell>
          <cell r="AK1397">
            <v>0.85957140725010373</v>
          </cell>
          <cell r="AL1397">
            <v>0.84986587728312912</v>
          </cell>
          <cell r="AM1397">
            <v>0.84205224066105089</v>
          </cell>
          <cell r="AN1397">
            <v>0.83539983526834671</v>
          </cell>
          <cell r="AO1397">
            <v>0.82925616352740317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-5.3969062045433613E-2</v>
          </cell>
          <cell r="M1398">
            <v>-7.4384148108863624E-2</v>
          </cell>
          <cell r="N1398">
            <v>0.20633629731461323</v>
          </cell>
          <cell r="O1398">
            <v>0.82284023828373964</v>
          </cell>
          <cell r="P1398">
            <v>1.6473899994854824</v>
          </cell>
          <cell r="Q1398">
            <v>2.4890196068254822</v>
          </cell>
          <cell r="R1398">
            <v>3.2001060824573546</v>
          </cell>
          <cell r="S1398">
            <v>3.6991050109384194</v>
          </cell>
          <cell r="T1398">
            <v>3.9787176514496148</v>
          </cell>
          <cell r="U1398">
            <v>4.0833126211763826</v>
          </cell>
          <cell r="V1398">
            <v>4.0758389173354725</v>
          </cell>
          <cell r="W1398">
            <v>4.0105360031892578</v>
          </cell>
          <cell r="X1398">
            <v>3.9194678508511771</v>
          </cell>
          <cell r="Y1398">
            <v>3.8130202850545913</v>
          </cell>
          <cell r="Z1398">
            <v>3.6888428098039272</v>
          </cell>
          <cell r="AA1398">
            <v>3.5412447677706904</v>
          </cell>
          <cell r="AB1398">
            <v>3.3724302997800271</v>
          </cell>
          <cell r="AC1398">
            <v>3.1909165659200323</v>
          </cell>
          <cell r="AD1398">
            <v>3.0100519335992004</v>
          </cell>
          <cell r="AE1398">
            <v>2.8439407337542466</v>
          </cell>
          <cell r="AF1398">
            <v>2.7023461518956404</v>
          </cell>
          <cell r="AG1398">
            <v>2.5919363952200625</v>
          </cell>
          <cell r="AH1398">
            <v>2.5133393779701141</v>
          </cell>
          <cell r="AI1398">
            <v>2.4625097916986416</v>
          </cell>
          <cell r="AJ1398">
            <v>2.4330056868718364</v>
          </cell>
          <cell r="AK1398">
            <v>2.418157560919898</v>
          </cell>
          <cell r="AL1398">
            <v>2.4125136088473331</v>
          </cell>
          <cell r="AM1398">
            <v>2.412323022335694</v>
          </cell>
          <cell r="AN1398">
            <v>2.4152704125702806</v>
          </cell>
          <cell r="AO1398">
            <v>2.4198774532768752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-9.4606106874106644E-2</v>
          </cell>
          <cell r="M1399">
            <v>-1.2306172161308249</v>
          </cell>
          <cell r="N1399">
            <v>-2.2474854640285646</v>
          </cell>
          <cell r="O1399">
            <v>-2.7108847711793338</v>
          </cell>
          <cell r="P1399">
            <v>-2.5508429126700816</v>
          </cell>
          <cell r="Q1399">
            <v>-2.0054462243658699</v>
          </cell>
          <cell r="R1399">
            <v>-1.3044328225382151</v>
          </cell>
          <cell r="S1399">
            <v>-0.67394277152053039</v>
          </cell>
          <cell r="T1399">
            <v>-0.24231899406491619</v>
          </cell>
          <cell r="U1399">
            <v>-2.9048553213772976E-2</v>
          </cell>
          <cell r="V1399">
            <v>2.3471877262326579E-2</v>
          </cell>
          <cell r="W1399">
            <v>5.0194899752220579E-4</v>
          </cell>
          <cell r="X1399">
            <v>-2.8179693983820808E-2</v>
          </cell>
          <cell r="Y1399">
            <v>-2.9306179353028039E-2</v>
          </cell>
          <cell r="Z1399">
            <v>-3.4929379942871819E-4</v>
          </cell>
          <cell r="AA1399">
            <v>2.5427484641959985E-2</v>
          </cell>
          <cell r="AB1399">
            <v>2.8691251994117373E-2</v>
          </cell>
          <cell r="AC1399">
            <v>-4.9187705484343702E-3</v>
          </cell>
          <cell r="AD1399">
            <v>-7.5433187497586651E-2</v>
          </cell>
          <cell r="AE1399">
            <v>-0.16522943427770276</v>
          </cell>
          <cell r="AF1399">
            <v>-0.2665194410693128</v>
          </cell>
          <cell r="AG1399">
            <v>-0.35944696276325461</v>
          </cell>
          <cell r="AH1399">
            <v>-0.43200293308448545</v>
          </cell>
          <cell r="AI1399">
            <v>-0.4800611555395351</v>
          </cell>
          <cell r="AJ1399">
            <v>-0.50603726932463289</v>
          </cell>
          <cell r="AK1399">
            <v>-0.51594449068792514</v>
          </cell>
          <cell r="AL1399">
            <v>-0.51617476110312754</v>
          </cell>
          <cell r="AM1399">
            <v>-0.51138138089403817</v>
          </cell>
          <cell r="AN1399">
            <v>-0.50383312270179115</v>
          </cell>
          <cell r="AO1399">
            <v>-0.49382346901707397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-5.3969708460666066E-2</v>
          </cell>
          <cell r="M1400">
            <v>-7.440090718113801E-2</v>
          </cell>
          <cell r="N1400">
            <v>0.20629433456729185</v>
          </cell>
          <cell r="O1400">
            <v>0.82277621753963359</v>
          </cell>
          <cell r="P1400">
            <v>1.647315586298248</v>
          </cell>
          <cell r="Q1400">
            <v>2.4889472190585904</v>
          </cell>
          <cell r="R1400">
            <v>3.2000444383802895</v>
          </cell>
          <cell r="S1400">
            <v>3.6990574349733407</v>
          </cell>
          <cell r="T1400">
            <v>3.9786829591308415</v>
          </cell>
          <cell r="U1400">
            <v>4.0832874818415688</v>
          </cell>
          <cell r="V1400">
            <v>4.0758200774013487</v>
          </cell>
          <cell r="W1400">
            <v>4.0105215843500019</v>
          </cell>
          <cell r="X1400">
            <v>3.9194575111750174</v>
          </cell>
          <cell r="Y1400">
            <v>3.8130146191883929</v>
          </cell>
          <cell r="Z1400">
            <v>3.6888425845419626</v>
          </cell>
          <cell r="AA1400">
            <v>3.5412500948435177</v>
          </cell>
          <cell r="AB1400">
            <v>3.3724405995903206</v>
          </cell>
          <cell r="AC1400">
            <v>3.1909305271170529</v>
          </cell>
          <cell r="AD1400">
            <v>3.0100680679500336</v>
          </cell>
          <cell r="AE1400">
            <v>2.8439577010824779</v>
          </cell>
          <cell r="AF1400">
            <v>2.702362886371934</v>
          </cell>
          <cell r="AG1400">
            <v>2.5919523166976655</v>
          </cell>
          <cell r="AH1400">
            <v>2.5133541311314955</v>
          </cell>
          <cell r="AI1400">
            <v>2.4625235396066758</v>
          </cell>
          <cell r="AJ1400">
            <v>2.4330184677875843</v>
          </cell>
          <cell r="AK1400">
            <v>2.4181696300661137</v>
          </cell>
          <cell r="AL1400">
            <v>2.4125249639459501</v>
          </cell>
          <cell r="AM1400">
            <v>2.4123337598742856</v>
          </cell>
          <cell r="AN1400">
            <v>2.4152804472041156</v>
          </cell>
          <cell r="AO1400">
            <v>2.4198869312983762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-0.10170976681393995</v>
          </cell>
          <cell r="M1401">
            <v>-1.1949007672741319</v>
          </cell>
          <cell r="N1401">
            <v>-2.308119276771059</v>
          </cell>
          <cell r="O1401">
            <v>-2.9071272937620241</v>
          </cell>
          <cell r="P1401">
            <v>-2.858021205363015</v>
          </cell>
          <cell r="Q1401">
            <v>-2.3707562674696314</v>
          </cell>
          <cell r="R1401">
            <v>-1.683531909467717</v>
          </cell>
          <cell r="S1401">
            <v>-1.0383824320366442</v>
          </cell>
          <cell r="T1401">
            <v>-0.58322423717016569</v>
          </cell>
          <cell r="U1401">
            <v>-0.35091784776651869</v>
          </cell>
          <cell r="V1401">
            <v>-0.28732709520746802</v>
          </cell>
          <cell r="W1401">
            <v>-0.30306261053049122</v>
          </cell>
          <cell r="X1401">
            <v>-0.32160104939741307</v>
          </cell>
          <cell r="Y1401">
            <v>-0.30470212123552276</v>
          </cell>
          <cell r="Z1401">
            <v>-0.24923190581759291</v>
          </cell>
          <cell r="AA1401">
            <v>-0.18951310304380353</v>
          </cell>
          <cell r="AB1401">
            <v>-0.15220803835455099</v>
          </cell>
          <cell r="AC1401">
            <v>-0.156209540804364</v>
          </cell>
          <cell r="AD1401">
            <v>-0.20496053522123248</v>
          </cell>
          <cell r="AE1401">
            <v>-0.28263490155902016</v>
          </cell>
          <cell r="AF1401">
            <v>-0.37877208448438004</v>
          </cell>
          <cell r="AG1401">
            <v>-0.47352124646716787</v>
          </cell>
          <cell r="AH1401">
            <v>-0.55213724593078384</v>
          </cell>
          <cell r="AI1401">
            <v>-0.60833962448364476</v>
          </cell>
          <cell r="AJ1401">
            <v>-0.64315029111909894</v>
          </cell>
          <cell r="AK1401">
            <v>-0.66192179887467617</v>
          </cell>
          <cell r="AL1401">
            <v>-0.67088771529514313</v>
          </cell>
          <cell r="AM1401">
            <v>-0.67472812741624644</v>
          </cell>
          <cell r="AN1401">
            <v>-0.675679082491909</v>
          </cell>
          <cell r="AO1401">
            <v>-0.67384330690671845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0.12235302214362864</v>
          </cell>
          <cell r="M1402">
            <v>0.10155482261471338</v>
          </cell>
          <cell r="N1402">
            <v>-7.7520722204438286E-2</v>
          </cell>
          <cell r="O1402">
            <v>-0.35786445869171457</v>
          </cell>
          <cell r="P1402">
            <v>-0.6557512938091814</v>
          </cell>
          <cell r="Q1402">
            <v>-0.90929296162848283</v>
          </cell>
          <cell r="R1402">
            <v>-1.0851549908401981</v>
          </cell>
          <cell r="S1402">
            <v>-1.1848042239455459</v>
          </cell>
          <cell r="T1402">
            <v>-1.2312416360516942</v>
          </cell>
          <cell r="U1402">
            <v>-1.2528033461538191</v>
          </cell>
          <cell r="V1402">
            <v>-1.2706114138388624</v>
          </cell>
          <cell r="W1402">
            <v>-1.2932369522852483</v>
          </cell>
          <cell r="X1402">
            <v>-1.3182474060812521</v>
          </cell>
          <cell r="Y1402">
            <v>-1.3376519998907432</v>
          </cell>
          <cell r="Z1402">
            <v>-1.3436233275389342</v>
          </cell>
          <cell r="AA1402">
            <v>-1.3325060019602875</v>
          </cell>
          <cell r="AB1402">
            <v>-1.3059579781680153</v>
          </cell>
          <cell r="AC1402">
            <v>-1.2692860880048618</v>
          </cell>
          <cell r="AD1402">
            <v>-1.2290670782601598</v>
          </cell>
          <cell r="AE1402">
            <v>-1.1912022529753097</v>
          </cell>
          <cell r="AF1402">
            <v>-1.1581406842201103</v>
          </cell>
          <cell r="AG1402">
            <v>-1.1311936708892856</v>
          </cell>
          <cell r="AH1402">
            <v>-1.1096554544419379</v>
          </cell>
          <cell r="AI1402">
            <v>-1.0918398192629963</v>
          </cell>
          <cell r="AJ1402">
            <v>-1.0760510953690794</v>
          </cell>
          <cell r="AK1402">
            <v>-1.0611824423301774</v>
          </cell>
          <cell r="AL1402">
            <v>-1.0468531415025351</v>
          </cell>
          <cell r="AM1402">
            <v>-1.0331934582121005</v>
          </cell>
          <cell r="AN1402">
            <v>-1.0204914342355598</v>
          </cell>
          <cell r="AO1402">
            <v>-1.0088892277544947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33.841090000001714</v>
          </cell>
          <cell r="M1403">
            <v>28.193500000001222</v>
          </cell>
          <cell r="N1403">
            <v>-21.604170000002341</v>
          </cell>
          <cell r="O1403">
            <v>-100.12964000000284</v>
          </cell>
          <cell r="P1403">
            <v>-184.33954000000085</v>
          </cell>
          <cell r="Q1403">
            <v>-256.80805999999939</v>
          </cell>
          <cell r="R1403">
            <v>-307.89378000000215</v>
          </cell>
          <cell r="S1403">
            <v>-337.67238999999972</v>
          </cell>
          <cell r="T1403">
            <v>-352.39476999999897</v>
          </cell>
          <cell r="U1403">
            <v>-359.98889999999665</v>
          </cell>
          <cell r="V1403">
            <v>-366.46365000000151</v>
          </cell>
          <cell r="W1403">
            <v>-374.30385999999999</v>
          </cell>
          <cell r="X1403">
            <v>-382.83908000000156</v>
          </cell>
          <cell r="Y1403">
            <v>-389.76817999999912</v>
          </cell>
          <cell r="Z1403">
            <v>-392.62387999999919</v>
          </cell>
          <cell r="AA1403">
            <v>-390.53040999999939</v>
          </cell>
          <cell r="AB1403">
            <v>-383.93996000000334</v>
          </cell>
          <cell r="AC1403">
            <v>-374.36367999999857</v>
          </cell>
          <cell r="AD1403">
            <v>-363.70554000000266</v>
          </cell>
          <cell r="AE1403">
            <v>-353.19629999999961</v>
          </cell>
          <cell r="AF1403">
            <v>-344.0949099999998</v>
          </cell>
          <cell r="AG1403">
            <v>-336.78319000000192</v>
          </cell>
          <cell r="AH1403">
            <v>-331.06058000000121</v>
          </cell>
          <cell r="AI1403">
            <v>-326.43972000000213</v>
          </cell>
          <cell r="AJ1403">
            <v>-322.42217999999775</v>
          </cell>
          <cell r="AK1403">
            <v>-318.67563999999766</v>
          </cell>
          <cell r="AL1403">
            <v>-315.08020000000033</v>
          </cell>
          <cell r="AM1403">
            <v>-311.66992000000027</v>
          </cell>
          <cell r="AN1403">
            <v>-308.53009999999995</v>
          </cell>
          <cell r="AO1403">
            <v>-305.70583999999872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-9.1051450000000089E-2</v>
          </cell>
          <cell r="M1404">
            <v>-6.826922000000013E-2</v>
          </cell>
          <cell r="N1404">
            <v>6.6888599999999354E-2</v>
          </cell>
          <cell r="O1404">
            <v>0.2659437099999995</v>
          </cell>
          <cell r="P1404">
            <v>0.46714276999999943</v>
          </cell>
          <cell r="Q1404">
            <v>0.63044557999999973</v>
          </cell>
          <cell r="R1404">
            <v>0.73621804000000013</v>
          </cell>
          <cell r="S1404">
            <v>0.78975055000000127</v>
          </cell>
          <cell r="T1404">
            <v>0.80987954999999912</v>
          </cell>
          <cell r="U1404">
            <v>0.81716599999999973</v>
          </cell>
          <cell r="V1404">
            <v>0.82550782000000011</v>
          </cell>
          <cell r="W1404">
            <v>0.83928114000000054</v>
          </cell>
          <cell r="X1404">
            <v>0.85530169000000011</v>
          </cell>
          <cell r="Y1404">
            <v>0.86715991999999908</v>
          </cell>
          <cell r="Z1404">
            <v>0.86965365999999988</v>
          </cell>
          <cell r="AA1404">
            <v>0.85966078000000024</v>
          </cell>
          <cell r="AB1404">
            <v>0.83967440000000115</v>
          </cell>
          <cell r="AC1404">
            <v>0.81371526000000027</v>
          </cell>
          <cell r="AD1404">
            <v>0.78640558000000049</v>
          </cell>
          <cell r="AE1404">
            <v>0.76237418000000001</v>
          </cell>
          <cell r="AF1404">
            <v>0.74121530000000047</v>
          </cell>
          <cell r="AG1404">
            <v>0.72450743000000006</v>
          </cell>
          <cell r="AH1404">
            <v>0.71143573999999932</v>
          </cell>
          <cell r="AI1404">
            <v>0.70067048999999937</v>
          </cell>
          <cell r="AJ1404">
            <v>0.69101255000000028</v>
          </cell>
          <cell r="AK1404">
            <v>0.68175607000000027</v>
          </cell>
          <cell r="AL1404">
            <v>0.67272632999999948</v>
          </cell>
          <cell r="AM1404">
            <v>0.66408687999999905</v>
          </cell>
          <cell r="AN1404">
            <v>0.65607415000000091</v>
          </cell>
          <cell r="AO1404">
            <v>0.64878889000000028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-3.6143963542527996E-2</v>
          </cell>
          <cell r="M1405">
            <v>0.12702479721019116</v>
          </cell>
          <cell r="N1405">
            <v>0.36383181081155946</v>
          </cell>
          <cell r="O1405">
            <v>0.5262959870694367</v>
          </cell>
          <cell r="P1405">
            <v>0.55389058442471095</v>
          </cell>
          <cell r="Q1405">
            <v>0.47433142550562957</v>
          </cell>
          <cell r="R1405">
            <v>0.33481880574344236</v>
          </cell>
          <cell r="S1405">
            <v>0.19061053428652863</v>
          </cell>
          <cell r="T1405">
            <v>7.9774598137523703E-2</v>
          </cell>
          <cell r="U1405">
            <v>1.5416581688227314E-2</v>
          </cell>
          <cell r="V1405">
            <v>-1.0139097595126059E-2</v>
          </cell>
          <cell r="W1405">
            <v>-1.4734531609877054E-2</v>
          </cell>
          <cell r="X1405">
            <v>-1.5489755952843159E-2</v>
          </cell>
          <cell r="Y1405">
            <v>-2.2189129973925262E-2</v>
          </cell>
          <cell r="Z1405">
            <v>-3.6576003737577925E-2</v>
          </cell>
          <cell r="AA1405">
            <v>-5.281756064146239E-2</v>
          </cell>
          <cell r="AB1405">
            <v>-6.4044252562227635E-2</v>
          </cell>
          <cell r="AC1405">
            <v>-6.5689559119529006E-2</v>
          </cell>
          <cell r="AD1405">
            <v>-5.6451148542321743E-2</v>
          </cell>
          <cell r="AE1405">
            <v>-3.9052844714653617E-2</v>
          </cell>
          <cell r="AF1405">
            <v>-1.6927783839803222E-2</v>
          </cell>
          <cell r="AG1405">
            <v>5.8895954618339019E-3</v>
          </cell>
          <cell r="AH1405">
            <v>2.5573575003659879E-2</v>
          </cell>
          <cell r="AI1405">
            <v>4.0127468116277903E-2</v>
          </cell>
          <cell r="AJ1405">
            <v>4.9316786078231617E-2</v>
          </cell>
          <cell r="AK1405">
            <v>5.412055782447675E-2</v>
          </cell>
          <cell r="AL1405">
            <v>5.5968521394559635E-2</v>
          </cell>
          <cell r="AM1405">
            <v>5.6113891344448767E-2</v>
          </cell>
          <cell r="AN1405">
            <v>5.5319213433963496E-2</v>
          </cell>
          <cell r="AO1405">
            <v>5.3834026152385812E-2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4.7388364516526976E-3</v>
          </cell>
          <cell r="M1406">
            <v>-3.0797314943566828E-3</v>
          </cell>
          <cell r="N1406">
            <v>-1.4479032398802792E-2</v>
          </cell>
          <cell r="O1406">
            <v>-2.6312160642238264E-2</v>
          </cell>
          <cell r="P1406">
            <v>-3.709600769202983E-2</v>
          </cell>
          <cell r="Q1406">
            <v>-4.6219587856314616E-2</v>
          </cell>
          <cell r="R1406">
            <v>-5.3169584910140941E-2</v>
          </cell>
          <cell r="S1406">
            <v>-5.7802171554936083E-2</v>
          </cell>
          <cell r="T1406">
            <v>-6.0203596797421544E-2</v>
          </cell>
          <cell r="U1406">
            <v>-6.0681746897776889E-2</v>
          </cell>
          <cell r="V1406">
            <v>-5.9681308640562904E-2</v>
          </cell>
          <cell r="W1406">
            <v>-5.7630223949832471E-2</v>
          </cell>
          <cell r="X1406">
            <v>-5.4901803481712842E-2</v>
          </cell>
          <cell r="Y1406">
            <v>-5.1812817843339097E-2</v>
          </cell>
          <cell r="Z1406">
            <v>-4.8625166402601651E-2</v>
          </cell>
          <cell r="AA1406">
            <v>-4.5547042769549483E-2</v>
          </cell>
          <cell r="AB1406">
            <v>-4.2792229430058462E-2</v>
          </cell>
          <cell r="AC1406">
            <v>-4.050116103789924E-2</v>
          </cell>
          <cell r="AD1406">
            <v>-3.8765247298032553E-2</v>
          </cell>
          <cell r="AE1406">
            <v>-3.7616788375057116E-2</v>
          </cell>
          <cell r="AF1406">
            <v>-3.6963227788199687E-2</v>
          </cell>
          <cell r="AG1406">
            <v>-3.6773700944386402E-2</v>
          </cell>
          <cell r="AH1406">
            <v>-3.6911327430934164E-2</v>
          </cell>
          <cell r="AI1406">
            <v>-3.7247424253763345E-2</v>
          </cell>
          <cell r="AJ1406">
            <v>-3.7662288217148523E-2</v>
          </cell>
          <cell r="AK1406">
            <v>-3.8057920964361391E-2</v>
          </cell>
          <cell r="AL1406">
            <v>-3.835777594581799E-2</v>
          </cell>
          <cell r="AM1406">
            <v>-3.8509497656210104E-2</v>
          </cell>
          <cell r="AN1406">
            <v>-3.8486288055557261E-2</v>
          </cell>
          <cell r="AO1406">
            <v>-3.8278087425221152E-2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-2.0428675132117859E-2</v>
          </cell>
          <cell r="M1407">
            <v>0.24384167159966288</v>
          </cell>
          <cell r="N1407">
            <v>0.54258070433141803</v>
          </cell>
          <cell r="O1407">
            <v>0.72830716674544604</v>
          </cell>
          <cell r="P1407">
            <v>0.75420989482402945</v>
          </cell>
          <cell r="Q1407">
            <v>0.66870359991417405</v>
          </cell>
          <cell r="R1407">
            <v>0.5303385346106384</v>
          </cell>
          <cell r="S1407">
            <v>0.40158620938948625</v>
          </cell>
          <cell r="T1407">
            <v>0.32096182966343639</v>
          </cell>
          <cell r="U1407">
            <v>0.2974913434847376</v>
          </cell>
          <cell r="V1407">
            <v>0.31747624809238645</v>
          </cell>
          <cell r="W1407">
            <v>0.35714919783766691</v>
          </cell>
          <cell r="X1407">
            <v>0.39492348991960363</v>
          </cell>
          <cell r="Y1407">
            <v>0.41855000024716443</v>
          </cell>
          <cell r="Z1407">
            <v>0.42511394572687056</v>
          </cell>
          <cell r="AA1407">
            <v>0.42239250276009066</v>
          </cell>
          <cell r="AB1407">
            <v>0.41691243125285182</v>
          </cell>
          <cell r="AC1407">
            <v>0.41455502427077512</v>
          </cell>
          <cell r="AD1407">
            <v>0.41779698518068875</v>
          </cell>
          <cell r="AE1407">
            <v>0.4245607687967865</v>
          </cell>
          <cell r="AF1407">
            <v>0.4332655773864118</v>
          </cell>
          <cell r="AG1407">
            <v>0.44033074160921171</v>
          </cell>
          <cell r="AH1407">
            <v>0.44300553832870537</v>
          </cell>
          <cell r="AI1407">
            <v>0.4403767968687658</v>
          </cell>
          <cell r="AJ1407">
            <v>0.4331868447065011</v>
          </cell>
          <cell r="AK1407">
            <v>0.42314590252904305</v>
          </cell>
          <cell r="AL1407">
            <v>0.41209062404122315</v>
          </cell>
          <cell r="AM1407">
            <v>0.40136718086123802</v>
          </cell>
          <cell r="AN1407">
            <v>0.39159478414373167</v>
          </cell>
          <cell r="AO1407">
            <v>0.38274365246990089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-2.0516113825458024E-2</v>
          </cell>
          <cell r="M1408">
            <v>0.25257930549896501</v>
          </cell>
          <cell r="N1408">
            <v>1.063013889910229</v>
          </cell>
          <cell r="O1408">
            <v>1.6108569845272327</v>
          </cell>
          <cell r="P1408">
            <v>1.7383855058852697</v>
          </cell>
          <cell r="Q1408">
            <v>1.5178540496329627</v>
          </cell>
          <cell r="R1408">
            <v>1.1383606966483746</v>
          </cell>
          <cell r="S1408">
            <v>0.75386873865467063</v>
          </cell>
          <cell r="T1408">
            <v>0.48284102634437859</v>
          </cell>
          <cell r="U1408">
            <v>0.36150612882018818</v>
          </cell>
          <cell r="V1408">
            <v>0.36019148383049715</v>
          </cell>
          <cell r="W1408">
            <v>0.41858418798216068</v>
          </cell>
          <cell r="X1408">
            <v>0.47967964892782489</v>
          </cell>
          <cell r="Y1408">
            <v>0.51038678170616181</v>
          </cell>
          <cell r="Z1408">
            <v>0.50447248977801284</v>
          </cell>
          <cell r="AA1408">
            <v>0.4768740150360391</v>
          </cell>
          <cell r="AB1408">
            <v>0.45212737660829883</v>
          </cell>
          <cell r="AC1408">
            <v>0.44306800951756792</v>
          </cell>
          <cell r="AD1408">
            <v>0.45658735235763503</v>
          </cell>
          <cell r="AE1408">
            <v>0.4886611225004594</v>
          </cell>
          <cell r="AF1408">
            <v>0.52973854548381027</v>
          </cell>
          <cell r="AG1408">
            <v>0.57207710675394075</v>
          </cell>
          <cell r="AH1408">
            <v>0.60438150277507441</v>
          </cell>
          <cell r="AI1408">
            <v>0.62313727949556796</v>
          </cell>
          <cell r="AJ1408">
            <v>0.62981954743556445</v>
          </cell>
          <cell r="AK1408">
            <v>0.62868844386526535</v>
          </cell>
          <cell r="AL1408">
            <v>0.62435874725969387</v>
          </cell>
          <cell r="AM1408">
            <v>0.62002129501731029</v>
          </cell>
          <cell r="AN1408">
            <v>0.61686663139053666</v>
          </cell>
          <cell r="AO1408">
            <v>0.61448580316327273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-2.6547429750223284E-2</v>
          </cell>
          <cell r="M1409">
            <v>-0.41320232871528972</v>
          </cell>
          <cell r="N1409">
            <v>-0.1026900851926138</v>
          </cell>
          <cell r="O1409">
            <v>0.8669195192117618</v>
          </cell>
          <cell r="P1409">
            <v>2.1559697614005668</v>
          </cell>
          <cell r="Q1409">
            <v>3.3751104892581263</v>
          </cell>
          <cell r="R1409">
            <v>4.313147954313024</v>
          </cell>
          <cell r="S1409">
            <v>4.904539878326597</v>
          </cell>
          <cell r="T1409">
            <v>5.2225469119400625</v>
          </cell>
          <cell r="U1409">
            <v>5.4054043446170041</v>
          </cell>
          <cell r="V1409">
            <v>5.5833786938475516</v>
          </cell>
          <cell r="W1409">
            <v>5.8338640730653202</v>
          </cell>
          <cell r="X1409">
            <v>6.1715820655542375</v>
          </cell>
          <cell r="Y1409">
            <v>6.5661872017029115</v>
          </cell>
          <cell r="Z1409">
            <v>6.9767666553792518</v>
          </cell>
          <cell r="AA1409">
            <v>7.3507358598944634</v>
          </cell>
          <cell r="AB1409">
            <v>7.6799006750968735</v>
          </cell>
          <cell r="AC1409">
            <v>7.9674611150840295</v>
          </cell>
          <cell r="AD1409">
            <v>8.2299768443774504</v>
          </cell>
          <cell r="AE1409">
            <v>8.5083843303411459</v>
          </cell>
          <cell r="AF1409">
            <v>8.7791373659448659</v>
          </cell>
          <cell r="AG1409">
            <v>9.0679211664145054</v>
          </cell>
          <cell r="AH1409">
            <v>9.369770973058289</v>
          </cell>
          <cell r="AI1409">
            <v>9.6747181762660954</v>
          </cell>
          <cell r="AJ1409">
            <v>9.9724735364334567</v>
          </cell>
          <cell r="AK1409">
            <v>10.255982769582484</v>
          </cell>
          <cell r="AL1409">
            <v>10.522746698663699</v>
          </cell>
          <cell r="AM1409">
            <v>10.773977118329281</v>
          </cell>
          <cell r="AN1409">
            <v>11.012647771325657</v>
          </cell>
          <cell r="AO1409">
            <v>11.241597747638721</v>
          </cell>
        </row>
        <row r="1410">
          <cell r="C1410" t="str">
            <v>PIB</v>
          </cell>
          <cell r="E1410" t="str">
            <v>GDP_2</v>
          </cell>
          <cell r="F1410">
            <v>2196110.0529999998</v>
          </cell>
          <cell r="G1410">
            <v>2218864.2409999999</v>
          </cell>
          <cell r="H1410">
            <v>2251948.39</v>
          </cell>
          <cell r="I1410">
            <v>2288974.341</v>
          </cell>
          <cell r="J1410">
            <v>2326587.5839999998</v>
          </cell>
          <cell r="K1410">
            <v>2363937.9900000002</v>
          </cell>
          <cell r="L1410">
            <v>2397819.2799999998</v>
          </cell>
          <cell r="M1410">
            <v>2423336.4410000001</v>
          </cell>
          <cell r="N1410">
            <v>2444290.682</v>
          </cell>
          <cell r="O1410">
            <v>2467014.1310000001</v>
          </cell>
          <cell r="P1410">
            <v>2498534.699</v>
          </cell>
          <cell r="Q1410">
            <v>2534615.3730000001</v>
          </cell>
          <cell r="R1410">
            <v>2576385.6910000001</v>
          </cell>
          <cell r="S1410">
            <v>2620594.3709999998</v>
          </cell>
          <cell r="T1410">
            <v>2664923.0460000001</v>
          </cell>
          <cell r="U1410">
            <v>2708192.645</v>
          </cell>
          <cell r="V1410">
            <v>2750379.665</v>
          </cell>
          <cell r="W1410">
            <v>2792235.0860000001</v>
          </cell>
          <cell r="X1410">
            <v>2834727.3650000002</v>
          </cell>
          <cell r="Y1410">
            <v>2878584.077</v>
          </cell>
          <cell r="Z1410">
            <v>2921725.5070000002</v>
          </cell>
          <cell r="AA1410">
            <v>2968333.8050000002</v>
          </cell>
          <cell r="AB1410">
            <v>3016107.9440000001</v>
          </cell>
          <cell r="AC1410">
            <v>3064717.2319999998</v>
          </cell>
          <cell r="AD1410">
            <v>3113778.8480000002</v>
          </cell>
          <cell r="AE1410">
            <v>3155099.36</v>
          </cell>
          <cell r="AF1410">
            <v>3201559.392</v>
          </cell>
          <cell r="AG1410">
            <v>3247601.7549999999</v>
          </cell>
          <cell r="AH1410">
            <v>3294264.0350000001</v>
          </cell>
          <cell r="AI1410">
            <v>3341877.156</v>
          </cell>
          <cell r="AJ1410">
            <v>3390400.9739999999</v>
          </cell>
          <cell r="AK1410">
            <v>3439642.338</v>
          </cell>
          <cell r="AL1410">
            <v>3489422.8790000002</v>
          </cell>
          <cell r="AM1410">
            <v>3539672.9079999998</v>
          </cell>
          <cell r="AN1410">
            <v>3590444.3450000002</v>
          </cell>
          <cell r="AO1410">
            <v>3641864.3760000002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4.4405967791760759E-8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-3.3155322931577302E-8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1187986.8060000001</v>
          </cell>
          <cell r="G1412">
            <v>1221984.102</v>
          </cell>
          <cell r="H1412">
            <v>1249801.5330000001</v>
          </cell>
          <cell r="I1412">
            <v>1278134.5530000001</v>
          </cell>
          <cell r="J1412">
            <v>1309844.612</v>
          </cell>
          <cell r="K1412">
            <v>1346581.203</v>
          </cell>
          <cell r="L1412">
            <v>1387522.0460000001</v>
          </cell>
          <cell r="M1412">
            <v>1445284.024</v>
          </cell>
          <cell r="N1412">
            <v>1525980.345</v>
          </cell>
          <cell r="O1412">
            <v>1606660.6089999999</v>
          </cell>
          <cell r="P1412">
            <v>1681286.4069999999</v>
          </cell>
          <cell r="Q1412">
            <v>1743710.0789999999</v>
          </cell>
          <cell r="R1412">
            <v>1801719.7749999999</v>
          </cell>
          <cell r="S1412">
            <v>1860087.1640000001</v>
          </cell>
          <cell r="T1412">
            <v>1922985.453</v>
          </cell>
          <cell r="U1412">
            <v>1992164.7290000001</v>
          </cell>
          <cell r="V1412">
            <v>2067013.7590000001</v>
          </cell>
          <cell r="W1412">
            <v>2145508</v>
          </cell>
          <cell r="X1412">
            <v>2225438.9010000001</v>
          </cell>
          <cell r="Y1412">
            <v>2305376.7710000002</v>
          </cell>
          <cell r="Z1412">
            <v>2382931.392</v>
          </cell>
          <cell r="AA1412">
            <v>2463489.9720000001</v>
          </cell>
          <cell r="AB1412">
            <v>2545192.6540000001</v>
          </cell>
          <cell r="AC1412">
            <v>2629394.355</v>
          </cell>
          <cell r="AD1412">
            <v>2717323.1549999998</v>
          </cell>
          <cell r="AE1412">
            <v>2802811.912</v>
          </cell>
          <cell r="AF1412">
            <v>2897120.8730000001</v>
          </cell>
          <cell r="AG1412">
            <v>2993899.76</v>
          </cell>
          <cell r="AH1412">
            <v>3092142.2289999998</v>
          </cell>
          <cell r="AI1412">
            <v>3191986.1519999998</v>
          </cell>
          <cell r="AJ1412">
            <v>3294155.4589999998</v>
          </cell>
          <cell r="AK1412">
            <v>3399541.199</v>
          </cell>
          <cell r="AL1412">
            <v>3508832.99</v>
          </cell>
          <cell r="AM1412">
            <v>3622323.07</v>
          </cell>
          <cell r="AN1412">
            <v>3739924.0920000002</v>
          </cell>
          <cell r="AO1412">
            <v>3861339.5040000002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1021837.363</v>
          </cell>
          <cell r="G1413">
            <v>1050302.2309999999</v>
          </cell>
          <cell r="H1413">
            <v>1079226.888</v>
          </cell>
          <cell r="I1413">
            <v>1108131.9750000001</v>
          </cell>
          <cell r="J1413">
            <v>1137414.6410000001</v>
          </cell>
          <cell r="K1413">
            <v>1168130.6089999999</v>
          </cell>
          <cell r="L1413">
            <v>1200621.8489999999</v>
          </cell>
          <cell r="M1413">
            <v>1239886.0349999999</v>
          </cell>
          <cell r="N1413">
            <v>1285268.05</v>
          </cell>
          <cell r="O1413">
            <v>1335930.5260000001</v>
          </cell>
          <cell r="P1413">
            <v>1391781.3810000001</v>
          </cell>
          <cell r="Q1413">
            <v>1448607.497</v>
          </cell>
          <cell r="R1413">
            <v>1507173.7520000001</v>
          </cell>
          <cell r="S1413">
            <v>1567055.9879999999</v>
          </cell>
          <cell r="T1413">
            <v>1628379.726</v>
          </cell>
          <cell r="U1413">
            <v>1691482.122</v>
          </cell>
          <cell r="V1413">
            <v>1756642.0179999999</v>
          </cell>
          <cell r="W1413">
            <v>1823953.8149999999</v>
          </cell>
          <cell r="X1413">
            <v>1893339.8870000001</v>
          </cell>
          <cell r="Y1413">
            <v>1964646.58</v>
          </cell>
          <cell r="Z1413">
            <v>2036150.5349999999</v>
          </cell>
          <cell r="AA1413">
            <v>2110846.3849999998</v>
          </cell>
          <cell r="AB1413">
            <v>2187472.2790000001</v>
          </cell>
          <cell r="AC1413">
            <v>2266299.9029999999</v>
          </cell>
          <cell r="AD1413">
            <v>2347713.9679999999</v>
          </cell>
          <cell r="AE1413">
            <v>2426140.4550000001</v>
          </cell>
          <cell r="AF1413">
            <v>2511088.2859999998</v>
          </cell>
          <cell r="AG1413">
            <v>2598818.142</v>
          </cell>
          <cell r="AH1413">
            <v>2689298.608</v>
          </cell>
          <cell r="AI1413">
            <v>2782593.0430000001</v>
          </cell>
          <cell r="AJ1413">
            <v>2878847.2859999998</v>
          </cell>
          <cell r="AK1413">
            <v>2978280.54</v>
          </cell>
          <cell r="AL1413">
            <v>3081148.7140000002</v>
          </cell>
          <cell r="AM1413">
            <v>3187697.2910000002</v>
          </cell>
          <cell r="AN1413">
            <v>3298125.3369999998</v>
          </cell>
          <cell r="AO1413">
            <v>3412573.3679999998</v>
          </cell>
        </row>
        <row r="1414">
          <cell r="C1414" t="str">
            <v>Solde public</v>
          </cell>
          <cell r="E1414" t="str">
            <v>Bal_G_tot_VAL_2</v>
          </cell>
          <cell r="F1414">
            <v>-64562.997510000001</v>
          </cell>
          <cell r="G1414">
            <v>-66867.275779999996</v>
          </cell>
          <cell r="H1414">
            <v>-62416.686930000003</v>
          </cell>
          <cell r="I1414">
            <v>-58723.784650000001</v>
          </cell>
          <cell r="J1414">
            <v>-58214.988360000003</v>
          </cell>
          <cell r="K1414">
            <v>-61324.862480000003</v>
          </cell>
          <cell r="L1414">
            <v>-66708.222760000004</v>
          </cell>
          <cell r="M1414">
            <v>-81870.602740000002</v>
          </cell>
          <cell r="N1414">
            <v>-113091.37850000001</v>
          </cell>
          <cell r="O1414">
            <v>-137454.59830000001</v>
          </cell>
          <cell r="P1414">
            <v>-149356.81090000001</v>
          </cell>
          <cell r="Q1414">
            <v>-147486.52650000001</v>
          </cell>
          <cell r="R1414">
            <v>-139555.6409</v>
          </cell>
          <cell r="S1414">
            <v>-131063.0119</v>
          </cell>
          <cell r="T1414">
            <v>-126084.4124</v>
          </cell>
          <cell r="U1414">
            <v>-125857.07150000001</v>
          </cell>
          <cell r="V1414">
            <v>-129253.3515</v>
          </cell>
          <cell r="W1414">
            <v>-133973.1287</v>
          </cell>
          <cell r="X1414">
            <v>-137819.30119999999</v>
          </cell>
          <cell r="Y1414">
            <v>-139559.51379999999</v>
          </cell>
          <cell r="Z1414">
            <v>-138632.20329999999</v>
          </cell>
          <cell r="AA1414">
            <v>-137563.3229</v>
          </cell>
          <cell r="AB1414">
            <v>-135761.9449</v>
          </cell>
          <cell r="AC1414">
            <v>-134347.92449999999</v>
          </cell>
          <cell r="AD1414">
            <v>-134145.264</v>
          </cell>
          <cell r="AE1414">
            <v>-134500.26980000001</v>
          </cell>
          <cell r="AF1414">
            <v>-137136.38690000001</v>
          </cell>
          <cell r="AG1414">
            <v>-139328.5981</v>
          </cell>
          <cell r="AH1414">
            <v>-140124.17170000001</v>
          </cell>
          <cell r="AI1414">
            <v>-139667.45110000001</v>
          </cell>
          <cell r="AJ1414">
            <v>-138599.14180000001</v>
          </cell>
          <cell r="AK1414">
            <v>-137621.67079999999</v>
          </cell>
          <cell r="AL1414">
            <v>-137164.2053</v>
          </cell>
          <cell r="AM1414">
            <v>-137247.4969</v>
          </cell>
          <cell r="AN1414">
            <v>-137558.09880000001</v>
          </cell>
          <cell r="AO1414">
            <v>-137647.5753</v>
          </cell>
        </row>
        <row r="1415">
          <cell r="C1415" t="str">
            <v>Dette publique</v>
          </cell>
          <cell r="E1415" t="str">
            <v>DEBT_G_VAL_2</v>
          </cell>
          <cell r="F1415">
            <v>2096291.9040000001</v>
          </cell>
          <cell r="G1415">
            <v>2163159.1800000002</v>
          </cell>
          <cell r="H1415">
            <v>2225575.8670000001</v>
          </cell>
          <cell r="I1415">
            <v>2284299.6510000001</v>
          </cell>
          <cell r="J1415">
            <v>2342514.64</v>
          </cell>
          <cell r="K1415">
            <v>2403839.5019999999</v>
          </cell>
          <cell r="L1415">
            <v>2470547.7250000001</v>
          </cell>
          <cell r="M1415">
            <v>2552418.3280000002</v>
          </cell>
          <cell r="N1415">
            <v>2665509.7059999998</v>
          </cell>
          <cell r="O1415">
            <v>2802964.304</v>
          </cell>
          <cell r="P1415">
            <v>2952321.1150000002</v>
          </cell>
          <cell r="Q1415">
            <v>3099807.642</v>
          </cell>
          <cell r="R1415">
            <v>3239363.2829999998</v>
          </cell>
          <cell r="S1415">
            <v>3370426.2949999999</v>
          </cell>
          <cell r="T1415">
            <v>3496510.7069999999</v>
          </cell>
          <cell r="U1415">
            <v>3622367.7779999999</v>
          </cell>
          <cell r="V1415">
            <v>3751621.13</v>
          </cell>
          <cell r="W1415">
            <v>3885594.2590000001</v>
          </cell>
          <cell r="X1415">
            <v>4023413.56</v>
          </cell>
          <cell r="Y1415">
            <v>4162973.074</v>
          </cell>
          <cell r="Z1415">
            <v>4301605.2769999998</v>
          </cell>
          <cell r="AA1415">
            <v>4439168.5999999996</v>
          </cell>
          <cell r="AB1415">
            <v>4574930.5449999999</v>
          </cell>
          <cell r="AC1415">
            <v>4709278.4689999996</v>
          </cell>
          <cell r="AD1415">
            <v>4843423.733</v>
          </cell>
          <cell r="AE1415">
            <v>4977924.0029999996</v>
          </cell>
          <cell r="AF1415">
            <v>5115060.3899999997</v>
          </cell>
          <cell r="AG1415">
            <v>5254388.9879999999</v>
          </cell>
          <cell r="AH1415">
            <v>5394513.1600000001</v>
          </cell>
          <cell r="AI1415">
            <v>5534180.6109999996</v>
          </cell>
          <cell r="AJ1415">
            <v>5672779.7529999996</v>
          </cell>
          <cell r="AK1415">
            <v>5810401.4239999996</v>
          </cell>
          <cell r="AL1415">
            <v>5947565.6289999997</v>
          </cell>
          <cell r="AM1415">
            <v>6084813.1260000002</v>
          </cell>
          <cell r="AN1415">
            <v>6222371.2249999996</v>
          </cell>
          <cell r="AO1415">
            <v>6360018.7999999998</v>
          </cell>
        </row>
        <row r="1434">
          <cell r="F1434">
            <v>27365.952300000001</v>
          </cell>
          <cell r="G1434">
            <v>27341.989379999999</v>
          </cell>
          <cell r="H1434">
            <v>27341.122139999999</v>
          </cell>
          <cell r="I1434">
            <v>27384.126230000002</v>
          </cell>
          <cell r="J1434">
            <v>27460.44342</v>
          </cell>
          <cell r="K1434">
            <v>27559.116419999998</v>
          </cell>
          <cell r="L1434">
            <v>27692.40596</v>
          </cell>
          <cell r="M1434">
            <v>27790.04594</v>
          </cell>
          <cell r="N1434">
            <v>27847.292539999999</v>
          </cell>
          <cell r="O1434">
            <v>27879.636879999998</v>
          </cell>
          <cell r="P1434">
            <v>27926.857759999999</v>
          </cell>
          <cell r="Q1434">
            <v>27985.8014</v>
          </cell>
          <cell r="R1434">
            <v>28065.360049999999</v>
          </cell>
          <cell r="S1434">
            <v>28162.596529999999</v>
          </cell>
          <cell r="T1434">
            <v>28268.694680000001</v>
          </cell>
          <cell r="U1434">
            <v>28374.680520000002</v>
          </cell>
          <cell r="V1434">
            <v>28475.05674</v>
          </cell>
          <cell r="W1434">
            <v>28568.87313</v>
          </cell>
          <cell r="X1434">
            <v>28658.680609999999</v>
          </cell>
          <cell r="Y1434">
            <v>28748.46658</v>
          </cell>
          <cell r="Z1434">
            <v>28828.652050000001</v>
          </cell>
          <cell r="AA1434">
            <v>28917.435890000001</v>
          </cell>
          <cell r="AB1434">
            <v>29015.165249999998</v>
          </cell>
          <cell r="AC1434">
            <v>29119.67108</v>
          </cell>
          <cell r="AD1434">
            <v>29228.295289999998</v>
          </cell>
          <cell r="AE1434">
            <v>29297.209340000001</v>
          </cell>
          <cell r="AF1434">
            <v>29366.881890000001</v>
          </cell>
          <cell r="AG1434">
            <v>29435.58901</v>
          </cell>
          <cell r="AH1434">
            <v>29503.477579999999</v>
          </cell>
          <cell r="AI1434">
            <v>29571.693159999999</v>
          </cell>
          <cell r="AJ1434">
            <v>29641.041580000001</v>
          </cell>
          <cell r="AK1434">
            <v>29711.564900000001</v>
          </cell>
          <cell r="AL1434">
            <v>29782.76137</v>
          </cell>
          <cell r="AM1434">
            <v>29854.01856</v>
          </cell>
          <cell r="AN1434">
            <v>29924.95248</v>
          </cell>
          <cell r="AO1434">
            <v>29995.52363</v>
          </cell>
        </row>
        <row r="1435">
          <cell r="F1435">
            <v>760.57977960000005</v>
          </cell>
          <cell r="G1435">
            <v>751.63997489999997</v>
          </cell>
          <cell r="H1435">
            <v>738.59097459999998</v>
          </cell>
          <cell r="I1435">
            <v>725.65771329999995</v>
          </cell>
          <cell r="J1435">
            <v>715.18804790000002</v>
          </cell>
          <cell r="K1435">
            <v>708.04311700000005</v>
          </cell>
          <cell r="L1435">
            <v>728.40470489999996</v>
          </cell>
          <cell r="M1435">
            <v>738.62319109999999</v>
          </cell>
          <cell r="N1435">
            <v>741.50379180000004</v>
          </cell>
          <cell r="O1435">
            <v>738.90398110000001</v>
          </cell>
          <cell r="P1435">
            <v>732.67194240000003</v>
          </cell>
          <cell r="Q1435">
            <v>723.77624330000003</v>
          </cell>
          <cell r="R1435">
            <v>713.43325240000001</v>
          </cell>
          <cell r="S1435">
            <v>702.70426039999995</v>
          </cell>
          <cell r="T1435">
            <v>692.37318330000005</v>
          </cell>
          <cell r="U1435">
            <v>682.90831100000003</v>
          </cell>
          <cell r="V1435">
            <v>674.4985805</v>
          </cell>
          <cell r="W1435">
            <v>667.13302969999995</v>
          </cell>
          <cell r="X1435">
            <v>660.68808650000005</v>
          </cell>
          <cell r="Y1435">
            <v>654.99760890000005</v>
          </cell>
          <cell r="Z1435">
            <v>649.6365174</v>
          </cell>
          <cell r="AA1435">
            <v>644.7266899</v>
          </cell>
          <cell r="AB1435">
            <v>640.16923399999996</v>
          </cell>
          <cell r="AC1435">
            <v>635.85791840000002</v>
          </cell>
          <cell r="AD1435">
            <v>631.68829070000004</v>
          </cell>
          <cell r="AE1435">
            <v>626.85860860000003</v>
          </cell>
          <cell r="AF1435">
            <v>621.73041850000004</v>
          </cell>
          <cell r="AG1435">
            <v>616.35324700000001</v>
          </cell>
          <cell r="AH1435">
            <v>610.78213019999998</v>
          </cell>
          <cell r="AI1435">
            <v>605.08580489999997</v>
          </cell>
          <cell r="AJ1435">
            <v>599.33746150000002</v>
          </cell>
          <cell r="AK1435">
            <v>593.60219180000001</v>
          </cell>
          <cell r="AL1435">
            <v>587.9277783</v>
          </cell>
          <cell r="AM1435">
            <v>582.34149000000002</v>
          </cell>
          <cell r="AN1435">
            <v>576.85252409999998</v>
          </cell>
          <cell r="AO1435">
            <v>571.45782410000004</v>
          </cell>
        </row>
        <row r="1438">
          <cell r="F1438">
            <v>4364.089199</v>
          </cell>
          <cell r="G1438">
            <v>4412.2795299999998</v>
          </cell>
          <cell r="H1438">
            <v>4488.4154079999998</v>
          </cell>
          <cell r="I1438">
            <v>4555.1090400000003</v>
          </cell>
          <cell r="J1438">
            <v>4599.1043369999998</v>
          </cell>
          <cell r="K1438">
            <v>4622.8559690000002</v>
          </cell>
          <cell r="L1438">
            <v>4612.663211</v>
          </cell>
          <cell r="M1438">
            <v>4586.888062</v>
          </cell>
          <cell r="N1438">
            <v>4553.0888299999997</v>
          </cell>
          <cell r="O1438">
            <v>4518.107935</v>
          </cell>
          <cell r="P1438">
            <v>4520.4864289999996</v>
          </cell>
          <cell r="Q1438">
            <v>4500.2318679999998</v>
          </cell>
          <cell r="R1438">
            <v>4484.0277290000004</v>
          </cell>
          <cell r="S1438">
            <v>4478.1601229999997</v>
          </cell>
          <cell r="T1438">
            <v>4480.6550820000002</v>
          </cell>
          <cell r="U1438">
            <v>4487.5669330000001</v>
          </cell>
          <cell r="V1438">
            <v>4495.7736949999999</v>
          </cell>
          <cell r="W1438">
            <v>4503.8277690000004</v>
          </cell>
          <cell r="X1438">
            <v>4511.7174480000003</v>
          </cell>
          <cell r="Y1438">
            <v>4520.1620789999997</v>
          </cell>
          <cell r="Z1438">
            <v>4509.7467569999999</v>
          </cell>
          <cell r="AA1438">
            <v>4520.8742300000004</v>
          </cell>
          <cell r="AB1438">
            <v>4538.9231239999999</v>
          </cell>
          <cell r="AC1438">
            <v>4557.8327200000003</v>
          </cell>
          <cell r="AD1438">
            <v>4575.5424549999998</v>
          </cell>
          <cell r="AE1438">
            <v>4535.4586339999996</v>
          </cell>
          <cell r="AF1438">
            <v>4526.8589099999999</v>
          </cell>
          <cell r="AG1438">
            <v>4531.6405100000002</v>
          </cell>
          <cell r="AH1438">
            <v>4541.0633429999998</v>
          </cell>
          <cell r="AI1438">
            <v>4551.6277360000004</v>
          </cell>
          <cell r="AJ1438">
            <v>4562.1132360000001</v>
          </cell>
          <cell r="AK1438">
            <v>4572.1194459999997</v>
          </cell>
          <cell r="AL1438">
            <v>4581.4971029999997</v>
          </cell>
          <cell r="AM1438">
            <v>4590.1999720000003</v>
          </cell>
          <cell r="AN1438">
            <v>4598.276492</v>
          </cell>
          <cell r="AO1438">
            <v>4605.865605</v>
          </cell>
        </row>
        <row r="1448">
          <cell r="F1448">
            <v>1768.7137700000001</v>
          </cell>
          <cell r="G1448">
            <v>1826.9535860000001</v>
          </cell>
          <cell r="H1448">
            <v>1913.7235949999999</v>
          </cell>
          <cell r="I1448">
            <v>1987.4596750000001</v>
          </cell>
          <cell r="J1448">
            <v>2034.395082</v>
          </cell>
          <cell r="K1448">
            <v>2057.5133679999999</v>
          </cell>
          <cell r="L1448">
            <v>2044.356886</v>
          </cell>
          <cell r="M1448">
            <v>2019.7394690000001</v>
          </cell>
          <cell r="N1448">
            <v>1992.301217</v>
          </cell>
          <cell r="O1448">
            <v>1967.3864269999999</v>
          </cell>
          <cell r="P1448">
            <v>1977.9798290000001</v>
          </cell>
          <cell r="Q1448">
            <v>1966.201781</v>
          </cell>
          <cell r="R1448">
            <v>1956.841864</v>
          </cell>
          <cell r="S1448">
            <v>1955.5200199999999</v>
          </cell>
          <cell r="T1448">
            <v>1960.699593</v>
          </cell>
          <cell r="U1448">
            <v>1969.2376549999999</v>
          </cell>
          <cell r="V1448">
            <v>1978.653701</v>
          </cell>
          <cell r="W1448">
            <v>1987.757118</v>
          </cell>
          <cell r="X1448">
            <v>1996.440004</v>
          </cell>
          <cell r="Y1448">
            <v>2005.14545</v>
          </cell>
          <cell r="Z1448">
            <v>1996.114012</v>
          </cell>
          <cell r="AA1448">
            <v>2006.7591299999999</v>
          </cell>
          <cell r="AB1448">
            <v>2022.8035970000001</v>
          </cell>
          <cell r="AC1448">
            <v>2038.763897</v>
          </cell>
          <cell r="AD1448">
            <v>2053.0285330000002</v>
          </cell>
          <cell r="AE1448">
            <v>2014.77396</v>
          </cell>
          <cell r="AF1448">
            <v>2007.450531</v>
          </cell>
          <cell r="AG1448">
            <v>2012.914113</v>
          </cell>
          <cell r="AH1448">
            <v>2022.7377019999999</v>
          </cell>
          <cell r="AI1448">
            <v>2033.518343</v>
          </cell>
          <cell r="AJ1448">
            <v>2044.04411</v>
          </cell>
          <cell r="AK1448">
            <v>2053.9368479999998</v>
          </cell>
          <cell r="AL1448">
            <v>2063.1032369999998</v>
          </cell>
          <cell r="AM1448">
            <v>2071.5629749999998</v>
          </cell>
          <cell r="AN1448">
            <v>2079.410813</v>
          </cell>
          <cell r="AO1448">
            <v>2086.7977879999999</v>
          </cell>
        </row>
        <row r="1450">
          <cell r="F1450">
            <v>868.09553140000003</v>
          </cell>
          <cell r="G1450">
            <v>861.27763200000004</v>
          </cell>
          <cell r="H1450">
            <v>852.63043640000001</v>
          </cell>
          <cell r="I1450">
            <v>845.38105780000001</v>
          </cell>
          <cell r="J1450">
            <v>840.42829140000003</v>
          </cell>
          <cell r="K1450">
            <v>837.64288469999997</v>
          </cell>
          <cell r="L1450">
            <v>836.75193379999996</v>
          </cell>
          <cell r="M1450">
            <v>836.04781290000005</v>
          </cell>
          <cell r="N1450">
            <v>834.746533</v>
          </cell>
          <cell r="O1450">
            <v>832.90659559999995</v>
          </cell>
          <cell r="P1450">
            <v>831.17215329999999</v>
          </cell>
          <cell r="Q1450">
            <v>830.18541330000005</v>
          </cell>
          <cell r="R1450">
            <v>829.97045590000005</v>
          </cell>
          <cell r="S1450">
            <v>830.38858389999996</v>
          </cell>
          <cell r="T1450">
            <v>831.18284100000005</v>
          </cell>
          <cell r="U1450">
            <v>832.08089659999996</v>
          </cell>
          <cell r="V1450">
            <v>832.89330080000002</v>
          </cell>
          <cell r="W1450">
            <v>833.55833810000001</v>
          </cell>
          <cell r="X1450">
            <v>834.12633270000003</v>
          </cell>
          <cell r="Y1450">
            <v>834.70618000000002</v>
          </cell>
          <cell r="Z1450">
            <v>835.28072889999999</v>
          </cell>
          <cell r="AA1450">
            <v>835.9029822</v>
          </cell>
          <cell r="AB1450">
            <v>836.75081439999997</v>
          </cell>
          <cell r="AC1450">
            <v>837.84906569999998</v>
          </cell>
          <cell r="AD1450">
            <v>839.14126269999997</v>
          </cell>
          <cell r="AE1450">
            <v>840.1179439</v>
          </cell>
          <cell r="AF1450">
            <v>840.68927840000003</v>
          </cell>
          <cell r="AG1450">
            <v>841.05228620000003</v>
          </cell>
          <cell r="AH1450">
            <v>841.3498204</v>
          </cell>
          <cell r="AI1450">
            <v>841.67228379999995</v>
          </cell>
          <cell r="AJ1450">
            <v>842.06224769999994</v>
          </cell>
          <cell r="AK1450">
            <v>842.52354779999996</v>
          </cell>
          <cell r="AL1450">
            <v>843.03675850000002</v>
          </cell>
          <cell r="AM1450">
            <v>843.57609079999997</v>
          </cell>
          <cell r="AN1450">
            <v>844.12205410000001</v>
          </cell>
          <cell r="AO1450">
            <v>844.66690229999995</v>
          </cell>
        </row>
        <row r="1455">
          <cell r="F1455">
            <v>21272.308980000002</v>
          </cell>
          <cell r="G1455">
            <v>21215.48531</v>
          </cell>
          <cell r="H1455">
            <v>21159.806390000002</v>
          </cell>
          <cell r="I1455">
            <v>21155.991770000001</v>
          </cell>
          <cell r="J1455">
            <v>21203.39889</v>
          </cell>
          <cell r="K1455">
            <v>21287.78254</v>
          </cell>
          <cell r="L1455">
            <v>21411.079849999998</v>
          </cell>
          <cell r="M1455">
            <v>21523.873350000002</v>
          </cell>
          <cell r="N1455">
            <v>21611.906319999998</v>
          </cell>
          <cell r="O1455">
            <v>21682.185590000001</v>
          </cell>
          <cell r="P1455">
            <v>21733.727620000001</v>
          </cell>
          <cell r="Q1455">
            <v>21822.001619999999</v>
          </cell>
          <cell r="R1455">
            <v>21928.002639999999</v>
          </cell>
          <cell r="S1455">
            <v>22041.472979999999</v>
          </cell>
          <cell r="T1455">
            <v>22154.874640000002</v>
          </cell>
          <cell r="U1455">
            <v>22262.83438</v>
          </cell>
          <cell r="V1455">
            <v>22362.89012</v>
          </cell>
          <cell r="W1455">
            <v>22455.582299999998</v>
          </cell>
          <cell r="X1455">
            <v>22543.552189999999</v>
          </cell>
          <cell r="Y1455">
            <v>22630.14014</v>
          </cell>
          <cell r="Z1455">
            <v>22725.665730000001</v>
          </cell>
          <cell r="AA1455">
            <v>22807.706610000001</v>
          </cell>
          <cell r="AB1455">
            <v>22891.134699999999</v>
          </cell>
          <cell r="AC1455">
            <v>22979.910599999999</v>
          </cell>
          <cell r="AD1455">
            <v>23073.590550000001</v>
          </cell>
          <cell r="AE1455">
            <v>23186.356349999998</v>
          </cell>
          <cell r="AF1455">
            <v>23269.067920000001</v>
          </cell>
          <cell r="AG1455">
            <v>23337.876690000001</v>
          </cell>
          <cell r="AH1455">
            <v>23401.504260000002</v>
          </cell>
          <cell r="AI1455">
            <v>23464.458259999999</v>
          </cell>
          <cell r="AJ1455">
            <v>23528.654699999999</v>
          </cell>
          <cell r="AK1455">
            <v>23594.461350000001</v>
          </cell>
          <cell r="AL1455">
            <v>23661.486430000001</v>
          </cell>
          <cell r="AM1455">
            <v>23729.151549999999</v>
          </cell>
          <cell r="AN1455">
            <v>23797.02749</v>
          </cell>
          <cell r="AO1455">
            <v>23864.943350000001</v>
          </cell>
        </row>
        <row r="1458">
          <cell r="F1458">
            <v>43.714355689999998</v>
          </cell>
          <cell r="G1458">
            <v>44.321585929999998</v>
          </cell>
          <cell r="H1458">
            <v>45.01172974</v>
          </cell>
          <cell r="I1458">
            <v>45.624406919999998</v>
          </cell>
          <cell r="J1458">
            <v>46.128755460000001</v>
          </cell>
          <cell r="K1458">
            <v>46.54505623</v>
          </cell>
          <cell r="L1458">
            <v>46.921919709999997</v>
          </cell>
          <cell r="M1458">
            <v>47.329933670000003</v>
          </cell>
          <cell r="N1458">
            <v>47.764864690000003</v>
          </cell>
          <cell r="O1458">
            <v>48.154204790000001</v>
          </cell>
          <cell r="P1458">
            <v>48.445126670000001</v>
          </cell>
          <cell r="Q1458">
            <v>48.573167300000001</v>
          </cell>
          <cell r="R1458">
            <v>48.557339560000003</v>
          </cell>
          <cell r="S1458">
            <v>48.450311669999998</v>
          </cell>
          <cell r="T1458">
            <v>48.307318680000002</v>
          </cell>
          <cell r="U1458">
            <v>48.166942050000003</v>
          </cell>
          <cell r="V1458">
            <v>48.045177049999999</v>
          </cell>
          <cell r="W1458">
            <v>47.940268099999997</v>
          </cell>
          <cell r="X1458">
            <v>47.841953529999998</v>
          </cell>
          <cell r="Y1458">
            <v>47.740206559999997</v>
          </cell>
          <cell r="Z1458">
            <v>47.612564089999999</v>
          </cell>
          <cell r="AA1458">
            <v>47.483339180000002</v>
          </cell>
          <cell r="AB1458">
            <v>47.358596409999997</v>
          </cell>
          <cell r="AC1458">
            <v>47.243033820000001</v>
          </cell>
          <cell r="AD1458">
            <v>47.140863029999998</v>
          </cell>
          <cell r="AE1458">
            <v>47.002337650000001</v>
          </cell>
          <cell r="AF1458">
            <v>46.870642619999998</v>
          </cell>
          <cell r="AG1458">
            <v>46.745115149999997</v>
          </cell>
          <cell r="AH1458">
            <v>46.618396779999998</v>
          </cell>
          <cell r="AI1458">
            <v>46.48609939</v>
          </cell>
          <cell r="AJ1458">
            <v>46.348075979999997</v>
          </cell>
          <cell r="AK1458">
            <v>46.206725560000002</v>
          </cell>
          <cell r="AL1458">
            <v>46.06489663</v>
          </cell>
          <cell r="AM1458">
            <v>45.924373770000003</v>
          </cell>
          <cell r="AN1458">
            <v>45.785333780000002</v>
          </cell>
          <cell r="AO1458">
            <v>45.646704010000001</v>
          </cell>
        </row>
        <row r="1463">
          <cell r="F1463">
            <v>57.164447150000001</v>
          </cell>
          <cell r="G1463">
            <v>56.985346819999997</v>
          </cell>
          <cell r="H1463">
            <v>56.66720093</v>
          </cell>
          <cell r="I1463">
            <v>56.362241259999998</v>
          </cell>
          <cell r="J1463">
            <v>56.195103899999999</v>
          </cell>
          <cell r="K1463">
            <v>56.246847240000001</v>
          </cell>
          <cell r="L1463">
            <v>56.584343189999998</v>
          </cell>
          <cell r="M1463">
            <v>57.283585960000003</v>
          </cell>
          <cell r="N1463">
            <v>58.282201440000001</v>
          </cell>
          <cell r="O1463">
            <v>59.37858043</v>
          </cell>
          <cell r="P1463">
            <v>60.354491719999999</v>
          </cell>
          <cell r="Q1463">
            <v>61.033084610000003</v>
          </cell>
          <cell r="R1463">
            <v>61.368623589999999</v>
          </cell>
          <cell r="S1463">
            <v>61.420279200000003</v>
          </cell>
          <cell r="T1463">
            <v>61.301608880000003</v>
          </cell>
          <cell r="U1463">
            <v>61.123062169999997</v>
          </cell>
          <cell r="V1463">
            <v>60.955864599999998</v>
          </cell>
          <cell r="W1463">
            <v>60.831428019999997</v>
          </cell>
          <cell r="X1463">
            <v>60.754596960000001</v>
          </cell>
          <cell r="Y1463">
            <v>60.720364230000001</v>
          </cell>
          <cell r="Z1463">
            <v>60.709748230000002</v>
          </cell>
          <cell r="AA1463">
            <v>60.74203395</v>
          </cell>
          <cell r="AB1463">
            <v>60.828788670000002</v>
          </cell>
          <cell r="AC1463">
            <v>60.977740949999998</v>
          </cell>
          <cell r="AD1463">
            <v>61.191871480000003</v>
          </cell>
          <cell r="AE1463">
            <v>61.415472399999999</v>
          </cell>
          <cell r="AF1463">
            <v>61.664727759999998</v>
          </cell>
          <cell r="AG1463">
            <v>61.921159070000002</v>
          </cell>
          <cell r="AH1463">
            <v>62.159630159999999</v>
          </cell>
          <cell r="AI1463">
            <v>62.362976279999998</v>
          </cell>
          <cell r="AJ1463">
            <v>62.525867169999998</v>
          </cell>
          <cell r="AK1463">
            <v>62.651642549999998</v>
          </cell>
          <cell r="AL1463">
            <v>62.748409520000003</v>
          </cell>
          <cell r="AM1463">
            <v>62.825078060000003</v>
          </cell>
          <cell r="AN1463">
            <v>62.888582759999998</v>
          </cell>
          <cell r="AO1463">
            <v>62.94324932</v>
          </cell>
        </row>
        <row r="1473">
          <cell r="F1473">
            <v>27365.952300000001</v>
          </cell>
          <cell r="G1473">
            <v>27341.989379999999</v>
          </cell>
          <cell r="H1473">
            <v>27341.122139999999</v>
          </cell>
          <cell r="I1473">
            <v>27384.126230000002</v>
          </cell>
          <cell r="J1473">
            <v>27460.44342</v>
          </cell>
          <cell r="K1473">
            <v>27559.116419999998</v>
          </cell>
          <cell r="L1473">
            <v>27658.564869999998</v>
          </cell>
          <cell r="M1473">
            <v>27761.852439999999</v>
          </cell>
          <cell r="N1473">
            <v>27868.896710000001</v>
          </cell>
          <cell r="O1473">
            <v>27979.766520000001</v>
          </cell>
          <cell r="P1473">
            <v>28111.1973</v>
          </cell>
          <cell r="Q1473">
            <v>28242.60946</v>
          </cell>
          <cell r="R1473">
            <v>28373.253830000001</v>
          </cell>
          <cell r="S1473">
            <v>28500.268919999999</v>
          </cell>
          <cell r="T1473">
            <v>28621.089449999999</v>
          </cell>
          <cell r="U1473">
            <v>28734.669419999998</v>
          </cell>
          <cell r="V1473">
            <v>28841.520390000001</v>
          </cell>
          <cell r="W1473">
            <v>28943.17699</v>
          </cell>
          <cell r="X1473">
            <v>29041.519690000001</v>
          </cell>
          <cell r="Y1473">
            <v>29138.234759999999</v>
          </cell>
          <cell r="Z1473">
            <v>29221.27593</v>
          </cell>
          <cell r="AA1473">
            <v>29307.9663</v>
          </cell>
          <cell r="AB1473">
            <v>29399.105210000002</v>
          </cell>
          <cell r="AC1473">
            <v>29494.034759999999</v>
          </cell>
          <cell r="AD1473">
            <v>29592.000830000001</v>
          </cell>
          <cell r="AE1473">
            <v>29650.405640000001</v>
          </cell>
          <cell r="AF1473">
            <v>29710.9768</v>
          </cell>
          <cell r="AG1473">
            <v>29772.372200000002</v>
          </cell>
          <cell r="AH1473">
            <v>29834.53816</v>
          </cell>
          <cell r="AI1473">
            <v>29898.132880000001</v>
          </cell>
          <cell r="AJ1473">
            <v>29963.463759999999</v>
          </cell>
          <cell r="AK1473">
            <v>30030.240539999999</v>
          </cell>
          <cell r="AL1473">
            <v>30097.841570000001</v>
          </cell>
          <cell r="AM1473">
            <v>30165.688480000001</v>
          </cell>
          <cell r="AN1473">
            <v>30233.48258</v>
          </cell>
          <cell r="AO1473">
            <v>30301.229469999998</v>
          </cell>
        </row>
        <row r="1474">
          <cell r="F1474">
            <v>760.57977960000005</v>
          </cell>
          <cell r="G1474">
            <v>751.63997489999997</v>
          </cell>
          <cell r="H1474">
            <v>738.59097459999998</v>
          </cell>
          <cell r="I1474">
            <v>725.65771329999995</v>
          </cell>
          <cell r="J1474">
            <v>715.18804790000002</v>
          </cell>
          <cell r="K1474">
            <v>708.04311700000005</v>
          </cell>
          <cell r="L1474">
            <v>703.82702879999999</v>
          </cell>
          <cell r="M1474">
            <v>701.85329400000001</v>
          </cell>
          <cell r="N1474">
            <v>701.23214210000003</v>
          </cell>
          <cell r="O1474">
            <v>701.09280439999998</v>
          </cell>
          <cell r="P1474">
            <v>701.12353759999996</v>
          </cell>
          <cell r="Q1474">
            <v>700.4538192</v>
          </cell>
          <cell r="R1474">
            <v>698.77922720000004</v>
          </cell>
          <cell r="S1474">
            <v>696.00074310000002</v>
          </cell>
          <cell r="T1474">
            <v>692.15410880000002</v>
          </cell>
          <cell r="U1474">
            <v>687.3630531</v>
          </cell>
          <cell r="V1474">
            <v>681.80523840000001</v>
          </cell>
          <cell r="W1474">
            <v>675.68541830000004</v>
          </cell>
          <cell r="X1474">
            <v>669.21248060000005</v>
          </cell>
          <cell r="Y1474">
            <v>662.57976369999994</v>
          </cell>
          <cell r="Z1474">
            <v>655.6906338</v>
          </cell>
          <cell r="AA1474">
            <v>648.94323610000004</v>
          </cell>
          <cell r="AB1474">
            <v>642.45136300000001</v>
          </cell>
          <cell r="AC1474">
            <v>636.27027740000005</v>
          </cell>
          <cell r="AD1474">
            <v>630.41368</v>
          </cell>
          <cell r="AE1474">
            <v>624.16392280000002</v>
          </cell>
          <cell r="AF1474">
            <v>617.93374630000005</v>
          </cell>
          <cell r="AG1474">
            <v>611.784357</v>
          </cell>
          <cell r="AH1474">
            <v>605.75454260000004</v>
          </cell>
          <cell r="AI1474">
            <v>599.87345740000001</v>
          </cell>
          <cell r="AJ1474">
            <v>594.15904079999996</v>
          </cell>
          <cell r="AK1474">
            <v>588.61452020000002</v>
          </cell>
          <cell r="AL1474">
            <v>583.22770779999996</v>
          </cell>
          <cell r="AM1474">
            <v>577.97416740000006</v>
          </cell>
          <cell r="AN1474">
            <v>572.82311049999998</v>
          </cell>
          <cell r="AO1474">
            <v>567.74385319999999</v>
          </cell>
        </row>
        <row r="1477">
          <cell r="F1477">
            <v>4364.089199</v>
          </cell>
          <cell r="G1477">
            <v>4412.2795299999998</v>
          </cell>
          <cell r="H1477">
            <v>4488.4154079999998</v>
          </cell>
          <cell r="I1477">
            <v>4555.1090400000003</v>
          </cell>
          <cell r="J1477">
            <v>4599.1043369999998</v>
          </cell>
          <cell r="K1477">
            <v>4622.8559690000002</v>
          </cell>
          <cell r="L1477">
            <v>4610.5154350000003</v>
          </cell>
          <cell r="M1477">
            <v>4593.3200580000002</v>
          </cell>
          <cell r="N1477">
            <v>4580.5303020000001</v>
          </cell>
          <cell r="O1477">
            <v>4573.670357</v>
          </cell>
          <cell r="P1477">
            <v>4603.6812890000001</v>
          </cell>
          <cell r="Q1477">
            <v>4605.2164759999996</v>
          </cell>
          <cell r="R1477">
            <v>4602.0617609999999</v>
          </cell>
          <cell r="S1477">
            <v>4601.0075669999997</v>
          </cell>
          <cell r="T1477">
            <v>4602.6236570000001</v>
          </cell>
          <cell r="U1477">
            <v>4606.0188289999996</v>
          </cell>
          <cell r="V1477">
            <v>4610.4446390000003</v>
          </cell>
          <cell r="W1477">
            <v>4615.6011859999999</v>
          </cell>
          <cell r="X1477">
            <v>4621.4959230000004</v>
          </cell>
          <cell r="Y1477">
            <v>4628.2299499999999</v>
          </cell>
          <cell r="Z1477">
            <v>4615.6171780000004</v>
          </cell>
          <cell r="AA1477">
            <v>4623.7643269999999</v>
          </cell>
          <cell r="AB1477">
            <v>4638.1338699999997</v>
          </cell>
          <cell r="AC1477">
            <v>4653.0591270000004</v>
          </cell>
          <cell r="AD1477">
            <v>4666.9977559999998</v>
          </cell>
          <cell r="AE1477">
            <v>4623.6308120000003</v>
          </cell>
          <cell r="AF1477">
            <v>4612.602844</v>
          </cell>
          <cell r="AG1477">
            <v>4615.8052399999997</v>
          </cell>
          <cell r="AH1477">
            <v>4624.3237959999997</v>
          </cell>
          <cell r="AI1477">
            <v>4634.4038860000001</v>
          </cell>
          <cell r="AJ1477">
            <v>4644.579909</v>
          </cell>
          <cell r="AK1477">
            <v>4654.2791180000004</v>
          </cell>
          <cell r="AL1477">
            <v>4663.2711859999999</v>
          </cell>
          <cell r="AM1477">
            <v>4671.5001519999996</v>
          </cell>
          <cell r="AN1477">
            <v>4679.0387959999998</v>
          </cell>
          <cell r="AO1477">
            <v>4686.0491389999997</v>
          </cell>
        </row>
        <row r="1487">
          <cell r="F1487">
            <v>1768.7137700000001</v>
          </cell>
          <cell r="G1487">
            <v>1826.9535860000001</v>
          </cell>
          <cell r="H1487">
            <v>1913.7235949999999</v>
          </cell>
          <cell r="I1487">
            <v>1987.4596750000001</v>
          </cell>
          <cell r="J1487">
            <v>2034.395082</v>
          </cell>
          <cell r="K1487">
            <v>2057.5133679999999</v>
          </cell>
          <cell r="L1487">
            <v>2043.8741709999999</v>
          </cell>
          <cell r="M1487">
            <v>2024.4316920000001</v>
          </cell>
          <cell r="N1487">
            <v>2008.6151010000001</v>
          </cell>
          <cell r="O1487">
            <v>1998.298959</v>
          </cell>
          <cell r="P1487">
            <v>2021.792031</v>
          </cell>
          <cell r="Q1487">
            <v>2018.4018639999999</v>
          </cell>
          <cell r="R1487">
            <v>2011.5884249999999</v>
          </cell>
          <cell r="S1487">
            <v>2007.889637</v>
          </cell>
          <cell r="T1487">
            <v>2007.8710619999999</v>
          </cell>
          <cell r="U1487">
            <v>2010.6180670000001</v>
          </cell>
          <cell r="V1487">
            <v>2015.233052</v>
          </cell>
          <cell r="W1487">
            <v>2021.1587050000001</v>
          </cell>
          <cell r="X1487">
            <v>2028.104098</v>
          </cell>
          <cell r="Y1487">
            <v>2035.897487</v>
          </cell>
          <cell r="Z1487">
            <v>2026.116579</v>
          </cell>
          <cell r="AA1487">
            <v>2035.7957939999999</v>
          </cell>
          <cell r="AB1487">
            <v>2050.6084770000002</v>
          </cell>
          <cell r="AC1487">
            <v>2065.241634</v>
          </cell>
          <cell r="AD1487">
            <v>2078.3458799999999</v>
          </cell>
          <cell r="AE1487">
            <v>2039.264473</v>
          </cell>
          <cell r="AF1487">
            <v>2031.56647</v>
          </cell>
          <cell r="AG1487">
            <v>2037.047309</v>
          </cell>
          <cell r="AH1487">
            <v>2047.137244</v>
          </cell>
          <cell r="AI1487">
            <v>2058.259497</v>
          </cell>
          <cell r="AJ1487">
            <v>2069.0538179999999</v>
          </cell>
          <cell r="AK1487">
            <v>2079.0557789999998</v>
          </cell>
          <cell r="AL1487">
            <v>2088.1534780000002</v>
          </cell>
          <cell r="AM1487">
            <v>2096.3957839999998</v>
          </cell>
          <cell r="AN1487">
            <v>2103.924763</v>
          </cell>
          <cell r="AO1487">
            <v>2110.9312490000002</v>
          </cell>
        </row>
        <row r="1489">
          <cell r="F1489">
            <v>868.09553140000003</v>
          </cell>
          <cell r="G1489">
            <v>861.27763200000004</v>
          </cell>
          <cell r="H1489">
            <v>852.63043640000001</v>
          </cell>
          <cell r="I1489">
            <v>845.38105780000001</v>
          </cell>
          <cell r="J1489">
            <v>840.42829140000003</v>
          </cell>
          <cell r="K1489">
            <v>837.64288469999997</v>
          </cell>
          <cell r="L1489">
            <v>836.45363989999998</v>
          </cell>
          <cell r="M1489">
            <v>836.24502689999997</v>
          </cell>
          <cell r="N1489">
            <v>836.63500250000004</v>
          </cell>
          <cell r="O1489">
            <v>837.41723760000002</v>
          </cell>
          <cell r="P1489">
            <v>838.61040390000005</v>
          </cell>
          <cell r="Q1489">
            <v>840.2671732</v>
          </cell>
          <cell r="R1489">
            <v>842.04871279999998</v>
          </cell>
          <cell r="S1489">
            <v>843.74054360000002</v>
          </cell>
          <cell r="T1489">
            <v>845.22720719999995</v>
          </cell>
          <cell r="U1489">
            <v>846.46865449999996</v>
          </cell>
          <cell r="V1489">
            <v>847.48190060000002</v>
          </cell>
          <cell r="W1489">
            <v>848.32016799999997</v>
          </cell>
          <cell r="X1489">
            <v>849.05092330000002</v>
          </cell>
          <cell r="Y1489">
            <v>849.73783109999999</v>
          </cell>
          <cell r="Z1489">
            <v>850.29659330000004</v>
          </cell>
          <cell r="AA1489">
            <v>850.75469989999999</v>
          </cell>
          <cell r="AB1489">
            <v>851.29852730000005</v>
          </cell>
          <cell r="AC1489">
            <v>851.9954778</v>
          </cell>
          <cell r="AD1489">
            <v>852.84808769999995</v>
          </cell>
          <cell r="AE1489">
            <v>853.38507349999998</v>
          </cell>
          <cell r="AF1489">
            <v>853.56791480000004</v>
          </cell>
          <cell r="AG1489">
            <v>853.61361250000004</v>
          </cell>
          <cell r="AH1489">
            <v>853.66458550000004</v>
          </cell>
          <cell r="AI1489">
            <v>853.79833670000005</v>
          </cell>
          <cell r="AJ1489">
            <v>854.04077080000002</v>
          </cell>
          <cell r="AK1489">
            <v>854.38174719999995</v>
          </cell>
          <cell r="AL1489">
            <v>854.79331730000001</v>
          </cell>
          <cell r="AM1489">
            <v>855.24603820000004</v>
          </cell>
          <cell r="AN1489">
            <v>855.71921410000004</v>
          </cell>
          <cell r="AO1489">
            <v>856.20373889999996</v>
          </cell>
        </row>
        <row r="1494">
          <cell r="F1494">
            <v>21272.308980000002</v>
          </cell>
          <cell r="G1494">
            <v>21215.48531</v>
          </cell>
          <cell r="H1494">
            <v>21159.806390000002</v>
          </cell>
          <cell r="I1494">
            <v>21155.991770000001</v>
          </cell>
          <cell r="J1494">
            <v>21203.39889</v>
          </cell>
          <cell r="K1494">
            <v>21287.78254</v>
          </cell>
          <cell r="L1494">
            <v>21404.354329999998</v>
          </cell>
          <cell r="M1494">
            <v>21526.221880000001</v>
          </cell>
          <cell r="N1494">
            <v>21645.344440000001</v>
          </cell>
          <cell r="O1494">
            <v>21761.413280000001</v>
          </cell>
          <cell r="P1494">
            <v>21860.55359</v>
          </cell>
          <cell r="Q1494">
            <v>21988.479139999999</v>
          </cell>
          <cell r="R1494">
            <v>22121.351979999999</v>
          </cell>
          <cell r="S1494">
            <v>22249.86104</v>
          </cell>
          <cell r="T1494">
            <v>22370.968690000002</v>
          </cell>
          <cell r="U1494">
            <v>22484.446739999999</v>
          </cell>
          <cell r="V1494">
            <v>22591.355</v>
          </cell>
          <cell r="W1494">
            <v>22693.245889999998</v>
          </cell>
          <cell r="X1494">
            <v>22791.674930000001</v>
          </cell>
          <cell r="Y1494">
            <v>22887.917870000001</v>
          </cell>
          <cell r="Z1494">
            <v>22990.273000000001</v>
          </cell>
          <cell r="AA1494">
            <v>23075.448779999999</v>
          </cell>
          <cell r="AB1494">
            <v>23158.444500000001</v>
          </cell>
          <cell r="AC1494">
            <v>23244.125189999999</v>
          </cell>
          <cell r="AD1494">
            <v>23333.250670000001</v>
          </cell>
          <cell r="AE1494">
            <v>23440.828730000001</v>
          </cell>
          <cell r="AF1494">
            <v>23518.50131</v>
          </cell>
          <cell r="AG1494">
            <v>23582.767039999999</v>
          </cell>
          <cell r="AH1494">
            <v>23642.330460000001</v>
          </cell>
          <cell r="AI1494">
            <v>23701.51686</v>
          </cell>
          <cell r="AJ1494">
            <v>23762.065190000001</v>
          </cell>
          <cell r="AK1494">
            <v>23824.26885</v>
          </cell>
          <cell r="AL1494">
            <v>23887.779640000001</v>
          </cell>
          <cell r="AM1494">
            <v>23952.13408</v>
          </cell>
          <cell r="AN1494">
            <v>24017.019690000001</v>
          </cell>
          <cell r="AO1494">
            <v>24082.329310000001</v>
          </cell>
        </row>
        <row r="1497">
          <cell r="F1497">
            <v>43.714355689999998</v>
          </cell>
          <cell r="G1497">
            <v>44.321585929999998</v>
          </cell>
          <cell r="H1497">
            <v>45.01172974</v>
          </cell>
          <cell r="I1497">
            <v>45.624406919999998</v>
          </cell>
          <cell r="J1497">
            <v>46.128755460000001</v>
          </cell>
          <cell r="K1497">
            <v>46.54505623</v>
          </cell>
          <cell r="L1497">
            <v>46.882677370000003</v>
          </cell>
          <cell r="M1497">
            <v>47.170954039999998</v>
          </cell>
          <cell r="N1497">
            <v>47.424079120000002</v>
          </cell>
          <cell r="O1497">
            <v>47.643329659999999</v>
          </cell>
          <cell r="P1497">
            <v>47.851206929999996</v>
          </cell>
          <cell r="Q1497">
            <v>48.013345180000002</v>
          </cell>
          <cell r="R1497">
            <v>48.134763120000002</v>
          </cell>
          <cell r="S1497">
            <v>48.223866870000002</v>
          </cell>
          <cell r="T1497">
            <v>48.284622800000001</v>
          </cell>
          <cell r="U1497">
            <v>48.316764050000003</v>
          </cell>
          <cell r="V1497">
            <v>48.318509630000001</v>
          </cell>
          <cell r="W1497">
            <v>48.289133249999999</v>
          </cell>
          <cell r="X1497">
            <v>48.23052071</v>
          </cell>
          <cell r="Y1497">
            <v>48.147401690000002</v>
          </cell>
          <cell r="Z1497">
            <v>48.028901840000003</v>
          </cell>
          <cell r="AA1497">
            <v>47.90385208</v>
          </cell>
          <cell r="AB1497">
            <v>47.778261520000001</v>
          </cell>
          <cell r="AC1497">
            <v>47.654837960000002</v>
          </cell>
          <cell r="AD1497">
            <v>47.536326789999997</v>
          </cell>
          <cell r="AE1497">
            <v>47.373698449999999</v>
          </cell>
          <cell r="AF1497">
            <v>47.212481660000002</v>
          </cell>
          <cell r="AG1497">
            <v>47.055644309999998</v>
          </cell>
          <cell r="AH1497">
            <v>46.899760069999999</v>
          </cell>
          <cell r="AI1497">
            <v>46.74355319</v>
          </cell>
          <cell r="AJ1497">
            <v>46.588457900000002</v>
          </cell>
          <cell r="AK1497">
            <v>46.436918910000003</v>
          </cell>
          <cell r="AL1497">
            <v>46.29066254</v>
          </cell>
          <cell r="AM1497">
            <v>46.149782940000001</v>
          </cell>
          <cell r="AN1497">
            <v>46.012790389999999</v>
          </cell>
          <cell r="AO1497">
            <v>45.877224200000001</v>
          </cell>
        </row>
        <row r="1502">
          <cell r="F1502">
            <v>57.164447150000001</v>
          </cell>
          <cell r="G1502">
            <v>56.985346819999997</v>
          </cell>
          <cell r="H1502">
            <v>56.66720093</v>
          </cell>
          <cell r="I1502">
            <v>56.362241259999998</v>
          </cell>
          <cell r="J1502">
            <v>56.195103899999999</v>
          </cell>
          <cell r="K1502">
            <v>56.246847240000001</v>
          </cell>
          <cell r="L1502">
            <v>56.531756610000002</v>
          </cell>
          <cell r="M1502">
            <v>57.041223379999998</v>
          </cell>
          <cell r="N1502">
            <v>57.730745919999997</v>
          </cell>
          <cell r="O1502">
            <v>58.529504439999997</v>
          </cell>
          <cell r="P1502">
            <v>59.377279469999998</v>
          </cell>
          <cell r="Q1502">
            <v>60.179504889999997</v>
          </cell>
          <cell r="R1502">
            <v>60.877386549999997</v>
          </cell>
          <cell r="S1502">
            <v>61.435153759999999</v>
          </cell>
          <cell r="T1502">
            <v>61.831162880000001</v>
          </cell>
          <cell r="U1502">
            <v>62.055379430000002</v>
          </cell>
          <cell r="V1502">
            <v>62.115096659999999</v>
          </cell>
          <cell r="W1502">
            <v>62.0351967</v>
          </cell>
          <cell r="X1502">
            <v>61.854909409999998</v>
          </cell>
          <cell r="Y1502">
            <v>61.621945169999996</v>
          </cell>
          <cell r="Z1502">
            <v>61.369631339999998</v>
          </cell>
          <cell r="AA1502">
            <v>61.151411420000002</v>
          </cell>
          <cell r="AB1502">
            <v>60.998687779999997</v>
          </cell>
          <cell r="AC1502">
            <v>60.929856229999999</v>
          </cell>
          <cell r="AD1502">
            <v>60.954304499999999</v>
          </cell>
          <cell r="AE1502">
            <v>61.023397879999997</v>
          </cell>
          <cell r="AF1502">
            <v>61.158498940000001</v>
          </cell>
          <cell r="AG1502">
            <v>61.34630327</v>
          </cell>
          <cell r="AH1502">
            <v>61.565019839999998</v>
          </cell>
          <cell r="AI1502">
            <v>61.796784189999997</v>
          </cell>
          <cell r="AJ1502">
            <v>62.030385840000001</v>
          </cell>
          <cell r="AK1502">
            <v>62.25938567</v>
          </cell>
          <cell r="AL1502">
            <v>62.479061229999999</v>
          </cell>
          <cell r="AM1502">
            <v>62.684255550000003</v>
          </cell>
          <cell r="AN1502">
            <v>62.868976189999998</v>
          </cell>
          <cell r="AO1502">
            <v>63.026200590000002</v>
          </cell>
        </row>
        <row r="1512">
          <cell r="F1512">
            <v>1960078.507</v>
          </cell>
          <cell r="G1512">
            <v>1979390.612</v>
          </cell>
          <cell r="H1512">
            <v>2007843.7609999999</v>
          </cell>
          <cell r="I1512">
            <v>2040469.4439999999</v>
          </cell>
          <cell r="J1512">
            <v>2074230.3540000001</v>
          </cell>
          <cell r="K1512">
            <v>2108090.2999999998</v>
          </cell>
          <cell r="L1512">
            <v>2139172.5720000002</v>
          </cell>
          <cell r="M1512">
            <v>2162849.9479999999</v>
          </cell>
          <cell r="N1512">
            <v>2182241.5649999999</v>
          </cell>
          <cell r="O1512">
            <v>2202859.9640000002</v>
          </cell>
          <cell r="P1512">
            <v>2230521.2349999999</v>
          </cell>
          <cell r="Q1512">
            <v>2262786.9419999998</v>
          </cell>
          <cell r="R1512">
            <v>2299898.7889999999</v>
          </cell>
          <cell r="S1512">
            <v>2339149.5120000001</v>
          </cell>
          <cell r="T1512">
            <v>2378574.4180000001</v>
          </cell>
          <cell r="U1512">
            <v>2417145.537</v>
          </cell>
          <cell r="V1512">
            <v>2454820.75</v>
          </cell>
          <cell r="W1512">
            <v>2492236.7170000002</v>
          </cell>
          <cell r="X1512">
            <v>2530233.3840000001</v>
          </cell>
          <cell r="Y1512">
            <v>2569453.3590000002</v>
          </cell>
          <cell r="Z1512">
            <v>2608402.5060000001</v>
          </cell>
          <cell r="AA1512">
            <v>2649943.2710000002</v>
          </cell>
          <cell r="AB1512">
            <v>2692634.3879999998</v>
          </cell>
          <cell r="AC1512">
            <v>2736172.6669999999</v>
          </cell>
          <cell r="AD1512">
            <v>2780183.8</v>
          </cell>
          <cell r="AE1512">
            <v>2818438.5729999999</v>
          </cell>
          <cell r="AF1512">
            <v>2860015.463</v>
          </cell>
          <cell r="AG1512">
            <v>2901265.5720000002</v>
          </cell>
          <cell r="AH1512">
            <v>2943128.3220000002</v>
          </cell>
          <cell r="AI1512">
            <v>2985878.733</v>
          </cell>
          <cell r="AJ1512">
            <v>3029470.6630000002</v>
          </cell>
          <cell r="AK1512">
            <v>3073727.719</v>
          </cell>
          <cell r="AL1512">
            <v>3118487.165</v>
          </cell>
          <cell r="AM1512">
            <v>3163681.5780000002</v>
          </cell>
          <cell r="AN1512">
            <v>3209351.2170000002</v>
          </cell>
          <cell r="AO1512">
            <v>3255604.628</v>
          </cell>
        </row>
        <row r="1513">
          <cell r="F1513">
            <v>35217.934480000004</v>
          </cell>
          <cell r="G1513">
            <v>34849.874280000004</v>
          </cell>
          <cell r="H1513">
            <v>34692.604319999999</v>
          </cell>
          <cell r="I1513">
            <v>34679.482640000002</v>
          </cell>
          <cell r="J1513">
            <v>34796.312579999998</v>
          </cell>
          <cell r="K1513">
            <v>35018.728130000003</v>
          </cell>
          <cell r="L1513">
            <v>32948.334300000002</v>
          </cell>
          <cell r="M1513">
            <v>32767.825430000001</v>
          </cell>
          <cell r="N1513">
            <v>32717.653890000001</v>
          </cell>
          <cell r="O1513">
            <v>32630.764490000001</v>
          </cell>
          <cell r="P1513">
            <v>32580.408879999999</v>
          </cell>
          <cell r="Q1513">
            <v>32530.60701</v>
          </cell>
          <cell r="R1513">
            <v>32512.901959999999</v>
          </cell>
          <cell r="S1513">
            <v>32522.505079999999</v>
          </cell>
          <cell r="T1513">
            <v>32552.997759999998</v>
          </cell>
          <cell r="U1513">
            <v>32601.858049999999</v>
          </cell>
          <cell r="V1513">
            <v>32671.12585</v>
          </cell>
          <cell r="W1513">
            <v>32765.242099999999</v>
          </cell>
          <cell r="X1513">
            <v>32887.8459</v>
          </cell>
          <cell r="Y1513">
            <v>33039.355150000003</v>
          </cell>
          <cell r="Z1513">
            <v>33188.443879999999</v>
          </cell>
          <cell r="AA1513">
            <v>33375.882519999999</v>
          </cell>
          <cell r="AB1513">
            <v>33575.602919999998</v>
          </cell>
          <cell r="AC1513">
            <v>33779.523099999999</v>
          </cell>
          <cell r="AD1513">
            <v>33980.460400000004</v>
          </cell>
          <cell r="AE1513">
            <v>34093.866020000001</v>
          </cell>
          <cell r="AF1513">
            <v>34222.187830000003</v>
          </cell>
          <cell r="AG1513">
            <v>34339.489350000003</v>
          </cell>
          <cell r="AH1513">
            <v>34451.302839999997</v>
          </cell>
          <cell r="AI1513">
            <v>34561.207739999998</v>
          </cell>
          <cell r="AJ1513">
            <v>34670.752899999999</v>
          </cell>
          <cell r="AK1513">
            <v>34780.224580000002</v>
          </cell>
          <cell r="AL1513">
            <v>34889.556409999997</v>
          </cell>
          <cell r="AM1513">
            <v>34998.928099999997</v>
          </cell>
          <cell r="AN1513">
            <v>35108.920709999999</v>
          </cell>
          <cell r="AO1513">
            <v>35220.32718</v>
          </cell>
        </row>
        <row r="1516">
          <cell r="F1516">
            <v>335501.49680000002</v>
          </cell>
          <cell r="G1516">
            <v>344358.35920000001</v>
          </cell>
          <cell r="H1516">
            <v>354119.77980000002</v>
          </cell>
          <cell r="I1516">
            <v>361197.4693</v>
          </cell>
          <cell r="J1516">
            <v>366861.2389</v>
          </cell>
          <cell r="K1516">
            <v>371972.59139999998</v>
          </cell>
          <cell r="L1516">
            <v>374332.30829999998</v>
          </cell>
          <cell r="M1516">
            <v>376522.34259999997</v>
          </cell>
          <cell r="N1516">
            <v>378265.74400000001</v>
          </cell>
          <cell r="O1516">
            <v>380263.5687</v>
          </cell>
          <cell r="P1516">
            <v>387416.99099999998</v>
          </cell>
          <cell r="Q1516">
            <v>388639.93770000001</v>
          </cell>
          <cell r="R1516">
            <v>392839.29820000002</v>
          </cell>
          <cell r="S1516">
            <v>398043.96169999999</v>
          </cell>
          <cell r="T1516">
            <v>403567.82750000001</v>
          </cell>
          <cell r="U1516">
            <v>409100.90010000003</v>
          </cell>
          <cell r="V1516">
            <v>414564.97779999999</v>
          </cell>
          <cell r="W1516">
            <v>420030.3983</v>
          </cell>
          <cell r="X1516">
            <v>425624.53389999998</v>
          </cell>
          <cell r="Y1516">
            <v>431454.86690000002</v>
          </cell>
          <cell r="Z1516">
            <v>434512.97019999998</v>
          </cell>
          <cell r="AA1516">
            <v>442705.32010000001</v>
          </cell>
          <cell r="AB1516">
            <v>449822.58039999998</v>
          </cell>
          <cell r="AC1516">
            <v>456720.21899999998</v>
          </cell>
          <cell r="AD1516">
            <v>463569.15919999999</v>
          </cell>
          <cell r="AE1516">
            <v>461438.16009999998</v>
          </cell>
          <cell r="AF1516">
            <v>469947.95970000001</v>
          </cell>
          <cell r="AG1516">
            <v>476884.08439999999</v>
          </cell>
          <cell r="AH1516">
            <v>483533.06929999997</v>
          </cell>
          <cell r="AI1516">
            <v>490191.7341</v>
          </cell>
          <cell r="AJ1516">
            <v>496930.6115</v>
          </cell>
          <cell r="AK1516">
            <v>503749.87680000003</v>
          </cell>
          <cell r="AL1516">
            <v>510632.17570000002</v>
          </cell>
          <cell r="AM1516">
            <v>517567.54749999999</v>
          </cell>
          <cell r="AN1516">
            <v>524561.43819999998</v>
          </cell>
          <cell r="AO1516">
            <v>531631.05220000003</v>
          </cell>
        </row>
        <row r="1526">
          <cell r="F1526">
            <v>107947.6189</v>
          </cell>
          <cell r="G1526">
            <v>115963.9374</v>
          </cell>
          <cell r="H1526">
            <v>123297.24189999999</v>
          </cell>
          <cell r="I1526">
            <v>127517.2997</v>
          </cell>
          <cell r="J1526">
            <v>130123.0382</v>
          </cell>
          <cell r="K1526">
            <v>132048.95610000001</v>
          </cell>
          <cell r="L1526">
            <v>131243.7935</v>
          </cell>
          <cell r="M1526">
            <v>131454.07769999999</v>
          </cell>
          <cell r="N1526">
            <v>131704.2463</v>
          </cell>
          <cell r="O1526">
            <v>132216.17819999999</v>
          </cell>
          <cell r="P1526">
            <v>136950.94930000001</v>
          </cell>
          <cell r="Q1526">
            <v>135937.09400000001</v>
          </cell>
          <cell r="R1526">
            <v>137389.85630000001</v>
          </cell>
          <cell r="S1526">
            <v>139545.88639999999</v>
          </cell>
          <cell r="T1526">
            <v>141910.7438</v>
          </cell>
          <cell r="U1526">
            <v>144281.20800000001</v>
          </cell>
          <cell r="V1526">
            <v>146600.30809999999</v>
          </cell>
          <cell r="W1526">
            <v>148898.0344</v>
          </cell>
          <cell r="X1526">
            <v>151237.9607</v>
          </cell>
          <cell r="Y1526">
            <v>153674.9423</v>
          </cell>
          <cell r="Z1526">
            <v>153598.2268</v>
          </cell>
          <cell r="AA1526">
            <v>158017.35269999999</v>
          </cell>
          <cell r="AB1526">
            <v>161274.40789999999</v>
          </cell>
          <cell r="AC1526">
            <v>164248.677</v>
          </cell>
          <cell r="AD1526">
            <v>167128.36970000001</v>
          </cell>
          <cell r="AE1526">
            <v>162255.85019999999</v>
          </cell>
          <cell r="AF1526">
            <v>167041.79490000001</v>
          </cell>
          <cell r="AG1526">
            <v>170263.77729999999</v>
          </cell>
          <cell r="AH1526">
            <v>173172.58480000001</v>
          </cell>
          <cell r="AI1526">
            <v>176022.71239999999</v>
          </cell>
          <cell r="AJ1526">
            <v>178877.72959999999</v>
          </cell>
          <cell r="AK1526">
            <v>181748.3836</v>
          </cell>
          <cell r="AL1526">
            <v>184631.00510000001</v>
          </cell>
          <cell r="AM1526">
            <v>187523.76430000001</v>
          </cell>
          <cell r="AN1526">
            <v>190431.9473</v>
          </cell>
          <cell r="AO1526">
            <v>193366.31150000001</v>
          </cell>
        </row>
        <row r="1528">
          <cell r="F1528">
            <v>52060.205719999998</v>
          </cell>
          <cell r="G1528">
            <v>52046.551579999999</v>
          </cell>
          <cell r="H1528">
            <v>52333.410389999997</v>
          </cell>
          <cell r="I1528">
            <v>52808.46443</v>
          </cell>
          <cell r="J1528">
            <v>53388.755290000001</v>
          </cell>
          <cell r="K1528">
            <v>54028.061609999997</v>
          </cell>
          <cell r="L1528">
            <v>54714.324189999999</v>
          </cell>
          <cell r="M1528">
            <v>55220.010869999998</v>
          </cell>
          <cell r="N1528">
            <v>55633.61105</v>
          </cell>
          <cell r="O1528">
            <v>56064.04348</v>
          </cell>
          <cell r="P1528">
            <v>56617.847970000003</v>
          </cell>
          <cell r="Q1528">
            <v>57297.828569999998</v>
          </cell>
          <cell r="R1528">
            <v>58063.866320000001</v>
          </cell>
          <cell r="S1528">
            <v>58878.5887</v>
          </cell>
          <cell r="T1528">
            <v>59705.818910000002</v>
          </cell>
          <cell r="U1528">
            <v>60523.649799999999</v>
          </cell>
          <cell r="V1528">
            <v>61328.518060000002</v>
          </cell>
          <cell r="W1528">
            <v>62130.747069999998</v>
          </cell>
          <cell r="X1528">
            <v>62945.970439999997</v>
          </cell>
          <cell r="Y1528">
            <v>63787.210679999997</v>
          </cell>
          <cell r="Z1528">
            <v>64636.107839999997</v>
          </cell>
          <cell r="AA1528">
            <v>65516.311950000003</v>
          </cell>
          <cell r="AB1528">
            <v>66433.572450000007</v>
          </cell>
          <cell r="AC1528">
            <v>67376.282080000004</v>
          </cell>
          <cell r="AD1528">
            <v>68334.529049999997</v>
          </cell>
          <cell r="AE1528">
            <v>69219.675170000002</v>
          </cell>
          <cell r="AF1528">
            <v>70100.484219999998</v>
          </cell>
          <cell r="AG1528">
            <v>70993.193169999999</v>
          </cell>
          <cell r="AH1528">
            <v>71904.623149999999</v>
          </cell>
          <cell r="AI1528">
            <v>72837.100839999999</v>
          </cell>
          <cell r="AJ1528">
            <v>73789.107239999998</v>
          </cell>
          <cell r="AK1528">
            <v>74757.008549999999</v>
          </cell>
          <cell r="AL1528">
            <v>75737.321349999998</v>
          </cell>
          <cell r="AM1528">
            <v>76728.263690000007</v>
          </cell>
          <cell r="AN1528">
            <v>77730.131819999995</v>
          </cell>
          <cell r="AO1528">
            <v>78744.682520000002</v>
          </cell>
        </row>
        <row r="1533">
          <cell r="F1533">
            <v>1519666.3430000001</v>
          </cell>
          <cell r="G1533">
            <v>1530246.949</v>
          </cell>
          <cell r="H1533">
            <v>1548669.6040000001</v>
          </cell>
          <cell r="I1533">
            <v>1573577.2609999999</v>
          </cell>
          <cell r="J1533">
            <v>1600736.179</v>
          </cell>
          <cell r="K1533">
            <v>1628311.3149999999</v>
          </cell>
          <cell r="L1533">
            <v>1658011.564</v>
          </cell>
          <cell r="M1533">
            <v>1678647.4509999999</v>
          </cell>
          <cell r="N1533">
            <v>1695347.594</v>
          </cell>
          <cell r="O1533">
            <v>1713077.7320000001</v>
          </cell>
          <cell r="P1533">
            <v>1732613.419</v>
          </cell>
          <cell r="Q1533">
            <v>1762681.132</v>
          </cell>
          <cell r="R1533">
            <v>1794573.6310000001</v>
          </cell>
          <cell r="S1533">
            <v>1827563.4909999999</v>
          </cell>
          <cell r="T1533">
            <v>1860381.84</v>
          </cell>
          <cell r="U1533">
            <v>1892316.7039999999</v>
          </cell>
          <cell r="V1533">
            <v>1923402.9350000001</v>
          </cell>
          <cell r="W1533">
            <v>1954195.192</v>
          </cell>
          <cell r="X1533">
            <v>1985390.4720000001</v>
          </cell>
          <cell r="Y1533">
            <v>2017510.807</v>
          </cell>
          <cell r="Z1533">
            <v>2052133.5930000001</v>
          </cell>
          <cell r="AA1533">
            <v>2084109.5619999999</v>
          </cell>
          <cell r="AB1533">
            <v>2118242.1320000002</v>
          </cell>
          <cell r="AC1533">
            <v>2153386.5950000002</v>
          </cell>
          <cell r="AD1533">
            <v>2189013.0890000002</v>
          </cell>
          <cell r="AE1533">
            <v>2228055.1719999998</v>
          </cell>
          <cell r="AF1533">
            <v>2259716.3820000002</v>
          </cell>
          <cell r="AG1533">
            <v>2292628.5589999999</v>
          </cell>
          <cell r="AH1533">
            <v>2326437.0070000002</v>
          </cell>
          <cell r="AI1533">
            <v>2361114.0860000001</v>
          </cell>
          <cell r="AJ1533">
            <v>2396540.4720000001</v>
          </cell>
          <cell r="AK1533">
            <v>2432539.8569999998</v>
          </cell>
          <cell r="AL1533">
            <v>2468967.4440000001</v>
          </cell>
          <cell r="AM1533">
            <v>2505765.46</v>
          </cell>
          <cell r="AN1533">
            <v>2542967.1869999999</v>
          </cell>
          <cell r="AO1533">
            <v>2580661.335</v>
          </cell>
        </row>
        <row r="1536">
          <cell r="F1536">
            <v>3896.5538860000001</v>
          </cell>
          <cell r="G1536">
            <v>4090.6944189999999</v>
          </cell>
          <cell r="H1536">
            <v>4165.6361939999997</v>
          </cell>
          <cell r="I1536">
            <v>4240.1771239999998</v>
          </cell>
          <cell r="J1536">
            <v>4320.3410110000004</v>
          </cell>
          <cell r="K1536">
            <v>4403.9953340000002</v>
          </cell>
          <cell r="L1536">
            <v>4496.1415900000002</v>
          </cell>
          <cell r="M1536">
            <v>4596.1217829999996</v>
          </cell>
          <cell r="N1536">
            <v>4694.828458</v>
          </cell>
          <cell r="O1536">
            <v>4776.5100629999997</v>
          </cell>
          <cell r="P1536">
            <v>4849.4963079999998</v>
          </cell>
          <cell r="Q1536">
            <v>4896.2638200000001</v>
          </cell>
          <cell r="R1536">
            <v>4944.668533</v>
          </cell>
          <cell r="S1536">
            <v>4995.7403359999998</v>
          </cell>
          <cell r="T1536">
            <v>5050.2191110000003</v>
          </cell>
          <cell r="U1536">
            <v>5107.0968249999996</v>
          </cell>
          <cell r="V1536">
            <v>5164.3692780000001</v>
          </cell>
          <cell r="W1536">
            <v>5220.3514770000002</v>
          </cell>
          <cell r="X1536">
            <v>5274.3171780000002</v>
          </cell>
          <cell r="Y1536">
            <v>5326.6181669999996</v>
          </cell>
          <cell r="Z1536">
            <v>5370.4537579999997</v>
          </cell>
          <cell r="AA1536">
            <v>5426.6052</v>
          </cell>
          <cell r="AB1536">
            <v>5480.7338419999996</v>
          </cell>
          <cell r="AC1536">
            <v>5536.1447399999997</v>
          </cell>
          <cell r="AD1536">
            <v>5593.7839979999999</v>
          </cell>
          <cell r="AE1536">
            <v>5629.5118679999996</v>
          </cell>
          <cell r="AF1536">
            <v>5692.1144880000002</v>
          </cell>
          <cell r="AG1536">
            <v>5748.537284</v>
          </cell>
          <cell r="AH1536">
            <v>5802.4810980000002</v>
          </cell>
          <cell r="AI1536">
            <v>5855.8580309999998</v>
          </cell>
          <cell r="AJ1536">
            <v>5909.654082</v>
          </cell>
          <cell r="AK1536">
            <v>5964.3219790000003</v>
          </cell>
          <cell r="AL1536">
            <v>6019.9487959999997</v>
          </cell>
          <cell r="AM1536">
            <v>6076.3552040000004</v>
          </cell>
          <cell r="AN1536">
            <v>6133.2416999999996</v>
          </cell>
          <cell r="AO1536">
            <v>6190.3542280000001</v>
          </cell>
        </row>
        <row r="1541">
          <cell r="F1541">
            <v>13735.973319999999</v>
          </cell>
          <cell r="G1541">
            <v>13798.184010000001</v>
          </cell>
          <cell r="H1541">
            <v>13862.72622</v>
          </cell>
          <cell r="I1541">
            <v>13966.58957</v>
          </cell>
          <cell r="J1541">
            <v>14127.52713</v>
          </cell>
          <cell r="K1541">
            <v>14355.609270000001</v>
          </cell>
          <cell r="L1541">
            <v>14669.89928</v>
          </cell>
          <cell r="M1541">
            <v>15096.19651</v>
          </cell>
          <cell r="N1541">
            <v>15582.133400000001</v>
          </cell>
          <cell r="O1541">
            <v>16047.345740000001</v>
          </cell>
          <cell r="P1541">
            <v>16443.07128</v>
          </cell>
          <cell r="Q1541">
            <v>16741.172470000001</v>
          </cell>
          <cell r="R1541">
            <v>16964.42266</v>
          </cell>
          <cell r="S1541">
            <v>17145.22451</v>
          </cell>
          <cell r="T1541">
            <v>17315.71513</v>
          </cell>
          <cell r="U1541">
            <v>17495.32891</v>
          </cell>
          <cell r="V1541">
            <v>17688.8236</v>
          </cell>
          <cell r="W1541">
            <v>17894.786510000002</v>
          </cell>
          <cell r="X1541">
            <v>18110.244060000001</v>
          </cell>
          <cell r="Y1541">
            <v>18334.501410000001</v>
          </cell>
          <cell r="Z1541">
            <v>18560.936730000001</v>
          </cell>
          <cell r="AA1541">
            <v>18809.588769999998</v>
          </cell>
          <cell r="AB1541">
            <v>19079.766869999999</v>
          </cell>
          <cell r="AC1541">
            <v>19373.903429999998</v>
          </cell>
          <cell r="AD1541">
            <v>19692.777910000001</v>
          </cell>
          <cell r="AE1541">
            <v>20002.188600000001</v>
          </cell>
          <cell r="AF1541">
            <v>20336.33455</v>
          </cell>
          <cell r="AG1541">
            <v>20671.709040000002</v>
          </cell>
          <cell r="AH1541">
            <v>20999.839309999999</v>
          </cell>
          <cell r="AI1541">
            <v>21318.746289999999</v>
          </cell>
          <cell r="AJ1541">
            <v>21630.065289999999</v>
          </cell>
          <cell r="AK1541">
            <v>21936.429810000001</v>
          </cell>
          <cell r="AL1541">
            <v>22240.718430000001</v>
          </cell>
          <cell r="AM1541">
            <v>22545.023249999998</v>
          </cell>
          <cell r="AN1541">
            <v>22850.297119999999</v>
          </cell>
          <cell r="AO1541">
            <v>23156.876830000001</v>
          </cell>
        </row>
        <row r="1551">
          <cell r="F1551">
            <v>1960078.507</v>
          </cell>
          <cell r="G1551">
            <v>1979390.612</v>
          </cell>
          <cell r="H1551">
            <v>2007843.7609999999</v>
          </cell>
          <cell r="I1551">
            <v>2040469.4439999999</v>
          </cell>
          <cell r="J1551">
            <v>2074230.3540000001</v>
          </cell>
          <cell r="K1551">
            <v>2108090.2999999998</v>
          </cell>
          <cell r="L1551">
            <v>2140203.1519999998</v>
          </cell>
          <cell r="M1551">
            <v>2172135.9279999998</v>
          </cell>
          <cell r="N1551">
            <v>2203972.5290000001</v>
          </cell>
          <cell r="O1551">
            <v>2236393.8489999999</v>
          </cell>
          <cell r="P1551">
            <v>2271741.8489999999</v>
          </cell>
          <cell r="Q1551">
            <v>2307042.5329999998</v>
          </cell>
          <cell r="R1551">
            <v>2343245.9040000001</v>
          </cell>
          <cell r="S1551">
            <v>2379540.2749999999</v>
          </cell>
          <cell r="T1551">
            <v>2415852.0159999998</v>
          </cell>
          <cell r="U1551">
            <v>2452372.585</v>
          </cell>
          <cell r="V1551">
            <v>2489395.5090000001</v>
          </cell>
          <cell r="W1551">
            <v>2527192.969</v>
          </cell>
          <cell r="X1551">
            <v>2565937.574</v>
          </cell>
          <cell r="Y1551">
            <v>2605681.122</v>
          </cell>
          <cell r="Z1551">
            <v>2644568.5</v>
          </cell>
          <cell r="AA1551">
            <v>2685623.7349999999</v>
          </cell>
          <cell r="AB1551">
            <v>2727625.4139999999</v>
          </cell>
          <cell r="AC1551">
            <v>2770583.0619999999</v>
          </cell>
          <cell r="AD1551">
            <v>2814357.264</v>
          </cell>
          <cell r="AE1551">
            <v>2852674.557</v>
          </cell>
          <cell r="AF1551">
            <v>2894734.8429999999</v>
          </cell>
          <cell r="AG1551">
            <v>2936694.0440000002</v>
          </cell>
          <cell r="AH1551">
            <v>2979319.7820000001</v>
          </cell>
          <cell r="AI1551">
            <v>3022749.9010000001</v>
          </cell>
          <cell r="AJ1551">
            <v>3066869.085</v>
          </cell>
          <cell r="AK1551">
            <v>3111500.1510000001</v>
          </cell>
          <cell r="AL1551">
            <v>3156522.5460000001</v>
          </cell>
          <cell r="AM1551">
            <v>3201921.88</v>
          </cell>
          <cell r="AN1551">
            <v>3247777.5049999999</v>
          </cell>
          <cell r="AO1551">
            <v>3294210.7429999998</v>
          </cell>
        </row>
        <row r="1552">
          <cell r="F1552">
            <v>35217.934480000004</v>
          </cell>
          <cell r="G1552">
            <v>34849.874280000004</v>
          </cell>
          <cell r="H1552">
            <v>34692.604319999999</v>
          </cell>
          <cell r="I1552">
            <v>34679.482640000002</v>
          </cell>
          <cell r="J1552">
            <v>34796.312579999998</v>
          </cell>
          <cell r="K1552">
            <v>35018.728130000003</v>
          </cell>
          <cell r="L1552">
            <v>35290.326419999998</v>
          </cell>
          <cell r="M1552">
            <v>35596.383009999998</v>
          </cell>
          <cell r="N1552">
            <v>35912.645799999998</v>
          </cell>
          <cell r="O1552">
            <v>36222.171470000001</v>
          </cell>
          <cell r="P1552">
            <v>36556.412210000002</v>
          </cell>
          <cell r="Q1552">
            <v>36835.504280000001</v>
          </cell>
          <cell r="R1552">
            <v>37077.842040000003</v>
          </cell>
          <cell r="S1552">
            <v>37280.565009999998</v>
          </cell>
          <cell r="T1552">
            <v>37446.844060000003</v>
          </cell>
          <cell r="U1552">
            <v>37584.348689999999</v>
          </cell>
          <cell r="V1552">
            <v>37702.887949999997</v>
          </cell>
          <cell r="W1552">
            <v>37812.15941</v>
          </cell>
          <cell r="X1552">
            <v>37920.203560000002</v>
          </cell>
          <cell r="Y1552">
            <v>38032.730230000001</v>
          </cell>
          <cell r="Z1552">
            <v>38121.789830000002</v>
          </cell>
          <cell r="AA1552">
            <v>38242.988389999999</v>
          </cell>
          <cell r="AB1552">
            <v>38377.564279999999</v>
          </cell>
          <cell r="AC1552">
            <v>38525.191160000002</v>
          </cell>
          <cell r="AD1552">
            <v>38684.043989999998</v>
          </cell>
          <cell r="AE1552">
            <v>38762.529300000002</v>
          </cell>
          <cell r="AF1552">
            <v>38874.361100000002</v>
          </cell>
          <cell r="AG1552">
            <v>38989.682119999998</v>
          </cell>
          <cell r="AH1552">
            <v>39111.421750000001</v>
          </cell>
          <cell r="AI1552">
            <v>39240.102509999997</v>
          </cell>
          <cell r="AJ1552">
            <v>39374.397349999999</v>
          </cell>
          <cell r="AK1552">
            <v>39512.2183</v>
          </cell>
          <cell r="AL1552">
            <v>39651.674319999998</v>
          </cell>
          <cell r="AM1552">
            <v>39791.583720000002</v>
          </cell>
          <cell r="AN1552">
            <v>39931.509330000001</v>
          </cell>
          <cell r="AO1552">
            <v>40071.451000000001</v>
          </cell>
        </row>
        <row r="1555">
          <cell r="F1555">
            <v>335501.49680000002</v>
          </cell>
          <cell r="G1555">
            <v>344358.35920000001</v>
          </cell>
          <cell r="H1555">
            <v>354119.77980000002</v>
          </cell>
          <cell r="I1555">
            <v>361197.4693</v>
          </cell>
          <cell r="J1555">
            <v>366861.2389</v>
          </cell>
          <cell r="K1555">
            <v>371972.59139999998</v>
          </cell>
          <cell r="L1555">
            <v>373996.8799</v>
          </cell>
          <cell r="M1555">
            <v>377924.40049999999</v>
          </cell>
          <cell r="N1555">
            <v>382335.13780000003</v>
          </cell>
          <cell r="O1555">
            <v>387001.049</v>
          </cell>
          <cell r="P1555">
            <v>396165.10119999998</v>
          </cell>
          <cell r="Q1555">
            <v>398534.48430000001</v>
          </cell>
          <cell r="R1555">
            <v>403098.96519999998</v>
          </cell>
          <cell r="S1555">
            <v>408171.14069999999</v>
          </cell>
          <cell r="T1555">
            <v>413395.02010000002</v>
          </cell>
          <cell r="U1555">
            <v>418699.72570000001</v>
          </cell>
          <cell r="V1555">
            <v>424099.56699999998</v>
          </cell>
          <cell r="W1555">
            <v>429631.3799</v>
          </cell>
          <cell r="X1555">
            <v>435325.46260000003</v>
          </cell>
          <cell r="Y1555">
            <v>441194.47519999999</v>
          </cell>
          <cell r="Z1555">
            <v>444165.24239999999</v>
          </cell>
          <cell r="AA1555">
            <v>452176.40529999998</v>
          </cell>
          <cell r="AB1555">
            <v>459060.52669999999</v>
          </cell>
          <cell r="AC1555">
            <v>465732.66680000001</v>
          </cell>
          <cell r="AD1555">
            <v>472414.53490000003</v>
          </cell>
          <cell r="AE1555">
            <v>470168.32120000001</v>
          </cell>
          <cell r="AF1555">
            <v>478658.70850000001</v>
          </cell>
          <cell r="AG1555">
            <v>485636.05249999999</v>
          </cell>
          <cell r="AH1555">
            <v>492358.27350000001</v>
          </cell>
          <cell r="AI1555">
            <v>499095.87660000002</v>
          </cell>
          <cell r="AJ1555">
            <v>505902.89179999998</v>
          </cell>
          <cell r="AK1555">
            <v>512774.6372</v>
          </cell>
          <cell r="AL1555">
            <v>519697.4411</v>
          </cell>
          <cell r="AM1555">
            <v>526668.19999999995</v>
          </cell>
          <cell r="AN1555">
            <v>533697.77760000003</v>
          </cell>
          <cell r="AO1555">
            <v>540804.69790000003</v>
          </cell>
        </row>
        <row r="1565">
          <cell r="F1565">
            <v>107947.6189</v>
          </cell>
          <cell r="G1565">
            <v>115963.9374</v>
          </cell>
          <cell r="H1565">
            <v>123297.24189999999</v>
          </cell>
          <cell r="I1565">
            <v>127517.2997</v>
          </cell>
          <cell r="J1565">
            <v>130123.0382</v>
          </cell>
          <cell r="K1565">
            <v>132048.95610000001</v>
          </cell>
          <cell r="L1565">
            <v>131187.1967</v>
          </cell>
          <cell r="M1565">
            <v>132103.48560000001</v>
          </cell>
          <cell r="N1565">
            <v>133449.25440000001</v>
          </cell>
          <cell r="O1565">
            <v>135001.80100000001</v>
          </cell>
          <cell r="P1565">
            <v>140417.44339999999</v>
          </cell>
          <cell r="Q1565">
            <v>139652.09109999999</v>
          </cell>
          <cell r="R1565">
            <v>140979.3222</v>
          </cell>
          <cell r="S1565">
            <v>142791.8314</v>
          </cell>
          <cell r="T1565">
            <v>144773.95850000001</v>
          </cell>
          <cell r="U1565">
            <v>146848.89499999999</v>
          </cell>
          <cell r="V1565">
            <v>149004.7861</v>
          </cell>
          <cell r="W1565">
            <v>151248.67050000001</v>
          </cell>
          <cell r="X1565">
            <v>153587.3247</v>
          </cell>
          <cell r="Y1565">
            <v>156020.06690000001</v>
          </cell>
          <cell r="Z1565">
            <v>155900.99280000001</v>
          </cell>
          <cell r="AA1565">
            <v>160240.57260000001</v>
          </cell>
          <cell r="AB1565">
            <v>163404.01560000001</v>
          </cell>
          <cell r="AC1565">
            <v>166295.29740000001</v>
          </cell>
          <cell r="AD1565">
            <v>169124.1991</v>
          </cell>
          <cell r="AE1565">
            <v>164235.61900000001</v>
          </cell>
          <cell r="AF1565">
            <v>169043.07709999999</v>
          </cell>
          <cell r="AG1565">
            <v>172310.7935</v>
          </cell>
          <cell r="AH1565">
            <v>175273.47409999999</v>
          </cell>
          <cell r="AI1565">
            <v>178171.7231</v>
          </cell>
          <cell r="AJ1565">
            <v>181061.0336</v>
          </cell>
          <cell r="AK1565">
            <v>183950.53909999999</v>
          </cell>
          <cell r="AL1565">
            <v>186839.57430000001</v>
          </cell>
          <cell r="AM1565">
            <v>189730.89199999999</v>
          </cell>
          <cell r="AN1565">
            <v>192633.43359999999</v>
          </cell>
          <cell r="AO1565">
            <v>195559.33799999999</v>
          </cell>
        </row>
        <row r="1567">
          <cell r="F1567">
            <v>52060.205719999998</v>
          </cell>
          <cell r="G1567">
            <v>52046.551579999999</v>
          </cell>
          <cell r="H1567">
            <v>52333.410389999997</v>
          </cell>
          <cell r="I1567">
            <v>52808.46443</v>
          </cell>
          <cell r="J1567">
            <v>53388.755290000001</v>
          </cell>
          <cell r="K1567">
            <v>54028.061609999997</v>
          </cell>
          <cell r="L1567">
            <v>54685.201760000004</v>
          </cell>
          <cell r="M1567">
            <v>55348.371870000003</v>
          </cell>
          <cell r="N1567">
            <v>56025.242619999997</v>
          </cell>
          <cell r="O1567">
            <v>56725.770649999999</v>
          </cell>
          <cell r="P1567">
            <v>57482.018300000003</v>
          </cell>
          <cell r="Q1567">
            <v>58275.173770000001</v>
          </cell>
          <cell r="R1567">
            <v>59074.38766</v>
          </cell>
          <cell r="S1567">
            <v>59874.356419999996</v>
          </cell>
          <cell r="T1567">
            <v>60674.103640000001</v>
          </cell>
          <cell r="U1567">
            <v>61476.348030000001</v>
          </cell>
          <cell r="V1567">
            <v>62286.179040000003</v>
          </cell>
          <cell r="W1567">
            <v>63108.951990000001</v>
          </cell>
          <cell r="X1567">
            <v>63948.632879999997</v>
          </cell>
          <cell r="Y1567">
            <v>64807.14172</v>
          </cell>
          <cell r="Z1567">
            <v>65658.671000000002</v>
          </cell>
          <cell r="AA1567">
            <v>66530.097680000006</v>
          </cell>
          <cell r="AB1567">
            <v>67431.294139999998</v>
          </cell>
          <cell r="AC1567">
            <v>68357.235419999997</v>
          </cell>
          <cell r="AD1567">
            <v>69303.451350000003</v>
          </cell>
          <cell r="AE1567">
            <v>70180.949359999999</v>
          </cell>
          <cell r="AF1567">
            <v>71062.657930000001</v>
          </cell>
          <cell r="AG1567">
            <v>71961.692020000002</v>
          </cell>
          <cell r="AH1567">
            <v>72882.109979999994</v>
          </cell>
          <cell r="AI1567">
            <v>73823.778470000005</v>
          </cell>
          <cell r="AJ1567">
            <v>74783.782449999999</v>
          </cell>
          <cell r="AK1567">
            <v>75758.268960000001</v>
          </cell>
          <cell r="AL1567">
            <v>76744.335909999994</v>
          </cell>
          <cell r="AM1567">
            <v>77741.020069999999</v>
          </cell>
          <cell r="AN1567">
            <v>78749.20362</v>
          </cell>
          <cell r="AO1567">
            <v>79770.753750000003</v>
          </cell>
        </row>
        <row r="1572">
          <cell r="F1572">
            <v>1519666.3430000001</v>
          </cell>
          <cell r="G1572">
            <v>1530246.949</v>
          </cell>
          <cell r="H1572">
            <v>1548669.6040000001</v>
          </cell>
          <cell r="I1572">
            <v>1573577.2609999999</v>
          </cell>
          <cell r="J1572">
            <v>1600736.179</v>
          </cell>
          <cell r="K1572">
            <v>1628311.3149999999</v>
          </cell>
          <cell r="L1572">
            <v>1657107.416</v>
          </cell>
          <cell r="M1572">
            <v>1683719.264</v>
          </cell>
          <cell r="N1572">
            <v>1709689.463</v>
          </cell>
          <cell r="O1572">
            <v>1735956.227</v>
          </cell>
          <cell r="P1572">
            <v>1760554.4750000001</v>
          </cell>
          <cell r="Q1572">
            <v>1791959.4650000001</v>
          </cell>
          <cell r="R1572">
            <v>1822124.537</v>
          </cell>
          <cell r="S1572">
            <v>1851944.18</v>
          </cell>
          <cell r="T1572">
            <v>1881706.237</v>
          </cell>
          <cell r="U1572">
            <v>1911666.6810000001</v>
          </cell>
          <cell r="V1572">
            <v>1942086.6529999999</v>
          </cell>
          <cell r="W1572">
            <v>1973177.9909999999</v>
          </cell>
          <cell r="X1572">
            <v>2005058.6370000001</v>
          </cell>
          <cell r="Y1572">
            <v>2037745.861</v>
          </cell>
          <cell r="Z1572">
            <v>2072514.36</v>
          </cell>
          <cell r="AA1572">
            <v>2104324.7170000002</v>
          </cell>
          <cell r="AB1572">
            <v>2138144.997</v>
          </cell>
          <cell r="AC1572">
            <v>2173067.5830000001</v>
          </cell>
          <cell r="AD1572">
            <v>2208733.4989999998</v>
          </cell>
          <cell r="AE1572">
            <v>2248041.577</v>
          </cell>
          <cell r="AF1572">
            <v>2280255.2230000002</v>
          </cell>
          <cell r="AG1572">
            <v>2313849.9989999998</v>
          </cell>
          <cell r="AH1572">
            <v>2348331.7280000001</v>
          </cell>
          <cell r="AI1572">
            <v>2383568.0249999999</v>
          </cell>
          <cell r="AJ1572">
            <v>2419393.929</v>
          </cell>
          <cell r="AK1572">
            <v>2455643.5189999999</v>
          </cell>
          <cell r="AL1572">
            <v>2492216.4879999999</v>
          </cell>
          <cell r="AM1572">
            <v>2529106.5490000001</v>
          </cell>
          <cell r="AN1572">
            <v>2566384.9580000001</v>
          </cell>
          <cell r="AO1572">
            <v>2604156.1170000001</v>
          </cell>
        </row>
        <row r="1575">
          <cell r="F1575">
            <v>3896.5538860000001</v>
          </cell>
          <cell r="G1575">
            <v>4090.6944189999999</v>
          </cell>
          <cell r="H1575">
            <v>4165.6361939999997</v>
          </cell>
          <cell r="I1575">
            <v>4240.1771239999998</v>
          </cell>
          <cell r="J1575">
            <v>4320.3410110000004</v>
          </cell>
          <cell r="K1575">
            <v>4403.9953340000002</v>
          </cell>
          <cell r="L1575">
            <v>4481.6521190000003</v>
          </cell>
          <cell r="M1575">
            <v>4563.1171210000002</v>
          </cell>
          <cell r="N1575">
            <v>4642.8805439999996</v>
          </cell>
          <cell r="O1575">
            <v>4719.2203289999998</v>
          </cell>
          <cell r="P1575">
            <v>4802.2755420000003</v>
          </cell>
          <cell r="Q1575">
            <v>4867.2377489999999</v>
          </cell>
          <cell r="R1575">
            <v>4936.0550860000003</v>
          </cell>
          <cell r="S1575">
            <v>5004.5389699999996</v>
          </cell>
          <cell r="T1575">
            <v>5070.9871080000003</v>
          </cell>
          <cell r="U1575">
            <v>5134.6682449999998</v>
          </cell>
          <cell r="V1575">
            <v>5195.4500710000002</v>
          </cell>
          <cell r="W1575">
            <v>5253.6364830000002</v>
          </cell>
          <cell r="X1575">
            <v>5309.8592479999998</v>
          </cell>
          <cell r="Y1575">
            <v>5364.9028109999999</v>
          </cell>
          <cell r="Z1575">
            <v>5411.7464879999998</v>
          </cell>
          <cell r="AA1575">
            <v>5470.0701950000002</v>
          </cell>
          <cell r="AB1575">
            <v>5525.1137070000004</v>
          </cell>
          <cell r="AC1575">
            <v>5580.0224040000003</v>
          </cell>
          <cell r="AD1575">
            <v>5635.9619030000003</v>
          </cell>
          <cell r="AE1575">
            <v>5669.3866790000002</v>
          </cell>
          <cell r="AF1575">
            <v>5729.4443369999999</v>
          </cell>
          <cell r="AG1575">
            <v>5783.6000690000001</v>
          </cell>
          <cell r="AH1575">
            <v>5835.8919720000004</v>
          </cell>
          <cell r="AI1575">
            <v>5888.32107</v>
          </cell>
          <cell r="AJ1575">
            <v>5941.7658920000003</v>
          </cell>
          <cell r="AK1575">
            <v>5996.5076550000003</v>
          </cell>
          <cell r="AL1575">
            <v>6052.443706</v>
          </cell>
          <cell r="AM1575">
            <v>6109.253412</v>
          </cell>
          <cell r="AN1575">
            <v>6166.5736870000001</v>
          </cell>
          <cell r="AO1575">
            <v>6224.0974740000001</v>
          </cell>
        </row>
        <row r="1580">
          <cell r="F1580">
            <v>13735.973319999999</v>
          </cell>
          <cell r="G1580">
            <v>13798.184010000001</v>
          </cell>
          <cell r="H1580">
            <v>13862.72622</v>
          </cell>
          <cell r="I1580">
            <v>13966.58957</v>
          </cell>
          <cell r="J1580">
            <v>14127.52713</v>
          </cell>
          <cell r="K1580">
            <v>14355.609270000001</v>
          </cell>
          <cell r="L1580">
            <v>14641.675730000001</v>
          </cell>
          <cell r="M1580">
            <v>14984.391390000001</v>
          </cell>
          <cell r="N1580">
            <v>15367.15913</v>
          </cell>
          <cell r="O1580">
            <v>15769.410889999999</v>
          </cell>
          <cell r="P1580">
            <v>16181.56638</v>
          </cell>
          <cell r="Q1580">
            <v>16570.66864</v>
          </cell>
          <cell r="R1580">
            <v>16934.117829999999</v>
          </cell>
          <cell r="S1580">
            <v>17265.49453</v>
          </cell>
          <cell r="T1580">
            <v>17558.823909999999</v>
          </cell>
          <cell r="U1580">
            <v>17810.813330000001</v>
          </cell>
          <cell r="V1580">
            <v>18024.771830000002</v>
          </cell>
          <cell r="W1580">
            <v>18208.850409999999</v>
          </cell>
          <cell r="X1580">
            <v>18374.778699999999</v>
          </cell>
          <cell r="Y1580">
            <v>18536.011299999998</v>
          </cell>
          <cell r="Z1580">
            <v>18696.690770000001</v>
          </cell>
          <cell r="AA1580">
            <v>18879.457340000001</v>
          </cell>
          <cell r="AB1580">
            <v>19085.917580000001</v>
          </cell>
          <cell r="AC1580">
            <v>19320.363020000001</v>
          </cell>
          <cell r="AD1580">
            <v>19585.772799999999</v>
          </cell>
          <cell r="AE1580">
            <v>19851.79319</v>
          </cell>
          <cell r="AF1580">
            <v>20154.447810000001</v>
          </cell>
          <cell r="AG1580">
            <v>20473.01816</v>
          </cell>
          <cell r="AH1580">
            <v>20800.35641</v>
          </cell>
          <cell r="AI1580">
            <v>21133.797460000002</v>
          </cell>
          <cell r="AJ1580">
            <v>21472.31911</v>
          </cell>
          <cell r="AK1580">
            <v>21814.99973</v>
          </cell>
          <cell r="AL1580">
            <v>22160.163110000001</v>
          </cell>
          <cell r="AM1580">
            <v>22505.273550000002</v>
          </cell>
          <cell r="AN1580">
            <v>22847.482929999998</v>
          </cell>
          <cell r="AO1580">
            <v>23183.62615</v>
          </cell>
        </row>
        <row r="1600">
          <cell r="F1600">
            <v>473232.37319999997</v>
          </cell>
          <cell r="G1600">
            <v>478431.02830000001</v>
          </cell>
          <cell r="H1600">
            <v>485026.14669999998</v>
          </cell>
          <cell r="I1600">
            <v>493250.495</v>
          </cell>
          <cell r="J1600">
            <v>502253.05869999999</v>
          </cell>
          <cell r="K1600">
            <v>511291.53320000001</v>
          </cell>
          <cell r="L1600">
            <v>520283.44500000001</v>
          </cell>
          <cell r="M1600">
            <v>525608.49609999999</v>
          </cell>
          <cell r="N1600">
            <v>528578.63190000004</v>
          </cell>
          <cell r="O1600">
            <v>531342.41819999996</v>
          </cell>
          <cell r="P1600">
            <v>535471.28870000003</v>
          </cell>
          <cell r="Q1600">
            <v>542251.60829999996</v>
          </cell>
          <cell r="R1600">
            <v>550959.77859999996</v>
          </cell>
          <cell r="S1600">
            <v>560797.83900000004</v>
          </cell>
          <cell r="T1600">
            <v>570999.24349999998</v>
          </cell>
          <cell r="U1600">
            <v>581058.46</v>
          </cell>
          <cell r="V1600">
            <v>590833.69149999996</v>
          </cell>
          <cell r="W1600">
            <v>600479.91740000003</v>
          </cell>
          <cell r="X1600">
            <v>610285.72609999997</v>
          </cell>
          <cell r="Y1600">
            <v>620511.70010000002</v>
          </cell>
          <cell r="Z1600">
            <v>631320.80009999999</v>
          </cell>
          <cell r="AA1600">
            <v>642332.74650000001</v>
          </cell>
          <cell r="AB1600">
            <v>653832.14950000006</v>
          </cell>
          <cell r="AC1600">
            <v>665709.89029999997</v>
          </cell>
          <cell r="AD1600">
            <v>677784.72719999996</v>
          </cell>
          <cell r="AE1600">
            <v>689870.14029999997</v>
          </cell>
          <cell r="AF1600">
            <v>701225.62470000004</v>
          </cell>
          <cell r="AG1600">
            <v>712481.98620000004</v>
          </cell>
          <cell r="AH1600">
            <v>723913.52130000002</v>
          </cell>
          <cell r="AI1600">
            <v>735618.28189999994</v>
          </cell>
          <cell r="AJ1600">
            <v>747584.6618</v>
          </cell>
          <cell r="AK1600">
            <v>759743.41240000003</v>
          </cell>
          <cell r="AL1600">
            <v>772019.99690000003</v>
          </cell>
          <cell r="AM1600">
            <v>784371.78480000002</v>
          </cell>
          <cell r="AN1600">
            <v>796800.21629999997</v>
          </cell>
          <cell r="AO1600">
            <v>809340.36609999998</v>
          </cell>
        </row>
        <row r="1601">
          <cell r="F1601">
            <v>12189.78318</v>
          </cell>
          <cell r="G1601">
            <v>12187.914199999999</v>
          </cell>
          <cell r="H1601">
            <v>12151.81702</v>
          </cell>
          <cell r="I1601">
            <v>12130.72666</v>
          </cell>
          <cell r="J1601">
            <v>12139.187169999999</v>
          </cell>
          <cell r="K1601">
            <v>12176.85937</v>
          </cell>
          <cell r="L1601">
            <v>12277.381600000001</v>
          </cell>
          <cell r="M1601">
            <v>12325.179529999999</v>
          </cell>
          <cell r="N1601">
            <v>12305.61404</v>
          </cell>
          <cell r="O1601">
            <v>12251.51542</v>
          </cell>
          <cell r="P1601">
            <v>12199.52648</v>
          </cell>
          <cell r="Q1601">
            <v>12153.0211</v>
          </cell>
          <cell r="R1601">
            <v>12116.00476</v>
          </cell>
          <cell r="S1601">
            <v>12086.563539999999</v>
          </cell>
          <cell r="T1601">
            <v>12061.469289999999</v>
          </cell>
          <cell r="U1601">
            <v>12039.54773</v>
          </cell>
          <cell r="V1601">
            <v>12022.452719999999</v>
          </cell>
          <cell r="W1601">
            <v>12013.517599999999</v>
          </cell>
          <cell r="X1601">
            <v>12015.94983</v>
          </cell>
          <cell r="Y1601">
            <v>12031.41663</v>
          </cell>
          <cell r="Z1601">
            <v>12053.185009999999</v>
          </cell>
          <cell r="AA1601">
            <v>12086.52744</v>
          </cell>
          <cell r="AB1601">
            <v>12128.27558</v>
          </cell>
          <cell r="AC1601">
            <v>12174.490519999999</v>
          </cell>
          <cell r="AD1601">
            <v>12221.639499999999</v>
          </cell>
          <cell r="AE1601">
            <v>12249.46631</v>
          </cell>
          <cell r="AF1601">
            <v>12270.92448</v>
          </cell>
          <cell r="AG1601">
            <v>12288.43777</v>
          </cell>
          <cell r="AH1601">
            <v>12303.87464</v>
          </cell>
          <cell r="AI1601">
            <v>12318.486140000001</v>
          </cell>
          <cell r="AJ1601">
            <v>12332.789349999999</v>
          </cell>
          <cell r="AK1601">
            <v>12346.82417</v>
          </cell>
          <cell r="AL1601">
            <v>12360.53649</v>
          </cell>
          <cell r="AM1601">
            <v>12374.051820000001</v>
          </cell>
          <cell r="AN1601">
            <v>12387.74238</v>
          </cell>
          <cell r="AO1601">
            <v>12402.121639999999</v>
          </cell>
        </row>
        <row r="1604">
          <cell r="F1604">
            <v>67433.070340000006</v>
          </cell>
          <cell r="G1604">
            <v>68380.052349999998</v>
          </cell>
          <cell r="H1604">
            <v>69593.263510000004</v>
          </cell>
          <cell r="I1604">
            <v>70864.090379999994</v>
          </cell>
          <cell r="J1604">
            <v>72090.978210000001</v>
          </cell>
          <cell r="K1604">
            <v>73256.482659999994</v>
          </cell>
          <cell r="L1604">
            <v>74236.144579999993</v>
          </cell>
          <cell r="M1604">
            <v>74874.967999999993</v>
          </cell>
          <cell r="N1604">
            <v>75283.471239999999</v>
          </cell>
          <cell r="O1604">
            <v>75640.585590000002</v>
          </cell>
          <cell r="P1604">
            <v>76372.01715</v>
          </cell>
          <cell r="Q1604">
            <v>77031.926359999998</v>
          </cell>
          <cell r="R1604">
            <v>77848.645999999993</v>
          </cell>
          <cell r="S1604">
            <v>78823.248130000007</v>
          </cell>
          <cell r="T1604">
            <v>79885.916490000003</v>
          </cell>
          <cell r="U1604">
            <v>80974.335089999993</v>
          </cell>
          <cell r="V1604">
            <v>82059.14688</v>
          </cell>
          <cell r="W1604">
            <v>83142.986650000006</v>
          </cell>
          <cell r="X1604">
            <v>84246.937699999995</v>
          </cell>
          <cell r="Y1604">
            <v>85394.724990000002</v>
          </cell>
          <cell r="Z1604">
            <v>86411.198929999999</v>
          </cell>
          <cell r="AA1604">
            <v>87672.869309999995</v>
          </cell>
          <cell r="AB1604">
            <v>89025.3177</v>
          </cell>
          <cell r="AC1604">
            <v>90410.620190000001</v>
          </cell>
          <cell r="AD1604">
            <v>91809.297120000003</v>
          </cell>
          <cell r="AE1604">
            <v>92649.62328</v>
          </cell>
          <cell r="AF1604">
            <v>93812.910669999997</v>
          </cell>
          <cell r="AG1604">
            <v>95085.722550000006</v>
          </cell>
          <cell r="AH1604">
            <v>96394.572069999995</v>
          </cell>
          <cell r="AI1604">
            <v>97726.896859999993</v>
          </cell>
          <cell r="AJ1604">
            <v>99081.840679999994</v>
          </cell>
          <cell r="AK1604">
            <v>100456.7623</v>
          </cell>
          <cell r="AL1604">
            <v>101847.13989999999</v>
          </cell>
          <cell r="AM1604">
            <v>103249.48360000001</v>
          </cell>
          <cell r="AN1604">
            <v>104663.232</v>
          </cell>
          <cell r="AO1604">
            <v>106090.7053</v>
          </cell>
        </row>
        <row r="1614">
          <cell r="F1614">
            <v>7523.989826</v>
          </cell>
          <cell r="G1614">
            <v>7913.2368070000002</v>
          </cell>
          <cell r="H1614">
            <v>8426.502305</v>
          </cell>
          <cell r="I1614">
            <v>8863.1184620000004</v>
          </cell>
          <cell r="J1614">
            <v>9185.4755499999992</v>
          </cell>
          <cell r="K1614">
            <v>9421.5435620000007</v>
          </cell>
          <cell r="L1614">
            <v>9493.6815939999997</v>
          </cell>
          <cell r="M1614">
            <v>9513.9371790000005</v>
          </cell>
          <cell r="N1614">
            <v>9515.6243190000005</v>
          </cell>
          <cell r="O1614">
            <v>9525.9004659999991</v>
          </cell>
          <cell r="P1614">
            <v>9735.2976369999997</v>
          </cell>
          <cell r="Q1614">
            <v>9790.5726500000001</v>
          </cell>
          <cell r="R1614">
            <v>9874.0208399999992</v>
          </cell>
          <cell r="S1614">
            <v>10006.95469</v>
          </cell>
          <cell r="T1614">
            <v>10170.06789</v>
          </cell>
          <cell r="U1614">
            <v>10343.831620000001</v>
          </cell>
          <cell r="V1614">
            <v>10517.71502</v>
          </cell>
          <cell r="W1614">
            <v>10689.8482</v>
          </cell>
          <cell r="X1614">
            <v>10863.5082</v>
          </cell>
          <cell r="Y1614">
            <v>11043.23208</v>
          </cell>
          <cell r="Z1614">
            <v>11113.359259999999</v>
          </cell>
          <cell r="AA1614">
            <v>11330.861129999999</v>
          </cell>
          <cell r="AB1614">
            <v>11572.78872</v>
          </cell>
          <cell r="AC1614">
            <v>11808.41927</v>
          </cell>
          <cell r="AD1614">
            <v>12034.990820000001</v>
          </cell>
          <cell r="AE1614">
            <v>11904.653990000001</v>
          </cell>
          <cell r="AF1614">
            <v>12035.644969999999</v>
          </cell>
          <cell r="AG1614">
            <v>12234.48869</v>
          </cell>
          <cell r="AH1614">
            <v>12443.23933</v>
          </cell>
          <cell r="AI1614">
            <v>12651.419260000001</v>
          </cell>
          <cell r="AJ1614">
            <v>12859.13471</v>
          </cell>
          <cell r="AK1614">
            <v>13067.258229999999</v>
          </cell>
          <cell r="AL1614">
            <v>13275.93564</v>
          </cell>
          <cell r="AM1614">
            <v>13485.111580000001</v>
          </cell>
          <cell r="AN1614">
            <v>13695.07971</v>
          </cell>
          <cell r="AO1614">
            <v>13906.590050000001</v>
          </cell>
        </row>
        <row r="1616">
          <cell r="F1616">
            <v>15672.11339</v>
          </cell>
          <cell r="G1616">
            <v>15776.31237</v>
          </cell>
          <cell r="H1616">
            <v>15894.49726</v>
          </cell>
          <cell r="I1616">
            <v>16052.907300000001</v>
          </cell>
          <cell r="J1616">
            <v>16242.584000000001</v>
          </cell>
          <cell r="K1616">
            <v>16448.979459999999</v>
          </cell>
          <cell r="L1616">
            <v>16661.888589999999</v>
          </cell>
          <cell r="M1616">
            <v>16810.982250000001</v>
          </cell>
          <cell r="N1616">
            <v>16911.45378</v>
          </cell>
          <cell r="O1616">
            <v>17002.428059999998</v>
          </cell>
          <cell r="P1616">
            <v>17127.50301</v>
          </cell>
          <cell r="Q1616">
            <v>17299.695800000001</v>
          </cell>
          <cell r="R1616">
            <v>17514.84849</v>
          </cell>
          <cell r="S1616">
            <v>17759.62298</v>
          </cell>
          <cell r="T1616">
            <v>18018.302080000001</v>
          </cell>
          <cell r="U1616">
            <v>18278.980950000001</v>
          </cell>
          <cell r="V1616">
            <v>18536.69728</v>
          </cell>
          <cell r="W1616">
            <v>18792.945769999998</v>
          </cell>
          <cell r="X1616">
            <v>19052.833449999998</v>
          </cell>
          <cell r="Y1616">
            <v>19321.764009999999</v>
          </cell>
          <cell r="Z1616">
            <v>19597.174210000001</v>
          </cell>
          <cell r="AA1616">
            <v>19884.255140000001</v>
          </cell>
          <cell r="AB1616">
            <v>20184.41849</v>
          </cell>
          <cell r="AC1616">
            <v>20494.997469999998</v>
          </cell>
          <cell r="AD1616">
            <v>20812.262640000001</v>
          </cell>
          <cell r="AE1616">
            <v>21114.164990000001</v>
          </cell>
          <cell r="AF1616">
            <v>21409.460930000001</v>
          </cell>
          <cell r="AG1616">
            <v>21705.11249</v>
          </cell>
          <cell r="AH1616">
            <v>22005.455880000001</v>
          </cell>
          <cell r="AI1616">
            <v>22312.497739999999</v>
          </cell>
          <cell r="AJ1616">
            <v>22626.2889</v>
          </cell>
          <cell r="AK1616">
            <v>22945.64688</v>
          </cell>
          <cell r="AL1616">
            <v>23269.091899999999</v>
          </cell>
          <cell r="AM1616">
            <v>23595.61593</v>
          </cell>
          <cell r="AN1616">
            <v>23925.027129999999</v>
          </cell>
          <cell r="AO1616">
            <v>24257.849470000001</v>
          </cell>
        </row>
        <row r="1621">
          <cell r="F1621">
            <v>367266.26270000002</v>
          </cell>
          <cell r="G1621">
            <v>371236.76130000001</v>
          </cell>
          <cell r="H1621">
            <v>376362.92660000001</v>
          </cell>
          <cell r="I1621">
            <v>383008.27049999998</v>
          </cell>
          <cell r="J1621">
            <v>390404.26400000002</v>
          </cell>
          <cell r="K1621">
            <v>397828.79979999998</v>
          </cell>
          <cell r="L1621">
            <v>405286.51990000001</v>
          </cell>
          <cell r="M1621">
            <v>409480.21480000002</v>
          </cell>
          <cell r="N1621">
            <v>411619.74660000001</v>
          </cell>
          <cell r="O1621">
            <v>413637.17940000002</v>
          </cell>
          <cell r="P1621">
            <v>416629.57150000002</v>
          </cell>
          <cell r="Q1621">
            <v>422341.06719999999</v>
          </cell>
          <cell r="R1621">
            <v>429821.83500000002</v>
          </cell>
          <cell r="S1621">
            <v>438275.40059999999</v>
          </cell>
          <cell r="T1621">
            <v>447006.10100000002</v>
          </cell>
          <cell r="U1621">
            <v>455569.01370000001</v>
          </cell>
          <cell r="V1621">
            <v>463847.49680000002</v>
          </cell>
          <cell r="W1621">
            <v>471987.3652</v>
          </cell>
          <cell r="X1621">
            <v>480249.0294</v>
          </cell>
          <cell r="Y1621">
            <v>488863.53899999999</v>
          </cell>
          <cell r="Z1621">
            <v>498183.26650000003</v>
          </cell>
          <cell r="AA1621">
            <v>507432.34600000002</v>
          </cell>
          <cell r="AB1621">
            <v>517048.18479999999</v>
          </cell>
          <cell r="AC1621">
            <v>526983.74289999995</v>
          </cell>
          <cell r="AD1621">
            <v>537082.71</v>
          </cell>
          <cell r="AE1621">
            <v>547789.61120000004</v>
          </cell>
          <cell r="AF1621">
            <v>557448.68279999995</v>
          </cell>
          <cell r="AG1621">
            <v>566898.3112</v>
          </cell>
          <cell r="AH1621">
            <v>576485.54579999996</v>
          </cell>
          <cell r="AI1621">
            <v>586320.92940000002</v>
          </cell>
          <cell r="AJ1621">
            <v>596393.78200000001</v>
          </cell>
          <cell r="AK1621">
            <v>606637.81149999995</v>
          </cell>
          <cell r="AL1621">
            <v>616983.1176</v>
          </cell>
          <cell r="AM1621">
            <v>627390.15469999996</v>
          </cell>
          <cell r="AN1621">
            <v>637859.99670000002</v>
          </cell>
          <cell r="AO1621">
            <v>648424.10290000006</v>
          </cell>
        </row>
        <row r="1624">
          <cell r="F1624">
            <v>3918.3165840000001</v>
          </cell>
          <cell r="G1624">
            <v>4043.2712980000001</v>
          </cell>
          <cell r="H1624">
            <v>4175.6019619999997</v>
          </cell>
          <cell r="I1624">
            <v>4299.6320239999995</v>
          </cell>
          <cell r="J1624">
            <v>4415.2907169999999</v>
          </cell>
          <cell r="K1624">
            <v>4525.7804189999997</v>
          </cell>
          <cell r="L1624">
            <v>4635.8482940000004</v>
          </cell>
          <cell r="M1624">
            <v>4751.1050240000004</v>
          </cell>
          <cell r="N1624">
            <v>4870.3659289999996</v>
          </cell>
          <cell r="O1624">
            <v>4985.5624330000001</v>
          </cell>
          <cell r="P1624">
            <v>5091.7637420000001</v>
          </cell>
          <cell r="Q1624">
            <v>5182.0415169999997</v>
          </cell>
          <cell r="R1624">
            <v>5258.6163349999997</v>
          </cell>
          <cell r="S1624">
            <v>5326.5184179999997</v>
          </cell>
          <cell r="T1624">
            <v>5390.5258640000002</v>
          </cell>
          <cell r="U1624">
            <v>5453.6608249999999</v>
          </cell>
          <cell r="V1624">
            <v>5516.874057</v>
          </cell>
          <cell r="W1624">
            <v>5579.6706160000003</v>
          </cell>
          <cell r="X1624">
            <v>5641.0273139999999</v>
          </cell>
          <cell r="Y1624">
            <v>5700.1858869999996</v>
          </cell>
          <cell r="Z1624">
            <v>5754.5981760000004</v>
          </cell>
          <cell r="AA1624">
            <v>5808.0919240000003</v>
          </cell>
          <cell r="AB1624">
            <v>5861.4577159999999</v>
          </cell>
          <cell r="AC1624">
            <v>5915.2392570000002</v>
          </cell>
          <cell r="AD1624">
            <v>5970.0295640000004</v>
          </cell>
          <cell r="AE1624">
            <v>6018.5854410000002</v>
          </cell>
          <cell r="AF1624">
            <v>6067.9852270000001</v>
          </cell>
          <cell r="AG1624">
            <v>6117.8875740000003</v>
          </cell>
          <cell r="AH1624">
            <v>6167.1288080000004</v>
          </cell>
          <cell r="AI1624">
            <v>6215.2494500000003</v>
          </cell>
          <cell r="AJ1624">
            <v>6262.4197899999999</v>
          </cell>
          <cell r="AK1624">
            <v>6309.0853180000004</v>
          </cell>
          <cell r="AL1624">
            <v>6355.6848250000003</v>
          </cell>
          <cell r="AM1624">
            <v>6402.4855349999998</v>
          </cell>
          <cell r="AN1624">
            <v>6449.5432570000003</v>
          </cell>
          <cell r="AO1624">
            <v>6496.7676890000002</v>
          </cell>
        </row>
        <row r="1629">
          <cell r="F1629">
            <v>6752.8269749999999</v>
          </cell>
          <cell r="G1629">
            <v>6806.7166960000004</v>
          </cell>
          <cell r="H1629">
            <v>6848.0403109999997</v>
          </cell>
          <cell r="I1629">
            <v>6894.8682140000001</v>
          </cell>
          <cell r="J1629">
            <v>6960.7546380000003</v>
          </cell>
          <cell r="K1629">
            <v>7054.6314819999998</v>
          </cell>
          <cell r="L1629">
            <v>7185.6620499999999</v>
          </cell>
          <cell r="M1629">
            <v>7366.0465759999997</v>
          </cell>
          <cell r="N1629">
            <v>7587.980305</v>
          </cell>
          <cell r="O1629">
            <v>7825.14732</v>
          </cell>
          <cell r="P1629">
            <v>8050.9067839999998</v>
          </cell>
          <cell r="Q1629">
            <v>8243.8563020000001</v>
          </cell>
          <cell r="R1629">
            <v>8399.8280049999994</v>
          </cell>
          <cell r="S1629">
            <v>8526.4853779999994</v>
          </cell>
          <cell r="T1629">
            <v>8636.9288230000002</v>
          </cell>
          <cell r="U1629">
            <v>8742.9216230000002</v>
          </cell>
          <cell r="V1629">
            <v>8851.0237770000003</v>
          </cell>
          <cell r="W1629">
            <v>8963.4315299999998</v>
          </cell>
          <cell r="X1629">
            <v>9079.9484549999997</v>
          </cell>
          <cell r="Y1629">
            <v>9200.0696169999992</v>
          </cell>
          <cell r="Z1629">
            <v>9321.3772530000006</v>
          </cell>
          <cell r="AA1629">
            <v>9448.656653</v>
          </cell>
          <cell r="AB1629">
            <v>9584.495148</v>
          </cell>
          <cell r="AC1629">
            <v>9730.7999230000005</v>
          </cell>
          <cell r="AD1629">
            <v>9888.788391</v>
          </cell>
          <cell r="AE1629">
            <v>10048.689109999999</v>
          </cell>
          <cell r="AF1629">
            <v>10215.66066</v>
          </cell>
          <cell r="AG1629">
            <v>10386.51453</v>
          </cell>
          <cell r="AH1629">
            <v>10556.944090000001</v>
          </cell>
          <cell r="AI1629">
            <v>10724.222330000001</v>
          </cell>
          <cell r="AJ1629">
            <v>10887.541080000001</v>
          </cell>
          <cell r="AK1629">
            <v>11047.282230000001</v>
          </cell>
          <cell r="AL1629">
            <v>11204.426170000001</v>
          </cell>
          <cell r="AM1629">
            <v>11359.993119999999</v>
          </cell>
          <cell r="AN1629">
            <v>11514.67483</v>
          </cell>
          <cell r="AO1629">
            <v>11668.819149999999</v>
          </cell>
        </row>
        <row r="1639">
          <cell r="F1639">
            <v>473232.37319999997</v>
          </cell>
          <cell r="G1639">
            <v>478431.02830000001</v>
          </cell>
          <cell r="H1639">
            <v>485026.14669999998</v>
          </cell>
          <cell r="I1639">
            <v>493250.495</v>
          </cell>
          <cell r="J1639">
            <v>502253.05869999999</v>
          </cell>
          <cell r="K1639">
            <v>511291.53320000001</v>
          </cell>
          <cell r="L1639">
            <v>520076.64980000001</v>
          </cell>
          <cell r="M1639">
            <v>528235.27159999998</v>
          </cell>
          <cell r="N1639">
            <v>535967.55339999998</v>
          </cell>
          <cell r="O1639">
            <v>543615.82449999999</v>
          </cell>
          <cell r="P1639">
            <v>551320.3173</v>
          </cell>
          <cell r="Q1639">
            <v>559874.63300000003</v>
          </cell>
          <cell r="R1639">
            <v>568631.20990000002</v>
          </cell>
          <cell r="S1639">
            <v>577384.74300000002</v>
          </cell>
          <cell r="T1639">
            <v>586115.45700000005</v>
          </cell>
          <cell r="U1639">
            <v>594900.32200000004</v>
          </cell>
          <cell r="V1639">
            <v>603861.94449999998</v>
          </cell>
          <cell r="W1639">
            <v>613122.18709999998</v>
          </cell>
          <cell r="X1639">
            <v>622768.33889999997</v>
          </cell>
          <cell r="Y1639">
            <v>632838.87170000002</v>
          </cell>
          <cell r="Z1639">
            <v>643339.61100000003</v>
          </cell>
          <cell r="AA1639">
            <v>653898.73549999995</v>
          </cell>
          <cell r="AB1639">
            <v>664879.43669999996</v>
          </cell>
          <cell r="AC1639">
            <v>676290.90449999995</v>
          </cell>
          <cell r="AD1639">
            <v>688054.43700000003</v>
          </cell>
          <cell r="AE1639">
            <v>700002.20030000003</v>
          </cell>
          <cell r="AF1639">
            <v>711411.32550000004</v>
          </cell>
          <cell r="AG1639">
            <v>722859.93460000004</v>
          </cell>
          <cell r="AH1639">
            <v>734547.33039999998</v>
          </cell>
          <cell r="AI1639">
            <v>746502.69099999999</v>
          </cell>
          <cell r="AJ1639">
            <v>758668.99219999998</v>
          </cell>
          <cell r="AK1639">
            <v>770960.08</v>
          </cell>
          <cell r="AL1639">
            <v>783306.5784</v>
          </cell>
          <cell r="AM1639">
            <v>795681.23100000003</v>
          </cell>
          <cell r="AN1639">
            <v>808100.06039999996</v>
          </cell>
          <cell r="AO1639">
            <v>820604.95510000002</v>
          </cell>
        </row>
        <row r="1640">
          <cell r="F1640">
            <v>12189.78318</v>
          </cell>
          <cell r="G1640">
            <v>12187.914199999999</v>
          </cell>
          <cell r="H1640">
            <v>12151.81702</v>
          </cell>
          <cell r="I1640">
            <v>12130.72666</v>
          </cell>
          <cell r="J1640">
            <v>12139.187169999999</v>
          </cell>
          <cell r="K1640">
            <v>12176.85937</v>
          </cell>
          <cell r="L1640">
            <v>12232.58877</v>
          </cell>
          <cell r="M1640">
            <v>12299.096750000001</v>
          </cell>
          <cell r="N1640">
            <v>12370.730600000001</v>
          </cell>
          <cell r="O1640">
            <v>12442.857599999999</v>
          </cell>
          <cell r="P1640">
            <v>12520.96358</v>
          </cell>
          <cell r="Q1640">
            <v>12589.75726</v>
          </cell>
          <cell r="R1640">
            <v>12644.70851</v>
          </cell>
          <cell r="S1640">
            <v>12683.690420000001</v>
          </cell>
          <cell r="T1640">
            <v>12707.0524</v>
          </cell>
          <cell r="U1640">
            <v>12717.24027</v>
          </cell>
          <cell r="V1640">
            <v>12717.90374</v>
          </cell>
          <cell r="W1640">
            <v>12712.920990000001</v>
          </cell>
          <cell r="X1640">
            <v>12705.67052</v>
          </cell>
          <cell r="Y1640">
            <v>12698.66914</v>
          </cell>
          <cell r="Z1640">
            <v>12686.777539999999</v>
          </cell>
          <cell r="AA1640">
            <v>12679.31343</v>
          </cell>
          <cell r="AB1640">
            <v>12676.974840000001</v>
          </cell>
          <cell r="AC1640">
            <v>12679.53332</v>
          </cell>
          <cell r="AD1640">
            <v>12686.35268</v>
          </cell>
          <cell r="AE1640">
            <v>12678.07027</v>
          </cell>
          <cell r="AF1640">
            <v>12669.11205</v>
          </cell>
          <cell r="AG1640">
            <v>12661.69591</v>
          </cell>
          <cell r="AH1640">
            <v>12656.881670000001</v>
          </cell>
          <cell r="AI1640">
            <v>12654.85583</v>
          </cell>
          <cell r="AJ1640">
            <v>12655.099200000001</v>
          </cell>
          <cell r="AK1640">
            <v>12656.80243</v>
          </cell>
          <cell r="AL1640">
            <v>12659.27655</v>
          </cell>
          <cell r="AM1640">
            <v>12662.178959999999</v>
          </cell>
          <cell r="AN1640">
            <v>12665.517250000001</v>
          </cell>
          <cell r="AO1640">
            <v>12669.495199999999</v>
          </cell>
        </row>
        <row r="1643">
          <cell r="F1643">
            <v>67433.070340000006</v>
          </cell>
          <cell r="G1643">
            <v>68380.052349999998</v>
          </cell>
          <cell r="H1643">
            <v>69593.263510000004</v>
          </cell>
          <cell r="I1643">
            <v>70864.090379999994</v>
          </cell>
          <cell r="J1643">
            <v>72090.978210000001</v>
          </cell>
          <cell r="K1643">
            <v>73256.482659999994</v>
          </cell>
          <cell r="L1643">
            <v>74196.036269999997</v>
          </cell>
          <cell r="M1643">
            <v>75108.380690000005</v>
          </cell>
          <cell r="N1643">
            <v>76037.879669999995</v>
          </cell>
          <cell r="O1643">
            <v>76995.043489999996</v>
          </cell>
          <cell r="P1643">
            <v>78250.698699999994</v>
          </cell>
          <cell r="Q1643">
            <v>79275.42482</v>
          </cell>
          <cell r="R1643">
            <v>80281.934399999998</v>
          </cell>
          <cell r="S1643">
            <v>81311.299549999996</v>
          </cell>
          <cell r="T1643">
            <v>82356.976250000007</v>
          </cell>
          <cell r="U1643">
            <v>83413.460850000003</v>
          </cell>
          <cell r="V1643">
            <v>84483.934859999994</v>
          </cell>
          <cell r="W1643">
            <v>85576.603709999996</v>
          </cell>
          <cell r="X1643">
            <v>86699.806450000004</v>
          </cell>
          <cell r="Y1643">
            <v>87858.952170000004</v>
          </cell>
          <cell r="Z1643">
            <v>88862.079939999996</v>
          </cell>
          <cell r="AA1643">
            <v>90088.327409999998</v>
          </cell>
          <cell r="AB1643">
            <v>91388.744049999994</v>
          </cell>
          <cell r="AC1643">
            <v>92716.684819999995</v>
          </cell>
          <cell r="AD1643">
            <v>94064.363599999997</v>
          </cell>
          <cell r="AE1643">
            <v>94861.070250000004</v>
          </cell>
          <cell r="AF1643">
            <v>95998.747860000003</v>
          </cell>
          <cell r="AG1643">
            <v>97260.976620000001</v>
          </cell>
          <cell r="AH1643">
            <v>98568.841480000003</v>
          </cell>
          <cell r="AI1643">
            <v>99904.039130000005</v>
          </cell>
          <cell r="AJ1643">
            <v>101261.3033</v>
          </cell>
          <cell r="AK1643">
            <v>102635.7453</v>
          </cell>
          <cell r="AL1643">
            <v>104022.57709999999</v>
          </cell>
          <cell r="AM1643">
            <v>105419.1819</v>
          </cell>
          <cell r="AN1643">
            <v>106826.0523</v>
          </cell>
          <cell r="AO1643">
            <v>108246.0239</v>
          </cell>
        </row>
        <row r="1653">
          <cell r="F1653">
            <v>7523.989826</v>
          </cell>
          <cell r="G1653">
            <v>7913.2368070000002</v>
          </cell>
          <cell r="H1653">
            <v>8426.502305</v>
          </cell>
          <cell r="I1653">
            <v>8863.1184620000004</v>
          </cell>
          <cell r="J1653">
            <v>9185.4755499999992</v>
          </cell>
          <cell r="K1653">
            <v>9421.5435620000007</v>
          </cell>
          <cell r="L1653">
            <v>9491.7115389999999</v>
          </cell>
          <cell r="M1653">
            <v>9559.522062</v>
          </cell>
          <cell r="N1653">
            <v>9649.0950479999992</v>
          </cell>
          <cell r="O1653">
            <v>9756.9286009999996</v>
          </cell>
          <cell r="P1653">
            <v>10045.147070000001</v>
          </cell>
          <cell r="Q1653">
            <v>10144.156349999999</v>
          </cell>
          <cell r="R1653">
            <v>10234.81601</v>
          </cell>
          <cell r="S1653">
            <v>10348.35478</v>
          </cell>
          <cell r="T1653">
            <v>10479.810600000001</v>
          </cell>
          <cell r="U1653">
            <v>10622.46437</v>
          </cell>
          <cell r="V1653">
            <v>10773.197990000001</v>
          </cell>
          <cell r="W1653">
            <v>10931.476339999999</v>
          </cell>
          <cell r="X1653">
            <v>11097.66827</v>
          </cell>
          <cell r="Y1653">
            <v>11271.965539999999</v>
          </cell>
          <cell r="Z1653">
            <v>11334.48662</v>
          </cell>
          <cell r="AA1653">
            <v>11542.47957</v>
          </cell>
          <cell r="AB1653">
            <v>11773.229579999999</v>
          </cell>
          <cell r="AC1653">
            <v>11997.84773</v>
          </cell>
          <cell r="AD1653">
            <v>12215.62436</v>
          </cell>
          <cell r="AE1653">
            <v>12078.713369999999</v>
          </cell>
          <cell r="AF1653">
            <v>12207.49013</v>
          </cell>
          <cell r="AG1653">
            <v>12407.082249999999</v>
          </cell>
          <cell r="AH1653">
            <v>12618.11047</v>
          </cell>
          <cell r="AI1653">
            <v>12828.735619999999</v>
          </cell>
          <cell r="AJ1653">
            <v>13038.065409999999</v>
          </cell>
          <cell r="AK1653">
            <v>13246.50027</v>
          </cell>
          <cell r="AL1653">
            <v>13454.18831</v>
          </cell>
          <cell r="AM1653">
            <v>13661.34928</v>
          </cell>
          <cell r="AN1653">
            <v>13868.598749999999</v>
          </cell>
          <cell r="AO1653">
            <v>14076.89121</v>
          </cell>
        </row>
        <row r="1655">
          <cell r="F1655">
            <v>15672.11339</v>
          </cell>
          <cell r="G1655">
            <v>15776.31237</v>
          </cell>
          <cell r="H1655">
            <v>15894.49726</v>
          </cell>
          <cell r="I1655">
            <v>16052.907300000001</v>
          </cell>
          <cell r="J1655">
            <v>16242.584000000001</v>
          </cell>
          <cell r="K1655">
            <v>16448.979459999999</v>
          </cell>
          <cell r="L1655">
            <v>16658.00908</v>
          </cell>
          <cell r="M1655">
            <v>16863.37228</v>
          </cell>
          <cell r="N1655">
            <v>17066.70983</v>
          </cell>
          <cell r="O1655">
            <v>17272.80762</v>
          </cell>
          <cell r="P1655">
            <v>17493.035179999999</v>
          </cell>
          <cell r="Q1655">
            <v>17724.81654</v>
          </cell>
          <cell r="R1655">
            <v>17962.164659999999</v>
          </cell>
          <cell r="S1655">
            <v>18201.633099999999</v>
          </cell>
          <cell r="T1655">
            <v>18442.111110000002</v>
          </cell>
          <cell r="U1655">
            <v>18684.38437</v>
          </cell>
          <cell r="V1655">
            <v>18930.458620000001</v>
          </cell>
          <cell r="W1655">
            <v>19182.67628</v>
          </cell>
          <cell r="X1655">
            <v>19442.944680000001</v>
          </cell>
          <cell r="Y1655">
            <v>19712.314729999998</v>
          </cell>
          <cell r="Z1655">
            <v>19984.59778</v>
          </cell>
          <cell r="AA1655">
            <v>20264.76035</v>
          </cell>
          <cell r="AB1655">
            <v>20555.407510000001</v>
          </cell>
          <cell r="AC1655">
            <v>20856.165420000001</v>
          </cell>
          <cell r="AD1655">
            <v>21165.57446</v>
          </cell>
          <cell r="AE1655">
            <v>21462.144990000001</v>
          </cell>
          <cell r="AF1655">
            <v>21755.677790000002</v>
          </cell>
          <cell r="AG1655">
            <v>22052.47897</v>
          </cell>
          <cell r="AH1655">
            <v>22355.640439999999</v>
          </cell>
          <cell r="AI1655">
            <v>22665.88538</v>
          </cell>
          <cell r="AJ1655">
            <v>22982.333859999999</v>
          </cell>
          <cell r="AK1655">
            <v>23303.38408</v>
          </cell>
          <cell r="AL1655">
            <v>23627.577529999999</v>
          </cell>
          <cell r="AM1655">
            <v>23954.164799999999</v>
          </cell>
          <cell r="AN1655">
            <v>24283.234079999998</v>
          </cell>
          <cell r="AO1655">
            <v>24615.461429999999</v>
          </cell>
        </row>
        <row r="1660">
          <cell r="F1660">
            <v>367266.26270000002</v>
          </cell>
          <cell r="G1660">
            <v>371236.76130000001</v>
          </cell>
          <cell r="H1660">
            <v>376362.92660000001</v>
          </cell>
          <cell r="I1660">
            <v>383008.27049999998</v>
          </cell>
          <cell r="J1660">
            <v>390404.26400000002</v>
          </cell>
          <cell r="K1660">
            <v>397828.79979999998</v>
          </cell>
          <cell r="L1660">
            <v>405180.67170000001</v>
          </cell>
          <cell r="M1660">
            <v>411898.91320000001</v>
          </cell>
          <cell r="N1660">
            <v>418146.69510000001</v>
          </cell>
          <cell r="O1660">
            <v>424263.58750000002</v>
          </cell>
          <cell r="P1660">
            <v>430105.44660000002</v>
          </cell>
          <cell r="Q1660">
            <v>437029.64809999999</v>
          </cell>
          <cell r="R1660">
            <v>444192.69429999997</v>
          </cell>
          <cell r="S1660">
            <v>451357.85399999999</v>
          </cell>
          <cell r="T1660">
            <v>458516.71789999999</v>
          </cell>
          <cell r="U1660">
            <v>465752.2144</v>
          </cell>
          <cell r="V1660">
            <v>473179.62300000002</v>
          </cell>
          <cell r="W1660">
            <v>480905.1249</v>
          </cell>
          <cell r="X1660">
            <v>488998.4535</v>
          </cell>
          <cell r="Y1660">
            <v>497483.14640000003</v>
          </cell>
          <cell r="Z1660">
            <v>506566.60519999999</v>
          </cell>
          <cell r="AA1660">
            <v>515471.58659999998</v>
          </cell>
          <cell r="AB1660">
            <v>524701.92700000003</v>
          </cell>
          <cell r="AC1660">
            <v>534310.71369999996</v>
          </cell>
          <cell r="AD1660">
            <v>544226.36840000004</v>
          </cell>
          <cell r="AE1660">
            <v>554907.92669999995</v>
          </cell>
          <cell r="AF1660">
            <v>564702.37509999995</v>
          </cell>
          <cell r="AG1660">
            <v>574397.27879999997</v>
          </cell>
          <cell r="AH1660">
            <v>584270.44290000002</v>
          </cell>
          <cell r="AI1660">
            <v>594370.6973</v>
          </cell>
          <cell r="AJ1660">
            <v>604648.49360000005</v>
          </cell>
          <cell r="AK1660">
            <v>615025.19169999997</v>
          </cell>
          <cell r="AL1660">
            <v>625438.74239999999</v>
          </cell>
          <cell r="AM1660">
            <v>635866.55149999994</v>
          </cell>
          <cell r="AN1660">
            <v>646325.50800000003</v>
          </cell>
          <cell r="AO1660">
            <v>656855.66390000004</v>
          </cell>
        </row>
        <row r="1663">
          <cell r="F1663">
            <v>3918.3165840000001</v>
          </cell>
          <cell r="G1663">
            <v>4043.2712980000001</v>
          </cell>
          <cell r="H1663">
            <v>4175.6019619999997</v>
          </cell>
          <cell r="I1663">
            <v>4299.6320239999995</v>
          </cell>
          <cell r="J1663">
            <v>4415.2907169999999</v>
          </cell>
          <cell r="K1663">
            <v>4525.7804189999997</v>
          </cell>
          <cell r="L1663">
            <v>4631.472256</v>
          </cell>
          <cell r="M1663">
            <v>4734.7539489999999</v>
          </cell>
          <cell r="N1663">
            <v>4836.2751269999999</v>
          </cell>
          <cell r="O1663">
            <v>4935.4835359999997</v>
          </cell>
          <cell r="P1663">
            <v>5034.6784260000004</v>
          </cell>
          <cell r="Q1663">
            <v>5129.2893139999996</v>
          </cell>
          <cell r="R1663">
            <v>5219.8312850000002</v>
          </cell>
          <cell r="S1663">
            <v>5307.0444909999997</v>
          </cell>
          <cell r="T1663">
            <v>5390.9803140000004</v>
          </cell>
          <cell r="U1663">
            <v>5471.2449649999999</v>
          </cell>
          <cell r="V1663">
            <v>5547.3974959999996</v>
          </cell>
          <cell r="W1663">
            <v>5619.2215459999998</v>
          </cell>
          <cell r="X1663">
            <v>5686.8599629999999</v>
          </cell>
          <cell r="Y1663">
            <v>5750.8099110000003</v>
          </cell>
          <cell r="Z1663">
            <v>5809.3817730000001</v>
          </cell>
          <cell r="AA1663">
            <v>5866.500333</v>
          </cell>
          <cell r="AB1663">
            <v>5922.6847159999998</v>
          </cell>
          <cell r="AC1663">
            <v>5978.1358579999996</v>
          </cell>
          <cell r="AD1663">
            <v>6033.262839</v>
          </cell>
          <cell r="AE1663">
            <v>6080.9251750000003</v>
          </cell>
          <cell r="AF1663">
            <v>6128.5157479999998</v>
          </cell>
          <cell r="AG1663">
            <v>6176.1411969999999</v>
          </cell>
          <cell r="AH1663">
            <v>6223.1148910000002</v>
          </cell>
          <cell r="AI1663">
            <v>6269.3536430000004</v>
          </cell>
          <cell r="AJ1663">
            <v>6315.2234939999998</v>
          </cell>
          <cell r="AK1663">
            <v>6361.1962940000003</v>
          </cell>
          <cell r="AL1663">
            <v>6407.6073569999999</v>
          </cell>
          <cell r="AM1663">
            <v>6454.5572320000001</v>
          </cell>
          <cell r="AN1663">
            <v>6501.939687</v>
          </cell>
          <cell r="AO1663">
            <v>6549.5227670000004</v>
          </cell>
        </row>
        <row r="1668">
          <cell r="F1668">
            <v>6752.8269749999999</v>
          </cell>
          <cell r="G1668">
            <v>6806.7166960000004</v>
          </cell>
          <cell r="H1668">
            <v>6848.0403109999997</v>
          </cell>
          <cell r="I1668">
            <v>6894.8682140000001</v>
          </cell>
          <cell r="J1668">
            <v>6960.7546380000003</v>
          </cell>
          <cell r="K1668">
            <v>7054.6314819999998</v>
          </cell>
          <cell r="L1668">
            <v>7177.8717429999997</v>
          </cell>
          <cell r="M1668">
            <v>7330.7546750000001</v>
          </cell>
          <cell r="N1668">
            <v>7509.263148</v>
          </cell>
          <cell r="O1668">
            <v>7706.0447379999996</v>
          </cell>
          <cell r="P1668">
            <v>7915.4948329999997</v>
          </cell>
          <cell r="Q1668">
            <v>8125.6969719999997</v>
          </cell>
          <cell r="R1668">
            <v>8329.8767829999997</v>
          </cell>
          <cell r="S1668">
            <v>8523.2214590000003</v>
          </cell>
          <cell r="T1668">
            <v>8701.6191049999998</v>
          </cell>
          <cell r="U1668">
            <v>8861.7771250000005</v>
          </cell>
          <cell r="V1668">
            <v>9002.6267850000004</v>
          </cell>
          <cell r="W1668">
            <v>9125.6396139999997</v>
          </cell>
          <cell r="X1668">
            <v>9234.6037969999998</v>
          </cell>
          <cell r="Y1668">
            <v>9334.9793499999996</v>
          </cell>
          <cell r="Z1668">
            <v>9430.1688240000003</v>
          </cell>
          <cell r="AA1668">
            <v>9528.2473979999995</v>
          </cell>
          <cell r="AB1668">
            <v>9633.6985829999994</v>
          </cell>
          <cell r="AC1668">
            <v>9749.6713290000007</v>
          </cell>
          <cell r="AD1668">
            <v>9878.5149880000008</v>
          </cell>
          <cell r="AE1668">
            <v>10012.06293</v>
          </cell>
          <cell r="AF1668">
            <v>10156.89697</v>
          </cell>
          <cell r="AG1668">
            <v>10311.363069999999</v>
          </cell>
          <cell r="AH1668">
            <v>10472.409089999999</v>
          </cell>
          <cell r="AI1668">
            <v>10637.85974</v>
          </cell>
          <cell r="AJ1668">
            <v>10806.53874</v>
          </cell>
          <cell r="AK1668">
            <v>10977.76017</v>
          </cell>
          <cell r="AL1668">
            <v>11150.79751</v>
          </cell>
          <cell r="AM1668">
            <v>11324.59662</v>
          </cell>
          <cell r="AN1668">
            <v>11497.809080000001</v>
          </cell>
          <cell r="AO1668">
            <v>11668.78793</v>
          </cell>
        </row>
        <row r="1702">
          <cell r="F1702">
            <v>1207462.862</v>
          </cell>
          <cell r="G1702">
            <v>1220807.794</v>
          </cell>
          <cell r="H1702">
            <v>1240845.2220000001</v>
          </cell>
          <cell r="I1702">
            <v>1261529.1140000001</v>
          </cell>
          <cell r="J1702">
            <v>1279973.0889999999</v>
          </cell>
          <cell r="K1702">
            <v>1296583.031</v>
          </cell>
          <cell r="L1702">
            <v>1311023.693</v>
          </cell>
          <cell r="M1702">
            <v>1319263.5630000001</v>
          </cell>
          <cell r="N1702">
            <v>1326132.1710000001</v>
          </cell>
          <cell r="O1702">
            <v>1336753.9480000001</v>
          </cell>
          <cell r="P1702">
            <v>1354376.9650000001</v>
          </cell>
          <cell r="Q1702">
            <v>1377342.878</v>
          </cell>
          <cell r="R1702">
            <v>1403809.399</v>
          </cell>
          <cell r="S1702">
            <v>1431001.6980000001</v>
          </cell>
          <cell r="T1702">
            <v>1457210.4439999999</v>
          </cell>
          <cell r="U1702">
            <v>1481841.8670000001</v>
          </cell>
          <cell r="V1702">
            <v>1505209.6159999999</v>
          </cell>
          <cell r="W1702">
            <v>1528089.65</v>
          </cell>
          <cell r="X1702">
            <v>1551249.3430000001</v>
          </cell>
          <cell r="Y1702">
            <v>1575141.389</v>
          </cell>
          <cell r="Z1702">
            <v>1598825.4339999999</v>
          </cell>
          <cell r="AA1702">
            <v>1623577.325</v>
          </cell>
          <cell r="AB1702">
            <v>1648869.8840000001</v>
          </cell>
          <cell r="AC1702">
            <v>1674280.2609999999</v>
          </cell>
          <cell r="AD1702">
            <v>1699604.1059999999</v>
          </cell>
          <cell r="AE1702">
            <v>1720593.5</v>
          </cell>
          <cell r="AF1702">
            <v>1744332.0649999999</v>
          </cell>
          <cell r="AG1702">
            <v>1767828.9580000001</v>
          </cell>
          <cell r="AH1702">
            <v>1791644.6810000001</v>
          </cell>
          <cell r="AI1702">
            <v>1815959.628</v>
          </cell>
          <cell r="AJ1702">
            <v>1840707.4790000001</v>
          </cell>
          <cell r="AK1702">
            <v>1865742.716</v>
          </cell>
          <cell r="AL1702">
            <v>1890964.517</v>
          </cell>
          <cell r="AM1702">
            <v>1916368.564</v>
          </cell>
          <cell r="AN1702">
            <v>1942034.0160000001</v>
          </cell>
          <cell r="AO1702">
            <v>1968073.781</v>
          </cell>
        </row>
        <row r="1731">
          <cell r="F1731">
            <v>1207462.862</v>
          </cell>
          <cell r="G1731">
            <v>1220807.794</v>
          </cell>
          <cell r="H1731">
            <v>1240845.2220000001</v>
          </cell>
          <cell r="I1731">
            <v>1261529.1140000001</v>
          </cell>
          <cell r="J1731">
            <v>1279973.0889999999</v>
          </cell>
          <cell r="K1731">
            <v>1296583.031</v>
          </cell>
          <cell r="L1731">
            <v>1311147.831</v>
          </cell>
          <cell r="M1731">
            <v>1325923.75</v>
          </cell>
          <cell r="N1731">
            <v>1341321.6629999999</v>
          </cell>
          <cell r="O1731">
            <v>1357986.6329999999</v>
          </cell>
          <cell r="P1731">
            <v>1376909.933</v>
          </cell>
          <cell r="Q1731">
            <v>1397217.8840000001</v>
          </cell>
          <cell r="R1731">
            <v>1418592.5209999999</v>
          </cell>
          <cell r="S1731">
            <v>1440396.1810000001</v>
          </cell>
          <cell r="T1731">
            <v>1462533.094</v>
          </cell>
          <cell r="U1731">
            <v>1485107.031</v>
          </cell>
          <cell r="V1731">
            <v>1508265.953</v>
          </cell>
          <cell r="W1731">
            <v>1532099.209</v>
          </cell>
          <cell r="X1731">
            <v>1556593.415</v>
          </cell>
          <cell r="Y1731">
            <v>1581643.57</v>
          </cell>
          <cell r="Z1731">
            <v>1606050.42</v>
          </cell>
          <cell r="AA1731">
            <v>1631270.375</v>
          </cell>
          <cell r="AB1731">
            <v>1656955.281</v>
          </cell>
          <cell r="AC1731">
            <v>1682889.899</v>
          </cell>
          <cell r="AD1731">
            <v>1708970.206</v>
          </cell>
          <cell r="AE1731">
            <v>1730831.1459999999</v>
          </cell>
          <cell r="AF1731">
            <v>1755569.443</v>
          </cell>
          <cell r="AG1731">
            <v>1779981.6159999999</v>
          </cell>
          <cell r="AH1731">
            <v>1804493.9169999999</v>
          </cell>
          <cell r="AI1731">
            <v>1829218.8</v>
          </cell>
          <cell r="AJ1731">
            <v>1854097.8030000001</v>
          </cell>
          <cell r="AK1731">
            <v>1879049.8640000001</v>
          </cell>
          <cell r="AL1731">
            <v>1904060.777</v>
          </cell>
          <cell r="AM1731">
            <v>1929203.6950000001</v>
          </cell>
          <cell r="AN1731">
            <v>1954608.1880000001</v>
          </cell>
          <cell r="AO1731">
            <v>1980406.7279999999</v>
          </cell>
        </row>
        <row r="1760">
          <cell r="F1760">
            <v>0.99909222990000002</v>
          </cell>
          <cell r="G1760">
            <v>1.0122525259999999</v>
          </cell>
          <cell r="H1760">
            <v>1.023612223</v>
          </cell>
          <cell r="I1760">
            <v>1.0347331209999999</v>
          </cell>
          <cell r="J1760">
            <v>1.0469012870000001</v>
          </cell>
          <cell r="K1760">
            <v>1.0609779180000001</v>
          </cell>
          <cell r="L1760">
            <v>1.077646101</v>
          </cell>
          <cell r="M1760">
            <v>1.1085425760000001</v>
          </cell>
          <cell r="N1760">
            <v>1.1439317179999999</v>
          </cell>
          <cell r="O1760">
            <v>1.1785985919999999</v>
          </cell>
          <cell r="P1760">
            <v>1.209208423</v>
          </cell>
          <cell r="Q1760">
            <v>1.236567915</v>
          </cell>
          <cell r="R1760">
            <v>1.2619958309999999</v>
          </cell>
          <cell r="S1760">
            <v>1.287381178</v>
          </cell>
          <cell r="T1760">
            <v>1.3140948299999999</v>
          </cell>
          <cell r="U1760">
            <v>1.3426341319999999</v>
          </cell>
          <cell r="V1760">
            <v>1.3727000570000001</v>
          </cell>
          <cell r="W1760">
            <v>1.4035551980000001</v>
          </cell>
          <cell r="X1760">
            <v>1.434455826</v>
          </cell>
          <cell r="Y1760">
            <v>1.4649613020000001</v>
          </cell>
          <cell r="Z1760">
            <v>1.4952062070000001</v>
          </cell>
          <cell r="AA1760">
            <v>1.525190761</v>
          </cell>
          <cell r="AB1760">
            <v>1.5552738290000001</v>
          </cell>
          <cell r="AC1760">
            <v>1.5859515200000001</v>
          </cell>
          <cell r="AD1760">
            <v>1.617614992</v>
          </cell>
          <cell r="AE1760">
            <v>1.650882942</v>
          </cell>
          <cell r="AF1760">
            <v>1.6851944190000001</v>
          </cell>
          <cell r="AG1760">
            <v>1.719994588</v>
          </cell>
          <cell r="AH1760">
            <v>1.755073291</v>
          </cell>
          <cell r="AI1760">
            <v>1.7904808830000001</v>
          </cell>
          <cell r="AJ1760">
            <v>1.8264352129999999</v>
          </cell>
          <cell r="AK1760">
            <v>1.863192256</v>
          </cell>
          <cell r="AL1760">
            <v>1.9009355649999999</v>
          </cell>
          <cell r="AM1760">
            <v>1.939725148</v>
          </cell>
          <cell r="AN1760">
            <v>1.9795105850000001</v>
          </cell>
          <cell r="AO1760">
            <v>2.0201859049999999</v>
          </cell>
        </row>
        <row r="1789">
          <cell r="F1789">
            <v>0.99909222990000002</v>
          </cell>
          <cell r="G1789">
            <v>1.0122525259999999</v>
          </cell>
          <cell r="H1789">
            <v>1.023612223</v>
          </cell>
          <cell r="I1789">
            <v>1.0347331209999999</v>
          </cell>
          <cell r="J1789">
            <v>1.0469012870000001</v>
          </cell>
          <cell r="K1789">
            <v>1.0609779180000001</v>
          </cell>
          <cell r="L1789">
            <v>1.0772079409999999</v>
          </cell>
          <cell r="M1789">
            <v>1.0957156990000001</v>
          </cell>
          <cell r="N1789">
            <v>1.1159194720000001</v>
          </cell>
          <cell r="O1789">
            <v>1.1372900619999999</v>
          </cell>
          <cell r="P1789">
            <v>1.159265787</v>
          </cell>
          <cell r="Q1789">
            <v>1.1823405229999999</v>
          </cell>
          <cell r="R1789">
            <v>1.2069114949999999</v>
          </cell>
          <cell r="S1789">
            <v>1.2330916119999999</v>
          </cell>
          <cell r="T1789">
            <v>1.2607488899999999</v>
          </cell>
          <cell r="U1789">
            <v>1.2895862769999999</v>
          </cell>
          <cell r="V1789">
            <v>1.319251682</v>
          </cell>
          <cell r="W1789">
            <v>1.3494423710000001</v>
          </cell>
          <cell r="X1789">
            <v>1.3799643420000001</v>
          </cell>
          <cell r="Y1789">
            <v>1.4107401690000001</v>
          </cell>
          <cell r="Z1789">
            <v>1.4420075910000001</v>
          </cell>
          <cell r="AA1789">
            <v>1.473401814</v>
          </cell>
          <cell r="AB1789">
            <v>1.504966123</v>
          </cell>
          <cell r="AC1789">
            <v>1.536834407</v>
          </cell>
          <cell r="AD1789">
            <v>1.5691621769999999</v>
          </cell>
          <cell r="AE1789">
            <v>1.6025788059999999</v>
          </cell>
          <cell r="AF1789">
            <v>1.6364797019999999</v>
          </cell>
          <cell r="AG1789">
            <v>1.670513473</v>
          </cell>
          <cell r="AH1789">
            <v>1.70464774</v>
          </cell>
          <cell r="AI1789">
            <v>1.7390609340000001</v>
          </cell>
          <cell r="AJ1789">
            <v>1.774030507</v>
          </cell>
          <cell r="AK1789">
            <v>1.8098150390000001</v>
          </cell>
          <cell r="AL1789">
            <v>1.846574553</v>
          </cell>
          <cell r="AM1789">
            <v>1.884349166</v>
          </cell>
          <cell r="AN1789">
            <v>1.9230893469999999</v>
          </cell>
          <cell r="AO1789">
            <v>1.9627144679999999</v>
          </cell>
        </row>
      </sheetData>
      <sheetData sheetId="7"/>
      <sheetData sheetId="8">
        <row r="820">
          <cell r="B820">
            <v>352.7251048</v>
          </cell>
          <cell r="C820">
            <v>354.65596770000002</v>
          </cell>
          <cell r="D820">
            <v>356.42893789999999</v>
          </cell>
          <cell r="E820">
            <v>358.400598</v>
          </cell>
          <cell r="F820">
            <v>360.81900569999999</v>
          </cell>
          <cell r="G820">
            <v>363.85982310000003</v>
          </cell>
          <cell r="H820">
            <v>367.11848680000003</v>
          </cell>
          <cell r="I820">
            <v>370.99485240000001</v>
          </cell>
          <cell r="J820">
            <v>375.33375669999998</v>
          </cell>
          <cell r="K820">
            <v>379.93480499999998</v>
          </cell>
          <cell r="L820">
            <v>385.2418998</v>
          </cell>
          <cell r="M820">
            <v>389.97036220000001</v>
          </cell>
          <cell r="N820">
            <v>394.71850920000003</v>
          </cell>
          <cell r="O820">
            <v>399.52336589999999</v>
          </cell>
          <cell r="P820">
            <v>404.31532950000002</v>
          </cell>
          <cell r="Q820">
            <v>409.02569679999999</v>
          </cell>
          <cell r="R820">
            <v>413.61024500000002</v>
          </cell>
          <cell r="S820">
            <v>418.05461910000002</v>
          </cell>
          <cell r="T820">
            <v>422.37275829999999</v>
          </cell>
          <cell r="U820">
            <v>426.59917510000002</v>
          </cell>
          <cell r="V820">
            <v>430.33550830000001</v>
          </cell>
          <cell r="W820">
            <v>434.50434300000001</v>
          </cell>
          <cell r="X820">
            <v>438.72413920000002</v>
          </cell>
          <cell r="Y820">
            <v>442.95878329999999</v>
          </cell>
          <cell r="Z820">
            <v>447.24451110000001</v>
          </cell>
          <cell r="AA820">
            <v>450.25998670000001</v>
          </cell>
          <cell r="AB820">
            <v>454.18066040000002</v>
          </cell>
          <cell r="AC820">
            <v>458.23262310000001</v>
          </cell>
          <cell r="AD820">
            <v>462.25452790000003</v>
          </cell>
          <cell r="AE820">
            <v>466.25537250000002</v>
          </cell>
          <cell r="AF820">
            <v>470.2717136</v>
          </cell>
          <cell r="AG820">
            <v>474.33046480000002</v>
          </cell>
          <cell r="AH820">
            <v>478.43995419999999</v>
          </cell>
          <cell r="AI820">
            <v>482.59164320000002</v>
          </cell>
          <cell r="AJ820">
            <v>486.76730270000002</v>
          </cell>
          <cell r="AK820">
            <v>490.94689740000001</v>
          </cell>
        </row>
        <row r="821">
          <cell r="B821">
            <v>185.4172978</v>
          </cell>
          <cell r="C821">
            <v>186.72258350000001</v>
          </cell>
          <cell r="D821">
            <v>188.04062830000001</v>
          </cell>
          <cell r="E821">
            <v>189.542936</v>
          </cell>
          <cell r="F821">
            <v>191.40357259999999</v>
          </cell>
          <cell r="G821">
            <v>193.76210080000001</v>
          </cell>
          <cell r="H821">
            <v>196.391548</v>
          </cell>
          <cell r="I821">
            <v>199.50748730000001</v>
          </cell>
          <cell r="J821">
            <v>202.96716029999999</v>
          </cell>
          <cell r="K821">
            <v>206.60347189999999</v>
          </cell>
          <cell r="L821">
            <v>210.61805609999999</v>
          </cell>
          <cell r="M821">
            <v>214.29758090000001</v>
          </cell>
          <cell r="N821">
            <v>217.99114130000001</v>
          </cell>
          <cell r="O821">
            <v>221.7147052</v>
          </cell>
          <cell r="P821">
            <v>225.4236885</v>
          </cell>
          <cell r="Q821">
            <v>229.06560590000001</v>
          </cell>
          <cell r="R821">
            <v>232.60107350000001</v>
          </cell>
          <cell r="S821">
            <v>236.01452259999999</v>
          </cell>
          <cell r="T821">
            <v>239.31705579999999</v>
          </cell>
          <cell r="U821">
            <v>242.5411359</v>
          </cell>
          <cell r="V821">
            <v>245.4816739</v>
          </cell>
          <cell r="W821">
            <v>248.66578319999999</v>
          </cell>
          <cell r="X821">
            <v>251.89377210000001</v>
          </cell>
          <cell r="Y821">
            <v>255.16681170000001</v>
          </cell>
          <cell r="Z821">
            <v>258.51929580000001</v>
          </cell>
          <cell r="AA821">
            <v>261.19543199999998</v>
          </cell>
          <cell r="AB821">
            <v>264.43661270000001</v>
          </cell>
          <cell r="AC821">
            <v>267.76913830000001</v>
          </cell>
          <cell r="AD821">
            <v>271.10967149999999</v>
          </cell>
          <cell r="AE821">
            <v>274.47421789999999</v>
          </cell>
          <cell r="AF821">
            <v>277.89853160000001</v>
          </cell>
          <cell r="AG821">
            <v>281.41123090000002</v>
          </cell>
          <cell r="AH821">
            <v>285.02350250000001</v>
          </cell>
          <cell r="AI821">
            <v>288.72868019999999</v>
          </cell>
          <cell r="AJ821">
            <v>292.50854470000002</v>
          </cell>
          <cell r="AK821">
            <v>296.34157540000001</v>
          </cell>
        </row>
        <row r="822">
          <cell r="B822">
            <v>2.7531323240000001</v>
          </cell>
          <cell r="C822">
            <v>2.7386365559999999</v>
          </cell>
          <cell r="D822">
            <v>2.731074504</v>
          </cell>
          <cell r="E822">
            <v>2.7344350080000002</v>
          </cell>
          <cell r="F822">
            <v>2.7484805909999999</v>
          </cell>
          <cell r="G822">
            <v>2.7714891879999999</v>
          </cell>
          <cell r="H822">
            <v>2.8001997439999999</v>
          </cell>
          <cell r="I822">
            <v>2.831628351</v>
          </cell>
          <cell r="J822">
            <v>2.864009619</v>
          </cell>
          <cell r="K822">
            <v>2.8959261409999999</v>
          </cell>
          <cell r="L822">
            <v>2.9277612209999999</v>
          </cell>
          <cell r="M822">
            <v>2.9581485810000001</v>
          </cell>
          <cell r="N822">
            <v>2.9850094330000001</v>
          </cell>
          <cell r="O822">
            <v>3.0083674779999998</v>
          </cell>
          <cell r="P822">
            <v>3.0285649320000001</v>
          </cell>
          <cell r="Q822">
            <v>3.0462068819999999</v>
          </cell>
          <cell r="R822">
            <v>3.0620430550000002</v>
          </cell>
          <cell r="S822">
            <v>3.0768372209999999</v>
          </cell>
          <cell r="T822">
            <v>3.091262543</v>
          </cell>
          <cell r="U822">
            <v>3.1058419650000002</v>
          </cell>
          <cell r="V822">
            <v>3.1197399840000002</v>
          </cell>
          <cell r="W822">
            <v>3.1340789440000001</v>
          </cell>
          <cell r="X822">
            <v>3.149868128</v>
          </cell>
          <cell r="Y822">
            <v>3.1669589280000001</v>
          </cell>
          <cell r="Z822">
            <v>3.1851593920000001</v>
          </cell>
          <cell r="AA822">
            <v>3.2006663460000002</v>
          </cell>
          <cell r="AB822">
            <v>3.2149577109999998</v>
          </cell>
          <cell r="AC822">
            <v>3.2296954269999998</v>
          </cell>
          <cell r="AD822">
            <v>3.245044429</v>
          </cell>
          <cell r="AE822">
            <v>3.2610353879999998</v>
          </cell>
          <cell r="AF822">
            <v>3.2775829820000002</v>
          </cell>
          <cell r="AG822">
            <v>3.2945430689999999</v>
          </cell>
          <cell r="AH822">
            <v>3.311772376</v>
          </cell>
          <cell r="AI822">
            <v>3.329166893</v>
          </cell>
          <cell r="AJ822">
            <v>3.3466717739999998</v>
          </cell>
          <cell r="AK822">
            <v>3.3642685920000002</v>
          </cell>
        </row>
        <row r="823">
          <cell r="B823">
            <v>49.242747770000001</v>
          </cell>
          <cell r="C823">
            <v>50.16779047</v>
          </cell>
          <cell r="D823">
            <v>51.269157049999997</v>
          </cell>
          <cell r="E823">
            <v>52.315213010000001</v>
          </cell>
          <cell r="F823">
            <v>53.27721974</v>
          </cell>
          <cell r="G823">
            <v>54.195159590000003</v>
          </cell>
          <cell r="H823">
            <v>54.946336610000003</v>
          </cell>
          <cell r="I823">
            <v>55.737978839999997</v>
          </cell>
          <cell r="J823">
            <v>56.577418809999998</v>
          </cell>
          <cell r="K823">
            <v>57.446771579999997</v>
          </cell>
          <cell r="L823">
            <v>58.564564670000003</v>
          </cell>
          <cell r="M823">
            <v>59.422972610000002</v>
          </cell>
          <cell r="N823">
            <v>60.279371730000001</v>
          </cell>
          <cell r="O823">
            <v>61.163960369999998</v>
          </cell>
          <cell r="P823">
            <v>62.060437739999998</v>
          </cell>
          <cell r="Q823">
            <v>62.958392869999997</v>
          </cell>
          <cell r="R823">
            <v>63.856801740000002</v>
          </cell>
          <cell r="S823">
            <v>64.759833889999996</v>
          </cell>
          <cell r="T823">
            <v>65.673166960000003</v>
          </cell>
          <cell r="U823">
            <v>66.601785840000005</v>
          </cell>
          <cell r="V823">
            <v>67.381220170000006</v>
          </cell>
          <cell r="W823">
            <v>68.374328919999996</v>
          </cell>
          <cell r="X823">
            <v>69.404101859999997</v>
          </cell>
          <cell r="Y823">
            <v>70.437152979999993</v>
          </cell>
          <cell r="Z823">
            <v>71.478559820000001</v>
          </cell>
          <cell r="AA823">
            <v>72.037208710000002</v>
          </cell>
          <cell r="AB823">
            <v>72.984710609999993</v>
          </cell>
          <cell r="AC823">
            <v>74.01920586</v>
          </cell>
          <cell r="AD823">
            <v>75.063442870000003</v>
          </cell>
          <cell r="AE823">
            <v>76.112520849999996</v>
          </cell>
          <cell r="AF823">
            <v>77.170073479999999</v>
          </cell>
          <cell r="AG823">
            <v>78.237043510000007</v>
          </cell>
          <cell r="AH823">
            <v>79.312389170000003</v>
          </cell>
          <cell r="AI823">
            <v>80.395024840000005</v>
          </cell>
          <cell r="AJ823">
            <v>81.484867410000007</v>
          </cell>
          <cell r="AK823">
            <v>82.582804859999996</v>
          </cell>
        </row>
        <row r="824">
          <cell r="B824">
            <v>115.311927</v>
          </cell>
          <cell r="C824">
            <v>115.0269572</v>
          </cell>
          <cell r="D824">
            <v>114.3880781</v>
          </cell>
          <cell r="E824">
            <v>113.808014</v>
          </cell>
          <cell r="F824">
            <v>113.3897327</v>
          </cell>
          <cell r="G824">
            <v>113.1310735</v>
          </cell>
          <cell r="H824">
            <v>112.9804025</v>
          </cell>
          <cell r="I824">
            <v>112.9177579</v>
          </cell>
          <cell r="J824">
            <v>112.925168</v>
          </cell>
          <cell r="K824">
            <v>112.9886355</v>
          </cell>
          <cell r="L824">
            <v>113.1315178</v>
          </cell>
          <cell r="M824">
            <v>113.29165999999999</v>
          </cell>
          <cell r="N824">
            <v>113.4629868</v>
          </cell>
          <cell r="O824">
            <v>113.6363329</v>
          </cell>
          <cell r="P824">
            <v>113.8026383</v>
          </cell>
          <cell r="Q824">
            <v>113.9554911</v>
          </cell>
          <cell r="R824">
            <v>114.09032670000001</v>
          </cell>
          <cell r="S824">
            <v>114.2034254</v>
          </cell>
          <cell r="T824">
            <v>114.291273</v>
          </cell>
          <cell r="U824">
            <v>114.3504114</v>
          </cell>
          <cell r="V824">
            <v>114.3528742</v>
          </cell>
          <cell r="W824">
            <v>114.3301519</v>
          </cell>
          <cell r="X824">
            <v>114.2763971</v>
          </cell>
          <cell r="Y824">
            <v>114.1878597</v>
          </cell>
          <cell r="Z824">
            <v>114.06149619999999</v>
          </cell>
          <cell r="AA824">
            <v>113.82667960000001</v>
          </cell>
          <cell r="AB824">
            <v>113.5443794</v>
          </cell>
          <cell r="AC824">
            <v>113.2145835</v>
          </cell>
          <cell r="AD824">
            <v>112.8363691</v>
          </cell>
          <cell r="AE824">
            <v>112.4075984</v>
          </cell>
          <cell r="AF824">
            <v>111.92552550000001</v>
          </cell>
          <cell r="AG824">
            <v>111.38764740000001</v>
          </cell>
          <cell r="AH824">
            <v>110.7922901</v>
          </cell>
          <cell r="AI824">
            <v>110.1387713</v>
          </cell>
          <cell r="AJ824">
            <v>109.42721880000001</v>
          </cell>
          <cell r="AK824">
            <v>108.6582485</v>
          </cell>
        </row>
        <row r="825">
          <cell r="B825">
            <v>352.7251048</v>
          </cell>
          <cell r="C825">
            <v>354.65596770000002</v>
          </cell>
          <cell r="D825">
            <v>356.42893789999999</v>
          </cell>
          <cell r="E825">
            <v>358.400598</v>
          </cell>
          <cell r="F825">
            <v>360.81900569999999</v>
          </cell>
          <cell r="G825">
            <v>363.85982310000003</v>
          </cell>
          <cell r="H825">
            <v>367.95398449999999</v>
          </cell>
          <cell r="I825">
            <v>372.709858</v>
          </cell>
          <cell r="J825">
            <v>377.99060150000003</v>
          </cell>
          <cell r="K825">
            <v>383.09798009999997</v>
          </cell>
          <cell r="L825">
            <v>388.16342350000002</v>
          </cell>
          <cell r="M825">
            <v>391.98925159999999</v>
          </cell>
          <cell r="N825">
            <v>395.43761910000001</v>
          </cell>
          <cell r="O825">
            <v>398.87516959999999</v>
          </cell>
          <cell r="P825">
            <v>402.48776500000002</v>
          </cell>
          <cell r="Q825">
            <v>406.3257835</v>
          </cell>
          <cell r="R825">
            <v>410.3386314</v>
          </cell>
          <cell r="S825">
            <v>414.43464039999998</v>
          </cell>
          <cell r="T825">
            <v>418.53441329999998</v>
          </cell>
          <cell r="U825">
            <v>422.60383880000001</v>
          </cell>
          <cell r="V825">
            <v>426.21380249999999</v>
          </cell>
          <cell r="W825">
            <v>430.29913790000001</v>
          </cell>
          <cell r="X825">
            <v>434.49656599999997</v>
          </cell>
          <cell r="Y825">
            <v>438.78206169999999</v>
          </cell>
          <cell r="Z825">
            <v>443.18797499999999</v>
          </cell>
          <cell r="AA825">
            <v>446.3737782</v>
          </cell>
          <cell r="AB825">
            <v>450.48261050000002</v>
          </cell>
          <cell r="AC825">
            <v>454.7116054</v>
          </cell>
          <cell r="AD825">
            <v>458.87394719999998</v>
          </cell>
          <cell r="AE825">
            <v>462.96433180000002</v>
          </cell>
          <cell r="AF825">
            <v>467.01785690000003</v>
          </cell>
          <cell r="AG825">
            <v>471.06921110000002</v>
          </cell>
          <cell r="AH825">
            <v>475.13933020000002</v>
          </cell>
          <cell r="AI825">
            <v>479.23253720000002</v>
          </cell>
          <cell r="AJ825">
            <v>483.34060069999998</v>
          </cell>
          <cell r="AK825">
            <v>487.45058330000001</v>
          </cell>
        </row>
        <row r="826">
          <cell r="B826">
            <v>185.4172978</v>
          </cell>
          <cell r="C826">
            <v>186.72258350000001</v>
          </cell>
          <cell r="D826">
            <v>188.04062830000001</v>
          </cell>
          <cell r="E826">
            <v>189.542936</v>
          </cell>
          <cell r="F826">
            <v>191.40357259999999</v>
          </cell>
          <cell r="G826">
            <v>193.76210080000001</v>
          </cell>
          <cell r="H826">
            <v>197.18773630000001</v>
          </cell>
          <cell r="I826">
            <v>201.26798869999999</v>
          </cell>
          <cell r="J826">
            <v>205.8631518</v>
          </cell>
          <cell r="K826">
            <v>210.22481809999999</v>
          </cell>
          <cell r="L826">
            <v>214.15902819999999</v>
          </cell>
          <cell r="M826">
            <v>217.00724080000001</v>
          </cell>
          <cell r="N826">
            <v>219.3884535</v>
          </cell>
          <cell r="O826">
            <v>221.68094049999999</v>
          </cell>
          <cell r="P826">
            <v>224.13396520000001</v>
          </cell>
          <cell r="Q826">
            <v>226.84368480000001</v>
          </cell>
          <cell r="R826">
            <v>229.7769629</v>
          </cell>
          <cell r="S826">
            <v>232.83716179999999</v>
          </cell>
          <cell r="T826">
            <v>235.92955140000001</v>
          </cell>
          <cell r="U826">
            <v>239.00422979999999</v>
          </cell>
          <cell r="V826">
            <v>241.81493359999999</v>
          </cell>
          <cell r="W826">
            <v>244.9028333</v>
          </cell>
          <cell r="X826">
            <v>248.09105439999999</v>
          </cell>
          <cell r="Y826">
            <v>251.4003816</v>
          </cell>
          <cell r="Z826">
            <v>254.86840509999999</v>
          </cell>
          <cell r="AA826">
            <v>257.72096879999998</v>
          </cell>
          <cell r="AB826">
            <v>261.17316629999999</v>
          </cell>
          <cell r="AC826">
            <v>264.71889499999997</v>
          </cell>
          <cell r="AD826">
            <v>268.24517600000001</v>
          </cell>
          <cell r="AE826">
            <v>271.74959410000002</v>
          </cell>
          <cell r="AF826">
            <v>275.26322110000001</v>
          </cell>
          <cell r="AG826">
            <v>278.8205332</v>
          </cell>
          <cell r="AH826">
            <v>282.44445130000003</v>
          </cell>
          <cell r="AI826">
            <v>286.14083260000001</v>
          </cell>
          <cell r="AJ826">
            <v>289.90119529999998</v>
          </cell>
          <cell r="AK826">
            <v>293.71060290000003</v>
          </cell>
        </row>
        <row r="827">
          <cell r="B827">
            <v>2.7531323240000001</v>
          </cell>
          <cell r="C827">
            <v>2.7386365559999999</v>
          </cell>
          <cell r="D827">
            <v>2.731074504</v>
          </cell>
          <cell r="E827">
            <v>2.7344350080000002</v>
          </cell>
          <cell r="F827">
            <v>2.7484805909999999</v>
          </cell>
          <cell r="G827">
            <v>2.7714891879999999</v>
          </cell>
          <cell r="H827">
            <v>2.8120835159999999</v>
          </cell>
          <cell r="I827">
            <v>2.8340584369999999</v>
          </cell>
          <cell r="J827">
            <v>2.8449304469999999</v>
          </cell>
          <cell r="K827">
            <v>2.8489812400000001</v>
          </cell>
          <cell r="L827">
            <v>2.8516166360000001</v>
          </cell>
          <cell r="M827">
            <v>2.8550899670000001</v>
          </cell>
          <cell r="N827">
            <v>2.8592799520000001</v>
          </cell>
          <cell r="O827">
            <v>2.8649200850000001</v>
          </cell>
          <cell r="P827">
            <v>2.8722448009999999</v>
          </cell>
          <cell r="Q827">
            <v>2.8813784240000002</v>
          </cell>
          <cell r="R827">
            <v>2.892509918</v>
          </cell>
          <cell r="S827">
            <v>2.9058756630000002</v>
          </cell>
          <cell r="T827">
            <v>2.9216385169999999</v>
          </cell>
          <cell r="U827">
            <v>2.9397650209999999</v>
          </cell>
          <cell r="V827">
            <v>2.9589062620000002</v>
          </cell>
          <cell r="W827">
            <v>2.979252083</v>
          </cell>
          <cell r="X827">
            <v>3.0011639699999999</v>
          </cell>
          <cell r="Y827">
            <v>3.0238704460000001</v>
          </cell>
          <cell r="Z827">
            <v>3.0467208440000002</v>
          </cell>
          <cell r="AA827">
            <v>3.065949356</v>
          </cell>
          <cell r="AB827">
            <v>3.0825942319999999</v>
          </cell>
          <cell r="AC827">
            <v>3.0984889799999999</v>
          </cell>
          <cell r="AD827">
            <v>3.1139832620000001</v>
          </cell>
          <cell r="AE827">
            <v>3.1293419060000001</v>
          </cell>
          <cell r="AF827">
            <v>3.1447148989999998</v>
          </cell>
          <cell r="AG827">
            <v>3.1601646649999999</v>
          </cell>
          <cell r="AH827">
            <v>3.1757140420000001</v>
          </cell>
          <cell r="AI827">
            <v>3.1913857999999999</v>
          </cell>
          <cell r="AJ827">
            <v>3.2072194330000001</v>
          </cell>
          <cell r="AK827">
            <v>3.2232657320000002</v>
          </cell>
        </row>
        <row r="828">
          <cell r="B828">
            <v>49.242747770000001</v>
          </cell>
          <cell r="C828">
            <v>50.16779047</v>
          </cell>
          <cell r="D828">
            <v>51.269157049999997</v>
          </cell>
          <cell r="E828">
            <v>52.315213010000001</v>
          </cell>
          <cell r="F828">
            <v>53.27721974</v>
          </cell>
          <cell r="G828">
            <v>54.195159590000003</v>
          </cell>
          <cell r="H828">
            <v>54.980798759999999</v>
          </cell>
          <cell r="I828">
            <v>55.690987620000001</v>
          </cell>
          <cell r="J828">
            <v>56.34860973</v>
          </cell>
          <cell r="K828">
            <v>56.996049489999997</v>
          </cell>
          <cell r="L828">
            <v>57.91259822</v>
          </cell>
          <cell r="M828">
            <v>58.626051660000002</v>
          </cell>
          <cell r="N828">
            <v>59.404178049999999</v>
          </cell>
          <cell r="O828">
            <v>60.26449959</v>
          </cell>
          <cell r="P828">
            <v>61.167655500000002</v>
          </cell>
          <cell r="Q828">
            <v>62.081082000000002</v>
          </cell>
          <cell r="R828">
            <v>62.990024570000003</v>
          </cell>
          <cell r="S828">
            <v>63.895569389999999</v>
          </cell>
          <cell r="T828">
            <v>64.807980830000005</v>
          </cell>
          <cell r="U828">
            <v>65.739385130000002</v>
          </cell>
          <cell r="V828">
            <v>66.532054779999996</v>
          </cell>
          <cell r="W828">
            <v>67.547314029999995</v>
          </cell>
          <cell r="X828">
            <v>68.605986220000005</v>
          </cell>
          <cell r="Y828">
            <v>69.669395929999993</v>
          </cell>
          <cell r="Z828">
            <v>70.736929320000002</v>
          </cell>
          <cell r="AA828">
            <v>71.316534020000006</v>
          </cell>
          <cell r="AB828">
            <v>72.273478949999998</v>
          </cell>
          <cell r="AC828">
            <v>73.307756150000003</v>
          </cell>
          <cell r="AD828">
            <v>74.344413840000001</v>
          </cell>
          <cell r="AE828">
            <v>75.381164429999998</v>
          </cell>
          <cell r="AF828">
            <v>76.42396377</v>
          </cell>
          <cell r="AG828">
            <v>77.47531635</v>
          </cell>
          <cell r="AH828">
            <v>78.53500622</v>
          </cell>
          <cell r="AI828">
            <v>79.602314419999999</v>
          </cell>
          <cell r="AJ828">
            <v>80.677385569999998</v>
          </cell>
          <cell r="AK828">
            <v>81.761505999999997</v>
          </cell>
        </row>
        <row r="829">
          <cell r="B829">
            <v>115.311927</v>
          </cell>
          <cell r="C829">
            <v>115.0269572</v>
          </cell>
          <cell r="D829">
            <v>114.3880781</v>
          </cell>
          <cell r="E829">
            <v>113.808014</v>
          </cell>
          <cell r="F829">
            <v>113.3897327</v>
          </cell>
          <cell r="G829">
            <v>113.1310735</v>
          </cell>
          <cell r="H829">
            <v>112.9733659</v>
          </cell>
          <cell r="I829">
            <v>112.9168232</v>
          </cell>
          <cell r="J829">
            <v>112.9339095</v>
          </cell>
          <cell r="K829">
            <v>113.0281313</v>
          </cell>
          <cell r="L829">
            <v>113.2401804</v>
          </cell>
          <cell r="M829">
            <v>113.5008692</v>
          </cell>
          <cell r="N829">
            <v>113.78570759999999</v>
          </cell>
          <cell r="O829">
            <v>114.0648094</v>
          </cell>
          <cell r="P829">
            <v>114.3138996</v>
          </cell>
          <cell r="Q829">
            <v>114.5196383</v>
          </cell>
          <cell r="R829">
            <v>114.679134</v>
          </cell>
          <cell r="S829">
            <v>114.7960336</v>
          </cell>
          <cell r="T829">
            <v>114.8752425</v>
          </cell>
          <cell r="U829">
            <v>114.9204589</v>
          </cell>
          <cell r="V829">
            <v>114.9079078</v>
          </cell>
          <cell r="W829">
            <v>114.8697385</v>
          </cell>
          <cell r="X829">
            <v>114.7983614</v>
          </cell>
          <cell r="Y829">
            <v>114.6884137</v>
          </cell>
          <cell r="Z829">
            <v>114.53591969999999</v>
          </cell>
          <cell r="AA829">
            <v>114.270326</v>
          </cell>
          <cell r="AB829">
            <v>113.9533709</v>
          </cell>
          <cell r="AC829">
            <v>113.5864653</v>
          </cell>
          <cell r="AD829">
            <v>113.1703741</v>
          </cell>
          <cell r="AE829">
            <v>112.7042314</v>
          </cell>
          <cell r="AF829">
            <v>112.1859572</v>
          </cell>
          <cell r="AG829">
            <v>111.613197</v>
          </cell>
          <cell r="AH829">
            <v>110.9841586</v>
          </cell>
          <cell r="AI829">
            <v>110.2980044</v>
          </cell>
          <cell r="AJ829">
            <v>109.5548004</v>
          </cell>
          <cell r="AK829">
            <v>108.7552087</v>
          </cell>
        </row>
        <row r="830">
          <cell r="A830" t="str">
            <v>ems_ci_co2_sagr_2</v>
          </cell>
          <cell r="B830">
            <v>11.91229208</v>
          </cell>
          <cell r="C830">
            <v>11.766586050000001</v>
          </cell>
          <cell r="D830">
            <v>11.58078179</v>
          </cell>
          <cell r="E830">
            <v>11.43452162</v>
          </cell>
          <cell r="F830">
            <v>11.36323118</v>
          </cell>
          <cell r="G830">
            <v>11.376561239999999</v>
          </cell>
          <cell r="H830">
            <v>12.06797403</v>
          </cell>
          <cell r="I830">
            <v>12.367544410000001</v>
          </cell>
          <cell r="J830">
            <v>12.642559159999999</v>
          </cell>
          <cell r="K830">
            <v>12.85079561</v>
          </cell>
          <cell r="L830">
            <v>12.950466580000001</v>
          </cell>
          <cell r="M830">
            <v>12.93934393</v>
          </cell>
          <cell r="N830">
            <v>12.86138702</v>
          </cell>
          <cell r="O830">
            <v>12.766243640000001</v>
          </cell>
          <cell r="P830">
            <v>12.69038975</v>
          </cell>
          <cell r="Q830">
            <v>12.65006286</v>
          </cell>
          <cell r="R830">
            <v>12.64407186</v>
          </cell>
          <cell r="S830">
            <v>12.66138649</v>
          </cell>
          <cell r="T830">
            <v>12.68918137</v>
          </cell>
          <cell r="U830">
            <v>12.71840169</v>
          </cell>
          <cell r="V830">
            <v>12.73947918</v>
          </cell>
          <cell r="W830">
            <v>12.76251443</v>
          </cell>
          <cell r="X830">
            <v>12.78837264</v>
          </cell>
          <cell r="Y830">
            <v>12.820471019999999</v>
          </cell>
          <cell r="Z830">
            <v>12.861111259999999</v>
          </cell>
          <cell r="AA830">
            <v>12.89162249</v>
          </cell>
          <cell r="AB830">
            <v>12.927166079999999</v>
          </cell>
          <cell r="AC830">
            <v>12.95960148</v>
          </cell>
          <cell r="AD830">
            <v>12.98568085</v>
          </cell>
          <cell r="AE830">
            <v>13.00596867</v>
          </cell>
          <cell r="AF830">
            <v>13.02339791</v>
          </cell>
          <cell r="AG830">
            <v>13.041407489999999</v>
          </cell>
          <cell r="AH830">
            <v>13.062439299999999</v>
          </cell>
          <cell r="AI830">
            <v>13.0872811</v>
          </cell>
          <cell r="AJ830">
            <v>13.11525775</v>
          </cell>
          <cell r="AK830">
            <v>13.144935650000001</v>
          </cell>
        </row>
        <row r="831">
          <cell r="A831" t="str">
            <v>ems_y_co2_sagr_2</v>
          </cell>
          <cell r="B831">
            <v>2.3494161770000002</v>
          </cell>
          <cell r="C831">
            <v>2.332651281</v>
          </cell>
          <cell r="D831">
            <v>2.320756571</v>
          </cell>
          <cell r="E831">
            <v>2.3177076919999999</v>
          </cell>
          <cell r="F831">
            <v>2.3245017369999998</v>
          </cell>
          <cell r="G831">
            <v>2.340057125</v>
          </cell>
          <cell r="H831">
            <v>2.3724455710000001</v>
          </cell>
          <cell r="I831">
            <v>2.3888838579999998</v>
          </cell>
          <cell r="J831">
            <v>2.3956137649999998</v>
          </cell>
          <cell r="K831">
            <v>2.3953883079999998</v>
          </cell>
          <cell r="L831">
            <v>2.3933985400000002</v>
          </cell>
          <cell r="M831">
            <v>2.3890367910000001</v>
          </cell>
          <cell r="N831">
            <v>2.3846568700000002</v>
          </cell>
          <cell r="O831">
            <v>2.3813581109999999</v>
          </cell>
          <cell r="P831">
            <v>2.3797885110000001</v>
          </cell>
          <cell r="Q831">
            <v>2.3803169130000001</v>
          </cell>
          <cell r="R831">
            <v>2.383144353</v>
          </cell>
          <cell r="S831">
            <v>2.3883458279999998</v>
          </cell>
          <cell r="T831">
            <v>2.395864</v>
          </cell>
          <cell r="U831">
            <v>2.40548969</v>
          </cell>
          <cell r="V831">
            <v>2.4152958020000002</v>
          </cell>
          <cell r="W831">
            <v>2.427135764</v>
          </cell>
          <cell r="X831">
            <v>2.4399691520000002</v>
          </cell>
          <cell r="Y831">
            <v>2.4532737199999999</v>
          </cell>
          <cell r="Z831">
            <v>2.4665674829999999</v>
          </cell>
          <cell r="AA831">
            <v>2.4749710340000002</v>
          </cell>
          <cell r="AB831">
            <v>2.4830390790000001</v>
          </cell>
          <cell r="AC831">
            <v>2.490165395</v>
          </cell>
          <cell r="AD831">
            <v>2.4966538100000002</v>
          </cell>
          <cell r="AE831">
            <v>2.502757984</v>
          </cell>
          <cell r="AF831">
            <v>2.5086609599999998</v>
          </cell>
          <cell r="AG831">
            <v>2.5144803530000002</v>
          </cell>
          <cell r="AH831">
            <v>2.5202872670000001</v>
          </cell>
          <cell r="AI831">
            <v>2.5261267919999999</v>
          </cell>
          <cell r="AJ831">
            <v>2.5320316809999999</v>
          </cell>
          <cell r="AK831">
            <v>2.5380268240000001</v>
          </cell>
        </row>
        <row r="832">
          <cell r="A832" t="str">
            <v>ems_mat_co2_sagr_2</v>
          </cell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</row>
        <row r="833">
          <cell r="A833" t="str">
            <v>ems_ci_co2_sfor_2</v>
          </cell>
          <cell r="B833">
            <v>0.52096150529999996</v>
          </cell>
          <cell r="C833">
            <v>0.50699637990000002</v>
          </cell>
          <cell r="D833">
            <v>0.49206658749999999</v>
          </cell>
          <cell r="E833">
            <v>0.47962980999999999</v>
          </cell>
          <cell r="F833">
            <v>0.47064221350000002</v>
          </cell>
          <cell r="G833">
            <v>0.46535881429999998</v>
          </cell>
          <cell r="H833">
            <v>0.49298111610000001</v>
          </cell>
          <cell r="I833">
            <v>0.50175088729999995</v>
          </cell>
          <cell r="J833">
            <v>0.51058738299999995</v>
          </cell>
          <cell r="K833">
            <v>0.51871712439999995</v>
          </cell>
          <cell r="L833">
            <v>0.52474102460000005</v>
          </cell>
          <cell r="M833">
            <v>0.52664253549999995</v>
          </cell>
          <cell r="N833">
            <v>0.52651442189999997</v>
          </cell>
          <cell r="O833">
            <v>0.52616485769999999</v>
          </cell>
          <cell r="P833">
            <v>0.52675289260000002</v>
          </cell>
          <cell r="Q833">
            <v>0.52868392269999998</v>
          </cell>
          <cell r="R833">
            <v>0.53174194490000004</v>
          </cell>
          <cell r="S833">
            <v>0.535397499</v>
          </cell>
          <cell r="T833">
            <v>0.53912358309999997</v>
          </cell>
          <cell r="U833">
            <v>0.54261937549999995</v>
          </cell>
          <cell r="V833">
            <v>0.54522002020000004</v>
          </cell>
          <cell r="W833">
            <v>0.54842914600000003</v>
          </cell>
          <cell r="X833">
            <v>0.55191060390000002</v>
          </cell>
          <cell r="Y833">
            <v>0.55575547219999999</v>
          </cell>
          <cell r="Z833">
            <v>0.5601394274</v>
          </cell>
          <cell r="AA833">
            <v>0.56319295840000005</v>
          </cell>
          <cell r="AB833">
            <v>0.56793086930000003</v>
          </cell>
          <cell r="AC833">
            <v>0.57317819169999995</v>
          </cell>
          <cell r="AD833">
            <v>0.57840847480000002</v>
          </cell>
          <cell r="AE833">
            <v>0.58354443909999998</v>
          </cell>
          <cell r="AF833">
            <v>0.58868698509999995</v>
          </cell>
          <cell r="AG833">
            <v>0.59396971269999999</v>
          </cell>
          <cell r="AH833">
            <v>0.59948317029999998</v>
          </cell>
          <cell r="AI833">
            <v>0.6052469318</v>
          </cell>
          <cell r="AJ833">
            <v>0.61121960099999995</v>
          </cell>
          <cell r="AK833">
            <v>0.61733144569999998</v>
          </cell>
        </row>
        <row r="834">
          <cell r="A834" t="str">
            <v>ems_y_co2_sfor_2</v>
          </cell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</row>
        <row r="835">
          <cell r="A835" t="str">
            <v>ems_mat_co2_sfor_2</v>
          </cell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</row>
        <row r="836">
          <cell r="A836" t="str">
            <v>ems_ci_co2_sfoo_2</v>
          </cell>
          <cell r="B836">
            <v>9.8937547279999993</v>
          </cell>
          <cell r="C836">
            <v>9.8970310369999996</v>
          </cell>
          <cell r="D836">
            <v>9.8740654859999992</v>
          </cell>
          <cell r="E836">
            <v>9.860966028</v>
          </cell>
          <cell r="F836">
            <v>9.8727860740000004</v>
          </cell>
          <cell r="G836">
            <v>9.9127603149999999</v>
          </cell>
          <cell r="H836">
            <v>9.9827152699999999</v>
          </cell>
          <cell r="I836">
            <v>10.055755700000001</v>
          </cell>
          <cell r="J836">
            <v>10.123339079999999</v>
          </cell>
          <cell r="K836">
            <v>10.162700149999999</v>
          </cell>
          <cell r="L836">
            <v>10.171563920000001</v>
          </cell>
          <cell r="M836">
            <v>10.149095300000001</v>
          </cell>
          <cell r="N836">
            <v>10.112472889999999</v>
          </cell>
          <cell r="O836">
            <v>10.07741029</v>
          </cell>
          <cell r="P836">
            <v>10.05398108</v>
          </cell>
          <cell r="Q836">
            <v>10.045637429999999</v>
          </cell>
          <cell r="R836">
            <v>10.05078672</v>
          </cell>
          <cell r="S836">
            <v>10.06540307</v>
          </cell>
          <cell r="T836">
            <v>10.08545018</v>
          </cell>
          <cell r="U836">
            <v>10.108313320000001</v>
          </cell>
          <cell r="V836">
            <v>10.12767066</v>
          </cell>
          <cell r="W836">
            <v>10.151114809999999</v>
          </cell>
          <cell r="X836">
            <v>10.178155009999999</v>
          </cell>
          <cell r="Y836">
            <v>10.20909136</v>
          </cell>
          <cell r="Z836">
            <v>10.243814649999999</v>
          </cell>
          <cell r="AA836">
            <v>10.265964070000001</v>
          </cell>
          <cell r="AB836">
            <v>10.28884704</v>
          </cell>
          <cell r="AC836">
            <v>10.31034017</v>
          </cell>
          <cell r="AD836">
            <v>10.330112209999999</v>
          </cell>
          <cell r="AE836">
            <v>10.348860760000001</v>
          </cell>
          <cell r="AF836">
            <v>10.367782289999999</v>
          </cell>
          <cell r="AG836">
            <v>10.387995500000001</v>
          </cell>
          <cell r="AH836">
            <v>10.410133760000001</v>
          </cell>
          <cell r="AI836">
            <v>10.43423018</v>
          </cell>
          <cell r="AJ836">
            <v>10.459858629999999</v>
          </cell>
          <cell r="AK836">
            <v>10.48640103</v>
          </cell>
        </row>
        <row r="837">
          <cell r="A837" t="str">
            <v>ems_y_co2_sfoo_2</v>
          </cell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</row>
        <row r="838">
          <cell r="A838" t="str">
            <v>ems_mat_co2_sfoo_2</v>
          </cell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</row>
        <row r="839">
          <cell r="A839" t="str">
            <v>ems_ci_co2_sveh_2</v>
          </cell>
          <cell r="B839">
            <v>1.236831963</v>
          </cell>
          <cell r="C839">
            <v>1.2346705069999999</v>
          </cell>
          <cell r="D839">
            <v>1.2334287370000001</v>
          </cell>
          <cell r="E839">
            <v>1.237508405</v>
          </cell>
          <cell r="F839">
            <v>1.2502621970000001</v>
          </cell>
          <cell r="G839">
            <v>1.2735663129999999</v>
          </cell>
          <cell r="H839">
            <v>1.307021845</v>
          </cell>
          <cell r="I839">
            <v>1.368815275</v>
          </cell>
          <cell r="J839">
            <v>1.445155736</v>
          </cell>
          <cell r="K839">
            <v>1.5174634069999999</v>
          </cell>
          <cell r="L839">
            <v>1.573546788</v>
          </cell>
          <cell r="M839">
            <v>1.6084717550000001</v>
          </cell>
          <cell r="N839">
            <v>1.628842584</v>
          </cell>
          <cell r="O839">
            <v>1.6430917009999999</v>
          </cell>
          <cell r="P839">
            <v>1.658040991</v>
          </cell>
          <cell r="Q839">
            <v>1.677102302</v>
          </cell>
          <cell r="R839">
            <v>1.7004802670000001</v>
          </cell>
          <cell r="S839">
            <v>1.726500897</v>
          </cell>
          <cell r="T839">
            <v>1.7531614550000001</v>
          </cell>
          <cell r="U839">
            <v>1.7792523650000001</v>
          </cell>
          <cell r="V839">
            <v>1.8035662960000001</v>
          </cell>
          <cell r="W839">
            <v>1.8291669310000001</v>
          </cell>
          <cell r="X839">
            <v>1.8561680899999999</v>
          </cell>
          <cell r="Y839">
            <v>1.8855764100000001</v>
          </cell>
          <cell r="Z839">
            <v>1.9180731740000001</v>
          </cell>
          <cell r="AA839">
            <v>1.949967837</v>
          </cell>
          <cell r="AB839">
            <v>1.9854225080000001</v>
          </cell>
          <cell r="AC839">
            <v>2.0211801650000001</v>
          </cell>
          <cell r="AD839">
            <v>2.055696271</v>
          </cell>
          <cell r="AE839">
            <v>2.0885502969999998</v>
          </cell>
          <cell r="AF839">
            <v>2.1200850739999999</v>
          </cell>
          <cell r="AG839">
            <v>2.1509374430000001</v>
          </cell>
          <cell r="AH839">
            <v>2.1816342639999999</v>
          </cell>
          <cell r="AI839">
            <v>2.2123868930000001</v>
          </cell>
          <cell r="AJ839">
            <v>2.24310221</v>
          </cell>
          <cell r="AK839">
            <v>2.2735367819999999</v>
          </cell>
        </row>
        <row r="840">
          <cell r="A840" t="str">
            <v>ems_y_co2_sveh_2</v>
          </cell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</row>
        <row r="841">
          <cell r="A841" t="str">
            <v>ems_mat_co2_sveh_2</v>
          </cell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</row>
        <row r="842">
          <cell r="A842" t="str">
            <v>ems_ci_co2_sgla_2</v>
          </cell>
          <cell r="B842">
            <v>5.7358959430000001</v>
          </cell>
          <cell r="C842">
            <v>5.9164102520000004</v>
          </cell>
          <cell r="D842">
            <v>6.1343918090000003</v>
          </cell>
          <cell r="E842">
            <v>6.3062461540000001</v>
          </cell>
          <cell r="F842">
            <v>6.4308318670000002</v>
          </cell>
          <cell r="G842">
            <v>6.530188806</v>
          </cell>
          <cell r="H842">
            <v>6.5767234820000002</v>
          </cell>
          <cell r="I842">
            <v>6.6288411060000003</v>
          </cell>
          <cell r="J842">
            <v>6.6846267279999996</v>
          </cell>
          <cell r="K842">
            <v>6.7423869160000001</v>
          </cell>
          <cell r="L842">
            <v>6.8784893220000001</v>
          </cell>
          <cell r="M842">
            <v>6.9327495240000001</v>
          </cell>
          <cell r="N842">
            <v>7.002394926</v>
          </cell>
          <cell r="O842">
            <v>7.0969767810000004</v>
          </cell>
          <cell r="P842">
            <v>7.2066887370000003</v>
          </cell>
          <cell r="Q842">
            <v>7.3225792170000004</v>
          </cell>
          <cell r="R842">
            <v>7.4394797459999999</v>
          </cell>
          <cell r="S842">
            <v>7.5556439959999997</v>
          </cell>
          <cell r="T842">
            <v>7.6716389109999996</v>
          </cell>
          <cell r="U842">
            <v>7.7890537530000001</v>
          </cell>
          <cell r="V842">
            <v>7.8583654320000003</v>
          </cell>
          <cell r="W842">
            <v>7.9966381430000002</v>
          </cell>
          <cell r="X842">
            <v>8.1413165949999993</v>
          </cell>
          <cell r="Y842">
            <v>8.2813405729999996</v>
          </cell>
          <cell r="Z842">
            <v>8.4186446149999998</v>
          </cell>
          <cell r="AA842">
            <v>8.405109736</v>
          </cell>
          <cell r="AB842">
            <v>8.5235738390000009</v>
          </cell>
          <cell r="AC842">
            <v>8.6664656549999997</v>
          </cell>
          <cell r="AD842">
            <v>8.8075360329999999</v>
          </cell>
          <cell r="AE842">
            <v>8.9460465360000008</v>
          </cell>
          <cell r="AF842">
            <v>9.084427282</v>
          </cell>
          <cell r="AG842">
            <v>9.2241334619999993</v>
          </cell>
          <cell r="AH842">
            <v>9.3656100979999994</v>
          </cell>
          <cell r="AI842">
            <v>9.5088327439999993</v>
          </cell>
          <cell r="AJ842">
            <v>9.6537177290000002</v>
          </cell>
          <cell r="AK842">
            <v>9.8003036859999995</v>
          </cell>
        </row>
        <row r="843">
          <cell r="A843" t="str">
            <v>ems_y_co2_sgla_2</v>
          </cell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</row>
        <row r="844">
          <cell r="A844" t="str">
            <v>ems_mat_co2_sgla_2</v>
          </cell>
          <cell r="B844">
            <v>13.79124712</v>
          </cell>
          <cell r="C844">
            <v>14.25018208</v>
          </cell>
          <cell r="D844">
            <v>14.81580364</v>
          </cell>
          <cell r="E844">
            <v>15.27789716</v>
          </cell>
          <cell r="F844">
            <v>15.62534774</v>
          </cell>
          <cell r="G844">
            <v>15.90612458</v>
          </cell>
          <cell r="H844">
            <v>16.051052179999999</v>
          </cell>
          <cell r="I844">
            <v>16.16612026</v>
          </cell>
          <cell r="J844">
            <v>16.268376310000001</v>
          </cell>
          <cell r="K844">
            <v>16.380612320000001</v>
          </cell>
          <cell r="L844">
            <v>16.704334070000002</v>
          </cell>
          <cell r="M844">
            <v>16.848774639999998</v>
          </cell>
          <cell r="N844">
            <v>17.041148809999999</v>
          </cell>
          <cell r="O844">
            <v>17.294569750000001</v>
          </cell>
          <cell r="P844">
            <v>17.578260220000001</v>
          </cell>
          <cell r="Q844">
            <v>17.868283999999999</v>
          </cell>
          <cell r="R844">
            <v>18.154114499999999</v>
          </cell>
          <cell r="S844">
            <v>18.435792729999999</v>
          </cell>
          <cell r="T844">
            <v>18.718935439999999</v>
          </cell>
          <cell r="U844">
            <v>19.00999612</v>
          </cell>
          <cell r="V844">
            <v>19.18809143</v>
          </cell>
          <cell r="W844">
            <v>19.538257160000001</v>
          </cell>
          <cell r="X844">
            <v>19.906284429999999</v>
          </cell>
          <cell r="Y844">
            <v>20.263005159999999</v>
          </cell>
          <cell r="Z844">
            <v>20.611330460000001</v>
          </cell>
          <cell r="AA844">
            <v>20.586535229999999</v>
          </cell>
          <cell r="AB844">
            <v>20.882058499999999</v>
          </cell>
          <cell r="AC844">
            <v>21.236596949999999</v>
          </cell>
          <cell r="AD844">
            <v>21.586900050000001</v>
          </cell>
          <cell r="AE844">
            <v>21.931046080000002</v>
          </cell>
          <cell r="AF844">
            <v>22.274133809999999</v>
          </cell>
          <cell r="AG844">
            <v>22.618735050000002</v>
          </cell>
          <cell r="AH844">
            <v>22.96531439</v>
          </cell>
          <cell r="AI844">
            <v>23.31377848</v>
          </cell>
          <cell r="AJ844">
            <v>23.664407799999999</v>
          </cell>
          <cell r="AK844">
            <v>24.018039529999999</v>
          </cell>
        </row>
        <row r="845">
          <cell r="A845" t="str">
            <v>ems_ci_co2_spap_2</v>
          </cell>
          <cell r="B845">
            <v>3.0195576750000002</v>
          </cell>
          <cell r="C845">
            <v>3.0389702120000002</v>
          </cell>
          <cell r="D845">
            <v>3.0675809909999998</v>
          </cell>
          <cell r="E845">
            <v>3.1091992070000001</v>
          </cell>
          <cell r="F845">
            <v>3.1578563040000001</v>
          </cell>
          <cell r="G845">
            <v>3.208958414</v>
          </cell>
          <cell r="H845">
            <v>3.2625682729999999</v>
          </cell>
          <cell r="I845">
            <v>3.305112625</v>
          </cell>
          <cell r="J845">
            <v>3.3381114859999999</v>
          </cell>
          <cell r="K845">
            <v>3.3686458880000001</v>
          </cell>
          <cell r="L845">
            <v>3.4009464110000001</v>
          </cell>
          <cell r="M845">
            <v>3.4476102229999999</v>
          </cell>
          <cell r="N845">
            <v>3.5015030309999999</v>
          </cell>
          <cell r="O845">
            <v>3.5601477539999999</v>
          </cell>
          <cell r="P845">
            <v>3.621069125</v>
          </cell>
          <cell r="Q845">
            <v>3.6821436420000002</v>
          </cell>
          <cell r="R845">
            <v>3.74227789</v>
          </cell>
          <cell r="S845">
            <v>3.8014997030000002</v>
          </cell>
          <cell r="T845">
            <v>3.86056862</v>
          </cell>
          <cell r="U845">
            <v>3.9204230189999998</v>
          </cell>
          <cell r="V845">
            <v>3.9830376809999999</v>
          </cell>
          <cell r="W845">
            <v>4.0433022220000003</v>
          </cell>
          <cell r="X845">
            <v>4.1060417080000002</v>
          </cell>
          <cell r="Y845">
            <v>4.1710253609999999</v>
          </cell>
          <cell r="Z845">
            <v>4.2374508029999998</v>
          </cell>
          <cell r="AA845">
            <v>4.3073187380000002</v>
          </cell>
          <cell r="AB845">
            <v>4.3693581290000001</v>
          </cell>
          <cell r="AC845">
            <v>4.4313444329999996</v>
          </cell>
          <cell r="AD845">
            <v>4.4948843549999999</v>
          </cell>
          <cell r="AE845">
            <v>4.5603718219999996</v>
          </cell>
          <cell r="AF845">
            <v>4.6278065589999997</v>
          </cell>
          <cell r="AG845">
            <v>4.696969664</v>
          </cell>
          <cell r="AH845">
            <v>4.767567208</v>
          </cell>
          <cell r="AI845">
            <v>4.8393590839999998</v>
          </cell>
          <cell r="AJ845">
            <v>4.912229022</v>
          </cell>
          <cell r="AK845">
            <v>4.9861824019999998</v>
          </cell>
        </row>
        <row r="846">
          <cell r="A846" t="str">
            <v>ems_y_co2_spap_2</v>
          </cell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</row>
        <row r="847">
          <cell r="A847" t="str">
            <v>ems_mat_co2_spap_2</v>
          </cell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</row>
        <row r="848">
          <cell r="A848" t="str">
            <v>ems_ci_co2_sche_2</v>
          </cell>
          <cell r="B848">
            <v>3.8354402749999998</v>
          </cell>
          <cell r="C848">
            <v>3.8343705880000001</v>
          </cell>
          <cell r="D848">
            <v>3.8474800400000002</v>
          </cell>
          <cell r="E848">
            <v>3.874537857</v>
          </cell>
          <cell r="F848">
            <v>3.9113455209999999</v>
          </cell>
          <cell r="G848">
            <v>3.9551223000000002</v>
          </cell>
          <cell r="H848">
            <v>4.0035041729999996</v>
          </cell>
          <cell r="I848">
            <v>4.0485430469999999</v>
          </cell>
          <cell r="J848">
            <v>4.0891873429999999</v>
          </cell>
          <cell r="K848">
            <v>4.1268980820000003</v>
          </cell>
          <cell r="L848">
            <v>4.1718400500000001</v>
          </cell>
          <cell r="M848">
            <v>4.215249536</v>
          </cell>
          <cell r="N848">
            <v>4.2639514070000004</v>
          </cell>
          <cell r="O848">
            <v>4.3188260219999997</v>
          </cell>
          <cell r="P848">
            <v>4.3782704680000002</v>
          </cell>
          <cell r="Q848">
            <v>4.440245333</v>
          </cell>
          <cell r="R848">
            <v>4.5032194499999996</v>
          </cell>
          <cell r="S848">
            <v>4.5665274480000004</v>
          </cell>
          <cell r="T848">
            <v>4.6302929779999999</v>
          </cell>
          <cell r="U848">
            <v>4.6950918540000002</v>
          </cell>
          <cell r="V848">
            <v>4.7566251429999999</v>
          </cell>
          <cell r="W848">
            <v>4.8245234290000001</v>
          </cell>
          <cell r="X848">
            <v>4.8955030480000001</v>
          </cell>
          <cell r="Y848">
            <v>4.968502558</v>
          </cell>
          <cell r="Z848">
            <v>5.043185019</v>
          </cell>
          <cell r="AA848">
            <v>5.1044233659999998</v>
          </cell>
          <cell r="AB848">
            <v>5.1737734250000003</v>
          </cell>
          <cell r="AC848">
            <v>5.2457748549999996</v>
          </cell>
          <cell r="AD848">
            <v>5.3190083230000003</v>
          </cell>
          <cell r="AE848">
            <v>5.3936143510000001</v>
          </cell>
          <cell r="AF848">
            <v>5.4698476249999999</v>
          </cell>
          <cell r="AG848">
            <v>5.5477587670000004</v>
          </cell>
          <cell r="AH848">
            <v>5.627223152</v>
          </cell>
          <cell r="AI848">
            <v>5.7080529469999997</v>
          </cell>
          <cell r="AJ848">
            <v>5.7900962109999998</v>
          </cell>
          <cell r="AK848">
            <v>5.8732855949999996</v>
          </cell>
        </row>
        <row r="849">
          <cell r="A849" t="str">
            <v>ems_y_co2_sche_2</v>
          </cell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</row>
        <row r="850">
          <cell r="A850" t="str">
            <v>ems_mat_co2_sche_2</v>
          </cell>
          <cell r="B850">
            <v>2.594500424</v>
          </cell>
          <cell r="C850">
            <v>2.5971305629999999</v>
          </cell>
          <cell r="D850">
            <v>2.6115127299999998</v>
          </cell>
          <cell r="E850">
            <v>2.6364707360000001</v>
          </cell>
          <cell r="F850">
            <v>2.6683295839999999</v>
          </cell>
          <cell r="G850">
            <v>2.7046565390000001</v>
          </cell>
          <cell r="H850">
            <v>2.7435047049999999</v>
          </cell>
          <cell r="I850">
            <v>2.775256921</v>
          </cell>
          <cell r="J850">
            <v>2.8013978919999998</v>
          </cell>
          <cell r="K850">
            <v>2.8257708309999998</v>
          </cell>
          <cell r="L850">
            <v>2.8570910559999998</v>
          </cell>
          <cell r="M850">
            <v>2.88915605</v>
          </cell>
          <cell r="N850">
            <v>2.925686491</v>
          </cell>
          <cell r="O850">
            <v>2.9662215660000002</v>
          </cell>
          <cell r="P850">
            <v>3.0089677840000002</v>
          </cell>
          <cell r="Q850">
            <v>3.052371532</v>
          </cell>
          <cell r="R850">
            <v>3.095681173</v>
          </cell>
          <cell r="S850">
            <v>3.1389645370000001</v>
          </cell>
          <cell r="T850">
            <v>3.182805208</v>
          </cell>
          <cell r="U850">
            <v>3.2279012159999998</v>
          </cell>
          <cell r="V850">
            <v>3.2712970540000001</v>
          </cell>
          <cell r="W850">
            <v>3.3195372490000001</v>
          </cell>
          <cell r="X850">
            <v>3.3702002900000001</v>
          </cell>
          <cell r="Y850">
            <v>3.422316092</v>
          </cell>
          <cell r="Z850">
            <v>3.4754401769999999</v>
          </cell>
          <cell r="AA850">
            <v>3.5188765169999998</v>
          </cell>
          <cell r="AB850">
            <v>3.5675371490000001</v>
          </cell>
          <cell r="AC850">
            <v>3.6178780960000001</v>
          </cell>
          <cell r="AD850">
            <v>3.6690304459999998</v>
          </cell>
          <cell r="AE850">
            <v>3.7210734250000002</v>
          </cell>
          <cell r="AF850">
            <v>3.7740856960000002</v>
          </cell>
          <cell r="AG850">
            <v>3.8279933540000002</v>
          </cell>
          <cell r="AH850">
            <v>3.8826454180000001</v>
          </cell>
          <cell r="AI850">
            <v>3.9379149510000002</v>
          </cell>
          <cell r="AJ850">
            <v>3.9937583590000001</v>
          </cell>
          <cell r="AK850">
            <v>4.0502195280000004</v>
          </cell>
        </row>
        <row r="851">
          <cell r="A851" t="str">
            <v>ems_ci_co2_spla_2</v>
          </cell>
          <cell r="B851">
            <v>1.297756884</v>
          </cell>
          <cell r="C851">
            <v>1.2991557659999999</v>
          </cell>
          <cell r="D851">
            <v>1.3042119350000001</v>
          </cell>
          <cell r="E851">
            <v>1.3130087349999999</v>
          </cell>
          <cell r="F851">
            <v>1.3257670420000001</v>
          </cell>
          <cell r="G851">
            <v>1.3429780739999999</v>
          </cell>
          <cell r="H851">
            <v>1.3632510229999999</v>
          </cell>
          <cell r="I851">
            <v>1.392239142</v>
          </cell>
          <cell r="J851">
            <v>1.4244581089999999</v>
          </cell>
          <cell r="K851">
            <v>1.4541870020000001</v>
          </cell>
          <cell r="L851">
            <v>1.4822813100000001</v>
          </cell>
          <cell r="M851">
            <v>1.501678166</v>
          </cell>
          <cell r="N851">
            <v>1.5186776099999999</v>
          </cell>
          <cell r="O851">
            <v>1.5362438730000001</v>
          </cell>
          <cell r="P851">
            <v>1.555673493</v>
          </cell>
          <cell r="Q851">
            <v>1.577177265</v>
          </cell>
          <cell r="R851">
            <v>1.6002443550000001</v>
          </cell>
          <cell r="S851">
            <v>1.624103759</v>
          </cell>
          <cell r="T851">
            <v>1.648144405</v>
          </cell>
          <cell r="U851">
            <v>1.6721438179999999</v>
          </cell>
          <cell r="V851">
            <v>1.6935113559999999</v>
          </cell>
          <cell r="W851">
            <v>1.718326271</v>
          </cell>
          <cell r="X851">
            <v>1.74428925</v>
          </cell>
          <cell r="Y851">
            <v>1.771168308</v>
          </cell>
          <cell r="Z851">
            <v>1.79917781</v>
          </cell>
          <cell r="AA851">
            <v>1.8200368629999999</v>
          </cell>
          <cell r="AB851">
            <v>1.847348422</v>
          </cell>
          <cell r="AC851">
            <v>1.87604053</v>
          </cell>
          <cell r="AD851">
            <v>1.9046065480000001</v>
          </cell>
          <cell r="AE851">
            <v>1.932976284</v>
          </cell>
          <cell r="AF851">
            <v>1.961412873</v>
          </cell>
          <cell r="AG851">
            <v>1.990174184</v>
          </cell>
          <cell r="AH851">
            <v>2.0194014020000002</v>
          </cell>
          <cell r="AI851">
            <v>2.0491034479999999</v>
          </cell>
          <cell r="AJ851">
            <v>2.0791982230000001</v>
          </cell>
          <cell r="AK851">
            <v>2.1095775680000002</v>
          </cell>
        </row>
        <row r="852">
          <cell r="A852" t="str">
            <v>ems_y_co2_spla_2</v>
          </cell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</row>
        <row r="853">
          <cell r="A853" t="str">
            <v>ems_mat_co2_spla_2</v>
          </cell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</row>
        <row r="854">
          <cell r="A854" t="str">
            <v>ems_ci_co2_smet_2</v>
          </cell>
          <cell r="B854">
            <v>7.5657038569999999</v>
          </cell>
          <cell r="C854">
            <v>7.6690087739999999</v>
          </cell>
          <cell r="D854">
            <v>7.7889340660000004</v>
          </cell>
          <cell r="E854">
            <v>7.9062199729999998</v>
          </cell>
          <cell r="F854">
            <v>8.0161534910000007</v>
          </cell>
          <cell r="G854">
            <v>8.1193734119999998</v>
          </cell>
          <cell r="H854">
            <v>8.2039684449999992</v>
          </cell>
          <cell r="I854">
            <v>8.2779780209999991</v>
          </cell>
          <cell r="J854">
            <v>8.3402540460000001</v>
          </cell>
          <cell r="K854">
            <v>8.3975032350000003</v>
          </cell>
          <cell r="L854">
            <v>8.4838459020000005</v>
          </cell>
          <cell r="M854">
            <v>8.5589686670000003</v>
          </cell>
          <cell r="N854">
            <v>8.6507754499999994</v>
          </cell>
          <cell r="O854">
            <v>8.7605869629999997</v>
          </cell>
          <cell r="P854">
            <v>8.8823730510000001</v>
          </cell>
          <cell r="Q854">
            <v>9.0096642080000002</v>
          </cell>
          <cell r="R854">
            <v>9.1379366090000005</v>
          </cell>
          <cell r="S854">
            <v>9.2652037580000002</v>
          </cell>
          <cell r="T854">
            <v>9.3915719529999997</v>
          </cell>
          <cell r="U854">
            <v>9.5182730370000002</v>
          </cell>
          <cell r="V854">
            <v>9.6300618450000002</v>
          </cell>
          <cell r="W854">
            <v>9.7625648340000009</v>
          </cell>
          <cell r="X854">
            <v>9.8995904840000009</v>
          </cell>
          <cell r="Y854">
            <v>10.03809803</v>
          </cell>
          <cell r="Z854">
            <v>10.178032200000001</v>
          </cell>
          <cell r="AA854">
            <v>10.27122252</v>
          </cell>
          <cell r="AB854">
            <v>10.398372630000001</v>
          </cell>
          <cell r="AC854">
            <v>10.5341241</v>
          </cell>
          <cell r="AD854">
            <v>10.67324973</v>
          </cell>
          <cell r="AE854">
            <v>10.81613845</v>
          </cell>
          <cell r="AF854">
            <v>10.96356639</v>
          </cell>
          <cell r="AG854">
            <v>11.11569989</v>
          </cell>
          <cell r="AH854">
            <v>11.272200529999999</v>
          </cell>
          <cell r="AI854">
            <v>11.432542529999999</v>
          </cell>
          <cell r="AJ854">
            <v>11.59627128</v>
          </cell>
          <cell r="AK854">
            <v>11.763118820000001</v>
          </cell>
        </row>
        <row r="855">
          <cell r="A855" t="str">
            <v>ems_y_co2_smet_2</v>
          </cell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</row>
        <row r="856">
          <cell r="A856" t="str">
            <v>ems_mat_co2_smet_2</v>
          </cell>
          <cell r="B856">
            <v>12.82056356</v>
          </cell>
          <cell r="C856">
            <v>13.0151199</v>
          </cell>
          <cell r="D856">
            <v>13.25731332</v>
          </cell>
          <cell r="E856">
            <v>13.51502696</v>
          </cell>
          <cell r="F856">
            <v>13.77917646</v>
          </cell>
          <cell r="G856">
            <v>14.048261500000001</v>
          </cell>
          <cell r="H856">
            <v>14.2971358</v>
          </cell>
          <cell r="I856">
            <v>14.52154127</v>
          </cell>
          <cell r="J856">
            <v>14.716544239999999</v>
          </cell>
          <cell r="K856">
            <v>14.892764039999999</v>
          </cell>
          <cell r="L856">
            <v>15.10963044</v>
          </cell>
          <cell r="M856">
            <v>15.29340028</v>
          </cell>
          <cell r="N856">
            <v>15.492566890000001</v>
          </cell>
          <cell r="O856">
            <v>15.710673079999999</v>
          </cell>
          <cell r="P856">
            <v>15.9399181</v>
          </cell>
          <cell r="Q856">
            <v>16.172630120000001</v>
          </cell>
          <cell r="R856">
            <v>16.40467331</v>
          </cell>
          <cell r="S856">
            <v>16.635914719999999</v>
          </cell>
          <cell r="T856">
            <v>16.869058249999998</v>
          </cell>
          <cell r="U856">
            <v>17.107798129999999</v>
          </cell>
          <cell r="V856">
            <v>17.32506721</v>
          </cell>
          <cell r="W856">
            <v>17.584626709999998</v>
          </cell>
          <cell r="X856">
            <v>17.85708249</v>
          </cell>
          <cell r="Y856">
            <v>18.136002189999999</v>
          </cell>
          <cell r="Z856">
            <v>18.419954539999999</v>
          </cell>
          <cell r="AA856">
            <v>18.619635110000001</v>
          </cell>
          <cell r="AB856">
            <v>18.879105370000001</v>
          </cell>
          <cell r="AC856">
            <v>19.151722119999999</v>
          </cell>
          <cell r="AD856">
            <v>19.42712324</v>
          </cell>
          <cell r="AE856">
            <v>19.705233629999999</v>
          </cell>
          <cell r="AF856">
            <v>19.986930189999999</v>
          </cell>
          <cell r="AG856">
            <v>20.272296730000001</v>
          </cell>
          <cell r="AH856">
            <v>20.56083215</v>
          </cell>
          <cell r="AI856">
            <v>20.851979440000001</v>
          </cell>
          <cell r="AJ856">
            <v>21.145503139999999</v>
          </cell>
          <cell r="AK856">
            <v>21.441597810000001</v>
          </cell>
        </row>
        <row r="857">
          <cell r="A857" t="str">
            <v>ems_ci_co2_sigo_2</v>
          </cell>
          <cell r="B857">
            <v>3.009518285</v>
          </cell>
          <cell r="C857">
            <v>3.0091603650000001</v>
          </cell>
          <cell r="D857">
            <v>3.0167586329999998</v>
          </cell>
          <cell r="E857">
            <v>3.0341847789999998</v>
          </cell>
          <cell r="F857">
            <v>3.0608701630000001</v>
          </cell>
          <cell r="G857">
            <v>3.0965126430000001</v>
          </cell>
          <cell r="H857">
            <v>3.139690624</v>
          </cell>
          <cell r="I857">
            <v>3.1939651570000001</v>
          </cell>
          <cell r="J857">
            <v>3.2514158759999998</v>
          </cell>
          <cell r="K857">
            <v>3.3035629219999998</v>
          </cell>
          <cell r="L857">
            <v>3.3532517820000001</v>
          </cell>
          <cell r="M857">
            <v>3.3912919829999999</v>
          </cell>
          <cell r="N857">
            <v>3.4276855560000001</v>
          </cell>
          <cell r="O857">
            <v>3.4672458580000001</v>
          </cell>
          <cell r="P857">
            <v>3.5115251500000002</v>
          </cell>
          <cell r="Q857">
            <v>3.5600787829999998</v>
          </cell>
          <cell r="R857">
            <v>3.6114226039999999</v>
          </cell>
          <cell r="S857">
            <v>3.6639733269999999</v>
          </cell>
          <cell r="T857">
            <v>3.716733949</v>
          </cell>
          <cell r="U857">
            <v>3.7695439830000002</v>
          </cell>
          <cell r="V857">
            <v>3.81837742</v>
          </cell>
          <cell r="W857">
            <v>3.8728917580000002</v>
          </cell>
          <cell r="X857">
            <v>3.930063488</v>
          </cell>
          <cell r="Y857">
            <v>3.989435056</v>
          </cell>
          <cell r="Z857">
            <v>4.0511723489999998</v>
          </cell>
          <cell r="AA857">
            <v>4.1013712480000004</v>
          </cell>
          <cell r="AB857">
            <v>4.1609892329999996</v>
          </cell>
          <cell r="AC857">
            <v>4.2230303969999996</v>
          </cell>
          <cell r="AD857">
            <v>4.2852601569999997</v>
          </cell>
          <cell r="AE857">
            <v>4.34765157</v>
          </cell>
          <cell r="AF857">
            <v>4.410671776</v>
          </cell>
          <cell r="AG857">
            <v>4.4747175950000004</v>
          </cell>
          <cell r="AH857">
            <v>4.5399477150000003</v>
          </cell>
          <cell r="AI857">
            <v>4.6062925740000003</v>
          </cell>
          <cell r="AJ857">
            <v>4.673554963</v>
          </cell>
          <cell r="AK857">
            <v>4.7415323980000004</v>
          </cell>
        </row>
        <row r="858">
          <cell r="A858" t="str">
            <v>ems_y_co2_sigo_2</v>
          </cell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</row>
        <row r="859">
          <cell r="A859" t="str">
            <v>ems_mat_co2_sigo_2</v>
          </cell>
          <cell r="B859">
            <v>0.47317725830000001</v>
          </cell>
          <cell r="C859">
            <v>0.47488048049999998</v>
          </cell>
          <cell r="D859">
            <v>0.47869150669999999</v>
          </cell>
          <cell r="E859">
            <v>0.48412983949999999</v>
          </cell>
          <cell r="F859">
            <v>0.49053535590000003</v>
          </cell>
          <cell r="G859">
            <v>0.49755909100000001</v>
          </cell>
          <cell r="H859">
            <v>0.50497682570000002</v>
          </cell>
          <cell r="I859">
            <v>0.51083517570000003</v>
          </cell>
          <cell r="J859">
            <v>0.5155767805</v>
          </cell>
          <cell r="K859">
            <v>0.52000538439999999</v>
          </cell>
          <cell r="L859">
            <v>0.52592361769999996</v>
          </cell>
          <cell r="M859">
            <v>0.53180532970000005</v>
          </cell>
          <cell r="N859">
            <v>0.53853260889999999</v>
          </cell>
          <cell r="O859">
            <v>0.54602295180000004</v>
          </cell>
          <cell r="P859">
            <v>0.55391029780000001</v>
          </cell>
          <cell r="Q859">
            <v>0.56189029170000004</v>
          </cell>
          <cell r="R859">
            <v>0.56982600959999996</v>
          </cell>
          <cell r="S859">
            <v>0.57774246110000005</v>
          </cell>
          <cell r="T859">
            <v>0.58576127870000005</v>
          </cell>
          <cell r="U859">
            <v>0.59402090159999998</v>
          </cell>
          <cell r="V859">
            <v>0.60186546299999999</v>
          </cell>
          <cell r="W859">
            <v>0.61076236009999996</v>
          </cell>
          <cell r="X859">
            <v>0.62012206449999996</v>
          </cell>
          <cell r="Y859">
            <v>0.62972930810000005</v>
          </cell>
          <cell r="Z859">
            <v>0.63950465509999999</v>
          </cell>
          <cell r="AA859">
            <v>0.64713372390000001</v>
          </cell>
          <cell r="AB859">
            <v>0.65604519880000001</v>
          </cell>
          <cell r="AC859">
            <v>0.66533157210000005</v>
          </cell>
          <cell r="AD859">
            <v>0.67475398239999995</v>
          </cell>
          <cell r="AE859">
            <v>0.68432179579999997</v>
          </cell>
          <cell r="AF859">
            <v>0.69405442809999995</v>
          </cell>
          <cell r="AG859">
            <v>0.70394110369999996</v>
          </cell>
          <cell r="AH859">
            <v>0.71395517340000003</v>
          </cell>
          <cell r="AI859">
            <v>0.72407437470000002</v>
          </cell>
          <cell r="AJ859">
            <v>0.7342923844</v>
          </cell>
          <cell r="AK859">
            <v>0.74461931879999999</v>
          </cell>
        </row>
        <row r="860">
          <cell r="A860" t="str">
            <v>ems_ci_co2_scgo_2</v>
          </cell>
          <cell r="B860">
            <v>0.69727128699999996</v>
          </cell>
          <cell r="C860">
            <v>0.6817911727</v>
          </cell>
          <cell r="D860">
            <v>0.66944615399999996</v>
          </cell>
          <cell r="E860">
            <v>0.66338245549999997</v>
          </cell>
          <cell r="F860">
            <v>0.66167825339999997</v>
          </cell>
          <cell r="G860">
            <v>0.66280458350000004</v>
          </cell>
          <cell r="H860">
            <v>0.66716000099999995</v>
          </cell>
          <cell r="I860">
            <v>0.67201237049999996</v>
          </cell>
          <cell r="J860">
            <v>0.67694941789999996</v>
          </cell>
          <cell r="K860">
            <v>0.68213598249999996</v>
          </cell>
          <cell r="L860">
            <v>0.68614744539999994</v>
          </cell>
          <cell r="M860">
            <v>0.69472944599999997</v>
          </cell>
          <cell r="N860">
            <v>0.70430470950000001</v>
          </cell>
          <cell r="O860">
            <v>0.7147618187</v>
          </cell>
          <cell r="P860">
            <v>0.72598775630000001</v>
          </cell>
          <cell r="Q860">
            <v>0.73771665669999997</v>
          </cell>
          <cell r="R860">
            <v>0.74968314619999998</v>
          </cell>
          <cell r="S860">
            <v>0.76171851970000004</v>
          </cell>
          <cell r="T860">
            <v>0.7737724426</v>
          </cell>
          <cell r="U860">
            <v>0.78588201120000001</v>
          </cell>
          <cell r="V860">
            <v>0.79928655739999999</v>
          </cell>
          <cell r="W860">
            <v>0.81073667140000005</v>
          </cell>
          <cell r="X860">
            <v>0.82277265349999995</v>
          </cell>
          <cell r="Y860">
            <v>0.83540262369999996</v>
          </cell>
          <cell r="Z860">
            <v>0.84847746369999999</v>
          </cell>
          <cell r="AA860">
            <v>0.86487764450000004</v>
          </cell>
          <cell r="AB860">
            <v>0.87737332499999998</v>
          </cell>
          <cell r="AC860">
            <v>0.8898890747</v>
          </cell>
          <cell r="AD860">
            <v>0.90284258090000002</v>
          </cell>
          <cell r="AE860">
            <v>0.91627943889999997</v>
          </cell>
          <cell r="AF860">
            <v>0.93020009889999999</v>
          </cell>
          <cell r="AG860">
            <v>0.94458440079999995</v>
          </cell>
          <cell r="AH860">
            <v>0.95939523510000002</v>
          </cell>
          <cell r="AI860">
            <v>0.97458799269999996</v>
          </cell>
          <cell r="AJ860">
            <v>0.99012161070000004</v>
          </cell>
          <cell r="AK860">
            <v>1.0059655300000001</v>
          </cell>
        </row>
        <row r="861">
          <cell r="A861" t="str">
            <v>ems_y_co2_scgo_2</v>
          </cell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</row>
        <row r="862">
          <cell r="A862" t="str">
            <v>ems_mat_co2_scgo_2</v>
          </cell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</row>
        <row r="863">
          <cell r="A863" t="str">
            <v>ems_ci_co2_scon_2</v>
          </cell>
          <cell r="B863">
            <v>7.5407835150000002</v>
          </cell>
          <cell r="C863">
            <v>8.0005758749999991</v>
          </cell>
          <cell r="D863">
            <v>8.5022476739999995</v>
          </cell>
          <cell r="E863">
            <v>8.8274367560000009</v>
          </cell>
          <cell r="F863">
            <v>9.012323146</v>
          </cell>
          <cell r="G863">
            <v>9.1266662279999995</v>
          </cell>
          <cell r="H863">
            <v>9.0754912399999998</v>
          </cell>
          <cell r="I863">
            <v>9.0718536269999994</v>
          </cell>
          <cell r="J863">
            <v>9.0942851250000007</v>
          </cell>
          <cell r="K863">
            <v>9.1353781339999998</v>
          </cell>
          <cell r="L863">
            <v>9.4097788500000004</v>
          </cell>
          <cell r="M863">
            <v>9.4058469969999994</v>
          </cell>
          <cell r="N863">
            <v>9.4688725609999995</v>
          </cell>
          <cell r="O863">
            <v>9.5899019009999993</v>
          </cell>
          <cell r="P863">
            <v>9.7402376470000007</v>
          </cell>
          <cell r="Q863">
            <v>9.9012968069999996</v>
          </cell>
          <cell r="R863">
            <v>10.06393563</v>
          </cell>
          <cell r="S863">
            <v>10.22562396</v>
          </cell>
          <cell r="T863">
            <v>10.38759735</v>
          </cell>
          <cell r="U863">
            <v>10.552340040000001</v>
          </cell>
          <cell r="V863">
            <v>10.57344672</v>
          </cell>
          <cell r="W863">
            <v>10.81213646</v>
          </cell>
          <cell r="X863">
            <v>11.037580630000001</v>
          </cell>
          <cell r="Y863">
            <v>11.242045450000001</v>
          </cell>
          <cell r="Z863">
            <v>11.43590552</v>
          </cell>
          <cell r="AA863">
            <v>11.19176124</v>
          </cell>
          <cell r="AB863">
            <v>11.391032770000001</v>
          </cell>
          <cell r="AC863">
            <v>11.61203076</v>
          </cell>
          <cell r="AD863">
            <v>11.81838421</v>
          </cell>
          <cell r="AE863">
            <v>12.01616729</v>
          </cell>
          <cell r="AF863">
            <v>12.211607450000001</v>
          </cell>
          <cell r="AG863">
            <v>12.40770129</v>
          </cell>
          <cell r="AH863">
            <v>12.60543609</v>
          </cell>
          <cell r="AI863">
            <v>12.80502742</v>
          </cell>
          <cell r="AJ863">
            <v>13.006626300000001</v>
          </cell>
          <cell r="AK863">
            <v>13.210552440000001</v>
          </cell>
        </row>
        <row r="864">
          <cell r="A864" t="str">
            <v>ems_y_co2_scon_2</v>
          </cell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</row>
        <row r="865">
          <cell r="A865" t="str">
            <v>ems_mat_co2_scon_2</v>
          </cell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</row>
        <row r="866">
          <cell r="A866" t="str">
            <v>ems_ci_co2_srai_2</v>
          </cell>
          <cell r="B866">
            <v>5.5899141109999997</v>
          </cell>
          <cell r="C866">
            <v>5.5809845979999997</v>
          </cell>
          <cell r="D866">
            <v>5.5833536029999999</v>
          </cell>
          <cell r="E866">
            <v>5.6048000919999996</v>
          </cell>
          <cell r="F866">
            <v>5.6390513679999996</v>
          </cell>
          <cell r="G866">
            <v>5.6811222209999999</v>
          </cell>
          <cell r="H866">
            <v>5.7307396549999998</v>
          </cell>
          <cell r="I866">
            <v>5.7717462499999996</v>
          </cell>
          <cell r="J866">
            <v>5.8064952500000002</v>
          </cell>
          <cell r="K866">
            <v>5.8419240070000003</v>
          </cell>
          <cell r="L866">
            <v>5.8856676209999996</v>
          </cell>
          <cell r="M866">
            <v>5.9424413029999998</v>
          </cell>
          <cell r="N866">
            <v>6.0084048320000001</v>
          </cell>
          <cell r="O866">
            <v>6.0809590919999996</v>
          </cell>
          <cell r="P866">
            <v>6.157220304</v>
          </cell>
          <cell r="Q866">
            <v>6.234808847</v>
          </cell>
          <cell r="R866">
            <v>6.3124742060000001</v>
          </cell>
          <cell r="S866">
            <v>6.3901056399999998</v>
          </cell>
          <cell r="T866">
            <v>6.468311291</v>
          </cell>
          <cell r="U866">
            <v>6.5478757219999997</v>
          </cell>
          <cell r="V866">
            <v>6.6280135759999999</v>
          </cell>
          <cell r="W866">
            <v>6.708809391</v>
          </cell>
          <cell r="X866">
            <v>6.7925698609999996</v>
          </cell>
          <cell r="Y866">
            <v>6.8788509539999998</v>
          </cell>
          <cell r="Z866">
            <v>6.9669743930000001</v>
          </cell>
          <cell r="AA866">
            <v>7.051465275</v>
          </cell>
          <cell r="AB866">
            <v>7.1330523030000004</v>
          </cell>
          <cell r="AC866">
            <v>7.2157078050000001</v>
          </cell>
          <cell r="AD866">
            <v>7.3004717929999998</v>
          </cell>
          <cell r="AE866">
            <v>7.387743446</v>
          </cell>
          <cell r="AF866">
            <v>7.4775723200000002</v>
          </cell>
          <cell r="AG866">
            <v>7.5697655299999997</v>
          </cell>
          <cell r="AH866">
            <v>7.664032723</v>
          </cell>
          <cell r="AI866">
            <v>7.760118716</v>
          </cell>
          <cell r="AJ866">
            <v>7.8578746109999997</v>
          </cell>
          <cell r="AK866">
            <v>7.9572576289999999</v>
          </cell>
        </row>
        <row r="867">
          <cell r="A867" t="str">
            <v>ems_y_co2_srai_2</v>
          </cell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</row>
        <row r="868">
          <cell r="A868" t="str">
            <v>ems_mat_co2_srai_2</v>
          </cell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</row>
        <row r="869">
          <cell r="A869" t="str">
            <v>ems_ci_co2_sroa_2</v>
          </cell>
          <cell r="B869">
            <v>16.04429575</v>
          </cell>
          <cell r="C869">
            <v>15.995007040000001</v>
          </cell>
          <cell r="D869">
            <v>15.971830880000001</v>
          </cell>
          <cell r="E869">
            <v>16.00674248</v>
          </cell>
          <cell r="F869">
            <v>16.085288179999999</v>
          </cell>
          <cell r="G869">
            <v>16.193397600000001</v>
          </cell>
          <cell r="H869">
            <v>16.329698759999999</v>
          </cell>
          <cell r="I869">
            <v>16.45915222</v>
          </cell>
          <cell r="J869">
            <v>16.57704133</v>
          </cell>
          <cell r="K869">
            <v>16.692318440000001</v>
          </cell>
          <cell r="L869">
            <v>16.820886860000002</v>
          </cell>
          <cell r="M869">
            <v>16.978882609999999</v>
          </cell>
          <cell r="N869">
            <v>17.158803630000001</v>
          </cell>
          <cell r="O869">
            <v>17.35676814</v>
          </cell>
          <cell r="P869">
            <v>17.566747100000001</v>
          </cell>
          <cell r="Q869">
            <v>17.782477060000002</v>
          </cell>
          <cell r="R869">
            <v>17.99967908</v>
          </cell>
          <cell r="S869">
            <v>18.216849530000001</v>
          </cell>
          <cell r="T869">
            <v>18.43475166</v>
          </cell>
          <cell r="U869">
            <v>18.65524156</v>
          </cell>
          <cell r="V869">
            <v>18.876888439999998</v>
          </cell>
          <cell r="W869">
            <v>19.099645630000001</v>
          </cell>
          <cell r="X869">
            <v>19.330686320000002</v>
          </cell>
          <cell r="Y869">
            <v>19.569338210000002</v>
          </cell>
          <cell r="Z869">
            <v>19.814020370000001</v>
          </cell>
          <cell r="AA869">
            <v>20.050802789999999</v>
          </cell>
          <cell r="AB869">
            <v>20.279775879999999</v>
          </cell>
          <cell r="AC869">
            <v>20.51137421</v>
          </cell>
          <cell r="AD869">
            <v>20.748214539999999</v>
          </cell>
          <cell r="AE869">
            <v>20.991521540000001</v>
          </cell>
          <cell r="AF869">
            <v>21.241738470000001</v>
          </cell>
          <cell r="AG869">
            <v>21.498620859999999</v>
          </cell>
          <cell r="AH869">
            <v>21.761513610000002</v>
          </cell>
          <cell r="AI869">
            <v>22.029693229999999</v>
          </cell>
          <cell r="AJ869">
            <v>22.30261844</v>
          </cell>
          <cell r="AK869">
            <v>22.580017430000002</v>
          </cell>
        </row>
        <row r="870">
          <cell r="A870" t="str">
            <v>ems_y_co2_sroa_2</v>
          </cell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</row>
        <row r="871">
          <cell r="A871" t="str">
            <v>ems_mat_co2_sroa_2</v>
          </cell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</row>
        <row r="872">
          <cell r="A872" t="str">
            <v>ems_ci_co2_swat_2</v>
          </cell>
          <cell r="B872">
            <v>3.787208181</v>
          </cell>
          <cell r="C872">
            <v>3.8463197779999998</v>
          </cell>
          <cell r="D872">
            <v>3.9144253849999999</v>
          </cell>
          <cell r="E872">
            <v>3.9894521269999998</v>
          </cell>
          <cell r="F872">
            <v>4.0702330819999997</v>
          </cell>
          <cell r="G872">
            <v>4.1547008930000002</v>
          </cell>
          <cell r="H872">
            <v>4.2369234020000004</v>
          </cell>
          <cell r="I872">
            <v>4.3179159770000002</v>
          </cell>
          <cell r="J872">
            <v>4.3905011580000002</v>
          </cell>
          <cell r="K872">
            <v>4.4523107489999996</v>
          </cell>
          <cell r="L872">
            <v>4.5126113119999998</v>
          </cell>
          <cell r="M872">
            <v>4.5660422939999998</v>
          </cell>
          <cell r="N872">
            <v>4.6218872839999996</v>
          </cell>
          <cell r="O872">
            <v>4.6829967129999996</v>
          </cell>
          <cell r="P872">
            <v>4.7492689610000003</v>
          </cell>
          <cell r="Q872">
            <v>4.819030165</v>
          </cell>
          <cell r="R872">
            <v>4.890298606</v>
          </cell>
          <cell r="S872">
            <v>4.9617146410000004</v>
          </cell>
          <cell r="T872">
            <v>5.0329182110000001</v>
          </cell>
          <cell r="U872">
            <v>5.1044042489999999</v>
          </cell>
          <cell r="V872">
            <v>5.1725744860000002</v>
          </cell>
          <cell r="W872">
            <v>5.2465546840000004</v>
          </cell>
          <cell r="X872">
            <v>5.3235346730000002</v>
          </cell>
          <cell r="Y872">
            <v>5.4032263550000001</v>
          </cell>
          <cell r="Z872">
            <v>5.4852941150000003</v>
          </cell>
          <cell r="AA872">
            <v>5.5561617559999998</v>
          </cell>
          <cell r="AB872">
            <v>5.6331340900000004</v>
          </cell>
          <cell r="AC872">
            <v>5.7114018199999999</v>
          </cell>
          <cell r="AD872">
            <v>5.7905921170000001</v>
          </cell>
          <cell r="AE872">
            <v>5.8710244109999996</v>
          </cell>
          <cell r="AF872">
            <v>5.9530186479999996</v>
          </cell>
          <cell r="AG872">
            <v>6.0366903430000001</v>
          </cell>
          <cell r="AH872">
            <v>6.1219351289999997</v>
          </cell>
          <cell r="AI872">
            <v>6.2085221840000004</v>
          </cell>
          <cell r="AJ872">
            <v>6.2962210379999997</v>
          </cell>
          <cell r="AK872">
            <v>6.3848978279999997</v>
          </cell>
        </row>
        <row r="873">
          <cell r="A873" t="str">
            <v>ems_y_co2_swat_2</v>
          </cell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</row>
        <row r="874">
          <cell r="A874" t="str">
            <v>ems_mat_co2_swat_2</v>
          </cell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</row>
        <row r="875">
          <cell r="A875" t="str">
            <v>ems_ci_co2_sair_2</v>
          </cell>
          <cell r="B875">
            <v>19.865101190000001</v>
          </cell>
          <cell r="C875">
            <v>20.129117539999999</v>
          </cell>
          <cell r="D875">
            <v>20.44709349</v>
          </cell>
          <cell r="E875">
            <v>20.808698580000001</v>
          </cell>
          <cell r="F875">
            <v>21.198328249999999</v>
          </cell>
          <cell r="G875">
            <v>21.604163379999999</v>
          </cell>
          <cell r="H875">
            <v>22.00865246</v>
          </cell>
          <cell r="I875">
            <v>22.382178660000001</v>
          </cell>
          <cell r="J875">
            <v>22.7251029</v>
          </cell>
          <cell r="K875">
            <v>23.060979970000002</v>
          </cell>
          <cell r="L875">
            <v>23.437287420000001</v>
          </cell>
          <cell r="M875">
            <v>23.834637499999999</v>
          </cell>
          <cell r="N875">
            <v>24.25916123</v>
          </cell>
          <cell r="O875">
            <v>24.702286699999998</v>
          </cell>
          <cell r="P875">
            <v>25.152722990000001</v>
          </cell>
          <cell r="Q875">
            <v>25.602144729999999</v>
          </cell>
          <cell r="R875">
            <v>26.047759899999999</v>
          </cell>
          <cell r="S875">
            <v>26.491918120000001</v>
          </cell>
          <cell r="T875">
            <v>26.939823059999998</v>
          </cell>
          <cell r="U875">
            <v>27.396848129999999</v>
          </cell>
          <cell r="V875">
            <v>27.84886878</v>
          </cell>
          <cell r="W875">
            <v>28.323292160000001</v>
          </cell>
          <cell r="X875">
            <v>28.81498328</v>
          </cell>
          <cell r="Y875">
            <v>29.321274769999999</v>
          </cell>
          <cell r="Z875">
            <v>29.839469340000001</v>
          </cell>
          <cell r="AA875">
            <v>30.31274136</v>
          </cell>
          <cell r="AB875">
            <v>30.798273290000001</v>
          </cell>
          <cell r="AC875">
            <v>31.292804669999999</v>
          </cell>
          <cell r="AD875">
            <v>31.798223069999999</v>
          </cell>
          <cell r="AE875">
            <v>32.31553787</v>
          </cell>
          <cell r="AF875">
            <v>32.84450605</v>
          </cell>
          <cell r="AG875">
            <v>33.384067909999999</v>
          </cell>
          <cell r="AH875">
            <v>33.933031659999997</v>
          </cell>
          <cell r="AI875">
            <v>34.490639160000001</v>
          </cell>
          <cell r="AJ875">
            <v>35.056801780000001</v>
          </cell>
          <cell r="AK875">
            <v>35.63199307</v>
          </cell>
        </row>
        <row r="876">
          <cell r="A876" t="str">
            <v>ems_y_co2_sair_2</v>
          </cell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</row>
        <row r="877">
          <cell r="A877" t="str">
            <v>ems_mat_co2_sair_2</v>
          </cell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</row>
        <row r="878">
          <cell r="A878" t="str">
            <v>ems_ci_co2_spri_2</v>
          </cell>
          <cell r="B878">
            <v>31.015713460000001</v>
          </cell>
          <cell r="C878">
            <v>30.80749848</v>
          </cell>
          <cell r="D878">
            <v>30.53328385</v>
          </cell>
          <cell r="E878">
            <v>30.425656719999999</v>
          </cell>
          <cell r="F878">
            <v>30.552305059999998</v>
          </cell>
          <cell r="G878">
            <v>30.944800600000001</v>
          </cell>
          <cell r="H878">
            <v>31.669270409999999</v>
          </cell>
          <cell r="I878">
            <v>33.106746389999998</v>
          </cell>
          <cell r="J878">
            <v>34.930451490000003</v>
          </cell>
          <cell r="K878">
            <v>36.67341871</v>
          </cell>
          <cell r="L878">
            <v>37.91140506</v>
          </cell>
          <cell r="M878">
            <v>38.805341439999999</v>
          </cell>
          <cell r="N878">
            <v>39.350809269999999</v>
          </cell>
          <cell r="O878">
            <v>39.750828419999998</v>
          </cell>
          <cell r="P878">
            <v>40.178452929999999</v>
          </cell>
          <cell r="Q878">
            <v>40.716640689999998</v>
          </cell>
          <cell r="R878">
            <v>41.364360699999999</v>
          </cell>
          <cell r="S878">
            <v>42.071557179999999</v>
          </cell>
          <cell r="T878">
            <v>42.779748990000002</v>
          </cell>
          <cell r="U878">
            <v>43.452107750000003</v>
          </cell>
          <cell r="V878">
            <v>44.131636039999997</v>
          </cell>
          <cell r="W878">
            <v>44.709936210000002</v>
          </cell>
          <cell r="X878">
            <v>45.311821559999998</v>
          </cell>
          <cell r="Y878">
            <v>45.971892760000003</v>
          </cell>
          <cell r="Z878">
            <v>46.70996426</v>
          </cell>
          <cell r="AA878">
            <v>47.642095920000003</v>
          </cell>
          <cell r="AB878">
            <v>48.48245112</v>
          </cell>
          <cell r="AC878">
            <v>49.327398410000001</v>
          </cell>
          <cell r="AD878">
            <v>50.159844820000004</v>
          </cell>
          <cell r="AE878">
            <v>50.973418410000001</v>
          </cell>
          <cell r="AF878">
            <v>51.778595289999998</v>
          </cell>
          <cell r="AG878">
            <v>52.592319639999999</v>
          </cell>
          <cell r="AH878">
            <v>53.427766900000002</v>
          </cell>
          <cell r="AI878">
            <v>54.289018830000003</v>
          </cell>
          <cell r="AJ878">
            <v>55.171364259999997</v>
          </cell>
          <cell r="AK878">
            <v>56.065431719999999</v>
          </cell>
        </row>
        <row r="879">
          <cell r="A879" t="str">
            <v>ems_y_co2_spri_2</v>
          </cell>
          <cell r="B879">
            <v>0.40371614610000001</v>
          </cell>
          <cell r="C879">
            <v>0.40598527499999998</v>
          </cell>
          <cell r="D879">
            <v>0.41031793370000003</v>
          </cell>
          <cell r="E879">
            <v>0.41672731549999997</v>
          </cell>
          <cell r="F879">
            <v>0.42397885410000002</v>
          </cell>
          <cell r="G879">
            <v>0.43143206299999998</v>
          </cell>
          <cell r="H879">
            <v>0.43963794480000001</v>
          </cell>
          <cell r="I879">
            <v>0.44517457960000001</v>
          </cell>
          <cell r="J879">
            <v>0.44931668250000001</v>
          </cell>
          <cell r="K879">
            <v>0.45359293249999999</v>
          </cell>
          <cell r="L879">
            <v>0.45821809689999998</v>
          </cell>
          <cell r="M879">
            <v>0.46605317619999997</v>
          </cell>
          <cell r="N879">
            <v>0.47462308240000001</v>
          </cell>
          <cell r="O879">
            <v>0.48356197470000001</v>
          </cell>
          <cell r="P879">
            <v>0.49245629019999998</v>
          </cell>
          <cell r="Q879">
            <v>0.50106151109999997</v>
          </cell>
          <cell r="R879">
            <v>0.50936556450000003</v>
          </cell>
          <cell r="S879">
            <v>0.51752983490000004</v>
          </cell>
          <cell r="T879">
            <v>0.52577451720000001</v>
          </cell>
          <cell r="U879">
            <v>0.53427533039999997</v>
          </cell>
          <cell r="V879">
            <v>0.54361045939999997</v>
          </cell>
          <cell r="W879">
            <v>0.55211631969999997</v>
          </cell>
          <cell r="X879">
            <v>0.56119481839999996</v>
          </cell>
          <cell r="Y879">
            <v>0.57059672679999995</v>
          </cell>
          <cell r="Z879">
            <v>0.58015336080000002</v>
          </cell>
          <cell r="AA879">
            <v>0.59097832240000003</v>
          </cell>
          <cell r="AB879">
            <v>0.59955515329999998</v>
          </cell>
          <cell r="AC879">
            <v>0.60832358490000005</v>
          </cell>
          <cell r="AD879">
            <v>0.61732945169999998</v>
          </cell>
          <cell r="AE879">
            <v>0.62658392200000002</v>
          </cell>
          <cell r="AF879">
            <v>0.6360539382</v>
          </cell>
          <cell r="AG879">
            <v>0.64568431159999995</v>
          </cell>
          <cell r="AH879">
            <v>0.65542677530000004</v>
          </cell>
          <cell r="AI879">
            <v>0.66525900859999998</v>
          </cell>
          <cell r="AJ879">
            <v>0.67518775210000004</v>
          </cell>
          <cell r="AK879">
            <v>0.68523890779999996</v>
          </cell>
        </row>
        <row r="880">
          <cell r="A880" t="str">
            <v>ems_mat_co2_spri_2</v>
          </cell>
          <cell r="B880">
            <v>0.59198761389999999</v>
          </cell>
          <cell r="C880">
            <v>0.59566511509999998</v>
          </cell>
          <cell r="D880">
            <v>0.60172989850000003</v>
          </cell>
          <cell r="E880">
            <v>0.61086644810000001</v>
          </cell>
          <cell r="F880">
            <v>0.62145960519999999</v>
          </cell>
          <cell r="G880">
            <v>0.63245570959999997</v>
          </cell>
          <cell r="H880">
            <v>0.64448307530000004</v>
          </cell>
          <cell r="I880">
            <v>0.65299620629999999</v>
          </cell>
          <cell r="J880">
            <v>0.65923459480000002</v>
          </cell>
          <cell r="K880">
            <v>0.66542487640000003</v>
          </cell>
          <cell r="L880">
            <v>0.67210335629999995</v>
          </cell>
          <cell r="M880">
            <v>0.68317920659999998</v>
          </cell>
          <cell r="N880">
            <v>0.69571558649999998</v>
          </cell>
          <cell r="O880">
            <v>0.70887852159999998</v>
          </cell>
          <cell r="P880">
            <v>0.72201909819999999</v>
          </cell>
          <cell r="Q880">
            <v>0.73474243309999998</v>
          </cell>
          <cell r="R880">
            <v>0.74699769279999995</v>
          </cell>
          <cell r="S880">
            <v>0.75900527390000005</v>
          </cell>
          <cell r="T880">
            <v>0.7710916109</v>
          </cell>
          <cell r="U880">
            <v>0.78353092859999995</v>
          </cell>
          <cell r="V880">
            <v>0.79713177189999995</v>
          </cell>
          <cell r="W880">
            <v>0.80973262950000002</v>
          </cell>
          <cell r="X880">
            <v>0.82299021090000002</v>
          </cell>
          <cell r="Y880">
            <v>0.83675262029999997</v>
          </cell>
          <cell r="Z880">
            <v>0.85077180789999995</v>
          </cell>
          <cell r="AA880">
            <v>0.86652182440000003</v>
          </cell>
          <cell r="AB880">
            <v>0.87941389459999997</v>
          </cell>
          <cell r="AC880">
            <v>0.89224647820000003</v>
          </cell>
          <cell r="AD880">
            <v>0.90540114279999995</v>
          </cell>
          <cell r="AE880">
            <v>0.91893116959999999</v>
          </cell>
          <cell r="AF880">
            <v>0.93279352540000005</v>
          </cell>
          <cell r="AG880">
            <v>0.94690597239999996</v>
          </cell>
          <cell r="AH880">
            <v>0.96119272229999997</v>
          </cell>
          <cell r="AI880">
            <v>0.97561482759999996</v>
          </cell>
          <cell r="AJ880">
            <v>0.99017720519999997</v>
          </cell>
          <cell r="AK880">
            <v>1.0049155329999999</v>
          </cell>
        </row>
        <row r="881">
          <cell r="A881" t="str">
            <v>ems_ci_co2_spub_2</v>
          </cell>
          <cell r="B881">
            <v>15.129641940000001</v>
          </cell>
          <cell r="C881">
            <v>15.168315679999999</v>
          </cell>
          <cell r="D881">
            <v>15.17641955</v>
          </cell>
          <cell r="E881">
            <v>15.210818980000001</v>
          </cell>
          <cell r="F881">
            <v>15.29555667</v>
          </cell>
          <cell r="G881">
            <v>15.44435663</v>
          </cell>
          <cell r="H881">
            <v>15.667823719999999</v>
          </cell>
          <cell r="I881">
            <v>16.104518890000001</v>
          </cell>
          <cell r="J881">
            <v>16.657676800000001</v>
          </cell>
          <cell r="K881">
            <v>17.191450769999999</v>
          </cell>
          <cell r="L881">
            <v>17.604668419999999</v>
          </cell>
          <cell r="M881">
            <v>17.918531489999999</v>
          </cell>
          <cell r="N881">
            <v>18.148485999999998</v>
          </cell>
          <cell r="O881">
            <v>18.352226460000001</v>
          </cell>
          <cell r="P881">
            <v>18.57515566</v>
          </cell>
          <cell r="Q881">
            <v>18.836788030000001</v>
          </cell>
          <cell r="R881">
            <v>19.133344829999999</v>
          </cell>
          <cell r="S881">
            <v>19.447779740000001</v>
          </cell>
          <cell r="T881">
            <v>19.7613597</v>
          </cell>
          <cell r="U881">
            <v>20.062195689999999</v>
          </cell>
          <cell r="V881">
            <v>20.351252720000002</v>
          </cell>
          <cell r="W881">
            <v>20.619464019999999</v>
          </cell>
          <cell r="X881">
            <v>20.891545130000001</v>
          </cell>
          <cell r="Y881">
            <v>21.176937989999999</v>
          </cell>
          <cell r="Z881">
            <v>21.48245301</v>
          </cell>
          <cell r="AA881">
            <v>21.8139015</v>
          </cell>
          <cell r="AB881">
            <v>22.137330460000001</v>
          </cell>
          <cell r="AC881">
            <v>22.467749739999999</v>
          </cell>
          <cell r="AD881">
            <v>22.799924189999999</v>
          </cell>
          <cell r="AE881">
            <v>23.13268102</v>
          </cell>
          <cell r="AF881">
            <v>23.469345109999999</v>
          </cell>
          <cell r="AG881">
            <v>23.81473703</v>
          </cell>
          <cell r="AH881">
            <v>24.172357340000001</v>
          </cell>
          <cell r="AI881">
            <v>24.54298185</v>
          </cell>
          <cell r="AJ881">
            <v>24.924826660000001</v>
          </cell>
          <cell r="AK881">
            <v>25.3147585</v>
          </cell>
        </row>
        <row r="882">
          <cell r="A882" t="str">
            <v>ems_y_co2_spub_2</v>
          </cell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</row>
        <row r="883">
          <cell r="A883" t="str">
            <v>ems_mat_co2_spub_2</v>
          </cell>
          <cell r="B883">
            <v>9.732131034</v>
          </cell>
          <cell r="C883">
            <v>9.8367873820000007</v>
          </cell>
          <cell r="D883">
            <v>9.9649042879999996</v>
          </cell>
          <cell r="E883">
            <v>10.11825962</v>
          </cell>
          <cell r="F883">
            <v>10.284865140000001</v>
          </cell>
          <cell r="G883">
            <v>10.45755479</v>
          </cell>
          <cell r="H883">
            <v>10.63625783</v>
          </cell>
          <cell r="I883">
            <v>10.797709230000001</v>
          </cell>
          <cell r="J883">
            <v>10.950766270000001</v>
          </cell>
          <cell r="K883">
            <v>11.10766155</v>
          </cell>
          <cell r="L883">
            <v>11.273972130000001</v>
          </cell>
          <cell r="M883">
            <v>11.46671171</v>
          </cell>
          <cell r="N883">
            <v>11.665902519999999</v>
          </cell>
          <cell r="O883">
            <v>11.867709189999999</v>
          </cell>
          <cell r="P883">
            <v>12.06961755</v>
          </cell>
          <cell r="Q883">
            <v>12.27040914</v>
          </cell>
          <cell r="R883">
            <v>12.47049584</v>
          </cell>
          <cell r="S883">
            <v>12.67142765</v>
          </cell>
          <cell r="T883">
            <v>12.87502565</v>
          </cell>
          <cell r="U883">
            <v>13.08264406</v>
          </cell>
          <cell r="V883">
            <v>13.29508689</v>
          </cell>
          <cell r="W883">
            <v>13.50407227</v>
          </cell>
          <cell r="X883">
            <v>13.720022670000001</v>
          </cell>
          <cell r="Y883">
            <v>13.941536299999999</v>
          </cell>
          <cell r="Z883">
            <v>14.167001839999999</v>
          </cell>
          <cell r="AA883">
            <v>14.39370418</v>
          </cell>
          <cell r="AB883">
            <v>14.60381469</v>
          </cell>
          <cell r="AC883">
            <v>14.81618989</v>
          </cell>
          <cell r="AD883">
            <v>15.032885439999999</v>
          </cell>
          <cell r="AE883">
            <v>15.253936449999999</v>
          </cell>
          <cell r="AF883">
            <v>15.47896164</v>
          </cell>
          <cell r="AG883">
            <v>15.707489239999999</v>
          </cell>
          <cell r="AH883">
            <v>15.93916274</v>
          </cell>
          <cell r="AI883">
            <v>16.173854339999998</v>
          </cell>
          <cell r="AJ883">
            <v>16.411662310000001</v>
          </cell>
          <cell r="AK883">
            <v>16.652819319999999</v>
          </cell>
        </row>
        <row r="884">
          <cell r="A884" t="str">
            <v>ems_ci_co2_smin_2</v>
          </cell>
          <cell r="B884">
            <v>1.7685137790000001</v>
          </cell>
          <cell r="C884">
            <v>1.963078672</v>
          </cell>
          <cell r="D884">
            <v>2.152864154</v>
          </cell>
          <cell r="E884">
            <v>2.3122788519999999</v>
          </cell>
          <cell r="F884">
            <v>2.4450423940000001</v>
          </cell>
          <cell r="G884">
            <v>2.5590725509999999</v>
          </cell>
          <cell r="H884">
            <v>2.6562811270000002</v>
          </cell>
          <cell r="I884">
            <v>2.7421690939999999</v>
          </cell>
          <cell r="J884">
            <v>2.8186306299999999</v>
          </cell>
          <cell r="K884">
            <v>2.8860528109999999</v>
          </cell>
          <cell r="L884">
            <v>2.9593889579999999</v>
          </cell>
          <cell r="M884">
            <v>3.0123498139999998</v>
          </cell>
          <cell r="N884">
            <v>3.0632432110000001</v>
          </cell>
          <cell r="O884">
            <v>3.1156390869999999</v>
          </cell>
          <cell r="P884">
            <v>3.1692129769999999</v>
          </cell>
          <cell r="Q884">
            <v>3.2230403339999998</v>
          </cell>
          <cell r="R884">
            <v>3.276364858</v>
          </cell>
          <cell r="S884">
            <v>3.3289042910000002</v>
          </cell>
          <cell r="T884">
            <v>3.380880543</v>
          </cell>
          <cell r="U884">
            <v>3.4328609229999998</v>
          </cell>
          <cell r="V884">
            <v>3.4759775319999999</v>
          </cell>
          <cell r="W884">
            <v>3.5315469230000001</v>
          </cell>
          <cell r="X884">
            <v>3.58930353</v>
          </cell>
          <cell r="Y884">
            <v>3.6474582409999998</v>
          </cell>
          <cell r="Z884">
            <v>3.7062243110000002</v>
          </cell>
          <cell r="AA884">
            <v>3.7375887470000002</v>
          </cell>
          <cell r="AB884">
            <v>3.791254833</v>
          </cell>
          <cell r="AC884">
            <v>3.8492392770000001</v>
          </cell>
          <cell r="AD884">
            <v>3.907042744</v>
          </cell>
          <cell r="AE884">
            <v>3.9645110250000002</v>
          </cell>
          <cell r="AF884">
            <v>4.0221269939999997</v>
          </cell>
          <cell r="AG884">
            <v>4.0802158510000002</v>
          </cell>
          <cell r="AH884">
            <v>4.1388917779999996</v>
          </cell>
          <cell r="AI884">
            <v>4.198146403</v>
          </cell>
          <cell r="AJ884">
            <v>4.2579406669999997</v>
          </cell>
          <cell r="AK884">
            <v>4.3182663410000002</v>
          </cell>
        </row>
        <row r="885">
          <cell r="A885" t="str">
            <v>ems_y_co2_smin_2</v>
          </cell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</row>
        <row r="886">
          <cell r="A886" t="str">
            <v>ems_mat_co2_smin_2</v>
          </cell>
          <cell r="B886">
            <v>9.7379179600000004E-2</v>
          </cell>
          <cell r="C886">
            <v>0.1082170398</v>
          </cell>
          <cell r="D886">
            <v>0.1188828884</v>
          </cell>
          <cell r="E886">
            <v>0.1279021337</v>
          </cell>
          <cell r="F886">
            <v>0.13540989589999999</v>
          </cell>
          <cell r="G886">
            <v>0.1417936011</v>
          </cell>
          <cell r="H886">
            <v>0.14713376119999999</v>
          </cell>
          <cell r="I886">
            <v>0.15148021589999999</v>
          </cell>
          <cell r="J886">
            <v>0.1550922304</v>
          </cell>
          <cell r="K886">
            <v>0.15822722780000001</v>
          </cell>
          <cell r="L886">
            <v>0.16188047380000001</v>
          </cell>
          <cell r="M886">
            <v>0.16463858279999999</v>
          </cell>
          <cell r="N886">
            <v>0.16744725420000001</v>
          </cell>
          <cell r="O886">
            <v>0.17040833399999999</v>
          </cell>
          <cell r="P886">
            <v>0.17342366200000001</v>
          </cell>
          <cell r="Q886">
            <v>0.17640086790000001</v>
          </cell>
          <cell r="R886">
            <v>0.17929754740000001</v>
          </cell>
          <cell r="S886">
            <v>0.1821238822</v>
          </cell>
          <cell r="T886">
            <v>0.1849242609</v>
          </cell>
          <cell r="U886">
            <v>0.18775233769999999</v>
          </cell>
          <cell r="V886">
            <v>0.19012513589999999</v>
          </cell>
          <cell r="W886">
            <v>0.19320442530000001</v>
          </cell>
          <cell r="X886">
            <v>0.19641539699999999</v>
          </cell>
          <cell r="Y886">
            <v>0.19964185139999999</v>
          </cell>
          <cell r="Z886">
            <v>0.2028804082</v>
          </cell>
          <cell r="AA886">
            <v>0.20458212179999999</v>
          </cell>
          <cell r="AB886">
            <v>0.20748009319999999</v>
          </cell>
          <cell r="AC886">
            <v>0.21061216429999999</v>
          </cell>
          <cell r="AD886">
            <v>0.2137471272</v>
          </cell>
          <cell r="AE886">
            <v>0.21688012609999999</v>
          </cell>
          <cell r="AF886">
            <v>0.2200321985</v>
          </cell>
          <cell r="AG886">
            <v>0.2232122322</v>
          </cell>
          <cell r="AH886">
            <v>0.2264192585</v>
          </cell>
          <cell r="AI886">
            <v>0.22965019819999999</v>
          </cell>
          <cell r="AJ886">
            <v>0.2329049718</v>
          </cell>
          <cell r="AK886">
            <v>0.2361879053</v>
          </cell>
        </row>
        <row r="887">
          <cell r="A887" t="str">
            <v>ems_ci_co2_soil_2</v>
          </cell>
          <cell r="B887">
            <v>16.642009689999998</v>
          </cell>
          <cell r="C887">
            <v>16.866363700000001</v>
          </cell>
          <cell r="D887">
            <v>17.061879569999999</v>
          </cell>
          <cell r="E887">
            <v>17.250452920000001</v>
          </cell>
          <cell r="F887">
            <v>17.446429989999999</v>
          </cell>
          <cell r="G887">
            <v>17.655243970000001</v>
          </cell>
          <cell r="H887">
            <v>17.889876099999999</v>
          </cell>
          <cell r="I887">
            <v>18.135257889999998</v>
          </cell>
          <cell r="J887">
            <v>18.39132833</v>
          </cell>
          <cell r="K887">
            <v>18.644640290000002</v>
          </cell>
          <cell r="L887">
            <v>18.902260259999998</v>
          </cell>
          <cell r="M887">
            <v>19.129771340000001</v>
          </cell>
          <cell r="N887">
            <v>19.34483848</v>
          </cell>
          <cell r="O887">
            <v>19.555938579999999</v>
          </cell>
          <cell r="P887">
            <v>19.768146909999999</v>
          </cell>
          <cell r="Q887">
            <v>19.983505560000001</v>
          </cell>
          <cell r="R887">
            <v>20.201574350000001</v>
          </cell>
          <cell r="S887">
            <v>20.420622989999998</v>
          </cell>
          <cell r="T887">
            <v>20.63886076</v>
          </cell>
          <cell r="U887">
            <v>20.855277319999999</v>
          </cell>
          <cell r="V887">
            <v>21.05618394</v>
          </cell>
          <cell r="W887">
            <v>21.267187010000001</v>
          </cell>
          <cell r="X887">
            <v>21.47988131</v>
          </cell>
          <cell r="Y887">
            <v>21.693625359999999</v>
          </cell>
          <cell r="Z887">
            <v>21.908967560000001</v>
          </cell>
          <cell r="AA887">
            <v>22.08537368</v>
          </cell>
          <cell r="AB887">
            <v>22.278144000000001</v>
          </cell>
          <cell r="AC887">
            <v>22.472154669999998</v>
          </cell>
          <cell r="AD887">
            <v>22.663711500000002</v>
          </cell>
          <cell r="AE887">
            <v>22.852382349999999</v>
          </cell>
          <cell r="AF887">
            <v>23.03869486</v>
          </cell>
          <cell r="AG887">
            <v>23.22334103</v>
          </cell>
          <cell r="AH887">
            <v>23.406819280000001</v>
          </cell>
          <cell r="AI887">
            <v>23.589297739999999</v>
          </cell>
          <cell r="AJ887">
            <v>23.770652389999999</v>
          </cell>
          <cell r="AK887">
            <v>23.950618089999999</v>
          </cell>
        </row>
        <row r="888">
          <cell r="A888" t="str">
            <v>ems_y_co2_soil_2</v>
          </cell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</row>
        <row r="889">
          <cell r="A889" t="str">
            <v>ems_mat_co2_soil_2</v>
          </cell>
          <cell r="B889">
            <v>4.7903270979999997</v>
          </cell>
          <cell r="C889">
            <v>4.8548669809999998</v>
          </cell>
          <cell r="D889">
            <v>4.9110569689999997</v>
          </cell>
          <cell r="E889">
            <v>4.9652053</v>
          </cell>
          <cell r="F889">
            <v>5.0214607490000001</v>
          </cell>
          <cell r="G889">
            <v>5.0814106939999997</v>
          </cell>
          <cell r="H889">
            <v>5.1488189489999998</v>
          </cell>
          <cell r="I889">
            <v>5.2194190689999997</v>
          </cell>
          <cell r="J889">
            <v>5.2932116090000001</v>
          </cell>
          <cell r="K889">
            <v>5.366293239</v>
          </cell>
          <cell r="L889">
            <v>5.4406395300000003</v>
          </cell>
          <cell r="M889">
            <v>5.5062974770000004</v>
          </cell>
          <cell r="N889">
            <v>5.5683284000000004</v>
          </cell>
          <cell r="O889">
            <v>5.6291740370000003</v>
          </cell>
          <cell r="P889">
            <v>5.6903122460000004</v>
          </cell>
          <cell r="Q889">
            <v>5.7523509769999999</v>
          </cell>
          <cell r="R889">
            <v>5.8151777420000004</v>
          </cell>
          <cell r="S889">
            <v>5.8782990469999996</v>
          </cell>
          <cell r="T889">
            <v>5.9411956080000001</v>
          </cell>
          <cell r="U889">
            <v>6.0035685680000004</v>
          </cell>
          <cell r="V889">
            <v>6.0614701679999996</v>
          </cell>
          <cell r="W889">
            <v>6.1222667020000001</v>
          </cell>
          <cell r="X889">
            <v>6.1835373269999998</v>
          </cell>
          <cell r="Y889">
            <v>6.2450996959999996</v>
          </cell>
          <cell r="Z889">
            <v>6.3071162740000002</v>
          </cell>
          <cell r="AA889">
            <v>6.3579239479999998</v>
          </cell>
          <cell r="AB889">
            <v>6.4134453440000003</v>
          </cell>
          <cell r="AC889">
            <v>6.4693253899999998</v>
          </cell>
          <cell r="AD889">
            <v>6.5244970430000002</v>
          </cell>
          <cell r="AE889">
            <v>6.578832824</v>
          </cell>
          <cell r="AF889">
            <v>6.632483562</v>
          </cell>
          <cell r="AG889">
            <v>6.6856495139999996</v>
          </cell>
          <cell r="AH889">
            <v>6.7384764559999999</v>
          </cell>
          <cell r="AI889">
            <v>6.7910151570000004</v>
          </cell>
          <cell r="AJ889">
            <v>6.8432314659999998</v>
          </cell>
          <cell r="AK889">
            <v>6.8950494649999996</v>
          </cell>
        </row>
        <row r="890">
          <cell r="A890" t="str">
            <v>ems_ci_co2_sbfu_2</v>
          </cell>
          <cell r="B890">
            <v>3.9559802529999999</v>
          </cell>
          <cell r="C890">
            <v>4.0470272490000001</v>
          </cell>
          <cell r="D890">
            <v>4.1283444530000004</v>
          </cell>
          <cell r="E890">
            <v>4.202279903</v>
          </cell>
          <cell r="F890">
            <v>4.2728948469999999</v>
          </cell>
          <cell r="G890">
            <v>4.3421467309999997</v>
          </cell>
          <cell r="H890">
            <v>4.4133102510000004</v>
          </cell>
          <cell r="I890">
            <v>4.4827496140000003</v>
          </cell>
          <cell r="J890">
            <v>4.5516782869999997</v>
          </cell>
          <cell r="K890">
            <v>4.618586949</v>
          </cell>
          <cell r="L890">
            <v>4.6867798780000003</v>
          </cell>
          <cell r="M890">
            <v>4.7480403280000001</v>
          </cell>
          <cell r="N890">
            <v>4.8066922109999997</v>
          </cell>
          <cell r="O890">
            <v>4.864287032</v>
          </cell>
          <cell r="P890">
            <v>4.9215690600000004</v>
          </cell>
          <cell r="Q890">
            <v>4.9787856120000002</v>
          </cell>
          <cell r="R890">
            <v>5.0358380389999997</v>
          </cell>
          <cell r="S890">
            <v>5.0924803440000002</v>
          </cell>
          <cell r="T890">
            <v>5.1484931310000004</v>
          </cell>
          <cell r="U890">
            <v>5.2037873039999996</v>
          </cell>
          <cell r="V890">
            <v>5.2549833120000002</v>
          </cell>
          <cell r="W890">
            <v>5.3085142239999996</v>
          </cell>
          <cell r="X890">
            <v>5.3621047930000003</v>
          </cell>
          <cell r="Y890">
            <v>5.4155074839999999</v>
          </cell>
          <cell r="Z890">
            <v>5.4687968160000002</v>
          </cell>
          <cell r="AA890">
            <v>5.5118531209999997</v>
          </cell>
          <cell r="AB890">
            <v>5.5586526269999998</v>
          </cell>
          <cell r="AC890">
            <v>5.6054334800000003</v>
          </cell>
          <cell r="AD890">
            <v>5.6513906760000001</v>
          </cell>
          <cell r="AE890">
            <v>5.6964630669999998</v>
          </cell>
          <cell r="AF890">
            <v>5.7407637410000003</v>
          </cell>
          <cell r="AG890">
            <v>5.7844178929999996</v>
          </cell>
          <cell r="AH890">
            <v>5.8275082290000002</v>
          </cell>
          <cell r="AI890">
            <v>5.8700604219999999</v>
          </cell>
          <cell r="AJ890">
            <v>5.9120541639999997</v>
          </cell>
          <cell r="AK890">
            <v>5.9534494889999996</v>
          </cell>
        </row>
        <row r="891">
          <cell r="A891" t="str">
            <v>ems_y_co2_sbfu_2</v>
          </cell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</row>
        <row r="892">
          <cell r="A892" t="str">
            <v>ems_mat_co2_sbfu_2</v>
          </cell>
          <cell r="B892">
            <v>3.299571475</v>
          </cell>
          <cell r="C892">
            <v>3.3755112060000001</v>
          </cell>
          <cell r="D892">
            <v>3.4433355950000002</v>
          </cell>
          <cell r="E892">
            <v>3.5050030780000001</v>
          </cell>
          <cell r="F892">
            <v>3.5639010299999998</v>
          </cell>
          <cell r="G892">
            <v>3.6216621020000002</v>
          </cell>
          <cell r="H892">
            <v>3.6810176399999999</v>
          </cell>
          <cell r="I892">
            <v>3.7389351240000002</v>
          </cell>
          <cell r="J892">
            <v>3.7964266640000002</v>
          </cell>
          <cell r="K892">
            <v>3.8522333670000002</v>
          </cell>
          <cell r="L892">
            <v>3.9091112300000002</v>
          </cell>
          <cell r="M892">
            <v>3.960206892</v>
          </cell>
          <cell r="N892">
            <v>4.0091268060000003</v>
          </cell>
          <cell r="O892">
            <v>4.0571650430000004</v>
          </cell>
          <cell r="P892">
            <v>4.1049423809999999</v>
          </cell>
          <cell r="Q892">
            <v>4.1526651040000004</v>
          </cell>
          <cell r="R892">
            <v>4.2002509349999997</v>
          </cell>
          <cell r="S892">
            <v>4.2474946960000004</v>
          </cell>
          <cell r="T892">
            <v>4.294213397</v>
          </cell>
          <cell r="U892">
            <v>4.3403327230000004</v>
          </cell>
          <cell r="V892">
            <v>4.3830338869999999</v>
          </cell>
          <cell r="W892">
            <v>4.4276825300000002</v>
          </cell>
          <cell r="X892">
            <v>4.4723809320000001</v>
          </cell>
          <cell r="Y892">
            <v>4.5169226309999999</v>
          </cell>
          <cell r="Z892">
            <v>4.561369783</v>
          </cell>
          <cell r="AA892">
            <v>4.5972818540000002</v>
          </cell>
          <cell r="AB892">
            <v>4.6363160240000001</v>
          </cell>
          <cell r="AC892">
            <v>4.6753346349999996</v>
          </cell>
          <cell r="AD892">
            <v>4.7136662549999997</v>
          </cell>
          <cell r="AE892">
            <v>4.7512598810000002</v>
          </cell>
          <cell r="AF892">
            <v>4.7882098380000002</v>
          </cell>
          <cell r="AG892">
            <v>4.8246205460000002</v>
          </cell>
          <cell r="AH892">
            <v>4.8605609879999996</v>
          </cell>
          <cell r="AI892">
            <v>4.896052579</v>
          </cell>
          <cell r="AJ892">
            <v>4.9310783809999998</v>
          </cell>
          <cell r="AK892">
            <v>4.9656050589999996</v>
          </cell>
        </row>
        <row r="893">
          <cell r="A893" t="str">
            <v>ems_ci_co2_seoi_2</v>
          </cell>
          <cell r="B893">
            <v>1.7971549899999999</v>
          </cell>
          <cell r="C893">
            <v>1.8089274799999999</v>
          </cell>
          <cell r="D893">
            <v>1.8185121639999999</v>
          </cell>
          <cell r="E893">
            <v>1.8316608299999999</v>
          </cell>
          <cell r="F893">
            <v>1.851589902</v>
          </cell>
          <cell r="G893">
            <v>1.879999022</v>
          </cell>
          <cell r="H893">
            <v>1.918988989</v>
          </cell>
          <cell r="I893">
            <v>1.9716248139999999</v>
          </cell>
          <cell r="J893">
            <v>2.0334584439999999</v>
          </cell>
          <cell r="K893">
            <v>2.0951594189999998</v>
          </cell>
          <cell r="L893">
            <v>2.1493670890000001</v>
          </cell>
          <cell r="M893">
            <v>2.191358342</v>
          </cell>
          <cell r="N893">
            <v>2.222386432</v>
          </cell>
          <cell r="O893">
            <v>2.2463699620000002</v>
          </cell>
          <cell r="P893">
            <v>2.2678007849999999</v>
          </cell>
          <cell r="Q893">
            <v>2.2898911160000002</v>
          </cell>
          <cell r="R893">
            <v>2.3139022630000001</v>
          </cell>
          <cell r="S893">
            <v>2.3398992000000001</v>
          </cell>
          <cell r="T893">
            <v>2.3674785840000001</v>
          </cell>
          <cell r="U893">
            <v>2.396371593</v>
          </cell>
          <cell r="V893">
            <v>2.4257403790000001</v>
          </cell>
          <cell r="W893">
            <v>2.457374663</v>
          </cell>
          <cell r="X893">
            <v>2.4917152069999999</v>
          </cell>
          <cell r="Y893">
            <v>2.5290810829999999</v>
          </cell>
          <cell r="Z893">
            <v>2.5695998790000001</v>
          </cell>
          <cell r="AA893">
            <v>2.609736474</v>
          </cell>
          <cell r="AB893">
            <v>2.6519938179999998</v>
          </cell>
          <cell r="AC893">
            <v>2.694852295</v>
          </cell>
          <cell r="AD893">
            <v>2.737053076</v>
          </cell>
          <cell r="AE893">
            <v>2.7780778270000002</v>
          </cell>
          <cell r="AF893">
            <v>2.8179892070000001</v>
          </cell>
          <cell r="AG893">
            <v>2.8571011749999999</v>
          </cell>
          <cell r="AH893">
            <v>2.895806946</v>
          </cell>
          <cell r="AI893">
            <v>2.9344306910000002</v>
          </cell>
          <cell r="AJ893">
            <v>2.9731532810000001</v>
          </cell>
          <cell r="AK893">
            <v>3.0120481990000001</v>
          </cell>
        </row>
        <row r="894">
          <cell r="A894" t="str">
            <v>ems_y_co2_seoi_2</v>
          </cell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</row>
        <row r="895">
          <cell r="A895" t="str">
            <v>ems_mat_co2_seoi_2</v>
          </cell>
          <cell r="B895">
            <v>0.1231719706</v>
          </cell>
          <cell r="C895">
            <v>0.1239788241</v>
          </cell>
          <cell r="D895">
            <v>0.1246357315</v>
          </cell>
          <cell r="E895">
            <v>0.12553690419999999</v>
          </cell>
          <cell r="F895">
            <v>0.1269027871</v>
          </cell>
          <cell r="G895">
            <v>0.1288498686</v>
          </cell>
          <cell r="H895">
            <v>0.1315221318</v>
          </cell>
          <cell r="I895">
            <v>0.1351296438</v>
          </cell>
          <cell r="J895">
            <v>0.13936754770000001</v>
          </cell>
          <cell r="K895">
            <v>0.14359635970000001</v>
          </cell>
          <cell r="L895">
            <v>0.14731160160000001</v>
          </cell>
          <cell r="M895">
            <v>0.15018956450000001</v>
          </cell>
          <cell r="N895">
            <v>0.15231614290000001</v>
          </cell>
          <cell r="O895">
            <v>0.1539599069</v>
          </cell>
          <cell r="P895">
            <v>0.15542871550000001</v>
          </cell>
          <cell r="Q895">
            <v>0.1569427249</v>
          </cell>
          <cell r="R895">
            <v>0.1585883817</v>
          </cell>
          <cell r="S895">
            <v>0.16037013899999999</v>
          </cell>
          <cell r="T895">
            <v>0.1622603527</v>
          </cell>
          <cell r="U895">
            <v>0.16424059860000001</v>
          </cell>
          <cell r="V895">
            <v>0.166253453</v>
          </cell>
          <cell r="W895">
            <v>0.16842157820000001</v>
          </cell>
          <cell r="X895">
            <v>0.170775183</v>
          </cell>
          <cell r="Y895">
            <v>0.17333613549999999</v>
          </cell>
          <cell r="Z895">
            <v>0.17611318030000001</v>
          </cell>
          <cell r="AA895">
            <v>0.17886403009999999</v>
          </cell>
          <cell r="AB895">
            <v>0.18176023020000001</v>
          </cell>
          <cell r="AC895">
            <v>0.18469763019999999</v>
          </cell>
          <cell r="AD895">
            <v>0.18758995349999999</v>
          </cell>
          <cell r="AE895">
            <v>0.19040167499999999</v>
          </cell>
          <cell r="AF895">
            <v>0.19313708930000001</v>
          </cell>
          <cell r="AG895">
            <v>0.195817714</v>
          </cell>
          <cell r="AH895">
            <v>0.19847049920000001</v>
          </cell>
          <cell r="AI895">
            <v>0.20111766249999999</v>
          </cell>
          <cell r="AJ895">
            <v>0.2037716004</v>
          </cell>
          <cell r="AK895">
            <v>0.20643734920000001</v>
          </cell>
        </row>
        <row r="896">
          <cell r="A896" t="str">
            <v>ems_ci_co2_sega_2</v>
          </cell>
          <cell r="B896">
            <v>4.553369902</v>
          </cell>
          <cell r="C896">
            <v>4.5831973250000004</v>
          </cell>
          <cell r="D896">
            <v>4.6074816040000002</v>
          </cell>
          <cell r="E896">
            <v>4.6407957819999996</v>
          </cell>
          <cell r="F896">
            <v>4.691289169</v>
          </cell>
          <cell r="G896">
            <v>4.763268064</v>
          </cell>
          <cell r="H896">
            <v>4.862055174</v>
          </cell>
          <cell r="I896">
            <v>4.9954161700000004</v>
          </cell>
          <cell r="J896">
            <v>5.1520812239999998</v>
          </cell>
          <cell r="K896">
            <v>5.3084101749999997</v>
          </cell>
          <cell r="L896">
            <v>5.445753678</v>
          </cell>
          <cell r="M896">
            <v>5.5521450049999999</v>
          </cell>
          <cell r="N896">
            <v>5.6307594630000004</v>
          </cell>
          <cell r="O896">
            <v>5.6915254429999997</v>
          </cell>
          <cell r="P896">
            <v>5.7458237460000001</v>
          </cell>
          <cell r="Q896">
            <v>5.8017930140000002</v>
          </cell>
          <cell r="R896">
            <v>5.8626289649999999</v>
          </cell>
          <cell r="S896">
            <v>5.9284962229999998</v>
          </cell>
          <cell r="T896">
            <v>5.9983728550000004</v>
          </cell>
          <cell r="U896">
            <v>6.0715777590000002</v>
          </cell>
          <cell r="V896">
            <v>6.145988118</v>
          </cell>
          <cell r="W896">
            <v>6.2261384639999999</v>
          </cell>
          <cell r="X896">
            <v>6.3131455409999999</v>
          </cell>
          <cell r="Y896">
            <v>6.4078177639999998</v>
          </cell>
          <cell r="Z896">
            <v>6.5104783949999998</v>
          </cell>
          <cell r="AA896">
            <v>6.6121706619999996</v>
          </cell>
          <cell r="AB896">
            <v>6.7192361739999997</v>
          </cell>
          <cell r="AC896">
            <v>6.8278247500000004</v>
          </cell>
          <cell r="AD896">
            <v>6.934746949</v>
          </cell>
          <cell r="AE896">
            <v>7.0386894949999999</v>
          </cell>
          <cell r="AF896">
            <v>7.1398111440000003</v>
          </cell>
          <cell r="AG896">
            <v>7.2389073609999999</v>
          </cell>
          <cell r="AH896">
            <v>7.3369744140000002</v>
          </cell>
          <cell r="AI896">
            <v>7.434833641</v>
          </cell>
          <cell r="AJ896">
            <v>7.532943307</v>
          </cell>
          <cell r="AK896">
            <v>7.6314895920000003</v>
          </cell>
        </row>
        <row r="897">
          <cell r="A897" t="str">
            <v>ems_y_co2_sega_2</v>
          </cell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</row>
        <row r="898">
          <cell r="A898" t="str">
            <v>ems_mat_co2_sega_2</v>
          </cell>
          <cell r="B898">
            <v>0.31207522269999999</v>
          </cell>
          <cell r="C898">
            <v>0.31411951069999999</v>
          </cell>
          <cell r="D898">
            <v>0.31578388709999999</v>
          </cell>
          <cell r="E898">
            <v>0.31806714749999998</v>
          </cell>
          <cell r="F898">
            <v>0.32152782279999997</v>
          </cell>
          <cell r="G898">
            <v>0.32646105460000002</v>
          </cell>
          <cell r="H898">
            <v>0.33323164630000002</v>
          </cell>
          <cell r="I898">
            <v>0.34237183570000002</v>
          </cell>
          <cell r="J898">
            <v>0.35310922</v>
          </cell>
          <cell r="K898">
            <v>0.36382356890000001</v>
          </cell>
          <cell r="L898">
            <v>0.3732367083</v>
          </cell>
          <cell r="M898">
            <v>0.38052847220000002</v>
          </cell>
          <cell r="N898">
            <v>0.38591648709999998</v>
          </cell>
          <cell r="O898">
            <v>0.3900812173</v>
          </cell>
          <cell r="P898">
            <v>0.39380267079999998</v>
          </cell>
          <cell r="Q898">
            <v>0.39763864770000001</v>
          </cell>
          <cell r="R898">
            <v>0.40180817340000002</v>
          </cell>
          <cell r="S898">
            <v>0.40632253080000003</v>
          </cell>
          <cell r="T898">
            <v>0.41111167949999999</v>
          </cell>
          <cell r="U898">
            <v>0.4161289386</v>
          </cell>
          <cell r="V898">
            <v>0.42122881620000002</v>
          </cell>
          <cell r="W898">
            <v>0.42672209649999998</v>
          </cell>
          <cell r="X898">
            <v>0.43268531780000002</v>
          </cell>
          <cell r="Y898">
            <v>0.43917388680000002</v>
          </cell>
          <cell r="Z898">
            <v>0.44620995899999999</v>
          </cell>
          <cell r="AA898">
            <v>0.4531796622</v>
          </cell>
          <cell r="AB898">
            <v>0.4605176325</v>
          </cell>
          <cell r="AC898">
            <v>0.4679599894</v>
          </cell>
          <cell r="AD898">
            <v>0.47528813749999999</v>
          </cell>
          <cell r="AE898">
            <v>0.48241206860000002</v>
          </cell>
          <cell r="AF898">
            <v>0.48934266329999998</v>
          </cell>
          <cell r="AG898">
            <v>0.49613444039999999</v>
          </cell>
          <cell r="AH898">
            <v>0.50285568160000005</v>
          </cell>
          <cell r="AI898">
            <v>0.50956267899999996</v>
          </cell>
          <cell r="AJ898">
            <v>0.51628684069999997</v>
          </cell>
          <cell r="AK898">
            <v>0.52304092719999995</v>
          </cell>
        </row>
        <row r="899">
          <cell r="A899" t="str">
            <v>ems_ci_co2_seco_2</v>
          </cell>
          <cell r="B899">
            <v>4.5420397100000001</v>
          </cell>
          <cell r="C899">
            <v>4.5717929120000003</v>
          </cell>
          <cell r="D899">
            <v>4.5960167590000003</v>
          </cell>
          <cell r="E899">
            <v>4.6292480349999998</v>
          </cell>
          <cell r="F899">
            <v>4.6796157709999999</v>
          </cell>
          <cell r="G899">
            <v>4.7514155530000002</v>
          </cell>
          <cell r="H899">
            <v>4.8499568430000002</v>
          </cell>
          <cell r="I899">
            <v>4.9829859939999999</v>
          </cell>
          <cell r="J899">
            <v>5.1392612199999999</v>
          </cell>
          <cell r="K899">
            <v>5.2952011829999996</v>
          </cell>
          <cell r="L899">
            <v>5.4322029409999999</v>
          </cell>
          <cell r="M899">
            <v>5.5383295400000003</v>
          </cell>
          <cell r="N899">
            <v>5.6167483860000003</v>
          </cell>
          <cell r="O899">
            <v>5.6773631629999999</v>
          </cell>
          <cell r="P899">
            <v>5.7315263549999997</v>
          </cell>
          <cell r="Q899">
            <v>5.787356355</v>
          </cell>
          <cell r="R899">
            <v>5.8480409270000004</v>
          </cell>
          <cell r="S899">
            <v>5.9137442880000002</v>
          </cell>
          <cell r="T899">
            <v>5.9834470470000003</v>
          </cell>
          <cell r="U899">
            <v>6.056469796</v>
          </cell>
          <cell r="V899">
            <v>6.1306950010000003</v>
          </cell>
          <cell r="W899">
            <v>6.2106459090000001</v>
          </cell>
          <cell r="X899">
            <v>6.2974364850000004</v>
          </cell>
          <cell r="Y899">
            <v>6.3918731339999999</v>
          </cell>
          <cell r="Z899">
            <v>6.4942783129999997</v>
          </cell>
          <cell r="AA899">
            <v>6.5957175379999997</v>
          </cell>
          <cell r="AB899">
            <v>6.7025166370000004</v>
          </cell>
          <cell r="AC899">
            <v>6.8108350120000001</v>
          </cell>
          <cell r="AD899">
            <v>6.9174911559999996</v>
          </cell>
          <cell r="AE899">
            <v>7.0211750610000001</v>
          </cell>
          <cell r="AF899">
            <v>7.1220450880000001</v>
          </cell>
          <cell r="AG899">
            <v>7.2208947219999997</v>
          </cell>
          <cell r="AH899">
            <v>7.3187177539999997</v>
          </cell>
          <cell r="AI899">
            <v>7.4163334770000002</v>
          </cell>
          <cell r="AJ899">
            <v>7.5141990160000001</v>
          </cell>
          <cell r="AK899">
            <v>7.612500088</v>
          </cell>
        </row>
        <row r="900">
          <cell r="A900" t="str">
            <v>ems_y_co2_seco_2</v>
          </cell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</row>
        <row r="901">
          <cell r="A901" t="str">
            <v>ems_mat_co2_seco_2</v>
          </cell>
          <cell r="B901">
            <v>0.31129868309999997</v>
          </cell>
          <cell r="C901">
            <v>0.31333788429999998</v>
          </cell>
          <cell r="D901">
            <v>0.31499811919999998</v>
          </cell>
          <cell r="E901">
            <v>0.3172756981</v>
          </cell>
          <cell r="F901">
            <v>0.32072776219999999</v>
          </cell>
          <cell r="G901">
            <v>0.3256487186</v>
          </cell>
          <cell r="H901">
            <v>0.33240246299999998</v>
          </cell>
          <cell r="I901">
            <v>0.34151990869999999</v>
          </cell>
          <cell r="J901">
            <v>0.3522305751</v>
          </cell>
          <cell r="K901">
            <v>0.3629182634</v>
          </cell>
          <cell r="L901">
            <v>0.37230797999999998</v>
          </cell>
          <cell r="M901">
            <v>0.37958159969999999</v>
          </cell>
          <cell r="N901">
            <v>0.3849562077</v>
          </cell>
          <cell r="O901">
            <v>0.38911057459999998</v>
          </cell>
          <cell r="P901">
            <v>0.3928227681</v>
          </cell>
          <cell r="Q901">
            <v>0.39664919990000003</v>
          </cell>
          <cell r="R901">
            <v>0.40080835050000002</v>
          </cell>
          <cell r="S901">
            <v>0.40531147480000002</v>
          </cell>
          <cell r="T901">
            <v>0.41008870660000002</v>
          </cell>
          <cell r="U901">
            <v>0.4150934812</v>
          </cell>
          <cell r="V901">
            <v>0.42018066879999999</v>
          </cell>
          <cell r="W901">
            <v>0.42566028</v>
          </cell>
          <cell r="X901">
            <v>0.431608663</v>
          </cell>
          <cell r="Y901">
            <v>0.43808108649999999</v>
          </cell>
          <cell r="Z901">
            <v>0.44509965070000002</v>
          </cell>
          <cell r="AA901">
            <v>0.45205201109999998</v>
          </cell>
          <cell r="AB901">
            <v>0.45937172230000001</v>
          </cell>
          <cell r="AC901">
            <v>0.46679556039999998</v>
          </cell>
          <cell r="AD901">
            <v>0.47410547380000001</v>
          </cell>
          <cell r="AE901">
            <v>0.4812116783</v>
          </cell>
          <cell r="AF901">
            <v>0.48812502749999997</v>
          </cell>
          <cell r="AG901">
            <v>0.4948999046</v>
          </cell>
          <cell r="AH901">
            <v>0.50160442130000005</v>
          </cell>
          <cell r="AI901">
            <v>0.50829472959999999</v>
          </cell>
          <cell r="AJ901">
            <v>0.51500215949999995</v>
          </cell>
          <cell r="AK901">
            <v>0.52173943970000003</v>
          </cell>
        </row>
        <row r="902">
          <cell r="A902" t="str">
            <v>ems_ci_co2_sech_2</v>
          </cell>
          <cell r="B902">
            <v>2.6056617270000002</v>
          </cell>
          <cell r="C902">
            <v>2.630545074</v>
          </cell>
          <cell r="D902">
            <v>2.6557626760000002</v>
          </cell>
          <cell r="E902">
            <v>2.6858470919999999</v>
          </cell>
          <cell r="F902">
            <v>2.723039789</v>
          </cell>
          <cell r="G902">
            <v>2.768383085</v>
          </cell>
          <cell r="H902">
            <v>2.822298741</v>
          </cell>
          <cell r="I902">
            <v>2.889040557</v>
          </cell>
          <cell r="J902">
            <v>2.9636931729999998</v>
          </cell>
          <cell r="K902">
            <v>3.036389453</v>
          </cell>
          <cell r="L902">
            <v>3.101001804</v>
          </cell>
          <cell r="M902">
            <v>3.1520953999999999</v>
          </cell>
          <cell r="N902">
            <v>3.1917534779999999</v>
          </cell>
          <cell r="O902">
            <v>3.2247801850000002</v>
          </cell>
          <cell r="P902">
            <v>3.2562975879999998</v>
          </cell>
          <cell r="Q902">
            <v>3.2896560149999998</v>
          </cell>
          <cell r="R902">
            <v>3.3257050399999999</v>
          </cell>
          <cell r="S902">
            <v>3.3640360380000001</v>
          </cell>
          <cell r="T902">
            <v>3.4038588409999999</v>
          </cell>
          <cell r="U902">
            <v>3.444660533</v>
          </cell>
          <cell r="V902">
            <v>3.4847003650000001</v>
          </cell>
          <cell r="W902">
            <v>3.5268024229999999</v>
          </cell>
          <cell r="X902">
            <v>3.5715162820000002</v>
          </cell>
          <cell r="Y902">
            <v>3.6190498820000001</v>
          </cell>
          <cell r="Z902">
            <v>3.6694931529999999</v>
          </cell>
          <cell r="AA902">
            <v>3.717056564</v>
          </cell>
          <cell r="AB902">
            <v>3.7662743700000001</v>
          </cell>
          <cell r="AC902">
            <v>3.8161007279999999</v>
          </cell>
          <cell r="AD902">
            <v>3.865271431</v>
          </cell>
          <cell r="AE902">
            <v>3.9133130619999998</v>
          </cell>
          <cell r="AF902">
            <v>3.9603659219999998</v>
          </cell>
          <cell r="AG902">
            <v>4.0067393329999996</v>
          </cell>
          <cell r="AH902">
            <v>4.0528048190000003</v>
          </cell>
          <cell r="AI902">
            <v>4.0988645669999997</v>
          </cell>
          <cell r="AJ902">
            <v>4.1450603890000002</v>
          </cell>
          <cell r="AK902">
            <v>4.1914157889999997</v>
          </cell>
        </row>
        <row r="903">
          <cell r="A903" t="str">
            <v>ems_y_co2_sech_2</v>
          </cell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</row>
        <row r="904">
          <cell r="A904" t="str">
            <v>ems_mat_co2_sech_2</v>
          </cell>
          <cell r="B904">
            <v>0.17858292410000001</v>
          </cell>
          <cell r="C904">
            <v>0.18027428209999999</v>
          </cell>
          <cell r="D904">
            <v>0.181976583</v>
          </cell>
          <cell r="E904">
            <v>0.1840092696</v>
          </cell>
          <cell r="F904">
            <v>0.18653498390000001</v>
          </cell>
          <cell r="G904">
            <v>0.18963116599999999</v>
          </cell>
          <cell r="H904">
            <v>0.19340030450000001</v>
          </cell>
          <cell r="I904">
            <v>0.19809640170000001</v>
          </cell>
          <cell r="J904">
            <v>0.20335234320000001</v>
          </cell>
          <cell r="K904">
            <v>0.20846816030000001</v>
          </cell>
          <cell r="L904">
            <v>0.2130085102</v>
          </cell>
          <cell r="M904">
            <v>0.2165951056</v>
          </cell>
          <cell r="N904">
            <v>0.2193728465</v>
          </cell>
          <cell r="O904">
            <v>0.2216782092</v>
          </cell>
          <cell r="P904">
            <v>0.2238707925</v>
          </cell>
          <cell r="Q904">
            <v>0.22618722259999999</v>
          </cell>
          <cell r="R904">
            <v>0.2286899111</v>
          </cell>
          <cell r="S904">
            <v>0.23135252619999999</v>
          </cell>
          <cell r="T904">
            <v>0.23412093619999999</v>
          </cell>
          <cell r="U904">
            <v>0.2369593257</v>
          </cell>
          <cell r="V904">
            <v>0.23974719620000001</v>
          </cell>
          <cell r="W904">
            <v>0.2426782129</v>
          </cell>
          <cell r="X904">
            <v>0.24579010200000001</v>
          </cell>
          <cell r="Y904">
            <v>0.24909708110000001</v>
          </cell>
          <cell r="Z904">
            <v>0.2526051654</v>
          </cell>
          <cell r="AA904">
            <v>0.25591503110000002</v>
          </cell>
          <cell r="AB904">
            <v>0.25933780789999999</v>
          </cell>
          <cell r="AC904">
            <v>0.26280076299999999</v>
          </cell>
          <cell r="AD904">
            <v>0.26621596650000001</v>
          </cell>
          <cell r="AE904">
            <v>0.26955017590000002</v>
          </cell>
          <cell r="AF904">
            <v>0.27281283099999998</v>
          </cell>
          <cell r="AG904">
            <v>0.27602539189999997</v>
          </cell>
          <cell r="AH904">
            <v>0.2792138314</v>
          </cell>
          <cell r="AI904">
            <v>0.28239940679999997</v>
          </cell>
          <cell r="AJ904">
            <v>0.28559227459999997</v>
          </cell>
          <cell r="AK904">
            <v>0.2887943543</v>
          </cell>
        </row>
        <row r="905">
          <cell r="A905" t="str">
            <v>ems_ci_co2_seot_2</v>
          </cell>
          <cell r="B905">
            <v>1.7911663689999999</v>
          </cell>
          <cell r="C905">
            <v>1.8030142730000001</v>
          </cell>
          <cell r="D905">
            <v>1.8127593070000001</v>
          </cell>
          <cell r="E905">
            <v>1.8260224410000001</v>
          </cell>
          <cell r="F905">
            <v>1.84594452</v>
          </cell>
          <cell r="G905">
            <v>1.874216602</v>
          </cell>
          <cell r="H905">
            <v>1.9121158570000001</v>
          </cell>
          <cell r="I905">
            <v>1.9634633990000001</v>
          </cell>
          <cell r="J905">
            <v>2.0242327069999999</v>
          </cell>
          <cell r="K905">
            <v>2.0852129690000001</v>
          </cell>
          <cell r="L905">
            <v>2.138946808</v>
          </cell>
          <cell r="M905">
            <v>2.1805594529999999</v>
          </cell>
          <cell r="N905">
            <v>2.21118258</v>
          </cell>
          <cell r="O905">
            <v>2.2346863140000002</v>
          </cell>
          <cell r="P905">
            <v>2.2555741899999999</v>
          </cell>
          <cell r="Q905">
            <v>2.2770957410000001</v>
          </cell>
          <cell r="R905">
            <v>2.3005438620000001</v>
          </cell>
          <cell r="S905">
            <v>2.3259909749999998</v>
          </cell>
          <cell r="T905">
            <v>2.3530177750000001</v>
          </cell>
          <cell r="U905">
            <v>2.3813278750000002</v>
          </cell>
          <cell r="V905">
            <v>2.4100681800000001</v>
          </cell>
          <cell r="W905">
            <v>2.4410077100000001</v>
          </cell>
          <cell r="X905">
            <v>2.4745868560000002</v>
          </cell>
          <cell r="Y905">
            <v>2.5111407560000001</v>
          </cell>
          <cell r="Z905">
            <v>2.550822675</v>
          </cell>
          <cell r="AA905">
            <v>2.590158293</v>
          </cell>
          <cell r="AB905">
            <v>2.6316511839999999</v>
          </cell>
          <cell r="AC905">
            <v>2.6737872060000001</v>
          </cell>
          <cell r="AD905">
            <v>2.7153037310000001</v>
          </cell>
          <cell r="AE905">
            <v>2.75567502</v>
          </cell>
          <cell r="AF905">
            <v>2.794959183</v>
          </cell>
          <cell r="AG905">
            <v>2.833471173</v>
          </cell>
          <cell r="AH905">
            <v>2.8716083970000001</v>
          </cell>
          <cell r="AI905">
            <v>2.909698932</v>
          </cell>
          <cell r="AJ905">
            <v>2.9479245430000001</v>
          </cell>
          <cell r="AK905">
            <v>2.986355402</v>
          </cell>
        </row>
        <row r="906">
          <cell r="A906" t="str">
            <v>ems_y_co2_seot_2</v>
          </cell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</row>
        <row r="907">
          <cell r="A907" t="str">
            <v>ems_mat_co2_seot_2</v>
          </cell>
          <cell r="B907">
            <v>0.1227619965</v>
          </cell>
          <cell r="C907">
            <v>0.12356616450000001</v>
          </cell>
          <cell r="D907">
            <v>0.1242208853</v>
          </cell>
          <cell r="E907">
            <v>0.12511905849999999</v>
          </cell>
          <cell r="F907">
            <v>0.1264803951</v>
          </cell>
          <cell r="G907">
            <v>0.12842099579999999</v>
          </cell>
          <cell r="H907">
            <v>0.13108436439999999</v>
          </cell>
          <cell r="I907">
            <v>0.13467986900000001</v>
          </cell>
          <cell r="J907">
            <v>0.13890366709999999</v>
          </cell>
          <cell r="K907">
            <v>0.14311840370000001</v>
          </cell>
          <cell r="L907">
            <v>0.14682127950000001</v>
          </cell>
          <cell r="M907">
            <v>0.14968966319999999</v>
          </cell>
          <cell r="N907">
            <v>0.15180916329999999</v>
          </cell>
          <cell r="O907">
            <v>0.15344745609999999</v>
          </cell>
          <cell r="P907">
            <v>0.1549113758</v>
          </cell>
          <cell r="Q907">
            <v>0.15642034590000001</v>
          </cell>
          <cell r="R907">
            <v>0.1580605252</v>
          </cell>
          <cell r="S907">
            <v>0.15983635190000001</v>
          </cell>
          <cell r="T907">
            <v>0.16172027410000001</v>
          </cell>
          <cell r="U907">
            <v>0.16369392890000001</v>
          </cell>
          <cell r="V907">
            <v>0.16570008359999999</v>
          </cell>
          <cell r="W907">
            <v>0.1678609922</v>
          </cell>
          <cell r="X907">
            <v>0.17020676309999999</v>
          </cell>
          <cell r="Y907">
            <v>0.17275919149999999</v>
          </cell>
          <cell r="Z907">
            <v>0.17552699299999999</v>
          </cell>
          <cell r="AA907">
            <v>0.17826868670000001</v>
          </cell>
          <cell r="AB907">
            <v>0.18115524690000001</v>
          </cell>
          <cell r="AC907">
            <v>0.18408286979999999</v>
          </cell>
          <cell r="AD907">
            <v>0.18696556610000001</v>
          </cell>
          <cell r="AE907">
            <v>0.189767929</v>
          </cell>
          <cell r="AF907">
            <v>0.19249423839999999</v>
          </cell>
          <cell r="AG907">
            <v>0.19516594079999999</v>
          </cell>
          <cell r="AH907">
            <v>0.19780989630000001</v>
          </cell>
          <cell r="AI907">
            <v>0.20044824859999999</v>
          </cell>
          <cell r="AJ907">
            <v>0.203093353</v>
          </cell>
          <cell r="AK907">
            <v>0.20575022879999999</v>
          </cell>
        </row>
        <row r="908">
          <cell r="A908" t="str">
            <v>ems_ci_co2_sagr_0</v>
          </cell>
          <cell r="B908">
            <v>11.91229208</v>
          </cell>
          <cell r="C908">
            <v>11.766586050000001</v>
          </cell>
          <cell r="D908">
            <v>11.58078179</v>
          </cell>
          <cell r="E908">
            <v>11.43452162</v>
          </cell>
          <cell r="F908">
            <v>11.36323118</v>
          </cell>
          <cell r="G908">
            <v>11.376561239999999</v>
          </cell>
          <cell r="H908">
            <v>11.45929099</v>
          </cell>
          <cell r="I908">
            <v>11.596165559999999</v>
          </cell>
          <cell r="J908">
            <v>11.76296623</v>
          </cell>
          <cell r="K908">
            <v>11.936225930000001</v>
          </cell>
          <cell r="L908">
            <v>12.10686125</v>
          </cell>
          <cell r="M908">
            <v>12.257308869999999</v>
          </cell>
          <cell r="N908">
            <v>12.391696120000001</v>
          </cell>
          <cell r="O908">
            <v>12.51224785</v>
          </cell>
          <cell r="P908">
            <v>12.61874766</v>
          </cell>
          <cell r="Q908">
            <v>12.70936373</v>
          </cell>
          <cell r="R908">
            <v>12.78227759</v>
          </cell>
          <cell r="S908">
            <v>12.837146779999999</v>
          </cell>
          <cell r="T908">
            <v>12.87571204</v>
          </cell>
          <cell r="U908">
            <v>12.901474520000001</v>
          </cell>
          <cell r="V908">
            <v>12.912949660000001</v>
          </cell>
          <cell r="W908">
            <v>12.92226088</v>
          </cell>
          <cell r="X908">
            <v>12.930111009999999</v>
          </cell>
          <cell r="Y908">
            <v>12.939261719999999</v>
          </cell>
          <cell r="Z908">
            <v>12.952257019999999</v>
          </cell>
          <cell r="AA908">
            <v>12.95258589</v>
          </cell>
          <cell r="AB908">
            <v>12.957753950000001</v>
          </cell>
          <cell r="AC908">
            <v>12.962259680000001</v>
          </cell>
          <cell r="AD908">
            <v>12.96522506</v>
          </cell>
          <cell r="AE908">
            <v>12.96845334</v>
          </cell>
          <cell r="AF908">
            <v>12.974827019999999</v>
          </cell>
          <cell r="AG908">
            <v>12.986756700000001</v>
          </cell>
          <cell r="AH908">
            <v>13.005221280000001</v>
          </cell>
          <cell r="AI908">
            <v>13.029612869999999</v>
          </cell>
          <cell r="AJ908">
            <v>13.058229450000001</v>
          </cell>
          <cell r="AK908">
            <v>13.08906324</v>
          </cell>
        </row>
        <row r="909">
          <cell r="A909" t="str">
            <v>ems_y_co2_sagr_0</v>
          </cell>
          <cell r="B909">
            <v>2.3494161770000002</v>
          </cell>
          <cell r="C909">
            <v>2.332651281</v>
          </cell>
          <cell r="D909">
            <v>2.320756571</v>
          </cell>
          <cell r="E909">
            <v>2.3177076919999999</v>
          </cell>
          <cell r="F909">
            <v>2.3245017369999998</v>
          </cell>
          <cell r="G909">
            <v>2.340057125</v>
          </cell>
          <cell r="H909">
            <v>2.3608723340000002</v>
          </cell>
          <cell r="I909">
            <v>2.3850237569999999</v>
          </cell>
          <cell r="J909">
            <v>2.4103729280000001</v>
          </cell>
          <cell r="K909">
            <v>2.4352113590000002</v>
          </cell>
          <cell r="L909">
            <v>2.4606105550000001</v>
          </cell>
          <cell r="M909">
            <v>2.4825036819999999</v>
          </cell>
          <cell r="N909">
            <v>2.5011281790000002</v>
          </cell>
          <cell r="O909">
            <v>2.5164015970000002</v>
          </cell>
          <cell r="P909">
            <v>2.5285931129999999</v>
          </cell>
          <cell r="Q909">
            <v>2.5382282680000001</v>
          </cell>
          <cell r="R909">
            <v>2.5459714349999998</v>
          </cell>
          <cell r="S909">
            <v>2.5525128119999998</v>
          </cell>
          <cell r="T909">
            <v>2.5584789720000001</v>
          </cell>
          <cell r="U909">
            <v>2.5643774810000002</v>
          </cell>
          <cell r="V909">
            <v>2.5688964360000002</v>
          </cell>
          <cell r="W909">
            <v>2.574795113</v>
          </cell>
          <cell r="X909">
            <v>2.5816300449999998</v>
          </cell>
          <cell r="Y909">
            <v>2.5894247680000002</v>
          </cell>
          <cell r="Z909">
            <v>2.5980959330000002</v>
          </cell>
          <cell r="AA909">
            <v>2.6027306330000002</v>
          </cell>
          <cell r="AB909">
            <v>2.6082993050000001</v>
          </cell>
          <cell r="AC909">
            <v>2.6140686280000001</v>
          </cell>
          <cell r="AD909">
            <v>2.6202014010000001</v>
          </cell>
          <cell r="AE909">
            <v>2.6267521020000002</v>
          </cell>
          <cell r="AF909">
            <v>2.6336862860000001</v>
          </cell>
          <cell r="AG909">
            <v>2.640915423</v>
          </cell>
          <cell r="AH909">
            <v>2.6483335549999998</v>
          </cell>
          <cell r="AI909">
            <v>2.6558448349999999</v>
          </cell>
          <cell r="AJ909">
            <v>2.6633768679999998</v>
          </cell>
          <cell r="AK909">
            <v>2.6708810000000001</v>
          </cell>
        </row>
        <row r="910">
          <cell r="A910" t="str">
            <v>ems_mat_co2_sagr_0</v>
          </cell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</row>
        <row r="911">
          <cell r="A911" t="str">
            <v>ems_ci_co2_sfor_0</v>
          </cell>
          <cell r="B911">
            <v>0.52096150529999996</v>
          </cell>
          <cell r="C911">
            <v>0.50699637990000002</v>
          </cell>
          <cell r="D911">
            <v>0.49206658749999999</v>
          </cell>
          <cell r="E911">
            <v>0.47962980999999999</v>
          </cell>
          <cell r="F911">
            <v>0.47064221350000002</v>
          </cell>
          <cell r="G911">
            <v>0.46535881429999998</v>
          </cell>
          <cell r="H911">
            <v>0.46287194450000002</v>
          </cell>
          <cell r="I911">
            <v>0.46323889930000001</v>
          </cell>
          <cell r="J911">
            <v>0.4656527338</v>
          </cell>
          <cell r="K911">
            <v>0.4692316835</v>
          </cell>
          <cell r="L911">
            <v>0.47413855919999998</v>
          </cell>
          <cell r="M911">
            <v>0.4784539304</v>
          </cell>
          <cell r="N911">
            <v>0.48301420249999999</v>
          </cell>
          <cell r="O911">
            <v>0.48798637049999999</v>
          </cell>
          <cell r="P911">
            <v>0.49320868829999998</v>
          </cell>
          <cell r="Q911">
            <v>0.49842166399999999</v>
          </cell>
          <cell r="R911">
            <v>0.50338815879999999</v>
          </cell>
          <cell r="S911">
            <v>0.50796077350000002</v>
          </cell>
          <cell r="T911">
            <v>0.51210662110000005</v>
          </cell>
          <cell r="U911">
            <v>0.51589299209999995</v>
          </cell>
          <cell r="V911">
            <v>0.5188545094</v>
          </cell>
          <cell r="W911">
            <v>0.52232538380000004</v>
          </cell>
          <cell r="X911">
            <v>0.52585764680000002</v>
          </cell>
          <cell r="Y911">
            <v>0.52942205070000004</v>
          </cell>
          <cell r="Z911">
            <v>0.53314183159999995</v>
          </cell>
          <cell r="AA911">
            <v>0.53532003750000001</v>
          </cell>
          <cell r="AB911">
            <v>0.53889236870000001</v>
          </cell>
          <cell r="AC911">
            <v>0.54287290860000004</v>
          </cell>
          <cell r="AD911">
            <v>0.5468908844</v>
          </cell>
          <cell r="AE911">
            <v>0.55095851760000003</v>
          </cell>
          <cell r="AF911">
            <v>0.55520345159999995</v>
          </cell>
          <cell r="AG911">
            <v>0.55974211740000002</v>
          </cell>
          <cell r="AH911">
            <v>0.56462684060000001</v>
          </cell>
          <cell r="AI911">
            <v>0.56983867659999998</v>
          </cell>
          <cell r="AJ911">
            <v>0.57530992560000005</v>
          </cell>
          <cell r="AK911">
            <v>0.58095735459999998</v>
          </cell>
        </row>
        <row r="912">
          <cell r="A912" t="str">
            <v>ems_y_co2_sfor_0</v>
          </cell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</row>
        <row r="913">
          <cell r="A913" t="str">
            <v>ems_mat_co2_sfor_0</v>
          </cell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</row>
        <row r="914">
          <cell r="A914" t="str">
            <v>ems_ci_co2_sfoo_0</v>
          </cell>
          <cell r="B914">
            <v>9.8937547279999993</v>
          </cell>
          <cell r="C914">
            <v>9.8970310369999996</v>
          </cell>
          <cell r="D914">
            <v>9.8740654859999992</v>
          </cell>
          <cell r="E914">
            <v>9.860966028</v>
          </cell>
          <cell r="F914">
            <v>9.8727860740000004</v>
          </cell>
          <cell r="G914">
            <v>9.9127603149999999</v>
          </cell>
          <cell r="H914">
            <v>9.9713912209999993</v>
          </cell>
          <cell r="I914">
            <v>10.04401142</v>
          </cell>
          <cell r="J914">
            <v>10.12284169</v>
          </cell>
          <cell r="K914">
            <v>10.200839820000001</v>
          </cell>
          <cell r="L914">
            <v>10.28125938</v>
          </cell>
          <cell r="M914">
            <v>10.35256313</v>
          </cell>
          <cell r="N914">
            <v>10.417487550000001</v>
          </cell>
          <cell r="O914">
            <v>10.47721773</v>
          </cell>
          <cell r="P914">
            <v>10.531910829999999</v>
          </cell>
          <cell r="Q914">
            <v>10.581182030000001</v>
          </cell>
          <cell r="R914">
            <v>10.62469866</v>
          </cell>
          <cell r="S914">
            <v>10.66262506</v>
          </cell>
          <cell r="T914">
            <v>10.695738710000001</v>
          </cell>
          <cell r="U914">
            <v>10.725258930000001</v>
          </cell>
          <cell r="V914">
            <v>10.74697273</v>
          </cell>
          <cell r="W914">
            <v>10.76956268</v>
          </cell>
          <cell r="X914">
            <v>10.792702500000001</v>
          </cell>
          <cell r="Y914">
            <v>10.816980989999999</v>
          </cell>
          <cell r="Z914">
            <v>10.842913749999999</v>
          </cell>
          <cell r="AA914">
            <v>10.85439087</v>
          </cell>
          <cell r="AB914">
            <v>10.86663094</v>
          </cell>
          <cell r="AC914">
            <v>10.878238720000001</v>
          </cell>
          <cell r="AD914">
            <v>10.889585840000001</v>
          </cell>
          <cell r="AE914">
            <v>10.90173742</v>
          </cell>
          <cell r="AF914">
            <v>10.9158911</v>
          </cell>
          <cell r="AG914">
            <v>10.93289828</v>
          </cell>
          <cell r="AH914">
            <v>10.95301566</v>
          </cell>
          <cell r="AI914">
            <v>10.975930419999999</v>
          </cell>
          <cell r="AJ914">
            <v>11.00098081</v>
          </cell>
          <cell r="AK914">
            <v>11.027441680000001</v>
          </cell>
        </row>
        <row r="915">
          <cell r="A915" t="str">
            <v>ems_y_co2_sfoo_0</v>
          </cell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</row>
        <row r="916">
          <cell r="A916" t="str">
            <v>ems_mat_co2_sfoo_0</v>
          </cell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</row>
        <row r="917">
          <cell r="A917" t="str">
            <v>ems_ci_co2_sveh_0</v>
          </cell>
          <cell r="B917">
            <v>1.236831963</v>
          </cell>
          <cell r="C917">
            <v>1.2346705069999999</v>
          </cell>
          <cell r="D917">
            <v>1.2334287370000001</v>
          </cell>
          <cell r="E917">
            <v>1.237508405</v>
          </cell>
          <cell r="F917">
            <v>1.2502621970000001</v>
          </cell>
          <cell r="G917">
            <v>1.2735663129999999</v>
          </cell>
          <cell r="H917">
            <v>1.3062282030000001</v>
          </cell>
          <cell r="I917">
            <v>1.3475547000000001</v>
          </cell>
          <cell r="J917">
            <v>1.3944816040000001</v>
          </cell>
          <cell r="K917">
            <v>1.443410394</v>
          </cell>
          <cell r="L917">
            <v>1.4927250910000001</v>
          </cell>
          <cell r="M917">
            <v>1.5382808450000001</v>
          </cell>
          <cell r="N917">
            <v>1.58126155</v>
          </cell>
          <cell r="O917">
            <v>1.6218347559999999</v>
          </cell>
          <cell r="P917">
            <v>1.6596776419999999</v>
          </cell>
          <cell r="Q917">
            <v>1.6942467489999999</v>
          </cell>
          <cell r="R917">
            <v>1.7251451209999999</v>
          </cell>
          <cell r="S917">
            <v>1.7524311269999999</v>
          </cell>
          <cell r="T917">
            <v>1.776727079</v>
          </cell>
          <cell r="U917">
            <v>1.799107096</v>
          </cell>
          <cell r="V917">
            <v>1.819752987</v>
          </cell>
          <cell r="W917">
            <v>1.8418072009999999</v>
          </cell>
          <cell r="X917">
            <v>1.865091198</v>
          </cell>
          <cell r="Y917">
            <v>1.8902419079999999</v>
          </cell>
          <cell r="Z917">
            <v>1.9178329000000001</v>
          </cell>
          <cell r="AA917">
            <v>1.9446136190000001</v>
          </cell>
          <cell r="AB917">
            <v>1.9751338899999999</v>
          </cell>
          <cell r="AC917">
            <v>2.0068113580000002</v>
          </cell>
          <cell r="AD917">
            <v>2.0386783149999999</v>
          </cell>
          <cell r="AE917">
            <v>2.0705877410000002</v>
          </cell>
          <cell r="AF917">
            <v>2.1028006929999998</v>
          </cell>
          <cell r="AG917">
            <v>2.1355927100000001</v>
          </cell>
          <cell r="AH917">
            <v>2.1689915040000001</v>
          </cell>
          <cell r="AI917">
            <v>2.2027122669999999</v>
          </cell>
          <cell r="AJ917">
            <v>2.2362649530000001</v>
          </cell>
          <cell r="AK917">
            <v>2.269149305</v>
          </cell>
        </row>
        <row r="918">
          <cell r="A918" t="str">
            <v>ems_y_co2_sveh_0</v>
          </cell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</row>
        <row r="919">
          <cell r="A919" t="str">
            <v>ems_mat_co2_sveh_0</v>
          </cell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</row>
        <row r="920">
          <cell r="A920" t="str">
            <v>ems_ci_co2_sgla_0</v>
          </cell>
          <cell r="B920">
            <v>5.7358959430000001</v>
          </cell>
          <cell r="C920">
            <v>5.9164102520000004</v>
          </cell>
          <cell r="D920">
            <v>6.1343918090000003</v>
          </cell>
          <cell r="E920">
            <v>6.3062461540000001</v>
          </cell>
          <cell r="F920">
            <v>6.4308318670000002</v>
          </cell>
          <cell r="G920">
            <v>6.530188806</v>
          </cell>
          <cell r="H920">
            <v>6.5714172739999999</v>
          </cell>
          <cell r="I920">
            <v>6.6294790079999997</v>
          </cell>
          <cell r="J920">
            <v>6.7058976499999998</v>
          </cell>
          <cell r="K920">
            <v>6.7934174030000003</v>
          </cell>
          <cell r="L920">
            <v>6.958974231</v>
          </cell>
          <cell r="M920">
            <v>7.0366344239999998</v>
          </cell>
          <cell r="N920">
            <v>7.1194907179999998</v>
          </cell>
          <cell r="O920">
            <v>7.218073682</v>
          </cell>
          <cell r="P920">
            <v>7.3263142019999998</v>
          </cell>
          <cell r="Q920">
            <v>7.439527064</v>
          </cell>
          <cell r="R920">
            <v>7.5556031089999998</v>
          </cell>
          <cell r="S920">
            <v>7.6739225580000001</v>
          </cell>
          <cell r="T920">
            <v>7.7944632069999997</v>
          </cell>
          <cell r="U920">
            <v>7.9172952179999996</v>
          </cell>
          <cell r="V920">
            <v>7.9911227709999997</v>
          </cell>
          <cell r="W920">
            <v>8.1323334250000006</v>
          </cell>
          <cell r="X920">
            <v>8.2780899879999996</v>
          </cell>
          <cell r="Y920">
            <v>8.4176815690000009</v>
          </cell>
          <cell r="Z920">
            <v>8.5537213179999991</v>
          </cell>
          <cell r="AA920">
            <v>8.5379593790000001</v>
          </cell>
          <cell r="AB920">
            <v>8.6549577670000009</v>
          </cell>
          <cell r="AC920">
            <v>8.7967820670000005</v>
          </cell>
          <cell r="AD920">
            <v>8.9369796380000004</v>
          </cell>
          <cell r="AE920">
            <v>9.0746064620000002</v>
          </cell>
          <cell r="AF920">
            <v>9.2119271860000005</v>
          </cell>
          <cell r="AG920">
            <v>9.3503473820000007</v>
          </cell>
          <cell r="AH920">
            <v>9.4903959090000001</v>
          </cell>
          <cell r="AI920">
            <v>9.6322178859999994</v>
          </cell>
          <cell r="AJ920">
            <v>9.7759106469999999</v>
          </cell>
          <cell r="AK920">
            <v>9.9216400189999998</v>
          </cell>
        </row>
        <row r="921">
          <cell r="A921" t="str">
            <v>ems_y_co2_sgla_0</v>
          </cell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</row>
        <row r="922">
          <cell r="A922" t="str">
            <v>ems_mat_co2_sgla_0</v>
          </cell>
          <cell r="B922">
            <v>13.79124712</v>
          </cell>
          <cell r="C922">
            <v>14.25018208</v>
          </cell>
          <cell r="D922">
            <v>14.81580364</v>
          </cell>
          <cell r="E922">
            <v>15.27789716</v>
          </cell>
          <cell r="F922">
            <v>15.62534774</v>
          </cell>
          <cell r="G922">
            <v>15.90612458</v>
          </cell>
          <cell r="H922">
            <v>16.038039650000002</v>
          </cell>
          <cell r="I922">
            <v>16.203480679999998</v>
          </cell>
          <cell r="J922">
            <v>16.40854393</v>
          </cell>
          <cell r="K922">
            <v>16.637805459999999</v>
          </cell>
          <cell r="L922">
            <v>17.057124309999999</v>
          </cell>
          <cell r="M922">
            <v>17.258271830000002</v>
          </cell>
          <cell r="N922">
            <v>17.466787320000002</v>
          </cell>
          <cell r="O922">
            <v>17.707430389999999</v>
          </cell>
          <cell r="P922">
            <v>17.965844189999999</v>
          </cell>
          <cell r="Q922">
            <v>18.23222732</v>
          </cell>
          <cell r="R922">
            <v>18.503600469999999</v>
          </cell>
          <cell r="S922">
            <v>18.780507790000001</v>
          </cell>
          <cell r="T922">
            <v>19.0644466</v>
          </cell>
          <cell r="U922">
            <v>19.356529599999998</v>
          </cell>
          <cell r="V922">
            <v>19.531228599999999</v>
          </cell>
          <cell r="W922">
            <v>19.87396141</v>
          </cell>
          <cell r="X922">
            <v>20.231475830000001</v>
          </cell>
          <cell r="Y922">
            <v>20.577227749999999</v>
          </cell>
          <cell r="Z922">
            <v>20.916865390000002</v>
          </cell>
          <cell r="AA922">
            <v>20.885709630000001</v>
          </cell>
          <cell r="AB922">
            <v>21.180195090000002</v>
          </cell>
          <cell r="AC922">
            <v>21.537477339999999</v>
          </cell>
          <cell r="AD922">
            <v>21.892767370000001</v>
          </cell>
          <cell r="AE922">
            <v>22.242676159999998</v>
          </cell>
          <cell r="AF922">
            <v>22.591221109999999</v>
          </cell>
          <cell r="AG922">
            <v>22.940457819999999</v>
          </cell>
          <cell r="AH922">
            <v>23.290830199999998</v>
          </cell>
          <cell r="AI922">
            <v>23.642486680000001</v>
          </cell>
          <cell r="AJ922">
            <v>23.9959639</v>
          </cell>
          <cell r="AK922">
            <v>24.35219966</v>
          </cell>
        </row>
        <row r="923">
          <cell r="A923" t="str">
            <v>ems_ci_co2_spap_0</v>
          </cell>
          <cell r="B923">
            <v>3.0195576750000002</v>
          </cell>
          <cell r="C923">
            <v>3.0389702120000002</v>
          </cell>
          <cell r="D923">
            <v>3.0675809909999998</v>
          </cell>
          <cell r="E923">
            <v>3.1091992070000001</v>
          </cell>
          <cell r="F923">
            <v>3.1578563040000001</v>
          </cell>
          <cell r="G923">
            <v>3.208958414</v>
          </cell>
          <cell r="H923">
            <v>3.2616034030000001</v>
          </cell>
          <cell r="I923">
            <v>3.3114185410000001</v>
          </cell>
          <cell r="J923">
            <v>3.359475545</v>
          </cell>
          <cell r="K923">
            <v>3.40757647</v>
          </cell>
          <cell r="L923">
            <v>3.4545771630000002</v>
          </cell>
          <cell r="M923">
            <v>3.5104089809999999</v>
          </cell>
          <cell r="N923">
            <v>3.5675552960000001</v>
          </cell>
          <cell r="O923">
            <v>3.625252224</v>
          </cell>
          <cell r="P923">
            <v>3.6836127859999999</v>
          </cell>
          <cell r="Q923">
            <v>3.7428154230000001</v>
          </cell>
          <cell r="R923">
            <v>3.8030528110000001</v>
          </cell>
          <cell r="S923">
            <v>3.8644894010000002</v>
          </cell>
          <cell r="T923">
            <v>3.9271955940000001</v>
          </cell>
          <cell r="U923">
            <v>3.9911130680000002</v>
          </cell>
          <cell r="V923">
            <v>4.0572926579999997</v>
          </cell>
          <cell r="W923">
            <v>4.1202857570000004</v>
          </cell>
          <cell r="X923">
            <v>4.1848748560000004</v>
          </cell>
          <cell r="Y923">
            <v>4.2510551330000004</v>
          </cell>
          <cell r="Z923">
            <v>4.3183249559999997</v>
          </cell>
          <cell r="AA923">
            <v>4.3887627040000003</v>
          </cell>
          <cell r="AB923">
            <v>4.4513156690000004</v>
          </cell>
          <cell r="AC923">
            <v>4.5137450159999997</v>
          </cell>
          <cell r="AD923">
            <v>4.5775573789999999</v>
          </cell>
          <cell r="AE923">
            <v>4.64305039</v>
          </cell>
          <cell r="AF923">
            <v>4.7101911279999999</v>
          </cell>
          <cell r="AG923">
            <v>4.7788133339999996</v>
          </cell>
          <cell r="AH923">
            <v>4.8487469770000002</v>
          </cell>
          <cell r="AI923">
            <v>4.9199072230000001</v>
          </cell>
          <cell r="AJ923">
            <v>4.9923194950000003</v>
          </cell>
          <cell r="AK923">
            <v>5.0660855529999997</v>
          </cell>
        </row>
        <row r="924">
          <cell r="A924" t="str">
            <v>ems_y_co2_spap_0</v>
          </cell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</row>
        <row r="925">
          <cell r="A925" t="str">
            <v>ems_mat_co2_spap_0</v>
          </cell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</row>
        <row r="926">
          <cell r="A926" t="str">
            <v>ems_ci_co2_sche_0</v>
          </cell>
          <cell r="B926">
            <v>3.8354402749999998</v>
          </cell>
          <cell r="C926">
            <v>3.8343705880000001</v>
          </cell>
          <cell r="D926">
            <v>3.8474800400000002</v>
          </cell>
          <cell r="E926">
            <v>3.874537857</v>
          </cell>
          <cell r="F926">
            <v>3.9113455209999999</v>
          </cell>
          <cell r="G926">
            <v>3.9551223000000002</v>
          </cell>
          <cell r="H926">
            <v>3.9994923290000002</v>
          </cell>
          <cell r="I926">
            <v>4.0470737889999997</v>
          </cell>
          <cell r="J926">
            <v>4.0974409510000003</v>
          </cell>
          <cell r="K926">
            <v>4.1501311300000001</v>
          </cell>
          <cell r="L926">
            <v>4.2116886060000001</v>
          </cell>
          <cell r="M926">
            <v>4.269864578</v>
          </cell>
          <cell r="N926">
            <v>4.3294246709999999</v>
          </cell>
          <cell r="O926">
            <v>4.3909774009999998</v>
          </cell>
          <cell r="P926">
            <v>4.4539765889999998</v>
          </cell>
          <cell r="Q926">
            <v>4.5179665580000004</v>
          </cell>
          <cell r="R926">
            <v>4.5827699969999998</v>
          </cell>
          <cell r="S926">
            <v>4.6484199090000002</v>
          </cell>
          <cell r="T926">
            <v>4.715042231</v>
          </cell>
          <cell r="U926">
            <v>4.7827582130000001</v>
          </cell>
          <cell r="V926">
            <v>4.8466002609999999</v>
          </cell>
          <cell r="W926">
            <v>4.9159462610000002</v>
          </cell>
          <cell r="X926">
            <v>4.9873490650000001</v>
          </cell>
          <cell r="Y926">
            <v>5.0598967110000004</v>
          </cell>
          <cell r="Z926">
            <v>5.1335650739999998</v>
          </cell>
          <cell r="AA926">
            <v>5.1933150369999996</v>
          </cell>
          <cell r="AB926">
            <v>5.2612955960000001</v>
          </cell>
          <cell r="AC926">
            <v>5.33209891</v>
          </cell>
          <cell r="AD926">
            <v>5.4043221189999997</v>
          </cell>
          <cell r="AE926">
            <v>5.4780692379999998</v>
          </cell>
          <cell r="AF926">
            <v>5.5535450869999998</v>
          </cell>
          <cell r="AG926">
            <v>5.6307768669999998</v>
          </cell>
          <cell r="AH926">
            <v>5.7096592519999998</v>
          </cell>
          <cell r="AI926">
            <v>5.7900562359999999</v>
          </cell>
          <cell r="AJ926">
            <v>5.8718753469999996</v>
          </cell>
          <cell r="AK926">
            <v>5.955090266</v>
          </cell>
        </row>
        <row r="927">
          <cell r="A927" t="str">
            <v>ems_y_co2_sche_0</v>
          </cell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</row>
        <row r="928">
          <cell r="A928" t="str">
            <v>ems_mat_co2_sche_0</v>
          </cell>
          <cell r="B928">
            <v>2.594500424</v>
          </cell>
          <cell r="C928">
            <v>2.5971305629999999</v>
          </cell>
          <cell r="D928">
            <v>2.6115127299999998</v>
          </cell>
          <cell r="E928">
            <v>2.6364707360000001</v>
          </cell>
          <cell r="F928">
            <v>2.6683295839999999</v>
          </cell>
          <cell r="G928">
            <v>2.7046565390000001</v>
          </cell>
          <cell r="H928">
            <v>2.7408574259999998</v>
          </cell>
          <cell r="I928">
            <v>2.778579181</v>
          </cell>
          <cell r="J928">
            <v>2.8176273140000001</v>
          </cell>
          <cell r="K928">
            <v>2.8577939849999998</v>
          </cell>
          <cell r="L928">
            <v>2.9036913339999999</v>
          </cell>
          <cell r="M928">
            <v>2.9466283309999999</v>
          </cell>
          <cell r="N928">
            <v>2.989559291</v>
          </cell>
          <cell r="O928">
            <v>3.032770239</v>
          </cell>
          <cell r="P928">
            <v>3.075961758</v>
          </cell>
          <cell r="Q928">
            <v>3.1190496240000001</v>
          </cell>
          <cell r="R928">
            <v>3.1622135349999998</v>
          </cell>
          <cell r="S928">
            <v>3.2057739340000002</v>
          </cell>
          <cell r="T928">
            <v>3.2500625150000002</v>
          </cell>
          <cell r="U928">
            <v>3.2953374599999998</v>
          </cell>
          <cell r="V928">
            <v>3.338208844</v>
          </cell>
          <cell r="W928">
            <v>3.3852941410000001</v>
          </cell>
          <cell r="X928">
            <v>3.4343038620000002</v>
          </cell>
          <cell r="Y928">
            <v>3.4845913259999999</v>
          </cell>
          <cell r="Z928">
            <v>3.5360633720000001</v>
          </cell>
          <cell r="AA928">
            <v>3.578090386</v>
          </cell>
          <cell r="AB928">
            <v>3.625958222</v>
          </cell>
          <cell r="AC928">
            <v>3.6760506999999998</v>
          </cell>
          <cell r="AD928">
            <v>3.727376934</v>
          </cell>
          <cell r="AE928">
            <v>3.779868977</v>
          </cell>
          <cell r="AF928">
            <v>3.8334769309999999</v>
          </cell>
          <cell r="AG928">
            <v>3.8880444409999999</v>
          </cell>
          <cell r="AH928">
            <v>3.9433850719999999</v>
          </cell>
          <cell r="AI928">
            <v>3.9993658750000001</v>
          </cell>
          <cell r="AJ928">
            <v>4.0559443169999998</v>
          </cell>
          <cell r="AK928">
            <v>4.1131547189999997</v>
          </cell>
        </row>
        <row r="929">
          <cell r="A929" t="str">
            <v>ems_ci_co2_spla_0</v>
          </cell>
          <cell r="B929">
            <v>1.297756884</v>
          </cell>
          <cell r="C929">
            <v>1.2991557659999999</v>
          </cell>
          <cell r="D929">
            <v>1.3042119350000001</v>
          </cell>
          <cell r="E929">
            <v>1.3130087349999999</v>
          </cell>
          <cell r="F929">
            <v>1.3257670420000001</v>
          </cell>
          <cell r="G929">
            <v>1.3429780739999999</v>
          </cell>
          <cell r="H929">
            <v>1.3618869259999999</v>
          </cell>
          <cell r="I929">
            <v>1.38467304</v>
          </cell>
          <cell r="J929">
            <v>1.410212665</v>
          </cell>
          <cell r="K929">
            <v>1.4370835129999999</v>
          </cell>
          <cell r="L929">
            <v>1.4679768520000001</v>
          </cell>
          <cell r="M929">
            <v>1.4948791290000001</v>
          </cell>
          <cell r="N929">
            <v>1.521726449</v>
          </cell>
          <cell r="O929">
            <v>1.5490524720000001</v>
          </cell>
          <cell r="P929">
            <v>1.5764701510000001</v>
          </cell>
          <cell r="Q929">
            <v>1.60354383</v>
          </cell>
          <cell r="R929">
            <v>1.6299868159999999</v>
          </cell>
          <cell r="S929">
            <v>1.655717449</v>
          </cell>
          <cell r="T929">
            <v>1.680851002</v>
          </cell>
          <cell r="U929">
            <v>1.7056425580000001</v>
          </cell>
          <cell r="V929">
            <v>1.7276441149999999</v>
          </cell>
          <cell r="W929">
            <v>1.7528395459999999</v>
          </cell>
          <cell r="X929">
            <v>1.778739147</v>
          </cell>
          <cell r="Y929">
            <v>1.805006879</v>
          </cell>
          <cell r="Z929">
            <v>1.8318930550000001</v>
          </cell>
          <cell r="AA929">
            <v>1.851237617</v>
          </cell>
          <cell r="AB929">
            <v>1.8769702589999999</v>
          </cell>
          <cell r="AC929">
            <v>1.904211857</v>
          </cell>
          <cell r="AD929">
            <v>1.931636379</v>
          </cell>
          <cell r="AE929">
            <v>1.959267477</v>
          </cell>
          <cell r="AF929">
            <v>1.9873655990000001</v>
          </cell>
          <cell r="AG929">
            <v>2.0161171019999999</v>
          </cell>
          <cell r="AH929">
            <v>2.0455635999999999</v>
          </cell>
          <cell r="AI929">
            <v>2.0756208350000001</v>
          </cell>
          <cell r="AJ929">
            <v>2.1061386820000001</v>
          </cell>
          <cell r="AK929">
            <v>2.1369694290000001</v>
          </cell>
        </row>
        <row r="930">
          <cell r="A930" t="str">
            <v>ems_y_co2_spla_0</v>
          </cell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</row>
        <row r="931">
          <cell r="A931" t="str">
            <v>ems_mat_co2_spla_0</v>
          </cell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</row>
        <row r="932">
          <cell r="A932" t="str">
            <v>ems_ci_co2_smet_0</v>
          </cell>
          <cell r="B932">
            <v>7.5657038569999999</v>
          </cell>
          <cell r="C932">
            <v>7.6690087739999999</v>
          </cell>
          <cell r="D932">
            <v>7.7889340660000004</v>
          </cell>
          <cell r="E932">
            <v>7.9062199729999998</v>
          </cell>
          <cell r="F932">
            <v>8.0161534910000007</v>
          </cell>
          <cell r="G932">
            <v>8.1193734119999998</v>
          </cell>
          <cell r="H932">
            <v>8.2019449039999994</v>
          </cell>
          <cell r="I932">
            <v>8.2831670039999992</v>
          </cell>
          <cell r="J932">
            <v>8.3658937059999996</v>
          </cell>
          <cell r="K932">
            <v>8.4516425240000004</v>
          </cell>
          <cell r="L932">
            <v>8.5658844649999999</v>
          </cell>
          <cell r="M932">
            <v>8.6614143699999993</v>
          </cell>
          <cell r="N932">
            <v>8.7635423249999995</v>
          </cell>
          <cell r="O932">
            <v>8.8752473219999999</v>
          </cell>
          <cell r="P932">
            <v>8.9948100780000004</v>
          </cell>
          <cell r="Q932">
            <v>9.1205058520000009</v>
          </cell>
          <cell r="R932">
            <v>9.2511424919999996</v>
          </cell>
          <cell r="S932">
            <v>9.3858512449999996</v>
          </cell>
          <cell r="T932">
            <v>9.5238384570000001</v>
          </cell>
          <cell r="U932">
            <v>9.6642558859999994</v>
          </cell>
          <cell r="V932">
            <v>9.7893744859999998</v>
          </cell>
          <cell r="W932">
            <v>9.9334445500000008</v>
          </cell>
          <cell r="X932">
            <v>10.07931799</v>
          </cell>
          <cell r="Y932">
            <v>10.22379192</v>
          </cell>
          <cell r="Z932">
            <v>10.36713381</v>
          </cell>
          <cell r="AA932">
            <v>10.460930729999999</v>
          </cell>
          <cell r="AB932">
            <v>10.5873562</v>
          </cell>
          <cell r="AC932">
            <v>10.72103328</v>
          </cell>
          <cell r="AD932">
            <v>10.856822169999999</v>
          </cell>
          <cell r="AE932">
            <v>10.99524564</v>
          </cell>
          <cell r="AF932">
            <v>11.137305570000001</v>
          </cell>
          <cell r="AG932">
            <v>11.28352825</v>
          </cell>
          <cell r="AH932">
            <v>11.434058869999999</v>
          </cell>
          <cell r="AI932">
            <v>11.588905670000001</v>
          </cell>
          <cell r="AJ932">
            <v>11.74809891</v>
          </cell>
          <cell r="AK932">
            <v>11.911721229999999</v>
          </cell>
        </row>
        <row r="933">
          <cell r="A933" t="str">
            <v>ems_y_co2_smet_0</v>
          </cell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</row>
        <row r="934">
          <cell r="A934" t="str">
            <v>ems_mat_co2_smet_0</v>
          </cell>
          <cell r="B934">
            <v>12.82056356</v>
          </cell>
          <cell r="C934">
            <v>13.0151199</v>
          </cell>
          <cell r="D934">
            <v>13.25731332</v>
          </cell>
          <cell r="E934">
            <v>13.51502696</v>
          </cell>
          <cell r="F934">
            <v>13.77917646</v>
          </cell>
          <cell r="G934">
            <v>14.048261500000001</v>
          </cell>
          <cell r="H934">
            <v>14.294042940000001</v>
          </cell>
          <cell r="I934">
            <v>14.54414629</v>
          </cell>
          <cell r="J934">
            <v>14.79774795</v>
          </cell>
          <cell r="K934">
            <v>15.05170036</v>
          </cell>
          <cell r="L934">
            <v>15.34666457</v>
          </cell>
          <cell r="M934">
            <v>15.59425091</v>
          </cell>
          <cell r="N934">
            <v>15.83637697</v>
          </cell>
          <cell r="O934">
            <v>16.077449819999998</v>
          </cell>
          <cell r="P934">
            <v>16.31519874</v>
          </cell>
          <cell r="Q934">
            <v>16.548675459999998</v>
          </cell>
          <cell r="R934">
            <v>16.778876759999999</v>
          </cell>
          <cell r="S934">
            <v>17.007982720000001</v>
          </cell>
          <cell r="T934">
            <v>17.23852802</v>
          </cell>
          <cell r="U934">
            <v>17.472805099999999</v>
          </cell>
          <cell r="V934">
            <v>17.681900800000001</v>
          </cell>
          <cell r="W934">
            <v>17.930304379999999</v>
          </cell>
          <cell r="X934">
            <v>18.189216779999999</v>
          </cell>
          <cell r="Y934">
            <v>18.453914999999999</v>
          </cell>
          <cell r="Z934">
            <v>18.724965189999999</v>
          </cell>
          <cell r="AA934">
            <v>18.91354922</v>
          </cell>
          <cell r="AB934">
            <v>19.166281720000001</v>
          </cell>
          <cell r="AC934">
            <v>19.436231620000001</v>
          </cell>
          <cell r="AD934">
            <v>19.712467879999998</v>
          </cell>
          <cell r="AE934">
            <v>19.994091000000001</v>
          </cell>
          <cell r="AF934">
            <v>20.281109189999999</v>
          </cell>
          <cell r="AG934">
            <v>20.572879069999999</v>
          </cell>
          <cell r="AH934">
            <v>20.868381459999998</v>
          </cell>
          <cell r="AI934">
            <v>21.166715190000001</v>
          </cell>
          <cell r="AJ934">
            <v>21.46739406</v>
          </cell>
          <cell r="AK934">
            <v>21.770378749999999</v>
          </cell>
        </row>
        <row r="935">
          <cell r="A935" t="str">
            <v>ems_ci_co2_sigo_0</v>
          </cell>
          <cell r="B935">
            <v>3.009518285</v>
          </cell>
          <cell r="C935">
            <v>3.0091603650000001</v>
          </cell>
          <cell r="D935">
            <v>3.0167586329999998</v>
          </cell>
          <cell r="E935">
            <v>3.0341847789999998</v>
          </cell>
          <cell r="F935">
            <v>3.0608701630000001</v>
          </cell>
          <cell r="G935">
            <v>3.0965126430000001</v>
          </cell>
          <cell r="H935">
            <v>3.1357923140000001</v>
          </cell>
          <cell r="I935">
            <v>3.1813958320000002</v>
          </cell>
          <cell r="J935">
            <v>3.231535745</v>
          </cell>
          <cell r="K935">
            <v>3.284118248</v>
          </cell>
          <cell r="L935">
            <v>3.3438137050000001</v>
          </cell>
          <cell r="M935">
            <v>3.3984556430000001</v>
          </cell>
          <cell r="N935">
            <v>3.4535207130000001</v>
          </cell>
          <cell r="O935">
            <v>3.5098324719999998</v>
          </cell>
          <cell r="P935">
            <v>3.566706183</v>
          </cell>
          <cell r="Q935">
            <v>3.6233696210000002</v>
          </cell>
          <cell r="R935">
            <v>3.6793352860000001</v>
          </cell>
          <cell r="S935">
            <v>3.7344937059999999</v>
          </cell>
          <cell r="T935">
            <v>3.789071168</v>
          </cell>
          <cell r="U935">
            <v>3.8435058390000001</v>
          </cell>
          <cell r="V935">
            <v>3.8937349540000001</v>
          </cell>
          <cell r="W935">
            <v>3.949070705</v>
          </cell>
          <cell r="X935">
            <v>4.0060838079999996</v>
          </cell>
          <cell r="Y935">
            <v>4.0641656160000004</v>
          </cell>
          <cell r="Z935">
            <v>4.1236261389999997</v>
          </cell>
          <cell r="AA935">
            <v>4.1708208339999997</v>
          </cell>
          <cell r="AB935">
            <v>4.2273609519999997</v>
          </cell>
          <cell r="AC935">
            <v>4.2865977659999999</v>
          </cell>
          <cell r="AD935">
            <v>4.3465913069999997</v>
          </cell>
          <cell r="AE935">
            <v>4.4074438850000002</v>
          </cell>
          <cell r="AF935">
            <v>4.4695911869999998</v>
          </cell>
          <cell r="AG935">
            <v>4.533300305</v>
          </cell>
          <cell r="AH935">
            <v>4.5985745380000003</v>
          </cell>
          <cell r="AI935">
            <v>4.6652142059999999</v>
          </cell>
          <cell r="AJ935">
            <v>4.7329370099999997</v>
          </cell>
          <cell r="AK935">
            <v>4.8014943370000003</v>
          </cell>
        </row>
        <row r="936">
          <cell r="A936" t="str">
            <v>ems_y_co2_sigo_0</v>
          </cell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</row>
        <row r="937">
          <cell r="A937" t="str">
            <v>ems_mat_co2_sigo_0</v>
          </cell>
          <cell r="B937">
            <v>0.47317725830000001</v>
          </cell>
          <cell r="C937">
            <v>0.47488048049999998</v>
          </cell>
          <cell r="D937">
            <v>0.47869150669999999</v>
          </cell>
          <cell r="E937">
            <v>0.48412983949999999</v>
          </cell>
          <cell r="F937">
            <v>0.49053535590000003</v>
          </cell>
          <cell r="G937">
            <v>0.49755909100000001</v>
          </cell>
          <cell r="H937">
            <v>0.50432024310000001</v>
          </cell>
          <cell r="I937">
            <v>0.51134868509999998</v>
          </cell>
          <cell r="J937">
            <v>0.51863731840000005</v>
          </cell>
          <cell r="K937">
            <v>0.52613994450000001</v>
          </cell>
          <cell r="L937">
            <v>0.53485628090000004</v>
          </cell>
          <cell r="M937">
            <v>0.5428017409</v>
          </cell>
          <cell r="N937">
            <v>0.55073198150000002</v>
          </cell>
          <cell r="O937">
            <v>0.55872535990000005</v>
          </cell>
          <cell r="P937">
            <v>0.56670961590000002</v>
          </cell>
          <cell r="Q937">
            <v>0.57465873430000003</v>
          </cell>
          <cell r="R937">
            <v>0.58260427960000005</v>
          </cell>
          <cell r="S937">
            <v>0.59060812009999997</v>
          </cell>
          <cell r="T937">
            <v>0.59873523360000003</v>
          </cell>
          <cell r="U937">
            <v>0.60703656930000005</v>
          </cell>
          <cell r="V937">
            <v>0.61477393120000001</v>
          </cell>
          <cell r="W937">
            <v>0.62343445239999995</v>
          </cell>
          <cell r="X937">
            <v>0.63245866689999997</v>
          </cell>
          <cell r="Y937">
            <v>0.64169702179999999</v>
          </cell>
          <cell r="Z937">
            <v>0.65113964420000003</v>
          </cell>
          <cell r="AA937">
            <v>0.65848371699999997</v>
          </cell>
          <cell r="AB937">
            <v>0.6672317794</v>
          </cell>
          <cell r="AC937">
            <v>0.67646065499999997</v>
          </cell>
          <cell r="AD937">
            <v>0.68590679190000003</v>
          </cell>
          <cell r="AE937">
            <v>0.69555094299999998</v>
          </cell>
          <cell r="AF937">
            <v>0.70538800030000004</v>
          </cell>
          <cell r="AG937">
            <v>0.71539178059999997</v>
          </cell>
          <cell r="AH937">
            <v>0.72552915230000004</v>
          </cell>
          <cell r="AI937">
            <v>0.73577669950000002</v>
          </cell>
          <cell r="AJ937">
            <v>0.74612796459999997</v>
          </cell>
          <cell r="AK937">
            <v>0.75659056229999999</v>
          </cell>
        </row>
        <row r="938">
          <cell r="A938" t="str">
            <v>ems_ci_co2_scgo_0</v>
          </cell>
          <cell r="B938">
            <v>0.69727128699999996</v>
          </cell>
          <cell r="C938">
            <v>0.6817911727</v>
          </cell>
          <cell r="D938">
            <v>0.66944615399999996</v>
          </cell>
          <cell r="E938">
            <v>0.66338245549999997</v>
          </cell>
          <cell r="F938">
            <v>0.66167825339999997</v>
          </cell>
          <cell r="G938">
            <v>0.66280458350000004</v>
          </cell>
          <cell r="H938">
            <v>0.66695518580000002</v>
          </cell>
          <cell r="I938">
            <v>0.67165857659999995</v>
          </cell>
          <cell r="J938">
            <v>0.67699351249999995</v>
          </cell>
          <cell r="K938">
            <v>0.68318859890000005</v>
          </cell>
          <cell r="L938">
            <v>0.68851467030000002</v>
          </cell>
          <cell r="M938">
            <v>0.69827357649999999</v>
          </cell>
          <cell r="N938">
            <v>0.70867009430000005</v>
          </cell>
          <cell r="O938">
            <v>0.71959985999999998</v>
          </cell>
          <cell r="P938">
            <v>0.73113196749999998</v>
          </cell>
          <cell r="Q938">
            <v>0.74324389830000004</v>
          </cell>
          <cell r="R938">
            <v>0.75585922699999997</v>
          </cell>
          <cell r="S938">
            <v>0.76888343039999996</v>
          </cell>
          <cell r="T938">
            <v>0.78221890949999995</v>
          </cell>
          <cell r="U938">
            <v>0.79577075809999998</v>
          </cell>
          <cell r="V938">
            <v>0.81061190520000004</v>
          </cell>
          <cell r="W938">
            <v>0.82336048880000001</v>
          </cell>
          <cell r="X938">
            <v>0.83646060470000005</v>
          </cell>
          <cell r="Y938">
            <v>0.84988196859999998</v>
          </cell>
          <cell r="Z938">
            <v>0.86347489860000004</v>
          </cell>
          <cell r="AA938">
            <v>0.88014367859999998</v>
          </cell>
          <cell r="AB938">
            <v>0.89266574229999995</v>
          </cell>
          <cell r="AC938">
            <v>0.90501519289999999</v>
          </cell>
          <cell r="AD938">
            <v>0.91764382349999996</v>
          </cell>
          <cell r="AE938">
            <v>0.93062952710000002</v>
          </cell>
          <cell r="AF938">
            <v>0.94400790739999996</v>
          </cell>
          <cell r="AG938">
            <v>0.95779863050000003</v>
          </cell>
          <cell r="AH938">
            <v>0.97200921309999999</v>
          </cell>
          <cell r="AI938">
            <v>0.98664082149999999</v>
          </cell>
          <cell r="AJ938">
            <v>1.001693468</v>
          </cell>
          <cell r="AK938">
            <v>1.0171683570000001</v>
          </cell>
        </row>
        <row r="939">
          <cell r="A939" t="str">
            <v>ems_y_co2_scgo_0</v>
          </cell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</row>
        <row r="940">
          <cell r="A940" t="str">
            <v>ems_mat_co2_scgo_0</v>
          </cell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</row>
        <row r="941">
          <cell r="A941" t="str">
            <v>ems_ci_co2_scon_0</v>
          </cell>
          <cell r="B941">
            <v>7.5407835150000002</v>
          </cell>
          <cell r="C941">
            <v>8.0005758749999991</v>
          </cell>
          <cell r="D941">
            <v>8.5022476739999995</v>
          </cell>
          <cell r="E941">
            <v>8.8274367560000009</v>
          </cell>
          <cell r="F941">
            <v>9.012323146</v>
          </cell>
          <cell r="G941">
            <v>9.1266662279999995</v>
          </cell>
          <cell r="H941">
            <v>9.0714191890000002</v>
          </cell>
          <cell r="I941">
            <v>9.0837451940000005</v>
          </cell>
          <cell r="J941">
            <v>9.1427554640000004</v>
          </cell>
          <cell r="K941">
            <v>9.2278189620000006</v>
          </cell>
          <cell r="L941">
            <v>9.5364505919999996</v>
          </cell>
          <cell r="M941">
            <v>9.5542702449999997</v>
          </cell>
          <cell r="N941">
            <v>9.6205376079999994</v>
          </cell>
          <cell r="O941">
            <v>9.7309702419999997</v>
          </cell>
          <cell r="P941">
            <v>9.8651496069999993</v>
          </cell>
          <cell r="Q941">
            <v>10.01219156</v>
          </cell>
          <cell r="R941">
            <v>10.16743647</v>
          </cell>
          <cell r="S941">
            <v>10.329094400000001</v>
          </cell>
          <cell r="T941">
            <v>10.496380439999999</v>
          </cell>
          <cell r="U941">
            <v>10.66863654</v>
          </cell>
          <cell r="V941">
            <v>10.6970888</v>
          </cell>
          <cell r="W941">
            <v>10.94012146</v>
          </cell>
          <cell r="X941">
            <v>11.16779202</v>
          </cell>
          <cell r="Y941">
            <v>11.37294808</v>
          </cell>
          <cell r="Z941">
            <v>11.566829589999999</v>
          </cell>
          <cell r="AA941">
            <v>11.32268343</v>
          </cell>
          <cell r="AB941">
            <v>11.521954900000001</v>
          </cell>
          <cell r="AC941">
            <v>11.742953760000001</v>
          </cell>
          <cell r="AD941">
            <v>11.94890603</v>
          </cell>
          <cell r="AE941">
            <v>12.14544587</v>
          </cell>
          <cell r="AF941">
            <v>12.33855172</v>
          </cell>
          <cell r="AG941">
            <v>12.53126717</v>
          </cell>
          <cell r="AH941">
            <v>12.724892479999999</v>
          </cell>
          <cell r="AI941">
            <v>12.92008731</v>
          </cell>
          <cell r="AJ941">
            <v>13.117425799999999</v>
          </cell>
          <cell r="AK941">
            <v>13.317517840000001</v>
          </cell>
        </row>
        <row r="942">
          <cell r="A942" t="str">
            <v>ems_y_co2_scon_0</v>
          </cell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</row>
        <row r="943">
          <cell r="A943" t="str">
            <v>ems_mat_co2_scon_0</v>
          </cell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</row>
        <row r="944">
          <cell r="A944" t="str">
            <v>ems_ci_co2_srai_0</v>
          </cell>
          <cell r="B944">
            <v>5.5899141109999997</v>
          </cell>
          <cell r="C944">
            <v>5.5809845979999997</v>
          </cell>
          <cell r="D944">
            <v>5.5833536029999999</v>
          </cell>
          <cell r="E944">
            <v>5.6048000919999996</v>
          </cell>
          <cell r="F944">
            <v>5.6390513679999996</v>
          </cell>
          <cell r="G944">
            <v>5.6811222209999999</v>
          </cell>
          <cell r="H944">
            <v>5.7273688419999997</v>
          </cell>
          <cell r="I944">
            <v>5.7756059789999998</v>
          </cell>
          <cell r="J944">
            <v>5.8265414209999999</v>
          </cell>
          <cell r="K944">
            <v>5.8814036840000004</v>
          </cell>
          <cell r="L944">
            <v>5.9422497669999998</v>
          </cell>
          <cell r="M944">
            <v>6.0110375530000004</v>
          </cell>
          <cell r="N944">
            <v>6.0836027819999998</v>
          </cell>
          <cell r="O944">
            <v>6.1590342639999998</v>
          </cell>
          <cell r="P944">
            <v>6.2369150429999998</v>
          </cell>
          <cell r="Q944">
            <v>6.3169663810000003</v>
          </cell>
          <cell r="R944">
            <v>6.3989980160000002</v>
          </cell>
          <cell r="S944">
            <v>6.482836839</v>
          </cell>
          <cell r="T944">
            <v>6.5682550390000003</v>
          </cell>
          <cell r="U944">
            <v>6.6549462899999998</v>
          </cell>
          <cell r="V944">
            <v>6.7411219019999997</v>
          </cell>
          <cell r="W944">
            <v>6.8265402799999997</v>
          </cell>
          <cell r="X944">
            <v>6.913431171</v>
          </cell>
          <cell r="Y944">
            <v>7.0015644930000001</v>
          </cell>
          <cell r="Z944">
            <v>7.0905684390000001</v>
          </cell>
          <cell r="AA944">
            <v>7.174989139</v>
          </cell>
          <cell r="AB944">
            <v>7.2559562379999996</v>
          </cell>
          <cell r="AC944">
            <v>7.3374851879999996</v>
          </cell>
          <cell r="AD944">
            <v>7.4206280089999996</v>
          </cell>
          <cell r="AE944">
            <v>7.5058158119999998</v>
          </cell>
          <cell r="AF944">
            <v>7.5931944859999998</v>
          </cell>
          <cell r="AG944">
            <v>7.6827424530000004</v>
          </cell>
          <cell r="AH944">
            <v>7.774393527</v>
          </cell>
          <cell r="AI944">
            <v>7.868124999</v>
          </cell>
          <cell r="AJ944">
            <v>7.9639822980000003</v>
          </cell>
          <cell r="AK944">
            <v>8.0620468459999994</v>
          </cell>
        </row>
        <row r="945">
          <cell r="A945" t="str">
            <v>ems_y_co2_srai_0</v>
          </cell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</row>
        <row r="946">
          <cell r="A946" t="str">
            <v>ems_mat_co2_srai_0</v>
          </cell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</row>
        <row r="947">
          <cell r="A947" t="str">
            <v>ems_ci_co2_sroa_0</v>
          </cell>
          <cell r="B947">
            <v>16.04429575</v>
          </cell>
          <cell r="C947">
            <v>15.995007040000001</v>
          </cell>
          <cell r="D947">
            <v>15.971830880000001</v>
          </cell>
          <cell r="E947">
            <v>16.00674248</v>
          </cell>
          <cell r="F947">
            <v>16.085288179999999</v>
          </cell>
          <cell r="G947">
            <v>16.193397600000001</v>
          </cell>
          <cell r="H947">
            <v>16.31952759</v>
          </cell>
          <cell r="I947">
            <v>16.455448690000001</v>
          </cell>
          <cell r="J947">
            <v>16.600859289999999</v>
          </cell>
          <cell r="K947">
            <v>16.757466019999999</v>
          </cell>
          <cell r="L947">
            <v>16.929288249999999</v>
          </cell>
          <cell r="M947">
            <v>17.12312331</v>
          </cell>
          <cell r="N947">
            <v>17.327587040000001</v>
          </cell>
          <cell r="O947">
            <v>17.540268019999999</v>
          </cell>
          <cell r="P947">
            <v>17.759812360000002</v>
          </cell>
          <cell r="Q947">
            <v>17.985072729999999</v>
          </cell>
          <cell r="R947">
            <v>18.215177480000001</v>
          </cell>
          <cell r="S947">
            <v>18.449478079999999</v>
          </cell>
          <cell r="T947">
            <v>18.687388840000001</v>
          </cell>
          <cell r="U947">
            <v>18.92827037</v>
          </cell>
          <cell r="V947">
            <v>19.16799293</v>
          </cell>
          <cell r="W947">
            <v>19.405144270000001</v>
          </cell>
          <cell r="X947">
            <v>19.646260089999998</v>
          </cell>
          <cell r="Y947">
            <v>19.890956979999999</v>
          </cell>
          <cell r="Z947">
            <v>20.1384069</v>
          </cell>
          <cell r="AA947">
            <v>20.374942610000002</v>
          </cell>
          <cell r="AB947">
            <v>20.601887300000001</v>
          </cell>
          <cell r="AC947">
            <v>20.830020940000001</v>
          </cell>
          <cell r="AD947">
            <v>21.062188509999999</v>
          </cell>
          <cell r="AE947">
            <v>21.29979286</v>
          </cell>
          <cell r="AF947">
            <v>21.54352446</v>
          </cell>
          <cell r="AG947">
            <v>21.793520730000001</v>
          </cell>
          <cell r="AH947">
            <v>22.049632989999999</v>
          </cell>
          <cell r="AI947">
            <v>22.311687679999999</v>
          </cell>
          <cell r="AJ947">
            <v>22.57962925</v>
          </cell>
          <cell r="AK947">
            <v>22.85352005</v>
          </cell>
        </row>
        <row r="948">
          <cell r="A948" t="str">
            <v>ems_y_co2_sroa_0</v>
          </cell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0</v>
          </cell>
          <cell r="AK948">
            <v>0</v>
          </cell>
        </row>
        <row r="949">
          <cell r="A949" t="str">
            <v>ems_mat_co2_sroa_0</v>
          </cell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0</v>
          </cell>
          <cell r="AK949">
            <v>0</v>
          </cell>
        </row>
        <row r="950">
          <cell r="A950" t="str">
            <v>ems_ci_co2_swat_0</v>
          </cell>
          <cell r="B950">
            <v>3.787208181</v>
          </cell>
          <cell r="C950">
            <v>3.8463197779999998</v>
          </cell>
          <cell r="D950">
            <v>3.9144253849999999</v>
          </cell>
          <cell r="E950">
            <v>3.9894521269999998</v>
          </cell>
          <cell r="F950">
            <v>4.0702330819999997</v>
          </cell>
          <cell r="G950">
            <v>4.1547008930000002</v>
          </cell>
          <cell r="H950">
            <v>4.2369294100000001</v>
          </cell>
          <cell r="I950">
            <v>4.3178118110000003</v>
          </cell>
          <cell r="J950">
            <v>4.3964308799999996</v>
          </cell>
          <cell r="K950">
            <v>4.472512966</v>
          </cell>
          <cell r="L950">
            <v>4.5526872359999997</v>
          </cell>
          <cell r="M950">
            <v>4.6264818129999998</v>
          </cell>
          <cell r="N950">
            <v>4.6990184309999998</v>
          </cell>
          <cell r="O950">
            <v>4.7709795379999997</v>
          </cell>
          <cell r="P950">
            <v>4.842318133</v>
          </cell>
          <cell r="Q950">
            <v>4.9129671899999998</v>
          </cell>
          <cell r="R950">
            <v>4.9830667719999999</v>
          </cell>
          <cell r="S950">
            <v>5.052995729</v>
          </cell>
          <cell r="T950">
            <v>5.1232832239999997</v>
          </cell>
          <cell r="U950">
            <v>5.1944754700000004</v>
          </cell>
          <cell r="V950">
            <v>5.262441999</v>
          </cell>
          <cell r="W950">
            <v>5.3358786609999997</v>
          </cell>
          <cell r="X950">
            <v>5.4116181059999997</v>
          </cell>
          <cell r="Y950">
            <v>5.4894083900000004</v>
          </cell>
          <cell r="Z950">
            <v>5.569231415</v>
          </cell>
          <cell r="AA950">
            <v>5.6377609489999996</v>
          </cell>
          <cell r="AB950">
            <v>5.7129382770000001</v>
          </cell>
          <cell r="AC950">
            <v>5.7901226240000003</v>
          </cell>
          <cell r="AD950">
            <v>5.8689948420000002</v>
          </cell>
          <cell r="AE950">
            <v>5.9497728319999998</v>
          </cell>
          <cell r="AF950">
            <v>6.0325859389999996</v>
          </cell>
          <cell r="AG950">
            <v>6.11734958</v>
          </cell>
          <cell r="AH950">
            <v>6.2038069199999999</v>
          </cell>
          <cell r="AI950">
            <v>6.2916426449999996</v>
          </cell>
          <cell r="AJ950">
            <v>6.3805981230000004</v>
          </cell>
          <cell r="AK950">
            <v>6.4705398199999999</v>
          </cell>
        </row>
        <row r="951">
          <cell r="A951" t="str">
            <v>ems_y_co2_swat_0</v>
          </cell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</row>
        <row r="952">
          <cell r="A952" t="str">
            <v>ems_mat_co2_swat_0</v>
          </cell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</row>
        <row r="953">
          <cell r="A953" t="str">
            <v>ems_ci_co2_sair_0</v>
          </cell>
          <cell r="B953">
            <v>19.865101190000001</v>
          </cell>
          <cell r="C953">
            <v>20.129117539999999</v>
          </cell>
          <cell r="D953">
            <v>20.44709349</v>
          </cell>
          <cell r="E953">
            <v>20.808698580000001</v>
          </cell>
          <cell r="F953">
            <v>21.198328249999999</v>
          </cell>
          <cell r="G953">
            <v>21.604163379999999</v>
          </cell>
          <cell r="H953">
            <v>22.00621829</v>
          </cell>
          <cell r="I953">
            <v>22.40858154</v>
          </cell>
          <cell r="J953">
            <v>22.814245320000001</v>
          </cell>
          <cell r="K953">
            <v>23.226791160000001</v>
          </cell>
          <cell r="L953">
            <v>23.670959459999999</v>
          </cell>
          <cell r="M953">
            <v>24.11504261</v>
          </cell>
          <cell r="N953">
            <v>24.563772090000001</v>
          </cell>
          <cell r="O953">
            <v>25.015438979999999</v>
          </cell>
          <cell r="P953">
            <v>25.468728850000002</v>
          </cell>
          <cell r="Q953">
            <v>25.9236085</v>
          </cell>
          <cell r="R953">
            <v>26.381186799999998</v>
          </cell>
          <cell r="S953">
            <v>26.84312461</v>
          </cell>
          <cell r="T953">
            <v>27.311019900000002</v>
          </cell>
          <cell r="U953">
            <v>27.786036930000002</v>
          </cell>
          <cell r="V953">
            <v>28.250636020000002</v>
          </cell>
          <cell r="W953">
            <v>28.73199928</v>
          </cell>
          <cell r="X953">
            <v>29.225762799999998</v>
          </cell>
          <cell r="Y953">
            <v>29.731151059999998</v>
          </cell>
          <cell r="Z953">
            <v>30.247459989999999</v>
          </cell>
          <cell r="AA953">
            <v>30.71826544</v>
          </cell>
          <cell r="AB953">
            <v>31.202529819999999</v>
          </cell>
          <cell r="AC953">
            <v>31.696728619999998</v>
          </cell>
          <cell r="AD953">
            <v>32.20224803</v>
          </cell>
          <cell r="AE953">
            <v>32.719589669999998</v>
          </cell>
          <cell r="AF953">
            <v>33.248250689999999</v>
          </cell>
          <cell r="AG953">
            <v>33.787240969999999</v>
          </cell>
          <cell r="AH953">
            <v>34.335679579999997</v>
          </cell>
          <cell r="AI953">
            <v>34.893186880000002</v>
          </cell>
          <cell r="AJ953">
            <v>35.459956740000003</v>
          </cell>
          <cell r="AK953">
            <v>36.036553670000004</v>
          </cell>
        </row>
        <row r="954">
          <cell r="A954" t="str">
            <v>ems_y_co2_sair_0</v>
          </cell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0</v>
          </cell>
          <cell r="AK954">
            <v>0</v>
          </cell>
        </row>
        <row r="955">
          <cell r="A955" t="str">
            <v>ems_mat_co2_sair_0</v>
          </cell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</row>
        <row r="956">
          <cell r="A956" t="str">
            <v>ems_ci_co2_spri_0</v>
          </cell>
          <cell r="B956">
            <v>31.015713460000001</v>
          </cell>
          <cell r="C956">
            <v>30.80749848</v>
          </cell>
          <cell r="D956">
            <v>30.53328385</v>
          </cell>
          <cell r="E956">
            <v>30.425656719999999</v>
          </cell>
          <cell r="F956">
            <v>30.552305059999998</v>
          </cell>
          <cell r="G956">
            <v>30.944800600000001</v>
          </cell>
          <cell r="H956">
            <v>31.625310129999999</v>
          </cell>
          <cell r="I956">
            <v>32.4988721</v>
          </cell>
          <cell r="J956">
            <v>33.502939429999998</v>
          </cell>
          <cell r="K956">
            <v>34.567564900000001</v>
          </cell>
          <cell r="L956">
            <v>35.56054846</v>
          </cell>
          <cell r="M956">
            <v>36.657551040000001</v>
          </cell>
          <cell r="N956">
            <v>37.73830298</v>
          </cell>
          <cell r="O956">
            <v>38.80559118</v>
          </cell>
          <cell r="P956">
            <v>39.855211660000002</v>
          </cell>
          <cell r="Q956">
            <v>40.869135540000002</v>
          </cell>
          <cell r="R956">
            <v>41.826033549999998</v>
          </cell>
          <cell r="S956">
            <v>42.711963849999997</v>
          </cell>
          <cell r="T956">
            <v>43.52602443</v>
          </cell>
          <cell r="U956">
            <v>44.280013109999999</v>
          </cell>
          <cell r="V956">
            <v>45.043468750000002</v>
          </cell>
          <cell r="W956">
            <v>45.699785050000003</v>
          </cell>
          <cell r="X956">
            <v>46.358065330000002</v>
          </cell>
          <cell r="Y956">
            <v>47.036521329999999</v>
          </cell>
          <cell r="Z956">
            <v>47.747102689999998</v>
          </cell>
          <cell r="AA956">
            <v>48.614398180000002</v>
          </cell>
          <cell r="AB956">
            <v>49.36026236</v>
          </cell>
          <cell r="AC956">
            <v>50.099940799999999</v>
          </cell>
          <cell r="AD956">
            <v>50.834549330000002</v>
          </cell>
          <cell r="AE956">
            <v>51.570426750000003</v>
          </cell>
          <cell r="AF956">
            <v>52.322994029999997</v>
          </cell>
          <cell r="AG956">
            <v>53.107251210000001</v>
          </cell>
          <cell r="AH956">
            <v>53.930421629999998</v>
          </cell>
          <cell r="AI956">
            <v>54.789787339999997</v>
          </cell>
          <cell r="AJ956">
            <v>55.67522323</v>
          </cell>
          <cell r="AK956">
            <v>56.57430008</v>
          </cell>
        </row>
        <row r="957">
          <cell r="A957" t="str">
            <v>ems_y_co2_spri_0</v>
          </cell>
          <cell r="B957">
            <v>0.40371614610000001</v>
          </cell>
          <cell r="C957">
            <v>0.40598527499999998</v>
          </cell>
          <cell r="D957">
            <v>0.41031793370000003</v>
          </cell>
          <cell r="E957">
            <v>0.41672731549999997</v>
          </cell>
          <cell r="F957">
            <v>0.42397885410000002</v>
          </cell>
          <cell r="G957">
            <v>0.43143206299999998</v>
          </cell>
          <cell r="H957">
            <v>0.43932740999999997</v>
          </cell>
          <cell r="I957">
            <v>0.44660459400000002</v>
          </cell>
          <cell r="J957">
            <v>0.45363669159999997</v>
          </cell>
          <cell r="K957">
            <v>0.4607147821</v>
          </cell>
          <cell r="L957">
            <v>0.46715066649999998</v>
          </cell>
          <cell r="M957">
            <v>0.47564489920000003</v>
          </cell>
          <cell r="N957">
            <v>0.48388125450000002</v>
          </cell>
          <cell r="O957">
            <v>0.49196588070000002</v>
          </cell>
          <cell r="P957">
            <v>0.49997181819999997</v>
          </cell>
          <cell r="Q957">
            <v>0.50797861379999998</v>
          </cell>
          <cell r="R957">
            <v>0.51607161930000001</v>
          </cell>
          <cell r="S957">
            <v>0.5243244091</v>
          </cell>
          <cell r="T957">
            <v>0.53278357139999999</v>
          </cell>
          <cell r="U957">
            <v>0.54146448400000002</v>
          </cell>
          <cell r="V957">
            <v>0.55084354749999997</v>
          </cell>
          <cell r="W957">
            <v>0.55928383069999998</v>
          </cell>
          <cell r="X957">
            <v>0.56823808229999995</v>
          </cell>
          <cell r="Y957">
            <v>0.57753415969999999</v>
          </cell>
          <cell r="Z957">
            <v>0.58706345920000003</v>
          </cell>
          <cell r="AA957">
            <v>0.59793571239999999</v>
          </cell>
          <cell r="AB957">
            <v>0.60665840650000002</v>
          </cell>
          <cell r="AC957">
            <v>0.61562679890000005</v>
          </cell>
          <cell r="AD957">
            <v>0.62484302780000001</v>
          </cell>
          <cell r="AE957">
            <v>0.63428328580000004</v>
          </cell>
          <cell r="AF957">
            <v>0.64389669630000002</v>
          </cell>
          <cell r="AG957">
            <v>0.65362764600000001</v>
          </cell>
          <cell r="AH957">
            <v>0.66343882040000002</v>
          </cell>
          <cell r="AI957">
            <v>0.67332205739999995</v>
          </cell>
          <cell r="AJ957">
            <v>0.68329490579999996</v>
          </cell>
          <cell r="AK957">
            <v>0.69338759210000001</v>
          </cell>
        </row>
        <row r="958">
          <cell r="A958" t="str">
            <v>ems_mat_co2_spri_0</v>
          </cell>
          <cell r="B958">
            <v>0.59198761389999999</v>
          </cell>
          <cell r="C958">
            <v>0.59566511509999998</v>
          </cell>
          <cell r="D958">
            <v>0.60172989850000003</v>
          </cell>
          <cell r="E958">
            <v>0.61086644810000001</v>
          </cell>
          <cell r="F958">
            <v>0.62145960519999999</v>
          </cell>
          <cell r="G958">
            <v>0.63245570959999997</v>
          </cell>
          <cell r="H958">
            <v>0.64406425609999995</v>
          </cell>
          <cell r="I958">
            <v>0.65488168820000003</v>
          </cell>
          <cell r="J958">
            <v>0.66526502180000002</v>
          </cell>
          <cell r="K958">
            <v>0.67565594549999997</v>
          </cell>
          <cell r="L958">
            <v>0.68517790960000002</v>
          </cell>
          <cell r="M958">
            <v>0.69738326500000003</v>
          </cell>
          <cell r="N958">
            <v>0.70952741389999996</v>
          </cell>
          <cell r="O958">
            <v>0.72144453990000001</v>
          </cell>
          <cell r="P958">
            <v>0.73322061920000003</v>
          </cell>
          <cell r="Q958">
            <v>0.74497675019999998</v>
          </cell>
          <cell r="R958">
            <v>0.75684361010000001</v>
          </cell>
          <cell r="S958">
            <v>0.76893533469999997</v>
          </cell>
          <cell r="T958">
            <v>0.78132665479999996</v>
          </cell>
          <cell r="U958">
            <v>0.79404527300000005</v>
          </cell>
          <cell r="V958">
            <v>0.80773563739999998</v>
          </cell>
          <cell r="W958">
            <v>0.82025605749999997</v>
          </cell>
          <cell r="X958">
            <v>0.83333595400000005</v>
          </cell>
          <cell r="Y958">
            <v>0.84693631609999998</v>
          </cell>
          <cell r="Z958">
            <v>0.86090241869999995</v>
          </cell>
          <cell r="AA958">
            <v>0.8767123872</v>
          </cell>
          <cell r="AB958">
            <v>0.88980922409999996</v>
          </cell>
          <cell r="AC958">
            <v>0.90293390920000005</v>
          </cell>
          <cell r="AD958">
            <v>0.9164021846</v>
          </cell>
          <cell r="AE958">
            <v>0.93021309610000003</v>
          </cell>
          <cell r="AF958">
            <v>0.94429424360000003</v>
          </cell>
          <cell r="AG958">
            <v>0.9585603775</v>
          </cell>
          <cell r="AH958">
            <v>0.9729508402</v>
          </cell>
          <cell r="AI958">
            <v>0.98744787940000001</v>
          </cell>
          <cell r="AJ958">
            <v>1.002073475</v>
          </cell>
          <cell r="AK958">
            <v>1.0168709629999999</v>
          </cell>
        </row>
        <row r="959">
          <cell r="A959" t="str">
            <v>ems_ci_co2_spub_0</v>
          </cell>
          <cell r="B959">
            <v>15.129641940000001</v>
          </cell>
          <cell r="C959">
            <v>15.168315679999999</v>
          </cell>
          <cell r="D959">
            <v>15.17641955</v>
          </cell>
          <cell r="E959">
            <v>15.210818980000001</v>
          </cell>
          <cell r="F959">
            <v>15.29555667</v>
          </cell>
          <cell r="G959">
            <v>15.44435663</v>
          </cell>
          <cell r="H959">
            <v>15.660063940000001</v>
          </cell>
          <cell r="I959">
            <v>15.925079500000001</v>
          </cell>
          <cell r="J959">
            <v>16.2254863</v>
          </cell>
          <cell r="K959">
            <v>16.545170280000001</v>
          </cell>
          <cell r="L959">
            <v>16.86444754</v>
          </cell>
          <cell r="M959">
            <v>17.209733190000001</v>
          </cell>
          <cell r="N959">
            <v>17.562871090000002</v>
          </cell>
          <cell r="O959">
            <v>17.928280669999999</v>
          </cell>
          <cell r="P959">
            <v>18.305238249999999</v>
          </cell>
          <cell r="Q959">
            <v>18.687678900000002</v>
          </cell>
          <cell r="R959">
            <v>19.067581830000002</v>
          </cell>
          <cell r="S959">
            <v>19.438203489999999</v>
          </cell>
          <cell r="T959">
            <v>19.795911920000002</v>
          </cell>
          <cell r="U959">
            <v>20.14043633</v>
          </cell>
          <cell r="V959">
            <v>20.47764012</v>
          </cell>
          <cell r="W959">
            <v>20.793590729999998</v>
          </cell>
          <cell r="X959">
            <v>21.106210969999999</v>
          </cell>
          <cell r="Y959">
            <v>21.41832857</v>
          </cell>
          <cell r="Z959">
            <v>21.733026930000001</v>
          </cell>
          <cell r="AA959">
            <v>22.057511949999999</v>
          </cell>
          <cell r="AB959">
            <v>22.359777749999999</v>
          </cell>
          <cell r="AC959">
            <v>22.660257040000001</v>
          </cell>
          <cell r="AD959">
            <v>22.959323000000001</v>
          </cell>
          <cell r="AE959">
            <v>23.260148789999999</v>
          </cell>
          <cell r="AF959">
            <v>23.56848922</v>
          </cell>
          <cell r="AG959">
            <v>23.889853559999999</v>
          </cell>
          <cell r="AH959">
            <v>24.22740228</v>
          </cell>
          <cell r="AI959">
            <v>24.581305069999999</v>
          </cell>
          <cell r="AJ959">
            <v>24.949407619999999</v>
          </cell>
          <cell r="AK959">
            <v>25.32861977</v>
          </cell>
        </row>
        <row r="960">
          <cell r="A960" t="str">
            <v>ems_y_co2_spub_0</v>
          </cell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</row>
        <row r="961">
          <cell r="A961" t="str">
            <v>ems_mat_co2_spub_0</v>
          </cell>
          <cell r="B961">
            <v>9.732131034</v>
          </cell>
          <cell r="C961">
            <v>9.8367873820000007</v>
          </cell>
          <cell r="D961">
            <v>9.9649042879999996</v>
          </cell>
          <cell r="E961">
            <v>10.11825962</v>
          </cell>
          <cell r="F961">
            <v>10.284865140000001</v>
          </cell>
          <cell r="G961">
            <v>10.45755479</v>
          </cell>
          <cell r="H961">
            <v>10.635030690000001</v>
          </cell>
          <cell r="I961">
            <v>10.808562589999999</v>
          </cell>
          <cell r="J961">
            <v>10.981321189999999</v>
          </cell>
          <cell r="K961">
            <v>11.156305420000001</v>
          </cell>
          <cell r="L961">
            <v>11.33260782</v>
          </cell>
          <cell r="M961">
            <v>11.52669483</v>
          </cell>
          <cell r="N961">
            <v>11.720453089999999</v>
          </cell>
          <cell r="O961">
            <v>11.91397244</v>
          </cell>
          <cell r="P961">
            <v>12.10844829</v>
          </cell>
          <cell r="Q961">
            <v>12.304875839999999</v>
          </cell>
          <cell r="R961">
            <v>12.504054399999999</v>
          </cell>
          <cell r="S961">
            <v>12.70656071</v>
          </cell>
          <cell r="T961">
            <v>12.912708090000001</v>
          </cell>
          <cell r="U961">
            <v>13.12256266</v>
          </cell>
          <cell r="V961">
            <v>13.336200310000001</v>
          </cell>
          <cell r="W961">
            <v>13.54549222</v>
          </cell>
          <cell r="X961">
            <v>13.76130665</v>
          </cell>
          <cell r="Y961">
            <v>13.982792460000001</v>
          </cell>
          <cell r="Z961">
            <v>14.208731719999999</v>
          </cell>
          <cell r="AA961">
            <v>14.436391820000001</v>
          </cell>
          <cell r="AB961">
            <v>14.647936400000001</v>
          </cell>
          <cell r="AC961">
            <v>14.86193437</v>
          </cell>
          <cell r="AD961">
            <v>15.08012532</v>
          </cell>
          <cell r="AE961">
            <v>15.302321190000001</v>
          </cell>
          <cell r="AF961">
            <v>15.52806202</v>
          </cell>
          <cell r="AG961">
            <v>15.75692695</v>
          </cell>
          <cell r="AH961">
            <v>15.98868555</v>
          </cell>
          <cell r="AI961">
            <v>16.223346020000001</v>
          </cell>
          <cell r="AJ961">
            <v>16.461104150000001</v>
          </cell>
          <cell r="AK961">
            <v>16.702235179999999</v>
          </cell>
        </row>
        <row r="962">
          <cell r="A962" t="str">
            <v>ems_ci_co2_smin_0</v>
          </cell>
          <cell r="B962">
            <v>1.7685137790000001</v>
          </cell>
          <cell r="C962">
            <v>1.963078672</v>
          </cell>
          <cell r="D962">
            <v>2.152864154</v>
          </cell>
          <cell r="E962">
            <v>2.3122788519999999</v>
          </cell>
          <cell r="F962">
            <v>2.4450423940000001</v>
          </cell>
          <cell r="G962">
            <v>2.5590725509999999</v>
          </cell>
          <cell r="H962">
            <v>2.6514118230000001</v>
          </cell>
          <cell r="I962">
            <v>2.7367448529999998</v>
          </cell>
          <cell r="J962">
            <v>2.8171595250000001</v>
          </cell>
          <cell r="K962">
            <v>2.8927594230000002</v>
          </cell>
          <cell r="L962">
            <v>2.9769787600000002</v>
          </cell>
          <cell r="M962">
            <v>3.0414327710000002</v>
          </cell>
          <cell r="N962">
            <v>3.1023396820000002</v>
          </cell>
          <cell r="O962">
            <v>3.1621262720000001</v>
          </cell>
          <cell r="P962">
            <v>3.2202922209999998</v>
          </cell>
          <cell r="Q962">
            <v>3.2764603160000001</v>
          </cell>
          <cell r="R962">
            <v>3.3307328840000001</v>
          </cell>
          <cell r="S962">
            <v>3.3835526969999998</v>
          </cell>
          <cell r="T962">
            <v>3.435528267</v>
          </cell>
          <cell r="U962">
            <v>3.4872901189999999</v>
          </cell>
          <cell r="V962">
            <v>3.5298128360000001</v>
          </cell>
          <cell r="W962">
            <v>3.584323532</v>
          </cell>
          <cell r="X962">
            <v>3.6405215549999999</v>
          </cell>
          <cell r="Y962">
            <v>3.6967661039999999</v>
          </cell>
          <cell r="Z962">
            <v>3.7535414789999999</v>
          </cell>
          <cell r="AA962">
            <v>3.7830121249999999</v>
          </cell>
          <cell r="AB962">
            <v>3.8353029080000001</v>
          </cell>
          <cell r="AC962">
            <v>3.892503901</v>
          </cell>
          <cell r="AD962">
            <v>3.9501283219999999</v>
          </cell>
          <cell r="AE962">
            <v>4.0079471020000002</v>
          </cell>
          <cell r="AF962">
            <v>4.0663093259999998</v>
          </cell>
          <cell r="AG962">
            <v>4.1253974390000003</v>
          </cell>
          <cell r="AH962">
            <v>4.1851994619999999</v>
          </cell>
          <cell r="AI962">
            <v>4.2456094909999997</v>
          </cell>
          <cell r="AJ962">
            <v>4.3065209180000004</v>
          </cell>
          <cell r="AK962">
            <v>4.3678690939999996</v>
          </cell>
        </row>
        <row r="963">
          <cell r="A963" t="str">
            <v>ems_y_co2_smin_0</v>
          </cell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</row>
        <row r="964">
          <cell r="A964" t="str">
            <v>ems_mat_co2_smin_0</v>
          </cell>
          <cell r="B964">
            <v>9.7379179600000004E-2</v>
          </cell>
          <cell r="C964">
            <v>0.1082170398</v>
          </cell>
          <cell r="D964">
            <v>0.1188828884</v>
          </cell>
          <cell r="E964">
            <v>0.1279021337</v>
          </cell>
          <cell r="F964">
            <v>0.13540989589999999</v>
          </cell>
          <cell r="G964">
            <v>0.1417936011</v>
          </cell>
          <cell r="H964">
            <v>0.14687147440000001</v>
          </cell>
          <cell r="I964">
            <v>0.151461401</v>
          </cell>
          <cell r="J964">
            <v>0.1557093511</v>
          </cell>
          <cell r="K964">
            <v>0.15965831920000001</v>
          </cell>
          <cell r="L964">
            <v>0.1640843266</v>
          </cell>
          <cell r="M964">
            <v>0.16742590020000001</v>
          </cell>
          <cell r="N964">
            <v>0.17056936889999999</v>
          </cell>
          <cell r="O964">
            <v>0.1736433889</v>
          </cell>
          <cell r="P964">
            <v>0.17662460199999999</v>
          </cell>
          <cell r="Q964">
            <v>0.1795037605</v>
          </cell>
          <cell r="R964">
            <v>0.18230018279999999</v>
          </cell>
          <cell r="S964">
            <v>0.18504892149999999</v>
          </cell>
          <cell r="T964">
            <v>0.18778812480000001</v>
          </cell>
          <cell r="U964">
            <v>0.190550835</v>
          </cell>
          <cell r="V964">
            <v>0.192832804</v>
          </cell>
          <cell r="W964">
            <v>0.1957940021</v>
          </cell>
          <cell r="X964">
            <v>0.1988676419</v>
          </cell>
          <cell r="Y964">
            <v>0.2019564012</v>
          </cell>
          <cell r="Z964">
            <v>0.20507824450000001</v>
          </cell>
          <cell r="AA964">
            <v>0.20669449440000001</v>
          </cell>
          <cell r="AB964">
            <v>0.20955267059999999</v>
          </cell>
          <cell r="AC964">
            <v>0.2126878972</v>
          </cell>
          <cell r="AD964">
            <v>0.21586068650000001</v>
          </cell>
          <cell r="AE964">
            <v>0.21905493249999999</v>
          </cell>
          <cell r="AF964">
            <v>0.22228071420000001</v>
          </cell>
          <cell r="AG964">
            <v>0.2255388096</v>
          </cell>
          <cell r="AH964">
            <v>0.22882312599999999</v>
          </cell>
          <cell r="AI964">
            <v>0.2321276206</v>
          </cell>
          <cell r="AJ964">
            <v>0.2354503932</v>
          </cell>
          <cell r="AK964">
            <v>0.23879357649999999</v>
          </cell>
        </row>
        <row r="965">
          <cell r="A965" t="str">
            <v>ems_ci_co2_soil_0</v>
          </cell>
          <cell r="B965">
            <v>16.642009689999998</v>
          </cell>
          <cell r="C965">
            <v>16.866363700000001</v>
          </cell>
          <cell r="D965">
            <v>17.061879569999999</v>
          </cell>
          <cell r="E965">
            <v>17.250452920000001</v>
          </cell>
          <cell r="F965">
            <v>17.446429989999999</v>
          </cell>
          <cell r="G965">
            <v>17.655243970000001</v>
          </cell>
          <cell r="H965">
            <v>17.865533460000002</v>
          </cell>
          <cell r="I965">
            <v>18.085432789999999</v>
          </cell>
          <cell r="J965">
            <v>18.312906760000001</v>
          </cell>
          <cell r="K965">
            <v>18.544505520000001</v>
          </cell>
          <cell r="L965">
            <v>18.795655979999999</v>
          </cell>
          <cell r="M965">
            <v>19.031940219999999</v>
          </cell>
          <cell r="N965">
            <v>19.266556569999999</v>
          </cell>
          <cell r="O965">
            <v>19.501292029999998</v>
          </cell>
          <cell r="P965">
            <v>19.735497609999999</v>
          </cell>
          <cell r="Q965">
            <v>19.96807961</v>
          </cell>
          <cell r="R965">
            <v>20.19810068</v>
          </cell>
          <cell r="S965">
            <v>20.42504963</v>
          </cell>
          <cell r="T965">
            <v>20.648930450000002</v>
          </cell>
          <cell r="U965">
            <v>20.870185159999998</v>
          </cell>
          <cell r="V965">
            <v>21.075877200000001</v>
          </cell>
          <cell r="W965">
            <v>21.291302309999999</v>
          </cell>
          <cell r="X965">
            <v>21.507571930000001</v>
          </cell>
          <cell r="Y965">
            <v>21.72357736</v>
          </cell>
          <cell r="Z965">
            <v>21.939691419999999</v>
          </cell>
          <cell r="AA965">
            <v>22.115676539999999</v>
          </cell>
          <cell r="AB965">
            <v>22.307245420000001</v>
          </cell>
          <cell r="AC965">
            <v>22.499853569999999</v>
          </cell>
          <cell r="AD965">
            <v>22.69037084</v>
          </cell>
          <cell r="AE965">
            <v>22.878740499999999</v>
          </cell>
          <cell r="AF965">
            <v>23.065611390000001</v>
          </cell>
          <cell r="AG965">
            <v>23.251586199999998</v>
          </cell>
          <cell r="AH965">
            <v>23.436953689999999</v>
          </cell>
          <cell r="AI965">
            <v>23.62165177</v>
          </cell>
          <cell r="AJ965">
            <v>23.805377310000001</v>
          </cell>
          <cell r="AK965">
            <v>23.987755750000002</v>
          </cell>
        </row>
        <row r="966">
          <cell r="A966" t="str">
            <v>ems_y_co2_soil_0</v>
          </cell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</row>
        <row r="967">
          <cell r="A967" t="str">
            <v>ems_mat_co2_soil_0</v>
          </cell>
          <cell r="B967">
            <v>4.7903270979999997</v>
          </cell>
          <cell r="C967">
            <v>4.8548669809999998</v>
          </cell>
          <cell r="D967">
            <v>4.9110569689999997</v>
          </cell>
          <cell r="E967">
            <v>4.9652053</v>
          </cell>
          <cell r="F967">
            <v>5.0214607490000001</v>
          </cell>
          <cell r="G967">
            <v>5.0814106939999997</v>
          </cell>
          <cell r="H967">
            <v>5.1418047280000003</v>
          </cell>
          <cell r="I967">
            <v>5.2049966449999996</v>
          </cell>
          <cell r="J967">
            <v>5.270403655</v>
          </cell>
          <cell r="K967">
            <v>5.3370281689999999</v>
          </cell>
          <cell r="L967">
            <v>5.4093005529999996</v>
          </cell>
          <cell r="M967">
            <v>5.477309569</v>
          </cell>
          <cell r="N967">
            <v>5.5448522840000001</v>
          </cell>
          <cell r="O967">
            <v>5.6124443209999999</v>
          </cell>
          <cell r="P967">
            <v>5.6798999800000001</v>
          </cell>
          <cell r="Q967">
            <v>5.7469036200000003</v>
          </cell>
          <cell r="R967">
            <v>5.8131824290000003</v>
          </cell>
          <cell r="S967">
            <v>5.8785848789999999</v>
          </cell>
          <cell r="T967">
            <v>5.9431075839999998</v>
          </cell>
          <cell r="U967">
            <v>6.006874067</v>
          </cell>
          <cell r="V967">
            <v>6.066159335</v>
          </cell>
          <cell r="W967">
            <v>6.128242083</v>
          </cell>
          <cell r="X967">
            <v>6.1905626549999999</v>
          </cell>
          <cell r="Y967">
            <v>6.2528014570000003</v>
          </cell>
          <cell r="Z967">
            <v>6.3150663160000002</v>
          </cell>
          <cell r="AA967">
            <v>6.3657776439999996</v>
          </cell>
          <cell r="AB967">
            <v>6.4209719090000004</v>
          </cell>
          <cell r="AC967">
            <v>6.4764605829999997</v>
          </cell>
          <cell r="AD967">
            <v>6.5313397780000004</v>
          </cell>
          <cell r="AE967">
            <v>6.5855915490000001</v>
          </cell>
          <cell r="AF967">
            <v>6.6394031399999998</v>
          </cell>
          <cell r="AG967">
            <v>6.6929501990000002</v>
          </cell>
          <cell r="AH967">
            <v>6.7463186759999996</v>
          </cell>
          <cell r="AI967">
            <v>6.7994931449999996</v>
          </cell>
          <cell r="AJ967">
            <v>6.8523878089999997</v>
          </cell>
          <cell r="AK967">
            <v>6.9048952589999999</v>
          </cell>
        </row>
        <row r="968">
          <cell r="A968" t="str">
            <v>ems_ci_co2_sbfu_0</v>
          </cell>
          <cell r="B968">
            <v>3.9559802529999999</v>
          </cell>
          <cell r="C968">
            <v>4.0470272490000001</v>
          </cell>
          <cell r="D968">
            <v>4.1283444530000004</v>
          </cell>
          <cell r="E968">
            <v>4.202279903</v>
          </cell>
          <cell r="F968">
            <v>4.2728948469999999</v>
          </cell>
          <cell r="G968">
            <v>4.3421467309999997</v>
          </cell>
          <cell r="H968">
            <v>4.407846256</v>
          </cell>
          <cell r="I968">
            <v>4.4726802450000003</v>
          </cell>
          <cell r="J968">
            <v>4.5368497379999999</v>
          </cell>
          <cell r="K968">
            <v>4.6001891800000001</v>
          </cell>
          <cell r="L968">
            <v>4.6671660089999998</v>
          </cell>
          <cell r="M968">
            <v>4.729442841</v>
          </cell>
          <cell r="N968">
            <v>4.7906388980000001</v>
          </cell>
          <cell r="O968">
            <v>4.851347283</v>
          </cell>
          <cell r="P968">
            <v>4.9115432370000001</v>
          </cell>
          <cell r="Q968">
            <v>4.9710971869999998</v>
          </cell>
          <cell r="R968">
            <v>5.0299019549999997</v>
          </cell>
          <cell r="S968">
            <v>5.0879117110000003</v>
          </cell>
          <cell r="T968">
            <v>5.1451490340000001</v>
          </cell>
          <cell r="U968">
            <v>5.2016894010000003</v>
          </cell>
          <cell r="V968">
            <v>5.2542100349999998</v>
          </cell>
          <cell r="W968">
            <v>5.3090400600000001</v>
          </cell>
          <cell r="X968">
            <v>5.3637949870000003</v>
          </cell>
          <cell r="Y968">
            <v>5.4181397630000001</v>
          </cell>
          <cell r="Z968">
            <v>5.4721158389999998</v>
          </cell>
          <cell r="AA968">
            <v>5.5156411969999999</v>
          </cell>
          <cell r="AB968">
            <v>5.562750415</v>
          </cell>
          <cell r="AC968">
            <v>5.6097636460000002</v>
          </cell>
          <cell r="AD968">
            <v>5.6559575649999996</v>
          </cell>
          <cell r="AE968">
            <v>5.7013268720000001</v>
          </cell>
          <cell r="AF968">
            <v>5.7460055480000003</v>
          </cell>
          <cell r="AG968">
            <v>5.7901125479999997</v>
          </cell>
          <cell r="AH968">
            <v>5.8337095059999999</v>
          </cell>
          <cell r="AI968">
            <v>5.8767996599999996</v>
          </cell>
          <cell r="AJ968">
            <v>5.9193482959999999</v>
          </cell>
          <cell r="AK968">
            <v>5.9613090140000002</v>
          </cell>
        </row>
        <row r="969">
          <cell r="A969" t="str">
            <v>ems_y_co2_sbfu_0</v>
          </cell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</row>
        <row r="970">
          <cell r="A970" t="str">
            <v>ems_mat_co2_sbfu_0</v>
          </cell>
          <cell r="B970">
            <v>3.299571475</v>
          </cell>
          <cell r="C970">
            <v>3.3755112060000001</v>
          </cell>
          <cell r="D970">
            <v>3.4433355950000002</v>
          </cell>
          <cell r="E970">
            <v>3.5050030780000001</v>
          </cell>
          <cell r="F970">
            <v>3.5639010299999998</v>
          </cell>
          <cell r="G970">
            <v>3.6216621020000002</v>
          </cell>
          <cell r="H970">
            <v>3.676460262</v>
          </cell>
          <cell r="I970">
            <v>3.7305365109999999</v>
          </cell>
          <cell r="J970">
            <v>3.7840585249999998</v>
          </cell>
          <cell r="K970">
            <v>3.8368882179999999</v>
          </cell>
          <cell r="L970">
            <v>3.89275175</v>
          </cell>
          <cell r="M970">
            <v>3.9446951399999999</v>
          </cell>
          <cell r="N970">
            <v>3.9957370800000001</v>
          </cell>
          <cell r="O970">
            <v>4.0463722579999999</v>
          </cell>
          <cell r="P970">
            <v>4.0965800249999997</v>
          </cell>
          <cell r="Q970">
            <v>4.1462523100000004</v>
          </cell>
          <cell r="R970">
            <v>4.1952997170000002</v>
          </cell>
          <cell r="S970">
            <v>4.2436840250000003</v>
          </cell>
          <cell r="T970">
            <v>4.2914240650000002</v>
          </cell>
          <cell r="U970">
            <v>4.3385827929999996</v>
          </cell>
          <cell r="V970">
            <v>4.382388776</v>
          </cell>
          <cell r="W970">
            <v>4.4281209590000001</v>
          </cell>
          <cell r="X970">
            <v>4.4737905080000004</v>
          </cell>
          <cell r="Y970">
            <v>4.5191179640000003</v>
          </cell>
          <cell r="Z970">
            <v>4.5641379029999998</v>
          </cell>
          <cell r="AA970">
            <v>4.6004411940000001</v>
          </cell>
          <cell r="AB970">
            <v>4.6397336840000003</v>
          </cell>
          <cell r="AC970">
            <v>4.6789461149999996</v>
          </cell>
          <cell r="AD970">
            <v>4.7174751820000003</v>
          </cell>
          <cell r="AE970">
            <v>4.7553164619999997</v>
          </cell>
          <cell r="AF970">
            <v>4.7925817049999999</v>
          </cell>
          <cell r="AG970">
            <v>4.8293701269999998</v>
          </cell>
          <cell r="AH970">
            <v>4.8657331360000002</v>
          </cell>
          <cell r="AI970">
            <v>4.9016734309999999</v>
          </cell>
          <cell r="AJ970">
            <v>4.9371620600000004</v>
          </cell>
          <cell r="AK970">
            <v>4.9721603200000004</v>
          </cell>
        </row>
        <row r="971">
          <cell r="A971" t="str">
            <v>ems_ci_co2_seoi_0</v>
          </cell>
          <cell r="B971">
            <v>1.7971549899999999</v>
          </cell>
          <cell r="C971">
            <v>1.8089274799999999</v>
          </cell>
          <cell r="D971">
            <v>1.8185121639999999</v>
          </cell>
          <cell r="E971">
            <v>1.8316608299999999</v>
          </cell>
          <cell r="F971">
            <v>1.851589902</v>
          </cell>
          <cell r="G971">
            <v>1.879999022</v>
          </cell>
          <cell r="H971">
            <v>1.9162240589999999</v>
          </cell>
          <cell r="I971">
            <v>1.959821061</v>
          </cell>
          <cell r="J971">
            <v>2.0089734400000001</v>
          </cell>
          <cell r="K971">
            <v>2.0611225540000002</v>
          </cell>
          <cell r="L971">
            <v>2.1147248030000001</v>
          </cell>
          <cell r="M971">
            <v>2.1660838469999999</v>
          </cell>
          <cell r="N971">
            <v>2.2139952940000001</v>
          </cell>
          <cell r="O971">
            <v>2.2576607929999999</v>
          </cell>
          <cell r="P971">
            <v>2.296406266</v>
          </cell>
          <cell r="Q971">
            <v>2.3298143100000002</v>
          </cell>
          <cell r="R971">
            <v>2.3581768219999999</v>
          </cell>
          <cell r="S971">
            <v>2.3824458690000001</v>
          </cell>
          <cell r="T971">
            <v>2.4040812300000001</v>
          </cell>
          <cell r="U971">
            <v>2.424816823</v>
          </cell>
          <cell r="V971">
            <v>2.445447234</v>
          </cell>
          <cell r="W971">
            <v>2.4684139040000002</v>
          </cell>
          <cell r="X971">
            <v>2.4944815729999998</v>
          </cell>
          <cell r="Y971">
            <v>2.5241721739999998</v>
          </cell>
          <cell r="Z971">
            <v>2.5578325959999999</v>
          </cell>
          <cell r="AA971">
            <v>2.5923287049999999</v>
          </cell>
          <cell r="AB971">
            <v>2.6304280000000002</v>
          </cell>
          <cell r="AC971">
            <v>2.6709313790000002</v>
          </cell>
          <cell r="AD971">
            <v>2.7127794160000001</v>
          </cell>
          <cell r="AE971">
            <v>2.755422963</v>
          </cell>
          <cell r="AF971">
            <v>2.798638993</v>
          </cell>
          <cell r="AG971">
            <v>2.842308869</v>
          </cell>
          <cell r="AH971">
            <v>2.886263225</v>
          </cell>
          <cell r="AI971">
            <v>2.9302273099999998</v>
          </cell>
          <cell r="AJ971">
            <v>2.9738625700000001</v>
          </cell>
          <cell r="AK971">
            <v>3.0167722100000001</v>
          </cell>
        </row>
        <row r="972">
          <cell r="A972" t="str">
            <v>ems_y_co2_seoi_0</v>
          </cell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</row>
        <row r="973">
          <cell r="A973" t="str">
            <v>ems_mat_co2_seoi_0</v>
          </cell>
          <cell r="B973">
            <v>0.1231719706</v>
          </cell>
          <cell r="C973">
            <v>0.1239788241</v>
          </cell>
          <cell r="D973">
            <v>0.1246357315</v>
          </cell>
          <cell r="E973">
            <v>0.12553690419999999</v>
          </cell>
          <cell r="F973">
            <v>0.1269027871</v>
          </cell>
          <cell r="G973">
            <v>0.1288498686</v>
          </cell>
          <cell r="H973">
            <v>0.13133263119999999</v>
          </cell>
          <cell r="I973">
            <v>0.13432064760000001</v>
          </cell>
          <cell r="J973">
            <v>0.13768941400000001</v>
          </cell>
          <cell r="K973">
            <v>0.1412635683</v>
          </cell>
          <cell r="L973">
            <v>0.14493731630000001</v>
          </cell>
          <cell r="M973">
            <v>0.14845732140000001</v>
          </cell>
          <cell r="N973">
            <v>0.15174103780000001</v>
          </cell>
          <cell r="O973">
            <v>0.15473374879999999</v>
          </cell>
          <cell r="P973">
            <v>0.15738925500000001</v>
          </cell>
          <cell r="Q973">
            <v>0.1596789488</v>
          </cell>
          <cell r="R973">
            <v>0.16162283599999999</v>
          </cell>
          <cell r="S973">
            <v>0.1632861685</v>
          </cell>
          <cell r="T973">
            <v>0.1647689956</v>
          </cell>
          <cell r="U973">
            <v>0.16619015500000001</v>
          </cell>
          <cell r="V973">
            <v>0.1676041056</v>
          </cell>
          <cell r="W973">
            <v>0.1691781769</v>
          </cell>
          <cell r="X973">
            <v>0.1709647819</v>
          </cell>
          <cell r="Y973">
            <v>0.1729996926</v>
          </cell>
          <cell r="Z973">
            <v>0.17530668369999999</v>
          </cell>
          <cell r="AA973">
            <v>0.1776709504</v>
          </cell>
          <cell r="AB973">
            <v>0.1802821694</v>
          </cell>
          <cell r="AC973">
            <v>0.18305815759999999</v>
          </cell>
          <cell r="AD973">
            <v>0.1859263048</v>
          </cell>
          <cell r="AE973">
            <v>0.18884897410000001</v>
          </cell>
          <cell r="AF973">
            <v>0.1918108798</v>
          </cell>
          <cell r="AG973">
            <v>0.1948038909</v>
          </cell>
          <cell r="AH973">
            <v>0.1978163993</v>
          </cell>
          <cell r="AI973">
            <v>0.2008295746</v>
          </cell>
          <cell r="AJ973">
            <v>0.20382021319999999</v>
          </cell>
          <cell r="AK973">
            <v>0.2067611197</v>
          </cell>
        </row>
        <row r="974">
          <cell r="A974" t="str">
            <v>ems_ci_co2_sega_0</v>
          </cell>
          <cell r="B974">
            <v>4.553369902</v>
          </cell>
          <cell r="C974">
            <v>4.5831973250000004</v>
          </cell>
          <cell r="D974">
            <v>4.6074816040000002</v>
          </cell>
          <cell r="E974">
            <v>4.6407957819999996</v>
          </cell>
          <cell r="F974">
            <v>4.691289169</v>
          </cell>
          <cell r="G974">
            <v>4.763268064</v>
          </cell>
          <cell r="H974">
            <v>4.8550497970000004</v>
          </cell>
          <cell r="I974">
            <v>4.9655095390000001</v>
          </cell>
          <cell r="J974">
            <v>5.0900446869999998</v>
          </cell>
          <cell r="K974">
            <v>5.2221725250000004</v>
          </cell>
          <cell r="L974">
            <v>5.3579821069999998</v>
          </cell>
          <cell r="M974">
            <v>5.4881081829999996</v>
          </cell>
          <cell r="N974">
            <v>5.6094992369999996</v>
          </cell>
          <cell r="O974">
            <v>5.7201325250000004</v>
          </cell>
          <cell r="P974">
            <v>5.8183001670000003</v>
          </cell>
          <cell r="Q974">
            <v>5.9029446099999996</v>
          </cell>
          <cell r="R974">
            <v>5.9748054149999996</v>
          </cell>
          <cell r="S974">
            <v>6.036294797</v>
          </cell>
          <cell r="T974">
            <v>6.0911113270000001</v>
          </cell>
          <cell r="U974">
            <v>6.1436481550000002</v>
          </cell>
          <cell r="V974">
            <v>6.1959184890000003</v>
          </cell>
          <cell r="W974">
            <v>6.2541080979999997</v>
          </cell>
          <cell r="X974">
            <v>6.3201545660000003</v>
          </cell>
          <cell r="Y974">
            <v>6.3953802929999997</v>
          </cell>
          <cell r="Z974">
            <v>6.4806641740000002</v>
          </cell>
          <cell r="AA974">
            <v>6.5680653979999999</v>
          </cell>
          <cell r="AB974">
            <v>6.6645958509999996</v>
          </cell>
          <cell r="AC974">
            <v>6.7672174209999998</v>
          </cell>
          <cell r="AD974">
            <v>6.8732458899999997</v>
          </cell>
          <cell r="AE974">
            <v>6.9812899069999999</v>
          </cell>
          <cell r="AF974">
            <v>7.0907843980000003</v>
          </cell>
          <cell r="AG974">
            <v>7.2014287799999996</v>
          </cell>
          <cell r="AH974">
            <v>7.3127939340000001</v>
          </cell>
          <cell r="AI974">
            <v>7.424183738</v>
          </cell>
          <cell r="AJ974">
            <v>7.5347404129999997</v>
          </cell>
          <cell r="AK974">
            <v>7.6434586160000002</v>
          </cell>
        </row>
        <row r="975">
          <cell r="A975" t="str">
            <v>ems_y_co2_sega_0</v>
          </cell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</row>
        <row r="976">
          <cell r="A976" t="str">
            <v>ems_mat_co2_sega_0</v>
          </cell>
          <cell r="B976">
            <v>0.31207522269999999</v>
          </cell>
          <cell r="C976">
            <v>0.31411951069999999</v>
          </cell>
          <cell r="D976">
            <v>0.31578388709999999</v>
          </cell>
          <cell r="E976">
            <v>0.31806714749999998</v>
          </cell>
          <cell r="F976">
            <v>0.32152782279999997</v>
          </cell>
          <cell r="G976">
            <v>0.32646105460000002</v>
          </cell>
          <cell r="H976">
            <v>0.33275151739999997</v>
          </cell>
          <cell r="I976">
            <v>0.34032211880000002</v>
          </cell>
          <cell r="J976">
            <v>0.34885740910000002</v>
          </cell>
          <cell r="K976">
            <v>0.35791308119999998</v>
          </cell>
          <cell r="L976">
            <v>0.36722108959999999</v>
          </cell>
          <cell r="M976">
            <v>0.37613956659999997</v>
          </cell>
          <cell r="N976">
            <v>0.38445936949999998</v>
          </cell>
          <cell r="O976">
            <v>0.39204186540000002</v>
          </cell>
          <cell r="P976">
            <v>0.39877000070000002</v>
          </cell>
          <cell r="Q976">
            <v>0.40457129380000001</v>
          </cell>
          <cell r="R976">
            <v>0.40949643229999999</v>
          </cell>
          <cell r="S976">
            <v>0.4137107424</v>
          </cell>
          <cell r="T976">
            <v>0.41746771389999998</v>
          </cell>
          <cell r="U976">
            <v>0.42106844100000002</v>
          </cell>
          <cell r="V976">
            <v>0.4246509034</v>
          </cell>
          <cell r="W976">
            <v>0.42863905619999998</v>
          </cell>
          <cell r="X976">
            <v>0.4331656961</v>
          </cell>
          <cell r="Y976">
            <v>0.43832145680000001</v>
          </cell>
          <cell r="Z976">
            <v>0.44416657510000002</v>
          </cell>
          <cell r="AA976">
            <v>0.45015681029999999</v>
          </cell>
          <cell r="AB976">
            <v>0.4567727372</v>
          </cell>
          <cell r="AC976">
            <v>0.4638061322</v>
          </cell>
          <cell r="AD976">
            <v>0.47107302649999999</v>
          </cell>
          <cell r="AE976">
            <v>0.47847806079999999</v>
          </cell>
          <cell r="AF976">
            <v>0.48598250659999997</v>
          </cell>
          <cell r="AG976">
            <v>0.49356576270000002</v>
          </cell>
          <cell r="AH976">
            <v>0.50119841840000001</v>
          </cell>
          <cell r="AI976">
            <v>0.50883276359999996</v>
          </cell>
          <cell r="AJ976">
            <v>0.51641000859999997</v>
          </cell>
          <cell r="AK976">
            <v>0.52386124970000003</v>
          </cell>
        </row>
        <row r="977">
          <cell r="A977" t="str">
            <v>ems_ci_co2_seco_0</v>
          </cell>
          <cell r="B977">
            <v>4.5420397100000001</v>
          </cell>
          <cell r="C977">
            <v>4.5717929120000003</v>
          </cell>
          <cell r="D977">
            <v>4.5960167590000003</v>
          </cell>
          <cell r="E977">
            <v>4.6292480349999998</v>
          </cell>
          <cell r="F977">
            <v>4.6796157709999999</v>
          </cell>
          <cell r="G977">
            <v>4.7514155530000002</v>
          </cell>
          <cell r="H977">
            <v>4.8429688970000004</v>
          </cell>
          <cell r="I977">
            <v>4.9531537749999996</v>
          </cell>
          <cell r="J977">
            <v>5.077379037</v>
          </cell>
          <cell r="K977">
            <v>5.2091780969999997</v>
          </cell>
          <cell r="L977">
            <v>5.3446497400000004</v>
          </cell>
          <cell r="M977">
            <v>5.4744520210000003</v>
          </cell>
          <cell r="N977">
            <v>5.5955410160000003</v>
          </cell>
          <cell r="O977">
            <v>5.7058990139999999</v>
          </cell>
          <cell r="P977">
            <v>5.8038223860000002</v>
          </cell>
          <cell r="Q977">
            <v>5.8882562089999997</v>
          </cell>
          <cell r="R977">
            <v>5.9599382050000003</v>
          </cell>
          <cell r="S977">
            <v>6.0212745859999997</v>
          </cell>
          <cell r="T977">
            <v>6.0759547180000002</v>
          </cell>
          <cell r="U977">
            <v>6.1283608210000002</v>
          </cell>
          <cell r="V977">
            <v>6.1805010930000002</v>
          </cell>
          <cell r="W977">
            <v>6.23854591</v>
          </cell>
          <cell r="X977">
            <v>6.3044280349999999</v>
          </cell>
          <cell r="Y977">
            <v>6.3794665779999997</v>
          </cell>
          <cell r="Z977">
            <v>6.4645382470000001</v>
          </cell>
          <cell r="AA977">
            <v>6.5517219899999999</v>
          </cell>
          <cell r="AB977">
            <v>6.6480122460000004</v>
          </cell>
          <cell r="AC977">
            <v>6.7503784610000004</v>
          </cell>
          <cell r="AD977">
            <v>6.8561430989999996</v>
          </cell>
          <cell r="AE977">
            <v>6.9639182679999996</v>
          </cell>
          <cell r="AF977">
            <v>7.0731403019999997</v>
          </cell>
          <cell r="AG977">
            <v>7.1835093649999999</v>
          </cell>
          <cell r="AH977">
            <v>7.2945974070000004</v>
          </cell>
          <cell r="AI977">
            <v>7.4057100379999996</v>
          </cell>
          <cell r="AJ977">
            <v>7.5159916139999998</v>
          </cell>
          <cell r="AK977">
            <v>7.6244392909999998</v>
          </cell>
        </row>
        <row r="978">
          <cell r="A978" t="str">
            <v>ems_y_co2_seco_0</v>
          </cell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</row>
        <row r="979">
          <cell r="A979" t="str">
            <v>ems_mat_co2_seco_0</v>
          </cell>
          <cell r="B979">
            <v>0.31129868309999997</v>
          </cell>
          <cell r="C979">
            <v>0.31333788429999998</v>
          </cell>
          <cell r="D979">
            <v>0.31499811919999998</v>
          </cell>
          <cell r="E979">
            <v>0.3172756981</v>
          </cell>
          <cell r="F979">
            <v>0.32072776219999999</v>
          </cell>
          <cell r="G979">
            <v>0.3256487186</v>
          </cell>
          <cell r="H979">
            <v>0.33192352879999998</v>
          </cell>
          <cell r="I979">
            <v>0.3394752922</v>
          </cell>
          <cell r="J979">
            <v>0.34798934409999999</v>
          </cell>
          <cell r="K979">
            <v>0.35702248279999999</v>
          </cell>
          <cell r="L979">
            <v>0.36630733009999999</v>
          </cell>
          <cell r="M979">
            <v>0.3752036151</v>
          </cell>
          <cell r="N979">
            <v>0.3835027158</v>
          </cell>
          <cell r="O979">
            <v>0.39106634400000001</v>
          </cell>
          <cell r="P979">
            <v>0.39777773770000002</v>
          </cell>
          <cell r="Q979">
            <v>0.4035645954</v>
          </cell>
          <cell r="R979">
            <v>0.4084774786</v>
          </cell>
          <cell r="S979">
            <v>0.41268130219999999</v>
          </cell>
          <cell r="T979">
            <v>0.41642892520000002</v>
          </cell>
          <cell r="U979">
            <v>0.42002069260000002</v>
          </cell>
          <cell r="V979">
            <v>0.42359424070000001</v>
          </cell>
          <cell r="W979">
            <v>0.42757246980000002</v>
          </cell>
          <cell r="X979">
            <v>0.432087846</v>
          </cell>
          <cell r="Y979">
            <v>0.4372307775</v>
          </cell>
          <cell r="Z979">
            <v>0.44306135140000003</v>
          </cell>
          <cell r="AA979">
            <v>0.44903668099999999</v>
          </cell>
          <cell r="AB979">
            <v>0.45563614549999998</v>
          </cell>
          <cell r="AC979">
            <v>0.46265203919999998</v>
          </cell>
          <cell r="AD979">
            <v>0.46990085129999998</v>
          </cell>
          <cell r="AE979">
            <v>0.47728745960000002</v>
          </cell>
          <cell r="AF979">
            <v>0.484773232</v>
          </cell>
          <cell r="AG979">
            <v>0.49233761850000002</v>
          </cell>
          <cell r="AH979">
            <v>0.49995128189999999</v>
          </cell>
          <cell r="AI979">
            <v>0.50756663049999995</v>
          </cell>
          <cell r="AJ979">
            <v>0.51512502090000001</v>
          </cell>
          <cell r="AK979">
            <v>0.52255772099999998</v>
          </cell>
        </row>
        <row r="980">
          <cell r="A980" t="str">
            <v>ems_ci_co2_sech_0</v>
          </cell>
          <cell r="B980">
            <v>2.6056617270000002</v>
          </cell>
          <cell r="C980">
            <v>2.630545074</v>
          </cell>
          <cell r="D980">
            <v>2.6557626760000002</v>
          </cell>
          <cell r="E980">
            <v>2.6858470919999999</v>
          </cell>
          <cell r="F980">
            <v>2.723039789</v>
          </cell>
          <cell r="G980">
            <v>2.768383085</v>
          </cell>
          <cell r="H980">
            <v>2.819990319</v>
          </cell>
          <cell r="I980">
            <v>2.8774400180000002</v>
          </cell>
          <cell r="J980">
            <v>2.9390495159999999</v>
          </cell>
          <cell r="K980">
            <v>3.0024222279999999</v>
          </cell>
          <cell r="L980">
            <v>3.0674850380000001</v>
          </cell>
          <cell r="M980">
            <v>3.129462346</v>
          </cell>
          <cell r="N980">
            <v>3.187585855</v>
          </cell>
          <cell r="O980">
            <v>3.2416979719999999</v>
          </cell>
          <cell r="P980">
            <v>3.2913944759999998</v>
          </cell>
          <cell r="Q980">
            <v>3.336198692</v>
          </cell>
          <cell r="R980">
            <v>3.376380916</v>
          </cell>
          <cell r="S980">
            <v>3.412892952</v>
          </cell>
          <cell r="T980">
            <v>3.447186458</v>
          </cell>
          <cell r="U980">
            <v>3.4809590689999999</v>
          </cell>
          <cell r="V980">
            <v>3.5141496569999999</v>
          </cell>
          <cell r="W980">
            <v>3.5498684749999998</v>
          </cell>
          <cell r="X980">
            <v>3.5886534179999998</v>
          </cell>
          <cell r="Y980">
            <v>3.630668386</v>
          </cell>
          <cell r="Z980">
            <v>3.6760654119999998</v>
          </cell>
          <cell r="AA980">
            <v>3.7193647159999998</v>
          </cell>
          <cell r="AB980">
            <v>3.76535485</v>
          </cell>
          <cell r="AC980">
            <v>3.8133152689999998</v>
          </cell>
          <cell r="AD980">
            <v>3.862217308</v>
          </cell>
          <cell r="AE980">
            <v>3.911611637</v>
          </cell>
          <cell r="AF980">
            <v>3.9614180210000001</v>
          </cell>
          <cell r="AG980">
            <v>4.0116493330000003</v>
          </cell>
          <cell r="AH980">
            <v>4.0622315650000003</v>
          </cell>
          <cell r="AI980">
            <v>4.1129469319999998</v>
          </cell>
          <cell r="AJ980">
            <v>4.1634847380000002</v>
          </cell>
          <cell r="AK980">
            <v>4.2133421770000004</v>
          </cell>
        </row>
        <row r="981">
          <cell r="A981" t="str">
            <v>ems_y_co2_sech_0</v>
          </cell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</row>
        <row r="982">
          <cell r="A982" t="str">
            <v>ems_mat_co2_sech_0</v>
          </cell>
          <cell r="B982">
            <v>0.17858292410000001</v>
          </cell>
          <cell r="C982">
            <v>0.18027428209999999</v>
          </cell>
          <cell r="D982">
            <v>0.181976583</v>
          </cell>
          <cell r="E982">
            <v>0.1840092696</v>
          </cell>
          <cell r="F982">
            <v>0.18653498390000001</v>
          </cell>
          <cell r="G982">
            <v>0.18963116599999999</v>
          </cell>
          <cell r="H982">
            <v>0.19317059019999999</v>
          </cell>
          <cell r="I982">
            <v>0.1971232118</v>
          </cell>
          <cell r="J982">
            <v>0.20137031629999999</v>
          </cell>
          <cell r="K982">
            <v>0.2057432559</v>
          </cell>
          <cell r="L982">
            <v>0.21023287709999999</v>
          </cell>
          <cell r="M982">
            <v>0.21450933629999999</v>
          </cell>
          <cell r="N982">
            <v>0.21851856580000001</v>
          </cell>
          <cell r="O982">
            <v>0.22224964580000001</v>
          </cell>
          <cell r="P982">
            <v>0.22567536160000001</v>
          </cell>
          <cell r="Q982">
            <v>0.2287637468</v>
          </cell>
          <cell r="R982">
            <v>0.2315341692</v>
          </cell>
          <cell r="S982">
            <v>0.2340528566</v>
          </cell>
          <cell r="T982">
            <v>0.2364204436</v>
          </cell>
          <cell r="U982">
            <v>0.23875449030000001</v>
          </cell>
          <cell r="V982">
            <v>0.2410518005</v>
          </cell>
          <cell r="W982">
            <v>0.24352627469999999</v>
          </cell>
          <cell r="X982">
            <v>0.24621539379999999</v>
          </cell>
          <cell r="Y982">
            <v>0.2491305392</v>
          </cell>
          <cell r="Z982">
            <v>0.25228191189999999</v>
          </cell>
          <cell r="AA982">
            <v>0.25529253790000001</v>
          </cell>
          <cell r="AB982">
            <v>0.25848971520000003</v>
          </cell>
          <cell r="AC982">
            <v>0.26182294979999998</v>
          </cell>
          <cell r="AD982">
            <v>0.265220395</v>
          </cell>
          <cell r="AE982">
            <v>0.26865011360000002</v>
          </cell>
          <cell r="AF982">
            <v>0.27210580620000002</v>
          </cell>
          <cell r="AG982">
            <v>0.2755878477</v>
          </cell>
          <cell r="AH982">
            <v>0.2790908339</v>
          </cell>
          <cell r="AI982">
            <v>0.28259959039999999</v>
          </cell>
          <cell r="AJ982">
            <v>0.28609263569999999</v>
          </cell>
          <cell r="AK982">
            <v>0.2895353859</v>
          </cell>
        </row>
        <row r="983">
          <cell r="A983" t="str">
            <v>ems_ci_co2_seot_0</v>
          </cell>
          <cell r="B983">
            <v>1.7911663689999999</v>
          </cell>
          <cell r="C983">
            <v>1.8030142730000001</v>
          </cell>
          <cell r="D983">
            <v>1.8127593070000001</v>
          </cell>
          <cell r="E983">
            <v>1.8260224410000001</v>
          </cell>
          <cell r="F983">
            <v>1.84594452</v>
          </cell>
          <cell r="G983">
            <v>1.874216602</v>
          </cell>
          <cell r="H983">
            <v>1.910210639</v>
          </cell>
          <cell r="I983">
            <v>1.953532311</v>
          </cell>
          <cell r="J983">
            <v>2.0024057750000002</v>
          </cell>
          <cell r="K983">
            <v>2.054294998</v>
          </cell>
          <cell r="L983">
            <v>2.10765438</v>
          </cell>
          <cell r="M983">
            <v>2.1587921269999999</v>
          </cell>
          <cell r="N983">
            <v>2.2065116890000001</v>
          </cell>
          <cell r="O983">
            <v>2.2500213910000002</v>
          </cell>
          <cell r="P983">
            <v>2.2886470710000002</v>
          </cell>
          <cell r="Q983">
            <v>2.3219604060000001</v>
          </cell>
          <cell r="R983">
            <v>2.3502310039999998</v>
          </cell>
          <cell r="S983">
            <v>2.374382577</v>
          </cell>
          <cell r="T983">
            <v>2.3958473179999999</v>
          </cell>
          <cell r="U983">
            <v>2.416337961</v>
          </cell>
          <cell r="V983">
            <v>2.4366446700000002</v>
          </cell>
          <cell r="W983">
            <v>2.4592009510000001</v>
          </cell>
          <cell r="X983">
            <v>2.4847705430000002</v>
          </cell>
          <cell r="Y983">
            <v>2.513882459</v>
          </cell>
          <cell r="Z983">
            <v>2.5468969349999999</v>
          </cell>
          <cell r="AA983">
            <v>2.5807207480000001</v>
          </cell>
          <cell r="AB983">
            <v>2.6181266750000001</v>
          </cell>
          <cell r="AC983">
            <v>2.657920963</v>
          </cell>
          <cell r="AD983">
            <v>2.6990480489999999</v>
          </cell>
          <cell r="AE983">
            <v>2.7409654649999999</v>
          </cell>
          <cell r="AF983">
            <v>2.7834622690000002</v>
          </cell>
          <cell r="AG983">
            <v>2.8264360509999999</v>
          </cell>
          <cell r="AH983">
            <v>2.8697340589999998</v>
          </cell>
          <cell r="AI983">
            <v>2.9130944859999999</v>
          </cell>
          <cell r="AJ983">
            <v>2.9561853839999999</v>
          </cell>
          <cell r="AK983">
            <v>2.9986102479999999</v>
          </cell>
        </row>
        <row r="984">
          <cell r="A984" t="str">
            <v>ems_y_co2_seot_0</v>
          </cell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</row>
        <row r="985">
          <cell r="A985" t="str">
            <v>ems_mat_co2_seot_0</v>
          </cell>
          <cell r="B985">
            <v>0.1227619965</v>
          </cell>
          <cell r="C985">
            <v>0.12356616450000001</v>
          </cell>
          <cell r="D985">
            <v>0.1242208853</v>
          </cell>
          <cell r="E985">
            <v>0.12511905849999999</v>
          </cell>
          <cell r="F985">
            <v>0.1264803951</v>
          </cell>
          <cell r="G985">
            <v>0.12842099579999999</v>
          </cell>
          <cell r="H985">
            <v>0.1308954946</v>
          </cell>
          <cell r="I985">
            <v>0.13387356550000001</v>
          </cell>
          <cell r="J985">
            <v>0.13723111909999999</v>
          </cell>
          <cell r="K985">
            <v>0.14079337680000001</v>
          </cell>
          <cell r="L985">
            <v>0.14445489689999999</v>
          </cell>
          <cell r="M985">
            <v>0.14796318580000001</v>
          </cell>
          <cell r="N985">
            <v>0.15123597250000001</v>
          </cell>
          <cell r="O985">
            <v>0.1542187223</v>
          </cell>
          <cell r="P985">
            <v>0.1568653898</v>
          </cell>
          <cell r="Q985">
            <v>0.15914746239999999</v>
          </cell>
          <cell r="R985">
            <v>0.16108487939999999</v>
          </cell>
          <cell r="S985">
            <v>0.1627426756</v>
          </cell>
          <cell r="T985">
            <v>0.16422056709999999</v>
          </cell>
          <cell r="U985">
            <v>0.16563699630000001</v>
          </cell>
          <cell r="V985">
            <v>0.16704624060000001</v>
          </cell>
          <cell r="W985">
            <v>0.1686150726</v>
          </cell>
          <cell r="X985">
            <v>0.17039573089999999</v>
          </cell>
          <cell r="Y985">
            <v>0.17242386849999999</v>
          </cell>
          <cell r="Z985">
            <v>0.17472318079999999</v>
          </cell>
          <cell r="AA985">
            <v>0.1770795781</v>
          </cell>
          <cell r="AB985">
            <v>0.17968210579999999</v>
          </cell>
          <cell r="AC985">
            <v>0.1824488541</v>
          </cell>
          <cell r="AD985">
            <v>0.1853074549</v>
          </cell>
          <cell r="AE985">
            <v>0.1882203962</v>
          </cell>
          <cell r="AF985">
            <v>0.19117244319999999</v>
          </cell>
          <cell r="AG985">
            <v>0.19415549209999999</v>
          </cell>
          <cell r="AH985">
            <v>0.19715797360000001</v>
          </cell>
          <cell r="AI985">
            <v>0.20016111959999999</v>
          </cell>
          <cell r="AJ985">
            <v>0.2031418039</v>
          </cell>
          <cell r="AK985">
            <v>0.20607292169999999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8">
          <cell r="A18" t="str">
            <v>auto_ca_cfut_2</v>
          </cell>
          <cell r="B18">
            <v>7095.7005250000002</v>
          </cell>
          <cell r="C18">
            <v>7153.0182009999999</v>
          </cell>
          <cell r="D18">
            <v>7260.7539189999998</v>
          </cell>
          <cell r="E18">
            <v>7396.8710339999998</v>
          </cell>
          <cell r="F18">
            <v>7547.9224800000002</v>
          </cell>
          <cell r="G18">
            <v>7706.5527510000002</v>
          </cell>
          <cell r="H18">
            <v>7868.2811860000002</v>
          </cell>
          <cell r="I18">
            <v>8031.4329559999996</v>
          </cell>
          <cell r="J18">
            <v>8197.9605040000006</v>
          </cell>
          <cell r="K18">
            <v>8373.5997009999992</v>
          </cell>
          <cell r="L18">
            <v>8561.5901379999996</v>
          </cell>
          <cell r="M18">
            <v>8756.322999</v>
          </cell>
          <cell r="N18">
            <v>8952.2398699999994</v>
          </cell>
          <cell r="O18">
            <v>9144.2673250000007</v>
          </cell>
          <cell r="P18">
            <v>9329.1261709999999</v>
          </cell>
          <cell r="Q18">
            <v>9505.5900970000002</v>
          </cell>
          <cell r="R18">
            <v>9673.8968120000009</v>
          </cell>
          <cell r="S18">
            <v>9834.8639679999997</v>
          </cell>
          <cell r="T18">
            <v>9989.1219980000005</v>
          </cell>
          <cell r="U18">
            <v>10136.699629999999</v>
          </cell>
          <cell r="V18">
            <v>10275.505209999999</v>
          </cell>
          <cell r="W18">
            <v>10406.336939999999</v>
          </cell>
          <cell r="X18">
            <v>10528.261759999999</v>
          </cell>
          <cell r="Y18">
            <v>10640.43671</v>
          </cell>
          <cell r="Z18">
            <v>10742.249620000001</v>
          </cell>
          <cell r="AA18">
            <v>10828.98976</v>
          </cell>
          <cell r="AB18">
            <v>10904.04711</v>
          </cell>
          <cell r="AC18">
            <v>10967.91792</v>
          </cell>
          <cell r="AD18">
            <v>11020.70343</v>
          </cell>
          <cell r="AE18">
            <v>11062.12824</v>
          </cell>
          <cell r="AF18">
            <v>11091.746059999999</v>
          </cell>
          <cell r="AG18">
            <v>11109.133470000001</v>
          </cell>
          <cell r="AH18">
            <v>11114.00655</v>
          </cell>
          <cell r="AI18">
            <v>11106.244290000001</v>
          </cell>
          <cell r="AJ18">
            <v>11085.84258</v>
          </cell>
          <cell r="AK18">
            <v>11052.84211</v>
          </cell>
        </row>
        <row r="19">
          <cell r="A19" t="str">
            <v>auto_ca_cfut_0</v>
          </cell>
          <cell r="B19">
            <v>7095.7005250000002</v>
          </cell>
          <cell r="C19">
            <v>7153.0182009999999</v>
          </cell>
          <cell r="D19">
            <v>7260.7539189999998</v>
          </cell>
          <cell r="E19">
            <v>7396.8710339999998</v>
          </cell>
          <cell r="F19">
            <v>7547.9224800000002</v>
          </cell>
          <cell r="G19">
            <v>7706.5527510000002</v>
          </cell>
          <cell r="H19">
            <v>7868.1268309999996</v>
          </cell>
          <cell r="I19">
            <v>8031.7681359999997</v>
          </cell>
          <cell r="J19">
            <v>8197.4646069999999</v>
          </cell>
          <cell r="K19">
            <v>8365.2894799999995</v>
          </cell>
          <cell r="L19">
            <v>8536.7103599999991</v>
          </cell>
          <cell r="M19">
            <v>8708.6198239999994</v>
          </cell>
          <cell r="N19">
            <v>8879.9473710000002</v>
          </cell>
          <cell r="O19">
            <v>9049.7501830000001</v>
          </cell>
          <cell r="P19">
            <v>9217.4102590000002</v>
          </cell>
          <cell r="Q19">
            <v>9382.5106990000004</v>
          </cell>
          <cell r="R19">
            <v>9544.6368860000002</v>
          </cell>
          <cell r="S19">
            <v>9703.2278709999991</v>
          </cell>
          <cell r="T19">
            <v>9857.5275820000006</v>
          </cell>
          <cell r="U19">
            <v>10006.62773</v>
          </cell>
          <cell r="V19">
            <v>10148.076520000001</v>
          </cell>
          <cell r="W19">
            <v>10282.677449999999</v>
          </cell>
          <cell r="X19">
            <v>10409.66804</v>
          </cell>
          <cell r="Y19">
            <v>10528.229230000001</v>
          </cell>
          <cell r="Z19">
            <v>10637.571239999999</v>
          </cell>
          <cell r="AA19">
            <v>10732.628000000001</v>
          </cell>
          <cell r="AB19">
            <v>10816.307339999999</v>
          </cell>
          <cell r="AC19">
            <v>10888.68958</v>
          </cell>
          <cell r="AD19">
            <v>10949.5363</v>
          </cell>
          <cell r="AE19">
            <v>10998.391180000001</v>
          </cell>
          <cell r="AF19">
            <v>11034.77874</v>
          </cell>
          <cell r="AG19">
            <v>11058.351060000001</v>
          </cell>
          <cell r="AH19">
            <v>11068.94607</v>
          </cell>
          <cell r="AI19">
            <v>11066.56494</v>
          </cell>
          <cell r="AJ19">
            <v>11051.30285</v>
          </cell>
          <cell r="AK19">
            <v>11023.274450000001</v>
          </cell>
        </row>
        <row r="20">
          <cell r="A20" t="str">
            <v>auto_cb_cfut_2</v>
          </cell>
          <cell r="B20">
            <v>8251.256421</v>
          </cell>
          <cell r="C20">
            <v>8193.6758160000009</v>
          </cell>
          <cell r="D20">
            <v>8192.2822809999998</v>
          </cell>
          <cell r="E20">
            <v>8225.0756820000006</v>
          </cell>
          <cell r="F20">
            <v>8278.3937330000008</v>
          </cell>
          <cell r="G20">
            <v>8344.4636229999996</v>
          </cell>
          <cell r="H20">
            <v>8418.3094849999998</v>
          </cell>
          <cell r="I20">
            <v>8497.5553899999995</v>
          </cell>
          <cell r="J20">
            <v>8583.1358980000005</v>
          </cell>
          <cell r="K20">
            <v>8679.8635610000001</v>
          </cell>
          <cell r="L20">
            <v>8790.4774249999991</v>
          </cell>
          <cell r="M20">
            <v>8909.6014269999996</v>
          </cell>
          <cell r="N20">
            <v>9031.9468870000001</v>
          </cell>
          <cell r="O20">
            <v>9152.6312720000005</v>
          </cell>
          <cell r="P20">
            <v>9268.3653759999997</v>
          </cell>
          <cell r="Q20">
            <v>9377.7134260000003</v>
          </cell>
          <cell r="R20">
            <v>9480.5910189999995</v>
          </cell>
          <cell r="S20">
            <v>9577.489114</v>
          </cell>
          <cell r="T20">
            <v>9668.7898910000004</v>
          </cell>
          <cell r="U20">
            <v>9754.3868029999994</v>
          </cell>
          <cell r="V20">
            <v>9832.2957380000007</v>
          </cell>
          <cell r="W20">
            <v>9903.164804</v>
          </cell>
          <cell r="X20">
            <v>9966.0847560000002</v>
          </cell>
          <cell r="Y20">
            <v>10020.22574</v>
          </cell>
          <cell r="Z20">
            <v>10064.95996</v>
          </cell>
          <cell r="AA20">
            <v>10096.04196</v>
          </cell>
          <cell r="AB20">
            <v>10116.4136</v>
          </cell>
          <cell r="AC20">
            <v>10126.488590000001</v>
          </cell>
          <cell r="AD20">
            <v>10126.37364</v>
          </cell>
          <cell r="AE20">
            <v>10115.87314</v>
          </cell>
          <cell r="AF20">
            <v>10094.65684</v>
          </cell>
          <cell r="AG20">
            <v>10062.420679999999</v>
          </cell>
          <cell r="AH20">
            <v>10018.986059999999</v>
          </cell>
          <cell r="AI20">
            <v>9964.3231599999999</v>
          </cell>
          <cell r="AJ20">
            <v>9898.5162889999992</v>
          </cell>
          <cell r="AK20">
            <v>9821.7062000000005</v>
          </cell>
        </row>
        <row r="21">
          <cell r="A21" t="str">
            <v>auto_cb_cfut_0</v>
          </cell>
          <cell r="B21">
            <v>8251.256421</v>
          </cell>
          <cell r="C21">
            <v>8193.6758160000009</v>
          </cell>
          <cell r="D21">
            <v>8192.2822809999998</v>
          </cell>
          <cell r="E21">
            <v>8225.0756820000006</v>
          </cell>
          <cell r="F21">
            <v>8278.3937330000008</v>
          </cell>
          <cell r="G21">
            <v>8344.4636229999996</v>
          </cell>
          <cell r="H21">
            <v>8418.1695679999993</v>
          </cell>
          <cell r="I21">
            <v>8498.0387190000001</v>
          </cell>
          <cell r="J21">
            <v>8583.4868299999998</v>
          </cell>
          <cell r="K21">
            <v>8674.0900579999998</v>
          </cell>
          <cell r="L21">
            <v>8770.8086710000007</v>
          </cell>
          <cell r="M21">
            <v>8870.3601999999992</v>
          </cell>
          <cell r="N21">
            <v>8971.4037009999993</v>
          </cell>
          <cell r="O21">
            <v>9072.7357319999992</v>
          </cell>
          <cell r="P21">
            <v>9173.4812600000005</v>
          </cell>
          <cell r="Q21">
            <v>9272.9866669999992</v>
          </cell>
          <cell r="R21">
            <v>9370.6405099999993</v>
          </cell>
          <cell r="S21">
            <v>9465.7364400000006</v>
          </cell>
          <cell r="T21">
            <v>9557.4239510000007</v>
          </cell>
          <cell r="U21">
            <v>9644.7409590000007</v>
          </cell>
          <cell r="V21">
            <v>9725.3479879999995</v>
          </cell>
          <cell r="W21">
            <v>9799.8676130000003</v>
          </cell>
          <cell r="X21">
            <v>9867.5262230000008</v>
          </cell>
          <cell r="Y21">
            <v>9927.5148430000008</v>
          </cell>
          <cell r="Z21">
            <v>9979.0623890000006</v>
          </cell>
          <cell r="AA21">
            <v>10017.626700000001</v>
          </cell>
          <cell r="AB21">
            <v>10045.745419999999</v>
          </cell>
          <cell r="AC21">
            <v>10063.48107</v>
          </cell>
          <cell r="AD21">
            <v>10070.646849999999</v>
          </cell>
          <cell r="AE21">
            <v>10066.883889999999</v>
          </cell>
          <cell r="AF21">
            <v>10051.82538</v>
          </cell>
          <cell r="AG21">
            <v>10025.219810000001</v>
          </cell>
          <cell r="AH21">
            <v>9986.9823329999999</v>
          </cell>
          <cell r="AI21">
            <v>9937.1794599999994</v>
          </cell>
          <cell r="AJ21">
            <v>9875.9742600000009</v>
          </cell>
          <cell r="AK21">
            <v>9803.565439</v>
          </cell>
        </row>
        <row r="22">
          <cell r="A22" t="str">
            <v>auto_cc_cfut_2</v>
          </cell>
          <cell r="B22">
            <v>6777.6024520000001</v>
          </cell>
          <cell r="C22">
            <v>6654.348199</v>
          </cell>
          <cell r="D22">
            <v>6575.8048419999996</v>
          </cell>
          <cell r="E22">
            <v>6526.1319450000001</v>
          </cell>
          <cell r="F22">
            <v>6495.3278060000002</v>
          </cell>
          <cell r="G22">
            <v>6477.500094</v>
          </cell>
          <cell r="H22">
            <v>6468.7221440000003</v>
          </cell>
          <cell r="I22">
            <v>6466.8097230000003</v>
          </cell>
          <cell r="J22">
            <v>6471.763191</v>
          </cell>
          <cell r="K22">
            <v>6486.4362369999999</v>
          </cell>
          <cell r="L22">
            <v>6512.4637489999996</v>
          </cell>
          <cell r="M22">
            <v>6546.1149400000004</v>
          </cell>
          <cell r="N22">
            <v>6583.7448979999999</v>
          </cell>
          <cell r="O22">
            <v>6621.9518879999996</v>
          </cell>
          <cell r="P22">
            <v>6658.3548650000002</v>
          </cell>
          <cell r="Q22">
            <v>6691.7821720000002</v>
          </cell>
          <cell r="R22">
            <v>6721.9653319999998</v>
          </cell>
          <cell r="S22">
            <v>6749.0484569999999</v>
          </cell>
          <cell r="T22">
            <v>6773.1475419999997</v>
          </cell>
          <cell r="U22">
            <v>6794.0981670000001</v>
          </cell>
          <cell r="V22">
            <v>6810.5379720000001</v>
          </cell>
          <cell r="W22">
            <v>6822.8364149999998</v>
          </cell>
          <cell r="X22">
            <v>6830.353016</v>
          </cell>
          <cell r="Y22">
            <v>6832.4992460000003</v>
          </cell>
          <cell r="Z22">
            <v>6828.8159519999999</v>
          </cell>
          <cell r="AA22">
            <v>6816.5392830000001</v>
          </cell>
          <cell r="AB22">
            <v>6797.5128800000002</v>
          </cell>
          <cell r="AC22">
            <v>6771.9863580000001</v>
          </cell>
          <cell r="AD22">
            <v>6740.0402819999999</v>
          </cell>
          <cell r="AE22">
            <v>6701.5813170000001</v>
          </cell>
          <cell r="AF22">
            <v>6656.4401930000004</v>
          </cell>
          <cell r="AG22">
            <v>6604.4678389999999</v>
          </cell>
          <cell r="AH22">
            <v>6545.5964270000004</v>
          </cell>
          <cell r="AI22">
            <v>6479.8556630000003</v>
          </cell>
          <cell r="AJ22">
            <v>6407.3540069999999</v>
          </cell>
          <cell r="AK22">
            <v>6328.2449189999998</v>
          </cell>
        </row>
        <row r="23">
          <cell r="A23" t="str">
            <v>auto_cc_cfut_0</v>
          </cell>
          <cell r="B23">
            <v>6777.6024520000001</v>
          </cell>
          <cell r="C23">
            <v>6654.348199</v>
          </cell>
          <cell r="D23">
            <v>6575.8048419999996</v>
          </cell>
          <cell r="E23">
            <v>6526.1319450000001</v>
          </cell>
          <cell r="F23">
            <v>6495.3278060000002</v>
          </cell>
          <cell r="G23">
            <v>6477.500094</v>
          </cell>
          <cell r="H23">
            <v>6468.6308310000004</v>
          </cell>
          <cell r="I23">
            <v>6467.2513870000002</v>
          </cell>
          <cell r="J23">
            <v>6472.5518499999998</v>
          </cell>
          <cell r="K23">
            <v>6483.8896610000002</v>
          </cell>
          <cell r="L23">
            <v>6501.6137840000001</v>
          </cell>
          <cell r="M23">
            <v>6523.238867</v>
          </cell>
          <cell r="N23">
            <v>6547.6166970000004</v>
          </cell>
          <cell r="O23">
            <v>6573.7068749999999</v>
          </cell>
          <cell r="P23">
            <v>6600.7097979999999</v>
          </cell>
          <cell r="Q23">
            <v>6627.9999120000002</v>
          </cell>
          <cell r="R23">
            <v>6655.0087510000003</v>
          </cell>
          <cell r="S23">
            <v>6681.1331810000001</v>
          </cell>
          <cell r="T23">
            <v>6705.6993819999998</v>
          </cell>
          <cell r="U23">
            <v>6727.9796050000004</v>
          </cell>
          <cell r="V23">
            <v>6746.3606589999999</v>
          </cell>
          <cell r="W23">
            <v>6761.1763279999996</v>
          </cell>
          <cell r="X23">
            <v>6771.8633680000003</v>
          </cell>
          <cell r="Y23">
            <v>6777.8470299999999</v>
          </cell>
          <cell r="Z23">
            <v>6778.585986</v>
          </cell>
          <cell r="AA23">
            <v>6771.1383450000003</v>
          </cell>
          <cell r="AB23">
            <v>6757.1036809999996</v>
          </cell>
          <cell r="AC23">
            <v>6736.5176270000002</v>
          </cell>
          <cell r="AD23">
            <v>6709.2774520000003</v>
          </cell>
          <cell r="AE23">
            <v>6675.1835199999996</v>
          </cell>
          <cell r="AF23">
            <v>6634.0367980000001</v>
          </cell>
          <cell r="AG23">
            <v>6585.713522</v>
          </cell>
          <cell r="AH23">
            <v>6530.1978630000003</v>
          </cell>
          <cell r="AI23">
            <v>6467.5747279999996</v>
          </cell>
          <cell r="AJ23">
            <v>6397.9982529999997</v>
          </cell>
          <cell r="AK23">
            <v>6321.6553979999999</v>
          </cell>
        </row>
        <row r="24">
          <cell r="A24" t="str">
            <v>auto_cd_cfut_2</v>
          </cell>
          <cell r="B24">
            <v>4159.6639080000004</v>
          </cell>
          <cell r="C24">
            <v>4058.9251899999999</v>
          </cell>
          <cell r="D24">
            <v>3983.9127709999998</v>
          </cell>
          <cell r="E24">
            <v>3925.4869250000002</v>
          </cell>
          <cell r="F24">
            <v>3877.871521</v>
          </cell>
          <cell r="G24">
            <v>3837.615804</v>
          </cell>
          <cell r="H24">
            <v>3802.3934380000001</v>
          </cell>
          <cell r="I24">
            <v>3770.6777259999999</v>
          </cell>
          <cell r="J24">
            <v>3741.8620820000001</v>
          </cell>
          <cell r="K24">
            <v>3717.2839090000002</v>
          </cell>
          <cell r="L24">
            <v>3698.011051</v>
          </cell>
          <cell r="M24">
            <v>3682.5377090000002</v>
          </cell>
          <cell r="N24">
            <v>3669.3423600000001</v>
          </cell>
          <cell r="O24">
            <v>3656.8724400000001</v>
          </cell>
          <cell r="P24">
            <v>3643.9315860000002</v>
          </cell>
          <cell r="Q24">
            <v>3629.84042</v>
          </cell>
          <cell r="R24">
            <v>3614.367956</v>
          </cell>
          <cell r="S24">
            <v>3597.5510690000001</v>
          </cell>
          <cell r="T24">
            <v>3579.5016609999998</v>
          </cell>
          <cell r="U24">
            <v>3560.2713399999998</v>
          </cell>
          <cell r="V24">
            <v>3539.3824840000002</v>
          </cell>
          <cell r="W24">
            <v>3517.1761540000002</v>
          </cell>
          <cell r="X24">
            <v>3493.50317</v>
          </cell>
          <cell r="Y24">
            <v>3468.209366</v>
          </cell>
          <cell r="Z24">
            <v>3441.1680289999999</v>
          </cell>
          <cell r="AA24">
            <v>3411.1667430000002</v>
          </cell>
          <cell r="AB24">
            <v>3379.0997910000001</v>
          </cell>
          <cell r="AC24">
            <v>3345.1533359999999</v>
          </cell>
          <cell r="AD24">
            <v>3309.4581600000001</v>
          </cell>
          <cell r="AE24">
            <v>3272.0648190000002</v>
          </cell>
          <cell r="AF24">
            <v>3232.9685679999998</v>
          </cell>
          <cell r="AG24">
            <v>3192.1432749999999</v>
          </cell>
          <cell r="AH24">
            <v>3149.569884</v>
          </cell>
          <cell r="AI24">
            <v>3105.2514120000001</v>
          </cell>
          <cell r="AJ24">
            <v>3059.2135039999998</v>
          </cell>
          <cell r="AK24">
            <v>3011.4953089999999</v>
          </cell>
        </row>
        <row r="25">
          <cell r="A25" t="str">
            <v>auto_cd_cfut_0</v>
          </cell>
          <cell r="B25">
            <v>4159.6639080000004</v>
          </cell>
          <cell r="C25">
            <v>4058.9251899999999</v>
          </cell>
          <cell r="D25">
            <v>3983.9127709999998</v>
          </cell>
          <cell r="E25">
            <v>3925.4869250000002</v>
          </cell>
          <cell r="F25">
            <v>3877.871521</v>
          </cell>
          <cell r="G25">
            <v>3837.615804</v>
          </cell>
          <cell r="H25">
            <v>3802.3547279999998</v>
          </cell>
          <cell r="I25">
            <v>3771.1581040000001</v>
          </cell>
          <cell r="J25">
            <v>3743.505936</v>
          </cell>
          <cell r="K25">
            <v>3719.0335129999999</v>
          </cell>
          <cell r="L25">
            <v>3697.9377079999999</v>
          </cell>
          <cell r="M25">
            <v>3678.9711130000001</v>
          </cell>
          <cell r="N25">
            <v>3661.547939</v>
          </cell>
          <cell r="O25">
            <v>3645.1056910000002</v>
          </cell>
          <cell r="P25">
            <v>3629.1960210000002</v>
          </cell>
          <cell r="Q25">
            <v>3613.4748770000001</v>
          </cell>
          <cell r="R25">
            <v>3597.6601260000002</v>
          </cell>
          <cell r="S25">
            <v>3581.4916760000001</v>
          </cell>
          <cell r="T25">
            <v>3564.7101240000002</v>
          </cell>
          <cell r="U25">
            <v>3547.0561339999999</v>
          </cell>
          <cell r="V25">
            <v>3527.8625830000001</v>
          </cell>
          <cell r="W25">
            <v>3507.3975310000001</v>
          </cell>
          <cell r="X25">
            <v>3485.5203200000001</v>
          </cell>
          <cell r="Y25">
            <v>3462.0897300000001</v>
          </cell>
          <cell r="Z25">
            <v>3436.9763349999998</v>
          </cell>
          <cell r="AA25">
            <v>3408.9295390000002</v>
          </cell>
          <cell r="AB25">
            <v>3378.7866819999999</v>
          </cell>
          <cell r="AC25">
            <v>3346.6815409999999</v>
          </cell>
          <cell r="AD25">
            <v>3312.692873</v>
          </cell>
          <cell r="AE25">
            <v>3276.8416649999999</v>
          </cell>
          <cell r="AF25">
            <v>3239.1203609999998</v>
          </cell>
          <cell r="AG25">
            <v>3199.5220570000001</v>
          </cell>
          <cell r="AH25">
            <v>3158.0594980000001</v>
          </cell>
          <cell r="AI25">
            <v>3114.7703350000002</v>
          </cell>
          <cell r="AJ25">
            <v>3069.7108109999999</v>
          </cell>
          <cell r="AK25">
            <v>3022.9435250000001</v>
          </cell>
        </row>
        <row r="26">
          <cell r="A26" t="str">
            <v>auto_ce_cfut_2</v>
          </cell>
          <cell r="B26">
            <v>2503.7292430000002</v>
          </cell>
          <cell r="C26">
            <v>2445.462779</v>
          </cell>
          <cell r="D26">
            <v>2401.8388690000002</v>
          </cell>
          <cell r="E26">
            <v>2367.1420520000001</v>
          </cell>
          <cell r="F26">
            <v>2337.7747199999999</v>
          </cell>
          <cell r="G26">
            <v>2311.5776919999998</v>
          </cell>
          <cell r="H26">
            <v>2287.0902809999998</v>
          </cell>
          <cell r="I26">
            <v>2263.2535229999999</v>
          </cell>
          <cell r="J26">
            <v>2239.4432310000002</v>
          </cell>
          <cell r="K26">
            <v>2216.408257</v>
          </cell>
          <cell r="L26">
            <v>2194.9299780000001</v>
          </cell>
          <cell r="M26">
            <v>2174.4296559999998</v>
          </cell>
          <cell r="N26">
            <v>2154.2981909999999</v>
          </cell>
          <cell r="O26">
            <v>2133.8375150000002</v>
          </cell>
          <cell r="P26">
            <v>2112.467506</v>
          </cell>
          <cell r="Q26">
            <v>2089.8414280000002</v>
          </cell>
          <cell r="R26">
            <v>2065.8455490000001</v>
          </cell>
          <cell r="S26">
            <v>2040.5293799999999</v>
          </cell>
          <cell r="T26">
            <v>2014.0131719999999</v>
          </cell>
          <cell r="U26">
            <v>1986.411478</v>
          </cell>
          <cell r="V26">
            <v>1957.586417</v>
          </cell>
          <cell r="W26">
            <v>1927.8004570000001</v>
          </cell>
          <cell r="X26">
            <v>1897.0635150000001</v>
          </cell>
          <cell r="Y26">
            <v>1865.3691570000001</v>
          </cell>
          <cell r="Z26">
            <v>1832.7107940000001</v>
          </cell>
          <cell r="AA26">
            <v>1798.5768069999999</v>
          </cell>
          <cell r="AB26">
            <v>1763.426622</v>
          </cell>
          <cell r="AC26">
            <v>1727.402413</v>
          </cell>
          <cell r="AD26">
            <v>1690.6313439999999</v>
          </cell>
          <cell r="AE26">
            <v>1653.2070189999999</v>
          </cell>
          <cell r="AF26">
            <v>1615.194532</v>
          </cell>
          <cell r="AG26">
            <v>1576.6426449999999</v>
          </cell>
          <cell r="AH26">
            <v>1537.5967129999999</v>
          </cell>
          <cell r="AI26">
            <v>1498.1076310000001</v>
          </cell>
          <cell r="AJ26">
            <v>1458.234841</v>
          </cell>
          <cell r="AK26">
            <v>1418.0443069999999</v>
          </cell>
        </row>
        <row r="27">
          <cell r="A27" t="str">
            <v>auto_ce_cfut_0</v>
          </cell>
          <cell r="B27">
            <v>2503.7292430000002</v>
          </cell>
          <cell r="C27">
            <v>2445.462779</v>
          </cell>
          <cell r="D27">
            <v>2401.8388690000002</v>
          </cell>
          <cell r="E27">
            <v>2367.1420520000001</v>
          </cell>
          <cell r="F27">
            <v>2337.7747199999999</v>
          </cell>
          <cell r="G27">
            <v>2311.5776919999998</v>
          </cell>
          <cell r="H27">
            <v>2287.072952</v>
          </cell>
          <cell r="I27">
            <v>2263.6687019999999</v>
          </cell>
          <cell r="J27">
            <v>2241.047497</v>
          </cell>
          <cell r="K27">
            <v>2219.0218610000002</v>
          </cell>
          <cell r="L27">
            <v>2197.7553849999999</v>
          </cell>
          <cell r="M27">
            <v>2176.6089510000002</v>
          </cell>
          <cell r="N27">
            <v>2155.3144870000001</v>
          </cell>
          <cell r="O27">
            <v>2133.609692</v>
          </cell>
          <cell r="P27">
            <v>2111.297063</v>
          </cell>
          <cell r="Q27">
            <v>2088.2460080000001</v>
          </cell>
          <cell r="R27">
            <v>2064.3733910000001</v>
          </cell>
          <cell r="S27">
            <v>2039.621216</v>
          </cell>
          <cell r="T27">
            <v>2013.9411279999999</v>
          </cell>
          <cell r="U27">
            <v>1987.2887229999999</v>
          </cell>
          <cell r="V27">
            <v>1959.415904</v>
          </cell>
          <cell r="W27">
            <v>1930.5362929999999</v>
          </cell>
          <cell r="X27">
            <v>1900.6604589999999</v>
          </cell>
          <cell r="Y27">
            <v>1869.7953769999999</v>
          </cell>
          <cell r="Z27">
            <v>1837.9485179999999</v>
          </cell>
          <cell r="AA27">
            <v>1804.6059909999999</v>
          </cell>
          <cell r="AB27">
            <v>1770.217709</v>
          </cell>
          <cell r="AC27">
            <v>1734.9133400000001</v>
          </cell>
          <cell r="AD27">
            <v>1698.8017170000001</v>
          </cell>
          <cell r="AE27">
            <v>1661.9631850000001</v>
          </cell>
          <cell r="AF27">
            <v>1624.4585139999999</v>
          </cell>
          <cell r="AG27">
            <v>1586.340966</v>
          </cell>
          <cell r="AH27">
            <v>1547.666395</v>
          </cell>
          <cell r="AI27">
            <v>1508.4984300000001</v>
          </cell>
          <cell r="AJ27">
            <v>1468.908328</v>
          </cell>
          <cell r="AK27">
            <v>1428.9711380000001</v>
          </cell>
        </row>
        <row r="28">
          <cell r="A28" t="str">
            <v>auto_cf_cfut_2</v>
          </cell>
          <cell r="B28">
            <v>1243.6668460000001</v>
          </cell>
          <cell r="C28">
            <v>1211.942501</v>
          </cell>
          <cell r="D28">
            <v>1186.0978729999999</v>
          </cell>
          <cell r="E28">
            <v>1163.20463</v>
          </cell>
          <cell r="F28">
            <v>1141.4631879999999</v>
          </cell>
          <cell r="G28">
            <v>1119.8068510000001</v>
          </cell>
          <cell r="H28">
            <v>1097.5405499999999</v>
          </cell>
          <cell r="I28">
            <v>1074.0706740000001</v>
          </cell>
          <cell r="J28">
            <v>1048.8936409999999</v>
          </cell>
          <cell r="K28">
            <v>1022.410558</v>
          </cell>
          <cell r="L28">
            <v>995.25795159999996</v>
          </cell>
          <cell r="M28">
            <v>967.65740670000002</v>
          </cell>
          <cell r="N28">
            <v>939.75644220000004</v>
          </cell>
          <cell r="O28">
            <v>911.56515090000005</v>
          </cell>
          <cell r="P28">
            <v>883.03430849999995</v>
          </cell>
          <cell r="Q28">
            <v>854.13404969999999</v>
          </cell>
          <cell r="R28">
            <v>824.89605789999996</v>
          </cell>
          <cell r="S28">
            <v>795.41697859999999</v>
          </cell>
          <cell r="T28">
            <v>765.83520250000004</v>
          </cell>
          <cell r="U28">
            <v>736.29949450000004</v>
          </cell>
          <cell r="V28">
            <v>706.8971272</v>
          </cell>
          <cell r="W28">
            <v>677.79101920000005</v>
          </cell>
          <cell r="X28">
            <v>649.06835960000001</v>
          </cell>
          <cell r="Y28">
            <v>620.79401829999995</v>
          </cell>
          <cell r="Z28">
            <v>593.01676410000005</v>
          </cell>
          <cell r="AA28">
            <v>565.68578960000002</v>
          </cell>
          <cell r="AB28">
            <v>538.91933870000003</v>
          </cell>
          <cell r="AC28">
            <v>512.77805720000003</v>
          </cell>
          <cell r="AD28">
            <v>487.31887819999997</v>
          </cell>
          <cell r="AE28">
            <v>462.58765840000001</v>
          </cell>
          <cell r="AF28">
            <v>438.61747059999999</v>
          </cell>
          <cell r="AG28">
            <v>415.43017750000001</v>
          </cell>
          <cell r="AH28">
            <v>393.03961340000001</v>
          </cell>
          <cell r="AI28">
            <v>371.45468649999998</v>
          </cell>
          <cell r="AJ28">
            <v>350.68134029999999</v>
          </cell>
          <cell r="AK28">
            <v>330.72317529999998</v>
          </cell>
        </row>
        <row r="29">
          <cell r="A29" t="str">
            <v>auto_cf_cfut_0</v>
          </cell>
          <cell r="B29">
            <v>1243.6668460000001</v>
          </cell>
          <cell r="C29">
            <v>1211.942501</v>
          </cell>
          <cell r="D29">
            <v>1186.0978729999999</v>
          </cell>
          <cell r="E29">
            <v>1163.20463</v>
          </cell>
          <cell r="F29">
            <v>1141.4631879999999</v>
          </cell>
          <cell r="G29">
            <v>1119.8068510000001</v>
          </cell>
          <cell r="H29">
            <v>1097.5410959999999</v>
          </cell>
          <cell r="I29">
            <v>1074.4211740000001</v>
          </cell>
          <cell r="J29">
            <v>1050.377127</v>
          </cell>
          <cell r="K29">
            <v>1025.451468</v>
          </cell>
          <cell r="L29">
            <v>999.85695459999999</v>
          </cell>
          <cell r="M29">
            <v>973.52905009999995</v>
          </cell>
          <cell r="N29">
            <v>946.52720009999996</v>
          </cell>
          <cell r="O29">
            <v>918.89906459999997</v>
          </cell>
          <cell r="P29">
            <v>890.71066080000003</v>
          </cell>
          <cell r="Q29">
            <v>862.05383840000002</v>
          </cell>
          <cell r="R29">
            <v>833.04129439999997</v>
          </cell>
          <cell r="S29">
            <v>803.7962374</v>
          </cell>
          <cell r="T29">
            <v>774.44198659999995</v>
          </cell>
          <cell r="U29">
            <v>745.09471040000005</v>
          </cell>
          <cell r="V29">
            <v>715.81115320000004</v>
          </cell>
          <cell r="W29">
            <v>686.74185920000002</v>
          </cell>
          <cell r="X29">
            <v>657.97989440000003</v>
          </cell>
          <cell r="Y29">
            <v>629.60541190000004</v>
          </cell>
          <cell r="Z29">
            <v>601.6862926</v>
          </cell>
          <cell r="AA29">
            <v>574.18572349999999</v>
          </cell>
          <cell r="AB29">
            <v>547.23374290000004</v>
          </cell>
          <cell r="AC29">
            <v>520.89763140000002</v>
          </cell>
          <cell r="AD29">
            <v>495.23576639999999</v>
          </cell>
          <cell r="AE29">
            <v>470.29327180000001</v>
          </cell>
          <cell r="AF29">
            <v>446.10236220000002</v>
          </cell>
          <cell r="AG29">
            <v>422.68503420000002</v>
          </cell>
          <cell r="AH29">
            <v>400.05644289999998</v>
          </cell>
          <cell r="AI29">
            <v>378.22759129999997</v>
          </cell>
          <cell r="AJ29">
            <v>357.20670009999998</v>
          </cell>
          <cell r="AK29">
            <v>336.99936509999998</v>
          </cell>
        </row>
        <row r="30">
          <cell r="A30" t="str">
            <v>auto_cg_cfut_2</v>
          </cell>
          <cell r="B30">
            <v>2239.620606</v>
          </cell>
          <cell r="C30">
            <v>2185.8639629999998</v>
          </cell>
          <cell r="D30">
            <v>2140.3683099999998</v>
          </cell>
          <cell r="E30">
            <v>2097.5453309999998</v>
          </cell>
          <cell r="F30">
            <v>2054.1150779999998</v>
          </cell>
          <cell r="G30">
            <v>2008.25449</v>
          </cell>
          <cell r="H30">
            <v>1958.9096939999999</v>
          </cell>
          <cell r="I30">
            <v>1905.152493</v>
          </cell>
          <cell r="J30">
            <v>1846.179697</v>
          </cell>
          <cell r="K30">
            <v>1783.1096580000001</v>
          </cell>
          <cell r="L30">
            <v>1717.629101</v>
          </cell>
          <cell r="M30">
            <v>1650.8147100000001</v>
          </cell>
          <cell r="N30">
            <v>1583.4797229999999</v>
          </cell>
          <cell r="O30">
            <v>1516.067607</v>
          </cell>
          <cell r="P30">
            <v>1448.797703</v>
          </cell>
          <cell r="Q30">
            <v>1381.8311100000001</v>
          </cell>
          <cell r="R30">
            <v>1315.3738269999999</v>
          </cell>
          <cell r="S30">
            <v>1249.7022919999999</v>
          </cell>
          <cell r="T30">
            <v>1185.1337799999999</v>
          </cell>
          <cell r="U30">
            <v>1121.9783150000001</v>
          </cell>
          <cell r="V30">
            <v>1060.4558959999999</v>
          </cell>
          <cell r="W30">
            <v>1000.819895</v>
          </cell>
          <cell r="X30">
            <v>943.21628459999999</v>
          </cell>
          <cell r="Y30">
            <v>887.73956750000002</v>
          </cell>
          <cell r="Z30">
            <v>834.44509719999996</v>
          </cell>
          <cell r="AA30">
            <v>783.29505329999995</v>
          </cell>
          <cell r="AB30">
            <v>734.36611870000002</v>
          </cell>
          <cell r="AC30">
            <v>687.68086349999999</v>
          </cell>
          <cell r="AD30">
            <v>643.24910869999997</v>
          </cell>
          <cell r="AE30">
            <v>601.06188220000001</v>
          </cell>
          <cell r="AF30">
            <v>561.0910202</v>
          </cell>
          <cell r="AG30">
            <v>523.29217440000002</v>
          </cell>
          <cell r="AH30">
            <v>487.6092233</v>
          </cell>
          <cell r="AI30">
            <v>453.97833800000001</v>
          </cell>
          <cell r="AJ30">
            <v>422.33078990000001</v>
          </cell>
          <cell r="AK30">
            <v>392.59445929999998</v>
          </cell>
        </row>
        <row r="31">
          <cell r="A31" t="str">
            <v>auto_cg_cfut_0</v>
          </cell>
          <cell r="B31">
            <v>2239.620606</v>
          </cell>
          <cell r="C31">
            <v>2185.8639629999998</v>
          </cell>
          <cell r="D31">
            <v>2140.3683099999998</v>
          </cell>
          <cell r="E31">
            <v>2097.5453309999998</v>
          </cell>
          <cell r="F31">
            <v>2054.1150779999998</v>
          </cell>
          <cell r="G31">
            <v>2008.25449</v>
          </cell>
          <cell r="H31">
            <v>1958.9213110000001</v>
          </cell>
          <cell r="I31">
            <v>1905.9541340000001</v>
          </cell>
          <cell r="J31">
            <v>1849.570923</v>
          </cell>
          <cell r="K31">
            <v>1790.2408789999999</v>
          </cell>
          <cell r="L31">
            <v>1728.7162149999999</v>
          </cell>
          <cell r="M31">
            <v>1665.3327939999999</v>
          </cell>
          <cell r="N31">
            <v>1600.5632499999999</v>
          </cell>
          <cell r="O31">
            <v>1534.8180729999999</v>
          </cell>
          <cell r="P31">
            <v>1468.4988129999999</v>
          </cell>
          <cell r="Q31">
            <v>1402.013463</v>
          </cell>
          <cell r="R31">
            <v>1335.7686630000001</v>
          </cell>
          <cell r="S31">
            <v>1270.151795</v>
          </cell>
          <cell r="T31">
            <v>1205.513438</v>
          </cell>
          <cell r="U31">
            <v>1142.1563430000001</v>
          </cell>
          <cell r="V31">
            <v>1080.2850780000001</v>
          </cell>
          <cell r="W31">
            <v>1020.1567230000001</v>
          </cell>
          <cell r="X31">
            <v>961.94086589999995</v>
          </cell>
          <cell r="Y31">
            <v>905.76554169999997</v>
          </cell>
          <cell r="Z31">
            <v>851.72164599999996</v>
          </cell>
          <cell r="AA31">
            <v>799.79790360000004</v>
          </cell>
          <cell r="AB31">
            <v>750.09251080000001</v>
          </cell>
          <cell r="AC31">
            <v>702.64072280000005</v>
          </cell>
          <cell r="AD31">
            <v>657.45771249999996</v>
          </cell>
          <cell r="AE31">
            <v>614.53608529999997</v>
          </cell>
          <cell r="AF31">
            <v>573.84804829999996</v>
          </cell>
          <cell r="AG31">
            <v>535.3498707</v>
          </cell>
          <cell r="AH31">
            <v>498.98671919999998</v>
          </cell>
          <cell r="AI31">
            <v>464.69650000000001</v>
          </cell>
          <cell r="AJ31">
            <v>432.41223789999998</v>
          </cell>
          <cell r="AK31">
            <v>402.06324319999999</v>
          </cell>
        </row>
        <row r="32">
          <cell r="A32" t="str">
            <v>auto_ca_cele_2</v>
          </cell>
          <cell r="B32">
            <v>9.8427898650000003</v>
          </cell>
          <cell r="C32">
            <v>15.122730689999999</v>
          </cell>
          <cell r="D32">
            <v>20.923956789999998</v>
          </cell>
          <cell r="E32">
            <v>27.334665529999999</v>
          </cell>
          <cell r="F32">
            <v>34.618435550000001</v>
          </cell>
          <cell r="G32">
            <v>43.191274909999997</v>
          </cell>
          <cell r="H32">
            <v>53.573028190000002</v>
          </cell>
          <cell r="I32">
            <v>66.398733390000004</v>
          </cell>
          <cell r="J32">
            <v>82.366308439999997</v>
          </cell>
          <cell r="K32">
            <v>102.2674851</v>
          </cell>
          <cell r="L32">
            <v>126.7917818</v>
          </cell>
          <cell r="M32">
            <v>156.20882889999999</v>
          </cell>
          <cell r="N32">
            <v>190.57990340000001</v>
          </cell>
          <cell r="O32">
            <v>229.83638830000001</v>
          </cell>
          <cell r="P32">
            <v>273.9382584</v>
          </cell>
          <cell r="Q32">
            <v>322.98686679999997</v>
          </cell>
          <cell r="R32">
            <v>377.25893339999999</v>
          </cell>
          <cell r="S32">
            <v>437.17889350000002</v>
          </cell>
          <cell r="T32">
            <v>503.26135849999997</v>
          </cell>
          <cell r="U32">
            <v>576.05468370000006</v>
          </cell>
          <cell r="V32">
            <v>655.94204179999997</v>
          </cell>
          <cell r="W32">
            <v>743.63864120000005</v>
          </cell>
          <cell r="X32">
            <v>839.70917870000005</v>
          </cell>
          <cell r="Y32">
            <v>944.74213450000002</v>
          </cell>
          <cell r="Z32">
            <v>1059.3615709999999</v>
          </cell>
          <cell r="AA32">
            <v>1183.4446370000001</v>
          </cell>
          <cell r="AB32">
            <v>1318.1805859999999</v>
          </cell>
          <cell r="AC32">
            <v>1464.302281</v>
          </cell>
          <cell r="AD32">
            <v>1622.4535169999999</v>
          </cell>
          <cell r="AE32">
            <v>1793.1571899999999</v>
          </cell>
          <cell r="AF32">
            <v>1976.8388990000001</v>
          </cell>
          <cell r="AG32">
            <v>2173.8705380000001</v>
          </cell>
          <cell r="AH32">
            <v>2384.6118150000002</v>
          </cell>
          <cell r="AI32">
            <v>2609.4330089999999</v>
          </cell>
          <cell r="AJ32">
            <v>2848.7126029999999</v>
          </cell>
          <cell r="AK32">
            <v>3102.8149410000001</v>
          </cell>
        </row>
        <row r="33">
          <cell r="A33" t="str">
            <v>auto_ca_cele_0</v>
          </cell>
          <cell r="B33">
            <v>9.8427898650000003</v>
          </cell>
          <cell r="C33">
            <v>15.122730689999999</v>
          </cell>
          <cell r="D33">
            <v>20.923956789999998</v>
          </cell>
          <cell r="E33">
            <v>27.334665529999999</v>
          </cell>
          <cell r="F33">
            <v>34.618435550000001</v>
          </cell>
          <cell r="G33">
            <v>43.191274909999997</v>
          </cell>
          <cell r="H33">
            <v>53.568060430000003</v>
          </cell>
          <cell r="I33">
            <v>66.355212330000001</v>
          </cell>
          <cell r="J33">
            <v>82.182104069999994</v>
          </cell>
          <cell r="K33">
            <v>101.65440099999999</v>
          </cell>
          <cell r="L33">
            <v>125.36755719999999</v>
          </cell>
          <cell r="M33">
            <v>153.69558599999999</v>
          </cell>
          <cell r="N33">
            <v>186.9739174</v>
          </cell>
          <cell r="O33">
            <v>225.45209439999999</v>
          </cell>
          <cell r="P33">
            <v>269.32826460000001</v>
          </cell>
          <cell r="Q33">
            <v>318.77497670000002</v>
          </cell>
          <cell r="R33">
            <v>373.95924910000002</v>
          </cell>
          <cell r="S33">
            <v>435.06086570000002</v>
          </cell>
          <cell r="T33">
            <v>502.29140210000003</v>
          </cell>
          <cell r="U33">
            <v>575.91429919999996</v>
          </cell>
          <cell r="V33">
            <v>656.09790439999995</v>
          </cell>
          <cell r="W33">
            <v>743.43028440000001</v>
          </cell>
          <cell r="X33">
            <v>838.42374150000001</v>
          </cell>
          <cell r="Y33">
            <v>941.65474500000005</v>
          </cell>
          <cell r="Z33">
            <v>1053.7562909999999</v>
          </cell>
          <cell r="AA33">
            <v>1174.6380879999999</v>
          </cell>
          <cell r="AB33">
            <v>1305.4956769999999</v>
          </cell>
          <cell r="AC33">
            <v>1447.0911590000001</v>
          </cell>
          <cell r="AD33">
            <v>1600.110134</v>
          </cell>
          <cell r="AE33">
            <v>1765.1448680000001</v>
          </cell>
          <cell r="AF33">
            <v>1942.716705</v>
          </cell>
          <cell r="AG33">
            <v>2133.3078310000001</v>
          </cell>
          <cell r="AH33">
            <v>2337.3852270000002</v>
          </cell>
          <cell r="AI33">
            <v>2555.4068900000002</v>
          </cell>
          <cell r="AJ33">
            <v>2787.8096609999998</v>
          </cell>
          <cell r="AK33">
            <v>3034.9859019999999</v>
          </cell>
        </row>
        <row r="34">
          <cell r="A34" t="str">
            <v>auto_cb_cele_2</v>
          </cell>
          <cell r="B34">
            <v>11.44571741</v>
          </cell>
          <cell r="C34">
            <v>16.432302660000001</v>
          </cell>
          <cell r="D34">
            <v>21.927222690000001</v>
          </cell>
          <cell r="E34">
            <v>28.027346590000001</v>
          </cell>
          <cell r="F34">
            <v>35.001650959999999</v>
          </cell>
          <cell r="G34">
            <v>43.26687622</v>
          </cell>
          <cell r="H34">
            <v>53.337839600000002</v>
          </cell>
          <cell r="I34">
            <v>65.832627459999998</v>
          </cell>
          <cell r="J34">
            <v>81.416365409999997</v>
          </cell>
          <cell r="K34">
            <v>100.8389998</v>
          </cell>
          <cell r="L34">
            <v>124.748559</v>
          </cell>
          <cell r="M34">
            <v>153.38382089999999</v>
          </cell>
          <cell r="N34">
            <v>186.77985169999999</v>
          </cell>
          <cell r="O34">
            <v>224.84173699999999</v>
          </cell>
          <cell r="P34">
            <v>267.49567050000002</v>
          </cell>
          <cell r="Q34">
            <v>314.7970067</v>
          </cell>
          <cell r="R34">
            <v>366.96349550000002</v>
          </cell>
          <cell r="S34">
            <v>424.34978899999999</v>
          </cell>
          <cell r="T34">
            <v>487.39307250000002</v>
          </cell>
          <cell r="U34">
            <v>556.55891780000002</v>
          </cell>
          <cell r="V34">
            <v>632.15027139999995</v>
          </cell>
          <cell r="W34">
            <v>714.7785331</v>
          </cell>
          <cell r="X34">
            <v>804.90168440000002</v>
          </cell>
          <cell r="Y34">
            <v>902.98734869999998</v>
          </cell>
          <cell r="Z34">
            <v>1009.5213</v>
          </cell>
          <cell r="AA34">
            <v>1124.2759550000001</v>
          </cell>
          <cell r="AB34">
            <v>1248.23478</v>
          </cell>
          <cell r="AC34">
            <v>1381.9432650000001</v>
          </cell>
          <cell r="AD34">
            <v>1525.855881</v>
          </cell>
          <cell r="AE34">
            <v>1680.306022</v>
          </cell>
          <cell r="AF34">
            <v>1845.5259140000001</v>
          </cell>
          <cell r="AG34">
            <v>2021.6846969999999</v>
          </cell>
          <cell r="AH34">
            <v>2208.9254369999999</v>
          </cell>
          <cell r="AI34">
            <v>2407.3864469999999</v>
          </cell>
          <cell r="AJ34">
            <v>2617.2011080000002</v>
          </cell>
          <cell r="AK34">
            <v>2838.4803539999998</v>
          </cell>
        </row>
        <row r="35">
          <cell r="A35" t="str">
            <v>auto_cb_cele_0</v>
          </cell>
          <cell r="B35">
            <v>11.44571741</v>
          </cell>
          <cell r="C35">
            <v>16.432302660000001</v>
          </cell>
          <cell r="D35">
            <v>21.927222690000001</v>
          </cell>
          <cell r="E35">
            <v>28.027346590000001</v>
          </cell>
          <cell r="F35">
            <v>35.001650959999999</v>
          </cell>
          <cell r="G35">
            <v>43.26687622</v>
          </cell>
          <cell r="H35">
            <v>53.333123659999998</v>
          </cell>
          <cell r="I35">
            <v>65.794453809999993</v>
          </cell>
          <cell r="J35">
            <v>81.260583240000003</v>
          </cell>
          <cell r="K35">
            <v>100.3108967</v>
          </cell>
          <cell r="L35">
            <v>123.5081725</v>
          </cell>
          <cell r="M35">
            <v>151.19201000000001</v>
          </cell>
          <cell r="N35">
            <v>183.65777080000001</v>
          </cell>
          <cell r="O35">
            <v>221.11052419999999</v>
          </cell>
          <cell r="P35">
            <v>263.6996924</v>
          </cell>
          <cell r="Q35">
            <v>311.54536839999997</v>
          </cell>
          <cell r="R35">
            <v>364.75886869999999</v>
          </cell>
          <cell r="S35">
            <v>423.4609997</v>
          </cell>
          <cell r="T35">
            <v>487.80020510000003</v>
          </cell>
          <cell r="U35">
            <v>557.97087079999994</v>
          </cell>
          <cell r="V35">
            <v>634.07125059999998</v>
          </cell>
          <cell r="W35">
            <v>716.59337649999998</v>
          </cell>
          <cell r="X35">
            <v>805.94889739999996</v>
          </cell>
          <cell r="Y35">
            <v>902.60044240000002</v>
          </cell>
          <cell r="Z35">
            <v>1007.052004</v>
          </cell>
          <cell r="AA35">
            <v>1119.1170279999999</v>
          </cell>
          <cell r="AB35">
            <v>1239.7996519999999</v>
          </cell>
          <cell r="AC35">
            <v>1369.686334</v>
          </cell>
          <cell r="AD35">
            <v>1509.281939</v>
          </cell>
          <cell r="AE35">
            <v>1658.992563</v>
          </cell>
          <cell r="AF35">
            <v>1819.144231</v>
          </cell>
          <cell r="AG35">
            <v>1990.0106559999999</v>
          </cell>
          <cell r="AH35">
            <v>2171.8350169999999</v>
          </cell>
          <cell r="AI35">
            <v>2364.8369010000001</v>
          </cell>
          <cell r="AJ35">
            <v>2569.203606</v>
          </cell>
          <cell r="AK35">
            <v>2785.0717570000002</v>
          </cell>
        </row>
        <row r="36">
          <cell r="A36" t="str">
            <v>auto_cc_cele_2</v>
          </cell>
          <cell r="B36">
            <v>9.4015406210000005</v>
          </cell>
          <cell r="C36">
            <v>12.79216619</v>
          </cell>
          <cell r="D36">
            <v>16.53967755</v>
          </cell>
          <cell r="E36">
            <v>20.71877834</v>
          </cell>
          <cell r="F36">
            <v>25.52549539</v>
          </cell>
          <cell r="G36">
            <v>31.258694510000002</v>
          </cell>
          <cell r="H36">
            <v>38.283612900000001</v>
          </cell>
          <cell r="I36">
            <v>47.031457340000003</v>
          </cell>
          <cell r="J36">
            <v>57.956425279999998</v>
          </cell>
          <cell r="K36">
            <v>71.567588610000001</v>
          </cell>
          <cell r="L36">
            <v>88.301241660000002</v>
          </cell>
          <cell r="M36">
            <v>108.307498</v>
          </cell>
          <cell r="N36">
            <v>131.5938104</v>
          </cell>
          <cell r="O36">
            <v>158.07466170000001</v>
          </cell>
          <cell r="P36">
            <v>187.6749561</v>
          </cell>
          <cell r="Q36">
            <v>220.4043638</v>
          </cell>
          <cell r="R36">
            <v>256.38071960000002</v>
          </cell>
          <cell r="S36">
            <v>295.8132751</v>
          </cell>
          <cell r="T36">
            <v>338.965914</v>
          </cell>
          <cell r="U36">
            <v>386.11993360000002</v>
          </cell>
          <cell r="V36">
            <v>437.44249810000002</v>
          </cell>
          <cell r="W36">
            <v>493.30706780000003</v>
          </cell>
          <cell r="X36">
            <v>553.97629140000004</v>
          </cell>
          <cell r="Y36">
            <v>619.71169999999995</v>
          </cell>
          <cell r="Z36">
            <v>690.77796650000005</v>
          </cell>
          <cell r="AA36">
            <v>766.95223550000003</v>
          </cell>
          <cell r="AB36">
            <v>848.81566399999997</v>
          </cell>
          <cell r="AC36">
            <v>936.64971409999998</v>
          </cell>
          <cell r="AD36">
            <v>1030.671495</v>
          </cell>
          <cell r="AE36">
            <v>1131.013535</v>
          </cell>
          <cell r="AF36">
            <v>1237.73596</v>
          </cell>
          <cell r="AG36">
            <v>1350.8505990000001</v>
          </cell>
          <cell r="AH36">
            <v>1470.3449869999999</v>
          </cell>
          <cell r="AI36">
            <v>1596.197007</v>
          </cell>
          <cell r="AJ36">
            <v>1728.376299</v>
          </cell>
          <cell r="AK36">
            <v>1866.8347940000001</v>
          </cell>
        </row>
        <row r="37">
          <cell r="A37" t="str">
            <v>auto_cc_cele_0</v>
          </cell>
          <cell r="B37">
            <v>9.4015406210000005</v>
          </cell>
          <cell r="C37">
            <v>12.79216619</v>
          </cell>
          <cell r="D37">
            <v>16.53967755</v>
          </cell>
          <cell r="E37">
            <v>20.71877834</v>
          </cell>
          <cell r="F37">
            <v>25.52549539</v>
          </cell>
          <cell r="G37">
            <v>31.258694510000002</v>
          </cell>
          <cell r="H37">
            <v>38.280395839999997</v>
          </cell>
          <cell r="I37">
            <v>47.007670419999997</v>
          </cell>
          <cell r="J37">
            <v>57.863816810000003</v>
          </cell>
          <cell r="K37">
            <v>71.245891189999995</v>
          </cell>
          <cell r="L37">
            <v>87.534805359999993</v>
          </cell>
          <cell r="M37">
            <v>106.95034099999999</v>
          </cell>
          <cell r="N37">
            <v>129.67700930000001</v>
          </cell>
          <cell r="O37">
            <v>155.83191350000001</v>
          </cell>
          <cell r="P37">
            <v>185.48976809999999</v>
          </cell>
          <cell r="Q37">
            <v>218.7021804</v>
          </cell>
          <cell r="R37">
            <v>255.51275749999999</v>
          </cell>
          <cell r="S37">
            <v>295.9702193</v>
          </cell>
          <cell r="T37">
            <v>340.14086029999999</v>
          </cell>
          <cell r="U37">
            <v>388.12054920000003</v>
          </cell>
          <cell r="V37">
            <v>439.93626460000002</v>
          </cell>
          <cell r="W37">
            <v>495.88075759999998</v>
          </cell>
          <cell r="X37">
            <v>556.1870801</v>
          </cell>
          <cell r="Y37">
            <v>621.11725239999998</v>
          </cell>
          <cell r="Z37">
            <v>690.95433700000001</v>
          </cell>
          <cell r="AA37">
            <v>765.50957449999999</v>
          </cell>
          <cell r="AB37">
            <v>845.38706090000005</v>
          </cell>
          <cell r="AC37">
            <v>930.90390760000003</v>
          </cell>
          <cell r="AD37">
            <v>1022.317533</v>
          </cell>
          <cell r="AE37">
            <v>1119.8133969999999</v>
          </cell>
          <cell r="AF37">
            <v>1223.516347</v>
          </cell>
          <cell r="AG37">
            <v>1333.508317</v>
          </cell>
          <cell r="AH37">
            <v>1449.842881</v>
          </cell>
          <cell r="AI37">
            <v>1572.550962</v>
          </cell>
          <cell r="AJ37">
            <v>1701.6369360000001</v>
          </cell>
          <cell r="AK37">
            <v>1837.0686499999999</v>
          </cell>
        </row>
        <row r="38">
          <cell r="A38" t="str">
            <v>auto_cd_cele_2</v>
          </cell>
          <cell r="B38">
            <v>5.770071272</v>
          </cell>
          <cell r="C38">
            <v>7.6042050400000001</v>
          </cell>
          <cell r="D38">
            <v>9.5575772790000002</v>
          </cell>
          <cell r="E38">
            <v>11.592278690000001</v>
          </cell>
          <cell r="F38">
            <v>13.70861287</v>
          </cell>
          <cell r="G38">
            <v>15.93527896</v>
          </cell>
          <cell r="H38">
            <v>18.315553019999999</v>
          </cell>
          <cell r="I38">
            <v>20.905404959999998</v>
          </cell>
          <cell r="J38">
            <v>23.764272739999999</v>
          </cell>
          <cell r="K38">
            <v>26.971986489999999</v>
          </cell>
          <cell r="L38">
            <v>30.59707457</v>
          </cell>
          <cell r="M38">
            <v>34.650577220000002</v>
          </cell>
          <cell r="N38">
            <v>39.122355810000002</v>
          </cell>
          <cell r="O38">
            <v>43.986848219999999</v>
          </cell>
          <cell r="P38">
            <v>49.219651859999999</v>
          </cell>
          <cell r="Q38">
            <v>54.809528980000003</v>
          </cell>
          <cell r="R38">
            <v>60.762341300000003</v>
          </cell>
          <cell r="S38">
            <v>67.098678300000003</v>
          </cell>
          <cell r="T38">
            <v>73.848244649999998</v>
          </cell>
          <cell r="U38">
            <v>81.043990730000004</v>
          </cell>
          <cell r="V38">
            <v>88.700363800000005</v>
          </cell>
          <cell r="W38">
            <v>96.865751970000005</v>
          </cell>
          <cell r="X38">
            <v>105.569823</v>
          </cell>
          <cell r="Y38">
            <v>114.8411971</v>
          </cell>
          <cell r="Z38">
            <v>124.7079797</v>
          </cell>
          <cell r="AA38">
            <v>135.12496899999999</v>
          </cell>
          <cell r="AB38">
            <v>146.1683199</v>
          </cell>
          <cell r="AC38">
            <v>157.872342</v>
          </cell>
          <cell r="AD38">
            <v>170.2661415</v>
          </cell>
          <cell r="AE38">
            <v>183.37017650000001</v>
          </cell>
          <cell r="AF38">
            <v>197.19684430000001</v>
          </cell>
          <cell r="AG38">
            <v>211.75275970000001</v>
          </cell>
          <cell r="AH38">
            <v>227.0415046</v>
          </cell>
          <cell r="AI38">
            <v>243.06571120000001</v>
          </cell>
          <cell r="AJ38">
            <v>259.82775400000003</v>
          </cell>
          <cell r="AK38">
            <v>277.32898590000002</v>
          </cell>
        </row>
        <row r="39">
          <cell r="A39" t="str">
            <v>auto_cd_cele_0</v>
          </cell>
          <cell r="B39">
            <v>5.770071272</v>
          </cell>
          <cell r="C39">
            <v>7.6042050400000001</v>
          </cell>
          <cell r="D39">
            <v>9.5575772790000002</v>
          </cell>
          <cell r="E39">
            <v>11.592278690000001</v>
          </cell>
          <cell r="F39">
            <v>13.70861287</v>
          </cell>
          <cell r="G39">
            <v>15.93527896</v>
          </cell>
          <cell r="H39">
            <v>18.3147515</v>
          </cell>
          <cell r="I39">
            <v>20.904196150000001</v>
          </cell>
          <cell r="J39">
            <v>23.761558539999999</v>
          </cell>
          <cell r="K39">
            <v>26.93969671</v>
          </cell>
          <cell r="L39">
            <v>30.491361919999999</v>
          </cell>
          <cell r="M39">
            <v>34.435090279999997</v>
          </cell>
          <cell r="N39">
            <v>38.787697180000002</v>
          </cell>
          <cell r="O39">
            <v>43.555514959999996</v>
          </cell>
          <cell r="P39">
            <v>48.738932069999997</v>
          </cell>
          <cell r="Q39">
            <v>54.3354845</v>
          </cell>
          <cell r="R39">
            <v>60.342098759999999</v>
          </cell>
          <cell r="S39">
            <v>66.756940200000003</v>
          </cell>
          <cell r="T39">
            <v>73.581099019999996</v>
          </cell>
          <cell r="U39">
            <v>80.820154180000003</v>
          </cell>
          <cell r="V39">
            <v>88.467702160000002</v>
          </cell>
          <cell r="W39">
            <v>96.55971529</v>
          </cell>
          <cell r="X39">
            <v>105.121714</v>
          </cell>
          <cell r="Y39">
            <v>114.1831002</v>
          </cell>
          <cell r="Z39">
            <v>123.7759034</v>
          </cell>
          <cell r="AA39">
            <v>133.86191239999999</v>
          </cell>
          <cell r="AB39">
            <v>144.52115789999999</v>
          </cell>
          <cell r="AC39">
            <v>155.79347390000001</v>
          </cell>
          <cell r="AD39">
            <v>167.7131219</v>
          </cell>
          <cell r="AE39">
            <v>180.30656049999999</v>
          </cell>
          <cell r="AF39">
            <v>193.59329</v>
          </cell>
          <cell r="AG39">
            <v>207.5877835</v>
          </cell>
          <cell r="AH39">
            <v>222.30144899999999</v>
          </cell>
          <cell r="AI39">
            <v>237.74381840000001</v>
          </cell>
          <cell r="AJ39">
            <v>253.92260089999999</v>
          </cell>
          <cell r="AK39">
            <v>270.8427208</v>
          </cell>
        </row>
        <row r="40">
          <cell r="A40" t="str">
            <v>auto_ce_cele_2</v>
          </cell>
          <cell r="B40">
            <v>3.4730440960000002</v>
          </cell>
          <cell r="C40">
            <v>4.5990918919999997</v>
          </cell>
          <cell r="D40">
            <v>5.7905501199999998</v>
          </cell>
          <cell r="E40">
            <v>7.022525559</v>
          </cell>
          <cell r="F40">
            <v>8.2934131929999992</v>
          </cell>
          <cell r="G40">
            <v>9.6180844230000009</v>
          </cell>
          <cell r="H40">
            <v>11.01901211</v>
          </cell>
          <cell r="I40">
            <v>12.523362860000001</v>
          </cell>
          <cell r="J40">
            <v>14.156514359999999</v>
          </cell>
          <cell r="K40">
            <v>15.956351010000001</v>
          </cell>
          <cell r="L40">
            <v>17.955882429999999</v>
          </cell>
          <cell r="M40">
            <v>20.15743355</v>
          </cell>
          <cell r="N40">
            <v>22.55214196</v>
          </cell>
          <cell r="O40">
            <v>25.122054810000002</v>
          </cell>
          <cell r="P40">
            <v>27.84843304</v>
          </cell>
          <cell r="Q40">
            <v>30.718185810000001</v>
          </cell>
          <cell r="R40">
            <v>33.726417140000002</v>
          </cell>
          <cell r="S40">
            <v>36.875722750000001</v>
          </cell>
          <cell r="T40">
            <v>40.173603249999999</v>
          </cell>
          <cell r="U40">
            <v>43.62943842</v>
          </cell>
          <cell r="V40">
            <v>47.243343029999998</v>
          </cell>
          <cell r="W40">
            <v>51.031660709999997</v>
          </cell>
          <cell r="X40">
            <v>55.000565860000002</v>
          </cell>
          <cell r="Y40">
            <v>59.154474540000002</v>
          </cell>
          <cell r="Z40">
            <v>63.496103750000003</v>
          </cell>
          <cell r="AA40">
            <v>67.993146820000007</v>
          </cell>
          <cell r="AB40">
            <v>72.668385439999994</v>
          </cell>
          <cell r="AC40">
            <v>77.525158899999994</v>
          </cell>
          <cell r="AD40">
            <v>82.564752839999997</v>
          </cell>
          <cell r="AE40">
            <v>87.784643000000003</v>
          </cell>
          <cell r="AF40">
            <v>93.178418919999999</v>
          </cell>
          <cell r="AG40">
            <v>98.736528250000006</v>
          </cell>
          <cell r="AH40">
            <v>104.4474273</v>
          </cell>
          <cell r="AI40">
            <v>110.29866250000001</v>
          </cell>
          <cell r="AJ40">
            <v>116.2775</v>
          </cell>
          <cell r="AK40">
            <v>122.37096510000001</v>
          </cell>
        </row>
        <row r="41">
          <cell r="A41" t="str">
            <v>auto_ce_cele_0</v>
          </cell>
          <cell r="B41">
            <v>3.4730440960000002</v>
          </cell>
          <cell r="C41">
            <v>4.5990918919999997</v>
          </cell>
          <cell r="D41">
            <v>5.7905501199999998</v>
          </cell>
          <cell r="E41">
            <v>7.022525559</v>
          </cell>
          <cell r="F41">
            <v>8.2934131929999992</v>
          </cell>
          <cell r="G41">
            <v>9.6180844230000009</v>
          </cell>
          <cell r="H41">
            <v>11.01860993</v>
          </cell>
          <cell r="I41">
            <v>12.52457501</v>
          </cell>
          <cell r="J41">
            <v>14.16481063</v>
          </cell>
          <cell r="K41">
            <v>15.964278569999999</v>
          </cell>
          <cell r="L41">
            <v>17.947206560000001</v>
          </cell>
          <cell r="M41">
            <v>20.117862639999998</v>
          </cell>
          <cell r="N41">
            <v>22.479006510000001</v>
          </cell>
          <cell r="O41">
            <v>25.02699612</v>
          </cell>
          <cell r="P41">
            <v>27.75459455</v>
          </cell>
          <cell r="Q41">
            <v>30.652966339999999</v>
          </cell>
          <cell r="R41">
            <v>33.713119419999998</v>
          </cell>
          <cell r="S41">
            <v>36.926976330000002</v>
          </cell>
          <cell r="T41">
            <v>40.288179229999997</v>
          </cell>
          <cell r="U41">
            <v>43.792683799999999</v>
          </cell>
          <cell r="V41">
            <v>47.43024561</v>
          </cell>
          <cell r="W41">
            <v>51.211271949999997</v>
          </cell>
          <cell r="X41">
            <v>55.1404462</v>
          </cell>
          <cell r="Y41">
            <v>59.223583830000003</v>
          </cell>
          <cell r="Z41">
            <v>63.466780790000001</v>
          </cell>
          <cell r="AA41">
            <v>67.842560270000007</v>
          </cell>
          <cell r="AB41">
            <v>72.377400210000005</v>
          </cell>
          <cell r="AC41">
            <v>77.078759700000006</v>
          </cell>
          <cell r="AD41">
            <v>81.951384020000006</v>
          </cell>
          <cell r="AE41">
            <v>86.996044010000006</v>
          </cell>
          <cell r="AF41">
            <v>92.209657329999999</v>
          </cell>
          <cell r="AG41">
            <v>97.586034740000002</v>
          </cell>
          <cell r="AH41">
            <v>103.1168454</v>
          </cell>
          <cell r="AI41">
            <v>108.7924197</v>
          </cell>
          <cell r="AJ41">
            <v>114.60214360000001</v>
          </cell>
          <cell r="AK41">
            <v>120.53439760000001</v>
          </cell>
        </row>
        <row r="42">
          <cell r="A42" t="str">
            <v>auto_cf_cele_2</v>
          </cell>
          <cell r="B42">
            <v>1.7251505170000001</v>
          </cell>
          <cell r="C42">
            <v>2.2577676759999998</v>
          </cell>
          <cell r="D42">
            <v>2.8037054800000001</v>
          </cell>
          <cell r="E42">
            <v>3.343135873</v>
          </cell>
          <cell r="F42">
            <v>3.8662815290000001</v>
          </cell>
          <cell r="G42">
            <v>4.3697525260000001</v>
          </cell>
          <cell r="H42">
            <v>4.8528612430000004</v>
          </cell>
          <cell r="I42">
            <v>5.3150755480000003</v>
          </cell>
          <cell r="J42">
            <v>5.7542967230000004</v>
          </cell>
          <cell r="K42">
            <v>6.1761060570000001</v>
          </cell>
          <cell r="L42">
            <v>6.5876619710000002</v>
          </cell>
          <cell r="M42">
            <v>6.9903445550000001</v>
          </cell>
          <cell r="N42">
            <v>7.383800602</v>
          </cell>
          <cell r="O42">
            <v>7.765464401</v>
          </cell>
          <cell r="P42">
            <v>8.131855904</v>
          </cell>
          <cell r="Q42">
            <v>8.4799253070000002</v>
          </cell>
          <cell r="R42">
            <v>8.8078612369999991</v>
          </cell>
          <cell r="S42">
            <v>9.1152676639999992</v>
          </cell>
          <cell r="T42">
            <v>9.4028484460000001</v>
          </cell>
          <cell r="U42">
            <v>9.6718639090000007</v>
          </cell>
          <cell r="V42">
            <v>9.9225410059999994</v>
          </cell>
          <cell r="W42">
            <v>10.157010570000001</v>
          </cell>
          <cell r="X42">
            <v>10.375975370000001</v>
          </cell>
          <cell r="Y42">
            <v>10.579716060000001</v>
          </cell>
          <cell r="Z42">
            <v>10.768130380000001</v>
          </cell>
          <cell r="AA42">
            <v>10.93796161</v>
          </cell>
          <cell r="AB42">
            <v>11.090942500000001</v>
          </cell>
          <cell r="AC42">
            <v>11.227312339999999</v>
          </cell>
          <cell r="AD42">
            <v>11.34744098</v>
          </cell>
          <cell r="AE42">
            <v>11.451593799999999</v>
          </cell>
          <cell r="AF42">
            <v>11.53983684</v>
          </cell>
          <cell r="AG42">
            <v>11.61204762</v>
          </cell>
          <cell r="AH42">
            <v>11.668004679999999</v>
          </cell>
          <cell r="AI42">
            <v>11.70750477</v>
          </cell>
          <cell r="AJ42">
            <v>11.73045602</v>
          </cell>
          <cell r="AK42">
            <v>11.73691857</v>
          </cell>
        </row>
        <row r="43">
          <cell r="A43" t="str">
            <v>auto_cf_cele_0</v>
          </cell>
          <cell r="B43">
            <v>1.7251505170000001</v>
          </cell>
          <cell r="C43">
            <v>2.2577676759999998</v>
          </cell>
          <cell r="D43">
            <v>2.8037054800000001</v>
          </cell>
          <cell r="E43">
            <v>3.343135873</v>
          </cell>
          <cell r="F43">
            <v>3.8662815290000001</v>
          </cell>
          <cell r="G43">
            <v>4.3697525260000001</v>
          </cell>
          <cell r="H43">
            <v>4.8528222230000004</v>
          </cell>
          <cell r="I43">
            <v>5.3179055709999998</v>
          </cell>
          <cell r="J43">
            <v>5.7677515240000004</v>
          </cell>
          <cell r="K43">
            <v>6.2048265039999997</v>
          </cell>
          <cell r="L43">
            <v>6.632266682</v>
          </cell>
          <cell r="M43">
            <v>7.0487511730000003</v>
          </cell>
          <cell r="N43">
            <v>7.4533647580000002</v>
          </cell>
          <cell r="O43">
            <v>7.8442435960000001</v>
          </cell>
          <cell r="P43">
            <v>8.2192776330000008</v>
          </cell>
          <cell r="Q43">
            <v>8.5765496989999992</v>
          </cell>
          <cell r="R43">
            <v>8.9145699779999994</v>
          </cell>
          <cell r="S43">
            <v>9.232355665</v>
          </cell>
          <cell r="T43">
            <v>9.5294080660000002</v>
          </cell>
          <cell r="U43">
            <v>9.8056397430000004</v>
          </cell>
          <cell r="V43">
            <v>10.060188930000001</v>
          </cell>
          <cell r="W43">
            <v>10.29466057</v>
          </cell>
          <cell r="X43">
            <v>10.509860400000001</v>
          </cell>
          <cell r="Y43">
            <v>10.70659603</v>
          </cell>
          <cell r="Z43">
            <v>10.88556359</v>
          </cell>
          <cell r="AA43">
            <v>11.04439563</v>
          </cell>
          <cell r="AB43">
            <v>11.18554031</v>
          </cell>
          <cell r="AC43">
            <v>11.309849379999999</v>
          </cell>
          <cell r="AD43">
            <v>11.418085809999999</v>
          </cell>
          <cell r="AE43">
            <v>11.51075502</v>
          </cell>
          <cell r="AF43">
            <v>11.5880721</v>
          </cell>
          <cell r="AG43">
            <v>11.65002133</v>
          </cell>
          <cell r="AH43">
            <v>11.69646968</v>
          </cell>
          <cell r="AI43">
            <v>11.72728467</v>
          </cell>
          <cell r="AJ43">
            <v>11.742416950000001</v>
          </cell>
          <cell r="AK43">
            <v>11.74193118</v>
          </cell>
        </row>
        <row r="44">
          <cell r="A44" t="str">
            <v>auto_cg_cele_2</v>
          </cell>
          <cell r="B44">
            <v>3.1066862139999998</v>
          </cell>
          <cell r="C44">
            <v>4.0970608879999997</v>
          </cell>
          <cell r="D44">
            <v>5.0911665020000001</v>
          </cell>
          <cell r="E44">
            <v>6.0492123649999998</v>
          </cell>
          <cell r="F44">
            <v>6.9514189579999996</v>
          </cell>
          <cell r="G44">
            <v>7.7900346809999998</v>
          </cell>
          <cell r="H44">
            <v>8.5623325789999996</v>
          </cell>
          <cell r="I44">
            <v>9.2643408909999998</v>
          </cell>
          <cell r="J44">
            <v>9.8881763990000007</v>
          </cell>
          <cell r="K44">
            <v>10.4426234</v>
          </cell>
          <cell r="L44">
            <v>10.941728879999999</v>
          </cell>
          <cell r="M44">
            <v>11.3924675</v>
          </cell>
          <cell r="N44">
            <v>11.799011139999999</v>
          </cell>
          <cell r="O44">
            <v>12.161494129999999</v>
          </cell>
          <cell r="P44">
            <v>12.47778866</v>
          </cell>
          <cell r="Q44">
            <v>12.745735509999999</v>
          </cell>
          <cell r="R44">
            <v>12.96469126</v>
          </cell>
          <cell r="S44">
            <v>13.136029649999999</v>
          </cell>
          <cell r="T44">
            <v>13.26276056</v>
          </cell>
          <cell r="U44">
            <v>13.3487224</v>
          </cell>
          <cell r="V44">
            <v>13.39679316</v>
          </cell>
          <cell r="W44">
            <v>13.41143162</v>
          </cell>
          <cell r="X44">
            <v>13.39551307</v>
          </cell>
          <cell r="Y44">
            <v>13.35128572</v>
          </cell>
          <cell r="Z44">
            <v>13.280472120000001</v>
          </cell>
          <cell r="AA44">
            <v>13.18236847</v>
          </cell>
          <cell r="AB44">
            <v>13.05999501</v>
          </cell>
          <cell r="AC44">
            <v>12.91532598</v>
          </cell>
          <cell r="AD44">
            <v>12.750487209999999</v>
          </cell>
          <cell r="AE44">
            <v>12.56751049</v>
          </cell>
          <cell r="AF44">
            <v>12.368218580000001</v>
          </cell>
          <cell r="AG44">
            <v>12.154218930000001</v>
          </cell>
          <cell r="AH44">
            <v>11.926971740000001</v>
          </cell>
          <cell r="AI44">
            <v>11.68787906</v>
          </cell>
          <cell r="AJ44">
            <v>11.438349390000001</v>
          </cell>
          <cell r="AK44">
            <v>11.179818020000001</v>
          </cell>
        </row>
        <row r="45">
          <cell r="A45" t="str">
            <v>auto_cg_cele_0</v>
          </cell>
          <cell r="B45">
            <v>3.1066862139999998</v>
          </cell>
          <cell r="C45">
            <v>4.0970608879999997</v>
          </cell>
          <cell r="D45">
            <v>5.0911665020000001</v>
          </cell>
          <cell r="E45">
            <v>6.0492123649999998</v>
          </cell>
          <cell r="F45">
            <v>6.9514189579999996</v>
          </cell>
          <cell r="G45">
            <v>7.7900346809999998</v>
          </cell>
          <cell r="H45">
            <v>8.5623813609999999</v>
          </cell>
          <cell r="I45">
            <v>9.2715105009999998</v>
          </cell>
          <cell r="J45">
            <v>9.9214338170000005</v>
          </cell>
          <cell r="K45">
            <v>10.51629266</v>
          </cell>
          <cell r="L45">
            <v>11.061664629999999</v>
          </cell>
          <cell r="M45">
            <v>11.55696408</v>
          </cell>
          <cell r="N45">
            <v>12.00234341</v>
          </cell>
          <cell r="O45">
            <v>12.39680465</v>
          </cell>
          <cell r="P45">
            <v>12.739366889999999</v>
          </cell>
          <cell r="Q45">
            <v>13.0297518</v>
          </cell>
          <cell r="R45">
            <v>13.26865744</v>
          </cell>
          <cell r="S45">
            <v>13.457725229999999</v>
          </cell>
          <cell r="T45">
            <v>13.599329989999999</v>
          </cell>
          <cell r="U45">
            <v>13.69631833</v>
          </cell>
          <cell r="V45">
            <v>13.750728759999999</v>
          </cell>
          <cell r="W45">
            <v>13.766794089999999</v>
          </cell>
          <cell r="X45">
            <v>13.74782394</v>
          </cell>
          <cell r="Y45">
            <v>13.69693082</v>
          </cell>
          <cell r="Z45">
            <v>13.616925670000001</v>
          </cell>
          <cell r="AA45">
            <v>13.508146930000001</v>
          </cell>
          <cell r="AB45">
            <v>13.374458690000001</v>
          </cell>
          <cell r="AC45">
            <v>13.21845538</v>
          </cell>
          <cell r="AD45">
            <v>13.042604770000001</v>
          </cell>
          <cell r="AE45">
            <v>12.849087190000001</v>
          </cell>
          <cell r="AF45">
            <v>12.63976338</v>
          </cell>
          <cell r="AG45">
            <v>12.41623268</v>
          </cell>
          <cell r="AH45">
            <v>12.179936509999999</v>
          </cell>
          <cell r="AI45">
            <v>11.932257269999999</v>
          </cell>
          <cell r="AJ45">
            <v>11.67457916</v>
          </cell>
          <cell r="AK45">
            <v>11.40830265</v>
          </cell>
        </row>
        <row r="46">
          <cell r="A46" t="str">
            <v>auto_ca_cgas_2</v>
          </cell>
          <cell r="B46">
            <v>0.42568169729999999</v>
          </cell>
          <cell r="C46">
            <v>0.45028232359999998</v>
          </cell>
          <cell r="D46">
            <v>0.47795581329999998</v>
          </cell>
          <cell r="E46">
            <v>0.50698841610000001</v>
          </cell>
          <cell r="F46">
            <v>0.5363510386</v>
          </cell>
          <cell r="G46">
            <v>0.56550274909999998</v>
          </cell>
          <cell r="H46">
            <v>0.59412985370000004</v>
          </cell>
          <cell r="I46">
            <v>0.62214469149999996</v>
          </cell>
          <cell r="J46">
            <v>0.64975886159999996</v>
          </cell>
          <cell r="K46">
            <v>0.67750135190000005</v>
          </cell>
          <cell r="L46">
            <v>0.70569587410000001</v>
          </cell>
          <cell r="M46">
            <v>0.73392372419999996</v>
          </cell>
          <cell r="N46">
            <v>0.76175993200000003</v>
          </cell>
          <cell r="O46">
            <v>0.78881049250000002</v>
          </cell>
          <cell r="P46">
            <v>0.81482359209999999</v>
          </cell>
          <cell r="Q46">
            <v>0.83971418119999996</v>
          </cell>
          <cell r="R46">
            <v>0.86351750279999995</v>
          </cell>
          <cell r="S46">
            <v>0.88631687209999999</v>
          </cell>
          <cell r="T46">
            <v>0.9081800149</v>
          </cell>
          <cell r="U46">
            <v>0.92912399550000002</v>
          </cell>
          <cell r="V46">
            <v>0.94898686480000005</v>
          </cell>
          <cell r="W46">
            <v>0.96784589970000001</v>
          </cell>
          <cell r="X46">
            <v>0.98563332079999999</v>
          </cell>
          <cell r="Y46">
            <v>1.002287055</v>
          </cell>
          <cell r="Z46">
            <v>1.0177627840000001</v>
          </cell>
          <cell r="AA46">
            <v>1.031670638</v>
          </cell>
          <cell r="AB46">
            <v>1.044294858</v>
          </cell>
          <cell r="AC46">
            <v>1.0556809840000001</v>
          </cell>
          <cell r="AD46">
            <v>1.0658417659999999</v>
          </cell>
          <cell r="AE46">
            <v>1.074758178</v>
          </cell>
          <cell r="AF46">
            <v>1.082396224</v>
          </cell>
          <cell r="AG46">
            <v>1.0887230400000001</v>
          </cell>
          <cell r="AH46">
            <v>1.0937167640000001</v>
          </cell>
          <cell r="AI46">
            <v>1.0973687329999999</v>
          </cell>
          <cell r="AJ46">
            <v>1.099679853</v>
          </cell>
          <cell r="AK46">
            <v>1.1006547099999999</v>
          </cell>
        </row>
        <row r="47">
          <cell r="A47" t="str">
            <v>auto_ca_cgas_0</v>
          </cell>
          <cell r="B47">
            <v>0.42568169729999999</v>
          </cell>
          <cell r="C47">
            <v>0.45028232359999998</v>
          </cell>
          <cell r="D47">
            <v>0.47795581329999998</v>
          </cell>
          <cell r="E47">
            <v>0.50698841610000001</v>
          </cell>
          <cell r="F47">
            <v>0.5363510386</v>
          </cell>
          <cell r="G47">
            <v>0.56550274909999998</v>
          </cell>
          <cell r="H47">
            <v>0.59411688620000003</v>
          </cell>
          <cell r="I47">
            <v>0.62217265170000002</v>
          </cell>
          <cell r="J47">
            <v>0.64971744600000003</v>
          </cell>
          <cell r="K47">
            <v>0.67680279350000006</v>
          </cell>
          <cell r="L47">
            <v>0.70359461990000005</v>
          </cell>
          <cell r="M47">
            <v>0.72987372250000004</v>
          </cell>
          <cell r="N47">
            <v>0.75558540709999999</v>
          </cell>
          <cell r="O47">
            <v>0.78068212560000005</v>
          </cell>
          <cell r="P47">
            <v>0.80514042620000004</v>
          </cell>
          <cell r="Q47">
            <v>0.82895117689999998</v>
          </cell>
          <cell r="R47">
            <v>0.85210328280000003</v>
          </cell>
          <cell r="S47">
            <v>0.8745713383</v>
          </cell>
          <cell r="T47">
            <v>0.89631146530000005</v>
          </cell>
          <cell r="U47">
            <v>0.91726479819999995</v>
          </cell>
          <cell r="V47">
            <v>0.93724053929999995</v>
          </cell>
          <cell r="W47">
            <v>0.95631726770000003</v>
          </cell>
          <cell r="X47">
            <v>0.97444234549999997</v>
          </cell>
          <cell r="Y47">
            <v>0.99155668450000001</v>
          </cell>
          <cell r="Z47">
            <v>1.0076019970000001</v>
          </cell>
          <cell r="AA47">
            <v>1.0221592180000001</v>
          </cell>
          <cell r="AB47">
            <v>1.0354722489999999</v>
          </cell>
          <cell r="AC47">
            <v>1.0475512149999999</v>
          </cell>
          <cell r="AD47">
            <v>1.058379357</v>
          </cell>
          <cell r="AE47">
            <v>1.0679210990000001</v>
          </cell>
          <cell r="AF47">
            <v>1.0761384940000001</v>
          </cell>
          <cell r="AG47">
            <v>1.0830035760000001</v>
          </cell>
          <cell r="AH47">
            <v>1.0885034659999999</v>
          </cell>
          <cell r="AI47">
            <v>1.0926387420000001</v>
          </cell>
          <cell r="AJ47">
            <v>1.095417855</v>
          </cell>
          <cell r="AK47">
            <v>1.096850981</v>
          </cell>
        </row>
        <row r="48">
          <cell r="A48" t="str">
            <v>auto_cb_cgas_2</v>
          </cell>
          <cell r="B48">
            <v>0.49500522540000003</v>
          </cell>
          <cell r="C48">
            <v>0.51317522950000005</v>
          </cell>
          <cell r="D48">
            <v>0.53455348820000004</v>
          </cell>
          <cell r="E48">
            <v>0.55745857369999996</v>
          </cell>
          <cell r="F48">
            <v>0.580870785</v>
          </cell>
          <cell r="G48">
            <v>0.60423961159999995</v>
          </cell>
          <cell r="H48">
            <v>0.6272331068</v>
          </cell>
          <cell r="I48">
            <v>0.64972596240000002</v>
          </cell>
          <cell r="J48">
            <v>0.67186328660000005</v>
          </cell>
          <cell r="K48">
            <v>0.69411302149999998</v>
          </cell>
          <cell r="L48">
            <v>0.7167711296</v>
          </cell>
          <cell r="M48">
            <v>0.73945122480000003</v>
          </cell>
          <cell r="N48">
            <v>0.76176326319999998</v>
          </cell>
          <cell r="O48">
            <v>0.78334112330000005</v>
          </cell>
          <cell r="P48">
            <v>0.80394350209999998</v>
          </cell>
          <cell r="Q48">
            <v>0.82347838220000003</v>
          </cell>
          <cell r="R48">
            <v>0.84196364069999996</v>
          </cell>
          <cell r="S48">
            <v>0.85946382219999995</v>
          </cell>
          <cell r="T48">
            <v>0.87603350859999995</v>
          </cell>
          <cell r="U48">
            <v>0.89168531019999997</v>
          </cell>
          <cell r="V48">
            <v>0.90627261690000005</v>
          </cell>
          <cell r="W48">
            <v>0.91986614509999998</v>
          </cell>
          <cell r="X48">
            <v>0.93240559410000001</v>
          </cell>
          <cell r="Y48">
            <v>0.94383515740000001</v>
          </cell>
          <cell r="Z48">
            <v>0.95411406470000004</v>
          </cell>
          <cell r="AA48">
            <v>0.96289606819999995</v>
          </cell>
          <cell r="AB48">
            <v>0.97043261719999996</v>
          </cell>
          <cell r="AC48">
            <v>0.97676628669999999</v>
          </cell>
          <cell r="AD48">
            <v>0.98191390320000005</v>
          </cell>
          <cell r="AE48">
            <v>0.98586654100000004</v>
          </cell>
          <cell r="AF48">
            <v>0.98860324379999998</v>
          </cell>
          <cell r="AG48">
            <v>0.99010440509999997</v>
          </cell>
          <cell r="AH48">
            <v>0.99036019610000003</v>
          </cell>
          <cell r="AI48">
            <v>0.98937273290000005</v>
          </cell>
          <cell r="AJ48">
            <v>0.98715339410000003</v>
          </cell>
          <cell r="AK48">
            <v>0.98371813900000005</v>
          </cell>
        </row>
        <row r="49">
          <cell r="A49" t="str">
            <v>auto_cb_cgas_0</v>
          </cell>
          <cell r="B49">
            <v>0.49500522540000003</v>
          </cell>
          <cell r="C49">
            <v>0.51317522950000005</v>
          </cell>
          <cell r="D49">
            <v>0.53455348820000004</v>
          </cell>
          <cell r="E49">
            <v>0.55745857369999996</v>
          </cell>
          <cell r="F49">
            <v>0.580870785</v>
          </cell>
          <cell r="G49">
            <v>0.60423961159999995</v>
          </cell>
          <cell r="H49">
            <v>0.62722135219999997</v>
          </cell>
          <cell r="I49">
            <v>0.64976638740000003</v>
          </cell>
          <cell r="J49">
            <v>0.6718932219</v>
          </cell>
          <cell r="K49">
            <v>0.69362886030000004</v>
          </cell>
          <cell r="L49">
            <v>0.71511212850000005</v>
          </cell>
          <cell r="M49">
            <v>0.73612301749999998</v>
          </cell>
          <cell r="N49">
            <v>0.75659691809999996</v>
          </cell>
          <cell r="O49">
            <v>0.77647604380000002</v>
          </cell>
          <cell r="P49">
            <v>0.79572594210000003</v>
          </cell>
          <cell r="Q49">
            <v>0.81432719409999998</v>
          </cell>
          <cell r="R49">
            <v>0.83226086470000005</v>
          </cell>
          <cell r="S49">
            <v>0.84949723129999999</v>
          </cell>
          <cell r="T49">
            <v>0.86599170059999997</v>
          </cell>
          <cell r="U49">
            <v>0.88168753170000003</v>
          </cell>
          <cell r="V49">
            <v>0.89640952419999997</v>
          </cell>
          <cell r="W49">
            <v>0.91022697770000005</v>
          </cell>
          <cell r="X49">
            <v>0.92309163540000005</v>
          </cell>
          <cell r="Y49">
            <v>0.93495022859999999</v>
          </cell>
          <cell r="Z49">
            <v>0.9457507114</v>
          </cell>
          <cell r="AA49">
            <v>0.95512243789999995</v>
          </cell>
          <cell r="AB49">
            <v>0.96328301409999995</v>
          </cell>
          <cell r="AC49">
            <v>0.97024509699999995</v>
          </cell>
          <cell r="AD49">
            <v>0.97600001719999996</v>
          </cell>
          <cell r="AE49">
            <v>0.98052396909999995</v>
          </cell>
          <cell r="AF49">
            <v>0.98379162200000003</v>
          </cell>
          <cell r="AG49">
            <v>0.98578651620000002</v>
          </cell>
          <cell r="AH49">
            <v>0.98650557979999998</v>
          </cell>
          <cell r="AI49">
            <v>0.98595809130000001</v>
          </cell>
          <cell r="AJ49">
            <v>0.98416129789999995</v>
          </cell>
          <cell r="AK49">
            <v>0.98113542809999998</v>
          </cell>
        </row>
        <row r="50">
          <cell r="A50" t="str">
            <v>auto_cc_cgas_2</v>
          </cell>
          <cell r="B50">
            <v>0.40659851759999999</v>
          </cell>
          <cell r="C50">
            <v>0.41514214710000003</v>
          </cell>
          <cell r="D50">
            <v>0.42610219230000002</v>
          </cell>
          <cell r="E50">
            <v>0.43828916839999998</v>
          </cell>
          <cell r="F50">
            <v>0.45097488920000001</v>
          </cell>
          <cell r="G50">
            <v>0.46375652299999998</v>
          </cell>
          <cell r="H50">
            <v>0.47638302989999998</v>
          </cell>
          <cell r="I50">
            <v>0.48873977130000001</v>
          </cell>
          <cell r="J50">
            <v>0.50088852340000001</v>
          </cell>
          <cell r="K50">
            <v>0.51312691489999995</v>
          </cell>
          <cell r="L50">
            <v>0.5256502367</v>
          </cell>
          <cell r="M50">
            <v>0.53820148680000002</v>
          </cell>
          <cell r="N50">
            <v>0.55052254950000001</v>
          </cell>
          <cell r="O50">
            <v>0.56236804070000002</v>
          </cell>
          <cell r="P50">
            <v>0.57357142230000002</v>
          </cell>
          <cell r="Q50">
            <v>0.58406259959999995</v>
          </cell>
          <cell r="R50">
            <v>0.59384407610000001</v>
          </cell>
          <cell r="S50">
            <v>0.60295110529999996</v>
          </cell>
          <cell r="T50">
            <v>0.61141531770000002</v>
          </cell>
          <cell r="U50">
            <v>0.61924356700000005</v>
          </cell>
          <cell r="V50">
            <v>0.62634056370000002</v>
          </cell>
          <cell r="W50">
            <v>0.63275355870000005</v>
          </cell>
          <cell r="X50">
            <v>0.63844441910000005</v>
          </cell>
          <cell r="Y50">
            <v>0.64337757279999996</v>
          </cell>
          <cell r="Z50">
            <v>0.64752669200000001</v>
          </cell>
          <cell r="AA50">
            <v>0.65067047239999998</v>
          </cell>
          <cell r="AB50">
            <v>0.65297045210000004</v>
          </cell>
          <cell r="AC50">
            <v>0.65445621030000001</v>
          </cell>
          <cell r="AD50">
            <v>0.65514290770000005</v>
          </cell>
          <cell r="AE50">
            <v>0.65503067459999997</v>
          </cell>
          <cell r="AF50">
            <v>0.65411264329999996</v>
          </cell>
          <cell r="AG50">
            <v>0.65238296600000001</v>
          </cell>
          <cell r="AH50">
            <v>0.64984201100000005</v>
          </cell>
          <cell r="AI50">
            <v>0.6464978737</v>
          </cell>
          <cell r="AJ50">
            <v>0.64236495449999997</v>
          </cell>
          <cell r="AK50">
            <v>0.63746124280000005</v>
          </cell>
        </row>
        <row r="51">
          <cell r="A51" t="str">
            <v>auto_cc_cgas_0</v>
          </cell>
          <cell r="B51">
            <v>0.40659851759999999</v>
          </cell>
          <cell r="C51">
            <v>0.41514214710000003</v>
          </cell>
          <cell r="D51">
            <v>0.42610219230000002</v>
          </cell>
          <cell r="E51">
            <v>0.43828916839999998</v>
          </cell>
          <cell r="F51">
            <v>0.45097488920000001</v>
          </cell>
          <cell r="G51">
            <v>0.46375652299999998</v>
          </cell>
          <cell r="H51">
            <v>0.47637535850000001</v>
          </cell>
          <cell r="I51">
            <v>0.48877675840000001</v>
          </cell>
          <cell r="J51">
            <v>0.50095523769999994</v>
          </cell>
          <cell r="K51">
            <v>0.51291441930000004</v>
          </cell>
          <cell r="L51">
            <v>0.52473679699999998</v>
          </cell>
          <cell r="M51">
            <v>0.53626387669999998</v>
          </cell>
          <cell r="N51">
            <v>0.54744315590000003</v>
          </cell>
          <cell r="O51">
            <v>0.55822696409999994</v>
          </cell>
          <cell r="P51">
            <v>0.5685840378</v>
          </cell>
          <cell r="Q51">
            <v>0.57849446189999998</v>
          </cell>
          <cell r="R51">
            <v>0.58794027209999999</v>
          </cell>
          <cell r="S51">
            <v>0.59689799799999999</v>
          </cell>
          <cell r="T51">
            <v>0.6053357546</v>
          </cell>
          <cell r="U51">
            <v>0.61321471350000001</v>
          </cell>
          <cell r="V51">
            <v>0.62041932850000003</v>
          </cell>
          <cell r="W51">
            <v>0.62699429559999997</v>
          </cell>
          <cell r="X51">
            <v>0.63290833909999999</v>
          </cell>
          <cell r="Y51">
            <v>0.63812748939999997</v>
          </cell>
          <cell r="Z51">
            <v>0.64261895000000002</v>
          </cell>
          <cell r="AA51">
            <v>0.64614676130000004</v>
          </cell>
          <cell r="AB51">
            <v>0.64885201069999998</v>
          </cell>
          <cell r="AC51">
            <v>0.65074603710000001</v>
          </cell>
          <cell r="AD51">
            <v>0.65182807949999999</v>
          </cell>
          <cell r="AE51">
            <v>0.65208861210000002</v>
          </cell>
          <cell r="AF51">
            <v>0.6515174494</v>
          </cell>
          <cell r="AG51">
            <v>0.65011006500000001</v>
          </cell>
          <cell r="AH51">
            <v>0.64787047399999997</v>
          </cell>
          <cell r="AI51">
            <v>0.6448107998</v>
          </cell>
          <cell r="AJ51">
            <v>0.64094877949999995</v>
          </cell>
          <cell r="AK51">
            <v>0.63630480659999999</v>
          </cell>
        </row>
        <row r="52">
          <cell r="A52" t="str">
            <v>auto_cd_cgas_2</v>
          </cell>
          <cell r="B52">
            <v>0.2495444651</v>
          </cell>
          <cell r="C52">
            <v>0.25267991270000001</v>
          </cell>
          <cell r="D52">
            <v>0.25712207510000001</v>
          </cell>
          <cell r="E52">
            <v>0.26218963909999998</v>
          </cell>
          <cell r="F52">
            <v>0.2674666986</v>
          </cell>
          <cell r="G52">
            <v>0.27272093549999998</v>
          </cell>
          <cell r="H52">
            <v>0.2778064549</v>
          </cell>
          <cell r="I52">
            <v>0.28263844929999998</v>
          </cell>
          <cell r="J52">
            <v>0.28720473000000002</v>
          </cell>
          <cell r="K52">
            <v>0.29165322069999999</v>
          </cell>
          <cell r="L52">
            <v>0.2961086979</v>
          </cell>
          <cell r="M52">
            <v>0.30047890640000002</v>
          </cell>
          <cell r="N52">
            <v>0.30466619140000001</v>
          </cell>
          <cell r="O52">
            <v>0.30856644630000002</v>
          </cell>
          <cell r="P52">
            <v>0.31210184549999997</v>
          </cell>
          <cell r="Q52">
            <v>0.3152350384</v>
          </cell>
          <cell r="R52">
            <v>0.31796423709999999</v>
          </cell>
          <cell r="S52">
            <v>0.32030875819999999</v>
          </cell>
          <cell r="T52">
            <v>0.32229325580000001</v>
          </cell>
          <cell r="U52">
            <v>0.32393650880000002</v>
          </cell>
          <cell r="V52">
            <v>0.32521199880000001</v>
          </cell>
          <cell r="W52">
            <v>0.32616052089999997</v>
          </cell>
          <cell r="X52">
            <v>0.32678136419999998</v>
          </cell>
          <cell r="Y52">
            <v>0.32707246849999999</v>
          </cell>
          <cell r="Z52">
            <v>0.3270332004</v>
          </cell>
          <cell r="AA52">
            <v>0.3265709269</v>
          </cell>
          <cell r="AB52">
            <v>0.32576786369999999</v>
          </cell>
          <cell r="AC52">
            <v>0.32464744509999999</v>
          </cell>
          <cell r="AD52">
            <v>0.3232282051</v>
          </cell>
          <cell r="AE52">
            <v>0.32152163430000003</v>
          </cell>
          <cell r="AF52">
            <v>0.31953419020000001</v>
          </cell>
          <cell r="AG52">
            <v>0.31727009839999998</v>
          </cell>
          <cell r="AH52">
            <v>0.31473374450000002</v>
          </cell>
          <cell r="AI52">
            <v>0.31193096949999999</v>
          </cell>
          <cell r="AJ52">
            <v>0.3088691703</v>
          </cell>
          <cell r="AK52">
            <v>0.30555658330000002</v>
          </cell>
        </row>
        <row r="53">
          <cell r="A53" t="str">
            <v>auto_cd_cgas_0</v>
          </cell>
          <cell r="B53">
            <v>0.2495444651</v>
          </cell>
          <cell r="C53">
            <v>0.25267991270000001</v>
          </cell>
          <cell r="D53">
            <v>0.25712207510000001</v>
          </cell>
          <cell r="E53">
            <v>0.26218963909999998</v>
          </cell>
          <cell r="F53">
            <v>0.2674666986</v>
          </cell>
          <cell r="G53">
            <v>0.27272093549999998</v>
          </cell>
          <cell r="H53">
            <v>0.27780320279999998</v>
          </cell>
          <cell r="I53">
            <v>0.28267875640000001</v>
          </cell>
          <cell r="J53">
            <v>0.28734340339999997</v>
          </cell>
          <cell r="K53">
            <v>0.29180285839999998</v>
          </cell>
          <cell r="L53">
            <v>0.2961072743</v>
          </cell>
          <cell r="M53">
            <v>0.30018362059999998</v>
          </cell>
          <cell r="N53">
            <v>0.3040108594</v>
          </cell>
          <cell r="O53">
            <v>0.3075673948</v>
          </cell>
          <cell r="P53">
            <v>0.31083889260000003</v>
          </cell>
          <cell r="Q53">
            <v>0.31381774550000002</v>
          </cell>
          <cell r="R53">
            <v>0.31649977419999997</v>
          </cell>
          <cell r="S53">
            <v>0.31888106729999999</v>
          </cell>
          <cell r="T53">
            <v>0.32095631600000002</v>
          </cell>
          <cell r="U53">
            <v>0.32271885239999998</v>
          </cell>
          <cell r="V53">
            <v>0.32412647150000001</v>
          </cell>
          <cell r="W53">
            <v>0.32521381059999999</v>
          </cell>
          <cell r="X53">
            <v>0.32598075710000002</v>
          </cell>
          <cell r="Y53">
            <v>0.32642623929999998</v>
          </cell>
          <cell r="Z53">
            <v>0.32654931970000001</v>
          </cell>
          <cell r="AA53">
            <v>0.32625408280000001</v>
          </cell>
          <cell r="AB53">
            <v>0.32561784110000003</v>
          </cell>
          <cell r="AC53">
            <v>0.32465944260000001</v>
          </cell>
          <cell r="AD53">
            <v>0.32339280920000002</v>
          </cell>
          <cell r="AE53">
            <v>0.32182665490000001</v>
          </cell>
          <cell r="AF53">
            <v>0.31996688779999999</v>
          </cell>
          <cell r="AG53">
            <v>0.31781905220000001</v>
          </cell>
          <cell r="AH53">
            <v>0.31538995199999997</v>
          </cell>
          <cell r="AI53">
            <v>0.31268814090000002</v>
          </cell>
          <cell r="AJ53">
            <v>0.30972344639999999</v>
          </cell>
          <cell r="AK53">
            <v>0.30650598350000002</v>
          </cell>
        </row>
        <row r="54">
          <cell r="A54" t="str">
            <v>auto_ce_cgas_2</v>
          </cell>
          <cell r="B54">
            <v>0.15020246549999999</v>
          </cell>
          <cell r="C54">
            <v>0.15228872060000001</v>
          </cell>
          <cell r="D54">
            <v>0.1550937845</v>
          </cell>
          <cell r="E54">
            <v>0.1581883006</v>
          </cell>
          <cell r="F54">
            <v>0.1613103032</v>
          </cell>
          <cell r="G54">
            <v>0.16431152269999999</v>
          </cell>
          <cell r="H54">
            <v>0.167097521</v>
          </cell>
          <cell r="I54">
            <v>0.16960396229999999</v>
          </cell>
          <cell r="J54">
            <v>0.17180013390000001</v>
          </cell>
          <cell r="K54">
            <v>0.17376851269999999</v>
          </cell>
          <cell r="L54">
            <v>0.1755940487</v>
          </cell>
          <cell r="M54">
            <v>0.17724722670000001</v>
          </cell>
          <cell r="N54">
            <v>0.1786940417</v>
          </cell>
          <cell r="O54">
            <v>0.17989115750000001</v>
          </cell>
          <cell r="P54">
            <v>0.18080329140000001</v>
          </cell>
          <cell r="Q54">
            <v>0.18141318009999999</v>
          </cell>
          <cell r="R54">
            <v>0.18172194699999999</v>
          </cell>
          <cell r="S54">
            <v>0.18174361650000001</v>
          </cell>
          <cell r="T54">
            <v>0.18149760249999999</v>
          </cell>
          <cell r="U54">
            <v>0.18100241349999999</v>
          </cell>
          <cell r="V54">
            <v>0.1802549426</v>
          </cell>
          <cell r="W54">
            <v>0.1792850094</v>
          </cell>
          <cell r="X54">
            <v>0.17810106889999999</v>
          </cell>
          <cell r="Y54">
            <v>0.17670973849999999</v>
          </cell>
          <cell r="Z54">
            <v>0.17511716720000001</v>
          </cell>
          <cell r="AA54">
            <v>0.1732866485</v>
          </cell>
          <cell r="AB54">
            <v>0.17126200350000001</v>
          </cell>
          <cell r="AC54">
            <v>0.16906066559999999</v>
          </cell>
          <cell r="AD54">
            <v>0.16669864710000001</v>
          </cell>
          <cell r="AE54">
            <v>0.16418897139999999</v>
          </cell>
          <cell r="AF54">
            <v>0.1615420648</v>
          </cell>
          <cell r="AG54">
            <v>0.1587667555</v>
          </cell>
          <cell r="AH54">
            <v>0.1558713525</v>
          </cell>
          <cell r="AI54">
            <v>0.15286440740000001</v>
          </cell>
          <cell r="AJ54">
            <v>0.14975498810000001</v>
          </cell>
          <cell r="AK54">
            <v>0.1465525325</v>
          </cell>
        </row>
        <row r="55">
          <cell r="A55" t="str">
            <v>auto_ce_cgas_0</v>
          </cell>
          <cell r="B55">
            <v>0.15020246549999999</v>
          </cell>
          <cell r="C55">
            <v>0.15228872060000001</v>
          </cell>
          <cell r="D55">
            <v>0.1550937845</v>
          </cell>
          <cell r="E55">
            <v>0.1581883006</v>
          </cell>
          <cell r="F55">
            <v>0.1613103032</v>
          </cell>
          <cell r="G55">
            <v>0.16431152269999999</v>
          </cell>
          <cell r="H55">
            <v>0.1670960652</v>
          </cell>
          <cell r="I55">
            <v>0.16963881959999999</v>
          </cell>
          <cell r="J55">
            <v>0.17193542340000001</v>
          </cell>
          <cell r="K55">
            <v>0.17399063040000001</v>
          </cell>
          <cell r="L55">
            <v>0.1758371651</v>
          </cell>
          <cell r="M55">
            <v>0.17743933980000001</v>
          </cell>
          <cell r="N55">
            <v>0.17879069089999999</v>
          </cell>
          <cell r="O55">
            <v>0.17988389090000001</v>
          </cell>
          <cell r="P55">
            <v>0.18071579900000001</v>
          </cell>
          <cell r="Q55">
            <v>0.181287801</v>
          </cell>
          <cell r="R55">
            <v>0.18160432900000001</v>
          </cell>
          <cell r="S55">
            <v>0.18167110659999999</v>
          </cell>
          <cell r="T55">
            <v>0.1814939304</v>
          </cell>
          <cell r="U55">
            <v>0.18107825050000001</v>
          </cell>
          <cell r="V55">
            <v>0.18041177380000001</v>
          </cell>
          <cell r="W55">
            <v>0.1795201428</v>
          </cell>
          <cell r="X55">
            <v>0.17841173539999999</v>
          </cell>
          <cell r="Y55">
            <v>0.1770941728</v>
          </cell>
          <cell r="Z55">
            <v>0.1755746876</v>
          </cell>
          <cell r="AA55">
            <v>0.17381630849999999</v>
          </cell>
          <cell r="AB55">
            <v>0.1718619857</v>
          </cell>
          <cell r="AC55">
            <v>0.1697280223</v>
          </cell>
          <cell r="AD55">
            <v>0.16742879969999999</v>
          </cell>
          <cell r="AE55">
            <v>0.1649761189</v>
          </cell>
          <cell r="AF55">
            <v>0.16237992400000001</v>
          </cell>
          <cell r="AG55">
            <v>0.15964930399999999</v>
          </cell>
          <cell r="AH55">
            <v>0.15679334610000001</v>
          </cell>
          <cell r="AI55">
            <v>0.1538215875</v>
          </cell>
          <cell r="AJ55">
            <v>0.1507440266</v>
          </cell>
          <cell r="AK55">
            <v>0.1475708211</v>
          </cell>
        </row>
        <row r="56">
          <cell r="A56" t="str">
            <v>auto_cf_cgas_2</v>
          </cell>
          <cell r="B56">
            <v>7.4609436000000001E-2</v>
          </cell>
          <cell r="C56">
            <v>7.5412023199999997E-2</v>
          </cell>
          <cell r="D56">
            <v>7.6451001500000004E-2</v>
          </cell>
          <cell r="E56">
            <v>7.7504025000000004E-2</v>
          </cell>
          <cell r="F56">
            <v>7.8438326399999994E-2</v>
          </cell>
          <cell r="G56">
            <v>7.91792422E-2</v>
          </cell>
          <cell r="H56">
            <v>7.9681021800000001E-2</v>
          </cell>
          <cell r="I56">
            <v>7.9904753600000003E-2</v>
          </cell>
          <cell r="J56">
            <v>7.9817640300000006E-2</v>
          </cell>
          <cell r="K56">
            <v>7.9461646100000005E-2</v>
          </cell>
          <cell r="L56">
            <v>7.8898512599999998E-2</v>
          </cell>
          <cell r="M56">
            <v>7.8155424299999998E-2</v>
          </cell>
          <cell r="N56">
            <v>7.7253093100000003E-2</v>
          </cell>
          <cell r="O56">
            <v>7.6200355400000003E-2</v>
          </cell>
          <cell r="P56">
            <v>7.5000578200000001E-2</v>
          </cell>
          <cell r="Q56">
            <v>7.3658222400000001E-2</v>
          </cell>
          <cell r="R56">
            <v>7.2182445999999997E-2</v>
          </cell>
          <cell r="S56">
            <v>7.0587498799999995E-2</v>
          </cell>
          <cell r="T56">
            <v>6.8890879200000005E-2</v>
          </cell>
          <cell r="U56">
            <v>6.7110768200000004E-2</v>
          </cell>
          <cell r="V56">
            <v>6.5260017099999998E-2</v>
          </cell>
          <cell r="W56">
            <v>6.3357599599999995E-2</v>
          </cell>
          <cell r="X56">
            <v>6.1416006500000002E-2</v>
          </cell>
          <cell r="Y56">
            <v>5.9445643100000001E-2</v>
          </cell>
          <cell r="Z56">
            <v>5.7455335500000003E-2</v>
          </cell>
          <cell r="AA56">
            <v>5.5445311900000002E-2</v>
          </cell>
          <cell r="AB56">
            <v>5.3429655999999999E-2</v>
          </cell>
          <cell r="AC56">
            <v>5.1417505400000001E-2</v>
          </cell>
          <cell r="AD56">
            <v>4.9417511300000001E-2</v>
          </cell>
          <cell r="AE56">
            <v>4.7437225899999998E-2</v>
          </cell>
          <cell r="AF56">
            <v>4.54829551E-2</v>
          </cell>
          <cell r="AG56">
            <v>4.3559885200000002E-2</v>
          </cell>
          <cell r="AH56">
            <v>4.1672346800000003E-2</v>
          </cell>
          <cell r="AI56">
            <v>3.9824076399999998E-2</v>
          </cell>
          <cell r="AJ56">
            <v>3.8018386199999997E-2</v>
          </cell>
          <cell r="AK56">
            <v>3.6258223499999999E-2</v>
          </cell>
        </row>
        <row r="57">
          <cell r="A57" t="str">
            <v>auto_cf_cgas_0</v>
          </cell>
          <cell r="B57">
            <v>7.4609436000000001E-2</v>
          </cell>
          <cell r="C57">
            <v>7.5412023199999997E-2</v>
          </cell>
          <cell r="D57">
            <v>7.6451001500000004E-2</v>
          </cell>
          <cell r="E57">
            <v>7.7504025000000004E-2</v>
          </cell>
          <cell r="F57">
            <v>7.8438326399999994E-2</v>
          </cell>
          <cell r="G57">
            <v>7.91792422E-2</v>
          </cell>
          <cell r="H57">
            <v>7.9681067699999997E-2</v>
          </cell>
          <cell r="I57">
            <v>7.99342002E-2</v>
          </cell>
          <cell r="J57">
            <v>7.9942721199999997E-2</v>
          </cell>
          <cell r="K57">
            <v>7.9719448999999998E-2</v>
          </cell>
          <cell r="L57">
            <v>7.9290980699999999E-2</v>
          </cell>
          <cell r="M57">
            <v>7.8660346399999997E-2</v>
          </cell>
          <cell r="N57">
            <v>7.7840380700000003E-2</v>
          </cell>
          <cell r="O57">
            <v>7.6842514900000006E-2</v>
          </cell>
          <cell r="P57">
            <v>7.5679319100000003E-2</v>
          </cell>
          <cell r="Q57">
            <v>7.4365180000000003E-2</v>
          </cell>
          <cell r="R57">
            <v>7.2915937E-2</v>
          </cell>
          <cell r="S57">
            <v>7.13480591E-2</v>
          </cell>
          <cell r="T57">
            <v>6.96778012E-2</v>
          </cell>
          <cell r="U57">
            <v>6.7920607600000002E-2</v>
          </cell>
          <cell r="V57">
            <v>6.6086724400000005E-2</v>
          </cell>
          <cell r="W57">
            <v>6.4194008699999999E-2</v>
          </cell>
          <cell r="X57">
            <v>6.2255356999999997E-2</v>
          </cell>
          <cell r="Y57">
            <v>6.0282383199999998E-2</v>
          </cell>
          <cell r="Z57">
            <v>5.82854685E-2</v>
          </cell>
          <cell r="AA57">
            <v>5.6265993600000001E-2</v>
          </cell>
          <cell r="AB57">
            <v>5.4239029600000002E-2</v>
          </cell>
          <cell r="AC57">
            <v>5.2214283399999999E-2</v>
          </cell>
          <cell r="AD57">
            <v>5.0200547099999999E-2</v>
          </cell>
          <cell r="AE57">
            <v>4.82053317E-2</v>
          </cell>
          <cell r="AF57">
            <v>4.6234889199999997E-2</v>
          </cell>
          <cell r="AG57">
            <v>4.4294432799999998E-2</v>
          </cell>
          <cell r="AH57">
            <v>4.2388419199999999E-2</v>
          </cell>
          <cell r="AI57">
            <v>4.0520776699999997E-2</v>
          </cell>
          <cell r="AJ57">
            <v>3.8695026399999999E-2</v>
          </cell>
          <cell r="AK57">
            <v>3.6914302199999999E-2</v>
          </cell>
        </row>
        <row r="58">
          <cell r="A58" t="str">
            <v>auto_cg_cgas_2</v>
          </cell>
          <cell r="B58">
            <v>0.13435819299999999</v>
          </cell>
          <cell r="C58">
            <v>0.13608689469999999</v>
          </cell>
          <cell r="D58">
            <v>0.13805011519999999</v>
          </cell>
          <cell r="E58">
            <v>0.13981772610000001</v>
          </cell>
          <cell r="F58">
            <v>0.1411438746</v>
          </cell>
          <cell r="G58">
            <v>0.14189902469999999</v>
          </cell>
          <cell r="H58">
            <v>0.14201443799999999</v>
          </cell>
          <cell r="I58">
            <v>0.1414293398</v>
          </cell>
          <cell r="J58">
            <v>0.14009118810000001</v>
          </cell>
          <cell r="K58">
            <v>0.13810690380000001</v>
          </cell>
          <cell r="L58">
            <v>0.13563178670000001</v>
          </cell>
          <cell r="M58">
            <v>0.1327712076</v>
          </cell>
          <cell r="N58">
            <v>0.12960885829999999</v>
          </cell>
          <cell r="O58">
            <v>0.1261974521</v>
          </cell>
          <cell r="P58">
            <v>0.12257047779999999</v>
          </cell>
          <cell r="Q58">
            <v>0.1187558724</v>
          </cell>
          <cell r="R58">
            <v>0.11478465190000001</v>
          </cell>
          <cell r="S58">
            <v>0.1106931582</v>
          </cell>
          <cell r="T58">
            <v>0.1065207004</v>
          </cell>
          <cell r="U58">
            <v>0.1023055952</v>
          </cell>
          <cell r="V58">
            <v>9.8078228899999995E-2</v>
          </cell>
          <cell r="W58">
            <v>9.3871330200000005E-2</v>
          </cell>
          <cell r="X58">
            <v>8.9708216399999999E-2</v>
          </cell>
          <cell r="Y58">
            <v>8.5607377499999998E-2</v>
          </cell>
          <cell r="Z58">
            <v>8.1583477000000001E-2</v>
          </cell>
          <cell r="AA58">
            <v>7.7642796E-2</v>
          </cell>
          <cell r="AB58">
            <v>7.3800595299999994E-2</v>
          </cell>
          <cell r="AC58">
            <v>7.0067137299999999E-2</v>
          </cell>
          <cell r="AD58">
            <v>6.6451119500000003E-2</v>
          </cell>
          <cell r="AE58">
            <v>6.2959180899999995E-2</v>
          </cell>
          <cell r="AF58">
            <v>5.9595875E-2</v>
          </cell>
          <cell r="AG58">
            <v>5.6363926600000003E-2</v>
          </cell>
          <cell r="AH58">
            <v>5.32646113E-2</v>
          </cell>
          <cell r="AI58">
            <v>5.0298110600000001E-2</v>
          </cell>
          <cell r="AJ58">
            <v>4.7463765599999999E-2</v>
          </cell>
          <cell r="AK58">
            <v>4.4760224500000001E-2</v>
          </cell>
        </row>
        <row r="59">
          <cell r="A59" t="str">
            <v>auto_cg_cgas_0</v>
          </cell>
          <cell r="B59">
            <v>0.13435819299999999</v>
          </cell>
          <cell r="C59">
            <v>0.13608689469999999</v>
          </cell>
          <cell r="D59">
            <v>0.13805011519999999</v>
          </cell>
          <cell r="E59">
            <v>0.13981772610000001</v>
          </cell>
          <cell r="F59">
            <v>0.1411438746</v>
          </cell>
          <cell r="G59">
            <v>0.14189902469999999</v>
          </cell>
          <cell r="H59">
            <v>0.1420154139</v>
          </cell>
          <cell r="I59">
            <v>0.14149670149999999</v>
          </cell>
          <cell r="J59">
            <v>0.1403771342</v>
          </cell>
          <cell r="K59">
            <v>0.1387113502</v>
          </cell>
          <cell r="L59">
            <v>0.13657741640000001</v>
          </cell>
          <cell r="M59">
            <v>0.13401846009999999</v>
          </cell>
          <cell r="N59">
            <v>0.13108859959999999</v>
          </cell>
          <cell r="O59">
            <v>0.12783643989999999</v>
          </cell>
          <cell r="P59">
            <v>0.12430948059999999</v>
          </cell>
          <cell r="Q59">
            <v>0.1205554195</v>
          </cell>
          <cell r="R59">
            <v>0.1166215268</v>
          </cell>
          <cell r="S59">
            <v>0.11255315890000001</v>
          </cell>
          <cell r="T59">
            <v>0.1083922784</v>
          </cell>
          <cell r="U59">
            <v>0.10417649900000001</v>
          </cell>
          <cell r="V59">
            <v>9.9934814600000005E-2</v>
          </cell>
          <cell r="W59">
            <v>9.57001559E-2</v>
          </cell>
          <cell r="X59">
            <v>9.1497725700000004E-2</v>
          </cell>
          <cell r="Y59">
            <v>8.7348769800000003E-2</v>
          </cell>
          <cell r="Z59">
            <v>8.3270922900000002E-2</v>
          </cell>
          <cell r="AA59">
            <v>7.9272728299999998E-2</v>
          </cell>
          <cell r="AB59">
            <v>7.5371318500000006E-2</v>
          </cell>
          <cell r="AC59">
            <v>7.1578109400000006E-2</v>
          </cell>
          <cell r="AD59">
            <v>6.7902346899999994E-2</v>
          </cell>
          <cell r="AE59">
            <v>6.4350902200000004E-2</v>
          </cell>
          <cell r="AF59">
            <v>6.0928455100000001E-2</v>
          </cell>
          <cell r="AG59">
            <v>5.7637872E-2</v>
          </cell>
          <cell r="AH59">
            <v>5.4480621899999998E-2</v>
          </cell>
          <cell r="AI59">
            <v>5.1457113300000003E-2</v>
          </cell>
          <cell r="AJ59">
            <v>4.8566913099999998E-2</v>
          </cell>
          <cell r="AK59">
            <v>4.5808865400000003E-2</v>
          </cell>
        </row>
      </sheetData>
      <sheetData sheetId="18"/>
      <sheetData sheetId="19"/>
      <sheetData sheetId="20">
        <row r="100">
          <cell r="A100" t="str">
            <v>y_toe_2</v>
          </cell>
          <cell r="B100">
            <v>136.47479609999999</v>
          </cell>
          <cell r="C100">
            <v>138.58439089999999</v>
          </cell>
          <cell r="D100">
            <v>140.31250929999999</v>
          </cell>
          <cell r="E100">
            <v>142.0737872</v>
          </cell>
          <cell r="F100">
            <v>144.04310319999999</v>
          </cell>
          <cell r="G100">
            <v>146.30587990000001</v>
          </cell>
          <cell r="H100">
            <v>149.01477080000001</v>
          </cell>
          <cell r="I100">
            <v>152.21719659999999</v>
          </cell>
          <cell r="J100">
            <v>155.7431943</v>
          </cell>
          <cell r="K100">
            <v>159.1735247</v>
          </cell>
          <cell r="L100">
            <v>162.30425199999999</v>
          </cell>
          <cell r="M100">
            <v>164.82436480000001</v>
          </cell>
          <cell r="N100">
            <v>166.9135339</v>
          </cell>
          <cell r="O100">
            <v>168.7609463</v>
          </cell>
          <cell r="P100">
            <v>170.54722240000001</v>
          </cell>
          <cell r="Q100">
            <v>172.38404059999999</v>
          </cell>
          <cell r="R100">
            <v>174.3023657</v>
          </cell>
          <cell r="S100">
            <v>176.28787500000001</v>
          </cell>
          <cell r="T100">
            <v>178.31338120000001</v>
          </cell>
          <cell r="U100">
            <v>180.3643572</v>
          </cell>
          <cell r="V100">
            <v>182.34181330000001</v>
          </cell>
          <cell r="W100">
            <v>184.45169189999999</v>
          </cell>
          <cell r="X100">
            <v>186.6551891</v>
          </cell>
          <cell r="Y100">
            <v>188.96697700000001</v>
          </cell>
          <cell r="Z100">
            <v>191.39591759999999</v>
          </cell>
          <cell r="AA100">
            <v>193.60274899999999</v>
          </cell>
          <cell r="AB100">
            <v>195.9897335</v>
          </cell>
          <cell r="AC100">
            <v>198.38970069999999</v>
          </cell>
          <cell r="AD100">
            <v>200.75237039999999</v>
          </cell>
          <cell r="AE100">
            <v>203.0636787</v>
          </cell>
          <cell r="AF100">
            <v>205.3314403</v>
          </cell>
          <cell r="AG100">
            <v>207.57119499999999</v>
          </cell>
          <cell r="AH100">
            <v>209.7986502</v>
          </cell>
          <cell r="AI100">
            <v>212.02418159999999</v>
          </cell>
          <cell r="AJ100">
            <v>214.25130999999999</v>
          </cell>
          <cell r="AK100">
            <v>216.47944390000001</v>
          </cell>
        </row>
        <row r="101">
          <cell r="A101" t="str">
            <v>m_toe_2</v>
          </cell>
          <cell r="B101">
            <v>152.81380720000001</v>
          </cell>
          <cell r="C101">
            <v>153.06659070000001</v>
          </cell>
          <cell r="D101">
            <v>153.4612109</v>
          </cell>
          <cell r="E101">
            <v>154.04683919999999</v>
          </cell>
          <cell r="F101">
            <v>154.90882350000001</v>
          </cell>
          <cell r="G101">
            <v>156.0849288</v>
          </cell>
          <cell r="H101">
            <v>157.6760261</v>
          </cell>
          <cell r="I101">
            <v>159.58905050000001</v>
          </cell>
          <cell r="J101">
            <v>161.72818229999999</v>
          </cell>
          <cell r="K101">
            <v>163.83675729999999</v>
          </cell>
          <cell r="L101">
            <v>165.92120890000001</v>
          </cell>
          <cell r="M101">
            <v>167.60500049999999</v>
          </cell>
          <cell r="N101">
            <v>169.1336656</v>
          </cell>
          <cell r="O101">
            <v>170.64233340000001</v>
          </cell>
          <cell r="P101">
            <v>172.21178599999999</v>
          </cell>
          <cell r="Q101">
            <v>173.87085260000001</v>
          </cell>
          <cell r="R101">
            <v>175.6060703</v>
          </cell>
          <cell r="S101">
            <v>177.3836915</v>
          </cell>
          <cell r="T101">
            <v>179.1702099</v>
          </cell>
          <cell r="U101">
            <v>180.94586269999999</v>
          </cell>
          <cell r="V101">
            <v>182.56616500000001</v>
          </cell>
          <cell r="W101">
            <v>184.31110090000001</v>
          </cell>
          <cell r="X101">
            <v>186.08473670000001</v>
          </cell>
          <cell r="Y101">
            <v>187.8817214</v>
          </cell>
          <cell r="Z101">
            <v>189.71233810000001</v>
          </cell>
          <cell r="AA101">
            <v>191.15236590000001</v>
          </cell>
          <cell r="AB101">
            <v>192.82547289999999</v>
          </cell>
          <cell r="AC101">
            <v>194.5296893</v>
          </cell>
          <cell r="AD101">
            <v>196.21052829999999</v>
          </cell>
          <cell r="AE101">
            <v>197.86283230000001</v>
          </cell>
          <cell r="AF101">
            <v>199.49558149999999</v>
          </cell>
          <cell r="AG101">
            <v>201.11915719999999</v>
          </cell>
          <cell r="AH101">
            <v>202.74037440000001</v>
          </cell>
          <cell r="AI101">
            <v>204.36087910000001</v>
          </cell>
          <cell r="AJ101">
            <v>205.97803569999999</v>
          </cell>
          <cell r="AK101">
            <v>207.58742549999999</v>
          </cell>
        </row>
        <row r="102">
          <cell r="A102" t="str">
            <v>ci_toe_2</v>
          </cell>
          <cell r="B102">
            <v>172.41379380000001</v>
          </cell>
          <cell r="C102">
            <v>174.22918870000001</v>
          </cell>
          <cell r="D102">
            <v>175.9584725</v>
          </cell>
          <cell r="E102">
            <v>177.8484392</v>
          </cell>
          <cell r="F102">
            <v>180.08261959999999</v>
          </cell>
          <cell r="G102">
            <v>182.7766805</v>
          </cell>
          <cell r="H102">
            <v>186.24696059999999</v>
          </cell>
          <cell r="I102">
            <v>190.4278712</v>
          </cell>
          <cell r="J102">
            <v>195.0949296</v>
          </cell>
          <cell r="K102">
            <v>199.5995442</v>
          </cell>
          <cell r="L102">
            <v>203.65667160000001</v>
          </cell>
          <cell r="M102">
            <v>206.7936527</v>
          </cell>
          <cell r="N102">
            <v>209.36600129999999</v>
          </cell>
          <cell r="O102">
            <v>211.70343769999999</v>
          </cell>
          <cell r="P102">
            <v>214.05973270000001</v>
          </cell>
          <cell r="Q102">
            <v>216.56496569999999</v>
          </cell>
          <cell r="R102">
            <v>219.23111689999999</v>
          </cell>
          <cell r="S102">
            <v>222.00318859999999</v>
          </cell>
          <cell r="T102">
            <v>224.81440939999999</v>
          </cell>
          <cell r="U102">
            <v>227.6259197</v>
          </cell>
          <cell r="V102">
            <v>230.2702151</v>
          </cell>
          <cell r="W102">
            <v>233.0873507</v>
          </cell>
          <cell r="X102">
            <v>236.00611570000001</v>
          </cell>
          <cell r="Y102">
            <v>239.03927970000001</v>
          </cell>
          <cell r="Z102">
            <v>242.20994540000001</v>
          </cell>
          <cell r="AA102">
            <v>244.98581659999999</v>
          </cell>
          <cell r="AB102">
            <v>248.08592519999999</v>
          </cell>
          <cell r="AC102">
            <v>251.23767319999999</v>
          </cell>
          <cell r="AD102">
            <v>254.33990539999999</v>
          </cell>
          <cell r="AE102">
            <v>257.37607409999998</v>
          </cell>
          <cell r="AF102">
            <v>260.36447859999998</v>
          </cell>
          <cell r="AG102">
            <v>263.33259049999998</v>
          </cell>
          <cell r="AH102">
            <v>266.302684</v>
          </cell>
          <cell r="AI102">
            <v>269.28490590000001</v>
          </cell>
          <cell r="AJ102">
            <v>272.27764359999998</v>
          </cell>
          <cell r="AK102">
            <v>275.27323039999999</v>
          </cell>
        </row>
        <row r="103">
          <cell r="A103" t="str">
            <v>ch_toe_2</v>
          </cell>
          <cell r="B103">
            <v>73.965462770000002</v>
          </cell>
          <cell r="C103">
            <v>73.83138649</v>
          </cell>
          <cell r="D103">
            <v>73.464010979999998</v>
          </cell>
          <cell r="E103">
            <v>73.117083109999996</v>
          </cell>
          <cell r="F103">
            <v>72.862901769999993</v>
          </cell>
          <cell r="G103">
            <v>72.707891239999995</v>
          </cell>
          <cell r="H103">
            <v>72.637621679999995</v>
          </cell>
          <cell r="I103">
            <v>72.637403829999997</v>
          </cell>
          <cell r="J103">
            <v>72.681655840000005</v>
          </cell>
          <cell r="K103">
            <v>72.761830470000007</v>
          </cell>
          <cell r="L103">
            <v>72.900599810000003</v>
          </cell>
          <cell r="M103">
            <v>73.050039389999995</v>
          </cell>
          <cell r="N103">
            <v>73.201146539999996</v>
          </cell>
          <cell r="O103">
            <v>73.342418629999997</v>
          </cell>
          <cell r="P103">
            <v>73.472117490000002</v>
          </cell>
          <cell r="Q103">
            <v>73.591194259999995</v>
          </cell>
          <cell r="R103">
            <v>73.697406650000005</v>
          </cell>
          <cell r="S103">
            <v>73.791950639999996</v>
          </cell>
          <cell r="T103">
            <v>73.876816390000002</v>
          </cell>
          <cell r="U103">
            <v>73.953581220000004</v>
          </cell>
          <cell r="V103">
            <v>74.00470061</v>
          </cell>
          <cell r="W103">
            <v>74.055161870000006</v>
          </cell>
          <cell r="X103">
            <v>74.100124579999999</v>
          </cell>
          <cell r="Y103">
            <v>74.136556889999994</v>
          </cell>
          <cell r="Z103">
            <v>74.16232617</v>
          </cell>
          <cell r="AA103">
            <v>74.12605112</v>
          </cell>
          <cell r="AB103">
            <v>74.074696680000002</v>
          </cell>
          <cell r="AC103">
            <v>74.008264560000001</v>
          </cell>
          <cell r="AD103">
            <v>73.926703070000002</v>
          </cell>
          <cell r="AE103">
            <v>73.829556760000003</v>
          </cell>
          <cell r="AF103">
            <v>73.716118059999999</v>
          </cell>
          <cell r="AG103">
            <v>73.584501000000003</v>
          </cell>
          <cell r="AH103">
            <v>73.433862590000004</v>
          </cell>
          <cell r="AI103">
            <v>73.26459045</v>
          </cell>
          <cell r="AJ103">
            <v>73.077547899999999</v>
          </cell>
          <cell r="AK103">
            <v>72.873726009999999</v>
          </cell>
        </row>
        <row r="104">
          <cell r="A104" t="str">
            <v>x_toe_2</v>
          </cell>
          <cell r="B104">
            <v>42.909346739999997</v>
          </cell>
          <cell r="C104">
            <v>43.590406479999999</v>
          </cell>
          <cell r="D104">
            <v>44.351236700000001</v>
          </cell>
          <cell r="E104">
            <v>45.15510407</v>
          </cell>
          <cell r="F104">
            <v>46.006405299999997</v>
          </cell>
          <cell r="G104">
            <v>46.906236909999997</v>
          </cell>
          <cell r="H104">
            <v>47.806214670000003</v>
          </cell>
          <cell r="I104">
            <v>48.7409721</v>
          </cell>
          <cell r="J104">
            <v>49.69479123</v>
          </cell>
          <cell r="K104">
            <v>50.648907399999999</v>
          </cell>
          <cell r="L104">
            <v>51.668189439999999</v>
          </cell>
          <cell r="M104">
            <v>52.585673229999998</v>
          </cell>
          <cell r="N104">
            <v>53.480051619999998</v>
          </cell>
          <cell r="O104">
            <v>54.357423429999997</v>
          </cell>
          <cell r="P104">
            <v>55.227158320000001</v>
          </cell>
          <cell r="Q104">
            <v>56.098733240000001</v>
          </cell>
          <cell r="R104">
            <v>56.979912470000002</v>
          </cell>
          <cell r="S104">
            <v>57.876427249999999</v>
          </cell>
          <cell r="T104">
            <v>58.79236538</v>
          </cell>
          <cell r="U104">
            <v>59.73071899</v>
          </cell>
          <cell r="V104">
            <v>60.633062500000001</v>
          </cell>
          <cell r="W104">
            <v>61.620280309999998</v>
          </cell>
          <cell r="X104">
            <v>62.633685579999998</v>
          </cell>
          <cell r="Y104">
            <v>63.672861789999999</v>
          </cell>
          <cell r="Z104">
            <v>64.735984070000001</v>
          </cell>
          <cell r="AA104">
            <v>65.643247180000003</v>
          </cell>
          <cell r="AB104">
            <v>66.654584490000005</v>
          </cell>
          <cell r="AC104">
            <v>67.67345229</v>
          </cell>
          <cell r="AD104">
            <v>68.696290160000004</v>
          </cell>
          <cell r="AE104">
            <v>69.720880140000006</v>
          </cell>
          <cell r="AF104">
            <v>70.746425079999995</v>
          </cell>
          <cell r="AG104">
            <v>71.773260710000002</v>
          </cell>
          <cell r="AH104">
            <v>72.802477999999994</v>
          </cell>
          <cell r="AI104">
            <v>73.835564410000003</v>
          </cell>
          <cell r="AJ104">
            <v>74.874154250000004</v>
          </cell>
          <cell r="AK104">
            <v>75.91991299</v>
          </cell>
        </row>
        <row r="105">
          <cell r="A105" t="str">
            <v>y_toe_0</v>
          </cell>
          <cell r="B105">
            <v>136.47479609999999</v>
          </cell>
          <cell r="C105">
            <v>138.58439089999999</v>
          </cell>
          <cell r="D105">
            <v>140.31250929999999</v>
          </cell>
          <cell r="E105">
            <v>142.0737872</v>
          </cell>
          <cell r="F105">
            <v>144.04310319999999</v>
          </cell>
          <cell r="G105">
            <v>146.30587990000001</v>
          </cell>
          <cell r="H105">
            <v>148.78194999999999</v>
          </cell>
          <cell r="I105">
            <v>151.51254470000001</v>
          </cell>
          <cell r="J105">
            <v>154.42441099999999</v>
          </cell>
          <cell r="K105">
            <v>157.4195119</v>
          </cell>
          <cell r="L105">
            <v>160.5369207</v>
          </cell>
          <cell r="M105">
            <v>163.4757674</v>
          </cell>
          <cell r="N105">
            <v>166.29031860000001</v>
          </cell>
          <cell r="O105">
            <v>168.96117580000001</v>
          </cell>
          <cell r="P105">
            <v>171.46419209999999</v>
          </cell>
          <cell r="Q105">
            <v>173.7816728</v>
          </cell>
          <cell r="R105">
            <v>175.91866529999999</v>
          </cell>
          <cell r="S105">
            <v>177.90296380000001</v>
          </cell>
          <cell r="T105">
            <v>179.78154430000001</v>
          </cell>
          <cell r="U105">
            <v>181.61284069999999</v>
          </cell>
          <cell r="V105">
            <v>183.35226209999999</v>
          </cell>
          <cell r="W105">
            <v>185.22117660000001</v>
          </cell>
          <cell r="X105">
            <v>187.18695109999999</v>
          </cell>
          <cell r="Y105">
            <v>189.26726590000001</v>
          </cell>
          <cell r="Z105">
            <v>191.47729810000001</v>
          </cell>
          <cell r="AA105">
            <v>193.49405780000001</v>
          </cell>
          <cell r="AB105">
            <v>195.73119550000001</v>
          </cell>
          <cell r="AC105">
            <v>198.0371796</v>
          </cell>
          <cell r="AD105">
            <v>200.37252570000001</v>
          </cell>
          <cell r="AE105">
            <v>202.7247716</v>
          </cell>
          <cell r="AF105">
            <v>205.0931827</v>
          </cell>
          <cell r="AG105">
            <v>207.47846730000001</v>
          </cell>
          <cell r="AH105">
            <v>209.87664849999999</v>
          </cell>
          <cell r="AI105">
            <v>212.2775556</v>
          </cell>
          <cell r="AJ105">
            <v>214.66736789999999</v>
          </cell>
          <cell r="AK105">
            <v>217.03052349999999</v>
          </cell>
        </row>
        <row r="106">
          <cell r="A106" t="str">
            <v>m_toe_0</v>
          </cell>
          <cell r="B106">
            <v>152.81380720000001</v>
          </cell>
          <cell r="C106">
            <v>153.06659070000001</v>
          </cell>
          <cell r="D106">
            <v>153.4612109</v>
          </cell>
          <cell r="E106">
            <v>154.04683919999999</v>
          </cell>
          <cell r="F106">
            <v>154.90882350000001</v>
          </cell>
          <cell r="G106">
            <v>156.0849288</v>
          </cell>
          <cell r="H106">
            <v>157.42786480000001</v>
          </cell>
          <cell r="I106">
            <v>159.01487359999999</v>
          </cell>
          <cell r="J106">
            <v>160.7783465</v>
          </cell>
          <cell r="K106">
            <v>162.63554239999999</v>
          </cell>
          <cell r="L106">
            <v>164.71465119999999</v>
          </cell>
          <cell r="M106">
            <v>166.62490980000001</v>
          </cell>
          <cell r="N106">
            <v>168.52916070000001</v>
          </cell>
          <cell r="O106">
            <v>170.45147019999999</v>
          </cell>
          <cell r="P106">
            <v>172.38202150000001</v>
          </cell>
          <cell r="Q106">
            <v>174.3042203</v>
          </cell>
          <cell r="R106">
            <v>176.2041309</v>
          </cell>
          <cell r="S106">
            <v>178.07415990000001</v>
          </cell>
          <cell r="T106">
            <v>179.9141865</v>
          </cell>
          <cell r="U106">
            <v>181.730333</v>
          </cell>
          <cell r="V106">
            <v>183.39089060000001</v>
          </cell>
          <cell r="W106">
            <v>185.17107300000001</v>
          </cell>
          <cell r="X106">
            <v>186.96672770000001</v>
          </cell>
          <cell r="Y106">
            <v>188.7654186</v>
          </cell>
          <cell r="Z106">
            <v>190.57564600000001</v>
          </cell>
          <cell r="AA106">
            <v>191.97809580000001</v>
          </cell>
          <cell r="AB106">
            <v>193.60525490000001</v>
          </cell>
          <cell r="AC106">
            <v>195.26461409999999</v>
          </cell>
          <cell r="AD106">
            <v>196.91058670000001</v>
          </cell>
          <cell r="AE106">
            <v>198.5434515</v>
          </cell>
          <cell r="AF106">
            <v>200.1732557</v>
          </cell>
          <cell r="AG106">
            <v>201.80820639999999</v>
          </cell>
          <cell r="AH106">
            <v>203.45100619999999</v>
          </cell>
          <cell r="AI106">
            <v>205.0988538</v>
          </cell>
          <cell r="AJ106">
            <v>206.74559060000001</v>
          </cell>
          <cell r="AK106">
            <v>208.38415319999999</v>
          </cell>
        </row>
        <row r="107">
          <cell r="A107" t="str">
            <v>ci_toe_0</v>
          </cell>
          <cell r="B107">
            <v>172.41379380000001</v>
          </cell>
          <cell r="C107">
            <v>174.22918870000001</v>
          </cell>
          <cell r="D107">
            <v>175.9584725</v>
          </cell>
          <cell r="E107">
            <v>177.8484392</v>
          </cell>
          <cell r="F107">
            <v>180.08261959999999</v>
          </cell>
          <cell r="G107">
            <v>182.7766805</v>
          </cell>
          <cell r="H107">
            <v>185.7820826</v>
          </cell>
          <cell r="I107">
            <v>189.19105390000001</v>
          </cell>
          <cell r="J107">
            <v>192.88552129999999</v>
          </cell>
          <cell r="K107">
            <v>196.7082096</v>
          </cell>
          <cell r="L107">
            <v>200.74172100000001</v>
          </cell>
          <cell r="M107">
            <v>204.51043329999999</v>
          </cell>
          <cell r="N107">
            <v>208.16282570000001</v>
          </cell>
          <cell r="O107">
            <v>211.7124805</v>
          </cell>
          <cell r="P107">
            <v>215.13319949999999</v>
          </cell>
          <cell r="Q107">
            <v>218.3951026</v>
          </cell>
          <cell r="R107">
            <v>221.48388170000001</v>
          </cell>
          <cell r="S107">
            <v>224.40885539999999</v>
          </cell>
          <cell r="T107">
            <v>227.20368830000001</v>
          </cell>
          <cell r="U107">
            <v>229.9198001</v>
          </cell>
          <cell r="V107">
            <v>232.4479565</v>
          </cell>
          <cell r="W107">
            <v>235.13653690000001</v>
          </cell>
          <cell r="X107">
            <v>237.90848199999999</v>
          </cell>
          <cell r="Y107">
            <v>240.76844740000001</v>
          </cell>
          <cell r="Z107">
            <v>243.74074200000001</v>
          </cell>
          <cell r="AA107">
            <v>246.31128659999999</v>
          </cell>
          <cell r="AB107">
            <v>249.21929990000001</v>
          </cell>
          <cell r="AC107">
            <v>252.21758299999999</v>
          </cell>
          <cell r="AD107">
            <v>255.2265682</v>
          </cell>
          <cell r="AE107">
            <v>258.23970589999999</v>
          </cell>
          <cell r="AF107">
            <v>261.27153700000002</v>
          </cell>
          <cell r="AG107">
            <v>264.33542</v>
          </cell>
          <cell r="AH107">
            <v>267.43352859999999</v>
          </cell>
          <cell r="AI107">
            <v>270.55525660000001</v>
          </cell>
          <cell r="AJ107">
            <v>273.68188620000001</v>
          </cell>
          <cell r="AK107">
            <v>276.79311369999999</v>
          </cell>
        </row>
        <row r="108">
          <cell r="A108" t="str">
            <v>ch_toe_0</v>
          </cell>
          <cell r="B108">
            <v>73.965462770000002</v>
          </cell>
          <cell r="C108">
            <v>73.83138649</v>
          </cell>
          <cell r="D108">
            <v>73.464010979999998</v>
          </cell>
          <cell r="E108">
            <v>73.117083109999996</v>
          </cell>
          <cell r="F108">
            <v>72.862901769999993</v>
          </cell>
          <cell r="G108">
            <v>72.707891239999995</v>
          </cell>
          <cell r="H108">
            <v>72.621503250000004</v>
          </cell>
          <cell r="I108">
            <v>72.593277490000006</v>
          </cell>
          <cell r="J108">
            <v>72.610585279999995</v>
          </cell>
          <cell r="K108">
            <v>72.661975409999997</v>
          </cell>
          <cell r="L108">
            <v>72.763672729999996</v>
          </cell>
          <cell r="M108">
            <v>72.869594410000005</v>
          </cell>
          <cell r="N108">
            <v>72.978184519999999</v>
          </cell>
          <cell r="O108">
            <v>73.086152870000006</v>
          </cell>
          <cell r="P108">
            <v>73.187656309999994</v>
          </cell>
          <cell r="Q108">
            <v>73.276476599999995</v>
          </cell>
          <cell r="R108">
            <v>73.352766630000005</v>
          </cell>
          <cell r="S108">
            <v>73.41949323</v>
          </cell>
          <cell r="T108">
            <v>73.480408890000007</v>
          </cell>
          <cell r="U108">
            <v>73.538915610000004</v>
          </cell>
          <cell r="V108">
            <v>73.579773939999995</v>
          </cell>
          <cell r="W108">
            <v>73.624338620000003</v>
          </cell>
          <cell r="X108">
            <v>73.666999279999999</v>
          </cell>
          <cell r="Y108">
            <v>73.704967659999994</v>
          </cell>
          <cell r="Z108">
            <v>73.736449890000003</v>
          </cell>
          <cell r="AA108">
            <v>73.710283779999997</v>
          </cell>
          <cell r="AB108">
            <v>73.672804099999993</v>
          </cell>
          <cell r="AC108">
            <v>73.623171279999994</v>
          </cell>
          <cell r="AD108">
            <v>73.560238029999994</v>
          </cell>
          <cell r="AE108">
            <v>73.482511669999994</v>
          </cell>
          <cell r="AF108">
            <v>73.388452169999994</v>
          </cell>
          <cell r="AG108">
            <v>73.276817140000006</v>
          </cell>
          <cell r="AH108">
            <v>73.146869530000004</v>
          </cell>
          <cell r="AI108">
            <v>72.998407549999996</v>
          </cell>
          <cell r="AJ108">
            <v>72.831660670000005</v>
          </cell>
          <cell r="AK108">
            <v>72.644983389999993</v>
          </cell>
        </row>
        <row r="109">
          <cell r="A109" t="str">
            <v>x_toe_0</v>
          </cell>
          <cell r="B109">
            <v>42.909346739999997</v>
          </cell>
          <cell r="C109">
            <v>43.590406479999999</v>
          </cell>
          <cell r="D109">
            <v>44.351236700000001</v>
          </cell>
          <cell r="E109">
            <v>45.15510407</v>
          </cell>
          <cell r="F109">
            <v>46.006405299999997</v>
          </cell>
          <cell r="G109">
            <v>46.906236909999997</v>
          </cell>
          <cell r="H109">
            <v>47.806228969999999</v>
          </cell>
          <cell r="I109">
            <v>48.743086920000003</v>
          </cell>
          <cell r="J109">
            <v>49.706651020000002</v>
          </cell>
          <cell r="K109">
            <v>50.684869239999998</v>
          </cell>
          <cell r="L109">
            <v>51.746178129999997</v>
          </cell>
          <cell r="M109">
            <v>52.720649510000001</v>
          </cell>
          <cell r="N109">
            <v>53.678469030000002</v>
          </cell>
          <cell r="O109">
            <v>54.614012610000003</v>
          </cell>
          <cell r="P109">
            <v>55.525357730000003</v>
          </cell>
          <cell r="Q109">
            <v>56.41431395</v>
          </cell>
          <cell r="R109">
            <v>57.286147890000002</v>
          </cell>
          <cell r="S109">
            <v>58.148775059999998</v>
          </cell>
          <cell r="T109">
            <v>59.011633660000001</v>
          </cell>
          <cell r="U109">
            <v>59.884457949999998</v>
          </cell>
          <cell r="V109">
            <v>60.715422359999998</v>
          </cell>
          <cell r="W109">
            <v>61.631374090000001</v>
          </cell>
          <cell r="X109">
            <v>62.578197469999999</v>
          </cell>
          <cell r="Y109">
            <v>63.559269389999997</v>
          </cell>
          <cell r="Z109">
            <v>64.575752210000005</v>
          </cell>
          <cell r="AA109">
            <v>65.450583210000005</v>
          </cell>
          <cell r="AB109">
            <v>66.444346420000002</v>
          </cell>
          <cell r="AC109">
            <v>67.461039439999993</v>
          </cell>
          <cell r="AD109">
            <v>68.496306180000005</v>
          </cell>
          <cell r="AE109">
            <v>69.546005600000001</v>
          </cell>
          <cell r="AF109">
            <v>70.606449159999997</v>
          </cell>
          <cell r="AG109">
            <v>71.674436470000003</v>
          </cell>
          <cell r="AH109">
            <v>72.747256469999996</v>
          </cell>
          <cell r="AI109">
            <v>73.822745220000002</v>
          </cell>
          <cell r="AJ109">
            <v>74.899411639999997</v>
          </cell>
          <cell r="AK109">
            <v>75.976579610000002</v>
          </cell>
        </row>
      </sheetData>
      <sheetData sheetId="21"/>
      <sheetData sheetId="22"/>
      <sheetData sheetId="2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lorian Jacquetin" id="{699B898A-57CD-4032-AE92-F76E6BE2A5E0}" userId="12c657cf18380207" providerId="Windows Live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91" dT="2022-12-11T00:44:55.85" personId="{699B898A-57CD-4032-AE92-F76E6BE2A5E0}" id="{8B17D36B-81D2-4EE5-A719-89E9DB4D4DB2}">
    <text>Attention léger écart sur somme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83"/>
  <sheetViews>
    <sheetView zoomScale="77" workbookViewId="0">
      <pane xSplit="2" ySplit="4" topLeftCell="C580" activePane="bottomRight" state="frozen"/>
      <selection pane="topRight" activeCell="C1" sqref="C1"/>
      <selection pane="bottomLeft" activeCell="A4" sqref="A4"/>
      <selection pane="bottomRight" activeCell="C597" sqref="C597"/>
    </sheetView>
  </sheetViews>
  <sheetFormatPr baseColWidth="10" defaultRowHeight="14.4" x14ac:dyDescent="0.3"/>
  <cols>
    <col min="1" max="1" width="26.88671875" customWidth="1"/>
    <col min="2" max="2" width="43.109375" customWidth="1"/>
    <col min="3" max="13" width="13.109375" bestFit="1" customWidth="1"/>
    <col min="14" max="38" width="14.21875" bestFit="1" customWidth="1"/>
  </cols>
  <sheetData>
    <row r="1" spans="1:38" x14ac:dyDescent="0.3">
      <c r="A1" t="s">
        <v>5</v>
      </c>
      <c r="B1" t="s">
        <v>6</v>
      </c>
    </row>
    <row r="4" spans="1:38" x14ac:dyDescent="0.3">
      <c r="A4" s="12" t="s">
        <v>0</v>
      </c>
      <c r="C4" s="2">
        <v>42005</v>
      </c>
      <c r="D4" s="2">
        <v>42370</v>
      </c>
      <c r="E4" s="2">
        <v>42736</v>
      </c>
      <c r="F4" s="2">
        <v>43101</v>
      </c>
      <c r="G4" s="2">
        <v>43466</v>
      </c>
      <c r="H4" s="2">
        <v>43831</v>
      </c>
      <c r="I4" s="2">
        <v>44197</v>
      </c>
      <c r="J4" s="2">
        <v>44562</v>
      </c>
      <c r="K4" s="2">
        <v>44927</v>
      </c>
      <c r="L4" s="2">
        <v>45292</v>
      </c>
      <c r="M4" s="2">
        <v>45658</v>
      </c>
      <c r="N4" s="2">
        <v>46023</v>
      </c>
      <c r="O4" s="2">
        <v>46388</v>
      </c>
      <c r="P4" s="2">
        <v>46753</v>
      </c>
      <c r="Q4" s="2">
        <v>47119</v>
      </c>
      <c r="R4" s="2">
        <v>47484</v>
      </c>
      <c r="S4" s="2">
        <v>47849</v>
      </c>
      <c r="T4" s="2">
        <v>48214</v>
      </c>
      <c r="U4" s="2">
        <v>48580</v>
      </c>
      <c r="V4" s="2">
        <v>48945</v>
      </c>
      <c r="W4" s="2">
        <v>49310</v>
      </c>
      <c r="X4" s="2">
        <v>49675</v>
      </c>
      <c r="Y4" s="2">
        <v>50041</v>
      </c>
      <c r="Z4" s="2">
        <v>50406</v>
      </c>
      <c r="AA4" s="2">
        <v>50771</v>
      </c>
      <c r="AB4" s="2">
        <v>51136</v>
      </c>
      <c r="AC4" s="2">
        <v>51502</v>
      </c>
      <c r="AD4" s="2">
        <v>51867</v>
      </c>
      <c r="AE4" s="2">
        <v>52232</v>
      </c>
      <c r="AF4" s="2">
        <v>52597</v>
      </c>
      <c r="AG4" s="2">
        <v>52963</v>
      </c>
      <c r="AH4" s="2">
        <v>53328</v>
      </c>
      <c r="AI4" s="2">
        <v>53693</v>
      </c>
      <c r="AJ4" s="2">
        <v>54058</v>
      </c>
      <c r="AK4" s="2">
        <v>54424</v>
      </c>
      <c r="AL4" s="2">
        <v>54789</v>
      </c>
    </row>
    <row r="5" spans="1:38" x14ac:dyDescent="0.3">
      <c r="A5" s="3" t="str">
        <f>[1]Results!E1365</f>
        <v>100*(GDP_2/GDP_0-1)</v>
      </c>
      <c r="B5" t="s">
        <v>77</v>
      </c>
      <c r="C5" s="1">
        <f>[1]Results!F1365</f>
        <v>0</v>
      </c>
      <c r="D5" s="1">
        <f>[1]Results!G1365</f>
        <v>0</v>
      </c>
      <c r="E5" s="1">
        <f>[1]Results!H1365</f>
        <v>0</v>
      </c>
      <c r="F5" s="1">
        <f>[1]Results!I1365</f>
        <v>0</v>
      </c>
      <c r="G5" s="1">
        <f>[1]Results!J1365</f>
        <v>0</v>
      </c>
      <c r="H5" s="1">
        <f>[1]Results!K1365</f>
        <v>0</v>
      </c>
      <c r="I5" s="1">
        <f>[1]Results!L1365</f>
        <v>-3.9946639302979037E-2</v>
      </c>
      <c r="J5" s="1">
        <f>[1]Results!M1365</f>
        <v>-0.42576878597562207</v>
      </c>
      <c r="K5" s="1">
        <f>[1]Results!N1365</f>
        <v>-0.98939576142926811</v>
      </c>
      <c r="L5" s="1">
        <f>[1]Results!O1365</f>
        <v>-1.4988965995153536</v>
      </c>
      <c r="M5" s="1">
        <f>[1]Results!P1365</f>
        <v>-1.7998616974512216</v>
      </c>
      <c r="N5" s="1">
        <f>[1]Results!Q1365</f>
        <v>-1.8853182655582779</v>
      </c>
      <c r="O5" s="1">
        <f>[1]Results!R1365</f>
        <v>-1.7985345336482772</v>
      </c>
      <c r="P5" s="1">
        <f>[1]Results!S1365</f>
        <v>-1.6318687916847874</v>
      </c>
      <c r="Q5" s="1">
        <f>[1]Results!T1365</f>
        <v>-1.4693965618049032</v>
      </c>
      <c r="R5" s="1">
        <f>[1]Results!U1365</f>
        <v>-1.3605831873911067</v>
      </c>
      <c r="S5" s="1">
        <f>[1]Results!V1365</f>
        <v>-1.3150222850134674</v>
      </c>
      <c r="T5" s="1">
        <f>[1]Results!W1365</f>
        <v>-1.3135553150616763</v>
      </c>
      <c r="U5" s="1">
        <f>[1]Results!X1365</f>
        <v>-1.3266178693148833</v>
      </c>
      <c r="V5" s="1">
        <f>[1]Results!Y1365</f>
        <v>-1.3300111776241241</v>
      </c>
      <c r="W5" s="1">
        <f>[1]Results!Z1365</f>
        <v>-1.3114034393873042</v>
      </c>
      <c r="X5" s="1">
        <f>[1]Results!AA1365</f>
        <v>-1.2761839095143612</v>
      </c>
      <c r="Y5" s="1">
        <f>[1]Results!AB1365</f>
        <v>-1.2342510710682708</v>
      </c>
      <c r="Z5" s="1">
        <f>[1]Results!AC1365</f>
        <v>-1.1973022964065771</v>
      </c>
      <c r="AA5" s="1">
        <f>[1]Results!AD1365</f>
        <v>-1.1734103974124777</v>
      </c>
      <c r="AB5" s="1">
        <f>[1]Results!AE1365</f>
        <v>-1.1631351478532226</v>
      </c>
      <c r="AC5" s="1">
        <f>[1]Results!AF1365</f>
        <v>-1.1652489579861647</v>
      </c>
      <c r="AD5" s="1">
        <f>[1]Results!AG1365</f>
        <v>-1.1742965775187519</v>
      </c>
      <c r="AE5" s="1">
        <f>[1]Results!AH1365</f>
        <v>-1.183819488157356</v>
      </c>
      <c r="AF5" s="1">
        <f>[1]Results!AI1365</f>
        <v>-1.1892379172301459</v>
      </c>
      <c r="AG5" s="1">
        <f>[1]Results!AJ1365</f>
        <v>-1.1886627408527084</v>
      </c>
      <c r="AH5" s="1">
        <f>[1]Results!AK1365</f>
        <v>-1.1825891285797252</v>
      </c>
      <c r="AI5" s="1">
        <f>[1]Results!AL1365</f>
        <v>-1.1728227178091188</v>
      </c>
      <c r="AJ5" s="1">
        <f>[1]Results!AM1365</f>
        <v>-1.1613251198195007</v>
      </c>
      <c r="AK5" s="1">
        <f>[1]Results!AN1365</f>
        <v>-1.1494309794292557</v>
      </c>
      <c r="AL5" s="1">
        <f>[1]Results!AO1365</f>
        <v>-1.1375487843219179</v>
      </c>
    </row>
    <row r="6" spans="1:38" x14ac:dyDescent="0.3">
      <c r="A6" s="3" t="str">
        <f>[1]Results!E1366</f>
        <v>100*((VA_2-VA_spub_2)/(VA_0-VA_spub_0)-1)</v>
      </c>
      <c r="B6" t="str">
        <f>[1]Results!C1366</f>
        <v>VA du secteur marchand</v>
      </c>
      <c r="C6" s="1">
        <f>[1]Results!F1366</f>
        <v>0</v>
      </c>
      <c r="D6" s="1">
        <f>[1]Results!G1366</f>
        <v>0</v>
      </c>
      <c r="E6" s="1">
        <f>[1]Results!H1366</f>
        <v>0</v>
      </c>
      <c r="F6" s="1">
        <f>[1]Results!I1366</f>
        <v>0</v>
      </c>
      <c r="G6" s="1">
        <f>[1]Results!J1366</f>
        <v>0</v>
      </c>
      <c r="H6" s="1">
        <f>[1]Results!K1366</f>
        <v>0</v>
      </c>
      <c r="I6" s="1">
        <f>[1]Results!L1366</f>
        <v>-6.7823325184945826E-2</v>
      </c>
      <c r="J6" s="1">
        <f>[1]Results!M1366</f>
        <v>-0.52261292511843749</v>
      </c>
      <c r="K6" s="1">
        <f>[1]Results!N1366</f>
        <v>-1.1940140784131303</v>
      </c>
      <c r="L6" s="1">
        <f>[1]Results!O1366</f>
        <v>-1.8179727492346642</v>
      </c>
      <c r="M6" s="1">
        <f>[1]Results!P1366</f>
        <v>-2.2100829820286938</v>
      </c>
      <c r="N6" s="1">
        <f>[1]Results!Q1366</f>
        <v>-2.3532066030131249</v>
      </c>
      <c r="O6" s="1">
        <f>[1]Results!R1366</f>
        <v>-2.2888671715506237</v>
      </c>
      <c r="P6" s="1">
        <f>[1]Results!S1366</f>
        <v>-2.1198582911828856</v>
      </c>
      <c r="Q6" s="1">
        <f>[1]Results!T1366</f>
        <v>-1.9432180147322842</v>
      </c>
      <c r="R6" s="1">
        <f>[1]Results!U1366</f>
        <v>-1.8187248222128805</v>
      </c>
      <c r="S6" s="1">
        <f>[1]Results!V1366</f>
        <v>-1.7611259214592723</v>
      </c>
      <c r="T6" s="1">
        <f>[1]Results!W1366</f>
        <v>-1.7514071871400971</v>
      </c>
      <c r="U6" s="1">
        <f>[1]Results!X1366</f>
        <v>-1.7573058358586913</v>
      </c>
      <c r="V6" s="1">
        <f>[1]Results!Y1366</f>
        <v>-1.7515780205913489</v>
      </c>
      <c r="W6" s="1">
        <f>[1]Results!Z1366</f>
        <v>-1.7201618870963387</v>
      </c>
      <c r="X6" s="1">
        <f>[1]Results!AA1366</f>
        <v>-1.6686233257574123</v>
      </c>
      <c r="Y6" s="1">
        <f>[1]Results!AB1366</f>
        <v>-1.6090778626521085</v>
      </c>
      <c r="Z6" s="1">
        <f>[1]Results!AC1366</f>
        <v>-1.5554640570592526</v>
      </c>
      <c r="AA6" s="1">
        <f>[1]Results!AD1366</f>
        <v>-1.5178567489940176</v>
      </c>
      <c r="AB6" s="1">
        <f>[1]Results!AE1366</f>
        <v>-1.4980373657113466</v>
      </c>
      <c r="AC6" s="1">
        <f>[1]Results!AF1366</f>
        <v>-1.493874701838771</v>
      </c>
      <c r="AD6" s="1">
        <f>[1]Results!AG1366</f>
        <v>-1.5001611099822454</v>
      </c>
      <c r="AE6" s="1">
        <f>[1]Results!AH1366</f>
        <v>-1.5090459326206118</v>
      </c>
      <c r="AF6" s="1">
        <f>[1]Results!AI1366</f>
        <v>-1.5147817697434895</v>
      </c>
      <c r="AG6" s="1">
        <f>[1]Results!AJ1366</f>
        <v>-1.514670935078799</v>
      </c>
      <c r="AH6" s="1">
        <f>[1]Results!AK1366</f>
        <v>-1.508817742085522</v>
      </c>
      <c r="AI6" s="1">
        <f>[1]Results!AL1366</f>
        <v>-1.4989365874959248</v>
      </c>
      <c r="AJ6" s="1">
        <f>[1]Results!AM1366</f>
        <v>-1.4870341121719144</v>
      </c>
      <c r="AK6" s="1">
        <f>[1]Results!AN1366</f>
        <v>-1.4744901592031567</v>
      </c>
      <c r="AL6" s="1">
        <f>[1]Results!AO1366</f>
        <v>-1.4616625013770368</v>
      </c>
    </row>
    <row r="7" spans="1:38" x14ac:dyDescent="0.3">
      <c r="A7" s="3" t="str">
        <f>[1]Results!E1367</f>
        <v>100*((CH_2-CH_0)/GDP_0)</v>
      </c>
      <c r="B7" t="s">
        <v>35</v>
      </c>
      <c r="C7" s="1">
        <f>[1]Results!F1367</f>
        <v>0</v>
      </c>
      <c r="D7" s="1">
        <f>[1]Results!G1367</f>
        <v>0</v>
      </c>
      <c r="E7" s="1">
        <f>[1]Results!H1367</f>
        <v>0</v>
      </c>
      <c r="F7" s="1">
        <f>[1]Results!I1367</f>
        <v>0</v>
      </c>
      <c r="G7" s="1">
        <f>[1]Results!J1367</f>
        <v>0</v>
      </c>
      <c r="H7" s="1">
        <f>[1]Results!K1367</f>
        <v>0</v>
      </c>
      <c r="I7" s="1">
        <f>[1]Results!L1367</f>
        <v>-5.1750526854107814E-3</v>
      </c>
      <c r="J7" s="1">
        <f>[1]Results!M1367</f>
        <v>-0.27366526126804164</v>
      </c>
      <c r="K7" s="1">
        <f>[1]Results!N1367</f>
        <v>-0.61527902228321041</v>
      </c>
      <c r="L7" s="1">
        <f>[1]Results!O1367</f>
        <v>-0.84776283782660744</v>
      </c>
      <c r="M7" s="1">
        <f>[1]Results!P1367</f>
        <v>-0.88561530678461631</v>
      </c>
      <c r="N7" s="1">
        <f>[1]Results!Q1367</f>
        <v>-0.76935929172245443</v>
      </c>
      <c r="O7" s="1">
        <f>[1]Results!R1367</f>
        <v>-0.56347318246608824</v>
      </c>
      <c r="P7" s="1">
        <f>[1]Results!S1367</f>
        <v>-0.35263669440976891</v>
      </c>
      <c r="Q7" s="1">
        <f>[1]Results!T1367</f>
        <v>-0.19679514467688042</v>
      </c>
      <c r="R7" s="1">
        <f>[1]Results!U1367</f>
        <v>-0.11892576155988815</v>
      </c>
      <c r="S7" s="1">
        <f>[1]Results!V1367</f>
        <v>-0.10966287766474396</v>
      </c>
      <c r="T7" s="1">
        <f>[1]Results!W1367</f>
        <v>-0.14171053305950362</v>
      </c>
      <c r="U7" s="1">
        <f>[1]Results!X1367</f>
        <v>-0.1860205905868085</v>
      </c>
      <c r="V7" s="1">
        <f>[1]Results!Y1367</f>
        <v>-0.22287698028945727</v>
      </c>
      <c r="W7" s="1">
        <f>[1]Results!Z1367</f>
        <v>-0.24404199737510734</v>
      </c>
      <c r="X7" s="1">
        <f>[1]Results!AA1367</f>
        <v>-0.25586315531480974</v>
      </c>
      <c r="Y7" s="1">
        <f>[1]Results!AB1367</f>
        <v>-0.26476515592928856</v>
      </c>
      <c r="Z7" s="1">
        <f>[1]Results!AC1367</f>
        <v>-0.27756409360358708</v>
      </c>
      <c r="AA7" s="1">
        <f>[1]Results!AD1367</f>
        <v>-0.29726572311689237</v>
      </c>
      <c r="AB7" s="1">
        <f>[1]Results!AE1367</f>
        <v>-0.32070521991615381</v>
      </c>
      <c r="AC7" s="1">
        <f>[1]Results!AF1367</f>
        <v>-0.34690702904661463</v>
      </c>
      <c r="AD7" s="1">
        <f>[1]Results!AG1367</f>
        <v>-0.36980980609884739</v>
      </c>
      <c r="AE7" s="1">
        <f>[1]Results!AH1367</f>
        <v>-0.38543128617656391</v>
      </c>
      <c r="AF7" s="1">
        <f>[1]Results!AI1367</f>
        <v>-0.39203981138393634</v>
      </c>
      <c r="AG7" s="1">
        <f>[1]Results!AJ1367</f>
        <v>-0.3902534924098498</v>
      </c>
      <c r="AH7" s="1">
        <f>[1]Results!AK1367</f>
        <v>-0.38230076915712247</v>
      </c>
      <c r="AI7" s="1">
        <f>[1]Results!AL1367</f>
        <v>-0.37091130930068794</v>
      </c>
      <c r="AJ7" s="1">
        <f>[1]Results!AM1367</f>
        <v>-0.35839677081075966</v>
      </c>
      <c r="AK7" s="1">
        <f>[1]Results!AN1367</f>
        <v>-0.34618669382620104</v>
      </c>
      <c r="AL7" s="1">
        <f>[1]Results!AO1367</f>
        <v>-0.33479153676562834</v>
      </c>
    </row>
    <row r="8" spans="1:38" x14ac:dyDescent="0.3">
      <c r="A8" s="3" t="str">
        <f>[1]Results!E1368</f>
        <v>100*((CH_cveh_2-CH_cveh_0)/GDP_0)</v>
      </c>
      <c r="B8" t="str">
        <f>[1]Results!C1368</f>
        <v>Consommation des ménages automobile</v>
      </c>
      <c r="C8" s="1">
        <f>[1]Results!F1368</f>
        <v>0</v>
      </c>
      <c r="D8" s="1">
        <f>[1]Results!G1368</f>
        <v>0</v>
      </c>
      <c r="E8" s="1">
        <f>[1]Results!H1368</f>
        <v>0</v>
      </c>
      <c r="F8" s="1">
        <f>[1]Results!I1368</f>
        <v>0</v>
      </c>
      <c r="G8" s="1">
        <f>[1]Results!J1368</f>
        <v>0</v>
      </c>
      <c r="H8" s="1">
        <f>[1]Results!K1368</f>
        <v>0</v>
      </c>
      <c r="I8" s="1">
        <f>[1]Results!L1368</f>
        <v>3.117671382905586E-4</v>
      </c>
      <c r="J8" s="1">
        <f>[1]Results!M1368</f>
        <v>-2.533890838137879E-3</v>
      </c>
      <c r="K8" s="1">
        <f>[1]Results!N1368</f>
        <v>-5.0102679811879795E-3</v>
      </c>
      <c r="L8" s="1">
        <f>[1]Results!O1368</f>
        <v>5.2741113530698873E-3</v>
      </c>
      <c r="M8" s="1">
        <f>[1]Results!P1368</f>
        <v>2.6759135401534521E-2</v>
      </c>
      <c r="N8" s="1">
        <f>[1]Results!Q1368</f>
        <v>5.0148381181770167E-2</v>
      </c>
      <c r="O8" s="1">
        <f>[1]Results!R1368</f>
        <v>6.6550686702050679E-2</v>
      </c>
      <c r="P8" s="1">
        <f>[1]Results!S1368</f>
        <v>7.2036518935225016E-2</v>
      </c>
      <c r="Q8" s="1">
        <f>[1]Results!T1368</f>
        <v>6.7217092504538209E-2</v>
      </c>
      <c r="R8" s="1">
        <f>[1]Results!U1368</f>
        <v>5.5765307257440132E-2</v>
      </c>
      <c r="S8" s="1">
        <f>[1]Results!V1368</f>
        <v>4.2193133019280786E-2</v>
      </c>
      <c r="T8" s="1">
        <f>[1]Results!W1368</f>
        <v>3.0088526188038027E-2</v>
      </c>
      <c r="U8" s="1">
        <f>[1]Results!X1368</f>
        <v>2.1272315591264482E-2</v>
      </c>
      <c r="V8" s="1">
        <f>[1]Results!Y1368</f>
        <v>1.5851734680785459E-2</v>
      </c>
      <c r="W8" s="1">
        <f>[1]Results!Z1368</f>
        <v>1.2860205229449024E-2</v>
      </c>
      <c r="X8" s="1">
        <f>[1]Results!AA1368</f>
        <v>1.1052897516341432E-2</v>
      </c>
      <c r="Y8" s="1">
        <f>[1]Results!AB1368</f>
        <v>9.4619172045792357E-3</v>
      </c>
      <c r="Z8" s="1">
        <f>[1]Results!AC1368</f>
        <v>7.7661717289949899E-3</v>
      </c>
      <c r="AA8" s="1">
        <f>[1]Results!AD1368</f>
        <v>6.0689199500730505E-3</v>
      </c>
      <c r="AB8" s="1">
        <f>[1]Results!AE1368</f>
        <v>4.686245125096104E-3</v>
      </c>
      <c r="AC8" s="1">
        <f>[1]Results!AF1368</f>
        <v>3.9451902688849884E-3</v>
      </c>
      <c r="AD8" s="1">
        <f>[1]Results!AG1368</f>
        <v>3.940141480280452E-3</v>
      </c>
      <c r="AE8" s="1">
        <f>[1]Results!AH1368</f>
        <v>4.6340753167068349E-3</v>
      </c>
      <c r="AF8" s="1">
        <f>[1]Results!AI1368</f>
        <v>5.8008233227160172E-3</v>
      </c>
      <c r="AG8" s="1">
        <f>[1]Results!AJ1368</f>
        <v>7.1313894178089239E-3</v>
      </c>
      <c r="AH8" s="1">
        <f>[1]Results!AK1368</f>
        <v>8.3477474016321589E-3</v>
      </c>
      <c r="AI8" s="1">
        <f>[1]Results!AL1368</f>
        <v>9.2760318238918702E-3</v>
      </c>
      <c r="AJ8" s="1">
        <f>[1]Results!AM1368</f>
        <v>9.8633928454985517E-3</v>
      </c>
      <c r="AK8" s="1">
        <f>[1]Results!AN1368</f>
        <v>1.0149401420710058E-2</v>
      </c>
      <c r="AL8" s="1">
        <f>[1]Results!AO1368</f>
        <v>1.0218143301050081E-2</v>
      </c>
    </row>
    <row r="9" spans="1:38" x14ac:dyDescent="0.3">
      <c r="A9" s="3" t="str">
        <f>[1]Results!E1369</f>
        <v>100*((G_2-G_0)/GDP_0)</v>
      </c>
      <c r="B9" t="str">
        <f>[1]Results!C1369</f>
        <v>Dépenses publiques</v>
      </c>
      <c r="C9" s="1">
        <f>[1]Results!F1369</f>
        <v>0</v>
      </c>
      <c r="D9" s="1">
        <f>[1]Results!G1369</f>
        <v>0</v>
      </c>
      <c r="E9" s="1">
        <f>[1]Results!H1369</f>
        <v>0</v>
      </c>
      <c r="F9" s="1">
        <f>[1]Results!I1369</f>
        <v>0</v>
      </c>
      <c r="G9" s="1">
        <f>[1]Results!J1369</f>
        <v>0</v>
      </c>
      <c r="H9" s="1">
        <f>[1]Results!K1369</f>
        <v>0</v>
      </c>
      <c r="I9" s="1">
        <f>[1]Results!L1369</f>
        <v>0</v>
      </c>
      <c r="J9" s="1">
        <f>[1]Results!M1369</f>
        <v>0</v>
      </c>
      <c r="K9" s="1">
        <f>[1]Results!N1369</f>
        <v>0</v>
      </c>
      <c r="L9" s="1">
        <f>[1]Results!O1369</f>
        <v>0</v>
      </c>
      <c r="M9" s="1">
        <f>[1]Results!P1369</f>
        <v>0</v>
      </c>
      <c r="N9" s="1">
        <f>[1]Results!Q1369</f>
        <v>0</v>
      </c>
      <c r="O9" s="1">
        <f>[1]Results!R1369</f>
        <v>0</v>
      </c>
      <c r="P9" s="1">
        <f>[1]Results!S1369</f>
        <v>0</v>
      </c>
      <c r="Q9" s="1">
        <f>[1]Results!T1369</f>
        <v>0</v>
      </c>
      <c r="R9" s="1">
        <f>[1]Results!U1369</f>
        <v>0</v>
      </c>
      <c r="S9" s="1">
        <f>[1]Results!V1369</f>
        <v>0</v>
      </c>
      <c r="T9" s="1">
        <f>[1]Results!W1369</f>
        <v>0</v>
      </c>
      <c r="U9" s="1">
        <f>[1]Results!X1369</f>
        <v>0</v>
      </c>
      <c r="V9" s="1">
        <f>[1]Results!Y1369</f>
        <v>0</v>
      </c>
      <c r="W9" s="1">
        <f>[1]Results!Z1369</f>
        <v>0</v>
      </c>
      <c r="X9" s="1">
        <f>[1]Results!AA1369</f>
        <v>0</v>
      </c>
      <c r="Y9" s="1">
        <f>[1]Results!AB1369</f>
        <v>0</v>
      </c>
      <c r="Z9" s="1">
        <f>[1]Results!AC1369</f>
        <v>0</v>
      </c>
      <c r="AA9" s="1">
        <f>[1]Results!AD1369</f>
        <v>0</v>
      </c>
      <c r="AB9" s="1">
        <f>[1]Results!AE1369</f>
        <v>0</v>
      </c>
      <c r="AC9" s="1">
        <f>[1]Results!AF1369</f>
        <v>0</v>
      </c>
      <c r="AD9" s="1">
        <f>[1]Results!AG1369</f>
        <v>0</v>
      </c>
      <c r="AE9" s="1">
        <f>[1]Results!AH1369</f>
        <v>0</v>
      </c>
      <c r="AF9" s="1">
        <f>[1]Results!AI1369</f>
        <v>0</v>
      </c>
      <c r="AG9" s="1">
        <f>[1]Results!AJ1369</f>
        <v>0</v>
      </c>
      <c r="AH9" s="1">
        <f>[1]Results!AK1369</f>
        <v>0</v>
      </c>
      <c r="AI9" s="1">
        <f>[1]Results!AL1369</f>
        <v>0</v>
      </c>
      <c r="AJ9" s="1">
        <f>[1]Results!AM1369</f>
        <v>0</v>
      </c>
      <c r="AK9" s="1">
        <f>[1]Results!AN1369</f>
        <v>0</v>
      </c>
      <c r="AL9" s="1">
        <f>[1]Results!AO1369</f>
        <v>0</v>
      </c>
    </row>
    <row r="10" spans="1:38" x14ac:dyDescent="0.3">
      <c r="A10" s="3" t="str">
        <f>[1]Results!E1370</f>
        <v>100*((I_2-I_0)/GDP_0)</v>
      </c>
      <c r="B10" t="s">
        <v>78</v>
      </c>
      <c r="C10" s="1">
        <f>[1]Results!F1370</f>
        <v>0</v>
      </c>
      <c r="D10" s="1">
        <f>[1]Results!G1370</f>
        <v>0</v>
      </c>
      <c r="E10" s="1">
        <f>[1]Results!H1370</f>
        <v>0</v>
      </c>
      <c r="F10" s="1">
        <f>[1]Results!I1370</f>
        <v>0</v>
      </c>
      <c r="G10" s="1">
        <f>[1]Results!J1370</f>
        <v>0</v>
      </c>
      <c r="H10" s="1">
        <f>[1]Results!K1370</f>
        <v>0</v>
      </c>
      <c r="I10" s="1">
        <f>[1]Results!L1370</f>
        <v>8.6208578766350293E-3</v>
      </c>
      <c r="J10" s="1">
        <f>[1]Results!M1370</f>
        <v>-0.10793348647718097</v>
      </c>
      <c r="K10" s="1">
        <f>[1]Results!N1370</f>
        <v>-0.29930220156456838</v>
      </c>
      <c r="L10" s="1">
        <f>[1]Results!O1370</f>
        <v>-0.49004342854834776</v>
      </c>
      <c r="M10" s="1">
        <f>[1]Results!P1370</f>
        <v>-0.62291582386426858</v>
      </c>
      <c r="N10" s="1">
        <f>[1]Results!Q1370</f>
        <v>-0.68218534380313323</v>
      </c>
      <c r="O10" s="1">
        <f>[1]Results!R1370</f>
        <v>-0.67356392197411952</v>
      </c>
      <c r="P10" s="1">
        <f>[1]Results!S1370</f>
        <v>-0.62261552839599177</v>
      </c>
      <c r="Q10" s="1">
        <f>[1]Results!T1370</f>
        <v>-0.55889405140278792</v>
      </c>
      <c r="R10" s="1">
        <f>[1]Results!U1370</f>
        <v>-0.50415659971656868</v>
      </c>
      <c r="S10" s="1">
        <f>[1]Results!V1370</f>
        <v>-0.46746013771528122</v>
      </c>
      <c r="T10" s="1">
        <f>[1]Results!W1370</f>
        <v>-0.44681791146331745</v>
      </c>
      <c r="U10" s="1">
        <f>[1]Results!X1370</f>
        <v>-0.43450443877299699</v>
      </c>
      <c r="V10" s="1">
        <f>[1]Results!Y1370</f>
        <v>-0.4225417258790421</v>
      </c>
      <c r="W10" s="1">
        <f>[1]Results!Z1370</f>
        <v>-0.4059654396713997</v>
      </c>
      <c r="X10" s="1">
        <f>[1]Results!AA1370</f>
        <v>-0.38467323621663035</v>
      </c>
      <c r="Y10" s="1">
        <f>[1]Results!AB1370</f>
        <v>-0.36175548561235171</v>
      </c>
      <c r="Z10" s="1">
        <f>[1]Results!AC1370</f>
        <v>-0.34111882704356039</v>
      </c>
      <c r="AA10" s="1">
        <f>[1]Results!AD1370</f>
        <v>-0.32594491943259485</v>
      </c>
      <c r="AB10" s="1">
        <f>[1]Results!AE1370</f>
        <v>-0.31739762544081906</v>
      </c>
      <c r="AC10" s="1">
        <f>[1]Results!AF1370</f>
        <v>-0.31444089566851935</v>
      </c>
      <c r="AD10" s="1">
        <f>[1]Results!AG1370</f>
        <v>-0.31580474703623662</v>
      </c>
      <c r="AE10" s="1">
        <f>[1]Results!AH1370</f>
        <v>-0.31897637481085228</v>
      </c>
      <c r="AF10" s="1">
        <f>[1]Results!AI1370</f>
        <v>-0.32182414487040462</v>
      </c>
      <c r="AG10" s="1">
        <f>[1]Results!AJ1370</f>
        <v>-0.32304660063674723</v>
      </c>
      <c r="AH10" s="1">
        <f>[1]Results!AK1370</f>
        <v>-0.32224340263291074</v>
      </c>
      <c r="AI10" s="1">
        <f>[1]Results!AL1370</f>
        <v>-0.31965772836625944</v>
      </c>
      <c r="AJ10" s="1">
        <f>[1]Results!AM1370</f>
        <v>-0.31579490678653782</v>
      </c>
      <c r="AK10" s="1">
        <f>[1]Results!AN1370</f>
        <v>-0.31110244632652506</v>
      </c>
      <c r="AL10" s="1">
        <f>[1]Results!AO1370</f>
        <v>-0.30578977290206688</v>
      </c>
    </row>
    <row r="11" spans="1:38" x14ac:dyDescent="0.3">
      <c r="A11" s="3" t="str">
        <f>[1]Results!E1371</f>
        <v>100*((DS_2-DS_0)/GDP_0)</v>
      </c>
      <c r="B11" t="str">
        <f>[1]Results!C1371</f>
        <v>Variations de stocks</v>
      </c>
      <c r="C11" s="1">
        <f>[1]Results!F1371</f>
        <v>0</v>
      </c>
      <c r="D11" s="1">
        <f>[1]Results!G1371</f>
        <v>0</v>
      </c>
      <c r="E11" s="1">
        <f>[1]Results!H1371</f>
        <v>0</v>
      </c>
      <c r="F11" s="1">
        <f>[1]Results!I1371</f>
        <v>0</v>
      </c>
      <c r="G11" s="1">
        <f>[1]Results!J1371</f>
        <v>0</v>
      </c>
      <c r="H11" s="1">
        <f>[1]Results!K1371</f>
        <v>0</v>
      </c>
      <c r="I11" s="1">
        <f>[1]Results!L1371</f>
        <v>0</v>
      </c>
      <c r="J11" s="1">
        <f>[1]Results!M1371</f>
        <v>0</v>
      </c>
      <c r="K11" s="1">
        <f>[1]Results!N1371</f>
        <v>0</v>
      </c>
      <c r="L11" s="1">
        <f>[1]Results!O1371</f>
        <v>0</v>
      </c>
      <c r="M11" s="1">
        <f>[1]Results!P1371</f>
        <v>0</v>
      </c>
      <c r="N11" s="1">
        <f>[1]Results!Q1371</f>
        <v>0</v>
      </c>
      <c r="O11" s="1">
        <f>[1]Results!R1371</f>
        <v>0</v>
      </c>
      <c r="P11" s="1">
        <f>[1]Results!S1371</f>
        <v>0</v>
      </c>
      <c r="Q11" s="1">
        <f>[1]Results!T1371</f>
        <v>0</v>
      </c>
      <c r="R11" s="1">
        <f>[1]Results!U1371</f>
        <v>0</v>
      </c>
      <c r="S11" s="1">
        <f>[1]Results!V1371</f>
        <v>0</v>
      </c>
      <c r="T11" s="1">
        <f>[1]Results!W1371</f>
        <v>0</v>
      </c>
      <c r="U11" s="1">
        <f>[1]Results!X1371</f>
        <v>0</v>
      </c>
      <c r="V11" s="1">
        <f>[1]Results!Y1371</f>
        <v>0</v>
      </c>
      <c r="W11" s="1">
        <f>[1]Results!Z1371</f>
        <v>0</v>
      </c>
      <c r="X11" s="1">
        <f>[1]Results!AA1371</f>
        <v>0</v>
      </c>
      <c r="Y11" s="1">
        <f>[1]Results!AB1371</f>
        <v>0</v>
      </c>
      <c r="Z11" s="1">
        <f>[1]Results!AC1371</f>
        <v>0</v>
      </c>
      <c r="AA11" s="1">
        <f>[1]Results!AD1371</f>
        <v>0</v>
      </c>
      <c r="AB11" s="1">
        <f>[1]Results!AE1371</f>
        <v>0</v>
      </c>
      <c r="AC11" s="1">
        <f>[1]Results!AF1371</f>
        <v>0</v>
      </c>
      <c r="AD11" s="1">
        <f>[1]Results!AG1371</f>
        <v>0</v>
      </c>
      <c r="AE11" s="1">
        <f>[1]Results!AH1371</f>
        <v>0</v>
      </c>
      <c r="AF11" s="1">
        <f>[1]Results!AI1371</f>
        <v>0</v>
      </c>
      <c r="AG11" s="1">
        <f>[1]Results!AJ1371</f>
        <v>0</v>
      </c>
      <c r="AH11" s="1">
        <f>[1]Results!AK1371</f>
        <v>0</v>
      </c>
      <c r="AI11" s="1">
        <f>[1]Results!AL1371</f>
        <v>0</v>
      </c>
      <c r="AJ11" s="1">
        <f>[1]Results!AM1371</f>
        <v>0</v>
      </c>
      <c r="AK11" s="1">
        <f>[1]Results!AN1371</f>
        <v>0</v>
      </c>
      <c r="AL11" s="1">
        <f>[1]Results!AO1371</f>
        <v>0</v>
      </c>
    </row>
    <row r="12" spans="1:38" x14ac:dyDescent="0.3">
      <c r="A12" s="3" t="str">
        <f>[1]Results!E1372</f>
        <v>100*((X_2-X_0)/GDP_0)-100*((M_2-M_0)/GDP_0)</v>
      </c>
      <c r="B12" t="s">
        <v>79</v>
      </c>
      <c r="C12" s="1">
        <f>[1]Results!F1372</f>
        <v>0</v>
      </c>
      <c r="D12" s="1">
        <f>[1]Results!G1372</f>
        <v>0</v>
      </c>
      <c r="E12" s="1">
        <f>[1]Results!H1372</f>
        <v>0</v>
      </c>
      <c r="F12" s="1">
        <f>[1]Results!I1372</f>
        <v>0</v>
      </c>
      <c r="G12" s="1">
        <f>[1]Results!J1372</f>
        <v>0</v>
      </c>
      <c r="H12" s="1">
        <f>[1]Results!K1372</f>
        <v>0</v>
      </c>
      <c r="I12" s="1">
        <f>[1]Results!L1372</f>
        <v>-4.3392473675725719E-2</v>
      </c>
      <c r="J12" s="1">
        <f>[1]Results!M1372</f>
        <v>-4.4170021794509157E-2</v>
      </c>
      <c r="K12" s="1">
        <f>[1]Results!N1372</f>
        <v>-7.4814578088366945E-2</v>
      </c>
      <c r="L12" s="1">
        <f>[1]Results!O1372</f>
        <v>-0.1610903091840426</v>
      </c>
      <c r="M12" s="1">
        <f>[1]Results!P1372</f>
        <v>-0.29133055894171572</v>
      </c>
      <c r="N12" s="1">
        <f>[1]Results!Q1372</f>
        <v>-0.43377359906478929</v>
      </c>
      <c r="O12" s="1">
        <f>[1]Results!R1372</f>
        <v>-0.56149744064287188</v>
      </c>
      <c r="P12" s="1">
        <f>[1]Results!S1372</f>
        <v>-0.65661655011072229</v>
      </c>
      <c r="Q12" s="1">
        <f>[1]Results!T1372</f>
        <v>-0.71370738790913035</v>
      </c>
      <c r="R12" s="1">
        <f>[1]Results!U1372</f>
        <v>-0.73750081154560554</v>
      </c>
      <c r="S12" s="1">
        <f>[1]Results!V1372</f>
        <v>-0.73789927680954226</v>
      </c>
      <c r="T12" s="1">
        <f>[1]Results!W1372</f>
        <v>-0.7250268705388685</v>
      </c>
      <c r="U12" s="1">
        <f>[1]Results!X1372</f>
        <v>-0.7060928678020979</v>
      </c>
      <c r="V12" s="1">
        <f>[1]Results!Y1372</f>
        <v>-0.68459247831107695</v>
      </c>
      <c r="W12" s="1">
        <f>[1]Results!Z1372</f>
        <v>-0.66139600909630103</v>
      </c>
      <c r="X12" s="1">
        <f>[1]Results!AA1372</f>
        <v>-0.63564753461243362</v>
      </c>
      <c r="Y12" s="1">
        <f>[1]Results!AB1372</f>
        <v>-0.60773041315358145</v>
      </c>
      <c r="Z12" s="1">
        <f>[1]Results!AC1372</f>
        <v>-0.57861937898330074</v>
      </c>
      <c r="AA12" s="1">
        <f>[1]Results!AD1372</f>
        <v>-0.55019976755839728</v>
      </c>
      <c r="AB12" s="1">
        <f>[1]Results!AE1372</f>
        <v>-0.52503229623102743</v>
      </c>
      <c r="AC12" s="1">
        <f>[1]Results!AF1372</f>
        <v>-0.5039010147485441</v>
      </c>
      <c r="AD12" s="1">
        <f>[1]Results!AG1372</f>
        <v>-0.4886820091684817</v>
      </c>
      <c r="AE12" s="1">
        <f>[1]Results!AH1372</f>
        <v>-0.47941183916850638</v>
      </c>
      <c r="AF12" s="1">
        <f>[1]Results!AI1372</f>
        <v>-0.47537393436511333</v>
      </c>
      <c r="AG12" s="1">
        <f>[1]Results!AJ1372</f>
        <v>-0.47536265946389678</v>
      </c>
      <c r="AH12" s="1">
        <f>[1]Results!AK1372</f>
        <v>-0.47804494529809594</v>
      </c>
      <c r="AI12" s="1">
        <f>[1]Results!AL1372</f>
        <v>-0.4822536943031368</v>
      </c>
      <c r="AJ12" s="1">
        <f>[1]Results!AM1372</f>
        <v>-0.48713347572992927</v>
      </c>
      <c r="AK12" s="1">
        <f>[1]Results!AN1372</f>
        <v>-0.49214184202969991</v>
      </c>
      <c r="AL12" s="1">
        <f>[1]Results!AO1372</f>
        <v>-0.49696747465421437</v>
      </c>
    </row>
    <row r="13" spans="1:38" x14ac:dyDescent="0.3">
      <c r="A13" s="3" t="str">
        <f>[1]Results!E1373</f>
        <v>100*((CH_2-CH_ccon_2-(CH_0-CH_ccon_0))/GDP_0)</v>
      </c>
      <c r="B13" t="str">
        <f>[1]Results!C1373</f>
        <v>Consommation des ménages</v>
      </c>
      <c r="C13" s="1">
        <f>[1]Results!F1373</f>
        <v>0</v>
      </c>
      <c r="D13" s="1">
        <f>[1]Results!G1373</f>
        <v>0</v>
      </c>
      <c r="E13" s="1">
        <f>[1]Results!H1373</f>
        <v>0</v>
      </c>
      <c r="F13" s="1">
        <f>[1]Results!I1373</f>
        <v>0</v>
      </c>
      <c r="G13" s="1">
        <f>[1]Results!J1373</f>
        <v>0</v>
      </c>
      <c r="H13" s="1">
        <f>[1]Results!K1373</f>
        <v>0</v>
      </c>
      <c r="I13" s="1">
        <f>[1]Results!L1373</f>
        <v>-5.5367986147551737E-3</v>
      </c>
      <c r="J13" s="1">
        <f>[1]Results!M1373</f>
        <v>-0.27362301157872443</v>
      </c>
      <c r="K13" s="1">
        <f>[1]Results!N1373</f>
        <v>-0.61280350226942915</v>
      </c>
      <c r="L13" s="1">
        <f>[1]Results!O1373</f>
        <v>-0.84305582206665419</v>
      </c>
      <c r="M13" s="1">
        <f>[1]Results!P1373</f>
        <v>-0.88037145292191155</v>
      </c>
      <c r="N13" s="1">
        <f>[1]Results!Q1373</f>
        <v>-0.76576828479614756</v>
      </c>
      <c r="O13" s="1">
        <f>[1]Results!R1373</f>
        <v>-0.56276073305203256</v>
      </c>
      <c r="P13" s="1">
        <f>[1]Results!S1373</f>
        <v>-0.35496929436467944</v>
      </c>
      <c r="Q13" s="1">
        <f>[1]Results!T1373</f>
        <v>-0.20130823691696018</v>
      </c>
      <c r="R13" s="1">
        <f>[1]Results!U1373</f>
        <v>-0.12411242936692743</v>
      </c>
      <c r="S13" s="1">
        <f>[1]Results!V1373</f>
        <v>-0.11394421484762728</v>
      </c>
      <c r="T13" s="1">
        <f>[1]Results!W1373</f>
        <v>-0.14388173515031497</v>
      </c>
      <c r="U13" s="1">
        <f>[1]Results!X1373</f>
        <v>-0.18550055447590685</v>
      </c>
      <c r="V13" s="1">
        <f>[1]Results!Y1373</f>
        <v>-0.21969971812078234</v>
      </c>
      <c r="W13" s="1">
        <f>[1]Results!Z1373</f>
        <v>-0.23859013148692085</v>
      </c>
      <c r="X13" s="1">
        <f>[1]Results!AA1373</f>
        <v>-0.24900946672189897</v>
      </c>
      <c r="Y13" s="1">
        <f>[1]Results!AB1373</f>
        <v>-0.25709761553476929</v>
      </c>
      <c r="Z13" s="1">
        <f>[1]Results!AC1373</f>
        <v>-0.26969782824751448</v>
      </c>
      <c r="AA13" s="1">
        <f>[1]Results!AD1373</f>
        <v>-0.28969391373278891</v>
      </c>
      <c r="AB13" s="1">
        <f>[1]Results!AE1373</f>
        <v>-0.3136942808858697</v>
      </c>
      <c r="AC13" s="1">
        <f>[1]Results!AF1373</f>
        <v>-0.34072905607055409</v>
      </c>
      <c r="AD13" s="1">
        <f>[1]Results!AG1373</f>
        <v>-0.36461609064382833</v>
      </c>
      <c r="AE13" s="1">
        <f>[1]Results!AH1373</f>
        <v>-0.3812628671343542</v>
      </c>
      <c r="AF13" s="1">
        <f>[1]Results!AI1373</f>
        <v>-0.38887729779421015</v>
      </c>
      <c r="AG13" s="1">
        <f>[1]Results!AJ1373</f>
        <v>-0.38803311713943156</v>
      </c>
      <c r="AH13" s="1">
        <f>[1]Results!AK1373</f>
        <v>-0.38091453130295461</v>
      </c>
      <c r="AI13" s="1">
        <f>[1]Results!AL1373</f>
        <v>-0.37020393209195657</v>
      </c>
      <c r="AJ13" s="1">
        <f>[1]Results!AM1373</f>
        <v>-0.35817887226582201</v>
      </c>
      <c r="AK13" s="1">
        <f>[1]Results!AN1373</f>
        <v>-0.3462577426211183</v>
      </c>
      <c r="AL13" s="1">
        <f>[1]Results!AO1373</f>
        <v>-0.33496454788333158</v>
      </c>
    </row>
    <row r="14" spans="1:38" x14ac:dyDescent="0.3">
      <c r="A14" s="3" t="str">
        <f>[1]Results!E1374</f>
        <v>100*((I_2+CH_ccon_2-(I_0+CH_ccon_0))/GDP_0)</v>
      </c>
      <c r="B14" t="s">
        <v>78</v>
      </c>
      <c r="C14" s="1">
        <f>[1]Results!F1374</f>
        <v>0</v>
      </c>
      <c r="D14" s="1">
        <f>[1]Results!G1374</f>
        <v>0</v>
      </c>
      <c r="E14" s="1">
        <f>[1]Results!H1374</f>
        <v>0</v>
      </c>
      <c r="F14" s="1">
        <f>[1]Results!I1374</f>
        <v>0</v>
      </c>
      <c r="G14" s="1">
        <f>[1]Results!J1374</f>
        <v>0</v>
      </c>
      <c r="H14" s="1">
        <f>[1]Results!K1374</f>
        <v>0</v>
      </c>
      <c r="I14" s="1">
        <f>[1]Results!L1374</f>
        <v>8.9826038059769957E-3</v>
      </c>
      <c r="J14" s="1">
        <f>[1]Results!M1374</f>
        <v>-0.10797573616650778</v>
      </c>
      <c r="K14" s="1">
        <f>[1]Results!N1374</f>
        <v>-0.30177772157834021</v>
      </c>
      <c r="L14" s="1">
        <f>[1]Results!O1374</f>
        <v>-0.49475044430830567</v>
      </c>
      <c r="M14" s="1">
        <f>[1]Results!P1374</f>
        <v>-0.62815967772697334</v>
      </c>
      <c r="N14" s="1">
        <f>[1]Results!Q1374</f>
        <v>-0.68577635072943566</v>
      </c>
      <c r="O14" s="1">
        <f>[1]Results!R1374</f>
        <v>-0.67427637138817964</v>
      </c>
      <c r="P14" s="1">
        <f>[1]Results!S1374</f>
        <v>-0.62028292844108124</v>
      </c>
      <c r="Q14" s="1">
        <f>[1]Results!T1374</f>
        <v>-0.55438095916271246</v>
      </c>
      <c r="R14" s="1">
        <f>[1]Results!U1374</f>
        <v>-0.49896993190952932</v>
      </c>
      <c r="S14" s="1">
        <f>[1]Results!V1374</f>
        <v>-0.46317880053239796</v>
      </c>
      <c r="T14" s="1">
        <f>[1]Results!W1374</f>
        <v>-0.44464670937251016</v>
      </c>
      <c r="U14" s="1">
        <f>[1]Results!X1374</f>
        <v>-0.43502447488389451</v>
      </c>
      <c r="V14" s="1">
        <f>[1]Results!Y1374</f>
        <v>-0.42571898804772107</v>
      </c>
      <c r="W14" s="1">
        <f>[1]Results!Z1374</f>
        <v>-0.41141730555957834</v>
      </c>
      <c r="X14" s="1">
        <f>[1]Results!AA1374</f>
        <v>-0.39152692480954493</v>
      </c>
      <c r="Y14" s="1">
        <f>[1]Results!AB1374</f>
        <v>-0.36942302600686727</v>
      </c>
      <c r="Z14" s="1">
        <f>[1]Results!AC1374</f>
        <v>-0.34898509239963671</v>
      </c>
      <c r="AA14" s="1">
        <f>[1]Results!AD1374</f>
        <v>-0.33351672881669825</v>
      </c>
      <c r="AB14" s="1">
        <f>[1]Results!AE1374</f>
        <v>-0.32440856447110683</v>
      </c>
      <c r="AC14" s="1">
        <f>[1]Results!AF1374</f>
        <v>-0.32061886864457989</v>
      </c>
      <c r="AD14" s="1">
        <f>[1]Results!AG1374</f>
        <v>-0.32099846249125219</v>
      </c>
      <c r="AE14" s="1">
        <f>[1]Results!AH1374</f>
        <v>-0.32314479385306893</v>
      </c>
      <c r="AF14" s="1">
        <f>[1]Results!AI1374</f>
        <v>-0.3249866584601343</v>
      </c>
      <c r="AG14" s="1">
        <f>[1]Results!AJ1374</f>
        <v>-0.32526697590716541</v>
      </c>
      <c r="AH14" s="1">
        <f>[1]Results!AK1374</f>
        <v>-0.32362964048707527</v>
      </c>
      <c r="AI14" s="1">
        <f>[1]Results!AL1374</f>
        <v>-0.32036510557499082</v>
      </c>
      <c r="AJ14" s="1">
        <f>[1]Results!AM1374</f>
        <v>-0.31601280533147225</v>
      </c>
      <c r="AK14" s="1">
        <f>[1]Results!AN1374</f>
        <v>-0.31103139753160775</v>
      </c>
      <c r="AL14" s="1">
        <f>[1]Results!AO1374</f>
        <v>-0.30561676178436686</v>
      </c>
    </row>
    <row r="15" spans="1:38" x14ac:dyDescent="0.3">
      <c r="A15" s="3" t="str">
        <f>[1]Results!E1375</f>
        <v>100*((I_2-IA_spub_2-(I_0-IA_spub_0))/GDP_0)</v>
      </c>
      <c r="B15" t="str">
        <f>[1]Results!C1375</f>
        <v>Investissement entreprises</v>
      </c>
      <c r="C15" s="1">
        <f>[1]Results!F1375</f>
        <v>0</v>
      </c>
      <c r="D15" s="1">
        <f>[1]Results!G1375</f>
        <v>0</v>
      </c>
      <c r="E15" s="1">
        <f>[1]Results!H1375</f>
        <v>0</v>
      </c>
      <c r="F15" s="1">
        <f>[1]Results!I1375</f>
        <v>0</v>
      </c>
      <c r="G15" s="1">
        <f>[1]Results!J1375</f>
        <v>0</v>
      </c>
      <c r="H15" s="1">
        <f>[1]Results!K1375</f>
        <v>0</v>
      </c>
      <c r="I15" s="1">
        <f>[1]Results!L1375</f>
        <v>9.0651304259273674E-3</v>
      </c>
      <c r="J15" s="1">
        <f>[1]Results!M1375</f>
        <v>-8.3971851073708775E-2</v>
      </c>
      <c r="K15" s="1">
        <f>[1]Results!N1375</f>
        <v>-0.24260456241193737</v>
      </c>
      <c r="L15" s="1">
        <f>[1]Results!O1375</f>
        <v>-0.40521535592119096</v>
      </c>
      <c r="M15" s="1">
        <f>[1]Results!P1375</f>
        <v>-0.52294003708413195</v>
      </c>
      <c r="N15" s="1">
        <f>[1]Results!Q1375</f>
        <v>-0.58085052426087325</v>
      </c>
      <c r="O15" s="1">
        <f>[1]Results!R1375</f>
        <v>-0.582204785709732</v>
      </c>
      <c r="P15" s="1">
        <f>[1]Results!S1375</f>
        <v>-0.54721033628627724</v>
      </c>
      <c r="Q15" s="1">
        <f>[1]Results!T1375</f>
        <v>-0.49998936374865316</v>
      </c>
      <c r="R15" s="1">
        <f>[1]Results!U1375</f>
        <v>-0.45874272534283406</v>
      </c>
      <c r="S15" s="1">
        <f>[1]Results!V1375</f>
        <v>-0.43143701495222803</v>
      </c>
      <c r="T15" s="1">
        <f>[1]Results!W1375</f>
        <v>-0.41686851049065593</v>
      </c>
      <c r="U15" s="1">
        <f>[1]Results!X1375</f>
        <v>-0.40887973407322359</v>
      </c>
      <c r="V15" s="1">
        <f>[1]Results!Y1375</f>
        <v>-0.40089216768994884</v>
      </c>
      <c r="W15" s="1">
        <f>[1]Results!Z1375</f>
        <v>-0.38872551620061963</v>
      </c>
      <c r="X15" s="1">
        <f>[1]Results!AA1375</f>
        <v>-0.37209482849249348</v>
      </c>
      <c r="Y15" s="1">
        <f>[1]Results!AB1375</f>
        <v>-0.35355532380585281</v>
      </c>
      <c r="Z15" s="1">
        <f>[1]Results!AC1375</f>
        <v>-0.33638538331250883</v>
      </c>
      <c r="AA15" s="1">
        <f>[1]Results!AD1375</f>
        <v>-0.32334673811070352</v>
      </c>
      <c r="AB15" s="1">
        <f>[1]Results!AE1375</f>
        <v>-0.31566055724265918</v>
      </c>
      <c r="AC15" s="1">
        <f>[1]Results!AF1375</f>
        <v>-0.31243310101220889</v>
      </c>
      <c r="AD15" s="1">
        <f>[1]Results!AG1375</f>
        <v>-0.31285571916300048</v>
      </c>
      <c r="AE15" s="1">
        <f>[1]Results!AH1375</f>
        <v>-0.31490479656279974</v>
      </c>
      <c r="AF15" s="1">
        <f>[1]Results!AI1375</f>
        <v>-0.31682072443764486</v>
      </c>
      <c r="AG15" s="1">
        <f>[1]Results!AJ1375</f>
        <v>-0.31749527556826501</v>
      </c>
      <c r="AH15" s="1">
        <f>[1]Results!AK1375</f>
        <v>-0.31655312567837252</v>
      </c>
      <c r="AI15" s="1">
        <f>[1]Results!AL1375</f>
        <v>-0.31415551730661634</v>
      </c>
      <c r="AJ15" s="1">
        <f>[1]Results!AM1375</f>
        <v>-0.31069325970742773</v>
      </c>
      <c r="AK15" s="1">
        <f>[1]Results!AN1375</f>
        <v>-0.30652241276390729</v>
      </c>
      <c r="AL15" s="1">
        <f>[1]Results!AO1375</f>
        <v>-0.30180835066390449</v>
      </c>
    </row>
    <row r="16" spans="1:38" x14ac:dyDescent="0.3">
      <c r="A16" s="3" t="str">
        <f>[1]Results!E1376</f>
        <v>100*((CH_ccon_2-CH_ccon_0)/GDP_0)</v>
      </c>
      <c r="B16" t="str">
        <f>[1]Results!C1376</f>
        <v>Investissement ménages</v>
      </c>
      <c r="C16" s="1">
        <f>[1]Results!F1376</f>
        <v>0</v>
      </c>
      <c r="D16" s="1">
        <f>[1]Results!G1376</f>
        <v>0</v>
      </c>
      <c r="E16" s="1">
        <f>[1]Results!H1376</f>
        <v>0</v>
      </c>
      <c r="F16" s="1">
        <f>[1]Results!I1376</f>
        <v>0</v>
      </c>
      <c r="G16" s="1">
        <f>[1]Results!J1376</f>
        <v>0</v>
      </c>
      <c r="H16" s="1">
        <f>[1]Results!K1376</f>
        <v>0</v>
      </c>
      <c r="I16" s="1">
        <f>[1]Results!L1376</f>
        <v>3.6174592934166223E-4</v>
      </c>
      <c r="J16" s="1">
        <f>[1]Results!M1376</f>
        <v>-4.2249689324431481E-5</v>
      </c>
      <c r="K16" s="1">
        <f>[1]Results!N1376</f>
        <v>-2.4755200137730362E-3</v>
      </c>
      <c r="L16" s="1">
        <f>[1]Results!O1376</f>
        <v>-4.7070157599561511E-3</v>
      </c>
      <c r="M16" s="1">
        <f>[1]Results!P1376</f>
        <v>-5.2438538627036574E-3</v>
      </c>
      <c r="N16" s="1">
        <f>[1]Results!Q1376</f>
        <v>-3.5910069263020952E-3</v>
      </c>
      <c r="O16" s="1">
        <f>[1]Results!R1376</f>
        <v>-7.1244941405783932E-4</v>
      </c>
      <c r="P16" s="1">
        <f>[1]Results!S1376</f>
        <v>2.3325999549110802E-3</v>
      </c>
      <c r="Q16" s="1">
        <f>[1]Results!T1376</f>
        <v>4.51309224007654E-3</v>
      </c>
      <c r="R16" s="1">
        <f>[1]Results!U1376</f>
        <v>5.1866678070390144E-3</v>
      </c>
      <c r="S16" s="1">
        <f>[1]Results!V1376</f>
        <v>4.2813371828812168E-3</v>
      </c>
      <c r="T16" s="1">
        <f>[1]Results!W1376</f>
        <v>2.1712020908077586E-3</v>
      </c>
      <c r="U16" s="1">
        <f>[1]Results!X1376</f>
        <v>-5.2003611089986414E-4</v>
      </c>
      <c r="V16" s="1">
        <f>[1]Results!Y1376</f>
        <v>-3.1772621686784225E-3</v>
      </c>
      <c r="W16" s="1">
        <f>[1]Results!Z1376</f>
        <v>-5.4518658881813195E-3</v>
      </c>
      <c r="X16" s="1">
        <f>[1]Results!AA1376</f>
        <v>-6.8536885929145986E-3</v>
      </c>
      <c r="Y16" s="1">
        <f>[1]Results!AB1376</f>
        <v>-7.6675403945159898E-3</v>
      </c>
      <c r="Z16" s="1">
        <f>[1]Results!AC1376</f>
        <v>-7.8662653560737615E-3</v>
      </c>
      <c r="AA16" s="1">
        <f>[1]Results!AD1376</f>
        <v>-7.5718093841057399E-3</v>
      </c>
      <c r="AB16" s="1">
        <f>[1]Results!AE1376</f>
        <v>-7.0109390302848301E-3</v>
      </c>
      <c r="AC16" s="1">
        <f>[1]Results!AF1376</f>
        <v>-6.17797297606056E-3</v>
      </c>
      <c r="AD16" s="1">
        <f>[1]Results!AG1376</f>
        <v>-5.1937154550172832E-3</v>
      </c>
      <c r="AE16" s="1">
        <f>[1]Results!AH1376</f>
        <v>-4.1684190422136315E-3</v>
      </c>
      <c r="AF16" s="1">
        <f>[1]Results!AI1376</f>
        <v>-3.162513589729036E-3</v>
      </c>
      <c r="AG16" s="1">
        <f>[1]Results!AJ1376</f>
        <v>-2.2203752704173705E-3</v>
      </c>
      <c r="AH16" s="1">
        <f>[1]Results!AK1376</f>
        <v>-1.3862378541638549E-3</v>
      </c>
      <c r="AI16" s="1">
        <f>[1]Results!AL1376</f>
        <v>-7.0737720872975866E-4</v>
      </c>
      <c r="AJ16" s="1">
        <f>[1]Results!AM1376</f>
        <v>-2.1789854493558603E-4</v>
      </c>
      <c r="AK16" s="1">
        <f>[1]Results!AN1376</f>
        <v>7.1048794917675766E-5</v>
      </c>
      <c r="AL16" s="1">
        <f>[1]Results!AO1376</f>
        <v>1.7301111770064246E-4</v>
      </c>
    </row>
    <row r="17" spans="1:38" x14ac:dyDescent="0.3">
      <c r="A17" s="3" t="str">
        <f>[1]Results!E1377</f>
        <v>100*((IA_spub_2-IA_spub_0)/GDP_0)</v>
      </c>
      <c r="B17" t="str">
        <f>[1]Results!C1377</f>
        <v>Investissement public</v>
      </c>
      <c r="C17" s="1">
        <f>[1]Results!F1377</f>
        <v>0</v>
      </c>
      <c r="D17" s="1">
        <f>[1]Results!G1377</f>
        <v>0</v>
      </c>
      <c r="E17" s="1">
        <f>[1]Results!H1377</f>
        <v>0</v>
      </c>
      <c r="F17" s="1">
        <f>[1]Results!I1377</f>
        <v>0</v>
      </c>
      <c r="G17" s="1">
        <f>[1]Results!J1377</f>
        <v>0</v>
      </c>
      <c r="H17" s="1">
        <f>[1]Results!K1377</f>
        <v>0</v>
      </c>
      <c r="I17" s="1">
        <f>[1]Results!L1377</f>
        <v>-4.4427254929355151E-4</v>
      </c>
      <c r="J17" s="1">
        <f>[1]Results!M1377</f>
        <v>-2.3961635403471005E-2</v>
      </c>
      <c r="K17" s="1">
        <f>[1]Results!N1377</f>
        <v>-5.6697639152631568E-2</v>
      </c>
      <c r="L17" s="1">
        <f>[1]Results!O1377</f>
        <v>-8.4828072627156803E-2</v>
      </c>
      <c r="M17" s="1">
        <f>[1]Results!P1377</f>
        <v>-9.9975786780136702E-2</v>
      </c>
      <c r="N17" s="1">
        <f>[1]Results!Q1377</f>
        <v>-0.10133481954226116</v>
      </c>
      <c r="O17" s="1">
        <f>[1]Results!R1377</f>
        <v>-9.1359136264388713E-2</v>
      </c>
      <c r="P17" s="1">
        <f>[1]Results!S1377</f>
        <v>-7.5405192109714511E-2</v>
      </c>
      <c r="Q17" s="1">
        <f>[1]Results!T1377</f>
        <v>-5.8904687654134737E-2</v>
      </c>
      <c r="R17" s="1">
        <f>[1]Results!U1377</f>
        <v>-4.5413874373735036E-2</v>
      </c>
      <c r="S17" s="1">
        <f>[1]Results!V1377</f>
        <v>-3.6023122763053667E-2</v>
      </c>
      <c r="T17" s="1">
        <f>[1]Results!W1377</f>
        <v>-2.9949400972660956E-2</v>
      </c>
      <c r="U17" s="1">
        <f>[1]Results!X1377</f>
        <v>-2.5624704699771874E-2</v>
      </c>
      <c r="V17" s="1">
        <f>[1]Results!Y1377</f>
        <v>-2.1649558189090302E-2</v>
      </c>
      <c r="W17" s="1">
        <f>[1]Results!Z1377</f>
        <v>-1.7239923470781106E-2</v>
      </c>
      <c r="X17" s="1">
        <f>[1]Results!AA1377</f>
        <v>-1.257840772413785E-2</v>
      </c>
      <c r="Y17" s="1">
        <f>[1]Results!AB1377</f>
        <v>-8.2001618064974965E-3</v>
      </c>
      <c r="Z17" s="1">
        <f>[1]Results!AC1377</f>
        <v>-4.7334437310501392E-3</v>
      </c>
      <c r="AA17" s="1">
        <f>[1]Results!AD1377</f>
        <v>-2.5981813218885533E-3</v>
      </c>
      <c r="AB17" s="1">
        <f>[1]Results!AE1377</f>
        <v>-1.7370681981598171E-3</v>
      </c>
      <c r="AC17" s="1">
        <f>[1]Results!AF1377</f>
        <v>-2.0077946563113788E-3</v>
      </c>
      <c r="AD17" s="1">
        <f>[1]Results!AG1377</f>
        <v>-2.9490278732362024E-3</v>
      </c>
      <c r="AE17" s="1">
        <f>[1]Results!AH1377</f>
        <v>-4.0715782480520643E-3</v>
      </c>
      <c r="AF17" s="1">
        <f>[1]Results!AI1377</f>
        <v>-5.0034204327598026E-3</v>
      </c>
      <c r="AG17" s="1">
        <f>[1]Results!AJ1377</f>
        <v>-5.5513250684825939E-3</v>
      </c>
      <c r="AH17" s="1">
        <f>[1]Results!AK1377</f>
        <v>-5.6902769545382585E-3</v>
      </c>
      <c r="AI17" s="1">
        <f>[1]Results!AL1377</f>
        <v>-5.5022110596422884E-3</v>
      </c>
      <c r="AJ17" s="1">
        <f>[1]Results!AM1377</f>
        <v>-5.1016470791101194E-3</v>
      </c>
      <c r="AK17" s="1">
        <f>[1]Results!AN1377</f>
        <v>-4.5800335626193381E-3</v>
      </c>
      <c r="AL17" s="1">
        <f>[1]Results!AO1377</f>
        <v>-3.9814222381632019E-3</v>
      </c>
    </row>
    <row r="18" spans="1:38" x14ac:dyDescent="0.3">
      <c r="A18" s="3" t="str">
        <f>[1]Results!E1378</f>
        <v>100*(CH_2/CH_0-1)</v>
      </c>
      <c r="B18" t="str">
        <f>[1]Results!C1378</f>
        <v>Consommation des ménages</v>
      </c>
      <c r="C18" s="1">
        <f>[1]Results!F1378</f>
        <v>0</v>
      </c>
      <c r="D18" s="1">
        <f>[1]Results!G1378</f>
        <v>0</v>
      </c>
      <c r="E18" s="1">
        <f>[1]Results!H1378</f>
        <v>0</v>
      </c>
      <c r="F18" s="1">
        <f>[1]Results!I1378</f>
        <v>0</v>
      </c>
      <c r="G18" s="1">
        <f>[1]Results!J1378</f>
        <v>0</v>
      </c>
      <c r="H18" s="1">
        <f>[1]Results!K1378</f>
        <v>0</v>
      </c>
      <c r="I18" s="1">
        <f>[1]Results!L1378</f>
        <v>-9.467887378145079E-3</v>
      </c>
      <c r="J18" s="1">
        <f>[1]Results!M1378</f>
        <v>-0.50230543045932663</v>
      </c>
      <c r="K18" s="1">
        <f>[1]Results!N1378</f>
        <v>-1.1324272483624109</v>
      </c>
      <c r="L18" s="1">
        <f>[1]Results!O1378</f>
        <v>-1.5635415315608525</v>
      </c>
      <c r="M18" s="1">
        <f>[1]Results!P1378</f>
        <v>-1.6364881580093749</v>
      </c>
      <c r="N18" s="1">
        <f>[1]Results!Q1378</f>
        <v>-1.4224700547849634</v>
      </c>
      <c r="O18" s="1">
        <f>[1]Results!R1378</f>
        <v>-1.0420978386083024</v>
      </c>
      <c r="P18" s="1">
        <f>[1]Results!S1378</f>
        <v>-0.65221521161475948</v>
      </c>
      <c r="Q18" s="1">
        <f>[1]Results!T1378</f>
        <v>-0.36393364511450033</v>
      </c>
      <c r="R18" s="1">
        <f>[1]Results!U1378</f>
        <v>-0.21986051724509625</v>
      </c>
      <c r="S18" s="1">
        <f>[1]Results!V1378</f>
        <v>-0.20263912965222675</v>
      </c>
      <c r="T18" s="1">
        <f>[1]Results!W1378</f>
        <v>-0.26170361399880937</v>
      </c>
      <c r="U18" s="1">
        <f>[1]Results!X1378</f>
        <v>-0.34331842525493483</v>
      </c>
      <c r="V18" s="1">
        <f>[1]Results!Y1378</f>
        <v>-0.41110279985522302</v>
      </c>
      <c r="W18" s="1">
        <f>[1]Results!Z1378</f>
        <v>-0.44986047200187285</v>
      </c>
      <c r="X18" s="1">
        <f>[1]Results!AA1378</f>
        <v>-0.471598707234544</v>
      </c>
      <c r="Y18" s="1">
        <f>[1]Results!AB1378</f>
        <v>-0.48796712214950189</v>
      </c>
      <c r="Z18" s="1">
        <f>[1]Results!AC1378</f>
        <v>-0.51159841205987711</v>
      </c>
      <c r="AA18" s="1">
        <f>[1]Results!AD1378</f>
        <v>-0.54805519529343982</v>
      </c>
      <c r="AB18" s="1">
        <f>[1]Results!AE1378</f>
        <v>-0.59148727613663743</v>
      </c>
      <c r="AC18" s="1">
        <f>[1]Results!AF1378</f>
        <v>-0.64009874658088606</v>
      </c>
      <c r="AD18" s="1">
        <f>[1]Results!AG1378</f>
        <v>-0.68274064691238312</v>
      </c>
      <c r="AE18" s="1">
        <f>[1]Results!AH1378</f>
        <v>-0.71206867914311855</v>
      </c>
      <c r="AF18" s="1">
        <f>[1]Results!AI1378</f>
        <v>-0.72485434765923173</v>
      </c>
      <c r="AG18" s="1">
        <f>[1]Results!AJ1378</f>
        <v>-0.72220160006305489</v>
      </c>
      <c r="AH18" s="1">
        <f>[1]Results!AK1378</f>
        <v>-0.70818493191407983</v>
      </c>
      <c r="AI18" s="1">
        <f>[1]Results!AL1378</f>
        <v>-0.68780682624186573</v>
      </c>
      <c r="AJ18" s="1">
        <f>[1]Results!AM1378</f>
        <v>-0.66530719556806561</v>
      </c>
      <c r="AK18" s="1">
        <f>[1]Results!AN1378</f>
        <v>-0.64330908246456042</v>
      </c>
      <c r="AL18" s="1">
        <f>[1]Results!AO1378</f>
        <v>-0.62274818731073989</v>
      </c>
    </row>
    <row r="19" spans="1:38" x14ac:dyDescent="0.3">
      <c r="A19" s="3" t="str">
        <f>[1]Results!E1379</f>
        <v>100*(CH_cveh_2/CH_cveh_0-1)</v>
      </c>
      <c r="B19" t="str">
        <f>[1]Results!C1379</f>
        <v>Consommation des ménages automobile</v>
      </c>
      <c r="C19" s="1">
        <f>[1]Results!F1379</f>
        <v>0</v>
      </c>
      <c r="D19" s="1">
        <f>[1]Results!G1379</f>
        <v>0</v>
      </c>
      <c r="E19" s="1">
        <f>[1]Results!H1379</f>
        <v>0</v>
      </c>
      <c r="F19" s="1">
        <f>[1]Results!I1379</f>
        <v>0</v>
      </c>
      <c r="G19" s="1">
        <f>[1]Results!J1379</f>
        <v>0</v>
      </c>
      <c r="H19" s="1">
        <f>[1]Results!K1379</f>
        <v>0</v>
      </c>
      <c r="I19" s="1">
        <f>[1]Results!L1379</f>
        <v>9.2971696081134425E-3</v>
      </c>
      <c r="J19" s="1">
        <f>[1]Results!M1379</f>
        <v>-7.593393380299629E-2</v>
      </c>
      <c r="K19" s="1">
        <f>[1]Results!N1379</f>
        <v>-0.15094004755897839</v>
      </c>
      <c r="L19" s="1">
        <f>[1]Results!O1379</f>
        <v>0.15964785268418602</v>
      </c>
      <c r="M19" s="1">
        <f>[1]Results!P1379</f>
        <v>0.81339880694286659</v>
      </c>
      <c r="N19" s="1">
        <f>[1]Results!Q1379</f>
        <v>1.5303829310532757</v>
      </c>
      <c r="O19" s="1">
        <f>[1]Results!R1379</f>
        <v>2.0405481423824146</v>
      </c>
      <c r="P19" s="1">
        <f>[1]Results!S1379</f>
        <v>2.2201377451014803</v>
      </c>
      <c r="Q19" s="1">
        <f>[1]Results!T1379</f>
        <v>2.0828330419108587</v>
      </c>
      <c r="R19" s="1">
        <f>[1]Results!U1379</f>
        <v>1.737691464900526</v>
      </c>
      <c r="S19" s="1">
        <f>[1]Results!V1379</f>
        <v>1.3224885412243204</v>
      </c>
      <c r="T19" s="1">
        <f>[1]Results!W1379</f>
        <v>0.94898940255061515</v>
      </c>
      <c r="U19" s="1">
        <f>[1]Results!X1379</f>
        <v>0.67550178668782657</v>
      </c>
      <c r="V19" s="1">
        <f>[1]Results!Y1379</f>
        <v>0.50714799357503004</v>
      </c>
      <c r="W19" s="1">
        <f>[1]Results!Z1379</f>
        <v>0.41482891227861973</v>
      </c>
      <c r="X19" s="1">
        <f>[1]Results!AA1379</f>
        <v>0.35979318314840469</v>
      </c>
      <c r="Y19" s="1">
        <f>[1]Results!AB1379</f>
        <v>0.31090062015357578</v>
      </c>
      <c r="Z19" s="1">
        <f>[1]Results!AC1379</f>
        <v>0.2576806651185759</v>
      </c>
      <c r="AA19" s="1">
        <f>[1]Results!AD1379</f>
        <v>0.20341614332775038</v>
      </c>
      <c r="AB19" s="1">
        <f>[1]Results!AE1379</f>
        <v>0.15870421953885216</v>
      </c>
      <c r="AC19" s="1">
        <f>[1]Results!AF1379</f>
        <v>0.13517243387888289</v>
      </c>
      <c r="AD19" s="1">
        <f>[1]Results!AG1379</f>
        <v>0.13648163262420798</v>
      </c>
      <c r="AE19" s="1">
        <f>[1]Results!AH1379</f>
        <v>0.16223997477815555</v>
      </c>
      <c r="AF19" s="1">
        <f>[1]Results!AI1379</f>
        <v>0.20527698082526413</v>
      </c>
      <c r="AG19" s="1">
        <f>[1]Results!AJ1379</f>
        <v>0.25513188167232137</v>
      </c>
      <c r="AH19" s="1">
        <f>[1]Results!AK1379</f>
        <v>0.30198369360583399</v>
      </c>
      <c r="AI19" s="1">
        <f>[1]Results!AL1379</f>
        <v>0.3393507415683672</v>
      </c>
      <c r="AJ19" s="1">
        <f>[1]Results!AM1379</f>
        <v>0.364917101899076</v>
      </c>
      <c r="AK19" s="1">
        <f>[1]Results!AN1379</f>
        <v>0.37972991241177478</v>
      </c>
      <c r="AL19" s="1">
        <f>[1]Results!AO1379</f>
        <v>0.38659646000644976</v>
      </c>
    </row>
    <row r="20" spans="1:38" x14ac:dyDescent="0.3">
      <c r="A20" s="3" t="str">
        <f>[1]Results!E1380</f>
        <v>100*(G_2/G_0-1)</v>
      </c>
      <c r="B20" t="str">
        <f>[1]Results!C1380</f>
        <v>Dépenses publiques</v>
      </c>
      <c r="C20" s="1">
        <f>[1]Results!F1380</f>
        <v>0</v>
      </c>
      <c r="D20" s="1">
        <f>[1]Results!G1380</f>
        <v>0</v>
      </c>
      <c r="E20" s="1">
        <f>[1]Results!H1380</f>
        <v>0</v>
      </c>
      <c r="F20" s="1">
        <f>[1]Results!I1380</f>
        <v>0</v>
      </c>
      <c r="G20" s="1">
        <f>[1]Results!J1380</f>
        <v>0</v>
      </c>
      <c r="H20" s="1">
        <f>[1]Results!K1380</f>
        <v>0</v>
      </c>
      <c r="I20" s="1">
        <f>[1]Results!L1380</f>
        <v>0</v>
      </c>
      <c r="J20" s="1">
        <f>[1]Results!M1380</f>
        <v>0</v>
      </c>
      <c r="K20" s="1">
        <f>[1]Results!N1380</f>
        <v>0</v>
      </c>
      <c r="L20" s="1">
        <f>[1]Results!O1380</f>
        <v>0</v>
      </c>
      <c r="M20" s="1">
        <f>[1]Results!P1380</f>
        <v>0</v>
      </c>
      <c r="N20" s="1">
        <f>[1]Results!Q1380</f>
        <v>0</v>
      </c>
      <c r="O20" s="1">
        <f>[1]Results!R1380</f>
        <v>0</v>
      </c>
      <c r="P20" s="1">
        <f>[1]Results!S1380</f>
        <v>0</v>
      </c>
      <c r="Q20" s="1">
        <f>[1]Results!T1380</f>
        <v>0</v>
      </c>
      <c r="R20" s="1">
        <f>[1]Results!U1380</f>
        <v>0</v>
      </c>
      <c r="S20" s="1">
        <f>[1]Results!V1380</f>
        <v>0</v>
      </c>
      <c r="T20" s="1">
        <f>[1]Results!W1380</f>
        <v>0</v>
      </c>
      <c r="U20" s="1">
        <f>[1]Results!X1380</f>
        <v>0</v>
      </c>
      <c r="V20" s="1">
        <f>[1]Results!Y1380</f>
        <v>0</v>
      </c>
      <c r="W20" s="1">
        <f>[1]Results!Z1380</f>
        <v>0</v>
      </c>
      <c r="X20" s="1">
        <f>[1]Results!AA1380</f>
        <v>0</v>
      </c>
      <c r="Y20" s="1">
        <f>[1]Results!AB1380</f>
        <v>0</v>
      </c>
      <c r="Z20" s="1">
        <f>[1]Results!AC1380</f>
        <v>0</v>
      </c>
      <c r="AA20" s="1">
        <f>[1]Results!AD1380</f>
        <v>0</v>
      </c>
      <c r="AB20" s="1">
        <f>[1]Results!AE1380</f>
        <v>0</v>
      </c>
      <c r="AC20" s="1">
        <f>[1]Results!AF1380</f>
        <v>0</v>
      </c>
      <c r="AD20" s="1">
        <f>[1]Results!AG1380</f>
        <v>0</v>
      </c>
      <c r="AE20" s="1">
        <f>[1]Results!AH1380</f>
        <v>0</v>
      </c>
      <c r="AF20" s="1">
        <f>[1]Results!AI1380</f>
        <v>0</v>
      </c>
      <c r="AG20" s="1">
        <f>[1]Results!AJ1380</f>
        <v>0</v>
      </c>
      <c r="AH20" s="1">
        <f>[1]Results!AK1380</f>
        <v>0</v>
      </c>
      <c r="AI20" s="1">
        <f>[1]Results!AL1380</f>
        <v>0</v>
      </c>
      <c r="AJ20" s="1">
        <f>[1]Results!AM1380</f>
        <v>0</v>
      </c>
      <c r="AK20" s="1">
        <f>[1]Results!AN1380</f>
        <v>0</v>
      </c>
      <c r="AL20" s="1">
        <f>[1]Results!AO1380</f>
        <v>0</v>
      </c>
    </row>
    <row r="21" spans="1:38" x14ac:dyDescent="0.3">
      <c r="A21" s="3" t="str">
        <f>[1]Results!E1381</f>
        <v>100*(I_2/I_0-1)</v>
      </c>
      <c r="B21" t="str">
        <f>[1]Results!C1381</f>
        <v>Investissement</v>
      </c>
      <c r="C21" s="1">
        <f>[1]Results!F1381</f>
        <v>0</v>
      </c>
      <c r="D21" s="1">
        <f>[1]Results!G1381</f>
        <v>0</v>
      </c>
      <c r="E21" s="1">
        <f>[1]Results!H1381</f>
        <v>0</v>
      </c>
      <c r="F21" s="1">
        <f>[1]Results!I1381</f>
        <v>0</v>
      </c>
      <c r="G21" s="1">
        <f>[1]Results!J1381</f>
        <v>0</v>
      </c>
      <c r="H21" s="1">
        <f>[1]Results!K1381</f>
        <v>0</v>
      </c>
      <c r="I21" s="1">
        <f>[1]Results!L1381</f>
        <v>3.976244657004635E-2</v>
      </c>
      <c r="J21" s="1">
        <f>[1]Results!M1381</f>
        <v>-0.49727377954971175</v>
      </c>
      <c r="K21" s="1">
        <f>[1]Results!N1381</f>
        <v>-1.3786135845588188</v>
      </c>
      <c r="L21" s="1">
        <f>[1]Results!O1381</f>
        <v>-2.2577352878365375</v>
      </c>
      <c r="M21" s="1">
        <f>[1]Results!P1381</f>
        <v>-2.8747405279054394</v>
      </c>
      <c r="N21" s="1">
        <f>[1]Results!Q1381</f>
        <v>-3.1476733649406285</v>
      </c>
      <c r="O21" s="1">
        <f>[1]Results!R1381</f>
        <v>-3.1077139264142351</v>
      </c>
      <c r="P21" s="1">
        <f>[1]Results!S1381</f>
        <v>-2.8727645129341339</v>
      </c>
      <c r="Q21" s="1">
        <f>[1]Results!T1381</f>
        <v>-2.5790504787864821</v>
      </c>
      <c r="R21" s="1">
        <f>[1]Results!U1381</f>
        <v>-2.3267531531105945</v>
      </c>
      <c r="S21" s="1">
        <f>[1]Results!V1381</f>
        <v>-2.1574886641991475</v>
      </c>
      <c r="T21" s="1">
        <f>[1]Results!W1381</f>
        <v>-2.0619494720614306</v>
      </c>
      <c r="U21" s="1">
        <f>[1]Results!X1381</f>
        <v>-2.0043749850944814</v>
      </c>
      <c r="V21" s="1">
        <f>[1]Results!Y1381</f>
        <v>-1.947916310337483</v>
      </c>
      <c r="W21" s="1">
        <f>[1]Results!Z1381</f>
        <v>-1.8681907183234259</v>
      </c>
      <c r="X21" s="1">
        <f>[1]Results!AA1381</f>
        <v>-1.7687737216919519</v>
      </c>
      <c r="Y21" s="1">
        <f>[1]Results!AB1381</f>
        <v>-1.6615474310396783</v>
      </c>
      <c r="Z21" s="1">
        <f>[1]Results!AC1381</f>
        <v>-1.5645655042223039</v>
      </c>
      <c r="AA21" s="1">
        <f>[1]Results!AD1381</f>
        <v>-1.4925722802947461</v>
      </c>
      <c r="AB21" s="1">
        <f>[1]Results!AE1381</f>
        <v>-1.4474325931629561</v>
      </c>
      <c r="AC21" s="1">
        <f>[1]Results!AF1381</f>
        <v>-1.4317597197150644</v>
      </c>
      <c r="AD21" s="1">
        <f>[1]Results!AG1381</f>
        <v>-1.4356790165362732</v>
      </c>
      <c r="AE21" s="1">
        <f>[1]Results!AH1381</f>
        <v>-1.4476683339396668</v>
      </c>
      <c r="AF21" s="1">
        <f>[1]Results!AI1381</f>
        <v>-1.4580535651411375</v>
      </c>
      <c r="AG21" s="1">
        <f>[1]Results!AJ1381</f>
        <v>-1.4610232544047252</v>
      </c>
      <c r="AH21" s="1">
        <f>[1]Results!AK1381</f>
        <v>-1.4548960304144321</v>
      </c>
      <c r="AI21" s="1">
        <f>[1]Results!AL1381</f>
        <v>-1.4408894054042332</v>
      </c>
      <c r="AJ21" s="1">
        <f>[1]Results!AM1381</f>
        <v>-1.4213538989459984</v>
      </c>
      <c r="AK21" s="1">
        <f>[1]Results!AN1381</f>
        <v>-1.3983223927005684</v>
      </c>
      <c r="AL21" s="1">
        <f>[1]Results!AO1381</f>
        <v>-1.3727176432449584</v>
      </c>
    </row>
    <row r="22" spans="1:38" x14ac:dyDescent="0.3">
      <c r="A22" s="3" t="str">
        <f>[1]Results!E1382</f>
        <v>100*((I_2-IA_spub_2)/(I_0-IA_spub_0)-1)</v>
      </c>
      <c r="B22" t="str">
        <f>[1]Results!C1382</f>
        <v>Investissement entreprises</v>
      </c>
      <c r="C22" s="1">
        <f>[1]Results!F1382</f>
        <v>0</v>
      </c>
      <c r="D22" s="1">
        <f>[1]Results!G1382</f>
        <v>0</v>
      </c>
      <c r="E22" s="1">
        <f>[1]Results!H1382</f>
        <v>0</v>
      </c>
      <c r="F22" s="1">
        <f>[1]Results!I1382</f>
        <v>0</v>
      </c>
      <c r="G22" s="1">
        <f>[1]Results!J1382</f>
        <v>0</v>
      </c>
      <c r="H22" s="1">
        <f>[1]Results!K1382</f>
        <v>0</v>
      </c>
      <c r="I22" s="1">
        <f>[1]Results!L1382</f>
        <v>5.0124950597818518E-2</v>
      </c>
      <c r="J22" s="1">
        <f>[1]Results!M1382</f>
        <v>-0.46379515200208887</v>
      </c>
      <c r="K22" s="1">
        <f>[1]Results!N1382</f>
        <v>-1.339528599076234</v>
      </c>
      <c r="L22" s="1">
        <f>[1]Results!O1382</f>
        <v>-2.2376904507743878</v>
      </c>
      <c r="M22" s="1">
        <f>[1]Results!P1382</f>
        <v>-2.8924369029350139</v>
      </c>
      <c r="N22" s="1">
        <f>[1]Results!Q1382</f>
        <v>-3.2117780792778383</v>
      </c>
      <c r="O22" s="1">
        <f>[1]Results!R1382</f>
        <v>-3.2186740639258415</v>
      </c>
      <c r="P22" s="1">
        <f>[1]Results!S1382</f>
        <v>-3.0249825985414924</v>
      </c>
      <c r="Q22" s="1">
        <f>[1]Results!T1382</f>
        <v>-2.7640318679723053</v>
      </c>
      <c r="R22" s="1">
        <f>[1]Results!U1382</f>
        <v>-2.5362373716064091</v>
      </c>
      <c r="S22" s="1">
        <f>[1]Results!V1382</f>
        <v>-2.3854161048306621</v>
      </c>
      <c r="T22" s="1">
        <f>[1]Results!W1382</f>
        <v>-2.3047191378770426</v>
      </c>
      <c r="U22" s="1">
        <f>[1]Results!X1382</f>
        <v>-2.2599468411388934</v>
      </c>
      <c r="V22" s="1">
        <f>[1]Results!Y1382</f>
        <v>-2.2146499880161707</v>
      </c>
      <c r="W22" s="1">
        <f>[1]Results!Z1382</f>
        <v>-2.1439358525890295</v>
      </c>
      <c r="X22" s="1">
        <f>[1]Results!AA1382</f>
        <v>-2.050892392581094</v>
      </c>
      <c r="Y22" s="1">
        <f>[1]Results!AB1382</f>
        <v>-1.946876424162336</v>
      </c>
      <c r="Z22" s="1">
        <f>[1]Results!AC1382</f>
        <v>-1.8500376831679155</v>
      </c>
      <c r="AA22" s="1">
        <f>[1]Results!AD1382</f>
        <v>-1.7757510010304567</v>
      </c>
      <c r="AB22" s="1">
        <f>[1]Results!AE1382</f>
        <v>-1.7265869666222011</v>
      </c>
      <c r="AC22" s="1">
        <f>[1]Results!AF1382</f>
        <v>-1.7065189958933358</v>
      </c>
      <c r="AD22" s="1">
        <f>[1]Results!AG1382</f>
        <v>-1.7063047742663207</v>
      </c>
      <c r="AE22" s="1">
        <f>[1]Results!AH1382</f>
        <v>-1.7148085289143689</v>
      </c>
      <c r="AF22" s="1">
        <f>[1]Results!AI1382</f>
        <v>-1.722441430486954</v>
      </c>
      <c r="AG22" s="1">
        <f>[1]Results!AJ1382</f>
        <v>-1.7232610365216838</v>
      </c>
      <c r="AH22" s="1">
        <f>[1]Results!AK1382</f>
        <v>-1.7153664587954753</v>
      </c>
      <c r="AI22" s="1">
        <f>[1]Results!AL1382</f>
        <v>-1.6997638729205455</v>
      </c>
      <c r="AJ22" s="1">
        <f>[1]Results!AM1382</f>
        <v>-1.6786525855379764</v>
      </c>
      <c r="AK22" s="1">
        <f>[1]Results!AN1382</f>
        <v>-1.6539815159850813</v>
      </c>
      <c r="AL22" s="1">
        <f>[1]Results!AO1382</f>
        <v>-1.6266242933053121</v>
      </c>
    </row>
    <row r="23" spans="1:38" x14ac:dyDescent="0.3">
      <c r="A23" s="3" t="str">
        <f>[1]Results!E1383</f>
        <v>100*(X_2/X_0-1)</v>
      </c>
      <c r="B23" t="s">
        <v>18</v>
      </c>
      <c r="C23" s="1">
        <f>[1]Results!F1383</f>
        <v>0</v>
      </c>
      <c r="D23" s="1">
        <f>[1]Results!G1383</f>
        <v>0</v>
      </c>
      <c r="E23" s="1">
        <f>[1]Results!H1383</f>
        <v>0</v>
      </c>
      <c r="F23" s="1">
        <f>[1]Results!I1383</f>
        <v>0</v>
      </c>
      <c r="G23" s="1">
        <f>[1]Results!J1383</f>
        <v>0</v>
      </c>
      <c r="H23" s="1">
        <f>[1]Results!K1383</f>
        <v>0</v>
      </c>
      <c r="I23" s="1">
        <f>[1]Results!L1383</f>
        <v>-8.7203000050828372E-3</v>
      </c>
      <c r="J23" s="1">
        <f>[1]Results!M1383</f>
        <v>-0.22321800825515492</v>
      </c>
      <c r="K23" s="1">
        <f>[1]Results!N1383</f>
        <v>-0.63669911603090323</v>
      </c>
      <c r="L23" s="1">
        <f>[1]Results!O1383</f>
        <v>-1.1535343302859213</v>
      </c>
      <c r="M23" s="1">
        <f>[1]Results!P1383</f>
        <v>-1.6583750023344113</v>
      </c>
      <c r="N23" s="1">
        <f>[1]Results!Q1383</f>
        <v>-2.0725110727646823</v>
      </c>
      <c r="O23" s="1">
        <f>[1]Results!R1383</f>
        <v>-2.3623113843304622</v>
      </c>
      <c r="P23" s="1">
        <f>[1]Results!S1383</f>
        <v>-2.534689106279997</v>
      </c>
      <c r="Q23" s="1">
        <f>[1]Results!T1383</f>
        <v>-2.6201054906920485</v>
      </c>
      <c r="R23" s="1">
        <f>[1]Results!U1383</f>
        <v>-2.6537146957152702</v>
      </c>
      <c r="S23" s="1">
        <f>[1]Results!V1383</f>
        <v>-2.6618867241916089</v>
      </c>
      <c r="T23" s="1">
        <f>[1]Results!W1383</f>
        <v>-2.6571162017474781</v>
      </c>
      <c r="U23" s="1">
        <f>[1]Results!X1383</f>
        <v>-2.6404011462683341</v>
      </c>
      <c r="V23" s="1">
        <f>[1]Results!Y1383</f>
        <v>-2.6074499302815468</v>
      </c>
      <c r="W23" s="1">
        <f>[1]Results!Z1383</f>
        <v>-2.5542951713172446</v>
      </c>
      <c r="X23" s="1">
        <f>[1]Results!AA1383</f>
        <v>-2.4825912415070261</v>
      </c>
      <c r="Y23" s="1">
        <f>[1]Results!AB1383</f>
        <v>-2.3985621830318271</v>
      </c>
      <c r="Z23" s="1">
        <f>[1]Results!AC1383</f>
        <v>-2.3112776814778191</v>
      </c>
      <c r="AA23" s="1">
        <f>[1]Results!AD1383</f>
        <v>-2.2299578973148493</v>
      </c>
      <c r="AB23" s="1">
        <f>[1]Results!AE1383</f>
        <v>-2.1609393405498389</v>
      </c>
      <c r="AC23" s="1">
        <f>[1]Results!AF1383</f>
        <v>-2.1081263827797403</v>
      </c>
      <c r="AD23" s="1">
        <f>[1]Results!AG1383</f>
        <v>-2.0719120500123034</v>
      </c>
      <c r="AE23" s="1">
        <f>[1]Results!AH1383</f>
        <v>-2.0500462353079452</v>
      </c>
      <c r="AF23" s="1">
        <f>[1]Results!AI1383</f>
        <v>-2.0390165125447113</v>
      </c>
      <c r="AG23" s="1">
        <f>[1]Results!AJ1383</f>
        <v>-2.0352856978734679</v>
      </c>
      <c r="AH23" s="1">
        <f>[1]Results!AK1383</f>
        <v>-2.0360444129336019</v>
      </c>
      <c r="AI23" s="1">
        <f>[1]Results!AL1383</f>
        <v>-2.0394011194645567</v>
      </c>
      <c r="AJ23" s="1">
        <f>[1]Results!AM1383</f>
        <v>-2.0441748900737133</v>
      </c>
      <c r="AK23" s="1">
        <f>[1]Results!AN1383</f>
        <v>-2.0495428476203004</v>
      </c>
      <c r="AL23" s="1">
        <f>[1]Results!AO1383</f>
        <v>-2.0547396560270048</v>
      </c>
    </row>
    <row r="24" spans="1:38" x14ac:dyDescent="0.3">
      <c r="A24" s="3" t="str">
        <f>[1]Results!E1384</f>
        <v>100*(M_2/M_0-1)</v>
      </c>
      <c r="B24" t="s">
        <v>19</v>
      </c>
      <c r="C24" s="1">
        <f>[1]Results!F1384</f>
        <v>0</v>
      </c>
      <c r="D24" s="1">
        <f>[1]Results!G1384</f>
        <v>0</v>
      </c>
      <c r="E24" s="1">
        <f>[1]Results!H1384</f>
        <v>0</v>
      </c>
      <c r="F24" s="1">
        <f>[1]Results!I1384</f>
        <v>0</v>
      </c>
      <c r="G24" s="1">
        <f>[1]Results!J1384</f>
        <v>0</v>
      </c>
      <c r="H24" s="1">
        <f>[1]Results!K1384</f>
        <v>0</v>
      </c>
      <c r="I24" s="1">
        <f>[1]Results!L1384</f>
        <v>0.13250496170567061</v>
      </c>
      <c r="J24" s="1">
        <f>[1]Results!M1384</f>
        <v>-7.6797803246064777E-2</v>
      </c>
      <c r="K24" s="1">
        <f>[1]Results!N1384</f>
        <v>-0.3882983519106098</v>
      </c>
      <c r="L24" s="1">
        <f>[1]Results!O1384</f>
        <v>-0.62443419926738741</v>
      </c>
      <c r="M24" s="1">
        <f>[1]Results!P1384</f>
        <v>-0.70908144888218727</v>
      </c>
      <c r="N24" s="1">
        <f>[1]Results!Q1384</f>
        <v>-0.66196791065860072</v>
      </c>
      <c r="O24" s="1">
        <f>[1]Results!R1384</f>
        <v>-0.53784663970557478</v>
      </c>
      <c r="P24" s="1">
        <f>[1]Results!S1384</f>
        <v>-0.40146089396408957</v>
      </c>
      <c r="Q24" s="1">
        <f>[1]Results!T1384</f>
        <v>-0.30083466486285904</v>
      </c>
      <c r="R24" s="1">
        <f>[1]Results!U1384</f>
        <v>-0.2557245579827172</v>
      </c>
      <c r="S24" s="1">
        <f>[1]Results!V1384</f>
        <v>-0.26032095671993938</v>
      </c>
      <c r="T24" s="1">
        <f>[1]Results!W1384</f>
        <v>-0.2943077367156266</v>
      </c>
      <c r="U24" s="1">
        <f>[1]Results!X1384</f>
        <v>-0.33548424946096</v>
      </c>
      <c r="V24" s="1">
        <f>[1]Results!Y1384</f>
        <v>-0.36854896401616877</v>
      </c>
      <c r="W24" s="1">
        <f>[1]Results!Z1384</f>
        <v>-0.3863618468317731</v>
      </c>
      <c r="X24" s="1">
        <f>[1]Results!AA1384</f>
        <v>-0.39550556986117646</v>
      </c>
      <c r="Y24" s="1">
        <f>[1]Results!AB1384</f>
        <v>-0.39984523805451921</v>
      </c>
      <c r="Z24" s="1">
        <f>[1]Results!AC1384</f>
        <v>-0.40533808752448719</v>
      </c>
      <c r="AA24" s="1">
        <f>[1]Results!AD1384</f>
        <v>-0.41504062817042664</v>
      </c>
      <c r="AB24" s="1">
        <f>[1]Results!AE1384</f>
        <v>-0.4258001259993982</v>
      </c>
      <c r="AC24" s="1">
        <f>[1]Results!AF1384</f>
        <v>-0.44039371964870178</v>
      </c>
      <c r="AD24" s="1">
        <f>[1]Results!AG1384</f>
        <v>-0.45284151535259776</v>
      </c>
      <c r="AE24" s="1">
        <f>[1]Results!AH1384</f>
        <v>-0.46042551665302911</v>
      </c>
      <c r="AF24" s="1">
        <f>[1]Results!AI1384</f>
        <v>-0.46189534647393948</v>
      </c>
      <c r="AG24" s="1">
        <f>[1]Results!AJ1384</f>
        <v>-0.45766440429969579</v>
      </c>
      <c r="AH24" s="1">
        <f>[1]Results!AK1384</f>
        <v>-0.44928847838663355</v>
      </c>
      <c r="AI24" s="1">
        <f>[1]Results!AL1384</f>
        <v>-0.43866004137705916</v>
      </c>
      <c r="AJ24" s="1">
        <f>[1]Results!AM1384</f>
        <v>-0.42732660066454597</v>
      </c>
      <c r="AK24" s="1">
        <f>[1]Results!AN1384</f>
        <v>-0.41615701367142544</v>
      </c>
      <c r="AL24" s="1">
        <f>[1]Results!AO1384</f>
        <v>-0.40533644970751626</v>
      </c>
    </row>
    <row r="25" spans="1:38" x14ac:dyDescent="0.3">
      <c r="A25" s="3" t="str">
        <f>[1]Results!E1385</f>
        <v>100*((CH_2-CH_ccon_2)/(CH_0-CH_ccon_0)-1)</v>
      </c>
      <c r="B25" t="str">
        <f>[1]Results!C1385</f>
        <v>Consommation des ménages</v>
      </c>
      <c r="C25" s="1">
        <f>[1]Results!F1385</f>
        <v>0</v>
      </c>
      <c r="D25" s="1">
        <f>[1]Results!G1385</f>
        <v>0</v>
      </c>
      <c r="E25" s="1">
        <f>[1]Results!H1385</f>
        <v>0</v>
      </c>
      <c r="F25" s="1">
        <f>[1]Results!I1385</f>
        <v>0</v>
      </c>
      <c r="G25" s="1">
        <f>[1]Results!J1385</f>
        <v>0</v>
      </c>
      <c r="H25" s="1">
        <f>[1]Results!K1385</f>
        <v>0</v>
      </c>
      <c r="I25" s="1">
        <f>[1]Results!L1385</f>
        <v>-1.0556838622999276E-2</v>
      </c>
      <c r="J25" s="1">
        <f>[1]Results!M1385</f>
        <v>-0.52190894000726518</v>
      </c>
      <c r="K25" s="1">
        <f>[1]Results!N1385</f>
        <v>-1.170323004281737</v>
      </c>
      <c r="L25" s="1">
        <f>[1]Results!O1385</f>
        <v>-1.6119834757292506</v>
      </c>
      <c r="M25" s="1">
        <f>[1]Results!P1385</f>
        <v>-1.6970944511180641</v>
      </c>
      <c r="N25" s="1">
        <f>[1]Results!Q1385</f>
        <v>-1.4701496722320018</v>
      </c>
      <c r="O25" s="1">
        <f>[1]Results!R1385</f>
        <v>-1.0784826205488374</v>
      </c>
      <c r="P25" s="1">
        <f>[1]Results!S1385</f>
        <v>-0.67964137716799433</v>
      </c>
      <c r="Q25" s="1">
        <f>[1]Results!T1385</f>
        <v>-0.38518344735184451</v>
      </c>
      <c r="R25" s="1">
        <f>[1]Results!U1385</f>
        <v>-0.23732438914614296</v>
      </c>
      <c r="S25" s="1">
        <f>[1]Results!V1385</f>
        <v>-0.21772183747291729</v>
      </c>
      <c r="T25" s="1">
        <f>[1]Results!W1385</f>
        <v>-0.27470024104493396</v>
      </c>
      <c r="U25" s="1">
        <f>[1]Results!X1385</f>
        <v>-0.35385587046922184</v>
      </c>
      <c r="V25" s="1">
        <f>[1]Results!Y1385</f>
        <v>-0.41874991605657108</v>
      </c>
      <c r="W25" s="1">
        <f>[1]Results!Z1385</f>
        <v>-0.45250336514380818</v>
      </c>
      <c r="X25" s="1">
        <f>[1]Results!AA1385</f>
        <v>-0.47321177701813433</v>
      </c>
      <c r="Y25" s="1">
        <f>[1]Results!AB1385</f>
        <v>-0.48894551685972898</v>
      </c>
      <c r="Z25" s="1">
        <f>[1]Results!AC1385</f>
        <v>-0.51304139435380813</v>
      </c>
      <c r="AA25" s="1">
        <f>[1]Results!AD1385</f>
        <v>-0.5511567593580069</v>
      </c>
      <c r="AB25" s="1">
        <f>[1]Results!AE1385</f>
        <v>-0.59037555474811265</v>
      </c>
      <c r="AC25" s="1">
        <f>[1]Results!AF1385</f>
        <v>-0.64261169422340503</v>
      </c>
      <c r="AD25" s="1">
        <f>[1]Results!AG1385</f>
        <v>-0.68860775179421241</v>
      </c>
      <c r="AE25" s="1">
        <f>[1]Results!AH1385</f>
        <v>-0.72078633835679362</v>
      </c>
      <c r="AF25" s="1">
        <f>[1]Results!AI1385</f>
        <v>-0.7358382760527582</v>
      </c>
      <c r="AG25" s="1">
        <f>[1]Results!AJ1385</f>
        <v>-0.73488478167000881</v>
      </c>
      <c r="AH25" s="1">
        <f>[1]Results!AK1385</f>
        <v>-0.72205929831048454</v>
      </c>
      <c r="AI25" s="1">
        <f>[1]Results!AL1385</f>
        <v>-0.70241768800640703</v>
      </c>
      <c r="AJ25" s="1">
        <f>[1]Results!AM1385</f>
        <v>-0.68024590873012603</v>
      </c>
      <c r="AK25" s="1">
        <f>[1]Results!AN1385</f>
        <v>-0.65821067545218659</v>
      </c>
      <c r="AL25" s="1">
        <f>[1]Results!AO1385</f>
        <v>-0.63729536867370706</v>
      </c>
    </row>
    <row r="26" spans="1:38" x14ac:dyDescent="0.3">
      <c r="A26" s="3" t="str">
        <f>[1]Results!E1386</f>
        <v>100*((I_2+CH_ccon_2)/(I_0+CH_ccon_0)-1)</v>
      </c>
      <c r="B26" t="str">
        <f>[1]Results!C1386</f>
        <v>Investissement</v>
      </c>
      <c r="C26" s="1">
        <f>[1]Results!F1386</f>
        <v>0</v>
      </c>
      <c r="D26" s="1">
        <f>[1]Results!G1386</f>
        <v>0</v>
      </c>
      <c r="E26" s="1">
        <f>[1]Results!H1386</f>
        <v>0</v>
      </c>
      <c r="F26" s="1">
        <f>[1]Results!I1386</f>
        <v>0</v>
      </c>
      <c r="G26" s="1">
        <f>[1]Results!J1386</f>
        <v>0</v>
      </c>
      <c r="H26" s="1">
        <f>[1]Results!K1386</f>
        <v>0</v>
      </c>
      <c r="I26" s="1">
        <f>[1]Results!L1386</f>
        <v>3.7596073308865385E-2</v>
      </c>
      <c r="J26" s="1">
        <f>[1]Results!M1386</f>
        <v>-0.45445213816718288</v>
      </c>
      <c r="K26" s="1">
        <f>[1]Results!N1386</f>
        <v>-1.2743330560329613</v>
      </c>
      <c r="L26" s="1">
        <f>[1]Results!O1386</f>
        <v>-2.0940503523631526</v>
      </c>
      <c r="M26" s="1">
        <f>[1]Results!P1386</f>
        <v>-2.6271628468877095</v>
      </c>
      <c r="N26" s="1">
        <f>[1]Results!Q1386</f>
        <v>-2.8971089349425938</v>
      </c>
      <c r="O26" s="1">
        <f>[1]Results!R1386</f>
        <v>-2.8614449436107359</v>
      </c>
      <c r="P26" s="1">
        <f>[1]Results!S1386</f>
        <v>-2.638191846509963</v>
      </c>
      <c r="Q26" s="1">
        <f>[1]Results!T1386</f>
        <v>-2.360872015424853</v>
      </c>
      <c r="R26" s="1">
        <f>[1]Results!U1386</f>
        <v>-2.126648034273515</v>
      </c>
      <c r="S26" s="1">
        <f>[1]Results!V1386</f>
        <v>-1.9752246836798215</v>
      </c>
      <c r="T26" s="1">
        <f>[1]Results!W1386</f>
        <v>-1.8968595009491551</v>
      </c>
      <c r="U26" s="1">
        <f>[1]Results!X1386</f>
        <v>-1.8560427403548907</v>
      </c>
      <c r="V26" s="1">
        <f>[1]Results!Y1386</f>
        <v>-1.8161463613746265</v>
      </c>
      <c r="W26" s="1">
        <f>[1]Results!Z1386</f>
        <v>-1.7693790222045647</v>
      </c>
      <c r="X26" s="1">
        <f>[1]Results!AA1386</f>
        <v>-1.6745306351494516</v>
      </c>
      <c r="Y26" s="1">
        <f>[1]Results!AB1386</f>
        <v>-1.5754348708079902</v>
      </c>
      <c r="Z26" s="1">
        <f>[1]Results!AC1386</f>
        <v>-1.4857611370732382</v>
      </c>
      <c r="AA26" s="1">
        <f>[1]Results!AD1386</f>
        <v>-1.4182044180434894</v>
      </c>
      <c r="AB26" s="1">
        <f>[1]Results!AE1386</f>
        <v>-1.4096289076403923</v>
      </c>
      <c r="AC26" s="1">
        <f>[1]Results!AF1386</f>
        <v>-1.3858506541286175</v>
      </c>
      <c r="AD26" s="1">
        <f>[1]Results!AG1386</f>
        <v>-1.3828613428420677</v>
      </c>
      <c r="AE26" s="1">
        <f>[1]Results!AH1386</f>
        <v>-1.3888676193146265</v>
      </c>
      <c r="AF26" s="1">
        <f>[1]Results!AI1386</f>
        <v>-1.3942362502866956</v>
      </c>
      <c r="AG26" s="1">
        <f>[1]Results!AJ1386</f>
        <v>-1.393261336977214</v>
      </c>
      <c r="AH26" s="1">
        <f>[1]Results!AK1386</f>
        <v>-1.384324323366759</v>
      </c>
      <c r="AI26" s="1">
        <f>[1]Results!AL1386</f>
        <v>-1.3686619281165657</v>
      </c>
      <c r="AJ26" s="1">
        <f>[1]Results!AM1386</f>
        <v>-1.3485837681623924</v>
      </c>
      <c r="AK26" s="1">
        <f>[1]Results!AN1386</f>
        <v>-1.3260330156040112</v>
      </c>
      <c r="AL26" s="1">
        <f>[1]Results!AO1386</f>
        <v>-1.3018129853762384</v>
      </c>
    </row>
    <row r="27" spans="1:38" x14ac:dyDescent="0.3">
      <c r="A27" s="3" t="str">
        <f>[1]Results!E1387</f>
        <v>100*((CH_ccon_2)/(CH_ccon_0)-1)</v>
      </c>
      <c r="B27" t="str">
        <f>[1]Results!C1387</f>
        <v>Investissement ménages</v>
      </c>
      <c r="C27" s="1">
        <f>[1]Results!F1387</f>
        <v>0</v>
      </c>
      <c r="D27" s="1">
        <f>[1]Results!G1387</f>
        <v>0</v>
      </c>
      <c r="E27" s="1">
        <f>[1]Results!H1387</f>
        <v>0</v>
      </c>
      <c r="F27" s="1">
        <f>[1]Results!I1387</f>
        <v>0</v>
      </c>
      <c r="G27" s="1">
        <f>[1]Results!J1387</f>
        <v>0</v>
      </c>
      <c r="H27" s="1">
        <f>[1]Results!K1387</f>
        <v>0</v>
      </c>
      <c r="I27" s="1">
        <f>[1]Results!L1387</f>
        <v>1.6357529578625574E-2</v>
      </c>
      <c r="J27" s="1">
        <f>[1]Results!M1387</f>
        <v>-2.0564493697916575E-3</v>
      </c>
      <c r="K27" s="1">
        <f>[1]Results!N1387</f>
        <v>-0.12560660618472497</v>
      </c>
      <c r="L27" s="1">
        <f>[1]Results!O1387</f>
        <v>-0.24497910196946693</v>
      </c>
      <c r="M27" s="1">
        <f>[1]Results!P1387</f>
        <v>-0.23393363684764967</v>
      </c>
      <c r="N27" s="1">
        <f>[1]Results!Q1387</f>
        <v>-0.1796965149519103</v>
      </c>
      <c r="O27" s="1">
        <f>[1]Results!R1387</f>
        <v>-3.7690633818832087E-2</v>
      </c>
      <c r="P27" s="1">
        <f>[1]Results!S1387</f>
        <v>0.12686658538347828</v>
      </c>
      <c r="Q27" s="1">
        <f>[1]Results!T1387</f>
        <v>0.249134757102909</v>
      </c>
      <c r="R27" s="1">
        <f>[1]Results!U1387</f>
        <v>0.28896289171502776</v>
      </c>
      <c r="S27" s="1">
        <f>[1]Results!V1387</f>
        <v>0.2401792251740531</v>
      </c>
      <c r="T27" s="1">
        <f>[1]Results!W1387</f>
        <v>0.12256144060958096</v>
      </c>
      <c r="U27" s="1">
        <f>[1]Results!X1387</f>
        <v>-2.953949975806891E-2</v>
      </c>
      <c r="V27" s="1">
        <f>[1]Results!Y1387</f>
        <v>-0.18168234620195012</v>
      </c>
      <c r="W27" s="1">
        <f>[1]Results!Z1387</f>
        <v>-0.35828255418350885</v>
      </c>
      <c r="X27" s="1">
        <f>[1]Results!AA1387</f>
        <v>-0.41962853941285294</v>
      </c>
      <c r="Y27" s="1">
        <f>[1]Results!AB1387</f>
        <v>-0.45728518770249416</v>
      </c>
      <c r="Z27" s="1">
        <f>[1]Results!AC1387</f>
        <v>-0.46660330757598567</v>
      </c>
      <c r="AA27" s="1">
        <f>[1]Results!AD1387</f>
        <v>-0.45096264916268947</v>
      </c>
      <c r="AB27" s="1">
        <f>[1]Results!AE1387</f>
        <v>-0.64590859587090321</v>
      </c>
      <c r="AC27" s="1">
        <f>[1]Results!AF1387</f>
        <v>-0.52653811574966403</v>
      </c>
      <c r="AD27" s="1">
        <f>[1]Results!AG1387</f>
        <v>-0.4272070407271511</v>
      </c>
      <c r="AE27" s="1">
        <f>[1]Results!AH1387</f>
        <v>-0.33807693224612301</v>
      </c>
      <c r="AF27" s="1">
        <f>[1]Results!AI1387</f>
        <v>-0.25563503381714758</v>
      </c>
      <c r="AG27" s="1">
        <f>[1]Results!AJ1387</f>
        <v>-0.17982484681915434</v>
      </c>
      <c r="AH27" s="1">
        <f>[1]Results!AK1387</f>
        <v>-0.11276913993915061</v>
      </c>
      <c r="AI27" s="1">
        <f>[1]Results!AL1387</f>
        <v>-5.7866724406074876E-2</v>
      </c>
      <c r="AJ27" s="1">
        <f>[1]Results!AM1387</f>
        <v>-1.7933383767410049E-2</v>
      </c>
      <c r="AK27" s="1">
        <f>[1]Results!AN1387</f>
        <v>5.883872394774059E-3</v>
      </c>
      <c r="AL27" s="1">
        <f>[1]Results!AO1387</f>
        <v>1.4417482897544076E-2</v>
      </c>
    </row>
    <row r="28" spans="1:38" x14ac:dyDescent="0.3">
      <c r="A28" s="3" t="str">
        <f>[1]Results!E1388</f>
        <v>100*((IA_spub_2)/(IA_spub_0)-1)</v>
      </c>
      <c r="B28" t="str">
        <f>[1]Results!C1388</f>
        <v>Investissement public</v>
      </c>
      <c r="C28" s="1">
        <f>[1]Results!F1388</f>
        <v>0</v>
      </c>
      <c r="D28" s="1">
        <f>[1]Results!G1388</f>
        <v>0</v>
      </c>
      <c r="E28" s="1">
        <f>[1]Results!H1388</f>
        <v>0</v>
      </c>
      <c r="F28" s="1">
        <f>[1]Results!I1388</f>
        <v>0</v>
      </c>
      <c r="G28" s="1">
        <f>[1]Results!J1388</f>
        <v>0</v>
      </c>
      <c r="H28" s="1">
        <f>[1]Results!K1388</f>
        <v>0</v>
      </c>
      <c r="I28" s="1">
        <f>[1]Results!L1388</f>
        <v>-1.2355188241353066E-2</v>
      </c>
      <c r="J28" s="1">
        <f>[1]Results!M1388</f>
        <v>-0.66566239991647791</v>
      </c>
      <c r="K28" s="1">
        <f>[1]Results!N1388</f>
        <v>-1.575290095619053</v>
      </c>
      <c r="L28" s="1">
        <f>[1]Results!O1388</f>
        <v>-2.3586640398013725</v>
      </c>
      <c r="M28" s="1">
        <f>[1]Results!P1388</f>
        <v>-2.7855958163750305</v>
      </c>
      <c r="N28" s="1">
        <f>[1]Results!Q1388</f>
        <v>-2.8245292818469325</v>
      </c>
      <c r="O28" s="1">
        <f>[1]Results!R1388</f>
        <v>-2.5479502473669702</v>
      </c>
      <c r="P28" s="1">
        <f>[1]Results!S1388</f>
        <v>-2.1043255921090687</v>
      </c>
      <c r="Q28" s="1">
        <f>[1]Results!T1388</f>
        <v>-1.6447373469112514</v>
      </c>
      <c r="R28" s="1">
        <f>[1]Results!U1388</f>
        <v>-1.2684429430117716</v>
      </c>
      <c r="S28" s="1">
        <f>[1]Results!V1388</f>
        <v>-1.0061151932974521</v>
      </c>
      <c r="T28" s="1">
        <f>[1]Results!W1388</f>
        <v>-0.83609033818934364</v>
      </c>
      <c r="U28" s="1">
        <f>[1]Results!X1388</f>
        <v>-0.71470526748984575</v>
      </c>
      <c r="V28" s="1">
        <f>[1]Results!Y1388</f>
        <v>-0.60302555803277702</v>
      </c>
      <c r="W28" s="1">
        <f>[1]Results!Z1388</f>
        <v>-0.47901851380879323</v>
      </c>
      <c r="X28" s="1">
        <f>[1]Results!AA1388</f>
        <v>-0.34892052844136545</v>
      </c>
      <c r="Y28" s="1">
        <f>[1]Results!AB1388</f>
        <v>-0.22702102037333027</v>
      </c>
      <c r="Z28" s="1">
        <f>[1]Results!AC1388</f>
        <v>-0.13075233461501412</v>
      </c>
      <c r="AA28" s="1">
        <f>[1]Results!AD1388</f>
        <v>-7.1599216556650358E-2</v>
      </c>
      <c r="AB28" s="1">
        <f>[1]Results!AE1388</f>
        <v>-4.7643449030831952E-2</v>
      </c>
      <c r="AC28" s="1">
        <f>[1]Results!AF1388</f>
        <v>-5.4953314962702393E-2</v>
      </c>
      <c r="AD28" s="1">
        <f>[1]Results!AG1388</f>
        <v>-8.0539033628057588E-2</v>
      </c>
      <c r="AE28" s="1">
        <f>[1]Results!AH1388</f>
        <v>-0.11094351412239689</v>
      </c>
      <c r="AF28" s="1">
        <f>[1]Results!AI1388</f>
        <v>-0.13601888424127351</v>
      </c>
      <c r="AG28" s="1">
        <f>[1]Results!AJ1388</f>
        <v>-0.15056946528525517</v>
      </c>
      <c r="AH28" s="1">
        <f>[1]Results!AK1388</f>
        <v>-0.15400226885752266</v>
      </c>
      <c r="AI28" s="1">
        <f>[1]Results!AL1388</f>
        <v>-0.14861009789788326</v>
      </c>
      <c r="AJ28" s="1">
        <f>[1]Results!AM1388</f>
        <v>-0.13753281675563667</v>
      </c>
      <c r="AK28" s="1">
        <f>[1]Results!AN1388</f>
        <v>-0.12325613228167942</v>
      </c>
      <c r="AL28" s="1">
        <f>[1]Results!AO1388</f>
        <v>-0.10697120279855588</v>
      </c>
    </row>
    <row r="29" spans="1:38" x14ac:dyDescent="0.3">
      <c r="A29" s="3" t="str">
        <f>[1]Results!E1389</f>
        <v>100*(DISPINC_AT_VAL_2/DISPINC_AT_VAL_0-1)</v>
      </c>
      <c r="B29" t="str">
        <f>[1]Results!C1389</f>
        <v>Revenu disponible des ménages</v>
      </c>
      <c r="C29" s="1">
        <f>[1]Results!F1389</f>
        <v>0</v>
      </c>
      <c r="D29" s="1">
        <f>[1]Results!G1389</f>
        <v>0</v>
      </c>
      <c r="E29" s="1">
        <f>[1]Results!H1389</f>
        <v>0</v>
      </c>
      <c r="F29" s="1">
        <f>[1]Results!I1389</f>
        <v>0</v>
      </c>
      <c r="G29" s="1">
        <f>[1]Results!J1389</f>
        <v>0</v>
      </c>
      <c r="H29" s="1">
        <f>[1]Results!K1389</f>
        <v>0</v>
      </c>
      <c r="I29" s="1">
        <f>[1]Results!L1389</f>
        <v>2.6587555351764713E-2</v>
      </c>
      <c r="J29" s="1">
        <f>[1]Results!M1389</f>
        <v>0.43002620682561776</v>
      </c>
      <c r="K29" s="1">
        <f>[1]Results!N1389</f>
        <v>1.1102410908149229</v>
      </c>
      <c r="L29" s="1">
        <f>[1]Results!O1389</f>
        <v>1.9296188245413681</v>
      </c>
      <c r="M29" s="1">
        <f>[1]Results!P1389</f>
        <v>2.709801319381766</v>
      </c>
      <c r="N29" s="1">
        <f>[1]Results!Q1389</f>
        <v>3.3275159288209233</v>
      </c>
      <c r="O29" s="1">
        <f>[1]Results!R1389</f>
        <v>3.7216343776609762</v>
      </c>
      <c r="P29" s="1">
        <f>[1]Results!S1389</f>
        <v>3.9055747862663415</v>
      </c>
      <c r="Q29" s="1">
        <f>[1]Results!T1389</f>
        <v>3.9347818976437132</v>
      </c>
      <c r="R29" s="1">
        <f>[1]Results!U1389</f>
        <v>3.8730304028314011</v>
      </c>
      <c r="S29" s="1">
        <f>[1]Results!V1389</f>
        <v>3.768775667783042</v>
      </c>
      <c r="T29" s="1">
        <f>[1]Results!W1389</f>
        <v>3.6470904264037207</v>
      </c>
      <c r="U29" s="1">
        <f>[1]Results!X1389</f>
        <v>3.5139405228088227</v>
      </c>
      <c r="V29" s="1">
        <f>[1]Results!Y1389</f>
        <v>3.3661055755036973</v>
      </c>
      <c r="W29" s="1">
        <f>[1]Results!Z1389</f>
        <v>3.1991662851985847</v>
      </c>
      <c r="X29" s="1">
        <f>[1]Results!AA1389</f>
        <v>3.0191862639663336</v>
      </c>
      <c r="Y29" s="1">
        <f>[1]Results!AB1389</f>
        <v>2.835806290360221</v>
      </c>
      <c r="Z29" s="1">
        <f>[1]Results!AC1389</f>
        <v>2.6628126650931172</v>
      </c>
      <c r="AA29" s="1">
        <f>[1]Results!AD1389</f>
        <v>2.5130578488670841</v>
      </c>
      <c r="AB29" s="1">
        <f>[1]Results!AE1389</f>
        <v>2.3930367748806969</v>
      </c>
      <c r="AC29" s="1">
        <f>[1]Results!AF1389</f>
        <v>2.3079756258942208</v>
      </c>
      <c r="AD29" s="1">
        <f>[1]Results!AG1389</f>
        <v>2.2552339790991249</v>
      </c>
      <c r="AE29" s="1">
        <f>[1]Results!AH1389</f>
        <v>2.2289719162939869</v>
      </c>
      <c r="AF29" s="1">
        <f>[1]Results!AI1389</f>
        <v>2.221735973005301</v>
      </c>
      <c r="AG29" s="1">
        <f>[1]Results!AJ1389</f>
        <v>2.2264769805538709</v>
      </c>
      <c r="AH29" s="1">
        <f>[1]Results!AK1389</f>
        <v>2.2377430988213654</v>
      </c>
      <c r="AI29" s="1">
        <f>[1]Results!AL1389</f>
        <v>2.2519163646728346</v>
      </c>
      <c r="AJ29" s="1">
        <f>[1]Results!AM1389</f>
        <v>2.2667985973298332</v>
      </c>
      <c r="AK29" s="1">
        <f>[1]Results!AN1389</f>
        <v>2.2809707030979176</v>
      </c>
      <c r="AL29" s="1">
        <f>[1]Results!AO1389</f>
        <v>2.2932449071610295</v>
      </c>
    </row>
    <row r="30" spans="1:38" x14ac:dyDescent="0.3">
      <c r="A30" s="3" t="str">
        <f>[1]Results!E1390</f>
        <v>100*(DISPINC_AT_VAL_2/DISPINC_AT_VAL_0-1)-100*(PCH_2/PCH_0-1)</v>
      </c>
      <c r="B30" t="str">
        <f>[1]Results!C1390</f>
        <v>Revenu disponible réel des ménages</v>
      </c>
      <c r="C30" s="1">
        <f>[1]Results!F1390</f>
        <v>0</v>
      </c>
      <c r="D30" s="1">
        <f>[1]Results!G1390</f>
        <v>0</v>
      </c>
      <c r="E30" s="1">
        <f>[1]Results!H1390</f>
        <v>0</v>
      </c>
      <c r="F30" s="1">
        <f>[1]Results!I1390</f>
        <v>0</v>
      </c>
      <c r="G30" s="1">
        <f>[1]Results!J1390</f>
        <v>0</v>
      </c>
      <c r="H30" s="1">
        <f>[1]Results!K1390</f>
        <v>0</v>
      </c>
      <c r="I30" s="1">
        <f>[1]Results!L1390</f>
        <v>-1.4087971008858169E-2</v>
      </c>
      <c r="J30" s="1">
        <f>[1]Results!M1390</f>
        <v>-0.74061294817657775</v>
      </c>
      <c r="K30" s="1">
        <f>[1]Results!N1390</f>
        <v>-1.3999979275790331</v>
      </c>
      <c r="L30" s="1">
        <f>[1]Results!O1390</f>
        <v>-1.7025706564214982</v>
      </c>
      <c r="M30" s="1">
        <f>[1]Results!P1390</f>
        <v>-1.5983251310022872</v>
      </c>
      <c r="N30" s="1">
        <f>[1]Results!Q1390</f>
        <v>-1.2589285806175798</v>
      </c>
      <c r="O30" s="1">
        <f>[1]Results!R1390</f>
        <v>-0.84243980907132698</v>
      </c>
      <c r="P30" s="1">
        <f>[1]Results!S1390</f>
        <v>-0.49714480663929361</v>
      </c>
      <c r="Q30" s="1">
        <f>[1]Results!T1390</f>
        <v>-0.29650796690656733</v>
      </c>
      <c r="R30" s="1">
        <f>[1]Results!U1390</f>
        <v>-0.24052570009229779</v>
      </c>
      <c r="S30" s="1">
        <f>[1]Results!V1390</f>
        <v>-0.28264042887653495</v>
      </c>
      <c r="T30" s="1">
        <f>[1]Results!W1390</f>
        <v>-0.36292349956332792</v>
      </c>
      <c r="U30" s="1">
        <f>[1]Results!X1390</f>
        <v>-0.43481977059300903</v>
      </c>
      <c r="V30" s="1">
        <f>[1]Results!Y1390</f>
        <v>-0.47734725808468159</v>
      </c>
      <c r="W30" s="1">
        <f>[1]Results!Z1390</f>
        <v>-0.4900387045690513</v>
      </c>
      <c r="X30" s="1">
        <f>[1]Results!AA1390</f>
        <v>-0.49573726252254424</v>
      </c>
      <c r="Y30" s="1">
        <f>[1]Results!AB1390</f>
        <v>-0.50697367200309706</v>
      </c>
      <c r="Z30" s="1">
        <f>[1]Results!AC1390</f>
        <v>-0.53317987491514618</v>
      </c>
      <c r="AA30" s="1">
        <f>[1]Results!AD1390</f>
        <v>-0.57475650902385489</v>
      </c>
      <c r="AB30" s="1">
        <f>[1]Results!AE1390</f>
        <v>-0.62111365685788567</v>
      </c>
      <c r="AC30" s="1">
        <f>[1]Results!AF1390</f>
        <v>-0.66882371603860236</v>
      </c>
      <c r="AD30" s="1">
        <f>[1]Results!AG1390</f>
        <v>-0.70679630678291971</v>
      </c>
      <c r="AE30" s="1">
        <f>[1]Results!AH1390</f>
        <v>-0.72914956632974537</v>
      </c>
      <c r="AF30" s="1">
        <f>[1]Results!AI1390</f>
        <v>-0.73502925555568588</v>
      </c>
      <c r="AG30" s="1">
        <f>[1]Results!AJ1390</f>
        <v>-0.72751427231469989</v>
      </c>
      <c r="AH30" s="1">
        <f>[1]Results!AK1390</f>
        <v>-0.71157580116374408</v>
      </c>
      <c r="AI30" s="1">
        <f>[1]Results!AL1390</f>
        <v>-0.69196759125429441</v>
      </c>
      <c r="AJ30" s="1">
        <f>[1]Results!AM1390</f>
        <v>-0.67193393691429293</v>
      </c>
      <c r="AK30" s="1">
        <f>[1]Results!AN1390</f>
        <v>-0.65291471871136153</v>
      </c>
      <c r="AL30" s="1">
        <f>[1]Results!AO1390</f>
        <v>-0.63491596070903711</v>
      </c>
    </row>
    <row r="31" spans="1:38" x14ac:dyDescent="0.3">
      <c r="A31" s="3" t="str">
        <f>[1]Results!E1391</f>
        <v>100*(DISPINC_AT_VAL_2/DISPINC_AT_VAL_0-1)-100*((F_L_2/F_L_0)-1)</v>
      </c>
      <c r="B31" t="str">
        <f>[1]Results!C1391</f>
        <v>Revenu disponible par emploi en valeur</v>
      </c>
      <c r="C31" s="1">
        <f>[1]Results!F1391</f>
        <v>0</v>
      </c>
      <c r="D31" s="1">
        <f>[1]Results!G1391</f>
        <v>0</v>
      </c>
      <c r="E31" s="1">
        <f>[1]Results!H1391</f>
        <v>0</v>
      </c>
      <c r="F31" s="1">
        <f>[1]Results!I1391</f>
        <v>0</v>
      </c>
      <c r="G31" s="1">
        <f>[1]Results!J1391</f>
        <v>0</v>
      </c>
      <c r="H31" s="1">
        <f>[1]Results!K1391</f>
        <v>0</v>
      </c>
      <c r="I31" s="1">
        <f>[1]Results!L1391</f>
        <v>-9.5765466791863929E-2</v>
      </c>
      <c r="J31" s="1">
        <f>[1]Results!M1391</f>
        <v>0.32847138421090438</v>
      </c>
      <c r="K31" s="1">
        <f>[1]Results!N1391</f>
        <v>1.1877618130193612</v>
      </c>
      <c r="L31" s="1">
        <f>[1]Results!O1391</f>
        <v>2.2874832832330827</v>
      </c>
      <c r="M31" s="1">
        <f>[1]Results!P1391</f>
        <v>3.3655526131909475</v>
      </c>
      <c r="N31" s="1">
        <f>[1]Results!Q1391</f>
        <v>4.2368088904494066</v>
      </c>
      <c r="O31" s="1">
        <f>[1]Results!R1391</f>
        <v>4.8067893685011747</v>
      </c>
      <c r="P31" s="1">
        <f>[1]Results!S1391</f>
        <v>5.0903790102118869</v>
      </c>
      <c r="Q31" s="1">
        <f>[1]Results!T1391</f>
        <v>5.166023533695407</v>
      </c>
      <c r="R31" s="1">
        <f>[1]Results!U1391</f>
        <v>5.1258337489852206</v>
      </c>
      <c r="S31" s="1">
        <f>[1]Results!V1391</f>
        <v>5.0393870816219044</v>
      </c>
      <c r="T31" s="1">
        <f>[1]Results!W1391</f>
        <v>4.940327378688969</v>
      </c>
      <c r="U31" s="1">
        <f>[1]Results!X1391</f>
        <v>4.8321879288900753</v>
      </c>
      <c r="V31" s="1">
        <f>[1]Results!Y1391</f>
        <v>4.7037575753944409</v>
      </c>
      <c r="W31" s="1">
        <f>[1]Results!Z1391</f>
        <v>4.5427896127375185</v>
      </c>
      <c r="X31" s="1">
        <f>[1]Results!AA1391</f>
        <v>4.3516922659266211</v>
      </c>
      <c r="Y31" s="1">
        <f>[1]Results!AB1391</f>
        <v>4.1417642685282363</v>
      </c>
      <c r="Z31" s="1">
        <f>[1]Results!AC1391</f>
        <v>3.932098753097979</v>
      </c>
      <c r="AA31" s="1">
        <f>[1]Results!AD1391</f>
        <v>3.7421249271272439</v>
      </c>
      <c r="AB31" s="1">
        <f>[1]Results!AE1391</f>
        <v>3.5842390278560066</v>
      </c>
      <c r="AC31" s="1">
        <f>[1]Results!AF1391</f>
        <v>3.4661163101143311</v>
      </c>
      <c r="AD31" s="1">
        <f>[1]Results!AG1391</f>
        <v>3.3864276499884105</v>
      </c>
      <c r="AE31" s="1">
        <f>[1]Results!AH1391</f>
        <v>3.3386273707359249</v>
      </c>
      <c r="AF31" s="1">
        <f>[1]Results!AI1391</f>
        <v>3.3135757922682973</v>
      </c>
      <c r="AG31" s="1">
        <f>[1]Results!AJ1391</f>
        <v>3.3025280759229503</v>
      </c>
      <c r="AH31" s="1">
        <f>[1]Results!AK1391</f>
        <v>3.2989255411515428</v>
      </c>
      <c r="AI31" s="1">
        <f>[1]Results!AL1391</f>
        <v>3.2987695061753697</v>
      </c>
      <c r="AJ31" s="1">
        <f>[1]Results!AM1391</f>
        <v>3.2999920555419338</v>
      </c>
      <c r="AK31" s="1">
        <f>[1]Results!AN1391</f>
        <v>3.3014621373334774</v>
      </c>
      <c r="AL31" s="1">
        <f>[1]Results!AO1391</f>
        <v>3.3021341349155242</v>
      </c>
    </row>
    <row r="32" spans="1:38" x14ac:dyDescent="0.3">
      <c r="A32" s="3" t="str">
        <f>[1]Results!E1392</f>
        <v>100*(DISPINC_AT_VAL_2/DISPINC_AT_VAL_0-1)-100*((F_L_2/F_L_0)-1)-100*(PCH_2/PCH_0-1)</v>
      </c>
      <c r="B32" t="str">
        <f>[1]Results!C1392</f>
        <v>Revenu disponible réel par emploi</v>
      </c>
      <c r="C32" s="1">
        <f>[1]Results!F1392</f>
        <v>0</v>
      </c>
      <c r="D32" s="1">
        <f>[1]Results!G1392</f>
        <v>0</v>
      </c>
      <c r="E32" s="1">
        <f>[1]Results!H1392</f>
        <v>0</v>
      </c>
      <c r="F32" s="1">
        <f>[1]Results!I1392</f>
        <v>0</v>
      </c>
      <c r="G32" s="1">
        <f>[1]Results!J1392</f>
        <v>0</v>
      </c>
      <c r="H32" s="1">
        <f>[1]Results!K1392</f>
        <v>0</v>
      </c>
      <c r="I32" s="1">
        <f>[1]Results!L1392</f>
        <v>-0.13644099315248681</v>
      </c>
      <c r="J32" s="1">
        <f>[1]Results!M1392</f>
        <v>-0.84216777079129113</v>
      </c>
      <c r="K32" s="1">
        <f>[1]Results!N1392</f>
        <v>-1.3224772053745948</v>
      </c>
      <c r="L32" s="1">
        <f>[1]Results!O1392</f>
        <v>-1.3447061977297836</v>
      </c>
      <c r="M32" s="1">
        <f>[1]Results!P1392</f>
        <v>-0.94257383719310583</v>
      </c>
      <c r="N32" s="1">
        <f>[1]Results!Q1392</f>
        <v>-0.34963561898909656</v>
      </c>
      <c r="O32" s="1">
        <f>[1]Results!R1392</f>
        <v>0.24271518176887152</v>
      </c>
      <c r="P32" s="1">
        <f>[1]Results!S1392</f>
        <v>0.6876594173062518</v>
      </c>
      <c r="Q32" s="1">
        <f>[1]Results!T1392</f>
        <v>0.93473366914512646</v>
      </c>
      <c r="R32" s="1">
        <f>[1]Results!U1392</f>
        <v>1.0122776460615217</v>
      </c>
      <c r="S32" s="1">
        <f>[1]Results!V1392</f>
        <v>0.98797098496232749</v>
      </c>
      <c r="T32" s="1">
        <f>[1]Results!W1392</f>
        <v>0.93031345272192034</v>
      </c>
      <c r="U32" s="1">
        <f>[1]Results!X1392</f>
        <v>0.88342763548824355</v>
      </c>
      <c r="V32" s="1">
        <f>[1]Results!Y1392</f>
        <v>0.86030474180606209</v>
      </c>
      <c r="W32" s="1">
        <f>[1]Results!Z1392</f>
        <v>0.85358462296988247</v>
      </c>
      <c r="X32" s="1">
        <f>[1]Results!AA1392</f>
        <v>0.83676873943774321</v>
      </c>
      <c r="Y32" s="1">
        <f>[1]Results!AB1392</f>
        <v>0.79898430616491822</v>
      </c>
      <c r="Z32" s="1">
        <f>[1]Results!AC1392</f>
        <v>0.73610621308971558</v>
      </c>
      <c r="AA32" s="1">
        <f>[1]Results!AD1392</f>
        <v>0.65431056923630493</v>
      </c>
      <c r="AB32" s="1">
        <f>[1]Results!AE1392</f>
        <v>0.57008859611742402</v>
      </c>
      <c r="AC32" s="1">
        <f>[1]Results!AF1392</f>
        <v>0.48931696818150794</v>
      </c>
      <c r="AD32" s="1">
        <f>[1]Results!AG1392</f>
        <v>0.42439736410636586</v>
      </c>
      <c r="AE32" s="1">
        <f>[1]Results!AH1392</f>
        <v>0.38050588811219255</v>
      </c>
      <c r="AF32" s="1">
        <f>[1]Results!AI1392</f>
        <v>0.35681056370731046</v>
      </c>
      <c r="AG32" s="1">
        <f>[1]Results!AJ1392</f>
        <v>0.3485368230543795</v>
      </c>
      <c r="AH32" s="1">
        <f>[1]Results!AK1392</f>
        <v>0.34960664116643336</v>
      </c>
      <c r="AI32" s="1">
        <f>[1]Results!AL1392</f>
        <v>0.35488555024824064</v>
      </c>
      <c r="AJ32" s="1">
        <f>[1]Results!AM1392</f>
        <v>0.36125952129780758</v>
      </c>
      <c r="AK32" s="1">
        <f>[1]Results!AN1392</f>
        <v>0.36757671552419824</v>
      </c>
      <c r="AL32" s="1">
        <f>[1]Results!AO1392</f>
        <v>0.37397326704545764</v>
      </c>
    </row>
    <row r="33" spans="1:38" x14ac:dyDescent="0.3">
      <c r="A33" s="3" t="str">
        <f>[1]Results!E1393</f>
        <v>100*(MPS_n_2-MPS_n_0)</v>
      </c>
      <c r="B33" t="str">
        <f>[1]Results!C1393</f>
        <v>Taux d'épargne</v>
      </c>
      <c r="C33" s="1">
        <f>[1]Results!F1393</f>
        <v>0</v>
      </c>
      <c r="D33" s="1">
        <f>[1]Results!G1393</f>
        <v>0</v>
      </c>
      <c r="E33" s="1">
        <f>[1]Results!H1393</f>
        <v>0</v>
      </c>
      <c r="F33" s="1">
        <f>[1]Results!I1393</f>
        <v>0</v>
      </c>
      <c r="G33" s="1">
        <f>[1]Results!J1393</f>
        <v>0</v>
      </c>
      <c r="H33" s="1">
        <f>[1]Results!K1393</f>
        <v>0</v>
      </c>
      <c r="I33" s="1">
        <f>[1]Results!L1393</f>
        <v>0</v>
      </c>
      <c r="J33" s="1">
        <f>[1]Results!M1393</f>
        <v>0</v>
      </c>
      <c r="K33" s="1">
        <f>[1]Results!N1393</f>
        <v>0</v>
      </c>
      <c r="L33" s="1">
        <f>[1]Results!O1393</f>
        <v>0</v>
      </c>
      <c r="M33" s="1">
        <f>[1]Results!P1393</f>
        <v>0</v>
      </c>
      <c r="N33" s="1">
        <f>[1]Results!Q1393</f>
        <v>0</v>
      </c>
      <c r="O33" s="1">
        <f>[1]Results!R1393</f>
        <v>0</v>
      </c>
      <c r="P33" s="1">
        <f>[1]Results!S1393</f>
        <v>0</v>
      </c>
      <c r="Q33" s="1">
        <f>[1]Results!T1393</f>
        <v>0</v>
      </c>
      <c r="R33" s="1">
        <f>[1]Results!U1393</f>
        <v>0</v>
      </c>
      <c r="S33" s="1">
        <f>[1]Results!V1393</f>
        <v>0</v>
      </c>
      <c r="T33" s="1">
        <f>[1]Results!W1393</f>
        <v>0</v>
      </c>
      <c r="U33" s="1">
        <f>[1]Results!X1393</f>
        <v>0</v>
      </c>
      <c r="V33" s="1">
        <f>[1]Results!Y1393</f>
        <v>0</v>
      </c>
      <c r="W33" s="1">
        <f>[1]Results!Z1393</f>
        <v>0</v>
      </c>
      <c r="X33" s="1">
        <f>[1]Results!AA1393</f>
        <v>0</v>
      </c>
      <c r="Y33" s="1">
        <f>[1]Results!AB1393</f>
        <v>0</v>
      </c>
      <c r="Z33" s="1">
        <f>[1]Results!AC1393</f>
        <v>0</v>
      </c>
      <c r="AA33" s="1">
        <f>[1]Results!AD1393</f>
        <v>0</v>
      </c>
      <c r="AB33" s="1">
        <f>[1]Results!AE1393</f>
        <v>0</v>
      </c>
      <c r="AC33" s="1">
        <f>[1]Results!AF1393</f>
        <v>0</v>
      </c>
      <c r="AD33" s="1">
        <f>[1]Results!AG1393</f>
        <v>0</v>
      </c>
      <c r="AE33" s="1">
        <f>[1]Results!AH1393</f>
        <v>0</v>
      </c>
      <c r="AF33" s="1">
        <f>[1]Results!AI1393</f>
        <v>0</v>
      </c>
      <c r="AG33" s="1">
        <f>[1]Results!AJ1393</f>
        <v>0</v>
      </c>
      <c r="AH33" s="1">
        <f>[1]Results!AK1393</f>
        <v>0</v>
      </c>
      <c r="AI33" s="1">
        <f>[1]Results!AL1393</f>
        <v>0</v>
      </c>
      <c r="AJ33" s="1">
        <f>[1]Results!AM1393</f>
        <v>0</v>
      </c>
      <c r="AK33" s="1">
        <f>[1]Results!AN1393</f>
        <v>0</v>
      </c>
      <c r="AL33" s="1">
        <f>[1]Results!AO1393</f>
        <v>0</v>
      </c>
    </row>
    <row r="34" spans="1:38" x14ac:dyDescent="0.3">
      <c r="A34" s="3" t="str">
        <f>[1]Results!E1394</f>
        <v>100*(PCH_2/PCH_0-1)</v>
      </c>
      <c r="B34" t="str">
        <f>[1]Results!C1394</f>
        <v>Prix à la consommation des ménages</v>
      </c>
      <c r="C34" s="1">
        <f>[1]Results!F1394</f>
        <v>0</v>
      </c>
      <c r="D34" s="1">
        <f>[1]Results!G1394</f>
        <v>0</v>
      </c>
      <c r="E34" s="1">
        <f>[1]Results!H1394</f>
        <v>0</v>
      </c>
      <c r="F34" s="1">
        <f>[1]Results!I1394</f>
        <v>0</v>
      </c>
      <c r="G34" s="1">
        <f>[1]Results!J1394</f>
        <v>0</v>
      </c>
      <c r="H34" s="1">
        <f>[1]Results!K1394</f>
        <v>0</v>
      </c>
      <c r="I34" s="1">
        <f>[1]Results!L1394</f>
        <v>-1.4087971008858169E-2</v>
      </c>
      <c r="J34" s="1">
        <f>[1]Results!M1394</f>
        <v>-0.74061294817657775</v>
      </c>
      <c r="K34" s="1">
        <f>[1]Results!N1394</f>
        <v>-1.3999979275790331</v>
      </c>
      <c r="L34" s="1">
        <f>[1]Results!O1394</f>
        <v>-1.7025706564214982</v>
      </c>
      <c r="M34" s="1">
        <f>[1]Results!P1394</f>
        <v>-1.5983251310022872</v>
      </c>
      <c r="N34" s="1">
        <f>[1]Results!Q1394</f>
        <v>-1.2589285806175798</v>
      </c>
      <c r="O34" s="1">
        <f>[1]Results!R1394</f>
        <v>-0.84243980907132698</v>
      </c>
      <c r="P34" s="1">
        <f>[1]Results!S1394</f>
        <v>-0.49714480663929361</v>
      </c>
      <c r="Q34" s="1">
        <f>[1]Results!T1394</f>
        <v>-0.29650796690656733</v>
      </c>
      <c r="R34" s="1">
        <f>[1]Results!U1394</f>
        <v>-0.24052570009229779</v>
      </c>
      <c r="S34" s="1">
        <f>[1]Results!V1394</f>
        <v>-0.28264042887653495</v>
      </c>
      <c r="T34" s="1">
        <f>[1]Results!W1394</f>
        <v>-0.36292349956332792</v>
      </c>
      <c r="U34" s="1">
        <f>[1]Results!X1394</f>
        <v>-0.43481977059300903</v>
      </c>
      <c r="V34" s="1">
        <f>[1]Results!Y1394</f>
        <v>-0.47734725808468159</v>
      </c>
      <c r="W34" s="1">
        <f>[1]Results!Z1394</f>
        <v>-0.4900387045690513</v>
      </c>
      <c r="X34" s="1">
        <f>[1]Results!AA1394</f>
        <v>-0.49573726252254424</v>
      </c>
      <c r="Y34" s="1">
        <f>[1]Results!AB1394</f>
        <v>-0.50697367200309706</v>
      </c>
      <c r="Z34" s="1">
        <f>[1]Results!AC1394</f>
        <v>-0.53317987491514618</v>
      </c>
      <c r="AA34" s="1">
        <f>[1]Results!AD1394</f>
        <v>-0.57475650902385489</v>
      </c>
      <c r="AB34" s="1">
        <f>[1]Results!AE1394</f>
        <v>-0.62111365685788567</v>
      </c>
      <c r="AC34" s="1">
        <f>[1]Results!AF1394</f>
        <v>-0.66882371603860236</v>
      </c>
      <c r="AD34" s="1">
        <f>[1]Results!AG1394</f>
        <v>-0.70679630678291971</v>
      </c>
      <c r="AE34" s="1">
        <f>[1]Results!AH1394</f>
        <v>-0.72914956632974537</v>
      </c>
      <c r="AF34" s="1">
        <f>[1]Results!AI1394</f>
        <v>-0.73502925555568588</v>
      </c>
      <c r="AG34" s="1">
        <f>[1]Results!AJ1394</f>
        <v>-0.72751427231469989</v>
      </c>
      <c r="AH34" s="1">
        <f>[1]Results!AK1394</f>
        <v>-0.71157580116374408</v>
      </c>
      <c r="AI34" s="1">
        <f>[1]Results!AL1394</f>
        <v>-0.69196759125429441</v>
      </c>
      <c r="AJ34" s="1">
        <f>[1]Results!AM1394</f>
        <v>-0.67193393691429293</v>
      </c>
      <c r="AK34" s="1">
        <f>[1]Results!AN1394</f>
        <v>-0.65291471871136153</v>
      </c>
      <c r="AL34" s="1">
        <f>[1]Results!AO1394</f>
        <v>-0.63491596070903711</v>
      </c>
    </row>
    <row r="35" spans="1:38" x14ac:dyDescent="0.3">
      <c r="A35" s="3" t="str">
        <f>[1]Results!E1395</f>
        <v>100*(PY_2/PY_0-1)</v>
      </c>
      <c r="B35" t="str">
        <f>[1]Results!C1395</f>
        <v>Prix à la production marchande</v>
      </c>
      <c r="C35" s="1">
        <f>[1]Results!F1395</f>
        <v>0</v>
      </c>
      <c r="D35" s="1">
        <f>[1]Results!G1395</f>
        <v>0</v>
      </c>
      <c r="E35" s="1">
        <f>[1]Results!H1395</f>
        <v>0</v>
      </c>
      <c r="F35" s="1">
        <f>[1]Results!I1395</f>
        <v>0</v>
      </c>
      <c r="G35" s="1">
        <f>[1]Results!J1395</f>
        <v>0</v>
      </c>
      <c r="H35" s="1">
        <f>[1]Results!K1395</f>
        <v>0</v>
      </c>
      <c r="I35" s="1">
        <f>[1]Results!L1395</f>
        <v>4.5901561802574875E-2</v>
      </c>
      <c r="J35" s="1">
        <f>[1]Results!M1395</f>
        <v>1.0273288502268496</v>
      </c>
      <c r="K35" s="1">
        <f>[1]Results!N1395</f>
        <v>2.3009897506278687</v>
      </c>
      <c r="L35" s="1">
        <f>[1]Results!O1395</f>
        <v>3.399184925090748</v>
      </c>
      <c r="M35" s="1">
        <f>[1]Results!P1395</f>
        <v>4.0629532027629311</v>
      </c>
      <c r="N35" s="1">
        <f>[1]Results!Q1395</f>
        <v>4.3140253857085753</v>
      </c>
      <c r="O35" s="1">
        <f>[1]Results!R1395</f>
        <v>4.2586339028900966</v>
      </c>
      <c r="P35" s="1">
        <f>[1]Results!S1395</f>
        <v>4.0621595489155338</v>
      </c>
      <c r="Q35" s="1">
        <f>[1]Results!T1395</f>
        <v>3.8607238556498169</v>
      </c>
      <c r="R35" s="1">
        <f>[1]Results!U1395</f>
        <v>3.7229472297681587</v>
      </c>
      <c r="S35" s="1">
        <f>[1]Results!V1395</f>
        <v>3.6511367495406288</v>
      </c>
      <c r="T35" s="1">
        <f>[1]Results!W1395</f>
        <v>3.6074270232677064</v>
      </c>
      <c r="U35" s="1">
        <f>[1]Results!X1395</f>
        <v>3.5469449721266422</v>
      </c>
      <c r="V35" s="1">
        <f>[1]Results!Y1395</f>
        <v>3.441951077490546</v>
      </c>
      <c r="W35" s="1">
        <f>[1]Results!Z1395</f>
        <v>3.28764250126099</v>
      </c>
      <c r="X35" s="1">
        <f>[1]Results!AA1395</f>
        <v>3.1085843487985043</v>
      </c>
      <c r="Y35" s="1">
        <f>[1]Results!AB1395</f>
        <v>2.9320480632386792</v>
      </c>
      <c r="Z35" s="1">
        <f>[1]Results!AC1395</f>
        <v>2.782676702318998</v>
      </c>
      <c r="AA35" s="1">
        <f>[1]Results!AD1395</f>
        <v>2.6748574184937146</v>
      </c>
      <c r="AB35" s="1">
        <f>[1]Results!AE1395</f>
        <v>2.6076210042399461</v>
      </c>
      <c r="AC35" s="1">
        <f>[1]Results!AF1395</f>
        <v>2.5768052059993662</v>
      </c>
      <c r="AD35" s="1">
        <f>[1]Results!AG1395</f>
        <v>2.5707220523674579</v>
      </c>
      <c r="AE35" s="1">
        <f>[1]Results!AH1395</f>
        <v>2.5767326119910061</v>
      </c>
      <c r="AF35" s="1">
        <f>[1]Results!AI1395</f>
        <v>2.5856325032585614</v>
      </c>
      <c r="AG35" s="1">
        <f>[1]Results!AJ1395</f>
        <v>2.5928397782160051</v>
      </c>
      <c r="AH35" s="1">
        <f>[1]Results!AK1395</f>
        <v>2.5975743444391686</v>
      </c>
      <c r="AI35" s="1">
        <f>[1]Results!AL1395</f>
        <v>2.6009229371816822</v>
      </c>
      <c r="AJ35" s="1">
        <f>[1]Results!AM1395</f>
        <v>2.6040011576478728</v>
      </c>
      <c r="AK35" s="1">
        <f>[1]Results!AN1395</f>
        <v>2.6068973712316534</v>
      </c>
      <c r="AL35" s="1">
        <f>[1]Results!AO1395</f>
        <v>2.6084603262672035</v>
      </c>
    </row>
    <row r="36" spans="1:38" x14ac:dyDescent="0.3">
      <c r="A36" s="3" t="str">
        <f>[1]Results!E1396</f>
        <v>100*(PX_2/PX_0-1)</v>
      </c>
      <c r="B36" t="str">
        <f>[1]Results!C1396</f>
        <v>Prix des exportations</v>
      </c>
      <c r="C36" s="1">
        <f>[1]Results!F1396</f>
        <v>0</v>
      </c>
      <c r="D36" s="1">
        <f>[1]Results!G1396</f>
        <v>0</v>
      </c>
      <c r="E36" s="1">
        <f>[1]Results!H1396</f>
        <v>0</v>
      </c>
      <c r="F36" s="1">
        <f>[1]Results!I1396</f>
        <v>0</v>
      </c>
      <c r="G36" s="1">
        <f>[1]Results!J1396</f>
        <v>0</v>
      </c>
      <c r="H36" s="1">
        <f>[1]Results!K1396</f>
        <v>0</v>
      </c>
      <c r="I36" s="1">
        <f>[1]Results!L1396</f>
        <v>3.7544912679088327E-2</v>
      </c>
      <c r="J36" s="1">
        <f>[1]Results!M1396</f>
        <v>0.91745271313592447</v>
      </c>
      <c r="K36" s="1">
        <f>[1]Results!N1396</f>
        <v>2.0537496242751807</v>
      </c>
      <c r="L36" s="1">
        <f>[1]Results!O1396</f>
        <v>3.0564303946344795</v>
      </c>
      <c r="M36" s="1">
        <f>[1]Results!P1396</f>
        <v>3.6989659303895417</v>
      </c>
      <c r="N36" s="1">
        <f>[1]Results!Q1396</f>
        <v>3.9755437519647607</v>
      </c>
      <c r="O36" s="1">
        <f>[1]Results!R1396</f>
        <v>3.9761257146053941</v>
      </c>
      <c r="P36" s="1">
        <f>[1]Results!S1396</f>
        <v>3.8380474400820486</v>
      </c>
      <c r="Q36" s="1">
        <f>[1]Results!T1396</f>
        <v>3.6789214675670756</v>
      </c>
      <c r="R36" s="1">
        <f>[1]Results!U1396</f>
        <v>3.5622014296965432</v>
      </c>
      <c r="S36" s="1">
        <f>[1]Results!V1396</f>
        <v>3.4956952162001231</v>
      </c>
      <c r="T36" s="1">
        <f>[1]Results!W1396</f>
        <v>3.451823862017589</v>
      </c>
      <c r="U36" s="1">
        <f>[1]Results!X1396</f>
        <v>3.3949015616822509</v>
      </c>
      <c r="V36" s="1">
        <f>[1]Results!Y1396</f>
        <v>3.301918190660369</v>
      </c>
      <c r="W36" s="1">
        <f>[1]Results!Z1396</f>
        <v>3.1683950317877629</v>
      </c>
      <c r="X36" s="1">
        <f>[1]Results!AA1396</f>
        <v>3.0146074300317682</v>
      </c>
      <c r="Y36" s="1">
        <f>[1]Results!AB1396</f>
        <v>2.8633634888893367</v>
      </c>
      <c r="Z36" s="1">
        <f>[1]Results!AC1396</f>
        <v>2.7359938707966824</v>
      </c>
      <c r="AA36" s="1">
        <f>[1]Results!AD1396</f>
        <v>2.6453600334548133</v>
      </c>
      <c r="AB36" s="1">
        <f>[1]Results!AE1396</f>
        <v>2.5908557280960531</v>
      </c>
      <c r="AC36" s="1">
        <f>[1]Results!AF1396</f>
        <v>2.5702685341233877</v>
      </c>
      <c r="AD36" s="1">
        <f>[1]Results!AG1396</f>
        <v>2.5728197799575137</v>
      </c>
      <c r="AE36" s="1">
        <f>[1]Results!AH1396</f>
        <v>2.5873681653612701</v>
      </c>
      <c r="AF36" s="1">
        <f>[1]Results!AI1396</f>
        <v>2.6054269624287585</v>
      </c>
      <c r="AG36" s="1">
        <f>[1]Results!AJ1396</f>
        <v>2.6223323850434577</v>
      </c>
      <c r="AH36" s="1">
        <f>[1]Results!AK1396</f>
        <v>2.6367180761734055</v>
      </c>
      <c r="AI36" s="1">
        <f>[1]Results!AL1396</f>
        <v>2.6490000311716111</v>
      </c>
      <c r="AJ36" s="1">
        <f>[1]Results!AM1396</f>
        <v>2.6598543136546748</v>
      </c>
      <c r="AK36" s="1">
        <f>[1]Results!AN1396</f>
        <v>2.6692881267358137</v>
      </c>
      <c r="AL36" s="1">
        <f>[1]Results!AO1396</f>
        <v>2.6764073980729552</v>
      </c>
    </row>
    <row r="37" spans="1:38" x14ac:dyDescent="0.3">
      <c r="A37" s="3" t="str">
        <f>[1]Results!E1397</f>
        <v>100*(PM_2/PM_0-1)</v>
      </c>
      <c r="B37" t="str">
        <f>[1]Results!C1397</f>
        <v>Prix des importations</v>
      </c>
      <c r="C37" s="1">
        <f>[1]Results!F1397</f>
        <v>0</v>
      </c>
      <c r="D37" s="1">
        <f>[1]Results!G1397</f>
        <v>0</v>
      </c>
      <c r="E37" s="1">
        <f>[1]Results!H1397</f>
        <v>0</v>
      </c>
      <c r="F37" s="1">
        <f>[1]Results!I1397</f>
        <v>0</v>
      </c>
      <c r="G37" s="1">
        <f>[1]Results!J1397</f>
        <v>0</v>
      </c>
      <c r="H37" s="1">
        <f>[1]Results!K1397</f>
        <v>0</v>
      </c>
      <c r="I37" s="1">
        <f>[1]Results!L1397</f>
        <v>6.0491065956735923E-3</v>
      </c>
      <c r="J37" s="1">
        <f>[1]Results!M1397</f>
        <v>0.37746719728968259</v>
      </c>
      <c r="K37" s="1">
        <f>[1]Results!N1397</f>
        <v>0.67108425073205691</v>
      </c>
      <c r="L37" s="1">
        <f>[1]Results!O1397</f>
        <v>0.86946934850664626</v>
      </c>
      <c r="M37" s="1">
        <f>[1]Results!P1397</f>
        <v>0.98574416245140739</v>
      </c>
      <c r="N37" s="1">
        <f>[1]Results!Q1397</f>
        <v>1.043196159859372</v>
      </c>
      <c r="O37" s="1">
        <f>[1]Results!R1397</f>
        <v>1.0692555044164553</v>
      </c>
      <c r="P37" s="1">
        <f>[1]Results!S1397</f>
        <v>1.0822309093135418</v>
      </c>
      <c r="Q37" s="1">
        <f>[1]Results!T1397</f>
        <v>1.092500388239892</v>
      </c>
      <c r="R37" s="1">
        <f>[1]Results!U1397</f>
        <v>1.1036126299964533</v>
      </c>
      <c r="S37" s="1">
        <f>[1]Results!V1397</f>
        <v>1.1146527816083385</v>
      </c>
      <c r="T37" s="1">
        <f>[1]Results!W1397</f>
        <v>1.1227834712978391</v>
      </c>
      <c r="U37" s="1">
        <f>[1]Results!X1397</f>
        <v>1.1252446794336235</v>
      </c>
      <c r="V37" s="1">
        <f>[1]Results!Y1397</f>
        <v>1.120446070690484</v>
      </c>
      <c r="W37" s="1">
        <f>[1]Results!Z1397</f>
        <v>1.1077146647546776</v>
      </c>
      <c r="X37" s="1">
        <f>[1]Results!AA1397</f>
        <v>1.0893551883959018</v>
      </c>
      <c r="Y37" s="1">
        <f>[1]Results!AB1397</f>
        <v>1.0655519377410938</v>
      </c>
      <c r="Z37" s="1">
        <f>[1]Results!AC1397</f>
        <v>1.0384001052166525</v>
      </c>
      <c r="AA37" s="1">
        <f>[1]Results!AD1397</f>
        <v>1.0097443064461364</v>
      </c>
      <c r="AB37" s="1">
        <f>[1]Results!AE1397</f>
        <v>0.9802769910790099</v>
      </c>
      <c r="AC37" s="1">
        <f>[1]Results!AF1397</f>
        <v>0.95335550541588709</v>
      </c>
      <c r="AD37" s="1">
        <f>[1]Results!AG1397</f>
        <v>0.92831459321833787</v>
      </c>
      <c r="AE37" s="1">
        <f>[1]Results!AH1397</f>
        <v>0.90614199566894094</v>
      </c>
      <c r="AF37" s="1">
        <f>[1]Results!AI1397</f>
        <v>0.88730165136279293</v>
      </c>
      <c r="AG37" s="1">
        <f>[1]Results!AJ1397</f>
        <v>0.87186885772383427</v>
      </c>
      <c r="AH37" s="1">
        <f>[1]Results!AK1397</f>
        <v>0.85957140725010373</v>
      </c>
      <c r="AI37" s="1">
        <f>[1]Results!AL1397</f>
        <v>0.84986587728312912</v>
      </c>
      <c r="AJ37" s="1">
        <f>[1]Results!AM1397</f>
        <v>0.84205224066105089</v>
      </c>
      <c r="AK37" s="1">
        <f>[1]Results!AN1397</f>
        <v>0.83539983526834671</v>
      </c>
      <c r="AL37" s="1">
        <f>[1]Results!AO1397</f>
        <v>0.82925616352740317</v>
      </c>
    </row>
    <row r="38" spans="1:38" x14ac:dyDescent="0.3">
      <c r="A38" s="3" t="str">
        <f>[1]Results!E1398</f>
        <v>100*(W_2/W_0-1)</v>
      </c>
      <c r="B38" t="str">
        <f>[1]Results!C1398</f>
        <v>Salaire net nominal (hors cotisations employeurs et employés, unitaire)</v>
      </c>
      <c r="C38" s="1">
        <f>[1]Results!F1398</f>
        <v>0</v>
      </c>
      <c r="D38" s="1">
        <f>[1]Results!G1398</f>
        <v>0</v>
      </c>
      <c r="E38" s="1">
        <f>[1]Results!H1398</f>
        <v>0</v>
      </c>
      <c r="F38" s="1">
        <f>[1]Results!I1398</f>
        <v>0</v>
      </c>
      <c r="G38" s="1">
        <f>[1]Results!J1398</f>
        <v>0</v>
      </c>
      <c r="H38" s="1">
        <f>[1]Results!K1398</f>
        <v>0</v>
      </c>
      <c r="I38" s="1">
        <f>[1]Results!L1398</f>
        <v>-5.3969062045433613E-2</v>
      </c>
      <c r="J38" s="1">
        <f>[1]Results!M1398</f>
        <v>-7.4384148108863624E-2</v>
      </c>
      <c r="K38" s="1">
        <f>[1]Results!N1398</f>
        <v>0.20633629731461323</v>
      </c>
      <c r="L38" s="1">
        <f>[1]Results!O1398</f>
        <v>0.82284023828373964</v>
      </c>
      <c r="M38" s="1">
        <f>[1]Results!P1398</f>
        <v>1.6473899994854824</v>
      </c>
      <c r="N38" s="1">
        <f>[1]Results!Q1398</f>
        <v>2.4890196068254822</v>
      </c>
      <c r="O38" s="1">
        <f>[1]Results!R1398</f>
        <v>3.2001060824573546</v>
      </c>
      <c r="P38" s="1">
        <f>[1]Results!S1398</f>
        <v>3.6991050109384194</v>
      </c>
      <c r="Q38" s="1">
        <f>[1]Results!T1398</f>
        <v>3.9787176514496148</v>
      </c>
      <c r="R38" s="1">
        <f>[1]Results!U1398</f>
        <v>4.0833126211763826</v>
      </c>
      <c r="S38" s="1">
        <f>[1]Results!V1398</f>
        <v>4.0758389173354725</v>
      </c>
      <c r="T38" s="1">
        <f>[1]Results!W1398</f>
        <v>4.0105360031892578</v>
      </c>
      <c r="U38" s="1">
        <f>[1]Results!X1398</f>
        <v>3.9194678508511771</v>
      </c>
      <c r="V38" s="1">
        <f>[1]Results!Y1398</f>
        <v>3.8130202850545913</v>
      </c>
      <c r="W38" s="1">
        <f>[1]Results!Z1398</f>
        <v>3.6888428098039272</v>
      </c>
      <c r="X38" s="1">
        <f>[1]Results!AA1398</f>
        <v>3.5412447677706904</v>
      </c>
      <c r="Y38" s="1">
        <f>[1]Results!AB1398</f>
        <v>3.3724302997800271</v>
      </c>
      <c r="Z38" s="1">
        <f>[1]Results!AC1398</f>
        <v>3.1909165659200323</v>
      </c>
      <c r="AA38" s="1">
        <f>[1]Results!AD1398</f>
        <v>3.0100519335992004</v>
      </c>
      <c r="AB38" s="1">
        <f>[1]Results!AE1398</f>
        <v>2.8439407337542466</v>
      </c>
      <c r="AC38" s="1">
        <f>[1]Results!AF1398</f>
        <v>2.7023461518956404</v>
      </c>
      <c r="AD38" s="1">
        <f>[1]Results!AG1398</f>
        <v>2.5919363952200625</v>
      </c>
      <c r="AE38" s="1">
        <f>[1]Results!AH1398</f>
        <v>2.5133393779701141</v>
      </c>
      <c r="AF38" s="1">
        <f>[1]Results!AI1398</f>
        <v>2.4625097916986416</v>
      </c>
      <c r="AG38" s="1">
        <f>[1]Results!AJ1398</f>
        <v>2.4330056868718364</v>
      </c>
      <c r="AH38" s="1">
        <f>[1]Results!AK1398</f>
        <v>2.418157560919898</v>
      </c>
      <c r="AI38" s="1">
        <f>[1]Results!AL1398</f>
        <v>2.4125136088473331</v>
      </c>
      <c r="AJ38" s="1">
        <f>[1]Results!AM1398</f>
        <v>2.412323022335694</v>
      </c>
      <c r="AK38" s="1">
        <f>[1]Results!AN1398</f>
        <v>2.4152704125702806</v>
      </c>
      <c r="AL38" s="1">
        <f>[1]Results!AO1398</f>
        <v>2.4198774532768752</v>
      </c>
    </row>
    <row r="39" spans="1:38" x14ac:dyDescent="0.3">
      <c r="A39" s="3" t="str">
        <f>[1]Results!E1399</f>
        <v>100*((W_2/PCH_2)/(W_0/PCH_0)-1)</v>
      </c>
      <c r="B39" t="str">
        <f>[1]Results!C1399</f>
        <v>Salaire net réel (hors cotisations employeurs et employés, unitaire)</v>
      </c>
      <c r="C39" s="1">
        <f>[1]Results!F1399</f>
        <v>0</v>
      </c>
      <c r="D39" s="1">
        <f>[1]Results!G1399</f>
        <v>0</v>
      </c>
      <c r="E39" s="1">
        <f>[1]Results!H1399</f>
        <v>0</v>
      </c>
      <c r="F39" s="1">
        <f>[1]Results!I1399</f>
        <v>0</v>
      </c>
      <c r="G39" s="1">
        <f>[1]Results!J1399</f>
        <v>0</v>
      </c>
      <c r="H39" s="1">
        <f>[1]Results!K1399</f>
        <v>0</v>
      </c>
      <c r="I39" s="1">
        <f>[1]Results!L1399</f>
        <v>-9.4606106874106644E-2</v>
      </c>
      <c r="J39" s="1">
        <f>[1]Results!M1399</f>
        <v>-1.2306172161308249</v>
      </c>
      <c r="K39" s="1">
        <f>[1]Results!N1399</f>
        <v>-2.2474854640285646</v>
      </c>
      <c r="L39" s="1">
        <f>[1]Results!O1399</f>
        <v>-2.7108847711793338</v>
      </c>
      <c r="M39" s="1">
        <f>[1]Results!P1399</f>
        <v>-2.5508429126700816</v>
      </c>
      <c r="N39" s="1">
        <f>[1]Results!Q1399</f>
        <v>-2.0054462243658699</v>
      </c>
      <c r="O39" s="1">
        <f>[1]Results!R1399</f>
        <v>-1.3044328225382151</v>
      </c>
      <c r="P39" s="1">
        <f>[1]Results!S1399</f>
        <v>-0.67394277152053039</v>
      </c>
      <c r="Q39" s="1">
        <f>[1]Results!T1399</f>
        <v>-0.24231899406491619</v>
      </c>
      <c r="R39" s="1">
        <f>[1]Results!U1399</f>
        <v>-2.9048553213772976E-2</v>
      </c>
      <c r="S39" s="1">
        <f>[1]Results!V1399</f>
        <v>2.3471877262326579E-2</v>
      </c>
      <c r="T39" s="1">
        <f>[1]Results!W1399</f>
        <v>5.0194899752220579E-4</v>
      </c>
      <c r="U39" s="1">
        <f>[1]Results!X1399</f>
        <v>-2.8179693983820808E-2</v>
      </c>
      <c r="V39" s="1">
        <f>[1]Results!Y1399</f>
        <v>-2.9306179353028039E-2</v>
      </c>
      <c r="W39" s="1">
        <f>[1]Results!Z1399</f>
        <v>-3.4929379942871819E-4</v>
      </c>
      <c r="X39" s="1">
        <f>[1]Results!AA1399</f>
        <v>2.5427484641959985E-2</v>
      </c>
      <c r="Y39" s="1">
        <f>[1]Results!AB1399</f>
        <v>2.8691251994117373E-2</v>
      </c>
      <c r="Z39" s="1">
        <f>[1]Results!AC1399</f>
        <v>-4.9187705484343702E-3</v>
      </c>
      <c r="AA39" s="1">
        <f>[1]Results!AD1399</f>
        <v>-7.5433187497586651E-2</v>
      </c>
      <c r="AB39" s="1">
        <f>[1]Results!AE1399</f>
        <v>-0.16522943427770276</v>
      </c>
      <c r="AC39" s="1">
        <f>[1]Results!AF1399</f>
        <v>-0.2665194410693128</v>
      </c>
      <c r="AD39" s="1">
        <f>[1]Results!AG1399</f>
        <v>-0.35944696276325461</v>
      </c>
      <c r="AE39" s="1">
        <f>[1]Results!AH1399</f>
        <v>-0.43200293308448545</v>
      </c>
      <c r="AF39" s="1">
        <f>[1]Results!AI1399</f>
        <v>-0.4800611555395351</v>
      </c>
      <c r="AG39" s="1">
        <f>[1]Results!AJ1399</f>
        <v>-0.50603726932463289</v>
      </c>
      <c r="AH39" s="1">
        <f>[1]Results!AK1399</f>
        <v>-0.51594449068792514</v>
      </c>
      <c r="AI39" s="1">
        <f>[1]Results!AL1399</f>
        <v>-0.51617476110312754</v>
      </c>
      <c r="AJ39" s="1">
        <f>[1]Results!AM1399</f>
        <v>-0.51138138089403817</v>
      </c>
      <c r="AK39" s="1">
        <f>[1]Results!AN1399</f>
        <v>-0.50383312270179115</v>
      </c>
      <c r="AL39" s="1">
        <f>[1]Results!AO1399</f>
        <v>-0.49382346901707397</v>
      </c>
    </row>
    <row r="40" spans="1:38" x14ac:dyDescent="0.3">
      <c r="A40" s="3" t="str">
        <f>[1]Results!E1400</f>
        <v>100*(C_L_2/C_L_0-1)</v>
      </c>
      <c r="B40" t="str">
        <f>[1]Results!C1400</f>
        <v>Coût du travail nominal (yc. Cotisations employeurs et employés, unitaire)</v>
      </c>
      <c r="C40" s="1">
        <f>[1]Results!F1400</f>
        <v>0</v>
      </c>
      <c r="D40" s="1">
        <f>[1]Results!G1400</f>
        <v>0</v>
      </c>
      <c r="E40" s="1">
        <f>[1]Results!H1400</f>
        <v>0</v>
      </c>
      <c r="F40" s="1">
        <f>[1]Results!I1400</f>
        <v>0</v>
      </c>
      <c r="G40" s="1">
        <f>[1]Results!J1400</f>
        <v>0</v>
      </c>
      <c r="H40" s="1">
        <f>[1]Results!K1400</f>
        <v>0</v>
      </c>
      <c r="I40" s="1">
        <f>[1]Results!L1400</f>
        <v>-5.3969708460666066E-2</v>
      </c>
      <c r="J40" s="1">
        <f>[1]Results!M1400</f>
        <v>-7.440090718113801E-2</v>
      </c>
      <c r="K40" s="1">
        <f>[1]Results!N1400</f>
        <v>0.20629433456729185</v>
      </c>
      <c r="L40" s="1">
        <f>[1]Results!O1400</f>
        <v>0.82277621753963359</v>
      </c>
      <c r="M40" s="1">
        <f>[1]Results!P1400</f>
        <v>1.647315586298248</v>
      </c>
      <c r="N40" s="1">
        <f>[1]Results!Q1400</f>
        <v>2.4889472190585904</v>
      </c>
      <c r="O40" s="1">
        <f>[1]Results!R1400</f>
        <v>3.2000444383802895</v>
      </c>
      <c r="P40" s="1">
        <f>[1]Results!S1400</f>
        <v>3.6990574349733407</v>
      </c>
      <c r="Q40" s="1">
        <f>[1]Results!T1400</f>
        <v>3.9786829591308415</v>
      </c>
      <c r="R40" s="1">
        <f>[1]Results!U1400</f>
        <v>4.0832874818415688</v>
      </c>
      <c r="S40" s="1">
        <f>[1]Results!V1400</f>
        <v>4.0758200774013487</v>
      </c>
      <c r="T40" s="1">
        <f>[1]Results!W1400</f>
        <v>4.0105215843500019</v>
      </c>
      <c r="U40" s="1">
        <f>[1]Results!X1400</f>
        <v>3.9194575111750174</v>
      </c>
      <c r="V40" s="1">
        <f>[1]Results!Y1400</f>
        <v>3.8130146191883929</v>
      </c>
      <c r="W40" s="1">
        <f>[1]Results!Z1400</f>
        <v>3.6888425845419626</v>
      </c>
      <c r="X40" s="1">
        <f>[1]Results!AA1400</f>
        <v>3.5412500948435177</v>
      </c>
      <c r="Y40" s="1">
        <f>[1]Results!AB1400</f>
        <v>3.3724405995903206</v>
      </c>
      <c r="Z40" s="1">
        <f>[1]Results!AC1400</f>
        <v>3.1909305271170529</v>
      </c>
      <c r="AA40" s="1">
        <f>[1]Results!AD1400</f>
        <v>3.0100680679500336</v>
      </c>
      <c r="AB40" s="1">
        <f>[1]Results!AE1400</f>
        <v>2.8439577010824779</v>
      </c>
      <c r="AC40" s="1">
        <f>[1]Results!AF1400</f>
        <v>2.702362886371934</v>
      </c>
      <c r="AD40" s="1">
        <f>[1]Results!AG1400</f>
        <v>2.5919523166976655</v>
      </c>
      <c r="AE40" s="1">
        <f>[1]Results!AH1400</f>
        <v>2.5133541311314955</v>
      </c>
      <c r="AF40" s="1">
        <f>[1]Results!AI1400</f>
        <v>2.4625235396066758</v>
      </c>
      <c r="AG40" s="1">
        <f>[1]Results!AJ1400</f>
        <v>2.4330184677875843</v>
      </c>
      <c r="AH40" s="1">
        <f>[1]Results!AK1400</f>
        <v>2.4181696300661137</v>
      </c>
      <c r="AI40" s="1">
        <f>[1]Results!AL1400</f>
        <v>2.4125249639459501</v>
      </c>
      <c r="AJ40" s="1">
        <f>[1]Results!AM1400</f>
        <v>2.4123337598742856</v>
      </c>
      <c r="AK40" s="1">
        <f>[1]Results!AN1400</f>
        <v>2.4152804472041156</v>
      </c>
      <c r="AL40" s="1">
        <f>[1]Results!AO1400</f>
        <v>2.4198869312983762</v>
      </c>
    </row>
    <row r="41" spans="1:38" x14ac:dyDescent="0.3">
      <c r="A41" s="3" t="str">
        <f>[1]Results!E1401</f>
        <v>100*((C_L_2/PVA_2)/(C_L_0/PVA_0)-1)</v>
      </c>
      <c r="B41" t="str">
        <f>[1]Results!C1401</f>
        <v>Coût réel du travail (yc. Cotisations employeurs et employés, unitaire)</v>
      </c>
      <c r="C41" s="1">
        <f>[1]Results!F1401</f>
        <v>0</v>
      </c>
      <c r="D41" s="1">
        <f>[1]Results!G1401</f>
        <v>0</v>
      </c>
      <c r="E41" s="1">
        <f>[1]Results!H1401</f>
        <v>0</v>
      </c>
      <c r="F41" s="1">
        <f>[1]Results!I1401</f>
        <v>0</v>
      </c>
      <c r="G41" s="1">
        <f>[1]Results!J1401</f>
        <v>0</v>
      </c>
      <c r="H41" s="1">
        <f>[1]Results!K1401</f>
        <v>0</v>
      </c>
      <c r="I41" s="1">
        <f>[1]Results!L1401</f>
        <v>-0.10170976681393995</v>
      </c>
      <c r="J41" s="1">
        <f>[1]Results!M1401</f>
        <v>-1.1949007672741319</v>
      </c>
      <c r="K41" s="1">
        <f>[1]Results!N1401</f>
        <v>-2.308119276771059</v>
      </c>
      <c r="L41" s="1">
        <f>[1]Results!O1401</f>
        <v>-2.9071272937620241</v>
      </c>
      <c r="M41" s="1">
        <f>[1]Results!P1401</f>
        <v>-2.858021205363015</v>
      </c>
      <c r="N41" s="1">
        <f>[1]Results!Q1401</f>
        <v>-2.3707562674696314</v>
      </c>
      <c r="O41" s="1">
        <f>[1]Results!R1401</f>
        <v>-1.683531909467717</v>
      </c>
      <c r="P41" s="1">
        <f>[1]Results!S1401</f>
        <v>-1.0383824320366442</v>
      </c>
      <c r="Q41" s="1">
        <f>[1]Results!T1401</f>
        <v>-0.58322423717016569</v>
      </c>
      <c r="R41" s="1">
        <f>[1]Results!U1401</f>
        <v>-0.35091784776651869</v>
      </c>
      <c r="S41" s="1">
        <f>[1]Results!V1401</f>
        <v>-0.28732709520746802</v>
      </c>
      <c r="T41" s="1">
        <f>[1]Results!W1401</f>
        <v>-0.30306261053049122</v>
      </c>
      <c r="U41" s="1">
        <f>[1]Results!X1401</f>
        <v>-0.32160104939741307</v>
      </c>
      <c r="V41" s="1">
        <f>[1]Results!Y1401</f>
        <v>-0.30470212123552276</v>
      </c>
      <c r="W41" s="1">
        <f>[1]Results!Z1401</f>
        <v>-0.24923190581759291</v>
      </c>
      <c r="X41" s="1">
        <f>[1]Results!AA1401</f>
        <v>-0.18951310304380353</v>
      </c>
      <c r="Y41" s="1">
        <f>[1]Results!AB1401</f>
        <v>-0.15220803835455099</v>
      </c>
      <c r="Z41" s="1">
        <f>[1]Results!AC1401</f>
        <v>-0.156209540804364</v>
      </c>
      <c r="AA41" s="1">
        <f>[1]Results!AD1401</f>
        <v>-0.20496053522123248</v>
      </c>
      <c r="AB41" s="1">
        <f>[1]Results!AE1401</f>
        <v>-0.28263490155902016</v>
      </c>
      <c r="AC41" s="1">
        <f>[1]Results!AF1401</f>
        <v>-0.37877208448438004</v>
      </c>
      <c r="AD41" s="1">
        <f>[1]Results!AG1401</f>
        <v>-0.47352124646716787</v>
      </c>
      <c r="AE41" s="1">
        <f>[1]Results!AH1401</f>
        <v>-0.55213724593078384</v>
      </c>
      <c r="AF41" s="1">
        <f>[1]Results!AI1401</f>
        <v>-0.60833962448364476</v>
      </c>
      <c r="AG41" s="1">
        <f>[1]Results!AJ1401</f>
        <v>-0.64315029111909894</v>
      </c>
      <c r="AH41" s="1">
        <f>[1]Results!AK1401</f>
        <v>-0.66192179887467617</v>
      </c>
      <c r="AI41" s="1">
        <f>[1]Results!AL1401</f>
        <v>-0.67088771529514313</v>
      </c>
      <c r="AJ41" s="1">
        <f>[1]Results!AM1401</f>
        <v>-0.67472812741624644</v>
      </c>
      <c r="AK41" s="1">
        <f>[1]Results!AN1401</f>
        <v>-0.675679082491909</v>
      </c>
      <c r="AL41" s="1">
        <f>[1]Results!AO1401</f>
        <v>-0.67384330690671845</v>
      </c>
    </row>
    <row r="42" spans="1:38" x14ac:dyDescent="0.3">
      <c r="A42" s="3" t="str">
        <f>[1]Results!E1402</f>
        <v>((F_L_2/F_L_0)-1)*100</v>
      </c>
      <c r="B42" t="str">
        <f>[1]Results!C1402</f>
        <v>Emploi en %</v>
      </c>
      <c r="C42" s="1">
        <f>[1]Results!F1402</f>
        <v>0</v>
      </c>
      <c r="D42" s="1">
        <f>[1]Results!G1402</f>
        <v>0</v>
      </c>
      <c r="E42" s="1">
        <f>[1]Results!H1402</f>
        <v>0</v>
      </c>
      <c r="F42" s="1">
        <f>[1]Results!I1402</f>
        <v>0</v>
      </c>
      <c r="G42" s="1">
        <f>[1]Results!J1402</f>
        <v>0</v>
      </c>
      <c r="H42" s="1">
        <f>[1]Results!K1402</f>
        <v>0</v>
      </c>
      <c r="I42" s="1">
        <f>[1]Results!L1402</f>
        <v>0.12235302214362864</v>
      </c>
      <c r="J42" s="1">
        <f>[1]Results!M1402</f>
        <v>0.10155482261471338</v>
      </c>
      <c r="K42" s="1">
        <f>[1]Results!N1402</f>
        <v>-7.7520722204438286E-2</v>
      </c>
      <c r="L42" s="1">
        <f>[1]Results!O1402</f>
        <v>-0.35786445869171457</v>
      </c>
      <c r="M42" s="1">
        <f>[1]Results!P1402</f>
        <v>-0.6557512938091814</v>
      </c>
      <c r="N42" s="1">
        <f>[1]Results!Q1402</f>
        <v>-0.90929296162848283</v>
      </c>
      <c r="O42" s="1">
        <f>[1]Results!R1402</f>
        <v>-1.0851549908401981</v>
      </c>
      <c r="P42" s="1">
        <f>[1]Results!S1402</f>
        <v>-1.1848042239455459</v>
      </c>
      <c r="Q42" s="1">
        <f>[1]Results!T1402</f>
        <v>-1.2312416360516942</v>
      </c>
      <c r="R42" s="1">
        <f>[1]Results!U1402</f>
        <v>-1.2528033461538191</v>
      </c>
      <c r="S42" s="1">
        <f>[1]Results!V1402</f>
        <v>-1.2706114138388624</v>
      </c>
      <c r="T42" s="1">
        <f>[1]Results!W1402</f>
        <v>-1.2932369522852483</v>
      </c>
      <c r="U42" s="1">
        <f>[1]Results!X1402</f>
        <v>-1.3182474060812521</v>
      </c>
      <c r="V42" s="1">
        <f>[1]Results!Y1402</f>
        <v>-1.3376519998907432</v>
      </c>
      <c r="W42" s="1">
        <f>[1]Results!Z1402</f>
        <v>-1.3436233275389342</v>
      </c>
      <c r="X42" s="1">
        <f>[1]Results!AA1402</f>
        <v>-1.3325060019602875</v>
      </c>
      <c r="Y42" s="1">
        <f>[1]Results!AB1402</f>
        <v>-1.3059579781680153</v>
      </c>
      <c r="Z42" s="1">
        <f>[1]Results!AC1402</f>
        <v>-1.2692860880048618</v>
      </c>
      <c r="AA42" s="1">
        <f>[1]Results!AD1402</f>
        <v>-1.2290670782601598</v>
      </c>
      <c r="AB42" s="1">
        <f>[1]Results!AE1402</f>
        <v>-1.1912022529753097</v>
      </c>
      <c r="AC42" s="1">
        <f>[1]Results!AF1402</f>
        <v>-1.1581406842201103</v>
      </c>
      <c r="AD42" s="1">
        <f>[1]Results!AG1402</f>
        <v>-1.1311936708892856</v>
      </c>
      <c r="AE42" s="1">
        <f>[1]Results!AH1402</f>
        <v>-1.1096554544419379</v>
      </c>
      <c r="AF42" s="1">
        <f>[1]Results!AI1402</f>
        <v>-1.0918398192629963</v>
      </c>
      <c r="AG42" s="1">
        <f>[1]Results!AJ1402</f>
        <v>-1.0760510953690794</v>
      </c>
      <c r="AH42" s="1">
        <f>[1]Results!AK1402</f>
        <v>-1.0611824423301774</v>
      </c>
      <c r="AI42" s="1">
        <f>[1]Results!AL1402</f>
        <v>-1.0468531415025351</v>
      </c>
      <c r="AJ42" s="1">
        <f>[1]Results!AM1402</f>
        <v>-1.0331934582121005</v>
      </c>
      <c r="AK42" s="1">
        <f>[1]Results!AN1402</f>
        <v>-1.0204914342355598</v>
      </c>
      <c r="AL42" s="1">
        <f>[1]Results!AO1402</f>
        <v>-1.0088892277544947</v>
      </c>
    </row>
    <row r="43" spans="1:38" x14ac:dyDescent="0.3">
      <c r="A43" s="3" t="str">
        <f>[1]Results!E1403</f>
        <v>F_L_2-F_L_0</v>
      </c>
      <c r="B43" t="str">
        <f>[1]Results!C1403</f>
        <v>Emploi en millier</v>
      </c>
      <c r="C43" s="1">
        <f>[1]Results!F1403</f>
        <v>0</v>
      </c>
      <c r="D43" s="1">
        <f>[1]Results!G1403</f>
        <v>0</v>
      </c>
      <c r="E43" s="1">
        <f>[1]Results!H1403</f>
        <v>0</v>
      </c>
      <c r="F43" s="1">
        <f>[1]Results!I1403</f>
        <v>0</v>
      </c>
      <c r="G43" s="1">
        <f>[1]Results!J1403</f>
        <v>0</v>
      </c>
      <c r="H43" s="1">
        <f>[1]Results!K1403</f>
        <v>0</v>
      </c>
      <c r="I43" s="1">
        <f>[1]Results!L1403</f>
        <v>33.841090000001714</v>
      </c>
      <c r="J43" s="1">
        <f>[1]Results!M1403</f>
        <v>28.193500000001222</v>
      </c>
      <c r="K43" s="1">
        <f>[1]Results!N1403</f>
        <v>-21.604170000002341</v>
      </c>
      <c r="L43" s="1">
        <f>[1]Results!O1403</f>
        <v>-100.12964000000284</v>
      </c>
      <c r="M43" s="1">
        <f>[1]Results!P1403</f>
        <v>-184.33954000000085</v>
      </c>
      <c r="N43" s="1">
        <f>[1]Results!Q1403</f>
        <v>-256.80805999999939</v>
      </c>
      <c r="O43" s="1">
        <f>[1]Results!R1403</f>
        <v>-307.89378000000215</v>
      </c>
      <c r="P43" s="1">
        <f>[1]Results!S1403</f>
        <v>-337.67238999999972</v>
      </c>
      <c r="Q43" s="1">
        <f>[1]Results!T1403</f>
        <v>-352.39476999999897</v>
      </c>
      <c r="R43" s="1">
        <f>[1]Results!U1403</f>
        <v>-359.98889999999665</v>
      </c>
      <c r="S43" s="1">
        <f>[1]Results!V1403</f>
        <v>-366.46365000000151</v>
      </c>
      <c r="T43" s="1">
        <f>[1]Results!W1403</f>
        <v>-374.30385999999999</v>
      </c>
      <c r="U43" s="1">
        <f>[1]Results!X1403</f>
        <v>-382.83908000000156</v>
      </c>
      <c r="V43" s="1">
        <f>[1]Results!Y1403</f>
        <v>-389.76817999999912</v>
      </c>
      <c r="W43" s="1">
        <f>[1]Results!Z1403</f>
        <v>-392.62387999999919</v>
      </c>
      <c r="X43" s="1">
        <f>[1]Results!AA1403</f>
        <v>-390.53040999999939</v>
      </c>
      <c r="Y43" s="1">
        <f>[1]Results!AB1403</f>
        <v>-383.93996000000334</v>
      </c>
      <c r="Z43" s="1">
        <f>[1]Results!AC1403</f>
        <v>-374.36367999999857</v>
      </c>
      <c r="AA43" s="1">
        <f>[1]Results!AD1403</f>
        <v>-363.70554000000266</v>
      </c>
      <c r="AB43" s="1">
        <f>[1]Results!AE1403</f>
        <v>-353.19629999999961</v>
      </c>
      <c r="AC43" s="1">
        <f>[1]Results!AF1403</f>
        <v>-344.0949099999998</v>
      </c>
      <c r="AD43" s="1">
        <f>[1]Results!AG1403</f>
        <v>-336.78319000000192</v>
      </c>
      <c r="AE43" s="1">
        <f>[1]Results!AH1403</f>
        <v>-331.06058000000121</v>
      </c>
      <c r="AF43" s="1">
        <f>[1]Results!AI1403</f>
        <v>-326.43972000000213</v>
      </c>
      <c r="AG43" s="1">
        <f>[1]Results!AJ1403</f>
        <v>-322.42217999999775</v>
      </c>
      <c r="AH43" s="1">
        <f>[1]Results!AK1403</f>
        <v>-318.67563999999766</v>
      </c>
      <c r="AI43" s="1">
        <f>[1]Results!AL1403</f>
        <v>-315.08020000000033</v>
      </c>
      <c r="AJ43" s="1">
        <f>[1]Results!AM1403</f>
        <v>-311.66992000000027</v>
      </c>
      <c r="AK43" s="1">
        <f>[1]Results!AN1403</f>
        <v>-308.53009999999995</v>
      </c>
      <c r="AL43" s="1">
        <f>[1]Results!AO1403</f>
        <v>-305.70583999999872</v>
      </c>
    </row>
    <row r="44" spans="1:38" x14ac:dyDescent="0.3">
      <c r="A44" s="3" t="str">
        <f>[1]Results!E1404</f>
        <v>100*(UnR_2-UnR_0)</v>
      </c>
      <c r="B44" t="str">
        <f>[1]Results!C1404</f>
        <v>Taux de chômage (en point)</v>
      </c>
      <c r="C44" s="1">
        <f>[1]Results!F1404</f>
        <v>0</v>
      </c>
      <c r="D44" s="1">
        <f>[1]Results!G1404</f>
        <v>0</v>
      </c>
      <c r="E44" s="1">
        <f>[1]Results!H1404</f>
        <v>0</v>
      </c>
      <c r="F44" s="1">
        <f>[1]Results!I1404</f>
        <v>0</v>
      </c>
      <c r="G44" s="1">
        <f>[1]Results!J1404</f>
        <v>0</v>
      </c>
      <c r="H44" s="1">
        <f>[1]Results!K1404</f>
        <v>0</v>
      </c>
      <c r="I44" s="1">
        <f>[1]Results!L1404</f>
        <v>-9.1051450000000089E-2</v>
      </c>
      <c r="J44" s="1">
        <f>[1]Results!M1404</f>
        <v>-6.826922000000013E-2</v>
      </c>
      <c r="K44" s="1">
        <f>[1]Results!N1404</f>
        <v>6.6888599999999354E-2</v>
      </c>
      <c r="L44" s="1">
        <f>[1]Results!O1404</f>
        <v>0.2659437099999995</v>
      </c>
      <c r="M44" s="1">
        <f>[1]Results!P1404</f>
        <v>0.46714276999999943</v>
      </c>
      <c r="N44" s="1">
        <f>[1]Results!Q1404</f>
        <v>0.63044557999999973</v>
      </c>
      <c r="O44" s="1">
        <f>[1]Results!R1404</f>
        <v>0.73621804000000013</v>
      </c>
      <c r="P44" s="1">
        <f>[1]Results!S1404</f>
        <v>0.78975055000000127</v>
      </c>
      <c r="Q44" s="1">
        <f>[1]Results!T1404</f>
        <v>0.80987954999999912</v>
      </c>
      <c r="R44" s="1">
        <f>[1]Results!U1404</f>
        <v>0.81716599999999973</v>
      </c>
      <c r="S44" s="1">
        <f>[1]Results!V1404</f>
        <v>0.82550782000000011</v>
      </c>
      <c r="T44" s="1">
        <f>[1]Results!W1404</f>
        <v>0.83928114000000054</v>
      </c>
      <c r="U44" s="1">
        <f>[1]Results!X1404</f>
        <v>0.85530169000000011</v>
      </c>
      <c r="V44" s="1">
        <f>[1]Results!Y1404</f>
        <v>0.86715991999999908</v>
      </c>
      <c r="W44" s="1">
        <f>[1]Results!Z1404</f>
        <v>0.86965365999999988</v>
      </c>
      <c r="X44" s="1">
        <f>[1]Results!AA1404</f>
        <v>0.85966078000000024</v>
      </c>
      <c r="Y44" s="1">
        <f>[1]Results!AB1404</f>
        <v>0.83967440000000115</v>
      </c>
      <c r="Z44" s="1">
        <f>[1]Results!AC1404</f>
        <v>0.81371526000000027</v>
      </c>
      <c r="AA44" s="1">
        <f>[1]Results!AD1404</f>
        <v>0.78640558000000049</v>
      </c>
      <c r="AB44" s="1">
        <f>[1]Results!AE1404</f>
        <v>0.76237418000000001</v>
      </c>
      <c r="AC44" s="1">
        <f>[1]Results!AF1404</f>
        <v>0.74121530000000047</v>
      </c>
      <c r="AD44" s="1">
        <f>[1]Results!AG1404</f>
        <v>0.72450743000000006</v>
      </c>
      <c r="AE44" s="1">
        <f>[1]Results!AH1404</f>
        <v>0.71143573999999932</v>
      </c>
      <c r="AF44" s="1">
        <f>[1]Results!AI1404</f>
        <v>0.70067048999999937</v>
      </c>
      <c r="AG44" s="1">
        <f>[1]Results!AJ1404</f>
        <v>0.69101255000000028</v>
      </c>
      <c r="AH44" s="1">
        <f>[1]Results!AK1404</f>
        <v>0.68175607000000027</v>
      </c>
      <c r="AI44" s="1">
        <f>[1]Results!AL1404</f>
        <v>0.67272632999999948</v>
      </c>
      <c r="AJ44" s="1">
        <f>[1]Results!AM1404</f>
        <v>0.66408687999999905</v>
      </c>
      <c r="AK44" s="1">
        <f>[1]Results!AN1404</f>
        <v>0.65607415000000091</v>
      </c>
      <c r="AL44" s="1">
        <f>[1]Results!AO1404</f>
        <v>0.64878889000000028</v>
      </c>
    </row>
    <row r="45" spans="1:38" x14ac:dyDescent="0.3">
      <c r="A45" s="3" t="str">
        <f>[1]Results!E1405</f>
        <v>100*(Bal_Trade_VAL_2/(GDP_2*PGDP_2)-Bal_Trade_VAL_0/(GDP_0*PGDP_0))</v>
      </c>
      <c r="B45" t="str">
        <f>[1]Results!C1405</f>
        <v>Balance commerciale</v>
      </c>
      <c r="C45" s="1">
        <f>[1]Results!F1405</f>
        <v>0</v>
      </c>
      <c r="D45" s="1">
        <f>[1]Results!G1405</f>
        <v>0</v>
      </c>
      <c r="E45" s="1">
        <f>[1]Results!H1405</f>
        <v>0</v>
      </c>
      <c r="F45" s="1">
        <f>[1]Results!I1405</f>
        <v>0</v>
      </c>
      <c r="G45" s="1">
        <f>[1]Results!J1405</f>
        <v>0</v>
      </c>
      <c r="H45" s="1">
        <f>[1]Results!K1405</f>
        <v>0</v>
      </c>
      <c r="I45" s="1">
        <f>[1]Results!L1405</f>
        <v>-3.6143963542527996E-2</v>
      </c>
      <c r="J45" s="1">
        <f>[1]Results!M1405</f>
        <v>0.12702479721019116</v>
      </c>
      <c r="K45" s="1">
        <f>[1]Results!N1405</f>
        <v>0.36383181081155946</v>
      </c>
      <c r="L45" s="1">
        <f>[1]Results!O1405</f>
        <v>0.5262959870694367</v>
      </c>
      <c r="M45" s="1">
        <f>[1]Results!P1405</f>
        <v>0.55389058442471095</v>
      </c>
      <c r="N45" s="1">
        <f>[1]Results!Q1405</f>
        <v>0.47433142550562957</v>
      </c>
      <c r="O45" s="1">
        <f>[1]Results!R1405</f>
        <v>0.33481880574344236</v>
      </c>
      <c r="P45" s="1">
        <f>[1]Results!S1405</f>
        <v>0.19061053428652863</v>
      </c>
      <c r="Q45" s="1">
        <f>[1]Results!T1405</f>
        <v>7.9774598137523703E-2</v>
      </c>
      <c r="R45" s="1">
        <f>[1]Results!U1405</f>
        <v>1.5416581688227314E-2</v>
      </c>
      <c r="S45" s="1">
        <f>[1]Results!V1405</f>
        <v>-1.0139097595126059E-2</v>
      </c>
      <c r="T45" s="1">
        <f>[1]Results!W1405</f>
        <v>-1.4734531609877054E-2</v>
      </c>
      <c r="U45" s="1">
        <f>[1]Results!X1405</f>
        <v>-1.5489755952843159E-2</v>
      </c>
      <c r="V45" s="1">
        <f>[1]Results!Y1405</f>
        <v>-2.2189129973925262E-2</v>
      </c>
      <c r="W45" s="1">
        <f>[1]Results!Z1405</f>
        <v>-3.6576003737577925E-2</v>
      </c>
      <c r="X45" s="1">
        <f>[1]Results!AA1405</f>
        <v>-5.281756064146239E-2</v>
      </c>
      <c r="Y45" s="1">
        <f>[1]Results!AB1405</f>
        <v>-6.4044252562227635E-2</v>
      </c>
      <c r="Z45" s="1">
        <f>[1]Results!AC1405</f>
        <v>-6.5689559119529006E-2</v>
      </c>
      <c r="AA45" s="1">
        <f>[1]Results!AD1405</f>
        <v>-5.6451148542321743E-2</v>
      </c>
      <c r="AB45" s="1">
        <f>[1]Results!AE1405</f>
        <v>-3.9052844714653617E-2</v>
      </c>
      <c r="AC45" s="1">
        <f>[1]Results!AF1405</f>
        <v>-1.6927783839803222E-2</v>
      </c>
      <c r="AD45" s="1">
        <f>[1]Results!AG1405</f>
        <v>5.8895954618339019E-3</v>
      </c>
      <c r="AE45" s="1">
        <f>[1]Results!AH1405</f>
        <v>2.5573575003659879E-2</v>
      </c>
      <c r="AF45" s="1">
        <f>[1]Results!AI1405</f>
        <v>4.0127468116277903E-2</v>
      </c>
      <c r="AG45" s="1">
        <f>[1]Results!AJ1405</f>
        <v>4.9316786078231617E-2</v>
      </c>
      <c r="AH45" s="1">
        <f>[1]Results!AK1405</f>
        <v>5.412055782447675E-2</v>
      </c>
      <c r="AI45" s="1">
        <f>[1]Results!AL1405</f>
        <v>5.5968521394559635E-2</v>
      </c>
      <c r="AJ45" s="1">
        <f>[1]Results!AM1405</f>
        <v>5.6113891344448767E-2</v>
      </c>
      <c r="AK45" s="1">
        <f>[1]Results!AN1405</f>
        <v>5.5319213433963496E-2</v>
      </c>
      <c r="AL45" s="1">
        <f>[1]Results!AO1405</f>
        <v>5.3834026152385812E-2</v>
      </c>
    </row>
    <row r="46" spans="1:38" x14ac:dyDescent="0.3">
      <c r="A46" s="3" t="str">
        <f>[1]Results!E1406</f>
        <v>100*(ENER_BILL_2/(GDP_2*PGDP_2)-ENER_BILL_0/(GDP_0*PGDP_0))</v>
      </c>
      <c r="B46" t="str">
        <f>[1]Results!C1406</f>
        <v>Facture énergétique</v>
      </c>
      <c r="C46" s="1">
        <f>[1]Results!F1406</f>
        <v>0</v>
      </c>
      <c r="D46" s="1">
        <f>[1]Results!G1406</f>
        <v>0</v>
      </c>
      <c r="E46" s="1">
        <f>[1]Results!H1406</f>
        <v>0</v>
      </c>
      <c r="F46" s="1">
        <f>[1]Results!I1406</f>
        <v>0</v>
      </c>
      <c r="G46" s="1">
        <f>[1]Results!J1406</f>
        <v>0</v>
      </c>
      <c r="H46" s="1">
        <f>[1]Results!K1406</f>
        <v>0</v>
      </c>
      <c r="I46" s="1">
        <f>[1]Results!L1406</f>
        <v>4.7388364516526976E-3</v>
      </c>
      <c r="J46" s="1">
        <f>[1]Results!M1406</f>
        <v>-3.0797314943566828E-3</v>
      </c>
      <c r="K46" s="1">
        <f>[1]Results!N1406</f>
        <v>-1.4479032398802792E-2</v>
      </c>
      <c r="L46" s="1">
        <f>[1]Results!O1406</f>
        <v>-2.6312160642238264E-2</v>
      </c>
      <c r="M46" s="1">
        <f>[1]Results!P1406</f>
        <v>-3.709600769202983E-2</v>
      </c>
      <c r="N46" s="1">
        <f>[1]Results!Q1406</f>
        <v>-4.6219587856314616E-2</v>
      </c>
      <c r="O46" s="1">
        <f>[1]Results!R1406</f>
        <v>-5.3169584910140941E-2</v>
      </c>
      <c r="P46" s="1">
        <f>[1]Results!S1406</f>
        <v>-5.7802171554936083E-2</v>
      </c>
      <c r="Q46" s="1">
        <f>[1]Results!T1406</f>
        <v>-6.0203596797421544E-2</v>
      </c>
      <c r="R46" s="1">
        <f>[1]Results!U1406</f>
        <v>-6.0681746897776889E-2</v>
      </c>
      <c r="S46" s="1">
        <f>[1]Results!V1406</f>
        <v>-5.9681308640562904E-2</v>
      </c>
      <c r="T46" s="1">
        <f>[1]Results!W1406</f>
        <v>-5.7630223949832471E-2</v>
      </c>
      <c r="U46" s="1">
        <f>[1]Results!X1406</f>
        <v>-5.4901803481712842E-2</v>
      </c>
      <c r="V46" s="1">
        <f>[1]Results!Y1406</f>
        <v>-5.1812817843339097E-2</v>
      </c>
      <c r="W46" s="1">
        <f>[1]Results!Z1406</f>
        <v>-4.8625166402601651E-2</v>
      </c>
      <c r="X46" s="1">
        <f>[1]Results!AA1406</f>
        <v>-4.5547042769549483E-2</v>
      </c>
      <c r="Y46" s="1">
        <f>[1]Results!AB1406</f>
        <v>-4.2792229430058462E-2</v>
      </c>
      <c r="Z46" s="1">
        <f>[1]Results!AC1406</f>
        <v>-4.050116103789924E-2</v>
      </c>
      <c r="AA46" s="1">
        <f>[1]Results!AD1406</f>
        <v>-3.8765247298032553E-2</v>
      </c>
      <c r="AB46" s="1">
        <f>[1]Results!AE1406</f>
        <v>-3.7616788375057116E-2</v>
      </c>
      <c r="AC46" s="1">
        <f>[1]Results!AF1406</f>
        <v>-3.6963227788199687E-2</v>
      </c>
      <c r="AD46" s="1">
        <f>[1]Results!AG1406</f>
        <v>-3.6773700944386402E-2</v>
      </c>
      <c r="AE46" s="1">
        <f>[1]Results!AH1406</f>
        <v>-3.6911327430934164E-2</v>
      </c>
      <c r="AF46" s="1">
        <f>[1]Results!AI1406</f>
        <v>-3.7247424253763345E-2</v>
      </c>
      <c r="AG46" s="1">
        <f>[1]Results!AJ1406</f>
        <v>-3.7662288217148523E-2</v>
      </c>
      <c r="AH46" s="1">
        <f>[1]Results!AK1406</f>
        <v>-3.8057920964361391E-2</v>
      </c>
      <c r="AI46" s="1">
        <f>[1]Results!AL1406</f>
        <v>-3.835777594581799E-2</v>
      </c>
      <c r="AJ46" s="1">
        <f>[1]Results!AM1406</f>
        <v>-3.8509497656210104E-2</v>
      </c>
      <c r="AK46" s="1">
        <f>[1]Results!AN1406</f>
        <v>-3.8486288055557261E-2</v>
      </c>
      <c r="AL46" s="1">
        <f>[1]Results!AO1406</f>
        <v>-3.8278087425221152E-2</v>
      </c>
    </row>
    <row r="47" spans="1:38" x14ac:dyDescent="0.3">
      <c r="A47" s="3" t="str">
        <f>[1]Results!E1407</f>
        <v>100*((-Bal_G_prim_VAL_2)/(GDP_2*PGDP_2)-(-Bal_G_prim_VAL_0)/(GDP_0*PGDP_0))</v>
      </c>
      <c r="B47" t="str">
        <f>[1]Results!C1407</f>
        <v>Solde public primaire</v>
      </c>
      <c r="C47" s="1">
        <f>[1]Results!F1407</f>
        <v>0</v>
      </c>
      <c r="D47" s="1">
        <f>[1]Results!G1407</f>
        <v>0</v>
      </c>
      <c r="E47" s="1">
        <f>[1]Results!H1407</f>
        <v>0</v>
      </c>
      <c r="F47" s="1">
        <f>[1]Results!I1407</f>
        <v>0</v>
      </c>
      <c r="G47" s="1">
        <f>[1]Results!J1407</f>
        <v>0</v>
      </c>
      <c r="H47" s="1">
        <f>[1]Results!K1407</f>
        <v>0</v>
      </c>
      <c r="I47" s="1">
        <f>[1]Results!L1407</f>
        <v>-2.0428675132117859E-2</v>
      </c>
      <c r="J47" s="1">
        <f>[1]Results!M1407</f>
        <v>0.24384167159966288</v>
      </c>
      <c r="K47" s="1">
        <f>[1]Results!N1407</f>
        <v>0.54258070433141803</v>
      </c>
      <c r="L47" s="1">
        <f>[1]Results!O1407</f>
        <v>0.72830716674544604</v>
      </c>
      <c r="M47" s="1">
        <f>[1]Results!P1407</f>
        <v>0.75420989482402945</v>
      </c>
      <c r="N47" s="1">
        <f>[1]Results!Q1407</f>
        <v>0.66870359991417405</v>
      </c>
      <c r="O47" s="1">
        <f>[1]Results!R1407</f>
        <v>0.5303385346106384</v>
      </c>
      <c r="P47" s="1">
        <f>[1]Results!S1407</f>
        <v>0.40158620938948625</v>
      </c>
      <c r="Q47" s="1">
        <f>[1]Results!T1407</f>
        <v>0.32096182966343639</v>
      </c>
      <c r="R47" s="1">
        <f>[1]Results!U1407</f>
        <v>0.2974913434847376</v>
      </c>
      <c r="S47" s="1">
        <f>[1]Results!V1407</f>
        <v>0.31747624809238645</v>
      </c>
      <c r="T47" s="1">
        <f>[1]Results!W1407</f>
        <v>0.35714919783766691</v>
      </c>
      <c r="U47" s="1">
        <f>[1]Results!X1407</f>
        <v>0.39492348991960363</v>
      </c>
      <c r="V47" s="1">
        <f>[1]Results!Y1407</f>
        <v>0.41855000024716443</v>
      </c>
      <c r="W47" s="1">
        <f>[1]Results!Z1407</f>
        <v>0.42511394572687056</v>
      </c>
      <c r="X47" s="1">
        <f>[1]Results!AA1407</f>
        <v>0.42239250276009066</v>
      </c>
      <c r="Y47" s="1">
        <f>[1]Results!AB1407</f>
        <v>0.41691243125285182</v>
      </c>
      <c r="Z47" s="1">
        <f>[1]Results!AC1407</f>
        <v>0.41455502427077512</v>
      </c>
      <c r="AA47" s="1">
        <f>[1]Results!AD1407</f>
        <v>0.41779698518068875</v>
      </c>
      <c r="AB47" s="1">
        <f>[1]Results!AE1407</f>
        <v>0.4245607687967865</v>
      </c>
      <c r="AC47" s="1">
        <f>[1]Results!AF1407</f>
        <v>0.4332655773864118</v>
      </c>
      <c r="AD47" s="1">
        <f>[1]Results!AG1407</f>
        <v>0.44033074160921171</v>
      </c>
      <c r="AE47" s="1">
        <f>[1]Results!AH1407</f>
        <v>0.44300553832870537</v>
      </c>
      <c r="AF47" s="1">
        <f>[1]Results!AI1407</f>
        <v>0.4403767968687658</v>
      </c>
      <c r="AG47" s="1">
        <f>[1]Results!AJ1407</f>
        <v>0.4331868447065011</v>
      </c>
      <c r="AH47" s="1">
        <f>[1]Results!AK1407</f>
        <v>0.42314590252904305</v>
      </c>
      <c r="AI47" s="1">
        <f>[1]Results!AL1407</f>
        <v>0.41209062404122315</v>
      </c>
      <c r="AJ47" s="1">
        <f>[1]Results!AM1407</f>
        <v>0.40136718086123802</v>
      </c>
      <c r="AK47" s="1">
        <f>[1]Results!AN1407</f>
        <v>0.39159478414373167</v>
      </c>
      <c r="AL47" s="1">
        <f>[1]Results!AO1407</f>
        <v>0.38274365246990089</v>
      </c>
    </row>
    <row r="48" spans="1:38" x14ac:dyDescent="0.3">
      <c r="A48" s="3" t="str">
        <f>[1]Results!E1408</f>
        <v>100*((-Bal_G_tot_VAL_2)/(GDP_2*PGDP_2)-(-Bal_G_tot_VAL_0)/(GDP_0*PGDP_0))</v>
      </c>
      <c r="B48" t="str">
        <f>[1]Results!C1408</f>
        <v xml:space="preserve">Solde public </v>
      </c>
      <c r="C48" s="1">
        <f>[1]Results!F1408</f>
        <v>0</v>
      </c>
      <c r="D48" s="1">
        <f>[1]Results!G1408</f>
        <v>0</v>
      </c>
      <c r="E48" s="1">
        <f>[1]Results!H1408</f>
        <v>0</v>
      </c>
      <c r="F48" s="1">
        <f>[1]Results!I1408</f>
        <v>0</v>
      </c>
      <c r="G48" s="1">
        <f>[1]Results!J1408</f>
        <v>0</v>
      </c>
      <c r="H48" s="1">
        <f>[1]Results!K1408</f>
        <v>0</v>
      </c>
      <c r="I48" s="1">
        <f>[1]Results!L1408</f>
        <v>-2.0516113825458024E-2</v>
      </c>
      <c r="J48" s="1">
        <f>[1]Results!M1408</f>
        <v>0.25257930549896501</v>
      </c>
      <c r="K48" s="1">
        <f>[1]Results!N1408</f>
        <v>1.063013889910229</v>
      </c>
      <c r="L48" s="1">
        <f>[1]Results!O1408</f>
        <v>1.6108569845272327</v>
      </c>
      <c r="M48" s="1">
        <f>[1]Results!P1408</f>
        <v>1.7383855058852697</v>
      </c>
      <c r="N48" s="1">
        <f>[1]Results!Q1408</f>
        <v>1.5178540496329627</v>
      </c>
      <c r="O48" s="1">
        <f>[1]Results!R1408</f>
        <v>1.1383606966483746</v>
      </c>
      <c r="P48" s="1">
        <f>[1]Results!S1408</f>
        <v>0.75386873865467063</v>
      </c>
      <c r="Q48" s="1">
        <f>[1]Results!T1408</f>
        <v>0.48284102634437859</v>
      </c>
      <c r="R48" s="1">
        <f>[1]Results!U1408</f>
        <v>0.36150612882018818</v>
      </c>
      <c r="S48" s="1">
        <f>[1]Results!V1408</f>
        <v>0.36019148383049715</v>
      </c>
      <c r="T48" s="1">
        <f>[1]Results!W1408</f>
        <v>0.41858418798216068</v>
      </c>
      <c r="U48" s="1">
        <f>[1]Results!X1408</f>
        <v>0.47967964892782489</v>
      </c>
      <c r="V48" s="1">
        <f>[1]Results!Y1408</f>
        <v>0.51038678170616181</v>
      </c>
      <c r="W48" s="1">
        <f>[1]Results!Z1408</f>
        <v>0.50447248977801284</v>
      </c>
      <c r="X48" s="1">
        <f>[1]Results!AA1408</f>
        <v>0.4768740150360391</v>
      </c>
      <c r="Y48" s="1">
        <f>[1]Results!AB1408</f>
        <v>0.45212737660829883</v>
      </c>
      <c r="Z48" s="1">
        <f>[1]Results!AC1408</f>
        <v>0.44306800951756792</v>
      </c>
      <c r="AA48" s="1">
        <f>[1]Results!AD1408</f>
        <v>0.45658735235763503</v>
      </c>
      <c r="AB48" s="1">
        <f>[1]Results!AE1408</f>
        <v>0.4886611225004594</v>
      </c>
      <c r="AC48" s="1">
        <f>[1]Results!AF1408</f>
        <v>0.52973854548381027</v>
      </c>
      <c r="AD48" s="1">
        <f>[1]Results!AG1408</f>
        <v>0.57207710675394075</v>
      </c>
      <c r="AE48" s="1">
        <f>[1]Results!AH1408</f>
        <v>0.60438150277507441</v>
      </c>
      <c r="AF48" s="1">
        <f>[1]Results!AI1408</f>
        <v>0.62313727949556796</v>
      </c>
      <c r="AG48" s="1">
        <f>[1]Results!AJ1408</f>
        <v>0.62981954743556445</v>
      </c>
      <c r="AH48" s="1">
        <f>[1]Results!AK1408</f>
        <v>0.62868844386526535</v>
      </c>
      <c r="AI48" s="1">
        <f>[1]Results!AL1408</f>
        <v>0.62435874725969387</v>
      </c>
      <c r="AJ48" s="1">
        <f>[1]Results!AM1408</f>
        <v>0.62002129501731029</v>
      </c>
      <c r="AK48" s="1">
        <f>[1]Results!AN1408</f>
        <v>0.61686663139053666</v>
      </c>
      <c r="AL48" s="1">
        <f>[1]Results!AO1408</f>
        <v>0.61448580316327273</v>
      </c>
    </row>
    <row r="49" spans="1:38" x14ac:dyDescent="0.3">
      <c r="A49" s="3" t="str">
        <f>[1]Results!E1409</f>
        <v>(DEBT_G_VAL_2/(PGDP_2*GDP_2)-DEBT_G_VAL_0/(PGDP_0*GDP_0))*100</v>
      </c>
      <c r="B49" t="str">
        <f>[1]Results!C1409</f>
        <v>Dette publique</v>
      </c>
      <c r="C49" s="1">
        <f>[1]Results!F1409</f>
        <v>0</v>
      </c>
      <c r="D49" s="1">
        <f>[1]Results!G1409</f>
        <v>0</v>
      </c>
      <c r="E49" s="1">
        <f>[1]Results!H1409</f>
        <v>0</v>
      </c>
      <c r="F49" s="1">
        <f>[1]Results!I1409</f>
        <v>0</v>
      </c>
      <c r="G49" s="1">
        <f>[1]Results!J1409</f>
        <v>0</v>
      </c>
      <c r="H49" s="1">
        <f>[1]Results!K1409</f>
        <v>0</v>
      </c>
      <c r="I49" s="1">
        <f>[1]Results!L1409</f>
        <v>-2.6547429750223284E-2</v>
      </c>
      <c r="J49" s="1">
        <f>[1]Results!M1409</f>
        <v>-0.41320232871528972</v>
      </c>
      <c r="K49" s="1">
        <f>[1]Results!N1409</f>
        <v>-0.1026900851926138</v>
      </c>
      <c r="L49" s="1">
        <f>[1]Results!O1409</f>
        <v>0.8669195192117618</v>
      </c>
      <c r="M49" s="1">
        <f>[1]Results!P1409</f>
        <v>2.1559697614005668</v>
      </c>
      <c r="N49" s="1">
        <f>[1]Results!Q1409</f>
        <v>3.3751104892581263</v>
      </c>
      <c r="O49" s="1">
        <f>[1]Results!R1409</f>
        <v>4.313147954313024</v>
      </c>
      <c r="P49" s="1">
        <f>[1]Results!S1409</f>
        <v>4.904539878326597</v>
      </c>
      <c r="Q49" s="1">
        <f>[1]Results!T1409</f>
        <v>5.2225469119400625</v>
      </c>
      <c r="R49" s="1">
        <f>[1]Results!U1409</f>
        <v>5.4054043446170041</v>
      </c>
      <c r="S49" s="1">
        <f>[1]Results!V1409</f>
        <v>5.5833786938475516</v>
      </c>
      <c r="T49" s="1">
        <f>[1]Results!W1409</f>
        <v>5.8338640730653202</v>
      </c>
      <c r="U49" s="1">
        <f>[1]Results!X1409</f>
        <v>6.1715820655542375</v>
      </c>
      <c r="V49" s="1">
        <f>[1]Results!Y1409</f>
        <v>6.5661872017029115</v>
      </c>
      <c r="W49" s="1">
        <f>[1]Results!Z1409</f>
        <v>6.9767666553792518</v>
      </c>
      <c r="X49" s="1">
        <f>[1]Results!AA1409</f>
        <v>7.3507358598944634</v>
      </c>
      <c r="Y49" s="1">
        <f>[1]Results!AB1409</f>
        <v>7.6799006750968735</v>
      </c>
      <c r="Z49" s="1">
        <f>[1]Results!AC1409</f>
        <v>7.9674611150840295</v>
      </c>
      <c r="AA49" s="1">
        <f>[1]Results!AD1409</f>
        <v>8.2299768443774504</v>
      </c>
      <c r="AB49" s="1">
        <f>[1]Results!AE1409</f>
        <v>8.5083843303411459</v>
      </c>
      <c r="AC49" s="1">
        <f>[1]Results!AF1409</f>
        <v>8.7791373659448659</v>
      </c>
      <c r="AD49" s="1">
        <f>[1]Results!AG1409</f>
        <v>9.0679211664145054</v>
      </c>
      <c r="AE49" s="1">
        <f>[1]Results!AH1409</f>
        <v>9.369770973058289</v>
      </c>
      <c r="AF49" s="1">
        <f>[1]Results!AI1409</f>
        <v>9.6747181762660954</v>
      </c>
      <c r="AG49" s="1">
        <f>[1]Results!AJ1409</f>
        <v>9.9724735364334567</v>
      </c>
      <c r="AH49" s="1">
        <f>[1]Results!AK1409</f>
        <v>10.255982769582484</v>
      </c>
      <c r="AI49" s="1">
        <f>[1]Results!AL1409</f>
        <v>10.522746698663699</v>
      </c>
      <c r="AJ49" s="1">
        <f>[1]Results!AM1409</f>
        <v>10.773977118329281</v>
      </c>
      <c r="AK49" s="1">
        <f>[1]Results!AN1409</f>
        <v>11.012647771325657</v>
      </c>
      <c r="AL49" s="1">
        <f>[1]Results!AO1409</f>
        <v>11.241597747638721</v>
      </c>
    </row>
    <row r="50" spans="1:38" x14ac:dyDescent="0.3">
      <c r="A50" s="3" t="str">
        <f>[1]Results!E1410</f>
        <v>GDP_2</v>
      </c>
      <c r="B50" t="str">
        <f>[1]Results!C1410</f>
        <v>PIB</v>
      </c>
      <c r="C50" s="1">
        <f>[1]Results!F1410</f>
        <v>2196110.0529999998</v>
      </c>
      <c r="D50" s="1">
        <f>[1]Results!G1410</f>
        <v>2218864.2409999999</v>
      </c>
      <c r="E50" s="1">
        <f>[1]Results!H1410</f>
        <v>2251948.39</v>
      </c>
      <c r="F50" s="1">
        <f>[1]Results!I1410</f>
        <v>2288974.341</v>
      </c>
      <c r="G50" s="1">
        <f>[1]Results!J1410</f>
        <v>2326587.5839999998</v>
      </c>
      <c r="H50" s="1">
        <f>[1]Results!K1410</f>
        <v>2363937.9900000002</v>
      </c>
      <c r="I50" s="1">
        <f>[1]Results!L1410</f>
        <v>2397819.2799999998</v>
      </c>
      <c r="J50" s="1">
        <f>[1]Results!M1410</f>
        <v>2423336.4410000001</v>
      </c>
      <c r="K50" s="1">
        <f>[1]Results!N1410</f>
        <v>2444290.682</v>
      </c>
      <c r="L50" s="1">
        <f>[1]Results!O1410</f>
        <v>2467014.1310000001</v>
      </c>
      <c r="M50" s="1">
        <f>[1]Results!P1410</f>
        <v>2498534.699</v>
      </c>
      <c r="N50" s="1">
        <f>[1]Results!Q1410</f>
        <v>2534615.3730000001</v>
      </c>
      <c r="O50" s="1">
        <f>[1]Results!R1410</f>
        <v>2576385.6910000001</v>
      </c>
      <c r="P50" s="1">
        <f>[1]Results!S1410</f>
        <v>2620594.3709999998</v>
      </c>
      <c r="Q50" s="1">
        <f>[1]Results!T1410</f>
        <v>2664923.0460000001</v>
      </c>
      <c r="R50" s="1">
        <f>[1]Results!U1410</f>
        <v>2708192.645</v>
      </c>
      <c r="S50" s="1">
        <f>[1]Results!V1410</f>
        <v>2750379.665</v>
      </c>
      <c r="T50" s="1">
        <f>[1]Results!W1410</f>
        <v>2792235.0860000001</v>
      </c>
      <c r="U50" s="1">
        <f>[1]Results!X1410</f>
        <v>2834727.3650000002</v>
      </c>
      <c r="V50" s="1">
        <f>[1]Results!Y1410</f>
        <v>2878584.077</v>
      </c>
      <c r="W50" s="1">
        <f>[1]Results!Z1410</f>
        <v>2921725.5070000002</v>
      </c>
      <c r="X50" s="1">
        <f>[1]Results!AA1410</f>
        <v>2968333.8050000002</v>
      </c>
      <c r="Y50" s="1">
        <f>[1]Results!AB1410</f>
        <v>3016107.9440000001</v>
      </c>
      <c r="Z50" s="1">
        <f>[1]Results!AC1410</f>
        <v>3064717.2319999998</v>
      </c>
      <c r="AA50" s="1">
        <f>[1]Results!AD1410</f>
        <v>3113778.8480000002</v>
      </c>
      <c r="AB50" s="1">
        <f>[1]Results!AE1410</f>
        <v>3155099.36</v>
      </c>
      <c r="AC50" s="1">
        <f>[1]Results!AF1410</f>
        <v>3201559.392</v>
      </c>
      <c r="AD50" s="1">
        <f>[1]Results!AG1410</f>
        <v>3247601.7549999999</v>
      </c>
      <c r="AE50" s="1">
        <f>[1]Results!AH1410</f>
        <v>3294264.0350000001</v>
      </c>
      <c r="AF50" s="1">
        <f>[1]Results!AI1410</f>
        <v>3341877.156</v>
      </c>
      <c r="AG50" s="1">
        <f>[1]Results!AJ1410</f>
        <v>3390400.9739999999</v>
      </c>
      <c r="AH50" s="1">
        <f>[1]Results!AK1410</f>
        <v>3439642.338</v>
      </c>
      <c r="AI50" s="1">
        <f>[1]Results!AL1410</f>
        <v>3489422.8790000002</v>
      </c>
      <c r="AJ50" s="1">
        <f>[1]Results!AM1410</f>
        <v>3539672.9079999998</v>
      </c>
      <c r="AK50" s="1">
        <f>[1]Results!AN1410</f>
        <v>3590444.3450000002</v>
      </c>
      <c r="AL50" s="1">
        <f>[1]Results!AO1410</f>
        <v>3641864.3760000002</v>
      </c>
    </row>
    <row r="51" spans="1:38" x14ac:dyDescent="0.3">
      <c r="A51" s="3" t="str">
        <f>[1]Results!E1411</f>
        <v>(GDPter_2/GDPbis_2-1)*100</v>
      </c>
      <c r="B51" t="str">
        <f>[1]Results!C1411</f>
        <v>Ecart PIB</v>
      </c>
      <c r="C51" s="1">
        <f>[1]Results!F1411</f>
        <v>0</v>
      </c>
      <c r="D51" s="1">
        <f>[1]Results!G1411</f>
        <v>0</v>
      </c>
      <c r="E51" s="1">
        <f>[1]Results!H1411</f>
        <v>4.4405967791760759E-8</v>
      </c>
      <c r="F51" s="1">
        <f>[1]Results!I1411</f>
        <v>0</v>
      </c>
      <c r="G51" s="1">
        <f>[1]Results!J1411</f>
        <v>0</v>
      </c>
      <c r="H51" s="1">
        <f>[1]Results!K1411</f>
        <v>0</v>
      </c>
      <c r="I51" s="1">
        <f>[1]Results!L1411</f>
        <v>0</v>
      </c>
      <c r="J51" s="1">
        <f>[1]Results!M1411</f>
        <v>0</v>
      </c>
      <c r="K51" s="1">
        <f>[1]Results!N1411</f>
        <v>0</v>
      </c>
      <c r="L51" s="1">
        <f>[1]Results!O1411</f>
        <v>0</v>
      </c>
      <c r="M51" s="1">
        <f>[1]Results!P1411</f>
        <v>0</v>
      </c>
      <c r="N51" s="1">
        <f>[1]Results!Q1411</f>
        <v>0</v>
      </c>
      <c r="O51" s="1">
        <f>[1]Results!R1411</f>
        <v>0</v>
      </c>
      <c r="P51" s="1">
        <f>[1]Results!S1411</f>
        <v>0</v>
      </c>
      <c r="Q51" s="1">
        <f>[1]Results!T1411</f>
        <v>0</v>
      </c>
      <c r="R51" s="1">
        <f>[1]Results!U1411</f>
        <v>0</v>
      </c>
      <c r="S51" s="1">
        <f>[1]Results!V1411</f>
        <v>0</v>
      </c>
      <c r="T51" s="1">
        <f>[1]Results!W1411</f>
        <v>0</v>
      </c>
      <c r="U51" s="1">
        <f>[1]Results!X1411</f>
        <v>0</v>
      </c>
      <c r="V51" s="1">
        <f>[1]Results!Y1411</f>
        <v>0</v>
      </c>
      <c r="W51" s="1">
        <f>[1]Results!Z1411</f>
        <v>0</v>
      </c>
      <c r="X51" s="1">
        <f>[1]Results!AA1411</f>
        <v>0</v>
      </c>
      <c r="Y51" s="1">
        <f>[1]Results!AB1411</f>
        <v>-3.3155322931577302E-8</v>
      </c>
      <c r="Z51" s="1">
        <f>[1]Results!AC1411</f>
        <v>0</v>
      </c>
      <c r="AA51" s="1">
        <f>[1]Results!AD1411</f>
        <v>0</v>
      </c>
      <c r="AB51" s="1">
        <f>[1]Results!AE1411</f>
        <v>0</v>
      </c>
      <c r="AC51" s="1">
        <f>[1]Results!AF1411</f>
        <v>0</v>
      </c>
      <c r="AD51" s="1">
        <f>[1]Results!AG1411</f>
        <v>0</v>
      </c>
      <c r="AE51" s="1">
        <f>[1]Results!AH1411</f>
        <v>0</v>
      </c>
      <c r="AF51" s="1">
        <f>[1]Results!AI1411</f>
        <v>0</v>
      </c>
      <c r="AG51" s="1">
        <f>[1]Results!AJ1411</f>
        <v>0</v>
      </c>
      <c r="AH51" s="1">
        <f>[1]Results!AK1411</f>
        <v>0</v>
      </c>
      <c r="AI51" s="1">
        <f>[1]Results!AL1411</f>
        <v>0</v>
      </c>
      <c r="AJ51" s="1">
        <f>[1]Results!AM1411</f>
        <v>0</v>
      </c>
      <c r="AK51" s="1">
        <f>[1]Results!AN1411</f>
        <v>0</v>
      </c>
      <c r="AL51" s="1">
        <f>[1]Results!AO1411</f>
        <v>0</v>
      </c>
    </row>
    <row r="52" spans="1:38" x14ac:dyDescent="0.3">
      <c r="A52" s="3" t="str">
        <f>[1]Results!E1412</f>
        <v>SPEND_G_VAL_2</v>
      </c>
      <c r="B52" t="str">
        <f>[1]Results!C1412</f>
        <v>Dépenses publiques</v>
      </c>
      <c r="C52" s="1">
        <f>[1]Results!F1412</f>
        <v>1187986.8060000001</v>
      </c>
      <c r="D52" s="1">
        <f>[1]Results!G1412</f>
        <v>1221984.102</v>
      </c>
      <c r="E52" s="1">
        <f>[1]Results!H1412</f>
        <v>1249801.5330000001</v>
      </c>
      <c r="F52" s="1">
        <f>[1]Results!I1412</f>
        <v>1278134.5530000001</v>
      </c>
      <c r="G52" s="1">
        <f>[1]Results!J1412</f>
        <v>1309844.612</v>
      </c>
      <c r="H52" s="1">
        <f>[1]Results!K1412</f>
        <v>1346581.203</v>
      </c>
      <c r="I52" s="1">
        <f>[1]Results!L1412</f>
        <v>1387522.0460000001</v>
      </c>
      <c r="J52" s="1">
        <f>[1]Results!M1412</f>
        <v>1445284.024</v>
      </c>
      <c r="K52" s="1">
        <f>[1]Results!N1412</f>
        <v>1525980.345</v>
      </c>
      <c r="L52" s="1">
        <f>[1]Results!O1412</f>
        <v>1606660.6089999999</v>
      </c>
      <c r="M52" s="1">
        <f>[1]Results!P1412</f>
        <v>1681286.4069999999</v>
      </c>
      <c r="N52" s="1">
        <f>[1]Results!Q1412</f>
        <v>1743710.0789999999</v>
      </c>
      <c r="O52" s="1">
        <f>[1]Results!R1412</f>
        <v>1801719.7749999999</v>
      </c>
      <c r="P52" s="1">
        <f>[1]Results!S1412</f>
        <v>1860087.1640000001</v>
      </c>
      <c r="Q52" s="1">
        <f>[1]Results!T1412</f>
        <v>1922985.453</v>
      </c>
      <c r="R52" s="1">
        <f>[1]Results!U1412</f>
        <v>1992164.7290000001</v>
      </c>
      <c r="S52" s="1">
        <f>[1]Results!V1412</f>
        <v>2067013.7590000001</v>
      </c>
      <c r="T52" s="1">
        <f>[1]Results!W1412</f>
        <v>2145508</v>
      </c>
      <c r="U52" s="1">
        <f>[1]Results!X1412</f>
        <v>2225438.9010000001</v>
      </c>
      <c r="V52" s="1">
        <f>[1]Results!Y1412</f>
        <v>2305376.7710000002</v>
      </c>
      <c r="W52" s="1">
        <f>[1]Results!Z1412</f>
        <v>2382931.392</v>
      </c>
      <c r="X52" s="1">
        <f>[1]Results!AA1412</f>
        <v>2463489.9720000001</v>
      </c>
      <c r="Y52" s="1">
        <f>[1]Results!AB1412</f>
        <v>2545192.6540000001</v>
      </c>
      <c r="Z52" s="1">
        <f>[1]Results!AC1412</f>
        <v>2629394.355</v>
      </c>
      <c r="AA52" s="1">
        <f>[1]Results!AD1412</f>
        <v>2717323.1549999998</v>
      </c>
      <c r="AB52" s="1">
        <f>[1]Results!AE1412</f>
        <v>2802811.912</v>
      </c>
      <c r="AC52" s="1">
        <f>[1]Results!AF1412</f>
        <v>2897120.8730000001</v>
      </c>
      <c r="AD52" s="1">
        <f>[1]Results!AG1412</f>
        <v>2993899.76</v>
      </c>
      <c r="AE52" s="1">
        <f>[1]Results!AH1412</f>
        <v>3092142.2289999998</v>
      </c>
      <c r="AF52" s="1">
        <f>[1]Results!AI1412</f>
        <v>3191986.1519999998</v>
      </c>
      <c r="AG52" s="1">
        <f>[1]Results!AJ1412</f>
        <v>3294155.4589999998</v>
      </c>
      <c r="AH52" s="1">
        <f>[1]Results!AK1412</f>
        <v>3399541.199</v>
      </c>
      <c r="AI52" s="1">
        <f>[1]Results!AL1412</f>
        <v>3508832.99</v>
      </c>
      <c r="AJ52" s="1">
        <f>[1]Results!AM1412</f>
        <v>3622323.07</v>
      </c>
      <c r="AK52" s="1">
        <f>[1]Results!AN1412</f>
        <v>3739924.0920000002</v>
      </c>
      <c r="AL52" s="1">
        <f>[1]Results!AO1412</f>
        <v>3861339.5040000002</v>
      </c>
    </row>
    <row r="53" spans="1:38" x14ac:dyDescent="0.3">
      <c r="A53" s="3" t="str">
        <f>[1]Results!E1413</f>
        <v>INC_G_VAL_2</v>
      </c>
      <c r="B53" t="str">
        <f>[1]Results!C1413</f>
        <v>Recettes publiques</v>
      </c>
      <c r="C53" s="1">
        <f>[1]Results!F1413</f>
        <v>1021837.363</v>
      </c>
      <c r="D53" s="1">
        <f>[1]Results!G1413</f>
        <v>1050302.2309999999</v>
      </c>
      <c r="E53" s="1">
        <f>[1]Results!H1413</f>
        <v>1079226.888</v>
      </c>
      <c r="F53" s="1">
        <f>[1]Results!I1413</f>
        <v>1108131.9750000001</v>
      </c>
      <c r="G53" s="1">
        <f>[1]Results!J1413</f>
        <v>1137414.6410000001</v>
      </c>
      <c r="H53" s="1">
        <f>[1]Results!K1413</f>
        <v>1168130.6089999999</v>
      </c>
      <c r="I53" s="1">
        <f>[1]Results!L1413</f>
        <v>1200621.8489999999</v>
      </c>
      <c r="J53" s="1">
        <f>[1]Results!M1413</f>
        <v>1239886.0349999999</v>
      </c>
      <c r="K53" s="1">
        <f>[1]Results!N1413</f>
        <v>1285268.05</v>
      </c>
      <c r="L53" s="1">
        <f>[1]Results!O1413</f>
        <v>1335930.5260000001</v>
      </c>
      <c r="M53" s="1">
        <f>[1]Results!P1413</f>
        <v>1391781.3810000001</v>
      </c>
      <c r="N53" s="1">
        <f>[1]Results!Q1413</f>
        <v>1448607.497</v>
      </c>
      <c r="O53" s="1">
        <f>[1]Results!R1413</f>
        <v>1507173.7520000001</v>
      </c>
      <c r="P53" s="1">
        <f>[1]Results!S1413</f>
        <v>1567055.9879999999</v>
      </c>
      <c r="Q53" s="1">
        <f>[1]Results!T1413</f>
        <v>1628379.726</v>
      </c>
      <c r="R53" s="1">
        <f>[1]Results!U1413</f>
        <v>1691482.122</v>
      </c>
      <c r="S53" s="1">
        <f>[1]Results!V1413</f>
        <v>1756642.0179999999</v>
      </c>
      <c r="T53" s="1">
        <f>[1]Results!W1413</f>
        <v>1823953.8149999999</v>
      </c>
      <c r="U53" s="1">
        <f>[1]Results!X1413</f>
        <v>1893339.8870000001</v>
      </c>
      <c r="V53" s="1">
        <f>[1]Results!Y1413</f>
        <v>1964646.58</v>
      </c>
      <c r="W53" s="1">
        <f>[1]Results!Z1413</f>
        <v>2036150.5349999999</v>
      </c>
      <c r="X53" s="1">
        <f>[1]Results!AA1413</f>
        <v>2110846.3849999998</v>
      </c>
      <c r="Y53" s="1">
        <f>[1]Results!AB1413</f>
        <v>2187472.2790000001</v>
      </c>
      <c r="Z53" s="1">
        <f>[1]Results!AC1413</f>
        <v>2266299.9029999999</v>
      </c>
      <c r="AA53" s="1">
        <f>[1]Results!AD1413</f>
        <v>2347713.9679999999</v>
      </c>
      <c r="AB53" s="1">
        <f>[1]Results!AE1413</f>
        <v>2426140.4550000001</v>
      </c>
      <c r="AC53" s="1">
        <f>[1]Results!AF1413</f>
        <v>2511088.2859999998</v>
      </c>
      <c r="AD53" s="1">
        <f>[1]Results!AG1413</f>
        <v>2598818.142</v>
      </c>
      <c r="AE53" s="1">
        <f>[1]Results!AH1413</f>
        <v>2689298.608</v>
      </c>
      <c r="AF53" s="1">
        <f>[1]Results!AI1413</f>
        <v>2782593.0430000001</v>
      </c>
      <c r="AG53" s="1">
        <f>[1]Results!AJ1413</f>
        <v>2878847.2859999998</v>
      </c>
      <c r="AH53" s="1">
        <f>[1]Results!AK1413</f>
        <v>2978280.54</v>
      </c>
      <c r="AI53" s="1">
        <f>[1]Results!AL1413</f>
        <v>3081148.7140000002</v>
      </c>
      <c r="AJ53" s="1">
        <f>[1]Results!AM1413</f>
        <v>3187697.2910000002</v>
      </c>
      <c r="AK53" s="1">
        <f>[1]Results!AN1413</f>
        <v>3298125.3369999998</v>
      </c>
      <c r="AL53" s="1">
        <f>[1]Results!AO1413</f>
        <v>3412573.3679999998</v>
      </c>
    </row>
    <row r="54" spans="1:38" x14ac:dyDescent="0.3">
      <c r="A54" s="3" t="str">
        <f>[1]Results!E1414</f>
        <v>Bal_G_tot_VAL_2</v>
      </c>
      <c r="B54" t="str">
        <f>[1]Results!C1414</f>
        <v>Solde public</v>
      </c>
      <c r="C54" s="1">
        <f>[1]Results!F1414</f>
        <v>-64562.997510000001</v>
      </c>
      <c r="D54" s="1">
        <f>[1]Results!G1414</f>
        <v>-66867.275779999996</v>
      </c>
      <c r="E54" s="1">
        <f>[1]Results!H1414</f>
        <v>-62416.686930000003</v>
      </c>
      <c r="F54" s="1">
        <f>[1]Results!I1414</f>
        <v>-58723.784650000001</v>
      </c>
      <c r="G54" s="1">
        <f>[1]Results!J1414</f>
        <v>-58214.988360000003</v>
      </c>
      <c r="H54" s="1">
        <f>[1]Results!K1414</f>
        <v>-61324.862480000003</v>
      </c>
      <c r="I54" s="1">
        <f>[1]Results!L1414</f>
        <v>-66708.222760000004</v>
      </c>
      <c r="J54" s="1">
        <f>[1]Results!M1414</f>
        <v>-81870.602740000002</v>
      </c>
      <c r="K54" s="1">
        <f>[1]Results!N1414</f>
        <v>-113091.37850000001</v>
      </c>
      <c r="L54" s="1">
        <f>[1]Results!O1414</f>
        <v>-137454.59830000001</v>
      </c>
      <c r="M54" s="1">
        <f>[1]Results!P1414</f>
        <v>-149356.81090000001</v>
      </c>
      <c r="N54" s="1">
        <f>[1]Results!Q1414</f>
        <v>-147486.52650000001</v>
      </c>
      <c r="O54" s="1">
        <f>[1]Results!R1414</f>
        <v>-139555.6409</v>
      </c>
      <c r="P54" s="1">
        <f>[1]Results!S1414</f>
        <v>-131063.0119</v>
      </c>
      <c r="Q54" s="1">
        <f>[1]Results!T1414</f>
        <v>-126084.4124</v>
      </c>
      <c r="R54" s="1">
        <f>[1]Results!U1414</f>
        <v>-125857.07150000001</v>
      </c>
      <c r="S54" s="1">
        <f>[1]Results!V1414</f>
        <v>-129253.3515</v>
      </c>
      <c r="T54" s="1">
        <f>[1]Results!W1414</f>
        <v>-133973.1287</v>
      </c>
      <c r="U54" s="1">
        <f>[1]Results!X1414</f>
        <v>-137819.30119999999</v>
      </c>
      <c r="V54" s="1">
        <f>[1]Results!Y1414</f>
        <v>-139559.51379999999</v>
      </c>
      <c r="W54" s="1">
        <f>[1]Results!Z1414</f>
        <v>-138632.20329999999</v>
      </c>
      <c r="X54" s="1">
        <f>[1]Results!AA1414</f>
        <v>-137563.3229</v>
      </c>
      <c r="Y54" s="1">
        <f>[1]Results!AB1414</f>
        <v>-135761.9449</v>
      </c>
      <c r="Z54" s="1">
        <f>[1]Results!AC1414</f>
        <v>-134347.92449999999</v>
      </c>
      <c r="AA54" s="1">
        <f>[1]Results!AD1414</f>
        <v>-134145.264</v>
      </c>
      <c r="AB54" s="1">
        <f>[1]Results!AE1414</f>
        <v>-134500.26980000001</v>
      </c>
      <c r="AC54" s="1">
        <f>[1]Results!AF1414</f>
        <v>-137136.38690000001</v>
      </c>
      <c r="AD54" s="1">
        <f>[1]Results!AG1414</f>
        <v>-139328.5981</v>
      </c>
      <c r="AE54" s="1">
        <f>[1]Results!AH1414</f>
        <v>-140124.17170000001</v>
      </c>
      <c r="AF54" s="1">
        <f>[1]Results!AI1414</f>
        <v>-139667.45110000001</v>
      </c>
      <c r="AG54" s="1">
        <f>[1]Results!AJ1414</f>
        <v>-138599.14180000001</v>
      </c>
      <c r="AH54" s="1">
        <f>[1]Results!AK1414</f>
        <v>-137621.67079999999</v>
      </c>
      <c r="AI54" s="1">
        <f>[1]Results!AL1414</f>
        <v>-137164.2053</v>
      </c>
      <c r="AJ54" s="1">
        <f>[1]Results!AM1414</f>
        <v>-137247.4969</v>
      </c>
      <c r="AK54" s="1">
        <f>[1]Results!AN1414</f>
        <v>-137558.09880000001</v>
      </c>
      <c r="AL54" s="1">
        <f>[1]Results!AO1414</f>
        <v>-137647.5753</v>
      </c>
    </row>
    <row r="55" spans="1:38" x14ac:dyDescent="0.3">
      <c r="A55" s="3" t="str">
        <f>[1]Results!E1415</f>
        <v>DEBT_G_VAL_2</v>
      </c>
      <c r="B55" t="str">
        <f>[1]Results!C1415</f>
        <v>Dette publique</v>
      </c>
      <c r="C55" s="1">
        <f>[1]Results!F1415</f>
        <v>2096291.9040000001</v>
      </c>
      <c r="D55" s="1">
        <f>[1]Results!G1415</f>
        <v>2163159.1800000002</v>
      </c>
      <c r="E55" s="1">
        <f>[1]Results!H1415</f>
        <v>2225575.8670000001</v>
      </c>
      <c r="F55" s="1">
        <f>[1]Results!I1415</f>
        <v>2284299.6510000001</v>
      </c>
      <c r="G55" s="1">
        <f>[1]Results!J1415</f>
        <v>2342514.64</v>
      </c>
      <c r="H55" s="1">
        <f>[1]Results!K1415</f>
        <v>2403839.5019999999</v>
      </c>
      <c r="I55" s="1">
        <f>[1]Results!L1415</f>
        <v>2470547.7250000001</v>
      </c>
      <c r="J55" s="1">
        <f>[1]Results!M1415</f>
        <v>2552418.3280000002</v>
      </c>
      <c r="K55" s="1">
        <f>[1]Results!N1415</f>
        <v>2665509.7059999998</v>
      </c>
      <c r="L55" s="1">
        <f>[1]Results!O1415</f>
        <v>2802964.304</v>
      </c>
      <c r="M55" s="1">
        <f>[1]Results!P1415</f>
        <v>2952321.1150000002</v>
      </c>
      <c r="N55" s="1">
        <f>[1]Results!Q1415</f>
        <v>3099807.642</v>
      </c>
      <c r="O55" s="1">
        <f>[1]Results!R1415</f>
        <v>3239363.2829999998</v>
      </c>
      <c r="P55" s="1">
        <f>[1]Results!S1415</f>
        <v>3370426.2949999999</v>
      </c>
      <c r="Q55" s="1">
        <f>[1]Results!T1415</f>
        <v>3496510.7069999999</v>
      </c>
      <c r="R55" s="1">
        <f>[1]Results!U1415</f>
        <v>3622367.7779999999</v>
      </c>
      <c r="S55" s="1">
        <f>[1]Results!V1415</f>
        <v>3751621.13</v>
      </c>
      <c r="T55" s="1">
        <f>[1]Results!W1415</f>
        <v>3885594.2590000001</v>
      </c>
      <c r="U55" s="1">
        <f>[1]Results!X1415</f>
        <v>4023413.56</v>
      </c>
      <c r="V55" s="1">
        <f>[1]Results!Y1415</f>
        <v>4162973.074</v>
      </c>
      <c r="W55" s="1">
        <f>[1]Results!Z1415</f>
        <v>4301605.2769999998</v>
      </c>
      <c r="X55" s="1">
        <f>[1]Results!AA1415</f>
        <v>4439168.5999999996</v>
      </c>
      <c r="Y55" s="1">
        <f>[1]Results!AB1415</f>
        <v>4574930.5449999999</v>
      </c>
      <c r="Z55" s="1">
        <f>[1]Results!AC1415</f>
        <v>4709278.4689999996</v>
      </c>
      <c r="AA55" s="1">
        <f>[1]Results!AD1415</f>
        <v>4843423.733</v>
      </c>
      <c r="AB55" s="1">
        <f>[1]Results!AE1415</f>
        <v>4977924.0029999996</v>
      </c>
      <c r="AC55" s="1">
        <f>[1]Results!AF1415</f>
        <v>5115060.3899999997</v>
      </c>
      <c r="AD55" s="1">
        <f>[1]Results!AG1415</f>
        <v>5254388.9879999999</v>
      </c>
      <c r="AE55" s="1">
        <f>[1]Results!AH1415</f>
        <v>5394513.1600000001</v>
      </c>
      <c r="AF55" s="1">
        <f>[1]Results!AI1415</f>
        <v>5534180.6109999996</v>
      </c>
      <c r="AG55" s="1">
        <f>[1]Results!AJ1415</f>
        <v>5672779.7529999996</v>
      </c>
      <c r="AH55" s="1">
        <f>[1]Results!AK1415</f>
        <v>5810401.4239999996</v>
      </c>
      <c r="AI55" s="1">
        <f>[1]Results!AL1415</f>
        <v>5947565.6289999997</v>
      </c>
      <c r="AJ55" s="1">
        <f>[1]Results!AM1415</f>
        <v>6084813.1260000002</v>
      </c>
      <c r="AK55" s="1">
        <f>[1]Results!AN1415</f>
        <v>6222371.2249999996</v>
      </c>
      <c r="AL55" s="1">
        <f>[1]Results!AO1415</f>
        <v>6360018.7999999998</v>
      </c>
    </row>
    <row r="56" spans="1:38" x14ac:dyDescent="0.3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x14ac:dyDescent="0.3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x14ac:dyDescent="0.3">
      <c r="A58" s="13" t="s">
        <v>35</v>
      </c>
      <c r="B58" t="s">
        <v>4</v>
      </c>
      <c r="C58" s="1">
        <f>[1]Results!F1731</f>
        <v>1207462.862</v>
      </c>
      <c r="D58" s="1">
        <f>[1]Results!G1731</f>
        <v>1220807.794</v>
      </c>
      <c r="E58" s="1">
        <f>[1]Results!H1731</f>
        <v>1240845.2220000001</v>
      </c>
      <c r="F58" s="1">
        <f>[1]Results!I1731</f>
        <v>1261529.1140000001</v>
      </c>
      <c r="G58" s="1">
        <f>[1]Results!J1731</f>
        <v>1279973.0889999999</v>
      </c>
      <c r="H58" s="1">
        <f>[1]Results!K1731</f>
        <v>1296583.031</v>
      </c>
      <c r="I58" s="1">
        <f>[1]Results!L1731</f>
        <v>1311147.831</v>
      </c>
      <c r="J58" s="1">
        <f>[1]Results!M1731</f>
        <v>1325923.75</v>
      </c>
      <c r="K58" s="1">
        <f>[1]Results!N1731</f>
        <v>1341321.6629999999</v>
      </c>
      <c r="L58" s="1">
        <f>[1]Results!O1731</f>
        <v>1357986.6329999999</v>
      </c>
      <c r="M58" s="1">
        <f>[1]Results!P1731</f>
        <v>1376909.933</v>
      </c>
      <c r="N58" s="1">
        <f>[1]Results!Q1731</f>
        <v>1397217.8840000001</v>
      </c>
      <c r="O58" s="1">
        <f>[1]Results!R1731</f>
        <v>1418592.5209999999</v>
      </c>
      <c r="P58" s="1">
        <f>[1]Results!S1731</f>
        <v>1440396.1810000001</v>
      </c>
      <c r="Q58" s="1">
        <f>[1]Results!T1731</f>
        <v>1462533.094</v>
      </c>
      <c r="R58" s="1">
        <f>[1]Results!U1731</f>
        <v>1485107.031</v>
      </c>
      <c r="S58" s="1">
        <f>[1]Results!V1731</f>
        <v>1508265.953</v>
      </c>
      <c r="T58" s="1">
        <f>[1]Results!W1731</f>
        <v>1532099.209</v>
      </c>
      <c r="U58" s="1">
        <f>[1]Results!X1731</f>
        <v>1556593.415</v>
      </c>
      <c r="V58" s="1">
        <f>[1]Results!Y1731</f>
        <v>1581643.57</v>
      </c>
      <c r="W58" s="1">
        <f>[1]Results!Z1731</f>
        <v>1606050.42</v>
      </c>
      <c r="X58" s="1">
        <f>[1]Results!AA1731</f>
        <v>1631270.375</v>
      </c>
      <c r="Y58" s="1">
        <f>[1]Results!AB1731</f>
        <v>1656955.281</v>
      </c>
      <c r="Z58" s="1">
        <f>[1]Results!AC1731</f>
        <v>1682889.899</v>
      </c>
      <c r="AA58" s="1">
        <f>[1]Results!AD1731</f>
        <v>1708970.206</v>
      </c>
      <c r="AB58" s="1">
        <f>[1]Results!AE1731</f>
        <v>1730831.1459999999</v>
      </c>
      <c r="AC58" s="1">
        <f>[1]Results!AF1731</f>
        <v>1755569.443</v>
      </c>
      <c r="AD58" s="1">
        <f>[1]Results!AG1731</f>
        <v>1779981.6159999999</v>
      </c>
      <c r="AE58" s="1">
        <f>[1]Results!AH1731</f>
        <v>1804493.9169999999</v>
      </c>
      <c r="AF58" s="1">
        <f>[1]Results!AI1731</f>
        <v>1829218.8</v>
      </c>
      <c r="AG58" s="1">
        <f>[1]Results!AJ1731</f>
        <v>1854097.8030000001</v>
      </c>
      <c r="AH58" s="1">
        <f>[1]Results!AK1731</f>
        <v>1879049.8640000001</v>
      </c>
      <c r="AI58" s="1">
        <f>[1]Results!AL1731</f>
        <v>1904060.777</v>
      </c>
      <c r="AJ58" s="1">
        <f>[1]Results!AM1731</f>
        <v>1929203.6950000001</v>
      </c>
      <c r="AK58" s="1">
        <f>[1]Results!AN1731</f>
        <v>1954608.1880000001</v>
      </c>
      <c r="AL58" s="1">
        <f>[1]Results!AO1731</f>
        <v>1980406.7279999999</v>
      </c>
    </row>
    <row r="59" spans="1:38" x14ac:dyDescent="0.3">
      <c r="A59" s="14"/>
      <c r="B59" t="s">
        <v>6</v>
      </c>
      <c r="C59" s="1">
        <f>[1]Results!F1702</f>
        <v>1207462.862</v>
      </c>
      <c r="D59" s="1">
        <f>[1]Results!G1702</f>
        <v>1220807.794</v>
      </c>
      <c r="E59" s="1">
        <f>[1]Results!H1702</f>
        <v>1240845.2220000001</v>
      </c>
      <c r="F59" s="1">
        <f>[1]Results!I1702</f>
        <v>1261529.1140000001</v>
      </c>
      <c r="G59" s="1">
        <f>[1]Results!J1702</f>
        <v>1279973.0889999999</v>
      </c>
      <c r="H59" s="1">
        <f>[1]Results!K1702</f>
        <v>1296583.031</v>
      </c>
      <c r="I59" s="1">
        <f>[1]Results!L1702</f>
        <v>1311023.693</v>
      </c>
      <c r="J59" s="1">
        <f>[1]Results!M1702</f>
        <v>1319263.5630000001</v>
      </c>
      <c r="K59" s="1">
        <f>[1]Results!N1702</f>
        <v>1326132.1710000001</v>
      </c>
      <c r="L59" s="1">
        <f>[1]Results!O1702</f>
        <v>1336753.9480000001</v>
      </c>
      <c r="M59" s="1">
        <f>[1]Results!P1702</f>
        <v>1354376.9650000001</v>
      </c>
      <c r="N59" s="1">
        <f>[1]Results!Q1702</f>
        <v>1377342.878</v>
      </c>
      <c r="O59" s="1">
        <f>[1]Results!R1702</f>
        <v>1403809.399</v>
      </c>
      <c r="P59" s="1">
        <f>[1]Results!S1702</f>
        <v>1431001.6980000001</v>
      </c>
      <c r="Q59" s="1">
        <f>[1]Results!T1702</f>
        <v>1457210.4439999999</v>
      </c>
      <c r="R59" s="1">
        <f>[1]Results!U1702</f>
        <v>1481841.8670000001</v>
      </c>
      <c r="S59" s="1">
        <f>[1]Results!V1702</f>
        <v>1505209.6159999999</v>
      </c>
      <c r="T59" s="1">
        <f>[1]Results!W1702</f>
        <v>1528089.65</v>
      </c>
      <c r="U59" s="1">
        <f>[1]Results!X1702</f>
        <v>1551249.3430000001</v>
      </c>
      <c r="V59" s="1">
        <f>[1]Results!Y1702</f>
        <v>1575141.389</v>
      </c>
      <c r="W59" s="1">
        <f>[1]Results!Z1702</f>
        <v>1598825.4339999999</v>
      </c>
      <c r="X59" s="1">
        <f>[1]Results!AA1702</f>
        <v>1623577.325</v>
      </c>
      <c r="Y59" s="1">
        <f>[1]Results!AB1702</f>
        <v>1648869.8840000001</v>
      </c>
      <c r="Z59" s="1">
        <f>[1]Results!AC1702</f>
        <v>1674280.2609999999</v>
      </c>
      <c r="AA59" s="1">
        <f>[1]Results!AD1702</f>
        <v>1699604.1059999999</v>
      </c>
      <c r="AB59" s="1">
        <f>[1]Results!AE1702</f>
        <v>1720593.5</v>
      </c>
      <c r="AC59" s="1">
        <f>[1]Results!AF1702</f>
        <v>1744332.0649999999</v>
      </c>
      <c r="AD59" s="1">
        <f>[1]Results!AG1702</f>
        <v>1767828.9580000001</v>
      </c>
      <c r="AE59" s="1">
        <f>[1]Results!AH1702</f>
        <v>1791644.6810000001</v>
      </c>
      <c r="AF59" s="1">
        <f>[1]Results!AI1702</f>
        <v>1815959.628</v>
      </c>
      <c r="AG59" s="1">
        <f>[1]Results!AJ1702</f>
        <v>1840707.4790000001</v>
      </c>
      <c r="AH59" s="1">
        <f>[1]Results!AK1702</f>
        <v>1865742.716</v>
      </c>
      <c r="AI59" s="1">
        <f>[1]Results!AL1702</f>
        <v>1890964.517</v>
      </c>
      <c r="AJ59" s="1">
        <f>[1]Results!AM1702</f>
        <v>1916368.564</v>
      </c>
      <c r="AK59" s="1">
        <f>[1]Results!AN1702</f>
        <v>1942034.0160000001</v>
      </c>
      <c r="AL59" s="1">
        <f>[1]Results!AO1702</f>
        <v>1968073.781</v>
      </c>
    </row>
    <row r="60" spans="1:38" x14ac:dyDescent="0.3">
      <c r="A60" s="14"/>
      <c r="C60" s="1"/>
      <c r="D60" s="1"/>
      <c r="E60" s="1"/>
      <c r="F60" s="1"/>
      <c r="G60" s="1"/>
      <c r="H60" s="4">
        <f t="shared" ref="H60:U60" si="0">H58/G58-1</f>
        <v>1.2976790014372019E-2</v>
      </c>
      <c r="I60" s="4">
        <f t="shared" si="0"/>
        <v>1.1233218121609045E-2</v>
      </c>
      <c r="J60" s="4">
        <f t="shared" si="0"/>
        <v>1.1269453108678551E-2</v>
      </c>
      <c r="K60" s="4">
        <f t="shared" si="0"/>
        <v>1.1612970202849127E-2</v>
      </c>
      <c r="L60" s="4">
        <f t="shared" si="0"/>
        <v>1.2424290503686652E-2</v>
      </c>
      <c r="M60" s="4">
        <f t="shared" si="0"/>
        <v>1.393482052043149E-2</v>
      </c>
      <c r="N60" s="4">
        <f t="shared" si="0"/>
        <v>1.4748932020377969E-2</v>
      </c>
      <c r="O60" s="4">
        <f t="shared" si="0"/>
        <v>1.5297998433005944E-2</v>
      </c>
      <c r="P60" s="4">
        <f t="shared" si="0"/>
        <v>1.5369924539451407E-2</v>
      </c>
      <c r="Q60" s="4">
        <f t="shared" si="0"/>
        <v>1.5368627945563818E-2</v>
      </c>
      <c r="R60" s="4">
        <f t="shared" si="0"/>
        <v>1.5434821333348836E-2</v>
      </c>
      <c r="S60" s="4">
        <f t="shared" si="0"/>
        <v>1.5594109728512828E-2</v>
      </c>
      <c r="T60" s="4">
        <f t="shared" si="0"/>
        <v>1.5801759598560672E-2</v>
      </c>
      <c r="U60" s="4">
        <f t="shared" si="0"/>
        <v>1.5987349811365847E-2</v>
      </c>
      <c r="V60" s="4">
        <f>V58/U58-1</f>
        <v>1.6092933940620613E-2</v>
      </c>
      <c r="W60" s="4">
        <f t="shared" ref="W60:AL60" si="1">W58/V58-1</f>
        <v>1.5431321229978368E-2</v>
      </c>
      <c r="X60" s="4">
        <f t="shared" si="1"/>
        <v>1.5703090442204193E-2</v>
      </c>
      <c r="Y60" s="4">
        <f t="shared" si="1"/>
        <v>1.5745339579283479E-2</v>
      </c>
      <c r="Z60" s="4">
        <f t="shared" si="1"/>
        <v>1.5651972203104991E-2</v>
      </c>
      <c r="AA60" s="4">
        <f t="shared" si="1"/>
        <v>1.5497334089114911E-2</v>
      </c>
      <c r="AB60" s="4">
        <f t="shared" si="1"/>
        <v>1.2791878947478796E-2</v>
      </c>
      <c r="AC60" s="4">
        <f t="shared" si="1"/>
        <v>1.4292726969451053E-2</v>
      </c>
      <c r="AD60" s="4">
        <f t="shared" si="1"/>
        <v>1.3905558163670895E-2</v>
      </c>
      <c r="AE60" s="4">
        <f t="shared" si="1"/>
        <v>1.3771097847113944E-2</v>
      </c>
      <c r="AF60" s="4">
        <f t="shared" si="1"/>
        <v>1.3701837821157969E-2</v>
      </c>
      <c r="AG60" s="4">
        <f t="shared" si="1"/>
        <v>1.3600889625669632E-2</v>
      </c>
      <c r="AH60" s="4">
        <f t="shared" si="1"/>
        <v>1.3457791147601039E-2</v>
      </c>
      <c r="AI60" s="4">
        <f t="shared" si="1"/>
        <v>1.3310404092607975E-2</v>
      </c>
      <c r="AJ60" s="4">
        <f t="shared" si="1"/>
        <v>1.320489256630486E-2</v>
      </c>
      <c r="AK60" s="4">
        <f t="shared" si="1"/>
        <v>1.3168382927029487E-2</v>
      </c>
      <c r="AL60" s="4">
        <f t="shared" si="1"/>
        <v>1.3198829391172007E-2</v>
      </c>
    </row>
    <row r="61" spans="1:38" x14ac:dyDescent="0.3">
      <c r="A61" s="18" t="s">
        <v>3</v>
      </c>
      <c r="B61" t="s">
        <v>4</v>
      </c>
      <c r="C61" s="1">
        <f>[1]Results!F1789</f>
        <v>0.99909222990000002</v>
      </c>
      <c r="D61" s="1">
        <f>[1]Results!G1789</f>
        <v>1.0122525259999999</v>
      </c>
      <c r="E61" s="1">
        <f>[1]Results!H1789</f>
        <v>1.023612223</v>
      </c>
      <c r="F61" s="1">
        <f>[1]Results!I1789</f>
        <v>1.0347331209999999</v>
      </c>
      <c r="G61" s="1">
        <f>[1]Results!J1789</f>
        <v>1.0469012870000001</v>
      </c>
      <c r="H61" s="1">
        <f>[1]Results!K1789</f>
        <v>1.0609779180000001</v>
      </c>
      <c r="I61" s="1">
        <f>[1]Results!L1789</f>
        <v>1.0772079409999999</v>
      </c>
      <c r="J61" s="1">
        <f>[1]Results!M1789</f>
        <v>1.0957156990000001</v>
      </c>
      <c r="K61" s="1">
        <f>[1]Results!N1789</f>
        <v>1.1159194720000001</v>
      </c>
      <c r="L61" s="1">
        <f>[1]Results!O1789</f>
        <v>1.1372900619999999</v>
      </c>
      <c r="M61" s="1">
        <f>[1]Results!P1789</f>
        <v>1.159265787</v>
      </c>
      <c r="N61" s="1">
        <f>[1]Results!Q1789</f>
        <v>1.1823405229999999</v>
      </c>
      <c r="O61" s="1">
        <f>[1]Results!R1789</f>
        <v>1.2069114949999999</v>
      </c>
      <c r="P61" s="1">
        <f>[1]Results!S1789</f>
        <v>1.2330916119999999</v>
      </c>
      <c r="Q61" s="1">
        <f>[1]Results!T1789</f>
        <v>1.2607488899999999</v>
      </c>
      <c r="R61" s="1">
        <f>[1]Results!U1789</f>
        <v>1.2895862769999999</v>
      </c>
      <c r="S61" s="1">
        <f>[1]Results!V1789</f>
        <v>1.319251682</v>
      </c>
      <c r="T61" s="1">
        <f>[1]Results!W1789</f>
        <v>1.3494423710000001</v>
      </c>
      <c r="U61" s="1">
        <f>[1]Results!X1789</f>
        <v>1.3799643420000001</v>
      </c>
      <c r="V61" s="1">
        <f>[1]Results!Y1789</f>
        <v>1.4107401690000001</v>
      </c>
      <c r="W61" s="1">
        <f>[1]Results!Z1789</f>
        <v>1.4420075910000001</v>
      </c>
      <c r="X61" s="1">
        <f>[1]Results!AA1789</f>
        <v>1.473401814</v>
      </c>
      <c r="Y61" s="1">
        <f>[1]Results!AB1789</f>
        <v>1.504966123</v>
      </c>
      <c r="Z61" s="1">
        <f>[1]Results!AC1789</f>
        <v>1.536834407</v>
      </c>
      <c r="AA61" s="1">
        <f>[1]Results!AD1789</f>
        <v>1.5691621769999999</v>
      </c>
      <c r="AB61" s="1">
        <f>[1]Results!AE1789</f>
        <v>1.6025788059999999</v>
      </c>
      <c r="AC61" s="1">
        <f>[1]Results!AF1789</f>
        <v>1.6364797019999999</v>
      </c>
      <c r="AD61" s="1">
        <f>[1]Results!AG1789</f>
        <v>1.670513473</v>
      </c>
      <c r="AE61" s="1">
        <f>[1]Results!AH1789</f>
        <v>1.70464774</v>
      </c>
      <c r="AF61" s="1">
        <f>[1]Results!AI1789</f>
        <v>1.7390609340000001</v>
      </c>
      <c r="AG61" s="1">
        <f>[1]Results!AJ1789</f>
        <v>1.774030507</v>
      </c>
      <c r="AH61" s="1">
        <f>[1]Results!AK1789</f>
        <v>1.8098150390000001</v>
      </c>
      <c r="AI61" s="1">
        <f>[1]Results!AL1789</f>
        <v>1.846574553</v>
      </c>
      <c r="AJ61" s="1">
        <f>[1]Results!AM1789</f>
        <v>1.884349166</v>
      </c>
      <c r="AK61" s="1">
        <f>[1]Results!AN1789</f>
        <v>1.9230893469999999</v>
      </c>
      <c r="AL61" s="1">
        <f>[1]Results!AO1789</f>
        <v>1.9627144679999999</v>
      </c>
    </row>
    <row r="62" spans="1:38" x14ac:dyDescent="0.3">
      <c r="A62" s="18"/>
      <c r="B62" t="s">
        <v>6</v>
      </c>
      <c r="C62" s="1">
        <f>[1]Results!F1760</f>
        <v>0.99909222990000002</v>
      </c>
      <c r="D62" s="1">
        <f>[1]Results!G1760</f>
        <v>1.0122525259999999</v>
      </c>
      <c r="E62" s="1">
        <f>[1]Results!H1760</f>
        <v>1.023612223</v>
      </c>
      <c r="F62" s="1">
        <f>[1]Results!I1760</f>
        <v>1.0347331209999999</v>
      </c>
      <c r="G62" s="1">
        <f>[1]Results!J1760</f>
        <v>1.0469012870000001</v>
      </c>
      <c r="H62" s="1">
        <f>[1]Results!K1760</f>
        <v>1.0609779180000001</v>
      </c>
      <c r="I62" s="1">
        <f>[1]Results!L1760</f>
        <v>1.077646101</v>
      </c>
      <c r="J62" s="1">
        <f>[1]Results!M1760</f>
        <v>1.1085425760000001</v>
      </c>
      <c r="K62" s="1">
        <f>[1]Results!N1760</f>
        <v>1.1439317179999999</v>
      </c>
      <c r="L62" s="1">
        <f>[1]Results!O1760</f>
        <v>1.1785985919999999</v>
      </c>
      <c r="M62" s="1">
        <f>[1]Results!P1760</f>
        <v>1.209208423</v>
      </c>
      <c r="N62" s="1">
        <f>[1]Results!Q1760</f>
        <v>1.236567915</v>
      </c>
      <c r="O62" s="1">
        <f>[1]Results!R1760</f>
        <v>1.2619958309999999</v>
      </c>
      <c r="P62" s="1">
        <f>[1]Results!S1760</f>
        <v>1.287381178</v>
      </c>
      <c r="Q62" s="1">
        <f>[1]Results!T1760</f>
        <v>1.3140948299999999</v>
      </c>
      <c r="R62" s="1">
        <f>[1]Results!U1760</f>
        <v>1.3426341319999999</v>
      </c>
      <c r="S62" s="1">
        <f>[1]Results!V1760</f>
        <v>1.3727000570000001</v>
      </c>
      <c r="T62" s="1">
        <f>[1]Results!W1760</f>
        <v>1.4035551980000001</v>
      </c>
      <c r="U62" s="1">
        <f>[1]Results!X1760</f>
        <v>1.434455826</v>
      </c>
      <c r="V62" s="1">
        <f>[1]Results!Y1760</f>
        <v>1.4649613020000001</v>
      </c>
      <c r="W62" s="1">
        <f>[1]Results!Z1760</f>
        <v>1.4952062070000001</v>
      </c>
      <c r="X62" s="1">
        <f>[1]Results!AA1760</f>
        <v>1.525190761</v>
      </c>
      <c r="Y62" s="1">
        <f>[1]Results!AB1760</f>
        <v>1.5552738290000001</v>
      </c>
      <c r="Z62" s="1">
        <f>[1]Results!AC1760</f>
        <v>1.5859515200000001</v>
      </c>
      <c r="AA62" s="1">
        <f>[1]Results!AD1760</f>
        <v>1.617614992</v>
      </c>
      <c r="AB62" s="1">
        <f>[1]Results!AE1760</f>
        <v>1.650882942</v>
      </c>
      <c r="AC62" s="1">
        <f>[1]Results!AF1760</f>
        <v>1.6851944190000001</v>
      </c>
      <c r="AD62" s="1">
        <f>[1]Results!AG1760</f>
        <v>1.719994588</v>
      </c>
      <c r="AE62" s="1">
        <f>[1]Results!AH1760</f>
        <v>1.755073291</v>
      </c>
      <c r="AF62" s="1">
        <f>[1]Results!AI1760</f>
        <v>1.7904808830000001</v>
      </c>
      <c r="AG62" s="1">
        <f>[1]Results!AJ1760</f>
        <v>1.8264352129999999</v>
      </c>
      <c r="AH62" s="1">
        <f>[1]Results!AK1760</f>
        <v>1.863192256</v>
      </c>
      <c r="AI62" s="1">
        <f>[1]Results!AL1760</f>
        <v>1.9009355649999999</v>
      </c>
      <c r="AJ62" s="1">
        <f>[1]Results!AM1760</f>
        <v>1.939725148</v>
      </c>
      <c r="AK62" s="1">
        <f>[1]Results!AN1760</f>
        <v>1.9795105850000001</v>
      </c>
      <c r="AL62" s="1">
        <f>[1]Results!AO1760</f>
        <v>2.0201859049999999</v>
      </c>
    </row>
    <row r="63" spans="1:38" x14ac:dyDescent="0.3">
      <c r="A63" s="1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x14ac:dyDescent="0.3">
      <c r="A64" s="18" t="s">
        <v>1</v>
      </c>
      <c r="B64" t="str">
        <f>B61</f>
        <v>Baseline</v>
      </c>
      <c r="D64" s="1">
        <f t="shared" ref="D64:AL64" si="2">(D61/C61-1)*100</f>
        <v>1.3172253477856666</v>
      </c>
      <c r="E64" s="1">
        <f t="shared" si="2"/>
        <v>1.1222196742633805</v>
      </c>
      <c r="F64" s="1">
        <f t="shared" si="2"/>
        <v>1.0864366163396255</v>
      </c>
      <c r="G64" s="1">
        <f t="shared" si="2"/>
        <v>1.1759714416254896</v>
      </c>
      <c r="H64" s="1">
        <f t="shared" si="2"/>
        <v>1.3445996460982546</v>
      </c>
      <c r="I64" s="1">
        <f t="shared" si="2"/>
        <v>1.5297229777029075</v>
      </c>
      <c r="J64" s="1">
        <f t="shared" si="2"/>
        <v>1.7181230564285332</v>
      </c>
      <c r="K64" s="1">
        <f t="shared" si="2"/>
        <v>1.8438882475115381</v>
      </c>
      <c r="L64" s="1">
        <f t="shared" si="2"/>
        <v>1.9150656060959781</v>
      </c>
      <c r="M64" s="1">
        <f t="shared" si="2"/>
        <v>1.9322884929948714</v>
      </c>
      <c r="N64" s="1">
        <f t="shared" si="2"/>
        <v>1.9904612263002885</v>
      </c>
      <c r="O64" s="1">
        <f t="shared" si="2"/>
        <v>2.0781637372670803</v>
      </c>
      <c r="P64" s="1">
        <f t="shared" si="2"/>
        <v>2.1691828363934906</v>
      </c>
      <c r="Q64" s="1">
        <f t="shared" si="2"/>
        <v>2.2429215908087663</v>
      </c>
      <c r="R64" s="1">
        <f t="shared" si="2"/>
        <v>2.2873220217548784</v>
      </c>
      <c r="S64" s="1">
        <f t="shared" si="2"/>
        <v>2.3003815664828231</v>
      </c>
      <c r="T64" s="1">
        <f t="shared" si="2"/>
        <v>2.2884707605019372</v>
      </c>
      <c r="U64" s="1">
        <f t="shared" si="2"/>
        <v>2.2618210051742915</v>
      </c>
      <c r="V64" s="1">
        <f t="shared" si="2"/>
        <v>2.2301900174751088</v>
      </c>
      <c r="W64" s="1">
        <f t="shared" si="2"/>
        <v>2.2163841852014254</v>
      </c>
      <c r="X64" s="1">
        <f t="shared" si="2"/>
        <v>2.1771191216981567</v>
      </c>
      <c r="Y64" s="1">
        <f t="shared" si="2"/>
        <v>2.1422743409219125</v>
      </c>
      <c r="Z64" s="1">
        <f t="shared" si="2"/>
        <v>2.1175416185763574</v>
      </c>
      <c r="AA64" s="1">
        <f t="shared" si="2"/>
        <v>2.1035298177053408</v>
      </c>
      <c r="AB64" s="1">
        <f t="shared" si="2"/>
        <v>2.1295841494145318</v>
      </c>
      <c r="AC64" s="1">
        <f t="shared" si="2"/>
        <v>2.115396501755562</v>
      </c>
      <c r="AD64" s="1">
        <f t="shared" si="2"/>
        <v>2.0796940504917982</v>
      </c>
      <c r="AE64" s="1">
        <f t="shared" si="2"/>
        <v>2.0433398204624975</v>
      </c>
      <c r="AF64" s="1">
        <f t="shared" si="2"/>
        <v>2.0187862390853795</v>
      </c>
      <c r="AG64" s="1">
        <f t="shared" si="2"/>
        <v>2.0108308062309677</v>
      </c>
      <c r="AH64" s="1">
        <f t="shared" si="2"/>
        <v>2.0171317155370794</v>
      </c>
      <c r="AI64" s="1">
        <f t="shared" si="2"/>
        <v>2.031119932582226</v>
      </c>
      <c r="AJ64" s="1">
        <f t="shared" si="2"/>
        <v>2.0456587002474658</v>
      </c>
      <c r="AK64" s="1">
        <f t="shared" si="2"/>
        <v>2.0558918537499915</v>
      </c>
      <c r="AL64" s="1">
        <f t="shared" si="2"/>
        <v>2.0604929803087257</v>
      </c>
    </row>
    <row r="65" spans="1:38" x14ac:dyDescent="0.3">
      <c r="A65" s="18"/>
      <c r="B65" t="str">
        <f>B62</f>
        <v>NZ50</v>
      </c>
      <c r="D65" s="1">
        <f t="shared" ref="D65:AL65" si="3">(D62/C62-1)*100</f>
        <v>1.3172253477856666</v>
      </c>
      <c r="E65" s="1">
        <f t="shared" si="3"/>
        <v>1.1222196742633805</v>
      </c>
      <c r="F65" s="1">
        <f t="shared" si="3"/>
        <v>1.0864366163396255</v>
      </c>
      <c r="G65" s="1">
        <f t="shared" si="3"/>
        <v>1.1759714416254896</v>
      </c>
      <c r="H65" s="1">
        <f t="shared" si="3"/>
        <v>1.3445996460982546</v>
      </c>
      <c r="I65" s="1">
        <f t="shared" si="3"/>
        <v>1.5710207269365561</v>
      </c>
      <c r="J65" s="1">
        <f t="shared" si="3"/>
        <v>2.8670335253224266</v>
      </c>
      <c r="K65" s="1">
        <f t="shared" si="3"/>
        <v>3.1924025983463888</v>
      </c>
      <c r="L65" s="1">
        <f t="shared" si="3"/>
        <v>3.0305020356118817</v>
      </c>
      <c r="M65" s="1">
        <f t="shared" si="3"/>
        <v>2.5971379236129355</v>
      </c>
      <c r="N65" s="1">
        <f t="shared" si="3"/>
        <v>2.2625952217668166</v>
      </c>
      <c r="O65" s="1">
        <f t="shared" si="3"/>
        <v>2.0563299186037831</v>
      </c>
      <c r="P65" s="1">
        <f t="shared" si="3"/>
        <v>2.0115238399706081</v>
      </c>
      <c r="Q65" s="1">
        <f t="shared" si="3"/>
        <v>2.07503826034654</v>
      </c>
      <c r="R65" s="1">
        <f t="shared" si="3"/>
        <v>2.1717840561019441</v>
      </c>
      <c r="S65" s="1">
        <f t="shared" si="3"/>
        <v>2.2393237504854557</v>
      </c>
      <c r="T65" s="1">
        <f t="shared" si="3"/>
        <v>2.2477700676601708</v>
      </c>
      <c r="U65" s="1">
        <f t="shared" si="3"/>
        <v>2.2015969193111884</v>
      </c>
      <c r="V65" s="1">
        <f t="shared" si="3"/>
        <v>2.1266235911261866</v>
      </c>
      <c r="W65" s="1">
        <f t="shared" si="3"/>
        <v>2.0645531700195008</v>
      </c>
      <c r="X65" s="1">
        <f t="shared" si="3"/>
        <v>2.0053791817893352</v>
      </c>
      <c r="Y65" s="1">
        <f t="shared" si="3"/>
        <v>1.9724134691371908</v>
      </c>
      <c r="Z65" s="1">
        <f t="shared" si="3"/>
        <v>1.9724945169124819</v>
      </c>
      <c r="AA65" s="1">
        <f t="shared" si="3"/>
        <v>1.9964968412149231</v>
      </c>
      <c r="AB65" s="1">
        <f t="shared" si="3"/>
        <v>2.056604950159846</v>
      </c>
      <c r="AC65" s="1">
        <f t="shared" si="3"/>
        <v>2.0783712840616531</v>
      </c>
      <c r="AD65" s="1">
        <f t="shared" si="3"/>
        <v>2.0650536583577406</v>
      </c>
      <c r="AE65" s="1">
        <f t="shared" si="3"/>
        <v>2.0394658939473231</v>
      </c>
      <c r="AF65" s="1">
        <f t="shared" si="3"/>
        <v>2.0174423587647317</v>
      </c>
      <c r="AG65" s="1">
        <f t="shared" si="3"/>
        <v>2.0080823169559503</v>
      </c>
      <c r="AH65" s="1">
        <f t="shared" si="3"/>
        <v>2.0125018800762673</v>
      </c>
      <c r="AI65" s="1">
        <f t="shared" si="3"/>
        <v>2.0257334624731227</v>
      </c>
      <c r="AJ65" s="1">
        <f t="shared" si="3"/>
        <v>2.0405522267136877</v>
      </c>
      <c r="AK65" s="1">
        <f t="shared" si="3"/>
        <v>2.0510863119458822</v>
      </c>
      <c r="AL65" s="1">
        <f t="shared" si="3"/>
        <v>2.0548169991220222</v>
      </c>
    </row>
    <row r="66" spans="1:38" x14ac:dyDescent="0.3">
      <c r="A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38" x14ac:dyDescent="0.3">
      <c r="A67" s="15" t="s">
        <v>2</v>
      </c>
      <c r="B67" t="str">
        <f>B64</f>
        <v>Baseline</v>
      </c>
      <c r="C67" s="6">
        <f>[1]Emissions!B820</f>
        <v>352.7251048</v>
      </c>
      <c r="D67" s="6">
        <f>[1]Emissions!C820</f>
        <v>354.65596770000002</v>
      </c>
      <c r="E67" s="6">
        <f>[1]Emissions!D820</f>
        <v>356.42893789999999</v>
      </c>
      <c r="F67" s="6">
        <f>[1]Emissions!E820</f>
        <v>358.400598</v>
      </c>
      <c r="G67" s="6">
        <f>[1]Emissions!F820</f>
        <v>360.81900569999999</v>
      </c>
      <c r="H67" s="6">
        <f>[1]Emissions!G820</f>
        <v>363.85982310000003</v>
      </c>
      <c r="I67" s="6">
        <f>[1]Emissions!H820</f>
        <v>367.11848680000003</v>
      </c>
      <c r="J67" s="6">
        <f>[1]Emissions!I820</f>
        <v>370.99485240000001</v>
      </c>
      <c r="K67" s="6">
        <f>[1]Emissions!J820</f>
        <v>375.33375669999998</v>
      </c>
      <c r="L67" s="6">
        <f>[1]Emissions!K820</f>
        <v>379.93480499999998</v>
      </c>
      <c r="M67" s="6">
        <f>[1]Emissions!L820</f>
        <v>385.2418998</v>
      </c>
      <c r="N67" s="6">
        <f>[1]Emissions!M820</f>
        <v>389.97036220000001</v>
      </c>
      <c r="O67" s="6">
        <f>[1]Emissions!N820</f>
        <v>394.71850920000003</v>
      </c>
      <c r="P67" s="6">
        <f>[1]Emissions!O820</f>
        <v>399.52336589999999</v>
      </c>
      <c r="Q67" s="6">
        <f>[1]Emissions!P820</f>
        <v>404.31532950000002</v>
      </c>
      <c r="R67" s="6">
        <f>[1]Emissions!Q820</f>
        <v>409.02569679999999</v>
      </c>
      <c r="S67" s="6">
        <f>[1]Emissions!R820</f>
        <v>413.61024500000002</v>
      </c>
      <c r="T67" s="6">
        <f>[1]Emissions!S820</f>
        <v>418.05461910000002</v>
      </c>
      <c r="U67" s="6">
        <f>[1]Emissions!T820</f>
        <v>422.37275829999999</v>
      </c>
      <c r="V67" s="6">
        <f>[1]Emissions!U820</f>
        <v>426.59917510000002</v>
      </c>
      <c r="W67" s="6">
        <f>[1]Emissions!V820</f>
        <v>430.33550830000001</v>
      </c>
      <c r="X67" s="6">
        <f>[1]Emissions!W820</f>
        <v>434.50434300000001</v>
      </c>
      <c r="Y67" s="6">
        <f>[1]Emissions!X820</f>
        <v>438.72413920000002</v>
      </c>
      <c r="Z67" s="6">
        <f>[1]Emissions!Y820</f>
        <v>442.95878329999999</v>
      </c>
      <c r="AA67" s="6">
        <f>[1]Emissions!Z820</f>
        <v>447.24451110000001</v>
      </c>
      <c r="AB67" s="6">
        <f>[1]Emissions!AA820</f>
        <v>450.25998670000001</v>
      </c>
      <c r="AC67" s="6">
        <f>[1]Emissions!AB820</f>
        <v>454.18066040000002</v>
      </c>
      <c r="AD67" s="6">
        <f>[1]Emissions!AC820</f>
        <v>458.23262310000001</v>
      </c>
      <c r="AE67" s="6">
        <f>[1]Emissions!AD820</f>
        <v>462.25452790000003</v>
      </c>
      <c r="AF67" s="6">
        <f>[1]Emissions!AE820</f>
        <v>466.25537250000002</v>
      </c>
      <c r="AG67" s="6">
        <f>[1]Emissions!AF820</f>
        <v>470.2717136</v>
      </c>
      <c r="AH67" s="6">
        <f>[1]Emissions!AG820</f>
        <v>474.33046480000002</v>
      </c>
      <c r="AI67" s="6">
        <f>[1]Emissions!AH820</f>
        <v>478.43995419999999</v>
      </c>
      <c r="AJ67" s="6">
        <f>[1]Emissions!AI820</f>
        <v>482.59164320000002</v>
      </c>
      <c r="AK67" s="6">
        <f>[1]Emissions!AJ820</f>
        <v>486.76730270000002</v>
      </c>
      <c r="AL67" s="6">
        <f>[1]Emissions!AK820</f>
        <v>490.94689740000001</v>
      </c>
    </row>
    <row r="68" spans="1:38" x14ac:dyDescent="0.3">
      <c r="A68" s="11"/>
      <c r="B68" t="s">
        <v>32</v>
      </c>
      <c r="C68" s="6">
        <f>[1]Emissions!B824</f>
        <v>115.311927</v>
      </c>
      <c r="D68" s="6">
        <f>[1]Emissions!C824</f>
        <v>115.0269572</v>
      </c>
      <c r="E68" s="6">
        <f>[1]Emissions!D824</f>
        <v>114.3880781</v>
      </c>
      <c r="F68" s="6">
        <f>[1]Emissions!E824</f>
        <v>113.808014</v>
      </c>
      <c r="G68" s="6">
        <f>[1]Emissions!F824</f>
        <v>113.3897327</v>
      </c>
      <c r="H68" s="6">
        <f>[1]Emissions!G824</f>
        <v>113.1310735</v>
      </c>
      <c r="I68" s="6">
        <f>[1]Emissions!H824</f>
        <v>112.9804025</v>
      </c>
      <c r="J68" s="6">
        <f>[1]Emissions!I824</f>
        <v>112.9177579</v>
      </c>
      <c r="K68" s="6">
        <f>[1]Emissions!J824</f>
        <v>112.925168</v>
      </c>
      <c r="L68" s="6">
        <f>[1]Emissions!K824</f>
        <v>112.9886355</v>
      </c>
      <c r="M68" s="6">
        <f>[1]Emissions!L824</f>
        <v>113.1315178</v>
      </c>
      <c r="N68" s="6">
        <f>[1]Emissions!M824</f>
        <v>113.29165999999999</v>
      </c>
      <c r="O68" s="6">
        <f>[1]Emissions!N824</f>
        <v>113.4629868</v>
      </c>
      <c r="P68" s="6">
        <f>[1]Emissions!O824</f>
        <v>113.6363329</v>
      </c>
      <c r="Q68" s="6">
        <f>[1]Emissions!P824</f>
        <v>113.8026383</v>
      </c>
      <c r="R68" s="6">
        <f>[1]Emissions!Q824</f>
        <v>113.9554911</v>
      </c>
      <c r="S68" s="6">
        <f>[1]Emissions!R824</f>
        <v>114.09032670000001</v>
      </c>
      <c r="T68" s="6">
        <f>[1]Emissions!S824</f>
        <v>114.2034254</v>
      </c>
      <c r="U68" s="6">
        <f>[1]Emissions!T824</f>
        <v>114.291273</v>
      </c>
      <c r="V68" s="6">
        <f>[1]Emissions!U824</f>
        <v>114.3504114</v>
      </c>
      <c r="W68" s="6">
        <f>[1]Emissions!V824</f>
        <v>114.3528742</v>
      </c>
      <c r="X68" s="6">
        <f>[1]Emissions!W824</f>
        <v>114.3301519</v>
      </c>
      <c r="Y68" s="6">
        <f>[1]Emissions!X824</f>
        <v>114.2763971</v>
      </c>
      <c r="Z68" s="6">
        <f>[1]Emissions!Y824</f>
        <v>114.1878597</v>
      </c>
      <c r="AA68" s="6">
        <f>[1]Emissions!Z824</f>
        <v>114.06149619999999</v>
      </c>
      <c r="AB68" s="6">
        <f>[1]Emissions!AA824</f>
        <v>113.82667960000001</v>
      </c>
      <c r="AC68" s="6">
        <f>[1]Emissions!AB824</f>
        <v>113.5443794</v>
      </c>
      <c r="AD68" s="6">
        <f>[1]Emissions!AC824</f>
        <v>113.2145835</v>
      </c>
      <c r="AE68" s="6">
        <f>[1]Emissions!AD824</f>
        <v>112.8363691</v>
      </c>
      <c r="AF68" s="6">
        <f>[1]Emissions!AE824</f>
        <v>112.4075984</v>
      </c>
      <c r="AG68" s="6">
        <f>[1]Emissions!AF824</f>
        <v>111.92552550000001</v>
      </c>
      <c r="AH68" s="6">
        <f>[1]Emissions!AG824</f>
        <v>111.38764740000001</v>
      </c>
      <c r="AI68" s="6">
        <f>[1]Emissions!AH824</f>
        <v>110.7922901</v>
      </c>
      <c r="AJ68" s="6">
        <f>[1]Emissions!AI824</f>
        <v>110.1387713</v>
      </c>
      <c r="AK68" s="6">
        <f>[1]Emissions!AJ824</f>
        <v>109.42721880000001</v>
      </c>
      <c r="AL68" s="6">
        <f>[1]Emissions!AK824</f>
        <v>108.6582485</v>
      </c>
    </row>
    <row r="69" spans="1:38" x14ac:dyDescent="0.3">
      <c r="A69" s="11"/>
      <c r="B69" t="s">
        <v>80</v>
      </c>
      <c r="C69" s="6">
        <f>SUM(C70:C72)</f>
        <v>237.413177894</v>
      </c>
      <c r="D69" s="6">
        <f t="shared" ref="D69:AL69" si="4">SUM(D70:D72)</f>
        <v>239.629010526</v>
      </c>
      <c r="E69" s="6">
        <f t="shared" si="4"/>
        <v>242.04085985399999</v>
      </c>
      <c r="F69" s="6">
        <f t="shared" si="4"/>
        <v>244.592584018</v>
      </c>
      <c r="G69" s="6">
        <f t="shared" si="4"/>
        <v>247.42927293099999</v>
      </c>
      <c r="H69" s="6">
        <f t="shared" si="4"/>
        <v>250.72874957800002</v>
      </c>
      <c r="I69" s="6">
        <f t="shared" si="4"/>
        <v>254.138084354</v>
      </c>
      <c r="J69" s="6">
        <f t="shared" si="4"/>
        <v>258.07709449100003</v>
      </c>
      <c r="K69" s="6">
        <f t="shared" si="4"/>
        <v>262.40858872899997</v>
      </c>
      <c r="L69" s="6">
        <f t="shared" si="4"/>
        <v>266.94616962099997</v>
      </c>
      <c r="M69" s="6">
        <f t="shared" si="4"/>
        <v>272.110381991</v>
      </c>
      <c r="N69" s="6">
        <f t="shared" si="4"/>
        <v>276.67870209099999</v>
      </c>
      <c r="O69" s="6">
        <f t="shared" si="4"/>
        <v>281.25552246299998</v>
      </c>
      <c r="P69" s="6">
        <f t="shared" si="4"/>
        <v>285.88703304799998</v>
      </c>
      <c r="Q69" s="6">
        <f t="shared" si="4"/>
        <v>290.51269117200002</v>
      </c>
      <c r="R69" s="6">
        <f t="shared" si="4"/>
        <v>295.07020565200003</v>
      </c>
      <c r="S69" s="6">
        <f t="shared" si="4"/>
        <v>299.51991829500002</v>
      </c>
      <c r="T69" s="6">
        <f t="shared" si="4"/>
        <v>303.85119371100001</v>
      </c>
      <c r="U69" s="6">
        <f t="shared" si="4"/>
        <v>308.08148530300002</v>
      </c>
      <c r="V69" s="6">
        <f t="shared" si="4"/>
        <v>312.24876370499999</v>
      </c>
      <c r="W69" s="6">
        <f t="shared" si="4"/>
        <v>315.98263405400002</v>
      </c>
      <c r="X69" s="6">
        <f t="shared" si="4"/>
        <v>320.17419106400001</v>
      </c>
      <c r="Y69" s="6">
        <f t="shared" si="4"/>
        <v>324.44774208800004</v>
      </c>
      <c r="Z69" s="6">
        <f t="shared" si="4"/>
        <v>328.77092360800003</v>
      </c>
      <c r="AA69" s="6">
        <f t="shared" si="4"/>
        <v>333.183015012</v>
      </c>
      <c r="AB69" s="6">
        <f t="shared" si="4"/>
        <v>336.43330705599999</v>
      </c>
      <c r="AC69" s="6">
        <f t="shared" si="4"/>
        <v>340.636281021</v>
      </c>
      <c r="AD69" s="6">
        <f t="shared" si="4"/>
        <v>345.01803958700003</v>
      </c>
      <c r="AE69" s="6">
        <f t="shared" si="4"/>
        <v>349.41815879900003</v>
      </c>
      <c r="AF69" s="6">
        <f t="shared" si="4"/>
        <v>353.84777413799998</v>
      </c>
      <c r="AG69" s="6">
        <f t="shared" si="4"/>
        <v>358.34618806200001</v>
      </c>
      <c r="AH69" s="6">
        <f t="shared" si="4"/>
        <v>362.94281747900004</v>
      </c>
      <c r="AI69" s="6">
        <f t="shared" si="4"/>
        <v>367.64766404600005</v>
      </c>
      <c r="AJ69" s="6">
        <f t="shared" si="4"/>
        <v>372.45287193299998</v>
      </c>
      <c r="AK69" s="6">
        <f t="shared" si="4"/>
        <v>377.34008388400002</v>
      </c>
      <c r="AL69" s="6">
        <f t="shared" si="4"/>
        <v>382.28864885199999</v>
      </c>
    </row>
    <row r="70" spans="1:38" x14ac:dyDescent="0.3">
      <c r="A70" s="11"/>
      <c r="B70" t="s">
        <v>36</v>
      </c>
      <c r="C70" s="6">
        <f>[1]Emissions!B821</f>
        <v>185.4172978</v>
      </c>
      <c r="D70" s="6">
        <f>[1]Emissions!C821</f>
        <v>186.72258350000001</v>
      </c>
      <c r="E70" s="6">
        <f>[1]Emissions!D821</f>
        <v>188.04062830000001</v>
      </c>
      <c r="F70" s="6">
        <f>[1]Emissions!E821</f>
        <v>189.542936</v>
      </c>
      <c r="G70" s="6">
        <f>[1]Emissions!F821</f>
        <v>191.40357259999999</v>
      </c>
      <c r="H70" s="6">
        <f>[1]Emissions!G821</f>
        <v>193.76210080000001</v>
      </c>
      <c r="I70" s="6">
        <f>[1]Emissions!H821</f>
        <v>196.391548</v>
      </c>
      <c r="J70" s="6">
        <f>[1]Emissions!I821</f>
        <v>199.50748730000001</v>
      </c>
      <c r="K70" s="6">
        <f>[1]Emissions!J821</f>
        <v>202.96716029999999</v>
      </c>
      <c r="L70" s="6">
        <f>[1]Emissions!K821</f>
        <v>206.60347189999999</v>
      </c>
      <c r="M70" s="6">
        <f>[1]Emissions!L821</f>
        <v>210.61805609999999</v>
      </c>
      <c r="N70" s="6">
        <f>[1]Emissions!M821</f>
        <v>214.29758090000001</v>
      </c>
      <c r="O70" s="6">
        <f>[1]Emissions!N821</f>
        <v>217.99114130000001</v>
      </c>
      <c r="P70" s="6">
        <f>[1]Emissions!O821</f>
        <v>221.7147052</v>
      </c>
      <c r="Q70" s="6">
        <f>[1]Emissions!P821</f>
        <v>225.4236885</v>
      </c>
      <c r="R70" s="6">
        <f>[1]Emissions!Q821</f>
        <v>229.06560590000001</v>
      </c>
      <c r="S70" s="6">
        <f>[1]Emissions!R821</f>
        <v>232.60107350000001</v>
      </c>
      <c r="T70" s="6">
        <f>[1]Emissions!S821</f>
        <v>236.01452259999999</v>
      </c>
      <c r="U70" s="6">
        <f>[1]Emissions!T821</f>
        <v>239.31705579999999</v>
      </c>
      <c r="V70" s="6">
        <f>[1]Emissions!U821</f>
        <v>242.5411359</v>
      </c>
      <c r="W70" s="6">
        <f>[1]Emissions!V821</f>
        <v>245.4816739</v>
      </c>
      <c r="X70" s="6">
        <f>[1]Emissions!W821</f>
        <v>248.66578319999999</v>
      </c>
      <c r="Y70" s="6">
        <f>[1]Emissions!X821</f>
        <v>251.89377210000001</v>
      </c>
      <c r="Z70" s="6">
        <f>[1]Emissions!Y821</f>
        <v>255.16681170000001</v>
      </c>
      <c r="AA70" s="6">
        <f>[1]Emissions!Z821</f>
        <v>258.51929580000001</v>
      </c>
      <c r="AB70" s="6">
        <f>[1]Emissions!AA821</f>
        <v>261.19543199999998</v>
      </c>
      <c r="AC70" s="6">
        <f>[1]Emissions!AB821</f>
        <v>264.43661270000001</v>
      </c>
      <c r="AD70" s="6">
        <f>[1]Emissions!AC821</f>
        <v>267.76913830000001</v>
      </c>
      <c r="AE70" s="6">
        <f>[1]Emissions!AD821</f>
        <v>271.10967149999999</v>
      </c>
      <c r="AF70" s="6">
        <f>[1]Emissions!AE821</f>
        <v>274.47421789999999</v>
      </c>
      <c r="AG70" s="6">
        <f>[1]Emissions!AF821</f>
        <v>277.89853160000001</v>
      </c>
      <c r="AH70" s="6">
        <f>[1]Emissions!AG821</f>
        <v>281.41123090000002</v>
      </c>
      <c r="AI70" s="6">
        <f>[1]Emissions!AH821</f>
        <v>285.02350250000001</v>
      </c>
      <c r="AJ70" s="6">
        <f>[1]Emissions!AI821</f>
        <v>288.72868019999999</v>
      </c>
      <c r="AK70" s="6">
        <f>[1]Emissions!AJ821</f>
        <v>292.50854470000002</v>
      </c>
      <c r="AL70" s="6">
        <f>[1]Emissions!AK821</f>
        <v>296.34157540000001</v>
      </c>
    </row>
    <row r="71" spans="1:38" x14ac:dyDescent="0.3">
      <c r="A71" s="11"/>
      <c r="B71" t="s">
        <v>37</v>
      </c>
      <c r="C71" s="6">
        <f>[1]Emissions!B822</f>
        <v>2.7531323240000001</v>
      </c>
      <c r="D71" s="6">
        <f>[1]Emissions!C822</f>
        <v>2.7386365559999999</v>
      </c>
      <c r="E71" s="6">
        <f>[1]Emissions!D822</f>
        <v>2.731074504</v>
      </c>
      <c r="F71" s="6">
        <f>[1]Emissions!E822</f>
        <v>2.7344350080000002</v>
      </c>
      <c r="G71" s="6">
        <f>[1]Emissions!F822</f>
        <v>2.7484805909999999</v>
      </c>
      <c r="H71" s="6">
        <f>[1]Emissions!G822</f>
        <v>2.7714891879999999</v>
      </c>
      <c r="I71" s="6">
        <f>[1]Emissions!H822</f>
        <v>2.8001997439999999</v>
      </c>
      <c r="J71" s="6">
        <f>[1]Emissions!I822</f>
        <v>2.831628351</v>
      </c>
      <c r="K71" s="6">
        <f>[1]Emissions!J822</f>
        <v>2.864009619</v>
      </c>
      <c r="L71" s="6">
        <f>[1]Emissions!K822</f>
        <v>2.8959261409999999</v>
      </c>
      <c r="M71" s="6">
        <f>[1]Emissions!L822</f>
        <v>2.9277612209999999</v>
      </c>
      <c r="N71" s="6">
        <f>[1]Emissions!M822</f>
        <v>2.9581485810000001</v>
      </c>
      <c r="O71" s="6">
        <f>[1]Emissions!N822</f>
        <v>2.9850094330000001</v>
      </c>
      <c r="P71" s="6">
        <f>[1]Emissions!O822</f>
        <v>3.0083674779999998</v>
      </c>
      <c r="Q71" s="6">
        <f>[1]Emissions!P822</f>
        <v>3.0285649320000001</v>
      </c>
      <c r="R71" s="6">
        <f>[1]Emissions!Q822</f>
        <v>3.0462068819999999</v>
      </c>
      <c r="S71" s="6">
        <f>[1]Emissions!R822</f>
        <v>3.0620430550000002</v>
      </c>
      <c r="T71" s="6">
        <f>[1]Emissions!S822</f>
        <v>3.0768372209999999</v>
      </c>
      <c r="U71" s="6">
        <f>[1]Emissions!T822</f>
        <v>3.091262543</v>
      </c>
      <c r="V71" s="6">
        <f>[1]Emissions!U822</f>
        <v>3.1058419650000002</v>
      </c>
      <c r="W71" s="6">
        <f>[1]Emissions!V822</f>
        <v>3.1197399840000002</v>
      </c>
      <c r="X71" s="6">
        <f>[1]Emissions!W822</f>
        <v>3.1340789440000001</v>
      </c>
      <c r="Y71" s="6">
        <f>[1]Emissions!X822</f>
        <v>3.149868128</v>
      </c>
      <c r="Z71" s="6">
        <f>[1]Emissions!Y822</f>
        <v>3.1669589280000001</v>
      </c>
      <c r="AA71" s="6">
        <f>[1]Emissions!Z822</f>
        <v>3.1851593920000001</v>
      </c>
      <c r="AB71" s="6">
        <f>[1]Emissions!AA822</f>
        <v>3.2006663460000002</v>
      </c>
      <c r="AC71" s="6">
        <f>[1]Emissions!AB822</f>
        <v>3.2149577109999998</v>
      </c>
      <c r="AD71" s="6">
        <f>[1]Emissions!AC822</f>
        <v>3.2296954269999998</v>
      </c>
      <c r="AE71" s="6">
        <f>[1]Emissions!AD822</f>
        <v>3.245044429</v>
      </c>
      <c r="AF71" s="6">
        <f>[1]Emissions!AE822</f>
        <v>3.2610353879999998</v>
      </c>
      <c r="AG71" s="6">
        <f>[1]Emissions!AF822</f>
        <v>3.2775829820000002</v>
      </c>
      <c r="AH71" s="6">
        <f>[1]Emissions!AG822</f>
        <v>3.2945430689999999</v>
      </c>
      <c r="AI71" s="6">
        <f>[1]Emissions!AH822</f>
        <v>3.311772376</v>
      </c>
      <c r="AJ71" s="6">
        <f>[1]Emissions!AI822</f>
        <v>3.329166893</v>
      </c>
      <c r="AK71" s="6">
        <f>[1]Emissions!AJ822</f>
        <v>3.3466717739999998</v>
      </c>
      <c r="AL71" s="6">
        <f>[1]Emissions!AK822</f>
        <v>3.3642685920000002</v>
      </c>
    </row>
    <row r="72" spans="1:38" x14ac:dyDescent="0.3">
      <c r="A72" s="11"/>
      <c r="B72" t="s">
        <v>38</v>
      </c>
      <c r="C72" s="6">
        <f>[1]Emissions!B823</f>
        <v>49.242747770000001</v>
      </c>
      <c r="D72" s="6">
        <f>[1]Emissions!C823</f>
        <v>50.16779047</v>
      </c>
      <c r="E72" s="6">
        <f>[1]Emissions!D823</f>
        <v>51.269157049999997</v>
      </c>
      <c r="F72" s="6">
        <f>[1]Emissions!E823</f>
        <v>52.315213010000001</v>
      </c>
      <c r="G72" s="6">
        <f>[1]Emissions!F823</f>
        <v>53.27721974</v>
      </c>
      <c r="H72" s="6">
        <f>[1]Emissions!G823</f>
        <v>54.195159590000003</v>
      </c>
      <c r="I72" s="6">
        <f>[1]Emissions!H823</f>
        <v>54.946336610000003</v>
      </c>
      <c r="J72" s="6">
        <f>[1]Emissions!I823</f>
        <v>55.737978839999997</v>
      </c>
      <c r="K72" s="6">
        <f>[1]Emissions!J823</f>
        <v>56.577418809999998</v>
      </c>
      <c r="L72" s="6">
        <f>[1]Emissions!K823</f>
        <v>57.446771579999997</v>
      </c>
      <c r="M72" s="6">
        <f>[1]Emissions!L823</f>
        <v>58.564564670000003</v>
      </c>
      <c r="N72" s="6">
        <f>[1]Emissions!M823</f>
        <v>59.422972610000002</v>
      </c>
      <c r="O72" s="6">
        <f>[1]Emissions!N823</f>
        <v>60.279371730000001</v>
      </c>
      <c r="P72" s="6">
        <f>[1]Emissions!O823</f>
        <v>61.163960369999998</v>
      </c>
      <c r="Q72" s="6">
        <f>[1]Emissions!P823</f>
        <v>62.060437739999998</v>
      </c>
      <c r="R72" s="6">
        <f>[1]Emissions!Q823</f>
        <v>62.958392869999997</v>
      </c>
      <c r="S72" s="6">
        <f>[1]Emissions!R823</f>
        <v>63.856801740000002</v>
      </c>
      <c r="T72" s="6">
        <f>[1]Emissions!S823</f>
        <v>64.759833889999996</v>
      </c>
      <c r="U72" s="6">
        <f>[1]Emissions!T823</f>
        <v>65.673166960000003</v>
      </c>
      <c r="V72" s="6">
        <f>[1]Emissions!U823</f>
        <v>66.601785840000005</v>
      </c>
      <c r="W72" s="6">
        <f>[1]Emissions!V823</f>
        <v>67.381220170000006</v>
      </c>
      <c r="X72" s="6">
        <f>[1]Emissions!W823</f>
        <v>68.374328919999996</v>
      </c>
      <c r="Y72" s="6">
        <f>[1]Emissions!X823</f>
        <v>69.404101859999997</v>
      </c>
      <c r="Z72" s="6">
        <f>[1]Emissions!Y823</f>
        <v>70.437152979999993</v>
      </c>
      <c r="AA72" s="6">
        <f>[1]Emissions!Z823</f>
        <v>71.478559820000001</v>
      </c>
      <c r="AB72" s="6">
        <f>[1]Emissions!AA823</f>
        <v>72.037208710000002</v>
      </c>
      <c r="AC72" s="6">
        <f>[1]Emissions!AB823</f>
        <v>72.984710609999993</v>
      </c>
      <c r="AD72" s="6">
        <f>[1]Emissions!AC823</f>
        <v>74.01920586</v>
      </c>
      <c r="AE72" s="6">
        <f>[1]Emissions!AD823</f>
        <v>75.063442870000003</v>
      </c>
      <c r="AF72" s="6">
        <f>[1]Emissions!AE823</f>
        <v>76.112520849999996</v>
      </c>
      <c r="AG72" s="6">
        <f>[1]Emissions!AF823</f>
        <v>77.170073479999999</v>
      </c>
      <c r="AH72" s="6">
        <f>[1]Emissions!AG823</f>
        <v>78.237043510000007</v>
      </c>
      <c r="AI72" s="6">
        <f>[1]Emissions!AH823</f>
        <v>79.312389170000003</v>
      </c>
      <c r="AJ72" s="6">
        <f>[1]Emissions!AI823</f>
        <v>80.395024840000005</v>
      </c>
      <c r="AK72" s="6">
        <f>[1]Emissions!AJ823</f>
        <v>81.484867410000007</v>
      </c>
      <c r="AL72" s="6">
        <f>[1]Emissions!AK823</f>
        <v>82.582804859999996</v>
      </c>
    </row>
    <row r="73" spans="1:38" x14ac:dyDescent="0.3">
      <c r="A73" s="11"/>
      <c r="B73" t="str">
        <f>B65</f>
        <v>NZ50</v>
      </c>
      <c r="C73" s="6">
        <f>[1]Emissions!B825</f>
        <v>352.7251048</v>
      </c>
      <c r="D73" s="6">
        <f>[1]Emissions!C825</f>
        <v>354.65596770000002</v>
      </c>
      <c r="E73" s="6">
        <f>[1]Emissions!D825</f>
        <v>356.42893789999999</v>
      </c>
      <c r="F73" s="6">
        <f>[1]Emissions!E825</f>
        <v>358.400598</v>
      </c>
      <c r="G73" s="6">
        <f>[1]Emissions!F825</f>
        <v>360.81900569999999</v>
      </c>
      <c r="H73" s="6">
        <f>[1]Emissions!G825</f>
        <v>363.85982310000003</v>
      </c>
      <c r="I73" s="6">
        <f>[1]Emissions!H825</f>
        <v>367.95398449999999</v>
      </c>
      <c r="J73" s="6">
        <f>[1]Emissions!I825</f>
        <v>372.709858</v>
      </c>
      <c r="K73" s="6">
        <f>[1]Emissions!J825</f>
        <v>377.99060150000003</v>
      </c>
      <c r="L73" s="6">
        <f>[1]Emissions!K825</f>
        <v>383.09798009999997</v>
      </c>
      <c r="M73" s="6">
        <f>[1]Emissions!L825</f>
        <v>388.16342350000002</v>
      </c>
      <c r="N73" s="6">
        <f>[1]Emissions!M825</f>
        <v>391.98925159999999</v>
      </c>
      <c r="O73" s="6">
        <f>[1]Emissions!N825</f>
        <v>395.43761910000001</v>
      </c>
      <c r="P73" s="6">
        <f>[1]Emissions!O825</f>
        <v>398.87516959999999</v>
      </c>
      <c r="Q73" s="6">
        <f>[1]Emissions!P825</f>
        <v>402.48776500000002</v>
      </c>
      <c r="R73" s="6">
        <f>[1]Emissions!Q825</f>
        <v>406.3257835</v>
      </c>
      <c r="S73" s="6">
        <f>[1]Emissions!R825</f>
        <v>410.3386314</v>
      </c>
      <c r="T73" s="6">
        <f>[1]Emissions!S825</f>
        <v>414.43464039999998</v>
      </c>
      <c r="U73" s="6">
        <f>[1]Emissions!T825</f>
        <v>418.53441329999998</v>
      </c>
      <c r="V73" s="6">
        <f>[1]Emissions!U825</f>
        <v>422.60383880000001</v>
      </c>
      <c r="W73" s="6">
        <f>[1]Emissions!V825</f>
        <v>426.21380249999999</v>
      </c>
      <c r="X73" s="6">
        <f>[1]Emissions!W825</f>
        <v>430.29913790000001</v>
      </c>
      <c r="Y73" s="6">
        <f>[1]Emissions!X825</f>
        <v>434.49656599999997</v>
      </c>
      <c r="Z73" s="6">
        <f>[1]Emissions!Y825</f>
        <v>438.78206169999999</v>
      </c>
      <c r="AA73" s="6">
        <f>[1]Emissions!Z825</f>
        <v>443.18797499999999</v>
      </c>
      <c r="AB73" s="6">
        <f>[1]Emissions!AA825</f>
        <v>446.3737782</v>
      </c>
      <c r="AC73" s="6">
        <f>[1]Emissions!AB825</f>
        <v>450.48261050000002</v>
      </c>
      <c r="AD73" s="6">
        <f>[1]Emissions!AC825</f>
        <v>454.7116054</v>
      </c>
      <c r="AE73" s="6">
        <f>[1]Emissions!AD825</f>
        <v>458.87394719999998</v>
      </c>
      <c r="AF73" s="6">
        <f>[1]Emissions!AE825</f>
        <v>462.96433180000002</v>
      </c>
      <c r="AG73" s="6">
        <f>[1]Emissions!AF825</f>
        <v>467.01785690000003</v>
      </c>
      <c r="AH73" s="6">
        <f>[1]Emissions!AG825</f>
        <v>471.06921110000002</v>
      </c>
      <c r="AI73" s="6">
        <f>[1]Emissions!AH825</f>
        <v>475.13933020000002</v>
      </c>
      <c r="AJ73" s="6">
        <f>[1]Emissions!AI825</f>
        <v>479.23253720000002</v>
      </c>
      <c r="AK73" s="6">
        <f>[1]Emissions!AJ825</f>
        <v>483.34060069999998</v>
      </c>
      <c r="AL73" s="6">
        <f>[1]Emissions!AK825</f>
        <v>487.45058330000001</v>
      </c>
    </row>
    <row r="74" spans="1:38" x14ac:dyDescent="0.3">
      <c r="A74" s="8"/>
      <c r="B74" t="s">
        <v>32</v>
      </c>
      <c r="C74" s="6">
        <f>[1]Emissions!B829</f>
        <v>115.311927</v>
      </c>
      <c r="D74" s="6">
        <f>[1]Emissions!C829</f>
        <v>115.0269572</v>
      </c>
      <c r="E74" s="6">
        <f>[1]Emissions!D829</f>
        <v>114.3880781</v>
      </c>
      <c r="F74" s="6">
        <f>[1]Emissions!E829</f>
        <v>113.808014</v>
      </c>
      <c r="G74" s="6">
        <f>[1]Emissions!F829</f>
        <v>113.3897327</v>
      </c>
      <c r="H74" s="6">
        <f>[1]Emissions!G829</f>
        <v>113.1310735</v>
      </c>
      <c r="I74" s="6">
        <f>[1]Emissions!H829</f>
        <v>112.9733659</v>
      </c>
      <c r="J74" s="6">
        <f>[1]Emissions!I829</f>
        <v>112.9168232</v>
      </c>
      <c r="K74" s="6">
        <f>[1]Emissions!J829</f>
        <v>112.9339095</v>
      </c>
      <c r="L74" s="6">
        <f>[1]Emissions!K829</f>
        <v>113.0281313</v>
      </c>
      <c r="M74" s="6">
        <f>[1]Emissions!L829</f>
        <v>113.2401804</v>
      </c>
      <c r="N74" s="6">
        <f>[1]Emissions!M829</f>
        <v>113.5008692</v>
      </c>
      <c r="O74" s="6">
        <f>[1]Emissions!N829</f>
        <v>113.78570759999999</v>
      </c>
      <c r="P74" s="6">
        <f>[1]Emissions!O829</f>
        <v>114.0648094</v>
      </c>
      <c r="Q74" s="6">
        <f>[1]Emissions!P829</f>
        <v>114.3138996</v>
      </c>
      <c r="R74" s="6">
        <f>[1]Emissions!Q829</f>
        <v>114.5196383</v>
      </c>
      <c r="S74" s="6">
        <f>[1]Emissions!R829</f>
        <v>114.679134</v>
      </c>
      <c r="T74" s="6">
        <f>[1]Emissions!S829</f>
        <v>114.7960336</v>
      </c>
      <c r="U74" s="6">
        <f>[1]Emissions!T829</f>
        <v>114.8752425</v>
      </c>
      <c r="V74" s="6">
        <f>[1]Emissions!U829</f>
        <v>114.9204589</v>
      </c>
      <c r="W74" s="6">
        <f>[1]Emissions!V829</f>
        <v>114.9079078</v>
      </c>
      <c r="X74" s="6">
        <f>[1]Emissions!W829</f>
        <v>114.8697385</v>
      </c>
      <c r="Y74" s="6">
        <f>[1]Emissions!X829</f>
        <v>114.7983614</v>
      </c>
      <c r="Z74" s="6">
        <f>[1]Emissions!Y829</f>
        <v>114.6884137</v>
      </c>
      <c r="AA74" s="6">
        <f>[1]Emissions!Z829</f>
        <v>114.53591969999999</v>
      </c>
      <c r="AB74" s="6">
        <f>[1]Emissions!AA829</f>
        <v>114.270326</v>
      </c>
      <c r="AC74" s="6">
        <f>[1]Emissions!AB829</f>
        <v>113.9533709</v>
      </c>
      <c r="AD74" s="6">
        <f>[1]Emissions!AC829</f>
        <v>113.5864653</v>
      </c>
      <c r="AE74" s="6">
        <f>[1]Emissions!AD829</f>
        <v>113.1703741</v>
      </c>
      <c r="AF74" s="6">
        <f>[1]Emissions!AE829</f>
        <v>112.7042314</v>
      </c>
      <c r="AG74" s="6">
        <f>[1]Emissions!AF829</f>
        <v>112.1859572</v>
      </c>
      <c r="AH74" s="6">
        <f>[1]Emissions!AG829</f>
        <v>111.613197</v>
      </c>
      <c r="AI74" s="6">
        <f>[1]Emissions!AH829</f>
        <v>110.9841586</v>
      </c>
      <c r="AJ74" s="6">
        <f>[1]Emissions!AI829</f>
        <v>110.2980044</v>
      </c>
      <c r="AK74" s="6">
        <f>[1]Emissions!AJ829</f>
        <v>109.5548004</v>
      </c>
      <c r="AL74" s="6">
        <f>[1]Emissions!AK829</f>
        <v>108.7552087</v>
      </c>
    </row>
    <row r="75" spans="1:38" x14ac:dyDescent="0.3">
      <c r="A75" s="8"/>
      <c r="B75" t="s">
        <v>80</v>
      </c>
      <c r="C75" s="6">
        <f>SUM(C76:C78)</f>
        <v>237.413177894</v>
      </c>
      <c r="D75" s="6">
        <f t="shared" ref="D75:AL75" si="5">SUM(D76:D78)</f>
        <v>239.629010526</v>
      </c>
      <c r="E75" s="6">
        <f t="shared" si="5"/>
        <v>242.04085985399999</v>
      </c>
      <c r="F75" s="6">
        <f t="shared" si="5"/>
        <v>244.592584018</v>
      </c>
      <c r="G75" s="6">
        <f t="shared" si="5"/>
        <v>247.42927293099999</v>
      </c>
      <c r="H75" s="6">
        <f t="shared" si="5"/>
        <v>250.72874957800002</v>
      </c>
      <c r="I75" s="6">
        <f t="shared" si="5"/>
        <v>254.98061857600001</v>
      </c>
      <c r="J75" s="6">
        <f t="shared" si="5"/>
        <v>259.79303475699999</v>
      </c>
      <c r="K75" s="6">
        <f t="shared" si="5"/>
        <v>265.05669197700001</v>
      </c>
      <c r="L75" s="6">
        <f t="shared" si="5"/>
        <v>270.06984883000001</v>
      </c>
      <c r="M75" s="6">
        <f t="shared" si="5"/>
        <v>274.92324305599999</v>
      </c>
      <c r="N75" s="6">
        <f t="shared" si="5"/>
        <v>278.48838242700003</v>
      </c>
      <c r="O75" s="6">
        <f t="shared" si="5"/>
        <v>281.65191150200002</v>
      </c>
      <c r="P75" s="6">
        <f t="shared" si="5"/>
        <v>284.81036017499997</v>
      </c>
      <c r="Q75" s="6">
        <f t="shared" si="5"/>
        <v>288.17386550100002</v>
      </c>
      <c r="R75" s="6">
        <f t="shared" si="5"/>
        <v>291.80614522399998</v>
      </c>
      <c r="S75" s="6">
        <f t="shared" si="5"/>
        <v>295.65949738799998</v>
      </c>
      <c r="T75" s="6">
        <f t="shared" si="5"/>
        <v>299.638606853</v>
      </c>
      <c r="U75" s="6">
        <f t="shared" si="5"/>
        <v>303.65917074700002</v>
      </c>
      <c r="V75" s="6">
        <f t="shared" si="5"/>
        <v>307.68337995100001</v>
      </c>
      <c r="W75" s="6">
        <f t="shared" si="5"/>
        <v>311.305894642</v>
      </c>
      <c r="X75" s="6">
        <f t="shared" si="5"/>
        <v>315.429399413</v>
      </c>
      <c r="Y75" s="6">
        <f t="shared" si="5"/>
        <v>319.69820458999999</v>
      </c>
      <c r="Z75" s="6">
        <f t="shared" si="5"/>
        <v>324.093647976</v>
      </c>
      <c r="AA75" s="6">
        <f t="shared" si="5"/>
        <v>328.65205526400001</v>
      </c>
      <c r="AB75" s="6">
        <f t="shared" si="5"/>
        <v>332.10345217599996</v>
      </c>
      <c r="AC75" s="6">
        <f t="shared" si="5"/>
        <v>336.52923948199998</v>
      </c>
      <c r="AD75" s="6">
        <f t="shared" si="5"/>
        <v>341.12514012999998</v>
      </c>
      <c r="AE75" s="6">
        <f t="shared" si="5"/>
        <v>345.70357310200001</v>
      </c>
      <c r="AF75" s="6">
        <f t="shared" si="5"/>
        <v>350.26010043600002</v>
      </c>
      <c r="AG75" s="6">
        <f t="shared" si="5"/>
        <v>354.83189976900002</v>
      </c>
      <c r="AH75" s="6">
        <f t="shared" si="5"/>
        <v>359.45601421500004</v>
      </c>
      <c r="AI75" s="6">
        <f t="shared" si="5"/>
        <v>364.15517156200002</v>
      </c>
      <c r="AJ75" s="6">
        <f t="shared" si="5"/>
        <v>368.93453281999996</v>
      </c>
      <c r="AK75" s="6">
        <f t="shared" si="5"/>
        <v>373.78580030299997</v>
      </c>
      <c r="AL75" s="6">
        <f t="shared" si="5"/>
        <v>378.69537463200004</v>
      </c>
    </row>
    <row r="76" spans="1:38" x14ac:dyDescent="0.3">
      <c r="A76" s="8"/>
      <c r="B76" t="s">
        <v>36</v>
      </c>
      <c r="C76" s="5">
        <f>[1]Emissions!B826</f>
        <v>185.4172978</v>
      </c>
      <c r="D76" s="5">
        <f>[1]Emissions!C826</f>
        <v>186.72258350000001</v>
      </c>
      <c r="E76" s="5">
        <f>[1]Emissions!D826</f>
        <v>188.04062830000001</v>
      </c>
      <c r="F76" s="5">
        <f>[1]Emissions!E826</f>
        <v>189.542936</v>
      </c>
      <c r="G76" s="5">
        <f>[1]Emissions!F826</f>
        <v>191.40357259999999</v>
      </c>
      <c r="H76" s="5">
        <f>[1]Emissions!G826</f>
        <v>193.76210080000001</v>
      </c>
      <c r="I76" s="5">
        <f>[1]Emissions!H826</f>
        <v>197.18773630000001</v>
      </c>
      <c r="J76" s="5">
        <f>[1]Emissions!I826</f>
        <v>201.26798869999999</v>
      </c>
      <c r="K76" s="5">
        <f>[1]Emissions!J826</f>
        <v>205.8631518</v>
      </c>
      <c r="L76" s="5">
        <f>[1]Emissions!K826</f>
        <v>210.22481809999999</v>
      </c>
      <c r="M76" s="5">
        <f>[1]Emissions!L826</f>
        <v>214.15902819999999</v>
      </c>
      <c r="N76" s="5">
        <f>[1]Emissions!M826</f>
        <v>217.00724080000001</v>
      </c>
      <c r="O76" s="5">
        <f>[1]Emissions!N826</f>
        <v>219.3884535</v>
      </c>
      <c r="P76" s="5">
        <f>[1]Emissions!O826</f>
        <v>221.68094049999999</v>
      </c>
      <c r="Q76" s="5">
        <f>[1]Emissions!P826</f>
        <v>224.13396520000001</v>
      </c>
      <c r="R76" s="5">
        <f>[1]Emissions!Q826</f>
        <v>226.84368480000001</v>
      </c>
      <c r="S76" s="5">
        <f>[1]Emissions!R826</f>
        <v>229.7769629</v>
      </c>
      <c r="T76" s="5">
        <f>[1]Emissions!S826</f>
        <v>232.83716179999999</v>
      </c>
      <c r="U76" s="5">
        <f>[1]Emissions!T826</f>
        <v>235.92955140000001</v>
      </c>
      <c r="V76" s="5">
        <f>[1]Emissions!U826</f>
        <v>239.00422979999999</v>
      </c>
      <c r="W76" s="5">
        <f>[1]Emissions!V826</f>
        <v>241.81493359999999</v>
      </c>
      <c r="X76" s="5">
        <f>[1]Emissions!W826</f>
        <v>244.9028333</v>
      </c>
      <c r="Y76" s="5">
        <f>[1]Emissions!X826</f>
        <v>248.09105439999999</v>
      </c>
      <c r="Z76" s="5">
        <f>[1]Emissions!Y826</f>
        <v>251.4003816</v>
      </c>
      <c r="AA76" s="5">
        <f>[1]Emissions!Z826</f>
        <v>254.86840509999999</v>
      </c>
      <c r="AB76" s="5">
        <f>[1]Emissions!AA826</f>
        <v>257.72096879999998</v>
      </c>
      <c r="AC76" s="5">
        <f>[1]Emissions!AB826</f>
        <v>261.17316629999999</v>
      </c>
      <c r="AD76" s="5">
        <f>[1]Emissions!AC826</f>
        <v>264.71889499999997</v>
      </c>
      <c r="AE76" s="5">
        <f>[1]Emissions!AD826</f>
        <v>268.24517600000001</v>
      </c>
      <c r="AF76" s="5">
        <f>[1]Emissions!AE826</f>
        <v>271.74959410000002</v>
      </c>
      <c r="AG76" s="5">
        <f>[1]Emissions!AF826</f>
        <v>275.26322110000001</v>
      </c>
      <c r="AH76" s="5">
        <f>[1]Emissions!AG826</f>
        <v>278.8205332</v>
      </c>
      <c r="AI76" s="5">
        <f>[1]Emissions!AH826</f>
        <v>282.44445130000003</v>
      </c>
      <c r="AJ76" s="5">
        <f>[1]Emissions!AI826</f>
        <v>286.14083260000001</v>
      </c>
      <c r="AK76" s="5">
        <f>[1]Emissions!AJ826</f>
        <v>289.90119529999998</v>
      </c>
      <c r="AL76" s="5">
        <f>[1]Emissions!AK826</f>
        <v>293.71060290000003</v>
      </c>
    </row>
    <row r="77" spans="1:38" x14ac:dyDescent="0.3">
      <c r="A77" s="8"/>
      <c r="B77" t="s">
        <v>37</v>
      </c>
      <c r="C77" s="5">
        <f>[1]Emissions!B827</f>
        <v>2.7531323240000001</v>
      </c>
      <c r="D77" s="5">
        <f>[1]Emissions!C827</f>
        <v>2.7386365559999999</v>
      </c>
      <c r="E77" s="5">
        <f>[1]Emissions!D827</f>
        <v>2.731074504</v>
      </c>
      <c r="F77" s="5">
        <f>[1]Emissions!E827</f>
        <v>2.7344350080000002</v>
      </c>
      <c r="G77" s="5">
        <f>[1]Emissions!F827</f>
        <v>2.7484805909999999</v>
      </c>
      <c r="H77" s="5">
        <f>[1]Emissions!G827</f>
        <v>2.7714891879999999</v>
      </c>
      <c r="I77" s="5">
        <f>[1]Emissions!H827</f>
        <v>2.8120835159999999</v>
      </c>
      <c r="J77" s="5">
        <f>[1]Emissions!I827</f>
        <v>2.8340584369999999</v>
      </c>
      <c r="K77" s="5">
        <f>[1]Emissions!J827</f>
        <v>2.8449304469999999</v>
      </c>
      <c r="L77" s="5">
        <f>[1]Emissions!K827</f>
        <v>2.8489812400000001</v>
      </c>
      <c r="M77" s="5">
        <f>[1]Emissions!L827</f>
        <v>2.8516166360000001</v>
      </c>
      <c r="N77" s="5">
        <f>[1]Emissions!M827</f>
        <v>2.8550899670000001</v>
      </c>
      <c r="O77" s="5">
        <f>[1]Emissions!N827</f>
        <v>2.8592799520000001</v>
      </c>
      <c r="P77" s="5">
        <f>[1]Emissions!O827</f>
        <v>2.8649200850000001</v>
      </c>
      <c r="Q77" s="5">
        <f>[1]Emissions!P827</f>
        <v>2.8722448009999999</v>
      </c>
      <c r="R77" s="5">
        <f>[1]Emissions!Q827</f>
        <v>2.8813784240000002</v>
      </c>
      <c r="S77" s="5">
        <f>[1]Emissions!R827</f>
        <v>2.892509918</v>
      </c>
      <c r="T77" s="5">
        <f>[1]Emissions!S827</f>
        <v>2.9058756630000002</v>
      </c>
      <c r="U77" s="5">
        <f>[1]Emissions!T827</f>
        <v>2.9216385169999999</v>
      </c>
      <c r="V77" s="5">
        <f>[1]Emissions!U827</f>
        <v>2.9397650209999999</v>
      </c>
      <c r="W77" s="5">
        <f>[1]Emissions!V827</f>
        <v>2.9589062620000002</v>
      </c>
      <c r="X77" s="5">
        <f>[1]Emissions!W827</f>
        <v>2.979252083</v>
      </c>
      <c r="Y77" s="5">
        <f>[1]Emissions!X827</f>
        <v>3.0011639699999999</v>
      </c>
      <c r="Z77" s="5">
        <f>[1]Emissions!Y827</f>
        <v>3.0238704460000001</v>
      </c>
      <c r="AA77" s="5">
        <f>[1]Emissions!Z827</f>
        <v>3.0467208440000002</v>
      </c>
      <c r="AB77" s="5">
        <f>[1]Emissions!AA827</f>
        <v>3.065949356</v>
      </c>
      <c r="AC77" s="5">
        <f>[1]Emissions!AB827</f>
        <v>3.0825942319999999</v>
      </c>
      <c r="AD77" s="5">
        <f>[1]Emissions!AC827</f>
        <v>3.0984889799999999</v>
      </c>
      <c r="AE77" s="5">
        <f>[1]Emissions!AD827</f>
        <v>3.1139832620000001</v>
      </c>
      <c r="AF77" s="5">
        <f>[1]Emissions!AE827</f>
        <v>3.1293419060000001</v>
      </c>
      <c r="AG77" s="5">
        <f>[1]Emissions!AF827</f>
        <v>3.1447148989999998</v>
      </c>
      <c r="AH77" s="5">
        <f>[1]Emissions!AG827</f>
        <v>3.1601646649999999</v>
      </c>
      <c r="AI77" s="5">
        <f>[1]Emissions!AH827</f>
        <v>3.1757140420000001</v>
      </c>
      <c r="AJ77" s="5">
        <f>[1]Emissions!AI827</f>
        <v>3.1913857999999999</v>
      </c>
      <c r="AK77" s="5">
        <f>[1]Emissions!AJ827</f>
        <v>3.2072194330000001</v>
      </c>
      <c r="AL77" s="5">
        <f>[1]Emissions!AK827</f>
        <v>3.2232657320000002</v>
      </c>
    </row>
    <row r="78" spans="1:38" x14ac:dyDescent="0.3">
      <c r="B78" t="s">
        <v>38</v>
      </c>
      <c r="C78" s="5">
        <f>[1]Emissions!B828</f>
        <v>49.242747770000001</v>
      </c>
      <c r="D78" s="5">
        <f>[1]Emissions!C828</f>
        <v>50.16779047</v>
      </c>
      <c r="E78" s="5">
        <f>[1]Emissions!D828</f>
        <v>51.269157049999997</v>
      </c>
      <c r="F78" s="5">
        <f>[1]Emissions!E828</f>
        <v>52.315213010000001</v>
      </c>
      <c r="G78" s="5">
        <f>[1]Emissions!F828</f>
        <v>53.27721974</v>
      </c>
      <c r="H78" s="5">
        <f>[1]Emissions!G828</f>
        <v>54.195159590000003</v>
      </c>
      <c r="I78" s="5">
        <f>[1]Emissions!H828</f>
        <v>54.980798759999999</v>
      </c>
      <c r="J78" s="5">
        <f>[1]Emissions!I828</f>
        <v>55.690987620000001</v>
      </c>
      <c r="K78" s="5">
        <f>[1]Emissions!J828</f>
        <v>56.34860973</v>
      </c>
      <c r="L78" s="5">
        <f>[1]Emissions!K828</f>
        <v>56.996049489999997</v>
      </c>
      <c r="M78" s="5">
        <f>[1]Emissions!L828</f>
        <v>57.91259822</v>
      </c>
      <c r="N78" s="5">
        <f>[1]Emissions!M828</f>
        <v>58.626051660000002</v>
      </c>
      <c r="O78" s="5">
        <f>[1]Emissions!N828</f>
        <v>59.404178049999999</v>
      </c>
      <c r="P78" s="5">
        <f>[1]Emissions!O828</f>
        <v>60.26449959</v>
      </c>
      <c r="Q78" s="5">
        <f>[1]Emissions!P828</f>
        <v>61.167655500000002</v>
      </c>
      <c r="R78" s="5">
        <f>[1]Emissions!Q828</f>
        <v>62.081082000000002</v>
      </c>
      <c r="S78" s="5">
        <f>[1]Emissions!R828</f>
        <v>62.990024570000003</v>
      </c>
      <c r="T78" s="5">
        <f>[1]Emissions!S828</f>
        <v>63.895569389999999</v>
      </c>
      <c r="U78" s="5">
        <f>[1]Emissions!T828</f>
        <v>64.807980830000005</v>
      </c>
      <c r="V78" s="5">
        <f>[1]Emissions!U828</f>
        <v>65.739385130000002</v>
      </c>
      <c r="W78" s="5">
        <f>[1]Emissions!V828</f>
        <v>66.532054779999996</v>
      </c>
      <c r="X78" s="5">
        <f>[1]Emissions!W828</f>
        <v>67.547314029999995</v>
      </c>
      <c r="Y78" s="5">
        <f>[1]Emissions!X828</f>
        <v>68.605986220000005</v>
      </c>
      <c r="Z78" s="5">
        <f>[1]Emissions!Y828</f>
        <v>69.669395929999993</v>
      </c>
      <c r="AA78" s="5">
        <f>[1]Emissions!Z828</f>
        <v>70.736929320000002</v>
      </c>
      <c r="AB78" s="5">
        <f>[1]Emissions!AA828</f>
        <v>71.316534020000006</v>
      </c>
      <c r="AC78" s="5">
        <f>[1]Emissions!AB828</f>
        <v>72.273478949999998</v>
      </c>
      <c r="AD78" s="5">
        <f>[1]Emissions!AC828</f>
        <v>73.307756150000003</v>
      </c>
      <c r="AE78" s="5">
        <f>[1]Emissions!AD828</f>
        <v>74.344413840000001</v>
      </c>
      <c r="AF78" s="5">
        <f>[1]Emissions!AE828</f>
        <v>75.381164429999998</v>
      </c>
      <c r="AG78" s="5">
        <f>[1]Emissions!AF828</f>
        <v>76.42396377</v>
      </c>
      <c r="AH78" s="5">
        <f>[1]Emissions!AG828</f>
        <v>77.47531635</v>
      </c>
      <c r="AI78" s="5">
        <f>[1]Emissions!AH828</f>
        <v>78.53500622</v>
      </c>
      <c r="AJ78" s="5">
        <f>[1]Emissions!AI828</f>
        <v>79.602314419999999</v>
      </c>
      <c r="AK78" s="5">
        <f>[1]Emissions!AJ828</f>
        <v>80.677385569999998</v>
      </c>
      <c r="AL78" s="5">
        <f>[1]Emissions!AK828</f>
        <v>81.761505999999997</v>
      </c>
    </row>
    <row r="79" spans="1:38" x14ac:dyDescent="0.3">
      <c r="B79" t="s">
        <v>12</v>
      </c>
      <c r="C79" s="6">
        <f>[1]Results!F1551</f>
        <v>1960078.507</v>
      </c>
      <c r="D79" s="6">
        <f>[1]Results!G1551</f>
        <v>1979390.612</v>
      </c>
      <c r="E79" s="6">
        <f>[1]Results!H1551</f>
        <v>2007843.7609999999</v>
      </c>
      <c r="F79" s="6">
        <f>[1]Results!I1551</f>
        <v>2040469.4439999999</v>
      </c>
      <c r="G79" s="6">
        <f>[1]Results!J1551</f>
        <v>2074230.3540000001</v>
      </c>
      <c r="H79" s="6">
        <f>[1]Results!K1551</f>
        <v>2108090.2999999998</v>
      </c>
      <c r="I79" s="6">
        <f>[1]Results!L1551</f>
        <v>2140203.1519999998</v>
      </c>
      <c r="J79" s="6">
        <f>[1]Results!M1551</f>
        <v>2172135.9279999998</v>
      </c>
      <c r="K79" s="6">
        <f>[1]Results!N1551</f>
        <v>2203972.5290000001</v>
      </c>
      <c r="L79" s="6">
        <f>[1]Results!O1551</f>
        <v>2236393.8489999999</v>
      </c>
      <c r="M79" s="6">
        <f>[1]Results!P1551</f>
        <v>2271741.8489999999</v>
      </c>
      <c r="N79" s="6">
        <f>[1]Results!Q1551</f>
        <v>2307042.5329999998</v>
      </c>
      <c r="O79" s="6">
        <f>[1]Results!R1551</f>
        <v>2343245.9040000001</v>
      </c>
      <c r="P79" s="6">
        <f>[1]Results!S1551</f>
        <v>2379540.2749999999</v>
      </c>
      <c r="Q79" s="6">
        <f>[1]Results!T1551</f>
        <v>2415852.0159999998</v>
      </c>
      <c r="R79" s="6">
        <f>[1]Results!U1551</f>
        <v>2452372.585</v>
      </c>
      <c r="S79" s="6">
        <f>[1]Results!V1551</f>
        <v>2489395.5090000001</v>
      </c>
      <c r="T79" s="6">
        <f>[1]Results!W1551</f>
        <v>2527192.969</v>
      </c>
      <c r="U79" s="6">
        <f>[1]Results!X1551</f>
        <v>2565937.574</v>
      </c>
      <c r="V79" s="6">
        <f>[1]Results!Y1551</f>
        <v>2605681.122</v>
      </c>
      <c r="W79" s="6">
        <f>[1]Results!Z1551</f>
        <v>2644568.5</v>
      </c>
      <c r="X79" s="6">
        <f>[1]Results!AA1551</f>
        <v>2685623.7349999999</v>
      </c>
      <c r="Y79" s="6">
        <f>[1]Results!AB1551</f>
        <v>2727625.4139999999</v>
      </c>
      <c r="Z79" s="6">
        <f>[1]Results!AC1551</f>
        <v>2770583.0619999999</v>
      </c>
      <c r="AA79" s="6">
        <f>[1]Results!AD1551</f>
        <v>2814357.264</v>
      </c>
      <c r="AB79" s="6">
        <f>[1]Results!AE1551</f>
        <v>2852674.557</v>
      </c>
      <c r="AC79" s="6">
        <f>[1]Results!AF1551</f>
        <v>2894734.8429999999</v>
      </c>
      <c r="AD79" s="6">
        <f>[1]Results!AG1551</f>
        <v>2936694.0440000002</v>
      </c>
      <c r="AE79" s="6">
        <f>[1]Results!AH1551</f>
        <v>2979319.7820000001</v>
      </c>
      <c r="AF79" s="6">
        <f>[1]Results!AI1551</f>
        <v>3022749.9010000001</v>
      </c>
      <c r="AG79" s="6">
        <f>[1]Results!AJ1551</f>
        <v>3066869.085</v>
      </c>
      <c r="AH79" s="6">
        <f>[1]Results!AK1551</f>
        <v>3111500.1510000001</v>
      </c>
      <c r="AI79" s="6">
        <f>[1]Results!AL1551</f>
        <v>3156522.5460000001</v>
      </c>
      <c r="AJ79" s="6">
        <f>[1]Results!AM1551</f>
        <v>3201921.88</v>
      </c>
      <c r="AK79" s="6">
        <f>[1]Results!AN1551</f>
        <v>3247777.5049999999</v>
      </c>
      <c r="AL79" s="6">
        <f>[1]Results!AO1551</f>
        <v>3294210.7429999998</v>
      </c>
    </row>
    <row r="80" spans="1:38" x14ac:dyDescent="0.3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</row>
    <row r="81" spans="1:38" x14ac:dyDescent="0.3">
      <c r="A81" s="12" t="s">
        <v>52</v>
      </c>
      <c r="B81" t="s">
        <v>12</v>
      </c>
      <c r="C81" s="6">
        <f>[1]Results!F1551</f>
        <v>1960078.507</v>
      </c>
      <c r="D81" s="6">
        <f>[1]Results!G1551</f>
        <v>1979390.612</v>
      </c>
      <c r="E81" s="6">
        <f>[1]Results!H1551</f>
        <v>2007843.7609999999</v>
      </c>
      <c r="F81" s="6">
        <f>[1]Results!I1551</f>
        <v>2040469.4439999999</v>
      </c>
      <c r="G81" s="6">
        <f>[1]Results!J1551</f>
        <v>2074230.3540000001</v>
      </c>
      <c r="H81" s="6">
        <f>[1]Results!K1551</f>
        <v>2108090.2999999998</v>
      </c>
      <c r="I81" s="6">
        <f>[1]Results!L1551</f>
        <v>2140203.1519999998</v>
      </c>
      <c r="J81" s="6">
        <f>[1]Results!M1551</f>
        <v>2172135.9279999998</v>
      </c>
      <c r="K81" s="6">
        <f>[1]Results!N1551</f>
        <v>2203972.5290000001</v>
      </c>
      <c r="L81" s="6">
        <f>[1]Results!O1551</f>
        <v>2236393.8489999999</v>
      </c>
      <c r="M81" s="6">
        <f>[1]Results!P1551</f>
        <v>2271741.8489999999</v>
      </c>
      <c r="N81" s="6">
        <f>[1]Results!Q1551</f>
        <v>2307042.5329999998</v>
      </c>
      <c r="O81" s="6">
        <f>[1]Results!R1551</f>
        <v>2343245.9040000001</v>
      </c>
      <c r="P81" s="6">
        <f>[1]Results!S1551</f>
        <v>2379540.2749999999</v>
      </c>
      <c r="Q81" s="6">
        <f>[1]Results!T1551</f>
        <v>2415852.0159999998</v>
      </c>
      <c r="R81" s="6">
        <f>[1]Results!U1551</f>
        <v>2452372.585</v>
      </c>
      <c r="S81" s="6">
        <f>[1]Results!V1551</f>
        <v>2489395.5090000001</v>
      </c>
      <c r="T81" s="6">
        <f>[1]Results!W1551</f>
        <v>2527192.969</v>
      </c>
      <c r="U81" s="6">
        <f>[1]Results!X1551</f>
        <v>2565937.574</v>
      </c>
      <c r="V81" s="6">
        <f>[1]Results!Y1551</f>
        <v>2605681.122</v>
      </c>
      <c r="W81" s="6">
        <f>[1]Results!Z1551</f>
        <v>2644568.5</v>
      </c>
      <c r="X81" s="6">
        <f>[1]Results!AA1551</f>
        <v>2685623.7349999999</v>
      </c>
      <c r="Y81" s="6">
        <f>[1]Results!AB1551</f>
        <v>2727625.4139999999</v>
      </c>
      <c r="Z81" s="6">
        <f>[1]Results!AC1551</f>
        <v>2770583.0619999999</v>
      </c>
      <c r="AA81" s="6">
        <f>[1]Results!AD1551</f>
        <v>2814357.264</v>
      </c>
      <c r="AB81" s="6">
        <f>[1]Results!AE1551</f>
        <v>2852674.557</v>
      </c>
      <c r="AC81" s="6">
        <f>[1]Results!AF1551</f>
        <v>2894734.8429999999</v>
      </c>
      <c r="AD81" s="6">
        <f>[1]Results!AG1551</f>
        <v>2936694.0440000002</v>
      </c>
      <c r="AE81" s="6">
        <f>[1]Results!AH1551</f>
        <v>2979319.7820000001</v>
      </c>
      <c r="AF81" s="6">
        <f>[1]Results!AI1551</f>
        <v>3022749.9010000001</v>
      </c>
      <c r="AG81" s="6">
        <f>[1]Results!AJ1551</f>
        <v>3066869.085</v>
      </c>
      <c r="AH81" s="6">
        <f>[1]Results!AK1551</f>
        <v>3111500.1510000001</v>
      </c>
      <c r="AI81" s="6">
        <f>[1]Results!AL1551</f>
        <v>3156522.5460000001</v>
      </c>
      <c r="AJ81" s="6">
        <f>[1]Results!AM1551</f>
        <v>3201921.88</v>
      </c>
      <c r="AK81" s="6">
        <f>[1]Results!AN1551</f>
        <v>3247777.5049999999</v>
      </c>
      <c r="AL81" s="6">
        <f>[1]Results!AO1551</f>
        <v>3294210.7429999998</v>
      </c>
    </row>
    <row r="82" spans="1:38" x14ac:dyDescent="0.3">
      <c r="A82" t="s">
        <v>26</v>
      </c>
      <c r="B82" t="s">
        <v>7</v>
      </c>
      <c r="C82" s="6">
        <f>[1]Results!F1552</f>
        <v>35217.934480000004</v>
      </c>
      <c r="D82" s="6">
        <f>[1]Results!G1552</f>
        <v>34849.874280000004</v>
      </c>
      <c r="E82" s="6">
        <f>[1]Results!H1552</f>
        <v>34692.604319999999</v>
      </c>
      <c r="F82" s="6">
        <f>[1]Results!I1552</f>
        <v>34679.482640000002</v>
      </c>
      <c r="G82" s="6">
        <f>[1]Results!J1552</f>
        <v>34796.312579999998</v>
      </c>
      <c r="H82" s="6">
        <f>[1]Results!K1552</f>
        <v>35018.728130000003</v>
      </c>
      <c r="I82" s="6">
        <f>[1]Results!L1552</f>
        <v>35290.326419999998</v>
      </c>
      <c r="J82" s="6">
        <f>[1]Results!M1552</f>
        <v>35596.383009999998</v>
      </c>
      <c r="K82" s="6">
        <f>[1]Results!N1552</f>
        <v>35912.645799999998</v>
      </c>
      <c r="L82" s="6">
        <f>[1]Results!O1552</f>
        <v>36222.171470000001</v>
      </c>
      <c r="M82" s="6">
        <f>[1]Results!P1552</f>
        <v>36556.412210000002</v>
      </c>
      <c r="N82" s="6">
        <f>[1]Results!Q1552</f>
        <v>36835.504280000001</v>
      </c>
      <c r="O82" s="6">
        <f>[1]Results!R1552</f>
        <v>37077.842040000003</v>
      </c>
      <c r="P82" s="6">
        <f>[1]Results!S1552</f>
        <v>37280.565009999998</v>
      </c>
      <c r="Q82" s="6">
        <f>[1]Results!T1552</f>
        <v>37446.844060000003</v>
      </c>
      <c r="R82" s="6">
        <f>[1]Results!U1552</f>
        <v>37584.348689999999</v>
      </c>
      <c r="S82" s="6">
        <f>[1]Results!V1552</f>
        <v>37702.887949999997</v>
      </c>
      <c r="T82" s="6">
        <f>[1]Results!W1552</f>
        <v>37812.15941</v>
      </c>
      <c r="U82" s="6">
        <f>[1]Results!X1552</f>
        <v>37920.203560000002</v>
      </c>
      <c r="V82" s="6">
        <f>[1]Results!Y1552</f>
        <v>38032.730230000001</v>
      </c>
      <c r="W82" s="6">
        <f>[1]Results!Z1552</f>
        <v>38121.789830000002</v>
      </c>
      <c r="X82" s="6">
        <f>[1]Results!AA1552</f>
        <v>38242.988389999999</v>
      </c>
      <c r="Y82" s="6">
        <f>[1]Results!AB1552</f>
        <v>38377.564279999999</v>
      </c>
      <c r="Z82" s="6">
        <f>[1]Results!AC1552</f>
        <v>38525.191160000002</v>
      </c>
      <c r="AA82" s="6">
        <f>[1]Results!AD1552</f>
        <v>38684.043989999998</v>
      </c>
      <c r="AB82" s="6">
        <f>[1]Results!AE1552</f>
        <v>38762.529300000002</v>
      </c>
      <c r="AC82" s="6">
        <f>[1]Results!AF1552</f>
        <v>38874.361100000002</v>
      </c>
      <c r="AD82" s="6">
        <f>[1]Results!AG1552</f>
        <v>38989.682119999998</v>
      </c>
      <c r="AE82" s="6">
        <f>[1]Results!AH1552</f>
        <v>39111.421750000001</v>
      </c>
      <c r="AF82" s="6">
        <f>[1]Results!AI1552</f>
        <v>39240.102509999997</v>
      </c>
      <c r="AG82" s="6">
        <f>[1]Results!AJ1552</f>
        <v>39374.397349999999</v>
      </c>
      <c r="AH82" s="6">
        <f>[1]Results!AK1552</f>
        <v>39512.2183</v>
      </c>
      <c r="AI82" s="6">
        <f>[1]Results!AL1552</f>
        <v>39651.674319999998</v>
      </c>
      <c r="AJ82" s="6">
        <f>[1]Results!AM1552</f>
        <v>39791.583720000002</v>
      </c>
      <c r="AK82" s="6">
        <f>[1]Results!AN1552</f>
        <v>39931.509330000001</v>
      </c>
      <c r="AL82" s="6">
        <f>[1]Results!AO1552</f>
        <v>40071.451000000001</v>
      </c>
    </row>
    <row r="83" spans="1:38" x14ac:dyDescent="0.3">
      <c r="B83" t="s">
        <v>96</v>
      </c>
      <c r="C83" s="6">
        <f>[1]Results!F1565</f>
        <v>107947.6189</v>
      </c>
      <c r="D83" s="6">
        <f>[1]Results!G1565</f>
        <v>115963.9374</v>
      </c>
      <c r="E83" s="6">
        <f>[1]Results!H1565</f>
        <v>123297.24189999999</v>
      </c>
      <c r="F83" s="6">
        <f>[1]Results!I1565</f>
        <v>127517.2997</v>
      </c>
      <c r="G83" s="6">
        <f>[1]Results!J1565</f>
        <v>130123.0382</v>
      </c>
      <c r="H83" s="6">
        <f>[1]Results!K1565</f>
        <v>132048.95610000001</v>
      </c>
      <c r="I83" s="6">
        <f>[1]Results!L1565</f>
        <v>131187.1967</v>
      </c>
      <c r="J83" s="6">
        <f>[1]Results!M1565</f>
        <v>132103.48560000001</v>
      </c>
      <c r="K83" s="6">
        <f>[1]Results!N1565</f>
        <v>133449.25440000001</v>
      </c>
      <c r="L83" s="6">
        <f>[1]Results!O1565</f>
        <v>135001.80100000001</v>
      </c>
      <c r="M83" s="6">
        <f>[1]Results!P1565</f>
        <v>140417.44339999999</v>
      </c>
      <c r="N83" s="6">
        <f>[1]Results!Q1565</f>
        <v>139652.09109999999</v>
      </c>
      <c r="O83" s="6">
        <f>[1]Results!R1565</f>
        <v>140979.3222</v>
      </c>
      <c r="P83" s="6">
        <f>[1]Results!S1565</f>
        <v>142791.8314</v>
      </c>
      <c r="Q83" s="6">
        <f>[1]Results!T1565</f>
        <v>144773.95850000001</v>
      </c>
      <c r="R83" s="6">
        <f>[1]Results!U1565</f>
        <v>146848.89499999999</v>
      </c>
      <c r="S83" s="6">
        <f>[1]Results!V1565</f>
        <v>149004.7861</v>
      </c>
      <c r="T83" s="6">
        <f>[1]Results!W1565</f>
        <v>151248.67050000001</v>
      </c>
      <c r="U83" s="6">
        <f>[1]Results!X1565</f>
        <v>153587.3247</v>
      </c>
      <c r="V83" s="6">
        <f>[1]Results!Y1565</f>
        <v>156020.06690000001</v>
      </c>
      <c r="W83" s="6">
        <f>[1]Results!Z1565</f>
        <v>155900.99280000001</v>
      </c>
      <c r="X83" s="6">
        <f>[1]Results!AA1565</f>
        <v>160240.57260000001</v>
      </c>
      <c r="Y83" s="6">
        <f>[1]Results!AB1565</f>
        <v>163404.01560000001</v>
      </c>
      <c r="Z83" s="6">
        <f>[1]Results!AC1565</f>
        <v>166295.29740000001</v>
      </c>
      <c r="AA83" s="6">
        <f>[1]Results!AD1565</f>
        <v>169124.1991</v>
      </c>
      <c r="AB83" s="6">
        <f>[1]Results!AE1565</f>
        <v>164235.61900000001</v>
      </c>
      <c r="AC83" s="6">
        <f>[1]Results!AF1565</f>
        <v>169043.07709999999</v>
      </c>
      <c r="AD83" s="6">
        <f>[1]Results!AG1565</f>
        <v>172310.7935</v>
      </c>
      <c r="AE83" s="6">
        <f>[1]Results!AH1565</f>
        <v>175273.47409999999</v>
      </c>
      <c r="AF83" s="6">
        <f>[1]Results!AI1565</f>
        <v>178171.7231</v>
      </c>
      <c r="AG83" s="6">
        <f>[1]Results!AJ1565</f>
        <v>181061.0336</v>
      </c>
      <c r="AH83" s="6">
        <f>[1]Results!AK1565</f>
        <v>183950.53909999999</v>
      </c>
      <c r="AI83" s="6">
        <f>[1]Results!AL1565</f>
        <v>186839.57430000001</v>
      </c>
      <c r="AJ83" s="6">
        <f>[1]Results!AM1565</f>
        <v>189730.89199999999</v>
      </c>
      <c r="AK83" s="6">
        <f>[1]Results!AN1565</f>
        <v>192633.43359999999</v>
      </c>
      <c r="AL83" s="6">
        <f>[1]Results!AO1565</f>
        <v>195559.33799999999</v>
      </c>
    </row>
    <row r="84" spans="1:38" x14ac:dyDescent="0.3">
      <c r="B84" t="s">
        <v>11</v>
      </c>
      <c r="C84" s="6">
        <f>[1]Results!F1580</f>
        <v>13735.973319999999</v>
      </c>
      <c r="D84" s="6">
        <f>[1]Results!G1580</f>
        <v>13798.184010000001</v>
      </c>
      <c r="E84" s="6">
        <f>[1]Results!H1580</f>
        <v>13862.72622</v>
      </c>
      <c r="F84" s="6">
        <f>[1]Results!I1580</f>
        <v>13966.58957</v>
      </c>
      <c r="G84" s="6">
        <f>[1]Results!J1580</f>
        <v>14127.52713</v>
      </c>
      <c r="H84" s="6">
        <f>[1]Results!K1580</f>
        <v>14355.609270000001</v>
      </c>
      <c r="I84" s="6">
        <f>[1]Results!L1580</f>
        <v>14641.675730000001</v>
      </c>
      <c r="J84" s="6">
        <f>[1]Results!M1580</f>
        <v>14984.391390000001</v>
      </c>
      <c r="K84" s="6">
        <f>[1]Results!N1580</f>
        <v>15367.15913</v>
      </c>
      <c r="L84" s="6">
        <f>[1]Results!O1580</f>
        <v>15769.410889999999</v>
      </c>
      <c r="M84" s="6">
        <f>[1]Results!P1580</f>
        <v>16181.56638</v>
      </c>
      <c r="N84" s="6">
        <f>[1]Results!Q1580</f>
        <v>16570.66864</v>
      </c>
      <c r="O84" s="6">
        <f>[1]Results!R1580</f>
        <v>16934.117829999999</v>
      </c>
      <c r="P84" s="6">
        <f>[1]Results!S1580</f>
        <v>17265.49453</v>
      </c>
      <c r="Q84" s="6">
        <f>[1]Results!T1580</f>
        <v>17558.823909999999</v>
      </c>
      <c r="R84" s="6">
        <f>[1]Results!U1580</f>
        <v>17810.813330000001</v>
      </c>
      <c r="S84" s="6">
        <f>[1]Results!V1580</f>
        <v>18024.771830000002</v>
      </c>
      <c r="T84" s="6">
        <f>[1]Results!W1580</f>
        <v>18208.850409999999</v>
      </c>
      <c r="U84" s="6">
        <f>[1]Results!X1580</f>
        <v>18374.778699999999</v>
      </c>
      <c r="V84" s="6">
        <f>[1]Results!Y1580</f>
        <v>18536.011299999998</v>
      </c>
      <c r="W84" s="6">
        <f>[1]Results!Z1580</f>
        <v>18696.690770000001</v>
      </c>
      <c r="X84" s="6">
        <f>[1]Results!AA1580</f>
        <v>18879.457340000001</v>
      </c>
      <c r="Y84" s="6">
        <f>[1]Results!AB1580</f>
        <v>19085.917580000001</v>
      </c>
      <c r="Z84" s="6">
        <f>[1]Results!AC1580</f>
        <v>19320.363020000001</v>
      </c>
      <c r="AA84" s="6">
        <f>[1]Results!AD1580</f>
        <v>19585.772799999999</v>
      </c>
      <c r="AB84" s="6">
        <f>[1]Results!AE1580</f>
        <v>19851.79319</v>
      </c>
      <c r="AC84" s="6">
        <f>[1]Results!AF1580</f>
        <v>20154.447810000001</v>
      </c>
      <c r="AD84" s="6">
        <f>[1]Results!AG1580</f>
        <v>20473.01816</v>
      </c>
      <c r="AE84" s="6">
        <f>[1]Results!AH1580</f>
        <v>20800.35641</v>
      </c>
      <c r="AF84" s="6">
        <f>[1]Results!AI1580</f>
        <v>21133.797460000002</v>
      </c>
      <c r="AG84" s="6">
        <f>[1]Results!AJ1580</f>
        <v>21472.31911</v>
      </c>
      <c r="AH84" s="6">
        <f>[1]Results!AK1580</f>
        <v>21814.99973</v>
      </c>
      <c r="AI84" s="6">
        <f>[1]Results!AL1580</f>
        <v>22160.163110000001</v>
      </c>
      <c r="AJ84" s="6">
        <f>[1]Results!AM1580</f>
        <v>22505.273550000002</v>
      </c>
      <c r="AK84" s="6">
        <f>[1]Results!AN1580</f>
        <v>22847.482929999998</v>
      </c>
      <c r="AL84" s="6">
        <f>[1]Results!AO1580</f>
        <v>23183.62615</v>
      </c>
    </row>
    <row r="85" spans="1:38" x14ac:dyDescent="0.3">
      <c r="B85" t="s">
        <v>8</v>
      </c>
      <c r="C85" s="6">
        <f>[1]Results!F1555-[1]Results!F1565</f>
        <v>227553.87790000002</v>
      </c>
      <c r="D85" s="6">
        <f>[1]Results!G1555-[1]Results!G1565</f>
        <v>228394.42180000001</v>
      </c>
      <c r="E85" s="6">
        <f>[1]Results!H1555-[1]Results!H1565</f>
        <v>230822.53790000002</v>
      </c>
      <c r="F85" s="6">
        <f>[1]Results!I1555-[1]Results!I1565</f>
        <v>233680.16959999999</v>
      </c>
      <c r="G85" s="6">
        <f>[1]Results!J1555-[1]Results!J1565</f>
        <v>236738.20069999999</v>
      </c>
      <c r="H85" s="6">
        <f>[1]Results!K1555-[1]Results!K1565</f>
        <v>239923.63529999997</v>
      </c>
      <c r="I85" s="6">
        <f>[1]Results!L1555-[1]Results!L1565</f>
        <v>242809.6832</v>
      </c>
      <c r="J85" s="6">
        <f>[1]Results!M1555-[1]Results!M1565</f>
        <v>245820.91489999997</v>
      </c>
      <c r="K85" s="6">
        <f>[1]Results!N1555-[1]Results!N1565</f>
        <v>248885.88340000002</v>
      </c>
      <c r="L85" s="6">
        <f>[1]Results!O1555-[1]Results!O1565</f>
        <v>251999.24799999999</v>
      </c>
      <c r="M85" s="6">
        <f>[1]Results!P1555-[1]Results!P1565</f>
        <v>255747.65779999999</v>
      </c>
      <c r="N85" s="6">
        <f>[1]Results!Q1555-[1]Results!Q1565</f>
        <v>258882.39320000002</v>
      </c>
      <c r="O85" s="6">
        <f>[1]Results!R1555-[1]Results!R1565</f>
        <v>262119.64299999998</v>
      </c>
      <c r="P85" s="6">
        <f>[1]Results!S1555-[1]Results!S1565</f>
        <v>265379.30929999996</v>
      </c>
      <c r="Q85" s="6">
        <f>[1]Results!T1555-[1]Results!T1565</f>
        <v>268621.06160000002</v>
      </c>
      <c r="R85" s="6">
        <f>[1]Results!U1555-[1]Results!U1565</f>
        <v>271850.83070000005</v>
      </c>
      <c r="S85" s="6">
        <f>[1]Results!V1555-[1]Results!V1565</f>
        <v>275094.78090000001</v>
      </c>
      <c r="T85" s="6">
        <f>[1]Results!W1555-[1]Results!W1565</f>
        <v>278382.70939999999</v>
      </c>
      <c r="U85" s="6">
        <f>[1]Results!X1555-[1]Results!X1565</f>
        <v>281738.13790000003</v>
      </c>
      <c r="V85" s="6">
        <f>[1]Results!Y1555-[1]Results!Y1565</f>
        <v>285174.40830000001</v>
      </c>
      <c r="W85" s="6">
        <f>[1]Results!Z1555-[1]Results!Z1565</f>
        <v>288264.24959999998</v>
      </c>
      <c r="X85" s="6">
        <f>[1]Results!AA1555-[1]Results!AA1565</f>
        <v>291935.83269999997</v>
      </c>
      <c r="Y85" s="6">
        <f>[1]Results!AB1555-[1]Results!AB1565</f>
        <v>295656.5111</v>
      </c>
      <c r="Z85" s="6">
        <f>[1]Results!AC1555-[1]Results!AC1565</f>
        <v>299437.36939999997</v>
      </c>
      <c r="AA85" s="6">
        <f>[1]Results!AD1555-[1]Results!AD1565</f>
        <v>303290.3358</v>
      </c>
      <c r="AB85" s="6">
        <f>[1]Results!AE1555-[1]Results!AE1565</f>
        <v>305932.7022</v>
      </c>
      <c r="AC85" s="6">
        <f>[1]Results!AF1555-[1]Results!AF1565</f>
        <v>309615.63140000001</v>
      </c>
      <c r="AD85" s="6">
        <f>[1]Results!AG1555-[1]Results!AG1565</f>
        <v>313325.25899999996</v>
      </c>
      <c r="AE85" s="6">
        <f>[1]Results!AH1555-[1]Results!AH1565</f>
        <v>317084.79940000002</v>
      </c>
      <c r="AF85" s="6">
        <f>[1]Results!AI1555-[1]Results!AI1565</f>
        <v>320924.15350000001</v>
      </c>
      <c r="AG85" s="6">
        <f>[1]Results!AJ1555-[1]Results!AJ1565</f>
        <v>324841.85820000002</v>
      </c>
      <c r="AH85" s="6">
        <f>[1]Results!AK1555-[1]Results!AK1565</f>
        <v>328824.0981</v>
      </c>
      <c r="AI85" s="6">
        <f>[1]Results!AL1555-[1]Results!AL1565</f>
        <v>332857.86679999996</v>
      </c>
      <c r="AJ85" s="6">
        <f>[1]Results!AM1555-[1]Results!AM1565</f>
        <v>336937.30799999996</v>
      </c>
      <c r="AK85" s="6">
        <f>[1]Results!AN1555-[1]Results!AN1565</f>
        <v>341064.34400000004</v>
      </c>
      <c r="AL85" s="6">
        <f>[1]Results!AO1555-[1]Results!AO1565</f>
        <v>345245.35990000004</v>
      </c>
    </row>
    <row r="86" spans="1:38" x14ac:dyDescent="0.3">
      <c r="B86" t="s">
        <v>24</v>
      </c>
      <c r="C86" s="6">
        <f>[1]Results!F1575</f>
        <v>3896.5538860000001</v>
      </c>
      <c r="D86" s="6">
        <f>[1]Results!G1575</f>
        <v>4090.6944189999999</v>
      </c>
      <c r="E86" s="6">
        <f>[1]Results!H1575</f>
        <v>4165.6361939999997</v>
      </c>
      <c r="F86" s="6">
        <f>[1]Results!I1575</f>
        <v>4240.1771239999998</v>
      </c>
      <c r="G86" s="6">
        <f>[1]Results!J1575</f>
        <v>4320.3410110000004</v>
      </c>
      <c r="H86" s="6">
        <f>[1]Results!K1575</f>
        <v>4403.9953340000002</v>
      </c>
      <c r="I86" s="6">
        <f>[1]Results!L1575</f>
        <v>4481.6521190000003</v>
      </c>
      <c r="J86" s="6">
        <f>[1]Results!M1575</f>
        <v>4563.1171210000002</v>
      </c>
      <c r="K86" s="6">
        <f>[1]Results!N1575</f>
        <v>4642.8805439999996</v>
      </c>
      <c r="L86" s="6">
        <f>[1]Results!O1575</f>
        <v>4719.2203289999998</v>
      </c>
      <c r="M86" s="6">
        <f>[1]Results!P1575</f>
        <v>4802.2755420000003</v>
      </c>
      <c r="N86" s="6">
        <f>[1]Results!Q1575</f>
        <v>4867.2377489999999</v>
      </c>
      <c r="O86" s="6">
        <f>[1]Results!R1575</f>
        <v>4936.0550860000003</v>
      </c>
      <c r="P86" s="6">
        <f>[1]Results!S1575</f>
        <v>5004.5389699999996</v>
      </c>
      <c r="Q86" s="6">
        <f>[1]Results!T1575</f>
        <v>5070.9871080000003</v>
      </c>
      <c r="R86" s="6">
        <f>[1]Results!U1575</f>
        <v>5134.6682449999998</v>
      </c>
      <c r="S86" s="6">
        <f>[1]Results!V1575</f>
        <v>5195.4500710000002</v>
      </c>
      <c r="T86" s="6">
        <f>[1]Results!W1575</f>
        <v>5253.6364830000002</v>
      </c>
      <c r="U86" s="6">
        <f>[1]Results!X1575</f>
        <v>5309.8592479999998</v>
      </c>
      <c r="V86" s="6">
        <f>[1]Results!Y1575</f>
        <v>5364.9028109999999</v>
      </c>
      <c r="W86" s="6">
        <f>[1]Results!Z1575</f>
        <v>5411.7464879999998</v>
      </c>
      <c r="X86" s="6">
        <f>[1]Results!AA1575</f>
        <v>5470.0701950000002</v>
      </c>
      <c r="Y86" s="6">
        <f>[1]Results!AB1575</f>
        <v>5525.1137070000004</v>
      </c>
      <c r="Z86" s="6">
        <f>[1]Results!AC1575</f>
        <v>5580.0224040000003</v>
      </c>
      <c r="AA86" s="6">
        <f>[1]Results!AD1575</f>
        <v>5635.9619030000003</v>
      </c>
      <c r="AB86" s="6">
        <f>[1]Results!AE1575</f>
        <v>5669.3866790000002</v>
      </c>
      <c r="AC86" s="6">
        <f>[1]Results!AF1575</f>
        <v>5729.4443369999999</v>
      </c>
      <c r="AD86" s="6">
        <f>[1]Results!AG1575</f>
        <v>5783.6000690000001</v>
      </c>
      <c r="AE86" s="6">
        <f>[1]Results!AH1575</f>
        <v>5835.8919720000004</v>
      </c>
      <c r="AF86" s="6">
        <f>[1]Results!AI1575</f>
        <v>5888.32107</v>
      </c>
      <c r="AG86" s="6">
        <f>[1]Results!AJ1575</f>
        <v>5941.7658920000003</v>
      </c>
      <c r="AH86" s="6">
        <f>[1]Results!AK1575</f>
        <v>5996.5076550000003</v>
      </c>
      <c r="AI86" s="6">
        <f>[1]Results!AL1575</f>
        <v>6052.443706</v>
      </c>
      <c r="AJ86" s="6">
        <f>[1]Results!AM1575</f>
        <v>6109.253412</v>
      </c>
      <c r="AK86" s="6">
        <f>[1]Results!AN1575</f>
        <v>6166.5736870000001</v>
      </c>
      <c r="AL86" s="6">
        <f>[1]Results!AO1575</f>
        <v>6224.0974740000001</v>
      </c>
    </row>
    <row r="87" spans="1:38" x14ac:dyDescent="0.3">
      <c r="B87" t="s">
        <v>10</v>
      </c>
      <c r="C87" s="6">
        <f>[1]Results!F1572</f>
        <v>1519666.3430000001</v>
      </c>
      <c r="D87" s="6">
        <f>[1]Results!G1572</f>
        <v>1530246.949</v>
      </c>
      <c r="E87" s="6">
        <f>[1]Results!H1572</f>
        <v>1548669.6040000001</v>
      </c>
      <c r="F87" s="6">
        <f>[1]Results!I1572</f>
        <v>1573577.2609999999</v>
      </c>
      <c r="G87" s="6">
        <f>[1]Results!J1572</f>
        <v>1600736.179</v>
      </c>
      <c r="H87" s="6">
        <f>[1]Results!K1572</f>
        <v>1628311.3149999999</v>
      </c>
      <c r="I87" s="6">
        <f>[1]Results!L1572</f>
        <v>1657107.416</v>
      </c>
      <c r="J87" s="6">
        <f>[1]Results!M1572</f>
        <v>1683719.264</v>
      </c>
      <c r="K87" s="6">
        <f>[1]Results!N1572</f>
        <v>1709689.463</v>
      </c>
      <c r="L87" s="6">
        <f>[1]Results!O1572</f>
        <v>1735956.227</v>
      </c>
      <c r="M87" s="6">
        <f>[1]Results!P1572</f>
        <v>1760554.4750000001</v>
      </c>
      <c r="N87" s="6">
        <f>[1]Results!Q1572</f>
        <v>1791959.4650000001</v>
      </c>
      <c r="O87" s="6">
        <f>[1]Results!R1572</f>
        <v>1822124.537</v>
      </c>
      <c r="P87" s="6">
        <f>[1]Results!S1572</f>
        <v>1851944.18</v>
      </c>
      <c r="Q87" s="6">
        <f>[1]Results!T1572</f>
        <v>1881706.237</v>
      </c>
      <c r="R87" s="6">
        <f>[1]Results!U1572</f>
        <v>1911666.6810000001</v>
      </c>
      <c r="S87" s="6">
        <f>[1]Results!V1572</f>
        <v>1942086.6529999999</v>
      </c>
      <c r="T87" s="6">
        <f>[1]Results!W1572</f>
        <v>1973177.9909999999</v>
      </c>
      <c r="U87" s="6">
        <f>[1]Results!X1572</f>
        <v>2005058.6370000001</v>
      </c>
      <c r="V87" s="6">
        <f>[1]Results!Y1572</f>
        <v>2037745.861</v>
      </c>
      <c r="W87" s="6">
        <f>[1]Results!Z1572</f>
        <v>2072514.36</v>
      </c>
      <c r="X87" s="6">
        <f>[1]Results!AA1572</f>
        <v>2104324.7170000002</v>
      </c>
      <c r="Y87" s="6">
        <f>[1]Results!AB1572</f>
        <v>2138144.997</v>
      </c>
      <c r="Z87" s="6">
        <f>[1]Results!AC1572</f>
        <v>2173067.5830000001</v>
      </c>
      <c r="AA87" s="6">
        <f>[1]Results!AD1572</f>
        <v>2208733.4989999998</v>
      </c>
      <c r="AB87" s="6">
        <f>[1]Results!AE1572</f>
        <v>2248041.577</v>
      </c>
      <c r="AC87" s="6">
        <f>[1]Results!AF1572</f>
        <v>2280255.2230000002</v>
      </c>
      <c r="AD87" s="6">
        <f>[1]Results!AG1572</f>
        <v>2313849.9989999998</v>
      </c>
      <c r="AE87" s="6">
        <f>[1]Results!AH1572</f>
        <v>2348331.7280000001</v>
      </c>
      <c r="AF87" s="6">
        <f>[1]Results!AI1572</f>
        <v>2383568.0249999999</v>
      </c>
      <c r="AG87" s="6">
        <f>[1]Results!AJ1572</f>
        <v>2419393.929</v>
      </c>
      <c r="AH87" s="6">
        <f>[1]Results!AK1572</f>
        <v>2455643.5189999999</v>
      </c>
      <c r="AI87" s="6">
        <f>[1]Results!AL1572</f>
        <v>2492216.4879999999</v>
      </c>
      <c r="AJ87" s="6">
        <f>[1]Results!AM1572</f>
        <v>2529106.5490000001</v>
      </c>
      <c r="AK87" s="6">
        <f>[1]Results!AN1572</f>
        <v>2566384.9580000001</v>
      </c>
      <c r="AL87" s="6">
        <f>[1]Results!AO1572</f>
        <v>2604156.1170000001</v>
      </c>
    </row>
    <row r="88" spans="1:38" x14ac:dyDescent="0.3">
      <c r="B88" t="s">
        <v>9</v>
      </c>
      <c r="C88" s="6">
        <f>[1]Results!F1567</f>
        <v>52060.205719999998</v>
      </c>
      <c r="D88" s="6">
        <f>[1]Results!G1567</f>
        <v>52046.551579999999</v>
      </c>
      <c r="E88" s="6">
        <f>[1]Results!H1567</f>
        <v>52333.410389999997</v>
      </c>
      <c r="F88" s="6">
        <f>[1]Results!I1567</f>
        <v>52808.46443</v>
      </c>
      <c r="G88" s="6">
        <f>[1]Results!J1567</f>
        <v>53388.755290000001</v>
      </c>
      <c r="H88" s="6">
        <f>[1]Results!K1567</f>
        <v>54028.061609999997</v>
      </c>
      <c r="I88" s="6">
        <f>[1]Results!L1567</f>
        <v>54685.201760000004</v>
      </c>
      <c r="J88" s="6">
        <f>[1]Results!M1567</f>
        <v>55348.371870000003</v>
      </c>
      <c r="K88" s="6">
        <f>[1]Results!N1567</f>
        <v>56025.242619999997</v>
      </c>
      <c r="L88" s="6">
        <f>[1]Results!O1567</f>
        <v>56725.770649999999</v>
      </c>
      <c r="M88" s="6">
        <f>[1]Results!P1567</f>
        <v>57482.018300000003</v>
      </c>
      <c r="N88" s="6">
        <f>[1]Results!Q1567</f>
        <v>58275.173770000001</v>
      </c>
      <c r="O88" s="6">
        <f>[1]Results!R1567</f>
        <v>59074.38766</v>
      </c>
      <c r="P88" s="6">
        <f>[1]Results!S1567</f>
        <v>59874.356419999996</v>
      </c>
      <c r="Q88" s="6">
        <f>[1]Results!T1567</f>
        <v>60674.103640000001</v>
      </c>
      <c r="R88" s="6">
        <f>[1]Results!U1567</f>
        <v>61476.348030000001</v>
      </c>
      <c r="S88" s="6">
        <f>[1]Results!V1567</f>
        <v>62286.179040000003</v>
      </c>
      <c r="T88" s="6">
        <f>[1]Results!W1567</f>
        <v>63108.951990000001</v>
      </c>
      <c r="U88" s="6">
        <f>[1]Results!X1567</f>
        <v>63948.632879999997</v>
      </c>
      <c r="V88" s="6">
        <f>[1]Results!Y1567</f>
        <v>64807.14172</v>
      </c>
      <c r="W88" s="6">
        <f>[1]Results!Z1567</f>
        <v>65658.671000000002</v>
      </c>
      <c r="X88" s="6">
        <f>[1]Results!AA1567</f>
        <v>66530.097680000006</v>
      </c>
      <c r="Y88" s="6">
        <f>[1]Results!AB1567</f>
        <v>67431.294139999998</v>
      </c>
      <c r="Z88" s="6">
        <f>[1]Results!AC1567</f>
        <v>68357.235419999997</v>
      </c>
      <c r="AA88" s="6">
        <f>[1]Results!AD1567</f>
        <v>69303.451350000003</v>
      </c>
      <c r="AB88" s="6">
        <f>[1]Results!AE1567</f>
        <v>70180.949359999999</v>
      </c>
      <c r="AC88" s="6">
        <f>[1]Results!AF1567</f>
        <v>71062.657930000001</v>
      </c>
      <c r="AD88" s="6">
        <f>[1]Results!AG1567</f>
        <v>71961.692020000002</v>
      </c>
      <c r="AE88" s="6">
        <f>[1]Results!AH1567</f>
        <v>72882.109979999994</v>
      </c>
      <c r="AF88" s="6">
        <f>[1]Results!AI1567</f>
        <v>73823.778470000005</v>
      </c>
      <c r="AG88" s="6">
        <f>[1]Results!AJ1567</f>
        <v>74783.782449999999</v>
      </c>
      <c r="AH88" s="6">
        <f>[1]Results!AK1567</f>
        <v>75758.268960000001</v>
      </c>
      <c r="AI88" s="6">
        <f>[1]Results!AL1567</f>
        <v>76744.335909999994</v>
      </c>
      <c r="AJ88" s="6">
        <f>[1]Results!AM1567</f>
        <v>77741.020069999999</v>
      </c>
      <c r="AK88" s="6">
        <f>[1]Results!AN1567</f>
        <v>78749.20362</v>
      </c>
      <c r="AL88" s="6">
        <f>[1]Results!AO1567</f>
        <v>79770.753750000003</v>
      </c>
    </row>
    <row r="90" spans="1:38" x14ac:dyDescent="0.3">
      <c r="A90" t="s">
        <v>27</v>
      </c>
      <c r="B90" t="s">
        <v>12</v>
      </c>
      <c r="C90" s="6">
        <f>[1]Results!F1512</f>
        <v>1960078.507</v>
      </c>
      <c r="D90" s="6">
        <f>[1]Results!G1512</f>
        <v>1979390.612</v>
      </c>
      <c r="E90" s="6">
        <f>[1]Results!H1512</f>
        <v>2007843.7609999999</v>
      </c>
      <c r="F90" s="6">
        <f>[1]Results!I1512</f>
        <v>2040469.4439999999</v>
      </c>
      <c r="G90" s="6">
        <f>[1]Results!J1512</f>
        <v>2074230.3540000001</v>
      </c>
      <c r="H90" s="6">
        <f>[1]Results!K1512</f>
        <v>2108090.2999999998</v>
      </c>
      <c r="I90" s="6">
        <f>[1]Results!L1512</f>
        <v>2139172.5720000002</v>
      </c>
      <c r="J90" s="6">
        <f>[1]Results!M1512</f>
        <v>2162849.9479999999</v>
      </c>
      <c r="K90" s="6">
        <f>[1]Results!N1512</f>
        <v>2182241.5649999999</v>
      </c>
      <c r="L90" s="6">
        <f>[1]Results!O1512</f>
        <v>2202859.9640000002</v>
      </c>
      <c r="M90" s="6">
        <f>[1]Results!P1512</f>
        <v>2230521.2349999999</v>
      </c>
      <c r="N90" s="6">
        <f>[1]Results!Q1512</f>
        <v>2262786.9419999998</v>
      </c>
      <c r="O90" s="6">
        <f>[1]Results!R1512</f>
        <v>2299898.7889999999</v>
      </c>
      <c r="P90" s="6">
        <f>[1]Results!S1512</f>
        <v>2339149.5120000001</v>
      </c>
      <c r="Q90" s="6">
        <f>[1]Results!T1512</f>
        <v>2378574.4180000001</v>
      </c>
      <c r="R90" s="6">
        <f>[1]Results!U1512</f>
        <v>2417145.537</v>
      </c>
      <c r="S90" s="6">
        <f>[1]Results!V1512</f>
        <v>2454820.75</v>
      </c>
      <c r="T90" s="6">
        <f>[1]Results!W1512</f>
        <v>2492236.7170000002</v>
      </c>
      <c r="U90" s="6">
        <f>[1]Results!X1512</f>
        <v>2530233.3840000001</v>
      </c>
      <c r="V90" s="6">
        <f>[1]Results!Y1512</f>
        <v>2569453.3590000002</v>
      </c>
      <c r="W90" s="6">
        <f>[1]Results!Z1512</f>
        <v>2608402.5060000001</v>
      </c>
      <c r="X90" s="6">
        <f>[1]Results!AA1512</f>
        <v>2649943.2710000002</v>
      </c>
      <c r="Y90" s="6">
        <f>[1]Results!AB1512</f>
        <v>2692634.3879999998</v>
      </c>
      <c r="Z90" s="6">
        <f>[1]Results!AC1512</f>
        <v>2736172.6669999999</v>
      </c>
      <c r="AA90" s="6">
        <f>[1]Results!AD1512</f>
        <v>2780183.8</v>
      </c>
      <c r="AB90" s="6">
        <f>[1]Results!AE1512</f>
        <v>2818438.5729999999</v>
      </c>
      <c r="AC90" s="6">
        <f>[1]Results!AF1512</f>
        <v>2860015.463</v>
      </c>
      <c r="AD90" s="6">
        <f>[1]Results!AG1512</f>
        <v>2901265.5720000002</v>
      </c>
      <c r="AE90" s="6">
        <f>[1]Results!AH1512</f>
        <v>2943128.3220000002</v>
      </c>
      <c r="AF90" s="6">
        <f>[1]Results!AI1512</f>
        <v>2985878.733</v>
      </c>
      <c r="AG90" s="6">
        <f>[1]Results!AJ1512</f>
        <v>3029470.6630000002</v>
      </c>
      <c r="AH90" s="6">
        <f>[1]Results!AK1512</f>
        <v>3073727.719</v>
      </c>
      <c r="AI90" s="6">
        <f>[1]Results!AL1512</f>
        <v>3118487.165</v>
      </c>
      <c r="AJ90" s="6">
        <f>[1]Results!AM1512</f>
        <v>3163681.5780000002</v>
      </c>
      <c r="AK90" s="6">
        <f>[1]Results!AN1512</f>
        <v>3209351.2170000002</v>
      </c>
      <c r="AL90" s="6">
        <f>[1]Results!AO1512</f>
        <v>3255604.628</v>
      </c>
    </row>
    <row r="91" spans="1:38" x14ac:dyDescent="0.3">
      <c r="B91" t="s">
        <v>7</v>
      </c>
      <c r="C91" s="6">
        <f>[1]Results!F1513</f>
        <v>35217.934480000004</v>
      </c>
      <c r="D91" s="6">
        <f>[1]Results!G1513</f>
        <v>34849.874280000004</v>
      </c>
      <c r="E91" s="6">
        <f>[1]Results!H1513</f>
        <v>34692.604319999999</v>
      </c>
      <c r="F91" s="6">
        <f>[1]Results!I1513</f>
        <v>34679.482640000002</v>
      </c>
      <c r="G91" s="6">
        <f>[1]Results!J1513</f>
        <v>34796.312579999998</v>
      </c>
      <c r="H91" s="6">
        <f>[1]Results!K1513</f>
        <v>35018.728130000003</v>
      </c>
      <c r="I91" s="6">
        <f>[1]Results!L1513</f>
        <v>32948.334300000002</v>
      </c>
      <c r="J91" s="6">
        <f>[1]Results!M1513</f>
        <v>32767.825430000001</v>
      </c>
      <c r="K91" s="6">
        <f>[1]Results!N1513</f>
        <v>32717.653890000001</v>
      </c>
      <c r="L91" s="6">
        <f>[1]Results!O1513</f>
        <v>32630.764490000001</v>
      </c>
      <c r="M91" s="6">
        <f>[1]Results!P1513</f>
        <v>32580.408879999999</v>
      </c>
      <c r="N91" s="6">
        <f>[1]Results!Q1513</f>
        <v>32530.60701</v>
      </c>
      <c r="O91" s="6">
        <f>[1]Results!R1513</f>
        <v>32512.901959999999</v>
      </c>
      <c r="P91" s="6">
        <f>[1]Results!S1513</f>
        <v>32522.505079999999</v>
      </c>
      <c r="Q91" s="6">
        <f>[1]Results!T1513</f>
        <v>32552.997759999998</v>
      </c>
      <c r="R91" s="6">
        <f>[1]Results!U1513</f>
        <v>32601.858049999999</v>
      </c>
      <c r="S91" s="6">
        <f>[1]Results!V1513</f>
        <v>32671.12585</v>
      </c>
      <c r="T91" s="6">
        <f>[1]Results!W1513</f>
        <v>32765.242099999999</v>
      </c>
      <c r="U91" s="6">
        <f>[1]Results!X1513</f>
        <v>32887.8459</v>
      </c>
      <c r="V91" s="6">
        <f>[1]Results!Y1513</f>
        <v>33039.355150000003</v>
      </c>
      <c r="W91" s="6">
        <f>[1]Results!Z1513</f>
        <v>33188.443879999999</v>
      </c>
      <c r="X91" s="6">
        <f>[1]Results!AA1513</f>
        <v>33375.882519999999</v>
      </c>
      <c r="Y91" s="6">
        <f>[1]Results!AB1513</f>
        <v>33575.602919999998</v>
      </c>
      <c r="Z91" s="6">
        <f>[1]Results!AC1513</f>
        <v>33779.523099999999</v>
      </c>
      <c r="AA91" s="6">
        <f>[1]Results!AD1513</f>
        <v>33980.460400000004</v>
      </c>
      <c r="AB91" s="6">
        <f>[1]Results!AE1513</f>
        <v>34093.866020000001</v>
      </c>
      <c r="AC91" s="6">
        <f>[1]Results!AF1513</f>
        <v>34222.187830000003</v>
      </c>
      <c r="AD91" s="6">
        <f>[1]Results!AG1513</f>
        <v>34339.489350000003</v>
      </c>
      <c r="AE91" s="6">
        <f>[1]Results!AH1513</f>
        <v>34451.302839999997</v>
      </c>
      <c r="AF91" s="6">
        <f>[1]Results!AI1513</f>
        <v>34561.207739999998</v>
      </c>
      <c r="AG91" s="6">
        <f>[1]Results!AJ1513</f>
        <v>34670.752899999999</v>
      </c>
      <c r="AH91" s="6">
        <f>[1]Results!AK1513</f>
        <v>34780.224580000002</v>
      </c>
      <c r="AI91" s="6">
        <f>[1]Results!AL1513</f>
        <v>34889.556409999997</v>
      </c>
      <c r="AJ91" s="6">
        <f>[1]Results!AM1513</f>
        <v>34998.928099999997</v>
      </c>
      <c r="AK91" s="6">
        <f>[1]Results!AN1513</f>
        <v>35108.920709999999</v>
      </c>
      <c r="AL91" s="6">
        <f>[1]Results!AO1513</f>
        <v>35220.32718</v>
      </c>
    </row>
    <row r="92" spans="1:38" x14ac:dyDescent="0.3">
      <c r="B92" t="s">
        <v>96</v>
      </c>
      <c r="C92" s="6">
        <f>[1]Results!F1526</f>
        <v>107947.6189</v>
      </c>
      <c r="D92" s="6">
        <f>[1]Results!G1526</f>
        <v>115963.9374</v>
      </c>
      <c r="E92" s="6">
        <f>[1]Results!H1526</f>
        <v>123297.24189999999</v>
      </c>
      <c r="F92" s="6">
        <f>[1]Results!I1526</f>
        <v>127517.2997</v>
      </c>
      <c r="G92" s="6">
        <f>[1]Results!J1526</f>
        <v>130123.0382</v>
      </c>
      <c r="H92" s="6">
        <f>[1]Results!K1526</f>
        <v>132048.95610000001</v>
      </c>
      <c r="I92" s="6">
        <f>[1]Results!L1526</f>
        <v>131243.7935</v>
      </c>
      <c r="J92" s="6">
        <f>[1]Results!M1526</f>
        <v>131454.07769999999</v>
      </c>
      <c r="K92" s="6">
        <f>[1]Results!N1526</f>
        <v>131704.2463</v>
      </c>
      <c r="L92" s="6">
        <f>[1]Results!O1526</f>
        <v>132216.17819999999</v>
      </c>
      <c r="M92" s="6">
        <f>[1]Results!P1526</f>
        <v>136950.94930000001</v>
      </c>
      <c r="N92" s="6">
        <f>[1]Results!Q1526</f>
        <v>135937.09400000001</v>
      </c>
      <c r="O92" s="6">
        <f>[1]Results!R1526</f>
        <v>137389.85630000001</v>
      </c>
      <c r="P92" s="6">
        <f>[1]Results!S1526</f>
        <v>139545.88639999999</v>
      </c>
      <c r="Q92" s="6">
        <f>[1]Results!T1526</f>
        <v>141910.7438</v>
      </c>
      <c r="R92" s="6">
        <f>[1]Results!U1526</f>
        <v>144281.20800000001</v>
      </c>
      <c r="S92" s="6">
        <f>[1]Results!V1526</f>
        <v>146600.30809999999</v>
      </c>
      <c r="T92" s="6">
        <f>[1]Results!W1526</f>
        <v>148898.0344</v>
      </c>
      <c r="U92" s="6">
        <f>[1]Results!X1526</f>
        <v>151237.9607</v>
      </c>
      <c r="V92" s="6">
        <f>[1]Results!Y1526</f>
        <v>153674.9423</v>
      </c>
      <c r="W92" s="6">
        <f>[1]Results!Z1526</f>
        <v>153598.2268</v>
      </c>
      <c r="X92" s="6">
        <f>[1]Results!AA1526</f>
        <v>158017.35269999999</v>
      </c>
      <c r="Y92" s="6">
        <f>[1]Results!AB1526</f>
        <v>161274.40789999999</v>
      </c>
      <c r="Z92" s="6">
        <f>[1]Results!AC1526</f>
        <v>164248.677</v>
      </c>
      <c r="AA92" s="6">
        <f>[1]Results!AD1526</f>
        <v>167128.36970000001</v>
      </c>
      <c r="AB92" s="6">
        <f>[1]Results!AE1526</f>
        <v>162255.85019999999</v>
      </c>
      <c r="AC92" s="6">
        <f>[1]Results!AF1526</f>
        <v>167041.79490000001</v>
      </c>
      <c r="AD92" s="6">
        <f>[1]Results!AG1526</f>
        <v>170263.77729999999</v>
      </c>
      <c r="AE92" s="6">
        <f>[1]Results!AH1526</f>
        <v>173172.58480000001</v>
      </c>
      <c r="AF92" s="6">
        <f>[1]Results!AI1526</f>
        <v>176022.71239999999</v>
      </c>
      <c r="AG92" s="6">
        <f>[1]Results!AJ1526</f>
        <v>178877.72959999999</v>
      </c>
      <c r="AH92" s="6">
        <f>[1]Results!AK1526</f>
        <v>181748.3836</v>
      </c>
      <c r="AI92" s="6">
        <f>[1]Results!AL1526</f>
        <v>184631.00510000001</v>
      </c>
      <c r="AJ92" s="6">
        <f>[1]Results!AM1526</f>
        <v>187523.76430000001</v>
      </c>
      <c r="AK92" s="6">
        <f>[1]Results!AN1526</f>
        <v>190431.9473</v>
      </c>
      <c r="AL92" s="6">
        <f>[1]Results!AO1526</f>
        <v>193366.31150000001</v>
      </c>
    </row>
    <row r="93" spans="1:38" x14ac:dyDescent="0.3">
      <c r="B93" t="s">
        <v>11</v>
      </c>
      <c r="C93" s="6">
        <f>[1]Results!F1541</f>
        <v>13735.973319999999</v>
      </c>
      <c r="D93" s="6">
        <f>[1]Results!G1541</f>
        <v>13798.184010000001</v>
      </c>
      <c r="E93" s="6">
        <f>[1]Results!H1541</f>
        <v>13862.72622</v>
      </c>
      <c r="F93" s="6">
        <f>[1]Results!I1541</f>
        <v>13966.58957</v>
      </c>
      <c r="G93" s="6">
        <f>[1]Results!J1541</f>
        <v>14127.52713</v>
      </c>
      <c r="H93" s="6">
        <f>[1]Results!K1541</f>
        <v>14355.609270000001</v>
      </c>
      <c r="I93" s="6">
        <f>[1]Results!L1541</f>
        <v>14669.89928</v>
      </c>
      <c r="J93" s="6">
        <f>[1]Results!M1541</f>
        <v>15096.19651</v>
      </c>
      <c r="K93" s="6">
        <f>[1]Results!N1541</f>
        <v>15582.133400000001</v>
      </c>
      <c r="L93" s="6">
        <f>[1]Results!O1541</f>
        <v>16047.345740000001</v>
      </c>
      <c r="M93" s="6">
        <f>[1]Results!P1541</f>
        <v>16443.07128</v>
      </c>
      <c r="N93" s="6">
        <f>[1]Results!Q1541</f>
        <v>16741.172470000001</v>
      </c>
      <c r="O93" s="6">
        <f>[1]Results!R1541</f>
        <v>16964.42266</v>
      </c>
      <c r="P93" s="6">
        <f>[1]Results!S1541</f>
        <v>17145.22451</v>
      </c>
      <c r="Q93" s="6">
        <f>[1]Results!T1541</f>
        <v>17315.71513</v>
      </c>
      <c r="R93" s="6">
        <f>[1]Results!U1541</f>
        <v>17495.32891</v>
      </c>
      <c r="S93" s="6">
        <f>[1]Results!V1541</f>
        <v>17688.8236</v>
      </c>
      <c r="T93" s="6">
        <f>[1]Results!W1541</f>
        <v>17894.786510000002</v>
      </c>
      <c r="U93" s="6">
        <f>[1]Results!X1541</f>
        <v>18110.244060000001</v>
      </c>
      <c r="V93" s="6">
        <f>[1]Results!Y1541</f>
        <v>18334.501410000001</v>
      </c>
      <c r="W93" s="6">
        <f>[1]Results!Z1541</f>
        <v>18560.936730000001</v>
      </c>
      <c r="X93" s="6">
        <f>[1]Results!AA1541</f>
        <v>18809.588769999998</v>
      </c>
      <c r="Y93" s="6">
        <f>[1]Results!AB1541</f>
        <v>19079.766869999999</v>
      </c>
      <c r="Z93" s="6">
        <f>[1]Results!AC1541</f>
        <v>19373.903429999998</v>
      </c>
      <c r="AA93" s="6">
        <f>[1]Results!AD1541</f>
        <v>19692.777910000001</v>
      </c>
      <c r="AB93" s="6">
        <f>[1]Results!AE1541</f>
        <v>20002.188600000001</v>
      </c>
      <c r="AC93" s="6">
        <f>[1]Results!AF1541</f>
        <v>20336.33455</v>
      </c>
      <c r="AD93" s="6">
        <f>[1]Results!AG1541</f>
        <v>20671.709040000002</v>
      </c>
      <c r="AE93" s="6">
        <f>[1]Results!AH1541</f>
        <v>20999.839309999999</v>
      </c>
      <c r="AF93" s="6">
        <f>[1]Results!AI1541</f>
        <v>21318.746289999999</v>
      </c>
      <c r="AG93" s="6">
        <f>[1]Results!AJ1541</f>
        <v>21630.065289999999</v>
      </c>
      <c r="AH93" s="6">
        <f>[1]Results!AK1541</f>
        <v>21936.429810000001</v>
      </c>
      <c r="AI93" s="6">
        <f>[1]Results!AL1541</f>
        <v>22240.718430000001</v>
      </c>
      <c r="AJ93" s="6">
        <f>[1]Results!AM1541</f>
        <v>22545.023249999998</v>
      </c>
      <c r="AK93" s="6">
        <f>[1]Results!AN1541</f>
        <v>22850.297119999999</v>
      </c>
      <c r="AL93" s="6">
        <f>[1]Results!AO1541</f>
        <v>23156.876830000001</v>
      </c>
    </row>
    <row r="94" spans="1:38" x14ac:dyDescent="0.3">
      <c r="B94" t="s">
        <v>8</v>
      </c>
      <c r="C94" s="6">
        <f>[1]Results!F1516-[1]Results!F1526</f>
        <v>227553.87790000002</v>
      </c>
      <c r="D94" s="6">
        <f>[1]Results!G1516-[1]Results!G1526</f>
        <v>228394.42180000001</v>
      </c>
      <c r="E94" s="6">
        <f>[1]Results!H1516-[1]Results!H1526</f>
        <v>230822.53790000002</v>
      </c>
      <c r="F94" s="6">
        <f>[1]Results!I1516-[1]Results!I1526</f>
        <v>233680.16959999999</v>
      </c>
      <c r="G94" s="6">
        <f>[1]Results!J1516-[1]Results!J1526</f>
        <v>236738.20069999999</v>
      </c>
      <c r="H94" s="6">
        <f>[1]Results!K1516-[1]Results!K1526</f>
        <v>239923.63529999997</v>
      </c>
      <c r="I94" s="6">
        <f>[1]Results!L1516-[1]Results!L1526</f>
        <v>243088.51479999998</v>
      </c>
      <c r="J94" s="6">
        <f>[1]Results!M1516-[1]Results!M1526</f>
        <v>245068.26489999998</v>
      </c>
      <c r="K94" s="6">
        <f>[1]Results!N1516-[1]Results!N1526</f>
        <v>246561.49770000001</v>
      </c>
      <c r="L94" s="6">
        <f>[1]Results!O1516-[1]Results!O1526</f>
        <v>248047.39050000001</v>
      </c>
      <c r="M94" s="6">
        <f>[1]Results!P1516-[1]Results!P1526</f>
        <v>250466.04169999997</v>
      </c>
      <c r="N94" s="6">
        <f>[1]Results!Q1516-[1]Results!Q1526</f>
        <v>252702.8437</v>
      </c>
      <c r="O94" s="6">
        <f>[1]Results!R1516-[1]Results!R1526</f>
        <v>255449.44190000001</v>
      </c>
      <c r="P94" s="6">
        <f>[1]Results!S1516-[1]Results!S1526</f>
        <v>258498.0753</v>
      </c>
      <c r="Q94" s="6">
        <f>[1]Results!T1516-[1]Results!T1526</f>
        <v>261657.08370000002</v>
      </c>
      <c r="R94" s="6">
        <f>[1]Results!U1516-[1]Results!U1526</f>
        <v>264819.69209999999</v>
      </c>
      <c r="S94" s="6">
        <f>[1]Results!V1516-[1]Results!V1526</f>
        <v>267964.66969999997</v>
      </c>
      <c r="T94" s="6">
        <f>[1]Results!W1516-[1]Results!W1526</f>
        <v>271132.3639</v>
      </c>
      <c r="U94" s="6">
        <f>[1]Results!X1516-[1]Results!X1526</f>
        <v>274386.57319999998</v>
      </c>
      <c r="V94" s="6">
        <f>[1]Results!Y1516-[1]Results!Y1526</f>
        <v>277779.92460000003</v>
      </c>
      <c r="W94" s="6">
        <f>[1]Results!Z1516-[1]Results!Z1526</f>
        <v>280914.74339999998</v>
      </c>
      <c r="X94" s="6">
        <f>[1]Results!AA1516-[1]Results!AA1526</f>
        <v>284687.96740000002</v>
      </c>
      <c r="Y94" s="6">
        <f>[1]Results!AB1516-[1]Results!AB1526</f>
        <v>288548.17249999999</v>
      </c>
      <c r="Z94" s="6">
        <f>[1]Results!AC1516-[1]Results!AC1526</f>
        <v>292471.54200000002</v>
      </c>
      <c r="AA94" s="6">
        <f>[1]Results!AD1516-[1]Results!AD1526</f>
        <v>296440.78949999996</v>
      </c>
      <c r="AB94" s="6">
        <f>[1]Results!AE1516-[1]Results!AE1526</f>
        <v>299182.30989999999</v>
      </c>
      <c r="AC94" s="6">
        <f>[1]Results!AF1516-[1]Results!AF1526</f>
        <v>302906.16480000003</v>
      </c>
      <c r="AD94" s="6">
        <f>[1]Results!AG1516-[1]Results!AG1526</f>
        <v>306620.30709999998</v>
      </c>
      <c r="AE94" s="6">
        <f>[1]Results!AH1516-[1]Results!AH1526</f>
        <v>310360.48449999996</v>
      </c>
      <c r="AF94" s="6">
        <f>[1]Results!AI1516-[1]Results!AI1526</f>
        <v>314169.02170000004</v>
      </c>
      <c r="AG94" s="6">
        <f>[1]Results!AJ1516-[1]Results!AJ1526</f>
        <v>318052.88190000004</v>
      </c>
      <c r="AH94" s="6">
        <f>[1]Results!AK1516-[1]Results!AK1526</f>
        <v>322001.49320000003</v>
      </c>
      <c r="AI94" s="6">
        <f>[1]Results!AL1516-[1]Results!AL1526</f>
        <v>326001.17060000001</v>
      </c>
      <c r="AJ94" s="6">
        <f>[1]Results!AM1516-[1]Results!AM1526</f>
        <v>330043.78319999995</v>
      </c>
      <c r="AK94" s="6">
        <f>[1]Results!AN1516-[1]Results!AN1526</f>
        <v>334129.49089999998</v>
      </c>
      <c r="AL94" s="6">
        <f>[1]Results!AO1516-[1]Results!AO1526</f>
        <v>338264.74070000002</v>
      </c>
    </row>
    <row r="95" spans="1:38" x14ac:dyDescent="0.3">
      <c r="B95" t="s">
        <v>24</v>
      </c>
      <c r="C95" s="6">
        <f>[1]Results!F1536</f>
        <v>3896.5538860000001</v>
      </c>
      <c r="D95" s="6">
        <f>[1]Results!G1536</f>
        <v>4090.6944189999999</v>
      </c>
      <c r="E95" s="6">
        <f>[1]Results!H1536</f>
        <v>4165.6361939999997</v>
      </c>
      <c r="F95" s="6">
        <f>[1]Results!I1536</f>
        <v>4240.1771239999998</v>
      </c>
      <c r="G95" s="6">
        <f>[1]Results!J1536</f>
        <v>4320.3410110000004</v>
      </c>
      <c r="H95" s="6">
        <f>[1]Results!K1536</f>
        <v>4403.9953340000002</v>
      </c>
      <c r="I95" s="6">
        <f>[1]Results!L1536</f>
        <v>4496.1415900000002</v>
      </c>
      <c r="J95" s="6">
        <f>[1]Results!M1536</f>
        <v>4596.1217829999996</v>
      </c>
      <c r="K95" s="6">
        <f>[1]Results!N1536</f>
        <v>4694.828458</v>
      </c>
      <c r="L95" s="6">
        <f>[1]Results!O1536</f>
        <v>4776.5100629999997</v>
      </c>
      <c r="M95" s="6">
        <f>[1]Results!P1536</f>
        <v>4849.4963079999998</v>
      </c>
      <c r="N95" s="6">
        <f>[1]Results!Q1536</f>
        <v>4896.2638200000001</v>
      </c>
      <c r="O95" s="6">
        <f>[1]Results!R1536</f>
        <v>4944.668533</v>
      </c>
      <c r="P95" s="6">
        <f>[1]Results!S1536</f>
        <v>4995.7403359999998</v>
      </c>
      <c r="Q95" s="6">
        <f>[1]Results!T1536</f>
        <v>5050.2191110000003</v>
      </c>
      <c r="R95" s="6">
        <f>[1]Results!U1536</f>
        <v>5107.0968249999996</v>
      </c>
      <c r="S95" s="6">
        <f>[1]Results!V1536</f>
        <v>5164.3692780000001</v>
      </c>
      <c r="T95" s="6">
        <f>[1]Results!W1536</f>
        <v>5220.3514770000002</v>
      </c>
      <c r="U95" s="6">
        <f>[1]Results!X1536</f>
        <v>5274.3171780000002</v>
      </c>
      <c r="V95" s="6">
        <f>[1]Results!Y1536</f>
        <v>5326.6181669999996</v>
      </c>
      <c r="W95" s="6">
        <f>[1]Results!Z1536</f>
        <v>5370.4537579999997</v>
      </c>
      <c r="X95" s="6">
        <f>[1]Results!AA1536</f>
        <v>5426.6052</v>
      </c>
      <c r="Y95" s="6">
        <f>[1]Results!AB1536</f>
        <v>5480.7338419999996</v>
      </c>
      <c r="Z95" s="6">
        <f>[1]Results!AC1536</f>
        <v>5536.1447399999997</v>
      </c>
      <c r="AA95" s="6">
        <f>[1]Results!AD1536</f>
        <v>5593.7839979999999</v>
      </c>
      <c r="AB95" s="6">
        <f>[1]Results!AE1536</f>
        <v>5629.5118679999996</v>
      </c>
      <c r="AC95" s="6">
        <f>[1]Results!AF1536</f>
        <v>5692.1144880000002</v>
      </c>
      <c r="AD95" s="6">
        <f>[1]Results!AG1536</f>
        <v>5748.537284</v>
      </c>
      <c r="AE95" s="6">
        <f>[1]Results!AH1536</f>
        <v>5802.4810980000002</v>
      </c>
      <c r="AF95" s="6">
        <f>[1]Results!AI1536</f>
        <v>5855.8580309999998</v>
      </c>
      <c r="AG95" s="6">
        <f>[1]Results!AJ1536</f>
        <v>5909.654082</v>
      </c>
      <c r="AH95" s="6">
        <f>[1]Results!AK1536</f>
        <v>5964.3219790000003</v>
      </c>
      <c r="AI95" s="6">
        <f>[1]Results!AL1536</f>
        <v>6019.9487959999997</v>
      </c>
      <c r="AJ95" s="6">
        <f>[1]Results!AM1536</f>
        <v>6076.3552040000004</v>
      </c>
      <c r="AK95" s="6">
        <f>[1]Results!AN1536</f>
        <v>6133.2416999999996</v>
      </c>
      <c r="AL95" s="6">
        <f>[1]Results!AO1536</f>
        <v>6190.3542280000001</v>
      </c>
    </row>
    <row r="96" spans="1:38" x14ac:dyDescent="0.3">
      <c r="B96" t="s">
        <v>10</v>
      </c>
      <c r="C96" s="6">
        <f>[1]Results!F1533</f>
        <v>1519666.3430000001</v>
      </c>
      <c r="D96" s="6">
        <f>[1]Results!G1533</f>
        <v>1530246.949</v>
      </c>
      <c r="E96" s="6">
        <f>[1]Results!H1533</f>
        <v>1548669.6040000001</v>
      </c>
      <c r="F96" s="6">
        <f>[1]Results!I1533</f>
        <v>1573577.2609999999</v>
      </c>
      <c r="G96" s="6">
        <f>[1]Results!J1533</f>
        <v>1600736.179</v>
      </c>
      <c r="H96" s="6">
        <f>[1]Results!K1533</f>
        <v>1628311.3149999999</v>
      </c>
      <c r="I96" s="6">
        <f>[1]Results!L1533</f>
        <v>1658011.564</v>
      </c>
      <c r="J96" s="6">
        <f>[1]Results!M1533</f>
        <v>1678647.4509999999</v>
      </c>
      <c r="K96" s="6">
        <f>[1]Results!N1533</f>
        <v>1695347.594</v>
      </c>
      <c r="L96" s="6">
        <f>[1]Results!O1533</f>
        <v>1713077.7320000001</v>
      </c>
      <c r="M96" s="6">
        <f>[1]Results!P1533</f>
        <v>1732613.419</v>
      </c>
      <c r="N96" s="6">
        <f>[1]Results!Q1533</f>
        <v>1762681.132</v>
      </c>
      <c r="O96" s="6">
        <f>[1]Results!R1533</f>
        <v>1794573.6310000001</v>
      </c>
      <c r="P96" s="6">
        <f>[1]Results!S1533</f>
        <v>1827563.4909999999</v>
      </c>
      <c r="Q96" s="6">
        <f>[1]Results!T1533</f>
        <v>1860381.84</v>
      </c>
      <c r="R96" s="6">
        <f>[1]Results!U1533</f>
        <v>1892316.7039999999</v>
      </c>
      <c r="S96" s="6">
        <f>[1]Results!V1533</f>
        <v>1923402.9350000001</v>
      </c>
      <c r="T96" s="6">
        <f>[1]Results!W1533</f>
        <v>1954195.192</v>
      </c>
      <c r="U96" s="6">
        <f>[1]Results!X1533</f>
        <v>1985390.4720000001</v>
      </c>
      <c r="V96" s="6">
        <f>[1]Results!Y1533</f>
        <v>2017510.807</v>
      </c>
      <c r="W96" s="6">
        <f>[1]Results!Z1533</f>
        <v>2052133.5930000001</v>
      </c>
      <c r="X96" s="6">
        <f>[1]Results!AA1533</f>
        <v>2084109.5619999999</v>
      </c>
      <c r="Y96" s="6">
        <f>[1]Results!AB1533</f>
        <v>2118242.1320000002</v>
      </c>
      <c r="Z96" s="6">
        <f>[1]Results!AC1533</f>
        <v>2153386.5950000002</v>
      </c>
      <c r="AA96" s="6">
        <f>[1]Results!AD1533</f>
        <v>2189013.0890000002</v>
      </c>
      <c r="AB96" s="6">
        <f>[1]Results!AE1533</f>
        <v>2228055.1719999998</v>
      </c>
      <c r="AC96" s="6">
        <f>[1]Results!AF1533</f>
        <v>2259716.3820000002</v>
      </c>
      <c r="AD96" s="6">
        <f>[1]Results!AG1533</f>
        <v>2292628.5589999999</v>
      </c>
      <c r="AE96" s="6">
        <f>[1]Results!AH1533</f>
        <v>2326437.0070000002</v>
      </c>
      <c r="AF96" s="6">
        <f>[1]Results!AI1533</f>
        <v>2361114.0860000001</v>
      </c>
      <c r="AG96" s="6">
        <f>[1]Results!AJ1533</f>
        <v>2396540.4720000001</v>
      </c>
      <c r="AH96" s="6">
        <f>[1]Results!AK1533</f>
        <v>2432539.8569999998</v>
      </c>
      <c r="AI96" s="6">
        <f>[1]Results!AL1533</f>
        <v>2468967.4440000001</v>
      </c>
      <c r="AJ96" s="6">
        <f>[1]Results!AM1533</f>
        <v>2505765.46</v>
      </c>
      <c r="AK96" s="6">
        <f>[1]Results!AN1533</f>
        <v>2542967.1869999999</v>
      </c>
      <c r="AL96" s="6">
        <f>[1]Results!AO1533</f>
        <v>2580661.335</v>
      </c>
    </row>
    <row r="97" spans="1:38" x14ac:dyDescent="0.3">
      <c r="B97" t="s">
        <v>9</v>
      </c>
      <c r="C97" s="6">
        <f>[1]Results!F1528</f>
        <v>52060.205719999998</v>
      </c>
      <c r="D97" s="6">
        <f>[1]Results!G1528</f>
        <v>52046.551579999999</v>
      </c>
      <c r="E97" s="6">
        <f>[1]Results!H1528</f>
        <v>52333.410389999997</v>
      </c>
      <c r="F97" s="6">
        <f>[1]Results!I1528</f>
        <v>52808.46443</v>
      </c>
      <c r="G97" s="6">
        <f>[1]Results!J1528</f>
        <v>53388.755290000001</v>
      </c>
      <c r="H97" s="6">
        <f>[1]Results!K1528</f>
        <v>54028.061609999997</v>
      </c>
      <c r="I97" s="6">
        <f>[1]Results!L1528</f>
        <v>54714.324189999999</v>
      </c>
      <c r="J97" s="6">
        <f>[1]Results!M1528</f>
        <v>55220.010869999998</v>
      </c>
      <c r="K97" s="6">
        <f>[1]Results!N1528</f>
        <v>55633.61105</v>
      </c>
      <c r="L97" s="6">
        <f>[1]Results!O1528</f>
        <v>56064.04348</v>
      </c>
      <c r="M97" s="6">
        <f>[1]Results!P1528</f>
        <v>56617.847970000003</v>
      </c>
      <c r="N97" s="6">
        <f>[1]Results!Q1528</f>
        <v>57297.828569999998</v>
      </c>
      <c r="O97" s="6">
        <f>[1]Results!R1528</f>
        <v>58063.866320000001</v>
      </c>
      <c r="P97" s="6">
        <f>[1]Results!S1528</f>
        <v>58878.5887</v>
      </c>
      <c r="Q97" s="6">
        <f>[1]Results!T1528</f>
        <v>59705.818910000002</v>
      </c>
      <c r="R97" s="6">
        <f>[1]Results!U1528</f>
        <v>60523.649799999999</v>
      </c>
      <c r="S97" s="6">
        <f>[1]Results!V1528</f>
        <v>61328.518060000002</v>
      </c>
      <c r="T97" s="6">
        <f>[1]Results!W1528</f>
        <v>62130.747069999998</v>
      </c>
      <c r="U97" s="6">
        <f>[1]Results!X1528</f>
        <v>62945.970439999997</v>
      </c>
      <c r="V97" s="6">
        <f>[1]Results!Y1528</f>
        <v>63787.210679999997</v>
      </c>
      <c r="W97" s="6">
        <f>[1]Results!Z1528</f>
        <v>64636.107839999997</v>
      </c>
      <c r="X97" s="6">
        <f>[1]Results!AA1528</f>
        <v>65516.311950000003</v>
      </c>
      <c r="Y97" s="6">
        <f>[1]Results!AB1528</f>
        <v>66433.572450000007</v>
      </c>
      <c r="Z97" s="6">
        <f>[1]Results!AC1528</f>
        <v>67376.282080000004</v>
      </c>
      <c r="AA97" s="6">
        <f>[1]Results!AD1528</f>
        <v>68334.529049999997</v>
      </c>
      <c r="AB97" s="6">
        <f>[1]Results!AE1528</f>
        <v>69219.675170000002</v>
      </c>
      <c r="AC97" s="6">
        <f>[1]Results!AF1528</f>
        <v>70100.484219999998</v>
      </c>
      <c r="AD97" s="6">
        <f>[1]Results!AG1528</f>
        <v>70993.193169999999</v>
      </c>
      <c r="AE97" s="6">
        <f>[1]Results!AH1528</f>
        <v>71904.623149999999</v>
      </c>
      <c r="AF97" s="6">
        <f>[1]Results!AI1528</f>
        <v>72837.100839999999</v>
      </c>
      <c r="AG97" s="6">
        <f>[1]Results!AJ1528</f>
        <v>73789.107239999998</v>
      </c>
      <c r="AH97" s="6">
        <f>[1]Results!AK1528</f>
        <v>74757.008549999999</v>
      </c>
      <c r="AI97" s="6">
        <f>[1]Results!AL1528</f>
        <v>75737.321349999998</v>
      </c>
      <c r="AJ97" s="6">
        <f>[1]Results!AM1528</f>
        <v>76728.263690000007</v>
      </c>
      <c r="AK97" s="6">
        <f>[1]Results!AN1528</f>
        <v>77730.131819999995</v>
      </c>
      <c r="AL97" s="6">
        <f>[1]Results!AO1528</f>
        <v>78744.682520000002</v>
      </c>
    </row>
    <row r="99" spans="1:38" x14ac:dyDescent="0.3">
      <c r="A99" s="12" t="s">
        <v>53</v>
      </c>
      <c r="B99" t="s">
        <v>13</v>
      </c>
      <c r="C99" s="7" t="s">
        <v>14</v>
      </c>
      <c r="D99" s="7" t="s">
        <v>15</v>
      </c>
      <c r="E99" s="7" t="s">
        <v>16</v>
      </c>
    </row>
    <row r="100" spans="1:38" x14ac:dyDescent="0.3">
      <c r="A100" t="s">
        <v>54</v>
      </c>
      <c r="B100" t="s">
        <v>22</v>
      </c>
      <c r="C100" s="4">
        <f>(R90-R81)/R81</f>
        <v>-1.4364476350562348E-2</v>
      </c>
      <c r="D100" s="10">
        <f>(AB90-AB81)/AB81</f>
        <v>-1.2001363392816971E-2</v>
      </c>
      <c r="E100" s="10">
        <f>(AL90-AL81)/AL81</f>
        <v>-1.1719382277541119E-2</v>
      </c>
    </row>
    <row r="101" spans="1:38" x14ac:dyDescent="0.3">
      <c r="B101" t="s">
        <v>7</v>
      </c>
      <c r="C101" s="4">
        <f t="shared" ref="C101:C107" si="6">(R91-R82)/R82</f>
        <v>-0.13256823155553796</v>
      </c>
      <c r="D101" s="4">
        <f t="shared" ref="D101:D107" si="7">(AB91-AB82)/AB82</f>
        <v>-0.12044268948156592</v>
      </c>
      <c r="E101" s="4">
        <f t="shared" ref="E101:E107" si="8">(AL91-AL82)/AL82</f>
        <v>-0.1210618457514803</v>
      </c>
      <c r="Q101" s="5"/>
      <c r="U101" s="5"/>
      <c r="V101" s="5"/>
      <c r="Y101" s="5"/>
      <c r="Z101" s="5"/>
      <c r="AA101" s="5"/>
    </row>
    <row r="102" spans="1:38" x14ac:dyDescent="0.3">
      <c r="B102" t="s">
        <v>96</v>
      </c>
      <c r="C102" s="4">
        <f t="shared" si="6"/>
        <v>-1.7485232013492349E-2</v>
      </c>
      <c r="D102" s="4">
        <f t="shared" si="7"/>
        <v>-1.2054442343594296E-2</v>
      </c>
      <c r="E102" s="4">
        <f t="shared" si="8"/>
        <v>-1.1214123152738318E-2</v>
      </c>
      <c r="Q102" s="5"/>
      <c r="U102" s="5"/>
      <c r="V102" s="5"/>
      <c r="Y102" s="5"/>
      <c r="Z102" s="5"/>
      <c r="AA102" s="5"/>
    </row>
    <row r="103" spans="1:38" x14ac:dyDescent="0.3">
      <c r="B103" t="s">
        <v>11</v>
      </c>
      <c r="C103" s="4">
        <f t="shared" si="6"/>
        <v>-1.771308329129519E-2</v>
      </c>
      <c r="D103" s="4">
        <f t="shared" si="7"/>
        <v>7.5759105769729711E-3</v>
      </c>
      <c r="E103" s="4">
        <f t="shared" si="8"/>
        <v>-1.1538022493517042E-3</v>
      </c>
      <c r="Q103" s="5"/>
      <c r="U103" s="5"/>
      <c r="V103" s="5"/>
      <c r="Y103" s="5"/>
      <c r="Z103" s="5"/>
      <c r="AA103" s="5"/>
    </row>
    <row r="104" spans="1:38" x14ac:dyDescent="0.3">
      <c r="B104" t="s">
        <v>8</v>
      </c>
      <c r="C104" s="4">
        <f t="shared" si="6"/>
        <v>-2.5863958487436996E-2</v>
      </c>
      <c r="D104" s="4">
        <f t="shared" si="7"/>
        <v>-2.2064958245578515E-2</v>
      </c>
      <c r="E104" s="4">
        <f t="shared" si="8"/>
        <v>-2.0219299115336247E-2</v>
      </c>
      <c r="Q104" s="5"/>
      <c r="U104" s="5"/>
      <c r="V104" s="5"/>
      <c r="Y104" s="5"/>
      <c r="Z104" s="5"/>
      <c r="AA104" s="5"/>
    </row>
    <row r="105" spans="1:38" x14ac:dyDescent="0.3">
      <c r="B105" t="s">
        <v>24</v>
      </c>
      <c r="C105" s="4">
        <f t="shared" si="6"/>
        <v>-5.3696594764128169E-3</v>
      </c>
      <c r="D105" s="4">
        <f t="shared" si="7"/>
        <v>-7.0333553270763927E-3</v>
      </c>
      <c r="E105" s="4">
        <f t="shared" si="8"/>
        <v>-5.4213877820770131E-3</v>
      </c>
      <c r="Q105" s="5"/>
      <c r="U105" s="5"/>
      <c r="V105" s="5"/>
      <c r="Y105" s="5"/>
      <c r="Z105" s="5"/>
      <c r="AA105" s="5"/>
    </row>
    <row r="106" spans="1:38" x14ac:dyDescent="0.3">
      <c r="B106" t="s">
        <v>10</v>
      </c>
      <c r="C106" s="4">
        <f t="shared" si="6"/>
        <v>-1.0122045434132974E-2</v>
      </c>
      <c r="D106" s="4">
        <f t="shared" si="7"/>
        <v>-8.8905851228392382E-3</v>
      </c>
      <c r="E106" s="4">
        <f t="shared" si="8"/>
        <v>-9.022032836904656E-3</v>
      </c>
      <c r="Q106" s="5"/>
      <c r="U106" s="5"/>
      <c r="V106" s="5"/>
      <c r="Y106" s="5"/>
      <c r="Z106" s="5"/>
      <c r="AA106" s="5"/>
    </row>
    <row r="107" spans="1:38" x14ac:dyDescent="0.3">
      <c r="B107" t="s">
        <v>9</v>
      </c>
      <c r="C107" s="4">
        <f t="shared" si="6"/>
        <v>-1.5496988037335792E-2</v>
      </c>
      <c r="D107" s="4">
        <f t="shared" si="7"/>
        <v>-1.3697081597871341E-2</v>
      </c>
      <c r="E107" s="4">
        <f t="shared" si="8"/>
        <v>-1.2862749588849176E-2</v>
      </c>
      <c r="Q107" s="5"/>
      <c r="U107" s="5"/>
      <c r="V107" s="5"/>
      <c r="Y107" s="5"/>
      <c r="Z107" s="5"/>
      <c r="AA107" s="5"/>
    </row>
    <row r="108" spans="1:38" x14ac:dyDescent="0.3">
      <c r="Q108" s="5"/>
      <c r="U108" s="5"/>
      <c r="V108" s="5"/>
      <c r="Y108" s="5"/>
      <c r="Z108" s="5"/>
      <c r="AA108" s="5"/>
    </row>
    <row r="109" spans="1:38" x14ac:dyDescent="0.3">
      <c r="A109" s="12" t="s">
        <v>53</v>
      </c>
      <c r="B109" t="s">
        <v>13</v>
      </c>
      <c r="C109" s="7" t="s">
        <v>14</v>
      </c>
      <c r="D109" s="7" t="s">
        <v>15</v>
      </c>
      <c r="E109" s="7" t="s">
        <v>16</v>
      </c>
      <c r="Q109" s="5"/>
      <c r="U109" s="5"/>
      <c r="V109" s="5"/>
      <c r="Y109" s="5"/>
      <c r="Z109" s="5"/>
      <c r="AA109" s="5"/>
    </row>
    <row r="110" spans="1:38" x14ac:dyDescent="0.3">
      <c r="A110" t="s">
        <v>97</v>
      </c>
      <c r="B110" t="s">
        <v>22</v>
      </c>
      <c r="C110" s="4">
        <f>C100</f>
        <v>-1.4364476350562348E-2</v>
      </c>
      <c r="D110" s="10">
        <f t="shared" ref="D110:E110" si="9">D100</f>
        <v>-1.2001363392816971E-2</v>
      </c>
      <c r="E110" s="10">
        <f t="shared" si="9"/>
        <v>-1.1719382277541119E-2</v>
      </c>
      <c r="G110" s="6">
        <f>R81</f>
        <v>2452372.585</v>
      </c>
      <c r="H110" s="6">
        <f>AB81</f>
        <v>2852674.557</v>
      </c>
      <c r="I110" s="6">
        <f>AL81</f>
        <v>3294210.7429999998</v>
      </c>
      <c r="Q110" s="5"/>
      <c r="U110" s="5"/>
      <c r="V110" s="5"/>
      <c r="Y110" s="5"/>
      <c r="Z110" s="5"/>
      <c r="AA110" s="5"/>
    </row>
    <row r="111" spans="1:38" x14ac:dyDescent="0.3">
      <c r="B111" t="s">
        <v>7</v>
      </c>
      <c r="C111" s="4">
        <f>C101*G111/G$110</f>
        <v>-2.0317021444765499E-3</v>
      </c>
      <c r="D111" s="4">
        <f t="shared" ref="D111:E111" si="10">D101*H111/H$110</f>
        <v>-1.6365916219022809E-3</v>
      </c>
      <c r="E111" s="4">
        <f t="shared" si="10"/>
        <v>-1.4726209700785986E-3</v>
      </c>
      <c r="G111" s="6">
        <f>R82</f>
        <v>37584.348689999999</v>
      </c>
      <c r="H111" s="6">
        <f>AB82</f>
        <v>38762.529300000002</v>
      </c>
      <c r="I111" s="6">
        <f>AL82</f>
        <v>40071.451000000001</v>
      </c>
      <c r="Q111" s="5"/>
      <c r="U111" s="5"/>
      <c r="V111" s="5"/>
      <c r="Y111" s="5"/>
      <c r="Z111" s="5"/>
      <c r="AA111" s="5"/>
    </row>
    <row r="112" spans="1:38" x14ac:dyDescent="0.3">
      <c r="B112" t="s">
        <v>96</v>
      </c>
      <c r="C112" s="4">
        <f t="shared" ref="C112:E112" si="11">C102*G112/G$110</f>
        <v>-1.0470215723766038E-3</v>
      </c>
      <c r="D112" s="4">
        <f t="shared" si="11"/>
        <v>-6.9400443704382216E-4</v>
      </c>
      <c r="E112" s="4">
        <f t="shared" si="11"/>
        <v>-6.6572137336994236E-4</v>
      </c>
      <c r="G112" s="6">
        <f t="shared" ref="G112:G117" si="12">R83</f>
        <v>146848.89499999999</v>
      </c>
      <c r="H112" s="6">
        <f t="shared" ref="H112:H117" si="13">AB83</f>
        <v>164235.61900000001</v>
      </c>
      <c r="I112" s="6">
        <f t="shared" ref="I112:I117" si="14">AL83</f>
        <v>195559.33799999999</v>
      </c>
      <c r="Q112" s="5"/>
      <c r="U112" s="5"/>
      <c r="V112" s="5"/>
      <c r="Y112" s="5"/>
      <c r="Z112" s="5"/>
      <c r="AA112" s="5"/>
    </row>
    <row r="113" spans="1:38" x14ac:dyDescent="0.3">
      <c r="B113" t="s">
        <v>11</v>
      </c>
      <c r="C113" s="4">
        <f t="shared" ref="C113:E113" si="15">C103*G113/G$110</f>
        <v>-1.2864457135496835E-4</v>
      </c>
      <c r="D113" s="4">
        <f t="shared" si="15"/>
        <v>5.2720843894006443E-5</v>
      </c>
      <c r="E113" s="4">
        <f t="shared" si="15"/>
        <v>-8.1200998013984655E-6</v>
      </c>
      <c r="G113" s="6">
        <f t="shared" si="12"/>
        <v>17810.813330000001</v>
      </c>
      <c r="H113" s="6">
        <f t="shared" si="13"/>
        <v>19851.79319</v>
      </c>
      <c r="I113" s="6">
        <f t="shared" si="14"/>
        <v>23183.62615</v>
      </c>
      <c r="Q113" s="5"/>
      <c r="U113" s="5"/>
      <c r="V113" s="5"/>
      <c r="Y113" s="5"/>
      <c r="Z113" s="5"/>
      <c r="AA113" s="5"/>
    </row>
    <row r="114" spans="1:38" x14ac:dyDescent="0.3">
      <c r="B114" t="s">
        <v>8</v>
      </c>
      <c r="C114" s="4">
        <f t="shared" ref="C114:E114" si="16">C104*G114/G$110</f>
        <v>-2.867076007539068E-3</v>
      </c>
      <c r="D114" s="4">
        <f t="shared" si="16"/>
        <v>-2.3663380329998177E-3</v>
      </c>
      <c r="E114" s="4">
        <f t="shared" si="16"/>
        <v>-2.1190566556293982E-3</v>
      </c>
      <c r="G114" s="6">
        <f t="shared" si="12"/>
        <v>271850.83070000005</v>
      </c>
      <c r="H114" s="6">
        <f t="shared" si="13"/>
        <v>305932.7022</v>
      </c>
      <c r="I114" s="6">
        <f t="shared" si="14"/>
        <v>345245.35990000004</v>
      </c>
      <c r="Q114" s="5"/>
      <c r="U114" s="5"/>
      <c r="V114" s="5"/>
      <c r="Y114" s="5"/>
      <c r="Z114" s="5"/>
      <c r="AA114" s="5"/>
    </row>
    <row r="115" spans="1:38" x14ac:dyDescent="0.3">
      <c r="B115" t="s">
        <v>24</v>
      </c>
      <c r="C115" s="4">
        <f t="shared" ref="C115:E115" si="17">C105*G115/G$110</f>
        <v>-1.1242753311075779E-5</v>
      </c>
      <c r="D115" s="4">
        <f t="shared" si="17"/>
        <v>-1.3978044183888513E-5</v>
      </c>
      <c r="E115" s="4">
        <f t="shared" si="17"/>
        <v>-1.0243195907153898E-5</v>
      </c>
      <c r="G115" s="6">
        <f t="shared" si="12"/>
        <v>5134.6682449999998</v>
      </c>
      <c r="H115" s="6">
        <f t="shared" si="13"/>
        <v>5669.3866790000002</v>
      </c>
      <c r="I115" s="6">
        <f t="shared" si="14"/>
        <v>6224.0974740000001</v>
      </c>
      <c r="Q115" s="5"/>
      <c r="U115" s="5"/>
      <c r="V115" s="5"/>
      <c r="Y115" s="5"/>
      <c r="Z115" s="5"/>
      <c r="AA115" s="5"/>
    </row>
    <row r="116" spans="1:38" x14ac:dyDescent="0.3">
      <c r="B116" t="s">
        <v>10</v>
      </c>
      <c r="C116" s="4">
        <f t="shared" ref="C116:E116" si="18">C106*G116/G$110</f>
        <v>-7.8903088047692343E-3</v>
      </c>
      <c r="D116" s="4">
        <f t="shared" si="18"/>
        <v>-7.0061987796528943E-3</v>
      </c>
      <c r="E116" s="4">
        <f t="shared" si="18"/>
        <v>-7.1321429723113878E-3</v>
      </c>
      <c r="G116" s="6">
        <f t="shared" si="12"/>
        <v>1911666.6810000001</v>
      </c>
      <c r="H116" s="6">
        <f t="shared" si="13"/>
        <v>2248041.577</v>
      </c>
      <c r="I116" s="6">
        <f t="shared" si="14"/>
        <v>2604156.1170000001</v>
      </c>
      <c r="Q116" s="5"/>
      <c r="U116" s="5"/>
      <c r="V116" s="5"/>
      <c r="Y116" s="5"/>
      <c r="Z116" s="5"/>
      <c r="AA116" s="5"/>
    </row>
    <row r="117" spans="1:38" x14ac:dyDescent="0.3">
      <c r="B117" t="s">
        <v>9</v>
      </c>
      <c r="C117" s="4">
        <f t="shared" ref="C117:E117" si="19">C107*G117/G$110</f>
        <v>-3.8848021537477831E-4</v>
      </c>
      <c r="D117" s="4">
        <f t="shared" si="19"/>
        <v>-3.369729602141912E-4</v>
      </c>
      <c r="E117" s="4">
        <f t="shared" si="19"/>
        <v>-3.1147710636920885E-4</v>
      </c>
      <c r="G117" s="6">
        <f t="shared" si="12"/>
        <v>61476.348030000001</v>
      </c>
      <c r="H117" s="6">
        <f t="shared" si="13"/>
        <v>70180.949359999999</v>
      </c>
      <c r="I117" s="6">
        <f t="shared" si="14"/>
        <v>79770.753750000003</v>
      </c>
      <c r="Q117" s="5"/>
      <c r="U117" s="5"/>
      <c r="V117" s="5"/>
      <c r="Y117" s="5"/>
      <c r="Z117" s="5"/>
      <c r="AA117" s="5"/>
    </row>
    <row r="118" spans="1:38" x14ac:dyDescent="0.3">
      <c r="Q118" s="5"/>
      <c r="U118" s="5"/>
      <c r="V118" s="5"/>
      <c r="Y118" s="5"/>
      <c r="Z118" s="5"/>
      <c r="AA118" s="5"/>
    </row>
    <row r="119" spans="1:38" x14ac:dyDescent="0.3">
      <c r="A119" s="12" t="s">
        <v>53</v>
      </c>
      <c r="B119" t="s">
        <v>13</v>
      </c>
      <c r="C119" s="7" t="s">
        <v>14</v>
      </c>
      <c r="D119" s="7" t="s">
        <v>15</v>
      </c>
      <c r="E119" s="7" t="s">
        <v>16</v>
      </c>
    </row>
    <row r="120" spans="1:38" x14ac:dyDescent="0.3">
      <c r="A120" t="s">
        <v>55</v>
      </c>
      <c r="B120" t="s">
        <v>7</v>
      </c>
      <c r="C120" s="4">
        <f t="shared" ref="C120:C126" si="20">R91/R$90-R82/R$81</f>
        <v>-1.8379576587701368E-3</v>
      </c>
      <c r="D120" s="4">
        <f t="shared" ref="D120:D126" si="21">AB91/AB$90-AB82/AB$81</f>
        <v>-1.4914144732882158E-3</v>
      </c>
      <c r="E120" s="4">
        <f t="shared" ref="E120:E126" si="22">AL91/AL$90-AL82/AL$81</f>
        <v>-1.3458363861605996E-3</v>
      </c>
    </row>
    <row r="121" spans="1:38" x14ac:dyDescent="0.3">
      <c r="B121" t="s">
        <v>96</v>
      </c>
      <c r="C121" s="4">
        <f t="shared" si="20"/>
        <v>-1.8959533617286806E-4</v>
      </c>
      <c r="D121" s="4">
        <f t="shared" si="21"/>
        <v>-3.0930084552113768E-6</v>
      </c>
      <c r="E121" s="4">
        <f t="shared" si="22"/>
        <v>3.0350165715786748E-5</v>
      </c>
    </row>
    <row r="122" spans="1:38" x14ac:dyDescent="0.3">
      <c r="B122" t="s">
        <v>11</v>
      </c>
      <c r="C122" s="4">
        <f t="shared" si="20"/>
        <v>-2.4674316140250833E-5</v>
      </c>
      <c r="D122" s="4">
        <f t="shared" si="21"/>
        <v>1.3789337039145019E-4</v>
      </c>
      <c r="E122" s="4">
        <f t="shared" si="22"/>
        <v>7.5239006396771516E-5</v>
      </c>
    </row>
    <row r="123" spans="1:38" x14ac:dyDescent="0.3">
      <c r="B123" t="s">
        <v>8</v>
      </c>
      <c r="C123" s="4">
        <f t="shared" si="20"/>
        <v>-1.2933204574057805E-3</v>
      </c>
      <c r="D123" s="4">
        <f t="shared" si="21"/>
        <v>-1.0923717822504259E-3</v>
      </c>
      <c r="E123" s="4">
        <f t="shared" si="22"/>
        <v>-9.0138612734047552E-4</v>
      </c>
    </row>
    <row r="124" spans="1:38" x14ac:dyDescent="0.3">
      <c r="B124" t="s">
        <v>24</v>
      </c>
      <c r="C124" s="4">
        <f t="shared" si="20"/>
        <v>1.9107414041194971E-5</v>
      </c>
      <c r="D124" s="4">
        <f t="shared" si="21"/>
        <v>9.993320066967095E-6</v>
      </c>
      <c r="E124" s="4">
        <f t="shared" si="22"/>
        <v>1.2040568837305221E-5</v>
      </c>
    </row>
    <row r="125" spans="1:38" x14ac:dyDescent="0.3">
      <c r="B125" t="s">
        <v>10</v>
      </c>
      <c r="C125" s="4">
        <f t="shared" si="20"/>
        <v>3.3552443182416347E-3</v>
      </c>
      <c r="D125" s="4">
        <f t="shared" si="21"/>
        <v>2.4812174211391591E-3</v>
      </c>
      <c r="E125" s="4">
        <f t="shared" si="22"/>
        <v>2.1576081398543279E-3</v>
      </c>
    </row>
    <row r="126" spans="1:38" x14ac:dyDescent="0.3">
      <c r="B126" t="s">
        <v>9</v>
      </c>
      <c r="C126" s="4">
        <f t="shared" si="20"/>
        <v>-2.8803678362922247E-5</v>
      </c>
      <c r="D126" s="4">
        <f t="shared" si="21"/>
        <v>-4.2224483661916501E-5</v>
      </c>
      <c r="E126" s="4">
        <f t="shared" si="22"/>
        <v>-2.8015463380205025E-5</v>
      </c>
    </row>
    <row r="128" spans="1:38" x14ac:dyDescent="0.3">
      <c r="A128" s="12" t="s">
        <v>56</v>
      </c>
      <c r="C128" s="2">
        <v>42005</v>
      </c>
      <c r="D128" s="2">
        <v>42370</v>
      </c>
      <c r="E128" s="2">
        <v>42736</v>
      </c>
      <c r="F128" s="2">
        <v>43101</v>
      </c>
      <c r="G128" s="2">
        <v>43466</v>
      </c>
      <c r="H128" s="2">
        <v>43831</v>
      </c>
      <c r="I128" s="2">
        <v>44197</v>
      </c>
      <c r="J128" s="2">
        <v>44562</v>
      </c>
      <c r="K128" s="2">
        <v>44927</v>
      </c>
      <c r="L128" s="2">
        <v>45292</v>
      </c>
      <c r="M128" s="2">
        <v>45658</v>
      </c>
      <c r="N128" s="2">
        <v>46023</v>
      </c>
      <c r="O128" s="2">
        <v>46388</v>
      </c>
      <c r="P128" s="2">
        <v>46753</v>
      </c>
      <c r="Q128" s="2">
        <v>47119</v>
      </c>
      <c r="R128" s="2">
        <v>47484</v>
      </c>
      <c r="S128" s="2">
        <v>47849</v>
      </c>
      <c r="T128" s="2">
        <v>48214</v>
      </c>
      <c r="U128" s="2">
        <v>48580</v>
      </c>
      <c r="V128" s="2">
        <v>48945</v>
      </c>
      <c r="W128" s="2">
        <v>49310</v>
      </c>
      <c r="X128" s="2">
        <v>49675</v>
      </c>
      <c r="Y128" s="2">
        <v>50041</v>
      </c>
      <c r="Z128" s="2">
        <v>50406</v>
      </c>
      <c r="AA128" s="2">
        <v>50771</v>
      </c>
      <c r="AB128" s="2">
        <v>51136</v>
      </c>
      <c r="AC128" s="2">
        <v>51502</v>
      </c>
      <c r="AD128" s="2">
        <v>51867</v>
      </c>
      <c r="AE128" s="2">
        <v>52232</v>
      </c>
      <c r="AF128" s="2">
        <v>52597</v>
      </c>
      <c r="AG128" s="2">
        <v>52963</v>
      </c>
      <c r="AH128" s="2">
        <v>53328</v>
      </c>
      <c r="AI128" s="2">
        <v>53693</v>
      </c>
      <c r="AJ128" s="2">
        <v>54058</v>
      </c>
      <c r="AK128" s="2">
        <v>54424</v>
      </c>
      <c r="AL128" s="2">
        <v>54789</v>
      </c>
    </row>
    <row r="129" spans="1:38" x14ac:dyDescent="0.3">
      <c r="A129" t="s">
        <v>26</v>
      </c>
      <c r="B129" t="s">
        <v>22</v>
      </c>
      <c r="C129" s="6">
        <f>[1]Production!B3</f>
        <v>3868284.6170000001</v>
      </c>
      <c r="D129" s="6">
        <f>[1]Production!C3</f>
        <v>3909663.2990000001</v>
      </c>
      <c r="E129" s="6">
        <f>[1]Production!D3</f>
        <v>3966673.949</v>
      </c>
      <c r="F129" s="6">
        <f>[1]Production!E3</f>
        <v>4030622.2629999998</v>
      </c>
      <c r="G129" s="6">
        <f>[1]Production!F3</f>
        <v>4096308.3960000002</v>
      </c>
      <c r="H129" s="6">
        <f>[1]Production!G3</f>
        <v>4162293.906</v>
      </c>
      <c r="I129" s="6">
        <f>[1]Production!H3</f>
        <v>4223870.4740000004</v>
      </c>
      <c r="J129" s="6">
        <f>[1]Production!I3</f>
        <v>4286003.0410000002</v>
      </c>
      <c r="K129" s="6">
        <f>[1]Production!J3</f>
        <v>4348765.3159999996</v>
      </c>
      <c r="L129" s="6">
        <f>[1]Production!K3</f>
        <v>4412893.5789999999</v>
      </c>
      <c r="M129" s="6">
        <f>[1]Production!L3</f>
        <v>4484762.7410000004</v>
      </c>
      <c r="N129" s="6">
        <f>[1]Production!M3</f>
        <v>4553351.034</v>
      </c>
      <c r="O129" s="6">
        <f>[1]Production!N3</f>
        <v>4623408.3210000005</v>
      </c>
      <c r="P129" s="6">
        <f>[1]Production!O3</f>
        <v>4693831.2680000002</v>
      </c>
      <c r="Q129" s="6">
        <f>[1]Production!P3</f>
        <v>4764189.08</v>
      </c>
      <c r="R129" s="6">
        <f>[1]Production!Q3</f>
        <v>4834637.04</v>
      </c>
      <c r="S129" s="6">
        <f>[1]Production!R3</f>
        <v>4905655.7450000001</v>
      </c>
      <c r="T129" s="6">
        <f>[1]Production!S3</f>
        <v>4977786.3550000004</v>
      </c>
      <c r="U129" s="6">
        <f>[1]Production!T3</f>
        <v>5051446.0999999996</v>
      </c>
      <c r="V129" s="6">
        <f>[1]Production!U3</f>
        <v>5126852.2680000002</v>
      </c>
      <c r="W129" s="6">
        <f>[1]Production!V3</f>
        <v>5199078.6310000001</v>
      </c>
      <c r="X129" s="6">
        <f>[1]Production!W3</f>
        <v>5277381.9970000004</v>
      </c>
      <c r="Y129" s="6">
        <f>[1]Production!X3</f>
        <v>5357715.5889999997</v>
      </c>
      <c r="Z129" s="6">
        <f>[1]Production!Y3</f>
        <v>5439757.7510000002</v>
      </c>
      <c r="AA129" s="6">
        <f>[1]Production!Z3</f>
        <v>5523365.4469999997</v>
      </c>
      <c r="AB129" s="6">
        <f>[1]Production!AA3</f>
        <v>5592415.7419999996</v>
      </c>
      <c r="AC129" s="6">
        <f>[1]Production!AB3</f>
        <v>5672103.6830000002</v>
      </c>
      <c r="AD129" s="6">
        <f>[1]Production!AC3</f>
        <v>5752753.3399999999</v>
      </c>
      <c r="AE129" s="6">
        <f>[1]Production!AD3</f>
        <v>5834570.8779999996</v>
      </c>
      <c r="AF129" s="6">
        <f>[1]Production!AE3</f>
        <v>5917776.8849999998</v>
      </c>
      <c r="AG129" s="6">
        <f>[1]Production!AF3</f>
        <v>6002252.8449999997</v>
      </c>
      <c r="AH129" s="6">
        <f>[1]Production!AG3</f>
        <v>6087719.3109999998</v>
      </c>
      <c r="AI129" s="6">
        <f>[1]Production!AH3</f>
        <v>6173947.0350000001</v>
      </c>
      <c r="AJ129" s="6">
        <f>[1]Production!AI3</f>
        <v>6260871.9479999999</v>
      </c>
      <c r="AK129" s="6">
        <f>[1]Production!AJ3</f>
        <v>6348597.7180000003</v>
      </c>
      <c r="AL129" s="6">
        <f>[1]Production!AK3</f>
        <v>6437317.1289999997</v>
      </c>
    </row>
    <row r="130" spans="1:38" x14ac:dyDescent="0.3">
      <c r="B130" t="s">
        <v>7</v>
      </c>
      <c r="C130" s="6">
        <f>[1]Production!B5+[1]Production!B7</f>
        <v>88416.529033999992</v>
      </c>
      <c r="D130" s="6">
        <f>[1]Production!C5+[1]Production!C7</f>
        <v>87686.146766999998</v>
      </c>
      <c r="E130" s="6">
        <f>[1]Production!D5+[1]Production!D7</f>
        <v>87159.534618000005</v>
      </c>
      <c r="F130" s="6">
        <f>[1]Production!E5+[1]Production!E7</f>
        <v>86973.520696000007</v>
      </c>
      <c r="G130" s="6">
        <f>[1]Production!F5+[1]Production!F7</f>
        <v>87157.815212999994</v>
      </c>
      <c r="H130" s="6">
        <f>[1]Production!G5+[1]Production!G7</f>
        <v>87670.981789999991</v>
      </c>
      <c r="I130" s="6">
        <f>[1]Production!H5+[1]Production!H7</f>
        <v>88378.813911000005</v>
      </c>
      <c r="J130" s="6">
        <f>[1]Production!I5+[1]Production!I7</f>
        <v>89220.240426999997</v>
      </c>
      <c r="K130" s="6">
        <f>[1]Production!J5+[1]Production!J7</f>
        <v>90117.375583999994</v>
      </c>
      <c r="L130" s="6">
        <f>[1]Production!K5+[1]Production!K7</f>
        <v>91007.254151000001</v>
      </c>
      <c r="M130" s="6">
        <f>[1]Production!L5+[1]Production!L7</f>
        <v>91937.410050999999</v>
      </c>
      <c r="N130" s="6">
        <f>[1]Production!M5+[1]Production!M7</f>
        <v>92737.463744999986</v>
      </c>
      <c r="O130" s="6">
        <f>[1]Production!N5+[1]Production!N7</f>
        <v>93427.516874000008</v>
      </c>
      <c r="P130" s="6">
        <f>[1]Production!O5+[1]Production!O7</f>
        <v>94004.385643000001</v>
      </c>
      <c r="Q130" s="6">
        <f>[1]Production!P5+[1]Production!P7</f>
        <v>94475.760179000004</v>
      </c>
      <c r="R130" s="6">
        <f>[1]Production!Q5+[1]Production!Q7</f>
        <v>94858.841832000006</v>
      </c>
      <c r="S130" s="6">
        <f>[1]Production!R5+[1]Production!R7</f>
        <v>95176.429875999995</v>
      </c>
      <c r="T130" s="6">
        <f>[1]Production!S5+[1]Production!S7</f>
        <v>95452.738601999998</v>
      </c>
      <c r="U130" s="6">
        <f>[1]Production!T5+[1]Production!T7</f>
        <v>95710.025744999992</v>
      </c>
      <c r="V130" s="6">
        <f>[1]Production!U5+[1]Production!U7</f>
        <v>95966.471506000002</v>
      </c>
      <c r="W130" s="6">
        <f>[1]Production!V5+[1]Production!V7</f>
        <v>96167.434706</v>
      </c>
      <c r="X130" s="6">
        <f>[1]Production!W5+[1]Production!W7</f>
        <v>96428.640331999995</v>
      </c>
      <c r="Y130" s="6">
        <f>[1]Production!X5+[1]Production!X7</f>
        <v>96725.654431000003</v>
      </c>
      <c r="Z130" s="6">
        <f>[1]Production!Y5+[1]Production!Y7</f>
        <v>97058.139503999992</v>
      </c>
      <c r="AA130" s="6">
        <f>[1]Production!Z5+[1]Production!Z7</f>
        <v>97423.417648000002</v>
      </c>
      <c r="AB130" s="6">
        <f>[1]Production!AA5+[1]Production!AA7</f>
        <v>97622.827176999999</v>
      </c>
      <c r="AC130" s="6">
        <f>[1]Production!AB5+[1]Production!AB7</f>
        <v>97875.326715999996</v>
      </c>
      <c r="AD130" s="6">
        <f>[1]Production!AC5+[1]Production!AC7</f>
        <v>98139.530350000001</v>
      </c>
      <c r="AE130" s="6">
        <f>[1]Production!AD5+[1]Production!AD7</f>
        <v>98418.135933999991</v>
      </c>
      <c r="AF130" s="6">
        <f>[1]Production!AE5+[1]Production!AE7</f>
        <v>98712.805816000007</v>
      </c>
      <c r="AG130" s="6">
        <f>[1]Production!AF5+[1]Production!AF7</f>
        <v>99022.354027000009</v>
      </c>
      <c r="AH130" s="6">
        <f>[1]Production!AG5+[1]Production!AG7</f>
        <v>99343.540770000007</v>
      </c>
      <c r="AI130" s="6">
        <f>[1]Production!AH5+[1]Production!AH7</f>
        <v>99672.412163000001</v>
      </c>
      <c r="AJ130" s="6">
        <f>[1]Production!AI5+[1]Production!AI7</f>
        <v>100005.382159</v>
      </c>
      <c r="AK130" s="6">
        <f>[1]Production!AJ5+[1]Production!AJ7</f>
        <v>100339.775165</v>
      </c>
      <c r="AL130" s="6">
        <f>[1]Production!AK5+[1]Production!AK7</f>
        <v>100673.82238500001</v>
      </c>
    </row>
    <row r="131" spans="1:38" x14ac:dyDescent="0.3">
      <c r="B131" t="s">
        <v>96</v>
      </c>
      <c r="C131" s="6">
        <f>[1]Production!B27</f>
        <v>271387.72100000002</v>
      </c>
      <c r="D131" s="6">
        <f>[1]Production!C27</f>
        <v>289699.11139999999</v>
      </c>
      <c r="E131" s="6">
        <f>[1]Production!D27</f>
        <v>308482.28049999999</v>
      </c>
      <c r="F131" s="6">
        <f>[1]Production!E27</f>
        <v>320452.14569999999</v>
      </c>
      <c r="G131" s="6">
        <f>[1]Production!F27</f>
        <v>327771.49070000002</v>
      </c>
      <c r="H131" s="6">
        <f>[1]Production!G27</f>
        <v>332814.07150000002</v>
      </c>
      <c r="I131" s="6">
        <f>[1]Production!H27</f>
        <v>331249.59539999999</v>
      </c>
      <c r="J131" s="6">
        <f>[1]Production!I27</f>
        <v>332851.28940000001</v>
      </c>
      <c r="K131" s="6">
        <f>[1]Production!J27</f>
        <v>335839.54969999997</v>
      </c>
      <c r="L131" s="6">
        <f>[1]Production!K27</f>
        <v>339563.09980000003</v>
      </c>
      <c r="M131" s="6">
        <f>[1]Production!L27</f>
        <v>352082.83750000002</v>
      </c>
      <c r="N131" s="6">
        <f>[1]Production!M27</f>
        <v>351920.45649999997</v>
      </c>
      <c r="O131" s="6">
        <f>[1]Production!N27</f>
        <v>354841.83860000002</v>
      </c>
      <c r="P131" s="6">
        <f>[1]Production!O27</f>
        <v>359131.946</v>
      </c>
      <c r="Q131" s="6">
        <f>[1]Production!P27</f>
        <v>364028.0539</v>
      </c>
      <c r="R131" s="6">
        <f>[1]Production!Q27</f>
        <v>369233.72289999999</v>
      </c>
      <c r="S131" s="6">
        <f>[1]Production!R27</f>
        <v>374663.73469999997</v>
      </c>
      <c r="T131" s="6">
        <f>[1]Production!S27</f>
        <v>380315.14909999998</v>
      </c>
      <c r="U131" s="6">
        <f>[1]Production!T27</f>
        <v>386201.13579999999</v>
      </c>
      <c r="V131" s="6">
        <f>[1]Production!U27</f>
        <v>392322.28749999998</v>
      </c>
      <c r="W131" s="6">
        <f>[1]Production!V27</f>
        <v>392740.86009999999</v>
      </c>
      <c r="X131" s="6">
        <f>[1]Production!W27</f>
        <v>402416.0871</v>
      </c>
      <c r="Y131" s="6">
        <f>[1]Production!X27</f>
        <v>410627.027</v>
      </c>
      <c r="Z131" s="6">
        <f>[1]Production!Y27</f>
        <v>418115.65990000003</v>
      </c>
      <c r="AA131" s="6">
        <f>[1]Production!Z27</f>
        <v>425331.19929999998</v>
      </c>
      <c r="AB131" s="6">
        <f>[1]Production!AA27</f>
        <v>415138.47</v>
      </c>
      <c r="AC131" s="6">
        <f>[1]Production!AB27</f>
        <v>424482.62880000001</v>
      </c>
      <c r="AD131" s="6">
        <f>[1]Production!AC27</f>
        <v>432799.20770000003</v>
      </c>
      <c r="AE131" s="6">
        <f>[1]Production!AD27</f>
        <v>440505.451</v>
      </c>
      <c r="AF131" s="6">
        <f>[1]Production!AE27</f>
        <v>447952.05180000002</v>
      </c>
      <c r="AG131" s="6">
        <f>[1]Production!AF27</f>
        <v>455306.45419999998</v>
      </c>
      <c r="AH131" s="6">
        <f>[1]Production!AG27</f>
        <v>462626.11580000003</v>
      </c>
      <c r="AI131" s="6">
        <f>[1]Production!AH27</f>
        <v>469926.6715</v>
      </c>
      <c r="AJ131" s="6">
        <f>[1]Production!AI27</f>
        <v>477221.36609999998</v>
      </c>
      <c r="AK131" s="6">
        <f>[1]Production!AJ27</f>
        <v>484534.6789</v>
      </c>
      <c r="AL131" s="6">
        <f>[1]Production!AK27</f>
        <v>491898.67940000002</v>
      </c>
    </row>
    <row r="132" spans="1:38" x14ac:dyDescent="0.3">
      <c r="B132" t="s">
        <v>11</v>
      </c>
      <c r="C132" s="6">
        <f>[1]Production!B51+[1]Production!B53+[1]Production!B55+[1]Production!B57+[1]Production!B59+[1]Production!B61+[1]Production!B63+[1]Production!B65+[1]Production!B67</f>
        <v>44614.905644469989</v>
      </c>
      <c r="D132" s="6">
        <f>[1]Production!C51+[1]Production!C53+[1]Production!C55+[1]Production!C57+[1]Production!C59+[1]Production!C61+[1]Production!C63+[1]Production!C65+[1]Production!C67</f>
        <v>44894.282724110002</v>
      </c>
      <c r="E132" s="6">
        <f>[1]Production!D51+[1]Production!D53+[1]Production!D55+[1]Production!D57+[1]Production!D59+[1]Production!D61+[1]Production!D63+[1]Production!D65+[1]Production!D67</f>
        <v>45144.972523500008</v>
      </c>
      <c r="F132" s="6">
        <f>[1]Production!E51+[1]Production!E53+[1]Production!E55+[1]Production!E57+[1]Production!E59+[1]Production!E61+[1]Production!E63+[1]Production!E65+[1]Production!E67</f>
        <v>45495.586684619986</v>
      </c>
      <c r="G132" s="6">
        <f>[1]Production!F51+[1]Production!F53+[1]Production!F55+[1]Production!F57+[1]Production!F59+[1]Production!F61+[1]Production!F63+[1]Production!F65+[1]Production!F67</f>
        <v>46014.627236349988</v>
      </c>
      <c r="H132" s="6">
        <f>[1]Production!G51+[1]Production!G53+[1]Production!G55+[1]Production!G57+[1]Production!G59+[1]Production!G61+[1]Production!G63+[1]Production!G65+[1]Production!G67</f>
        <v>46738.728234599992</v>
      </c>
      <c r="I132" s="6">
        <f>[1]Production!H51+[1]Production!H53+[1]Production!H55+[1]Production!H57+[1]Production!H59+[1]Production!H61+[1]Production!H63+[1]Production!H65+[1]Production!H67</f>
        <v>47645.56334173002</v>
      </c>
      <c r="J132" s="6">
        <f>[1]Production!I51+[1]Production!I53+[1]Production!I55+[1]Production!I57+[1]Production!I59+[1]Production!I61+[1]Production!I63+[1]Production!I65+[1]Production!I67</f>
        <v>48726.571567370003</v>
      </c>
      <c r="K132" s="6">
        <f>[1]Production!J51+[1]Production!J53+[1]Production!J55+[1]Production!J57+[1]Production!J59+[1]Production!J61+[1]Production!J63+[1]Production!J65+[1]Production!J67</f>
        <v>49935.715067260004</v>
      </c>
      <c r="L132" s="6">
        <f>[1]Production!K51+[1]Production!K53+[1]Production!K55+[1]Production!K57+[1]Production!K59+[1]Production!K61+[1]Production!K63+[1]Production!K65+[1]Production!K67</f>
        <v>51210.918164370014</v>
      </c>
      <c r="M132" s="6">
        <f>[1]Production!L51+[1]Production!L53+[1]Production!L55+[1]Production!L57+[1]Production!L59+[1]Production!L61+[1]Production!L63+[1]Production!L65+[1]Production!L67</f>
        <v>52520.193935859992</v>
      </c>
      <c r="N132" s="6">
        <f>[1]Production!M51+[1]Production!M53+[1]Production!M55+[1]Production!M57+[1]Production!M59+[1]Production!M61+[1]Production!M63+[1]Production!M65+[1]Production!M67</f>
        <v>53768.153759209999</v>
      </c>
      <c r="O132" s="6">
        <f>[1]Production!N51+[1]Production!N53+[1]Production!N55+[1]Production!N57+[1]Production!N59+[1]Production!N61+[1]Production!N63+[1]Production!N65+[1]Production!N67</f>
        <v>54933.37195890001</v>
      </c>
      <c r="P132" s="6">
        <f>[1]Production!O51+[1]Production!O53+[1]Production!O55+[1]Production!O57+[1]Production!O59+[1]Production!O61+[1]Production!O63+[1]Production!O65+[1]Production!O67</f>
        <v>55997.650025910007</v>
      </c>
      <c r="Q132" s="6">
        <f>[1]Production!P51+[1]Production!P53+[1]Production!P55+[1]Production!P57+[1]Production!P59+[1]Production!P61+[1]Production!P63+[1]Production!P65+[1]Production!P67</f>
        <v>56944.554096990003</v>
      </c>
      <c r="R132" s="6">
        <f>[1]Production!Q51+[1]Production!Q53+[1]Production!Q55+[1]Production!Q57+[1]Production!Q59+[1]Production!Q61+[1]Production!Q63+[1]Production!Q65+[1]Production!Q67</f>
        <v>57763.884942049997</v>
      </c>
      <c r="S132" s="6">
        <f>[1]Production!R51+[1]Production!R53+[1]Production!R55+[1]Production!R57+[1]Production!R59+[1]Production!R61+[1]Production!R63+[1]Production!R65+[1]Production!R67</f>
        <v>58463.689757169996</v>
      </c>
      <c r="T132" s="6">
        <f>[1]Production!S51+[1]Production!S53+[1]Production!S55+[1]Production!S57+[1]Production!S59+[1]Production!S61+[1]Production!S63+[1]Production!S65+[1]Production!S67</f>
        <v>59067.669420500002</v>
      </c>
      <c r="U132" s="6">
        <f>[1]Production!T51+[1]Production!T53+[1]Production!T55+[1]Production!T57+[1]Production!T59+[1]Production!T61+[1]Production!T63+[1]Production!T65+[1]Production!T67</f>
        <v>59611.371435239998</v>
      </c>
      <c r="V132" s="6">
        <f>[1]Production!U51+[1]Production!U53+[1]Production!U55+[1]Production!U57+[1]Production!U59+[1]Production!U61+[1]Production!U63+[1]Production!U65+[1]Production!U67</f>
        <v>60136.485523339994</v>
      </c>
      <c r="W132" s="6">
        <f>[1]Production!V51+[1]Production!V53+[1]Production!V55+[1]Production!V57+[1]Production!V59+[1]Production!V61+[1]Production!V63+[1]Production!V65+[1]Production!V67</f>
        <v>60658.473811740012</v>
      </c>
      <c r="X132" s="6">
        <f>[1]Production!W51+[1]Production!W53+[1]Production!W55+[1]Production!W57+[1]Production!W59+[1]Production!W61+[1]Production!W63+[1]Production!W65+[1]Production!W67</f>
        <v>61241.108244719995</v>
      </c>
      <c r="Y132" s="6">
        <f>[1]Production!X51+[1]Production!X53+[1]Production!X55+[1]Production!X57+[1]Production!X59+[1]Production!X61+[1]Production!X63+[1]Production!X65+[1]Production!X67</f>
        <v>61898.040449079999</v>
      </c>
      <c r="Z132" s="6">
        <f>[1]Production!Y51+[1]Production!Y53+[1]Production!Y55+[1]Production!Y57+[1]Production!Y59+[1]Production!Y61+[1]Production!Y63+[1]Production!Y65+[1]Production!Y67</f>
        <v>62641.382093140011</v>
      </c>
      <c r="AA132" s="6">
        <f>[1]Production!Z51+[1]Production!Z53+[1]Production!Z55+[1]Production!Z57+[1]Production!Z59+[1]Production!Z61+[1]Production!Z63+[1]Production!Z65+[1]Production!Z67</f>
        <v>63479.386353780006</v>
      </c>
      <c r="AB132" s="6">
        <f>[1]Production!AA51+[1]Production!AA53+[1]Production!AA55+[1]Production!AA57+[1]Production!AA59+[1]Production!AA61+[1]Production!AA63+[1]Production!AA65+[1]Production!AA67</f>
        <v>64326.000942079983</v>
      </c>
      <c r="AC132" s="6">
        <f>[1]Production!AB51+[1]Production!AB53+[1]Production!AB55+[1]Production!AB57+[1]Production!AB59+[1]Production!AB61+[1]Production!AB63+[1]Production!AB65+[1]Production!AB67</f>
        <v>65266.288291649995</v>
      </c>
      <c r="AD132" s="6">
        <f>[1]Production!AC51+[1]Production!AC53+[1]Production!AC55+[1]Production!AC57+[1]Production!AC59+[1]Production!AC61+[1]Production!AC63+[1]Production!AC65+[1]Production!AC67</f>
        <v>66260.879403519997</v>
      </c>
      <c r="AE132" s="6">
        <f>[1]Production!AD51+[1]Production!AD53+[1]Production!AD55+[1]Production!AD57+[1]Production!AD59+[1]Production!AD61+[1]Production!AD63+[1]Production!AD65+[1]Production!AD67</f>
        <v>67285.379759660005</v>
      </c>
      <c r="AF132" s="6">
        <f>[1]Production!AE51+[1]Production!AE53+[1]Production!AE55+[1]Production!AE57+[1]Production!AE59+[1]Production!AE61+[1]Production!AE63+[1]Production!AE65+[1]Production!AE67</f>
        <v>68328.33783111001</v>
      </c>
      <c r="AG132" s="6">
        <f>[1]Production!AF51+[1]Production!AF53+[1]Production!AF55+[1]Production!AF57+[1]Production!AF59+[1]Production!AF61+[1]Production!AF63+[1]Production!AF65+[1]Production!AF67</f>
        <v>69385.353886419995</v>
      </c>
      <c r="AH132" s="6">
        <f>[1]Production!AG51+[1]Production!AG53+[1]Production!AG55+[1]Production!AG57+[1]Production!AG59+[1]Production!AG61+[1]Production!AG63+[1]Production!AG65+[1]Production!AG67</f>
        <v>70453.815291809995</v>
      </c>
      <c r="AI132" s="6">
        <f>[1]Production!AH51+[1]Production!AH53+[1]Production!AH55+[1]Production!AH57+[1]Production!AH59+[1]Production!AH61+[1]Production!AH63+[1]Production!AH65+[1]Production!AH67</f>
        <v>71529.460906690001</v>
      </c>
      <c r="AJ132" s="6">
        <f>[1]Production!AI51+[1]Production!AI53+[1]Production!AI55+[1]Production!AI57+[1]Production!AI59+[1]Production!AI61+[1]Production!AI63+[1]Production!AI65+[1]Production!AI67</f>
        <v>72605.378888579988</v>
      </c>
      <c r="AK132" s="6">
        <f>[1]Production!AJ51+[1]Production!AJ53+[1]Production!AJ55+[1]Production!AJ57+[1]Production!AJ59+[1]Production!AJ61+[1]Production!AJ63+[1]Production!AJ65+[1]Production!AJ67</f>
        <v>73673.249540979989</v>
      </c>
      <c r="AL132" s="6">
        <f>[1]Production!AK51+[1]Production!AK53+[1]Production!AK55+[1]Production!AK57+[1]Production!AK59+[1]Production!AK61+[1]Production!AK63+[1]Production!AK65+[1]Production!AK67</f>
        <v>74723.228043519994</v>
      </c>
    </row>
    <row r="133" spans="1:38" x14ac:dyDescent="0.3">
      <c r="B133" t="s">
        <v>8</v>
      </c>
      <c r="C133" s="6">
        <f>-[1]Production!B27+[1]Production!B9+[1]Production!B11+[1]Production!B13+[1]Production!B15+[1]Production!B17+[1]Production!B19+[1]Production!B21+[1]Production!B23+[1]Production!B25+[1]Production!B27+[1]Production!B41</f>
        <v>709044.3671279999</v>
      </c>
      <c r="D133" s="6">
        <f>-[1]Production!C27+[1]Production!C9+[1]Production!C11+[1]Production!C13+[1]Production!C15+[1]Production!C17+[1]Production!C19+[1]Production!C21+[1]Production!C23+[1]Production!C25+[1]Production!C27+[1]Production!C41</f>
        <v>712956.15408600005</v>
      </c>
      <c r="E133" s="6">
        <f>-[1]Production!D27+[1]Production!D9+[1]Production!D11+[1]Production!D13+[1]Production!D15+[1]Production!D17+[1]Production!D19+[1]Production!D21+[1]Production!D23+[1]Production!D25+[1]Production!D27+[1]Production!D41</f>
        <v>720007.99658400007</v>
      </c>
      <c r="F133" s="6">
        <f>-[1]Production!E27+[1]Production!E9+[1]Production!E11+[1]Production!E13+[1]Production!E15+[1]Production!E17+[1]Production!E19+[1]Production!E21+[1]Production!E23+[1]Production!E25+[1]Production!E27+[1]Production!E41</f>
        <v>728614.38509800006</v>
      </c>
      <c r="G133" s="6">
        <f>-[1]Production!F27+[1]Production!F9+[1]Production!F11+[1]Production!F13+[1]Production!F15+[1]Production!F17+[1]Production!F19+[1]Production!F21+[1]Production!F23+[1]Production!F25+[1]Production!F27+[1]Production!F41</f>
        <v>738091.87419800006</v>
      </c>
      <c r="H133" s="6">
        <f>-[1]Production!G27+[1]Production!G9+[1]Production!G11+[1]Production!G13+[1]Production!G15+[1]Production!G17+[1]Production!G19+[1]Production!G21+[1]Production!G23+[1]Production!G25+[1]Production!G27+[1]Production!G41</f>
        <v>748144.35506000009</v>
      </c>
      <c r="I133" s="6">
        <f>-[1]Production!H27+[1]Production!H9+[1]Production!H11+[1]Production!H13+[1]Production!H15+[1]Production!H17+[1]Production!H19+[1]Production!H21+[1]Production!H23+[1]Production!H25+[1]Production!H27+[1]Production!H41</f>
        <v>757603.342542</v>
      </c>
      <c r="J133" s="6">
        <f>-[1]Production!I27+[1]Production!I9+[1]Production!I11+[1]Production!I13+[1]Production!I15+[1]Production!I17+[1]Production!I19+[1]Production!I21+[1]Production!I23+[1]Production!I25+[1]Production!I27+[1]Production!I41</f>
        <v>767345.82401600003</v>
      </c>
      <c r="K133" s="6">
        <f>-[1]Production!J27+[1]Production!J9+[1]Production!J11+[1]Production!J13+[1]Production!J15+[1]Production!J17+[1]Production!J19+[1]Production!J21+[1]Production!J23+[1]Production!J25+[1]Production!J27+[1]Production!J41</f>
        <v>777289.55104699999</v>
      </c>
      <c r="L133" s="6">
        <f>-[1]Production!K27+[1]Production!K9+[1]Production!K11+[1]Production!K13+[1]Production!K15+[1]Production!K17+[1]Production!K19+[1]Production!K21+[1]Production!K23+[1]Production!K25+[1]Production!K27+[1]Production!K41</f>
        <v>787379.21814499993</v>
      </c>
      <c r="M133" s="6">
        <f>-[1]Production!L27+[1]Production!L9+[1]Production!L11+[1]Production!L13+[1]Production!L15+[1]Production!L17+[1]Production!L19+[1]Production!L21+[1]Production!L23+[1]Production!L25+[1]Production!L27+[1]Production!L41</f>
        <v>799095.86464599997</v>
      </c>
      <c r="N133" s="6">
        <f>-[1]Production!M27+[1]Production!M9+[1]Production!M11+[1]Production!M13+[1]Production!M15+[1]Production!M17+[1]Production!M19+[1]Production!M21+[1]Production!M23+[1]Production!M25+[1]Production!M27+[1]Production!M41</f>
        <v>809421.01636199991</v>
      </c>
      <c r="O133" s="6">
        <f>-[1]Production!N27+[1]Production!N9+[1]Production!N11+[1]Production!N13+[1]Production!N15+[1]Production!N17+[1]Production!N19+[1]Production!N21+[1]Production!N23+[1]Production!N25+[1]Production!N27+[1]Production!N41</f>
        <v>819705.62939000013</v>
      </c>
      <c r="P133" s="6">
        <f>-[1]Production!O27+[1]Production!O9+[1]Production!O11+[1]Production!O13+[1]Production!O15+[1]Production!O17+[1]Production!O19+[1]Production!O21+[1]Production!O23+[1]Production!O25+[1]Production!O27+[1]Production!O41</f>
        <v>829933.39727999992</v>
      </c>
      <c r="Q133" s="6">
        <f>-[1]Production!P27+[1]Production!P9+[1]Production!P11+[1]Production!P13+[1]Production!P15+[1]Production!P17+[1]Production!P19+[1]Production!P21+[1]Production!P23+[1]Production!P25+[1]Production!P27+[1]Production!P41</f>
        <v>840023.60945999995</v>
      </c>
      <c r="R133" s="6">
        <f>-[1]Production!Q27+[1]Production!Q9+[1]Production!Q11+[1]Production!Q13+[1]Production!Q15+[1]Production!Q17+[1]Production!Q19+[1]Production!Q21+[1]Production!Q23+[1]Production!Q25+[1]Production!Q27+[1]Production!Q41</f>
        <v>849984.98593999993</v>
      </c>
      <c r="S133" s="6">
        <f>-[1]Production!R27+[1]Production!R9+[1]Production!R11+[1]Production!R13+[1]Production!R15+[1]Production!R17+[1]Production!R19+[1]Production!R21+[1]Production!R23+[1]Production!R25+[1]Production!R27+[1]Production!R41</f>
        <v>859892.84351000004</v>
      </c>
      <c r="T133" s="6">
        <f>-[1]Production!S27+[1]Production!S9+[1]Production!S11+[1]Production!S13+[1]Production!S15+[1]Production!S17+[1]Production!S19+[1]Production!S21+[1]Production!S23+[1]Production!S25+[1]Production!S27+[1]Production!S41</f>
        <v>869848.07326999994</v>
      </c>
      <c r="U133" s="6">
        <f>-[1]Production!T27+[1]Production!T9+[1]Production!T11+[1]Production!T13+[1]Production!T15+[1]Production!T17+[1]Production!T19+[1]Production!T21+[1]Production!T23+[1]Production!T25+[1]Production!T27+[1]Production!T41</f>
        <v>879944.41100000008</v>
      </c>
      <c r="V133" s="6">
        <f>-[1]Production!U27+[1]Production!U9+[1]Production!U11+[1]Production!U13+[1]Production!U15+[1]Production!U17+[1]Production!U19+[1]Production!U21+[1]Production!U23+[1]Production!U25+[1]Production!U27+[1]Production!U41</f>
        <v>890250.54914999998</v>
      </c>
      <c r="W133" s="6">
        <f>-[1]Production!V27+[1]Production!V9+[1]Production!V11+[1]Production!V13+[1]Production!V15+[1]Production!V17+[1]Production!V19+[1]Production!V21+[1]Production!V23+[1]Production!V25+[1]Production!V27+[1]Production!V41</f>
        <v>899681.47756999999</v>
      </c>
      <c r="X133" s="6">
        <f>-[1]Production!W27+[1]Production!W9+[1]Production!W11+[1]Production!W13+[1]Production!W15+[1]Production!W17+[1]Production!W19+[1]Production!W21+[1]Production!W23+[1]Production!W25+[1]Production!W27+[1]Production!W41</f>
        <v>910481.88919000002</v>
      </c>
      <c r="Y133" s="6">
        <f>-[1]Production!X27+[1]Production!X9+[1]Production!X11+[1]Production!X13+[1]Production!X15+[1]Production!X17+[1]Production!X19+[1]Production!X21+[1]Production!X23+[1]Production!X25+[1]Production!X27+[1]Production!X41</f>
        <v>921647.06264999998</v>
      </c>
      <c r="Z133" s="6">
        <f>-[1]Production!Y27+[1]Production!Y9+[1]Production!Y11+[1]Production!Y13+[1]Production!Y15+[1]Production!Y17+[1]Production!Y19+[1]Production!Y21+[1]Production!Y23+[1]Production!Y25+[1]Production!Y27+[1]Production!Y41</f>
        <v>933073.12656999996</v>
      </c>
      <c r="AA133" s="6">
        <f>-[1]Production!Z27+[1]Production!Z9+[1]Production!Z11+[1]Production!Z13+[1]Production!Z15+[1]Production!Z17+[1]Production!Z19+[1]Production!Z21+[1]Production!Z23+[1]Production!Z25+[1]Production!Z27+[1]Production!Z41</f>
        <v>944760.36168999993</v>
      </c>
      <c r="AB133" s="6">
        <f>-[1]Production!AA27+[1]Production!AA9+[1]Production!AA11+[1]Production!AA13+[1]Production!AA15+[1]Production!AA17+[1]Production!AA19+[1]Production!AA21+[1]Production!AA23+[1]Production!AA25+[1]Production!AA27+[1]Production!AA41</f>
        <v>953362.11905999994</v>
      </c>
      <c r="AC133" s="6">
        <f>-[1]Production!AB27+[1]Production!AB9+[1]Production!AB11+[1]Production!AB13+[1]Production!AB15+[1]Production!AB17+[1]Production!AB19+[1]Production!AB21+[1]Production!AB23+[1]Production!AB25+[1]Production!AB27+[1]Production!AB41</f>
        <v>964147.49610999995</v>
      </c>
      <c r="AD133" s="6">
        <f>-[1]Production!AC27+[1]Production!AC9+[1]Production!AC11+[1]Production!AC13+[1]Production!AC15+[1]Production!AC17+[1]Production!AC19+[1]Production!AC21+[1]Production!AC23+[1]Production!AC25+[1]Production!AC27+[1]Production!AC41</f>
        <v>975339.52973000007</v>
      </c>
      <c r="AE133" s="6">
        <f>-[1]Production!AD27+[1]Production!AD9+[1]Production!AD11+[1]Production!AD13+[1]Production!AD15+[1]Production!AD17+[1]Production!AD19+[1]Production!AD21+[1]Production!AD23+[1]Production!AD25+[1]Production!AD27+[1]Production!AD41</f>
        <v>986764.43769000005</v>
      </c>
      <c r="AF133" s="6">
        <f>-[1]Production!AE27+[1]Production!AE9+[1]Production!AE11+[1]Production!AE13+[1]Production!AE15+[1]Production!AE17+[1]Production!AE19+[1]Production!AE21+[1]Production!AE23+[1]Production!AE25+[1]Production!AE27+[1]Production!AE41</f>
        <v>998436.01041999995</v>
      </c>
      <c r="AG133" s="6">
        <f>-[1]Production!AF27+[1]Production!AF9+[1]Production!AF11+[1]Production!AF13+[1]Production!AF15+[1]Production!AF17+[1]Production!AF19+[1]Production!AF21+[1]Production!AF23+[1]Production!AF25+[1]Production!AF27+[1]Production!AF41</f>
        <v>1010344.2312599999</v>
      </c>
      <c r="AH133" s="6">
        <f>-[1]Production!AG27+[1]Production!AG9+[1]Production!AG11+[1]Production!AG13+[1]Production!AG15+[1]Production!AG17+[1]Production!AG19+[1]Production!AG21+[1]Production!AG23+[1]Production!AG25+[1]Production!AG27+[1]Production!AG41</f>
        <v>1022450.5322799999</v>
      </c>
      <c r="AI133" s="6">
        <f>-[1]Production!AH27+[1]Production!AH9+[1]Production!AH11+[1]Production!AH13+[1]Production!AH15+[1]Production!AH17+[1]Production!AH19+[1]Production!AH21+[1]Production!AH23+[1]Production!AH25+[1]Production!AH27+[1]Production!AH41</f>
        <v>1034712.8059999999</v>
      </c>
      <c r="AJ133" s="6">
        <f>-[1]Production!AI27+[1]Production!AI9+[1]Production!AI11+[1]Production!AI13+[1]Production!AI15+[1]Production!AI17+[1]Production!AI19+[1]Production!AI21+[1]Production!AI23+[1]Production!AI25+[1]Production!AI27+[1]Production!AI41</f>
        <v>1047104.53278</v>
      </c>
      <c r="AK133" s="6">
        <f>-[1]Production!AJ27+[1]Production!AJ9+[1]Production!AJ11+[1]Production!AJ13+[1]Production!AJ15+[1]Production!AJ17+[1]Production!AJ19+[1]Production!AJ21+[1]Production!AJ23+[1]Production!AJ25+[1]Production!AJ27+[1]Production!AJ41</f>
        <v>1059620.68796</v>
      </c>
      <c r="AL133" s="6">
        <f>-[1]Production!AK27+[1]Production!AK9+[1]Production!AK11+[1]Production!AK13+[1]Production!AK15+[1]Production!AK17+[1]Production!AK19+[1]Production!AK21+[1]Production!AK23+[1]Production!AK25+[1]Production!AK27+[1]Production!AK41</f>
        <v>1072272.04727</v>
      </c>
    </row>
    <row r="134" spans="1:38" x14ac:dyDescent="0.3">
      <c r="B134" t="s">
        <v>24</v>
      </c>
      <c r="C134" s="6">
        <f>[1]Production!B43+[1]Production!B47+[1]Production!B45+[1]Production!B49</f>
        <v>68372.4776078</v>
      </c>
      <c r="D134" s="6">
        <f>[1]Production!C43+[1]Production!C47+[1]Production!C45+[1]Production!C49</f>
        <v>70011.422312899987</v>
      </c>
      <c r="E134" s="6">
        <f>[1]Production!D43+[1]Production!D47+[1]Production!D45+[1]Production!D49</f>
        <v>71348.735371700008</v>
      </c>
      <c r="F134" s="6">
        <f>[1]Production!E43+[1]Production!E47+[1]Production!E45+[1]Production!E49</f>
        <v>72552.205190099994</v>
      </c>
      <c r="G134" s="6">
        <f>[1]Production!F43+[1]Production!F47+[1]Production!F45+[1]Production!F49</f>
        <v>73709.257063299985</v>
      </c>
      <c r="H134" s="6">
        <f>[1]Production!G43+[1]Production!G47+[1]Production!G45+[1]Production!G49</f>
        <v>74866.807818400004</v>
      </c>
      <c r="I134" s="6">
        <f>[1]Production!H43+[1]Production!H47+[1]Production!H45+[1]Production!H49</f>
        <v>75988.833152800013</v>
      </c>
      <c r="J134" s="6">
        <f>[1]Production!I43+[1]Production!I47+[1]Production!I45+[1]Production!I49</f>
        <v>77125.846558599995</v>
      </c>
      <c r="K134" s="6">
        <f>[1]Production!J43+[1]Production!J47+[1]Production!J45+[1]Production!J49</f>
        <v>78269.127654800002</v>
      </c>
      <c r="L134" s="6">
        <f>[1]Production!K43+[1]Production!K47+[1]Production!K45+[1]Production!K49</f>
        <v>79403.578063999987</v>
      </c>
      <c r="M134" s="6">
        <f>[1]Production!L43+[1]Production!L47+[1]Production!L45+[1]Production!L49</f>
        <v>80597.1869744</v>
      </c>
      <c r="N134" s="6">
        <f>[1]Production!M43+[1]Production!M47+[1]Production!M45+[1]Production!M49</f>
        <v>81701.588541100005</v>
      </c>
      <c r="O134" s="6">
        <f>[1]Production!N43+[1]Production!N47+[1]Production!N45+[1]Production!N49</f>
        <v>82785.9556744</v>
      </c>
      <c r="P134" s="6">
        <f>[1]Production!O43+[1]Production!O47+[1]Production!O45+[1]Production!O49</f>
        <v>83857.556751200013</v>
      </c>
      <c r="Q134" s="6">
        <f>[1]Production!P43+[1]Production!P47+[1]Production!P45+[1]Production!P49</f>
        <v>84913.203083899993</v>
      </c>
      <c r="R134" s="6">
        <f>[1]Production!Q43+[1]Production!Q47+[1]Production!Q45+[1]Production!Q49</f>
        <v>85947.0031686</v>
      </c>
      <c r="S134" s="6">
        <f>[1]Production!R43+[1]Production!R47+[1]Production!R45+[1]Production!R49</f>
        <v>86954.485547900011</v>
      </c>
      <c r="T134" s="6">
        <f>[1]Production!S43+[1]Production!S47+[1]Production!S45+[1]Production!S49</f>
        <v>87934.5225775</v>
      </c>
      <c r="U134" s="6">
        <f>[1]Production!T43+[1]Production!T47+[1]Production!T45+[1]Production!T49</f>
        <v>88889.878724999988</v>
      </c>
      <c r="V134" s="6">
        <f>[1]Production!U43+[1]Production!U47+[1]Production!U45+[1]Production!U49</f>
        <v>89826.426422799996</v>
      </c>
      <c r="W134" s="6">
        <f>[1]Production!V43+[1]Production!V47+[1]Production!V45+[1]Production!V49</f>
        <v>90691.859674299994</v>
      </c>
      <c r="X134" s="6">
        <f>[1]Production!W43+[1]Production!W47+[1]Production!W45+[1]Production!W49</f>
        <v>91601.5256352</v>
      </c>
      <c r="Y134" s="6">
        <f>[1]Production!X43+[1]Production!X47+[1]Production!X45+[1]Production!X49</f>
        <v>92515.057742300007</v>
      </c>
      <c r="Z134" s="6">
        <f>[1]Production!Y43+[1]Production!Y47+[1]Production!Y45+[1]Production!Y49</f>
        <v>93432.362844400006</v>
      </c>
      <c r="AA134" s="6">
        <f>[1]Production!Z43+[1]Production!Z47+[1]Production!Z45+[1]Production!Z49</f>
        <v>94357.538259699999</v>
      </c>
      <c r="AB134" s="6">
        <f>[1]Production!AA43+[1]Production!AA47+[1]Production!AA45+[1]Production!AA49</f>
        <v>95112.523850900005</v>
      </c>
      <c r="AC134" s="6">
        <f>[1]Production!AB43+[1]Production!AB47+[1]Production!AB45+[1]Production!AB49</f>
        <v>95953.661636600009</v>
      </c>
      <c r="AD134" s="6">
        <f>[1]Production!AC43+[1]Production!AC47+[1]Production!AC45+[1]Production!AC49</f>
        <v>96799.826719899997</v>
      </c>
      <c r="AE134" s="6">
        <f>[1]Production!AD43+[1]Production!AD47+[1]Production!AD45+[1]Production!AD49</f>
        <v>97640.195953700008</v>
      </c>
      <c r="AF134" s="6">
        <f>[1]Production!AE43+[1]Production!AE47+[1]Production!AE45+[1]Production!AE49</f>
        <v>98476.589368599991</v>
      </c>
      <c r="AG134" s="6">
        <f>[1]Production!AF43+[1]Production!AF47+[1]Production!AF45+[1]Production!AF49</f>
        <v>99314.134992499996</v>
      </c>
      <c r="AH134" s="6">
        <f>[1]Production!AG43+[1]Production!AG47+[1]Production!AG45+[1]Production!AG49</f>
        <v>100157.1486558</v>
      </c>
      <c r="AI134" s="6">
        <f>[1]Production!AH43+[1]Production!AH47+[1]Production!AH45+[1]Production!AH49</f>
        <v>101007.36387510001</v>
      </c>
      <c r="AJ134" s="6">
        <f>[1]Production!AI43+[1]Production!AI47+[1]Production!AI45+[1]Production!AI49</f>
        <v>101863.75994030001</v>
      </c>
      <c r="AK134" s="6">
        <f>[1]Production!AJ43+[1]Production!AJ47+[1]Production!AJ45+[1]Production!AJ49</f>
        <v>102723.51659690001</v>
      </c>
      <c r="AL134" s="6">
        <f>[1]Production!AK43+[1]Production!AK47+[1]Production!AK45+[1]Production!AK49</f>
        <v>103583.2110256</v>
      </c>
    </row>
    <row r="135" spans="1:38" x14ac:dyDescent="0.3">
      <c r="B135" t="s">
        <v>10</v>
      </c>
      <c r="C135" s="6">
        <f>[1]Production!B37+[1]Production!B39</f>
        <v>2565320.4150999999</v>
      </c>
      <c r="D135" s="6">
        <f>[1]Production!C37+[1]Production!C39</f>
        <v>2582958.8495999998</v>
      </c>
      <c r="E135" s="6">
        <f>[1]Production!D37+[1]Production!D39</f>
        <v>2612253.1726000002</v>
      </c>
      <c r="F135" s="6">
        <f>[1]Production!E37+[1]Production!E39</f>
        <v>2653017.5403999998</v>
      </c>
      <c r="G135" s="6">
        <f>[1]Production!F37+[1]Production!F39</f>
        <v>2698544.9282999998</v>
      </c>
      <c r="H135" s="6">
        <f>[1]Production!G37+[1]Production!G39</f>
        <v>2745389.6571</v>
      </c>
      <c r="I135" s="6">
        <f>[1]Production!H37+[1]Production!H39</f>
        <v>2794646.2637</v>
      </c>
      <c r="J135" s="6">
        <f>[1]Production!I37+[1]Production!I39</f>
        <v>2840678.4563999996</v>
      </c>
      <c r="K135" s="6">
        <f>[1]Production!J37+[1]Production!J39</f>
        <v>2885544.6501000002</v>
      </c>
      <c r="L135" s="6">
        <f>[1]Production!K37+[1]Production!K39</f>
        <v>2930807.4983000001</v>
      </c>
      <c r="M135" s="6">
        <f>[1]Production!L37+[1]Production!L39</f>
        <v>2973129.6694</v>
      </c>
      <c r="N135" s="6">
        <f>[1]Production!M37+[1]Production!M39</f>
        <v>3026464.9255999997</v>
      </c>
      <c r="O135" s="6">
        <f>[1]Production!N37+[1]Production!N39</f>
        <v>3078426.6672</v>
      </c>
      <c r="P135" s="6">
        <f>[1]Production!O37+[1]Production!O39</f>
        <v>3129670.8838999998</v>
      </c>
      <c r="Q135" s="6">
        <f>[1]Production!P37+[1]Production!P39</f>
        <v>3180625.8074000003</v>
      </c>
      <c r="R135" s="6">
        <f>[1]Production!Q37+[1]Production!Q39</f>
        <v>3231728.0313999997</v>
      </c>
      <c r="S135" s="6">
        <f>[1]Production!R37+[1]Production!R39</f>
        <v>3283429.9659000002</v>
      </c>
      <c r="T135" s="6">
        <f>[1]Production!S37+[1]Production!S39</f>
        <v>3336114.4512999998</v>
      </c>
      <c r="U135" s="6">
        <f>[1]Production!T37+[1]Production!T39</f>
        <v>3390019.9110000003</v>
      </c>
      <c r="V135" s="6">
        <f>[1]Production!U37+[1]Production!U39</f>
        <v>3445221.6860999996</v>
      </c>
      <c r="W135" s="6">
        <f>[1]Production!V37+[1]Production!V39</f>
        <v>3503970.8742</v>
      </c>
      <c r="X135" s="6">
        <f>[1]Production!W37+[1]Production!W39</f>
        <v>3557950.2026</v>
      </c>
      <c r="Y135" s="6">
        <f>[1]Production!X37+[1]Production!X39</f>
        <v>3614874.6869000001</v>
      </c>
      <c r="Z135" s="6">
        <f>[1]Production!Y37+[1]Production!Y39</f>
        <v>3673781.4005</v>
      </c>
      <c r="AA135" s="6">
        <f>[1]Production!Z37+[1]Production!Z39</f>
        <v>3734077.7634000001</v>
      </c>
      <c r="AB135" s="6">
        <f>[1]Production!AA37+[1]Production!AA39</f>
        <v>3800803.4802999999</v>
      </c>
      <c r="AC135" s="6">
        <f>[1]Production!AB37+[1]Production!AB39</f>
        <v>3856198.8664000002</v>
      </c>
      <c r="AD135" s="6">
        <f>[1]Production!AC37+[1]Production!AC39</f>
        <v>3913064.9950000001</v>
      </c>
      <c r="AE135" s="6">
        <f>[1]Production!AD37+[1]Production!AD39</f>
        <v>3971386.1719999998</v>
      </c>
      <c r="AF135" s="6">
        <f>[1]Production!AE37+[1]Production!AE39</f>
        <v>4031025.2510000002</v>
      </c>
      <c r="AG135" s="6">
        <f>[1]Production!AF37+[1]Production!AF39</f>
        <v>4091712.557</v>
      </c>
      <c r="AH135" s="6">
        <f>[1]Production!AG37+[1]Production!AG39</f>
        <v>4153160.2259999998</v>
      </c>
      <c r="AI135" s="6">
        <f>[1]Production!AH37+[1]Production!AH39</f>
        <v>4215179.6689999998</v>
      </c>
      <c r="AJ135" s="6">
        <f>[1]Production!AI37+[1]Production!AI39</f>
        <v>4277735.3609999996</v>
      </c>
      <c r="AK135" s="6">
        <f>[1]Production!AJ37+[1]Production!AJ39</f>
        <v>4340924.7050000001</v>
      </c>
      <c r="AL135" s="6">
        <f>[1]Production!AK37+[1]Production!AK39</f>
        <v>4404909.2139999997</v>
      </c>
    </row>
    <row r="136" spans="1:38" x14ac:dyDescent="0.3">
      <c r="B136" t="s">
        <v>9</v>
      </c>
      <c r="C136" s="6">
        <f>[1]Production!B29+[1]Production!B31+[1]Production!B33+[1]Production!B35</f>
        <v>121128.20151</v>
      </c>
      <c r="D136" s="6">
        <f>[1]Production!C29+[1]Production!C31+[1]Production!C33+[1]Production!C35</f>
        <v>121457.33229999999</v>
      </c>
      <c r="E136" s="6">
        <f>[1]Production!D29+[1]Production!D31+[1]Production!D33+[1]Production!D35</f>
        <v>122277.25727</v>
      </c>
      <c r="F136" s="6">
        <f>[1]Production!E29+[1]Production!E31+[1]Production!E33+[1]Production!E35</f>
        <v>123516.87992000001</v>
      </c>
      <c r="G136" s="6">
        <f>[1]Production!F29+[1]Production!F31+[1]Production!F33+[1]Production!F35</f>
        <v>125018.40378000001</v>
      </c>
      <c r="H136" s="6">
        <f>[1]Production!G29+[1]Production!G31+[1]Production!G33+[1]Production!G35</f>
        <v>126669.30403000001</v>
      </c>
      <c r="I136" s="6">
        <f>[1]Production!H29+[1]Production!H31+[1]Production!H33+[1]Production!H35</f>
        <v>128358.06242</v>
      </c>
      <c r="J136" s="6">
        <f>[1]Production!I29+[1]Production!I31+[1]Production!I33+[1]Production!I35</f>
        <v>130054.81314</v>
      </c>
      <c r="K136" s="6">
        <f>[1]Production!J29+[1]Production!J31+[1]Production!J33+[1]Production!J35</f>
        <v>131769.34690999999</v>
      </c>
      <c r="L136" s="6">
        <f>[1]Production!K29+[1]Production!K31+[1]Production!K33+[1]Production!K35</f>
        <v>133522.01235999999</v>
      </c>
      <c r="M136" s="6">
        <f>[1]Production!L29+[1]Production!L31+[1]Production!L33+[1]Production!L35</f>
        <v>135399.57829</v>
      </c>
      <c r="N136" s="6">
        <f>[1]Production!M29+[1]Production!M31+[1]Production!M33+[1]Production!M35</f>
        <v>137337.42936000001</v>
      </c>
      <c r="O136" s="6">
        <f>[1]Production!N29+[1]Production!N31+[1]Production!N33+[1]Production!N35</f>
        <v>139287.34117</v>
      </c>
      <c r="P136" s="6">
        <f>[1]Production!O29+[1]Production!O31+[1]Production!O33+[1]Production!O35</f>
        <v>141235.44876</v>
      </c>
      <c r="Q136" s="6">
        <f>[1]Production!P29+[1]Production!P31+[1]Production!P33+[1]Production!P35</f>
        <v>143178.09185999999</v>
      </c>
      <c r="R136" s="6">
        <f>[1]Production!Q29+[1]Production!Q31+[1]Production!Q33+[1]Production!Q35</f>
        <v>145120.56930999999</v>
      </c>
      <c r="S136" s="6">
        <f>[1]Production!R29+[1]Production!R31+[1]Production!R33+[1]Production!R35</f>
        <v>147074.59562000001</v>
      </c>
      <c r="T136" s="6">
        <f>[1]Production!S29+[1]Production!S31+[1]Production!S33+[1]Production!S35</f>
        <v>149053.75096999999</v>
      </c>
      <c r="U136" s="6">
        <f>[1]Production!T29+[1]Production!T31+[1]Production!T33+[1]Production!T35</f>
        <v>151069.36546</v>
      </c>
      <c r="V136" s="6">
        <f>[1]Production!U29+[1]Production!U31+[1]Production!U33+[1]Production!U35</f>
        <v>153128.36195000002</v>
      </c>
      <c r="W136" s="6">
        <f>[1]Production!V29+[1]Production!V31+[1]Production!V33+[1]Production!V35</f>
        <v>155167.65126000001</v>
      </c>
      <c r="X136" s="6">
        <f>[1]Production!W29+[1]Production!W31+[1]Production!W33+[1]Production!W35</f>
        <v>157262.54336000001</v>
      </c>
      <c r="Y136" s="6">
        <f>[1]Production!X29+[1]Production!X31+[1]Production!X33+[1]Production!X35</f>
        <v>159428.05971999999</v>
      </c>
      <c r="Z136" s="6">
        <f>[1]Production!Y29+[1]Production!Y31+[1]Production!Y33+[1]Production!Y35</f>
        <v>161655.67939999999</v>
      </c>
      <c r="AA136" s="6">
        <f>[1]Production!Z29+[1]Production!Z31+[1]Production!Z33+[1]Production!Z35</f>
        <v>163935.78038000001</v>
      </c>
      <c r="AB136" s="6">
        <f>[1]Production!AA29+[1]Production!AA31+[1]Production!AA33+[1]Production!AA35</f>
        <v>166050.32041000001</v>
      </c>
      <c r="AC136" s="6">
        <f>[1]Production!AB29+[1]Production!AB31+[1]Production!AB33+[1]Production!AB35</f>
        <v>168179.41515000002</v>
      </c>
      <c r="AD136" s="6">
        <f>[1]Production!AC29+[1]Production!AC31+[1]Production!AC33+[1]Production!AC35</f>
        <v>170349.37111000001</v>
      </c>
      <c r="AE136" s="6">
        <f>[1]Production!AD29+[1]Production!AD31+[1]Production!AD33+[1]Production!AD35</f>
        <v>172571.10607000001</v>
      </c>
      <c r="AF136" s="6">
        <f>[1]Production!AE29+[1]Production!AE31+[1]Production!AE33+[1]Production!AE35</f>
        <v>174845.83833999999</v>
      </c>
      <c r="AG136" s="6">
        <f>[1]Production!AF29+[1]Production!AF31+[1]Production!AF33+[1]Production!AF35</f>
        <v>177167.75948000001</v>
      </c>
      <c r="AH136" s="6">
        <f>[1]Production!AG29+[1]Production!AG31+[1]Production!AG33+[1]Production!AG35</f>
        <v>179527.93343999999</v>
      </c>
      <c r="AI136" s="6">
        <f>[1]Production!AH29+[1]Production!AH31+[1]Production!AH33+[1]Production!AH35</f>
        <v>181918.65055999998</v>
      </c>
      <c r="AJ136" s="6">
        <f>[1]Production!AI29+[1]Production!AI31+[1]Production!AI33+[1]Production!AI35</f>
        <v>184336.16755999997</v>
      </c>
      <c r="AK136" s="6">
        <f>[1]Production!AJ29+[1]Production!AJ31+[1]Production!AJ33+[1]Production!AJ35</f>
        <v>186781.10456000001</v>
      </c>
      <c r="AL136" s="6">
        <f>[1]Production!AK29+[1]Production!AK31+[1]Production!AK33+[1]Production!AK35</f>
        <v>189256.92674</v>
      </c>
    </row>
    <row r="138" spans="1:38" x14ac:dyDescent="0.3"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</row>
    <row r="139" spans="1:38" x14ac:dyDescent="0.3">
      <c r="C139" s="2"/>
    </row>
    <row r="140" spans="1:38" x14ac:dyDescent="0.3">
      <c r="A140" s="12" t="s">
        <v>56</v>
      </c>
      <c r="B140" t="s">
        <v>20</v>
      </c>
      <c r="C140" s="2">
        <v>42005</v>
      </c>
      <c r="D140" s="2">
        <v>42370</v>
      </c>
      <c r="E140" s="2">
        <v>42736</v>
      </c>
      <c r="F140" s="2">
        <v>43101</v>
      </c>
      <c r="G140" s="2">
        <v>43466</v>
      </c>
      <c r="H140" s="2">
        <v>43831</v>
      </c>
      <c r="I140" s="2">
        <v>44197</v>
      </c>
      <c r="J140" s="2">
        <v>44562</v>
      </c>
      <c r="K140" s="2">
        <v>44927</v>
      </c>
      <c r="L140" s="2">
        <v>45292</v>
      </c>
      <c r="M140" s="2">
        <v>45658</v>
      </c>
      <c r="N140" s="2">
        <v>46023</v>
      </c>
      <c r="O140" s="2">
        <v>46388</v>
      </c>
      <c r="P140" s="2">
        <v>46753</v>
      </c>
      <c r="Q140" s="2">
        <v>47119</v>
      </c>
      <c r="R140" s="2">
        <v>47484</v>
      </c>
      <c r="S140" s="2">
        <v>47849</v>
      </c>
      <c r="T140" s="2">
        <v>48214</v>
      </c>
      <c r="U140" s="2">
        <v>48580</v>
      </c>
      <c r="V140" s="2">
        <v>48945</v>
      </c>
      <c r="W140" s="2">
        <v>49310</v>
      </c>
      <c r="X140" s="2">
        <v>49675</v>
      </c>
      <c r="Y140" s="2">
        <v>50041</v>
      </c>
      <c r="Z140" s="2">
        <v>50406</v>
      </c>
      <c r="AA140" s="2">
        <v>50771</v>
      </c>
      <c r="AB140" s="2">
        <v>51136</v>
      </c>
      <c r="AC140" s="2">
        <v>51502</v>
      </c>
      <c r="AD140" s="2">
        <v>51867</v>
      </c>
      <c r="AE140" s="2">
        <v>52232</v>
      </c>
      <c r="AF140" s="2">
        <v>52597</v>
      </c>
      <c r="AG140" s="2">
        <v>52963</v>
      </c>
      <c r="AH140" s="2">
        <v>53328</v>
      </c>
      <c r="AI140" s="2">
        <v>53693</v>
      </c>
      <c r="AJ140" s="2">
        <v>54058</v>
      </c>
      <c r="AK140" s="2">
        <v>54424</v>
      </c>
      <c r="AL140" s="2">
        <v>54789</v>
      </c>
    </row>
    <row r="141" spans="1:38" x14ac:dyDescent="0.3">
      <c r="A141" t="s">
        <v>27</v>
      </c>
      <c r="B141" t="s">
        <v>22</v>
      </c>
      <c r="C141" s="6">
        <f>[1]Production!B2</f>
        <v>3868284.6170000001</v>
      </c>
      <c r="D141" s="6">
        <f>[1]Production!C2</f>
        <v>3909663.2990000001</v>
      </c>
      <c r="E141" s="6">
        <f>[1]Production!D2</f>
        <v>3966673.949</v>
      </c>
      <c r="F141" s="6">
        <f>[1]Production!E2</f>
        <v>4030622.2629999998</v>
      </c>
      <c r="G141" s="6">
        <f>[1]Production!F2</f>
        <v>4096308.3960000002</v>
      </c>
      <c r="H141" s="6">
        <f>[1]Production!G2</f>
        <v>4162293.906</v>
      </c>
      <c r="I141" s="6">
        <f>[1]Production!H2</f>
        <v>4226999.0539999995</v>
      </c>
      <c r="J141" s="6">
        <f>[1]Production!I2</f>
        <v>4275853.5520000001</v>
      </c>
      <c r="K141" s="6">
        <f>[1]Production!J2</f>
        <v>4315966.392</v>
      </c>
      <c r="L141" s="6">
        <f>[1]Production!K2</f>
        <v>4356999.6150000002</v>
      </c>
      <c r="M141" s="6">
        <f>[1]Production!L2</f>
        <v>4412023.2810000004</v>
      </c>
      <c r="N141" s="6">
        <f>[1]Production!M2</f>
        <v>4471777.4809999997</v>
      </c>
      <c r="O141" s="6">
        <f>[1]Production!N2</f>
        <v>4540322.324</v>
      </c>
      <c r="P141" s="6">
        <f>[1]Production!O2</f>
        <v>4613604.1349999998</v>
      </c>
      <c r="Q141" s="6">
        <f>[1]Production!P2</f>
        <v>4687942.8250000002</v>
      </c>
      <c r="R141" s="6">
        <f>[1]Production!Q2</f>
        <v>4761202.8849999998</v>
      </c>
      <c r="S141" s="6">
        <f>[1]Production!R2</f>
        <v>4833038.3739999998</v>
      </c>
      <c r="T141" s="6">
        <f>[1]Production!S2</f>
        <v>4904427.1550000003</v>
      </c>
      <c r="U141" s="6">
        <f>[1]Production!T2</f>
        <v>4976844.693</v>
      </c>
      <c r="V141" s="6">
        <f>[1]Production!U2</f>
        <v>5051516.4119999995</v>
      </c>
      <c r="W141" s="6">
        <f>[1]Production!V2</f>
        <v>5124164.3600000003</v>
      </c>
      <c r="X141" s="6">
        <f>[1]Production!W2</f>
        <v>5203794.92</v>
      </c>
      <c r="Y141" s="6">
        <f>[1]Production!X2</f>
        <v>5285944.8480000002</v>
      </c>
      <c r="Z141" s="6">
        <f>[1]Production!Y2</f>
        <v>5369691.1469999999</v>
      </c>
      <c r="AA141" s="6">
        <f>[1]Production!Z2</f>
        <v>5454398.1069999998</v>
      </c>
      <c r="AB141" s="6">
        <f>[1]Production!AA2</f>
        <v>5523937.7209999999</v>
      </c>
      <c r="AC141" s="6">
        <f>[1]Production!AB2</f>
        <v>5603244.8509999998</v>
      </c>
      <c r="AD141" s="6">
        <f>[1]Production!AC2</f>
        <v>5682933.1409999998</v>
      </c>
      <c r="AE141" s="6">
        <f>[1]Production!AD2</f>
        <v>5763511.608</v>
      </c>
      <c r="AF141" s="6">
        <f>[1]Production!AE2</f>
        <v>5845467.3600000003</v>
      </c>
      <c r="AG141" s="6">
        <f>[1]Production!AF2</f>
        <v>5928844.9550000001</v>
      </c>
      <c r="AH141" s="6">
        <f>[1]Production!AG2</f>
        <v>6013410.8300000001</v>
      </c>
      <c r="AI141" s="6">
        <f>[1]Production!AH2</f>
        <v>6098900.5120000001</v>
      </c>
      <c r="AJ141" s="6">
        <f>[1]Production!AI2</f>
        <v>6185186.2259999998</v>
      </c>
      <c r="AK141" s="6">
        <f>[1]Production!AJ2</f>
        <v>6272322.9289999995</v>
      </c>
      <c r="AL141" s="6">
        <f>[1]Production!AK2</f>
        <v>6360495.1909999996</v>
      </c>
    </row>
    <row r="142" spans="1:38" x14ac:dyDescent="0.3">
      <c r="B142" t="s">
        <v>7</v>
      </c>
      <c r="C142" s="6">
        <f>[1]Production!B4+[1]Production!B6</f>
        <v>88416.529033999992</v>
      </c>
      <c r="D142" s="6">
        <f>[1]Production!C4+[1]Production!C6</f>
        <v>87686.146766999998</v>
      </c>
      <c r="E142" s="6">
        <f>[1]Production!D4+[1]Production!D6</f>
        <v>87159.534618000005</v>
      </c>
      <c r="F142" s="6">
        <f>[1]Production!E4+[1]Production!E6</f>
        <v>86973.520696000007</v>
      </c>
      <c r="G142" s="6">
        <f>[1]Production!F4+[1]Production!F6</f>
        <v>87157.815212999994</v>
      </c>
      <c r="H142" s="6">
        <f>[1]Production!G4+[1]Production!G6</f>
        <v>87670.981789999991</v>
      </c>
      <c r="I142" s="6">
        <f>[1]Production!H4+[1]Production!H6</f>
        <v>88888.384081000011</v>
      </c>
      <c r="J142" s="6">
        <f>[1]Production!I4+[1]Production!I6</f>
        <v>89459.387883999996</v>
      </c>
      <c r="K142" s="6">
        <f>[1]Production!J4+[1]Production!J6</f>
        <v>89685.279800000004</v>
      </c>
      <c r="L142" s="6">
        <f>[1]Production!K4+[1]Production!K6</f>
        <v>89676.145258999997</v>
      </c>
      <c r="M142" s="6">
        <f>[1]Production!L4+[1]Production!L6</f>
        <v>89628.764374999999</v>
      </c>
      <c r="N142" s="6">
        <f>[1]Production!M4+[1]Production!M6</f>
        <v>89495.230280000003</v>
      </c>
      <c r="O142" s="6">
        <f>[1]Production!N4+[1]Production!N6</f>
        <v>89370.389109000011</v>
      </c>
      <c r="P142" s="6">
        <f>[1]Production!O4+[1]Production!O6</f>
        <v>89291.855374000006</v>
      </c>
      <c r="Q142" s="6">
        <f>[1]Production!P4+[1]Production!P6</f>
        <v>89279.370758000005</v>
      </c>
      <c r="R142" s="6">
        <f>[1]Production!Q4+[1]Production!Q6</f>
        <v>89343.336412000004</v>
      </c>
      <c r="S142" s="6">
        <f>[1]Production!R4+[1]Production!R6</f>
        <v>89489.270780000006</v>
      </c>
      <c r="T142" s="6">
        <f>[1]Production!S4+[1]Production!S6</f>
        <v>89719.381345999995</v>
      </c>
      <c r="U142" s="6">
        <f>[1]Production!T4+[1]Production!T6</f>
        <v>90031.968555999993</v>
      </c>
      <c r="V142" s="6">
        <f>[1]Production!U4+[1]Production!U6</f>
        <v>90420.41453699999</v>
      </c>
      <c r="W142" s="6">
        <f>[1]Production!V4+[1]Production!V6</f>
        <v>90808.819438999999</v>
      </c>
      <c r="X142" s="6">
        <f>[1]Production!W4+[1]Production!W6</f>
        <v>91281.404234999995</v>
      </c>
      <c r="Y142" s="6">
        <f>[1]Production!X4+[1]Production!X6</f>
        <v>91792.605880000003</v>
      </c>
      <c r="Z142" s="6">
        <f>[1]Production!Y4+[1]Production!Y6</f>
        <v>92322.530782999995</v>
      </c>
      <c r="AA142" s="6">
        <f>[1]Production!Z4+[1]Production!Z6</f>
        <v>92854.036737000002</v>
      </c>
      <c r="AB142" s="6">
        <f>[1]Production!AA4+[1]Production!AA6</f>
        <v>93189.046386999995</v>
      </c>
      <c r="AC142" s="6">
        <f>[1]Production!AB4+[1]Production!AB6</f>
        <v>93531.973113</v>
      </c>
      <c r="AD142" s="6">
        <f>[1]Production!AC4+[1]Production!AC6</f>
        <v>93845.722345000002</v>
      </c>
      <c r="AE142" s="6">
        <f>[1]Production!AD4+[1]Production!AD6</f>
        <v>94137.945107000007</v>
      </c>
      <c r="AF142" s="6">
        <f>[1]Production!AE4+[1]Production!AE6</f>
        <v>94417.434203000012</v>
      </c>
      <c r="AG142" s="6">
        <f>[1]Production!AF4+[1]Production!AF6</f>
        <v>94690.818163999997</v>
      </c>
      <c r="AH142" s="6">
        <f>[1]Production!AG4+[1]Production!AG6</f>
        <v>94962.240338999996</v>
      </c>
      <c r="AI142" s="6">
        <f>[1]Production!AH4+[1]Production!AH6</f>
        <v>95234.081204000002</v>
      </c>
      <c r="AJ142" s="6">
        <f>[1]Production!AI4+[1]Production!AI6</f>
        <v>95507.803273999991</v>
      </c>
      <c r="AK142" s="6">
        <f>[1]Production!AJ4+[1]Production!AJ6</f>
        <v>95784.510764000006</v>
      </c>
      <c r="AL142" s="6">
        <f>[1]Production!AK4+[1]Production!AK6</f>
        <v>96065.13081100001</v>
      </c>
    </row>
    <row r="143" spans="1:38" x14ac:dyDescent="0.3">
      <c r="B143" t="s">
        <v>96</v>
      </c>
      <c r="C143" s="6">
        <f>[1]Production!B26</f>
        <v>271387.72100000002</v>
      </c>
      <c r="D143" s="6">
        <f>[1]Production!C26</f>
        <v>289699.11139999999</v>
      </c>
      <c r="E143" s="6">
        <f>[1]Production!D26</f>
        <v>308482.28049999999</v>
      </c>
      <c r="F143" s="6">
        <f>[1]Production!E26</f>
        <v>320452.14569999999</v>
      </c>
      <c r="G143" s="6">
        <f>[1]Production!F26</f>
        <v>327771.49070000002</v>
      </c>
      <c r="H143" s="6">
        <f>[1]Production!G26</f>
        <v>332814.07150000002</v>
      </c>
      <c r="I143" s="6">
        <f>[1]Production!H26</f>
        <v>331377.36410000001</v>
      </c>
      <c r="J143" s="6">
        <f>[1]Production!I26</f>
        <v>331419.43550000002</v>
      </c>
      <c r="K143" s="6">
        <f>[1]Production!J26</f>
        <v>331763.09330000001</v>
      </c>
      <c r="L143" s="6">
        <f>[1]Production!K26</f>
        <v>332814.89919999999</v>
      </c>
      <c r="M143" s="6">
        <f>[1]Production!L26</f>
        <v>343465.8003</v>
      </c>
      <c r="N143" s="6">
        <f>[1]Production!M26</f>
        <v>342509.55900000001</v>
      </c>
      <c r="O143" s="6">
        <f>[1]Production!N26</f>
        <v>345633.4877</v>
      </c>
      <c r="P143" s="6">
        <f>[1]Production!O26</f>
        <v>350750.23139999999</v>
      </c>
      <c r="Q143" s="6">
        <f>[1]Production!P26</f>
        <v>356642.89500000002</v>
      </c>
      <c r="R143" s="6">
        <f>[1]Production!Q26</f>
        <v>362666.6924</v>
      </c>
      <c r="S143" s="6">
        <f>[1]Production!R26</f>
        <v>368585.58970000001</v>
      </c>
      <c r="T143" s="6">
        <f>[1]Production!S26</f>
        <v>374427.7487</v>
      </c>
      <c r="U143" s="6">
        <f>[1]Production!T26</f>
        <v>380340.16100000002</v>
      </c>
      <c r="V143" s="6">
        <f>[1]Production!U26</f>
        <v>386469.12959999999</v>
      </c>
      <c r="W143" s="6">
        <f>[1]Production!V26</f>
        <v>386977.609</v>
      </c>
      <c r="X143" s="6">
        <f>[1]Production!W26</f>
        <v>396838.51740000001</v>
      </c>
      <c r="Y143" s="6">
        <f>[1]Production!X26</f>
        <v>405281.70919999998</v>
      </c>
      <c r="Z143" s="6">
        <f>[1]Production!Y26</f>
        <v>412986.10739999998</v>
      </c>
      <c r="AA143" s="6">
        <f>[1]Production!Z26</f>
        <v>420343.04269999999</v>
      </c>
      <c r="AB143" s="6">
        <f>[1]Production!AA26</f>
        <v>410201.40130000003</v>
      </c>
      <c r="AC143" s="6">
        <f>[1]Production!AB26</f>
        <v>419501.52189999999</v>
      </c>
      <c r="AD143" s="6">
        <f>[1]Production!AC26</f>
        <v>427707.07809999998</v>
      </c>
      <c r="AE143" s="6">
        <f>[1]Production!AD26</f>
        <v>435274.94189999998</v>
      </c>
      <c r="AF143" s="6">
        <f>[1]Production!AE26</f>
        <v>442592.68839999998</v>
      </c>
      <c r="AG143" s="6">
        <f>[1]Production!AF26</f>
        <v>449851.16700000002</v>
      </c>
      <c r="AH143" s="6">
        <f>[1]Production!AG26</f>
        <v>457114.7084</v>
      </c>
      <c r="AI143" s="6">
        <f>[1]Production!AH26</f>
        <v>464393.03850000002</v>
      </c>
      <c r="AJ143" s="6">
        <f>[1]Production!AI26</f>
        <v>471688.11790000001</v>
      </c>
      <c r="AK143" s="6">
        <f>[1]Production!AJ26</f>
        <v>479014.48100000003</v>
      </c>
      <c r="AL143" s="6">
        <f>[1]Production!AK26</f>
        <v>486399.5907</v>
      </c>
    </row>
    <row r="144" spans="1:38" x14ac:dyDescent="0.3">
      <c r="B144" t="s">
        <v>11</v>
      </c>
      <c r="C144" s="6">
        <f>[1]Production!B50+[1]Production!B52+[1]Production!B54+[1]Production!B56+[1]Production!B58+[1]Production!B60+[1]Production!B62+[1]Production!B64+[1]Production!B66</f>
        <v>44614.905644469989</v>
      </c>
      <c r="D144" s="6">
        <f>[1]Production!C50+[1]Production!C52+[1]Production!C54+[1]Production!C56+[1]Production!C58+[1]Production!C60+[1]Production!C62+[1]Production!C64+[1]Production!C66</f>
        <v>44894.282724110002</v>
      </c>
      <c r="E144" s="6">
        <f>[1]Production!D50+[1]Production!D52+[1]Production!D54+[1]Production!D56+[1]Production!D58+[1]Production!D60+[1]Production!D62+[1]Production!D64+[1]Production!D66</f>
        <v>45144.972523500008</v>
      </c>
      <c r="F144" s="6">
        <f>[1]Production!E50+[1]Production!E52+[1]Production!E54+[1]Production!E56+[1]Production!E58+[1]Production!E60+[1]Production!E62+[1]Production!E64+[1]Production!E66</f>
        <v>45495.586684619986</v>
      </c>
      <c r="G144" s="6">
        <f>[1]Production!F50+[1]Production!F52+[1]Production!F54+[1]Production!F56+[1]Production!F58+[1]Production!F60+[1]Production!F62+[1]Production!F64+[1]Production!F66</f>
        <v>46014.627236349988</v>
      </c>
      <c r="H144" s="6">
        <f>[1]Production!G50+[1]Production!G52+[1]Production!G54+[1]Production!G56+[1]Production!G58+[1]Production!G60+[1]Production!G62+[1]Production!G64+[1]Production!G66</f>
        <v>46738.728234599992</v>
      </c>
      <c r="I144" s="6">
        <f>[1]Production!H50+[1]Production!H52+[1]Production!H54+[1]Production!H56+[1]Production!H58+[1]Production!H60+[1]Production!H62+[1]Production!H64+[1]Production!H66</f>
        <v>47719.454787719995</v>
      </c>
      <c r="J144" s="6">
        <f>[1]Production!I50+[1]Production!I52+[1]Production!I54+[1]Production!I56+[1]Production!I58+[1]Production!I60+[1]Production!I62+[1]Production!I64+[1]Production!I66</f>
        <v>49034.117338910008</v>
      </c>
      <c r="K144" s="6">
        <f>[1]Production!J50+[1]Production!J52+[1]Production!J54+[1]Production!J56+[1]Production!J58+[1]Production!J60+[1]Production!J62+[1]Production!J64+[1]Production!J66</f>
        <v>50556.272897960007</v>
      </c>
      <c r="L144" s="6">
        <f>[1]Production!K50+[1]Production!K52+[1]Production!K54+[1]Production!K56+[1]Production!K58+[1]Production!K60+[1]Production!K62+[1]Production!K64+[1]Production!K66</f>
        <v>52051.861804679989</v>
      </c>
      <c r="M144" s="6">
        <f>[1]Production!L50+[1]Production!L52+[1]Production!L54+[1]Production!L56+[1]Production!L58+[1]Production!L60+[1]Production!L62+[1]Production!L64+[1]Production!L66</f>
        <v>53354.163393200004</v>
      </c>
      <c r="N144" s="6">
        <f>[1]Production!M50+[1]Production!M52+[1]Production!M54+[1]Production!M56+[1]Production!M58+[1]Production!M60+[1]Production!M62+[1]Production!M64+[1]Production!M66</f>
        <v>54356.517994810012</v>
      </c>
      <c r="O144" s="6">
        <f>[1]Production!N50+[1]Production!N52+[1]Production!N54+[1]Production!N56+[1]Production!N58+[1]Production!N60+[1]Production!N62+[1]Production!N64+[1]Production!N66</f>
        <v>55103.79662312998</v>
      </c>
      <c r="P144" s="6">
        <f>[1]Production!O50+[1]Production!O52+[1]Production!O54+[1]Production!O56+[1]Production!O58+[1]Production!O60+[1]Production!O62+[1]Production!O64+[1]Production!O66</f>
        <v>55694.177423140005</v>
      </c>
      <c r="Q144" s="6">
        <f>[1]Production!P50+[1]Production!P52+[1]Production!P54+[1]Production!P56+[1]Production!P58+[1]Production!P60+[1]Production!P62+[1]Production!P64+[1]Production!P66</f>
        <v>56234.451549260004</v>
      </c>
      <c r="R144" s="6">
        <f>[1]Production!Q50+[1]Production!Q52+[1]Production!Q54+[1]Production!Q56+[1]Production!Q58+[1]Production!Q60+[1]Production!Q62+[1]Production!Q64+[1]Production!Q66</f>
        <v>56796.850619799996</v>
      </c>
      <c r="S144" s="6">
        <f>[1]Production!R50+[1]Production!R52+[1]Production!R54+[1]Production!R56+[1]Production!R58+[1]Production!R60+[1]Production!R62+[1]Production!R64+[1]Production!R66</f>
        <v>57405.988138749999</v>
      </c>
      <c r="T144" s="6">
        <f>[1]Production!S50+[1]Production!S52+[1]Production!S54+[1]Production!S56+[1]Production!S58+[1]Production!S60+[1]Production!S62+[1]Production!S64+[1]Production!S66</f>
        <v>58060.626182970009</v>
      </c>
      <c r="U144" s="6">
        <f>[1]Production!T50+[1]Production!T52+[1]Production!T54+[1]Production!T56+[1]Production!T58+[1]Production!T60+[1]Production!T62+[1]Production!T64+[1]Production!T66</f>
        <v>58750.463879560004</v>
      </c>
      <c r="V144" s="6">
        <f>[1]Production!U50+[1]Production!U52+[1]Production!U54+[1]Production!U56+[1]Production!U58+[1]Production!U60+[1]Production!U62+[1]Production!U64+[1]Production!U66</f>
        <v>59469.936442959995</v>
      </c>
      <c r="W144" s="6">
        <f>[1]Production!V50+[1]Production!V52+[1]Production!V54+[1]Production!V56+[1]Production!V58+[1]Production!V60+[1]Production!V62+[1]Production!V64+[1]Production!V66</f>
        <v>60196.981490619997</v>
      </c>
      <c r="X144" s="6">
        <f>[1]Production!W50+[1]Production!W52+[1]Production!W54+[1]Production!W56+[1]Production!W58+[1]Production!W60+[1]Production!W62+[1]Production!W64+[1]Production!W66</f>
        <v>60982.836882589996</v>
      </c>
      <c r="Y144" s="6">
        <f>[1]Production!X50+[1]Production!X52+[1]Production!X54+[1]Production!X56+[1]Production!X58+[1]Production!X60+[1]Production!X62+[1]Production!X64+[1]Production!X66</f>
        <v>61834.212650590001</v>
      </c>
      <c r="Z144" s="6">
        <f>[1]Production!Y50+[1]Production!Y52+[1]Production!Y54+[1]Production!Y56+[1]Production!Y58+[1]Production!Y60+[1]Production!Y62+[1]Production!Y64+[1]Production!Y66</f>
        <v>62758.527390820003</v>
      </c>
      <c r="AA144" s="6">
        <f>[1]Production!Z50+[1]Production!Z52+[1]Production!Z54+[1]Production!Z56+[1]Production!Z58+[1]Production!Z60+[1]Production!Z62+[1]Production!Z64+[1]Production!Z66</f>
        <v>63758.563699089995</v>
      </c>
      <c r="AB144" s="6">
        <f>[1]Production!AA50+[1]Production!AA52+[1]Production!AA54+[1]Production!AA56+[1]Production!AA58+[1]Production!AA60+[1]Production!AA62+[1]Production!AA64+[1]Production!AA66</f>
        <v>64738.035158259991</v>
      </c>
      <c r="AC144" s="6">
        <f>[1]Production!AB50+[1]Production!AB52+[1]Production!AB54+[1]Production!AB56+[1]Production!AB58+[1]Production!AB60+[1]Production!AB62+[1]Production!AB64+[1]Production!AB66</f>
        <v>65775.910786359993</v>
      </c>
      <c r="AD144" s="6">
        <f>[1]Production!AC50+[1]Production!AC52+[1]Production!AC54+[1]Production!AC56+[1]Production!AC58+[1]Production!AC60+[1]Production!AC62+[1]Production!AC64+[1]Production!AC66</f>
        <v>66824.798380559994</v>
      </c>
      <c r="AE144" s="6">
        <f>[1]Production!AD50+[1]Production!AD52+[1]Production!AD54+[1]Production!AD56+[1]Production!AD58+[1]Production!AD60+[1]Production!AD62+[1]Production!AD64+[1]Production!AD66</f>
        <v>67855.658320269999</v>
      </c>
      <c r="AF144" s="6">
        <f>[1]Production!AE50+[1]Production!AE52+[1]Production!AE54+[1]Production!AE56+[1]Production!AE58+[1]Production!AE60+[1]Production!AE62+[1]Production!AE64+[1]Production!AE66</f>
        <v>68858.129297130014</v>
      </c>
      <c r="AG144" s="6">
        <f>[1]Production!AF50+[1]Production!AF52+[1]Production!AF54+[1]Production!AF56+[1]Production!AF58+[1]Production!AF60+[1]Production!AF62+[1]Production!AF64+[1]Production!AF66</f>
        <v>69835.015807109987</v>
      </c>
      <c r="AH144" s="6">
        <f>[1]Production!AG50+[1]Production!AG52+[1]Production!AG54+[1]Production!AG56+[1]Production!AG58+[1]Production!AG60+[1]Production!AG62+[1]Production!AG64+[1]Production!AG66</f>
        <v>70794.067978999999</v>
      </c>
      <c r="AI144" s="6">
        <f>[1]Production!AH50+[1]Production!AH52+[1]Production!AH54+[1]Production!AH56+[1]Production!AH58+[1]Production!AH60+[1]Production!AH62+[1]Production!AH64+[1]Production!AH66</f>
        <v>71744.545520779997</v>
      </c>
      <c r="AJ144" s="6">
        <f>[1]Production!AI50+[1]Production!AI52+[1]Production!AI54+[1]Production!AI56+[1]Production!AI58+[1]Production!AI60+[1]Production!AI62+[1]Production!AI64+[1]Production!AI66</f>
        <v>72693.795857970021</v>
      </c>
      <c r="AK144" s="6">
        <f>[1]Production!AJ50+[1]Production!AJ52+[1]Production!AJ54+[1]Production!AJ56+[1]Production!AJ58+[1]Production!AJ60+[1]Production!AJ62+[1]Production!AJ64+[1]Production!AJ66</f>
        <v>73645.654938869993</v>
      </c>
      <c r="AL144" s="6">
        <f>[1]Production!AK50+[1]Production!AK52+[1]Production!AK54+[1]Production!AK56+[1]Production!AK58+[1]Production!AK60+[1]Production!AK62+[1]Production!AK64+[1]Production!AK66</f>
        <v>74601.567637789994</v>
      </c>
    </row>
    <row r="145" spans="1:38" x14ac:dyDescent="0.3">
      <c r="B145" t="s">
        <v>8</v>
      </c>
      <c r="C145" s="6">
        <f>-[1]Production!B26+[1]Production!B8+[1]Production!B10+[1]Production!B12+[1]Production!B14+[1]Production!B16+[1]Production!B18+[1]Production!B20+[1]Production!B22+[1]Production!B24+[1]Production!B26+[1]Production!B40</f>
        <v>709044.3671279999</v>
      </c>
      <c r="D145" s="6">
        <f>-[1]Production!C26+[1]Production!C8+[1]Production!C10+[1]Production!C12+[1]Production!C14+[1]Production!C16+[1]Production!C18+[1]Production!C20+[1]Production!C22+[1]Production!C24+[1]Production!C26+[1]Production!C40</f>
        <v>712956.15408600005</v>
      </c>
      <c r="E145" s="6">
        <f>-[1]Production!D26+[1]Production!D8+[1]Production!D10+[1]Production!D12+[1]Production!D14+[1]Production!D16+[1]Production!D18+[1]Production!D20+[1]Production!D22+[1]Production!D24+[1]Production!D26+[1]Production!D40</f>
        <v>720007.99658400007</v>
      </c>
      <c r="F145" s="6">
        <f>-[1]Production!E26+[1]Production!E8+[1]Production!E10+[1]Production!E12+[1]Production!E14+[1]Production!E16+[1]Production!E18+[1]Production!E20+[1]Production!E22+[1]Production!E24+[1]Production!E26+[1]Production!E40</f>
        <v>728614.38509800006</v>
      </c>
      <c r="G145" s="6">
        <f>-[1]Production!F26+[1]Production!F8+[1]Production!F10+[1]Production!F12+[1]Production!F14+[1]Production!F16+[1]Production!F18+[1]Production!F20+[1]Production!F22+[1]Production!F24+[1]Production!F26+[1]Production!F40</f>
        <v>738091.87419800006</v>
      </c>
      <c r="H145" s="6">
        <f>-[1]Production!G26+[1]Production!G8+[1]Production!G10+[1]Production!G12+[1]Production!G14+[1]Production!G16+[1]Production!G18+[1]Production!G20+[1]Production!G22+[1]Production!G24+[1]Production!G26+[1]Production!G40</f>
        <v>748144.35506000009</v>
      </c>
      <c r="I145" s="6">
        <f>-[1]Production!H26+[1]Production!H8+[1]Production!H10+[1]Production!H12+[1]Production!H14+[1]Production!H16+[1]Production!H18+[1]Production!H20+[1]Production!H22+[1]Production!H24+[1]Production!H26+[1]Production!H40</f>
        <v>758303.16334800003</v>
      </c>
      <c r="J145" s="6">
        <f>-[1]Production!I26+[1]Production!I8+[1]Production!I10+[1]Production!I12+[1]Production!I14+[1]Production!I16+[1]Production!I18+[1]Production!I20+[1]Production!I22+[1]Production!I24+[1]Production!I26+[1]Production!I40</f>
        <v>765602.56758400006</v>
      </c>
      <c r="K145" s="6">
        <f>-[1]Production!J26+[1]Production!J8+[1]Production!J10+[1]Production!J12+[1]Production!J14+[1]Production!J16+[1]Production!J18+[1]Production!J20+[1]Production!J22+[1]Production!J24+[1]Production!J26+[1]Production!J40</f>
        <v>771239.56017900002</v>
      </c>
      <c r="L145" s="6">
        <f>-[1]Production!K26+[1]Production!K8+[1]Production!K10+[1]Production!K12+[1]Production!K14+[1]Production!K16+[1]Production!K18+[1]Production!K20+[1]Production!K22+[1]Production!K24+[1]Production!K26+[1]Production!K40</f>
        <v>776462.59459300002</v>
      </c>
      <c r="M145" s="6">
        <f>-[1]Production!L26+[1]Production!L8+[1]Production!L10+[1]Production!L12+[1]Production!L14+[1]Production!L16+[1]Production!L18+[1]Production!L20+[1]Production!L22+[1]Production!L24+[1]Production!L26+[1]Production!L40</f>
        <v>783829.7854220001</v>
      </c>
      <c r="N145" s="6">
        <f>-[1]Production!M26+[1]Production!M8+[1]Production!M10+[1]Production!M12+[1]Production!M14+[1]Production!M16+[1]Production!M18+[1]Production!M20+[1]Production!M22+[1]Production!M24+[1]Production!M26+[1]Production!M40</f>
        <v>790868.1051879999</v>
      </c>
      <c r="O145" s="6">
        <f>-[1]Production!N26+[1]Production!N8+[1]Production!N10+[1]Production!N12+[1]Production!N14+[1]Production!N16+[1]Production!N18+[1]Production!N20+[1]Production!N22+[1]Production!N24+[1]Production!N26+[1]Production!N40</f>
        <v>799020.99455000006</v>
      </c>
      <c r="P145" s="6">
        <f>-[1]Production!O26+[1]Production!O8+[1]Production!O10+[1]Production!O12+[1]Production!O14+[1]Production!O16+[1]Production!O18+[1]Production!O20+[1]Production!O22+[1]Production!O24+[1]Production!O26+[1]Production!O40</f>
        <v>808035.93015000015</v>
      </c>
      <c r="Q145" s="6">
        <f>-[1]Production!P26+[1]Production!P8+[1]Production!P10+[1]Production!P12+[1]Production!P14+[1]Production!P16+[1]Production!P18+[1]Production!P20+[1]Production!P22+[1]Production!P24+[1]Production!P26+[1]Production!P40</f>
        <v>817467.42055999988</v>
      </c>
      <c r="R145" s="6">
        <f>-[1]Production!Q26+[1]Production!Q8+[1]Production!Q10+[1]Production!Q12+[1]Production!Q14+[1]Production!Q16+[1]Production!Q18+[1]Production!Q20+[1]Production!Q22+[1]Production!Q24+[1]Production!Q26+[1]Production!Q40</f>
        <v>827006.80301999999</v>
      </c>
      <c r="S145" s="6">
        <f>-[1]Production!R26+[1]Production!R8+[1]Production!R10+[1]Production!R12+[1]Production!R14+[1]Production!R16+[1]Production!R18+[1]Production!R20+[1]Production!R22+[1]Production!R24+[1]Production!R26+[1]Production!R40</f>
        <v>836555.69507000002</v>
      </c>
      <c r="T145" s="6">
        <f>-[1]Production!S26+[1]Production!S8+[1]Production!S10+[1]Production!S12+[1]Production!S14+[1]Production!S16+[1]Production!S18+[1]Production!S20+[1]Production!S22+[1]Production!S24+[1]Production!S26+[1]Production!S40</f>
        <v>846191.72262999997</v>
      </c>
      <c r="U145" s="6">
        <f>-[1]Production!T26+[1]Production!T8+[1]Production!T10+[1]Production!T12+[1]Production!T14+[1]Production!T16+[1]Production!T18+[1]Production!T20+[1]Production!T22+[1]Production!T24+[1]Production!T26+[1]Production!T40</f>
        <v>856077.84106000001</v>
      </c>
      <c r="V145" s="6">
        <f>-[1]Production!U26+[1]Production!U8+[1]Production!U10+[1]Production!U12+[1]Production!U14+[1]Production!U16+[1]Production!U18+[1]Production!U20+[1]Production!U22+[1]Production!U24+[1]Production!U26+[1]Production!U40</f>
        <v>866367.16135000007</v>
      </c>
      <c r="W145" s="6">
        <f>-[1]Production!V26+[1]Production!V8+[1]Production!V10+[1]Production!V12+[1]Production!V14+[1]Production!V16+[1]Production!V18+[1]Production!V20+[1]Production!V22+[1]Production!V24+[1]Production!V26+[1]Production!V40</f>
        <v>876044.72619999992</v>
      </c>
      <c r="X145" s="6">
        <f>-[1]Production!W26+[1]Production!W8+[1]Production!W10+[1]Production!W12+[1]Production!W14+[1]Production!W16+[1]Production!W18+[1]Production!W20+[1]Production!W22+[1]Production!W24+[1]Production!W26+[1]Production!W40</f>
        <v>887277.35089999996</v>
      </c>
      <c r="Y145" s="6">
        <f>-[1]Production!X26+[1]Production!X8+[1]Production!X10+[1]Production!X12+[1]Production!X14+[1]Production!X16+[1]Production!X18+[1]Production!X20+[1]Production!X22+[1]Production!X24+[1]Production!X26+[1]Production!X40</f>
        <v>898995.19840999995</v>
      </c>
      <c r="Z145" s="6">
        <f>-[1]Production!Y26+[1]Production!Y8+[1]Production!Y10+[1]Production!Y12+[1]Production!Y14+[1]Production!Y16+[1]Production!Y18+[1]Production!Y20+[1]Production!Y22+[1]Production!Y24+[1]Production!Y26+[1]Production!Y40</f>
        <v>910991.02182999998</v>
      </c>
      <c r="AA145" s="6">
        <f>-[1]Production!Z26+[1]Production!Z8+[1]Production!Z10+[1]Production!Z12+[1]Production!Z14+[1]Production!Z16+[1]Production!Z18+[1]Production!Z20+[1]Production!Z22+[1]Production!Z24+[1]Production!Z26+[1]Production!Z40</f>
        <v>923170.41711000004</v>
      </c>
      <c r="AB145" s="6">
        <f>-[1]Production!AA26+[1]Production!AA8+[1]Production!AA10+[1]Production!AA12+[1]Production!AA14+[1]Production!AA16+[1]Production!AA18+[1]Production!AA20+[1]Production!AA22+[1]Production!AA24+[1]Production!AA26+[1]Production!AA40</f>
        <v>932189.1386200001</v>
      </c>
      <c r="AC145" s="6">
        <f>-[1]Production!AB26+[1]Production!AB8+[1]Production!AB10+[1]Production!AB12+[1]Production!AB14+[1]Production!AB16+[1]Production!AB18+[1]Production!AB20+[1]Production!AB22+[1]Production!AB24+[1]Production!AB26+[1]Production!AB40</f>
        <v>943207.95261000015</v>
      </c>
      <c r="AD145" s="6">
        <f>-[1]Production!AC26+[1]Production!AC8+[1]Production!AC10+[1]Production!AC12+[1]Production!AC14+[1]Production!AC16+[1]Production!AC18+[1]Production!AC20+[1]Production!AC22+[1]Production!AC24+[1]Production!AC26+[1]Production!AC40</f>
        <v>954484.58365000016</v>
      </c>
      <c r="AE145" s="6">
        <f>-[1]Production!AD26+[1]Production!AD8+[1]Production!AD10+[1]Production!AD12+[1]Production!AD14+[1]Production!AD16+[1]Production!AD18+[1]Production!AD20+[1]Production!AD22+[1]Production!AD24+[1]Production!AD26+[1]Production!AD40</f>
        <v>965879.81705000007</v>
      </c>
      <c r="AF145" s="6">
        <f>-[1]Production!AE26+[1]Production!AE8+[1]Production!AE10+[1]Production!AE12+[1]Production!AE14+[1]Production!AE16+[1]Production!AE18+[1]Production!AE20+[1]Production!AE22+[1]Production!AE24+[1]Production!AE26+[1]Production!AE40</f>
        <v>977446.77353999997</v>
      </c>
      <c r="AG145" s="6">
        <f>-[1]Production!AF26+[1]Production!AF8+[1]Production!AF10+[1]Production!AF12+[1]Production!AF14+[1]Production!AF16+[1]Production!AF18+[1]Production!AF20+[1]Production!AF22+[1]Production!AF24+[1]Production!AF26+[1]Production!AF40</f>
        <v>989208.41980000003</v>
      </c>
      <c r="AH145" s="6">
        <f>-[1]Production!AG26+[1]Production!AG8+[1]Production!AG10+[1]Production!AG12+[1]Production!AG14+[1]Production!AG16+[1]Production!AG18+[1]Production!AG20+[1]Production!AG22+[1]Production!AG24+[1]Production!AG26+[1]Production!AG40</f>
        <v>1001147.1157600001</v>
      </c>
      <c r="AI145" s="6">
        <f>-[1]Production!AH26+[1]Production!AH8+[1]Production!AH10+[1]Production!AH12+[1]Production!AH14+[1]Production!AH16+[1]Production!AH18+[1]Production!AH20+[1]Production!AH22+[1]Production!AH24+[1]Production!AH26+[1]Production!AH40</f>
        <v>1013230.50421</v>
      </c>
      <c r="AJ145" s="6">
        <f>-[1]Production!AI26+[1]Production!AI8+[1]Production!AI10+[1]Production!AI12+[1]Production!AI14+[1]Production!AI16+[1]Production!AI18+[1]Production!AI20+[1]Production!AI22+[1]Production!AI24+[1]Production!AI26+[1]Production!AI40</f>
        <v>1025435.3256399999</v>
      </c>
      <c r="AK145" s="6">
        <f>-[1]Production!AJ26+[1]Production!AJ8+[1]Production!AJ10+[1]Production!AJ12+[1]Production!AJ14+[1]Production!AJ16+[1]Production!AJ18+[1]Production!AJ20+[1]Production!AJ22+[1]Production!AJ24+[1]Production!AJ26+[1]Production!AJ40</f>
        <v>1037758.4911300001</v>
      </c>
      <c r="AL145" s="6">
        <f>-[1]Production!AK26+[1]Production!AK8+[1]Production!AK10+[1]Production!AK12+[1]Production!AK14+[1]Production!AK16+[1]Production!AK18+[1]Production!AK20+[1]Production!AK22+[1]Production!AK24+[1]Production!AK26+[1]Production!AK40</f>
        <v>1050215.1235999998</v>
      </c>
    </row>
    <row r="146" spans="1:38" x14ac:dyDescent="0.3">
      <c r="B146" t="s">
        <v>24</v>
      </c>
      <c r="C146" s="6">
        <f>[1]Production!B42+[1]Production!B46+[1]Production!B44+[1]Production!B48</f>
        <v>68372.4776078</v>
      </c>
      <c r="D146" s="6">
        <f>[1]Production!C42+[1]Production!C46+[1]Production!C44+[1]Production!C48</f>
        <v>70011.422312899987</v>
      </c>
      <c r="E146" s="6">
        <f>[1]Production!D42+[1]Production!D46+[1]Production!D44+[1]Production!D48</f>
        <v>71348.735371700008</v>
      </c>
      <c r="F146" s="6">
        <f>[1]Production!E42+[1]Production!E46+[1]Production!E44+[1]Production!E48</f>
        <v>72552.205190099994</v>
      </c>
      <c r="G146" s="6">
        <f>[1]Production!F42+[1]Production!F46+[1]Production!F44+[1]Production!F48</f>
        <v>73709.257063299985</v>
      </c>
      <c r="H146" s="6">
        <f>[1]Production!G42+[1]Production!G46+[1]Production!G44+[1]Production!G48</f>
        <v>74866.807818400004</v>
      </c>
      <c r="I146" s="6">
        <f>[1]Production!H42+[1]Production!H46+[1]Production!H44+[1]Production!H48</f>
        <v>76097.702926400016</v>
      </c>
      <c r="J146" s="6">
        <f>[1]Production!I42+[1]Production!I46+[1]Production!I44+[1]Production!I48</f>
        <v>77409.092229000002</v>
      </c>
      <c r="K146" s="6">
        <f>[1]Production!J42+[1]Production!J46+[1]Production!J44+[1]Production!J48</f>
        <v>78762.334028800004</v>
      </c>
      <c r="L146" s="6">
        <f>[1]Production!K42+[1]Production!K46+[1]Production!K44+[1]Production!K48</f>
        <v>80043.129373899996</v>
      </c>
      <c r="M146" s="6">
        <f>[1]Production!L42+[1]Production!L46+[1]Production!L44+[1]Production!L48</f>
        <v>81255.321945500007</v>
      </c>
      <c r="N146" s="6">
        <f>[1]Production!M42+[1]Production!M46+[1]Production!M44+[1]Production!M48</f>
        <v>82258.301272300014</v>
      </c>
      <c r="O146" s="6">
        <f>[1]Production!N42+[1]Production!N46+[1]Production!N44+[1]Production!N48</f>
        <v>83161.664843199993</v>
      </c>
      <c r="P146" s="6">
        <f>[1]Production!O42+[1]Production!O46+[1]Production!O44+[1]Production!O48</f>
        <v>84028.624167999995</v>
      </c>
      <c r="Q146" s="6">
        <f>[1]Production!P42+[1]Production!P46+[1]Production!P44+[1]Production!P48</f>
        <v>84902.531324900003</v>
      </c>
      <c r="R146" s="6">
        <f>[1]Production!Q42+[1]Production!Q46+[1]Production!Q44+[1]Production!Q48</f>
        <v>85801.461720100007</v>
      </c>
      <c r="S146" s="6">
        <f>[1]Production!R42+[1]Production!R46+[1]Production!R44+[1]Production!R48</f>
        <v>86722.175504700004</v>
      </c>
      <c r="T146" s="6">
        <f>[1]Production!S42+[1]Production!S46+[1]Production!S44+[1]Production!S48</f>
        <v>87651.064113600005</v>
      </c>
      <c r="U146" s="6">
        <f>[1]Production!T42+[1]Production!T46+[1]Production!T44+[1]Production!T48</f>
        <v>88574.532582699991</v>
      </c>
      <c r="V146" s="6">
        <f>[1]Production!U42+[1]Production!U46+[1]Production!U44+[1]Production!U48</f>
        <v>89485.7953538</v>
      </c>
      <c r="W146" s="6">
        <f>[1]Production!V42+[1]Production!V46+[1]Production!V44+[1]Production!V48</f>
        <v>90326.292881700007</v>
      </c>
      <c r="X146" s="6">
        <f>[1]Production!W42+[1]Production!W46+[1]Production!W44+[1]Production!W48</f>
        <v>91214.341911700001</v>
      </c>
      <c r="Y146" s="6">
        <f>[1]Production!X42+[1]Production!X46+[1]Production!X44+[1]Production!X48</f>
        <v>92113.716107899992</v>
      </c>
      <c r="Z146" s="6">
        <f>[1]Production!Y42+[1]Production!Y46+[1]Production!Y44+[1]Production!Y48</f>
        <v>93027.896890600008</v>
      </c>
      <c r="AA146" s="6">
        <f>[1]Production!Z42+[1]Production!Z46+[1]Production!Z44+[1]Production!Z48</f>
        <v>93961.909025300003</v>
      </c>
      <c r="AB146" s="6">
        <f>[1]Production!AA42+[1]Production!AA46+[1]Production!AA44+[1]Production!AA48</f>
        <v>94734.848454300009</v>
      </c>
      <c r="AC146" s="6">
        <f>[1]Production!AB42+[1]Production!AB46+[1]Production!AB44+[1]Production!AB48</f>
        <v>95599.438366300004</v>
      </c>
      <c r="AD146" s="6">
        <f>[1]Production!AC42+[1]Production!AC46+[1]Production!AC44+[1]Production!AC48</f>
        <v>96469.572272800011</v>
      </c>
      <c r="AE146" s="6">
        <f>[1]Production!AD42+[1]Production!AD46+[1]Production!AD44+[1]Production!AD48</f>
        <v>97329.8500681</v>
      </c>
      <c r="AF146" s="6">
        <f>[1]Production!AE42+[1]Production!AE46+[1]Production!AE44+[1]Production!AE48</f>
        <v>98179.237810200008</v>
      </c>
      <c r="AG146" s="6">
        <f>[1]Production!AF42+[1]Production!AF46+[1]Production!AF44+[1]Production!AF48</f>
        <v>99022.159160800016</v>
      </c>
      <c r="AH146" s="6">
        <f>[1]Production!AG42+[1]Production!AG46+[1]Production!AG44+[1]Production!AG48</f>
        <v>99863.820899599988</v>
      </c>
      <c r="AI146" s="6">
        <f>[1]Production!AH42+[1]Production!AH46+[1]Production!AH44+[1]Production!AH48</f>
        <v>100707.8060946</v>
      </c>
      <c r="AJ146" s="6">
        <f>[1]Production!AI42+[1]Production!AI46+[1]Production!AI44+[1]Production!AI48</f>
        <v>101555.10337519999</v>
      </c>
      <c r="AK146" s="6">
        <f>[1]Production!AJ42+[1]Production!AJ46+[1]Production!AJ44+[1]Production!AJ48</f>
        <v>102404.44667670001</v>
      </c>
      <c r="AL146" s="6">
        <f>[1]Production!AK42+[1]Production!AK46+[1]Production!AK44+[1]Production!AK48</f>
        <v>103253.54859839998</v>
      </c>
    </row>
    <row r="147" spans="1:38" x14ac:dyDescent="0.3">
      <c r="B147" t="s">
        <v>10</v>
      </c>
      <c r="C147" s="6">
        <f>[1]Production!B36+[1]Production!B38</f>
        <v>2565320.4150999999</v>
      </c>
      <c r="D147" s="6">
        <f>[1]Production!C36+[1]Production!C38</f>
        <v>2582958.8495999998</v>
      </c>
      <c r="E147" s="6">
        <f>[1]Production!D36+[1]Production!D38</f>
        <v>2612253.1726000002</v>
      </c>
      <c r="F147" s="6">
        <f>[1]Production!E36+[1]Production!E38</f>
        <v>2653017.5403999998</v>
      </c>
      <c r="G147" s="6">
        <f>[1]Production!F36+[1]Production!F38</f>
        <v>2698544.9282999998</v>
      </c>
      <c r="H147" s="6">
        <f>[1]Production!G36+[1]Production!G38</f>
        <v>2745389.6571</v>
      </c>
      <c r="I147" s="6">
        <f>[1]Production!H36+[1]Production!H38</f>
        <v>2796200.7752999999</v>
      </c>
      <c r="J147" s="6">
        <f>[1]Production!I36+[1]Production!I38</f>
        <v>2833125.6323999995</v>
      </c>
      <c r="K147" s="6">
        <f>[1]Production!J36+[1]Production!J38</f>
        <v>2863006.9841999998</v>
      </c>
      <c r="L147" s="6">
        <f>[1]Production!K36+[1]Production!K38</f>
        <v>2893872.3659999999</v>
      </c>
      <c r="M147" s="6">
        <f>[1]Production!L36+[1]Production!L38</f>
        <v>2927046.4863</v>
      </c>
      <c r="N147" s="6">
        <f>[1]Production!M36+[1]Production!M38</f>
        <v>2977232.9237000002</v>
      </c>
      <c r="O147" s="6">
        <f>[1]Production!N36+[1]Production!N38</f>
        <v>3031159.7134000002</v>
      </c>
      <c r="P147" s="6">
        <f>[1]Production!O36+[1]Production!O38</f>
        <v>3086986.54</v>
      </c>
      <c r="Q147" s="6">
        <f>[1]Production!P36+[1]Production!P38</f>
        <v>3142606.4092000001</v>
      </c>
      <c r="R147" s="6">
        <f>[1]Production!Q36+[1]Production!Q38</f>
        <v>3196793.1091</v>
      </c>
      <c r="S147" s="6">
        <f>[1]Production!R36+[1]Production!R38</f>
        <v>3249526.1074000001</v>
      </c>
      <c r="T147" s="6">
        <f>[1]Production!S36+[1]Production!S38</f>
        <v>3301674.3219999997</v>
      </c>
      <c r="U147" s="6">
        <f>[1]Production!T36+[1]Production!T38</f>
        <v>3354396.1979999999</v>
      </c>
      <c r="V147" s="6">
        <f>[1]Production!U36+[1]Production!U38</f>
        <v>3408605.3185000001</v>
      </c>
      <c r="W147" s="6">
        <f>[1]Production!V36+[1]Production!V38</f>
        <v>3467076.4041999998</v>
      </c>
      <c r="X147" s="6">
        <f>[1]Production!W36+[1]Production!W38</f>
        <v>3521350.2581000002</v>
      </c>
      <c r="Y147" s="6">
        <f>[1]Production!X36+[1]Production!X38</f>
        <v>3578871.3422000003</v>
      </c>
      <c r="Z147" s="6">
        <f>[1]Production!Y36+[1]Production!Y38</f>
        <v>3638276.6702000001</v>
      </c>
      <c r="AA147" s="6">
        <f>[1]Production!Z36+[1]Production!Z38</f>
        <v>3698665.8097000001</v>
      </c>
      <c r="AB147" s="6">
        <f>[1]Production!AA36+[1]Production!AA38</f>
        <v>3765100.8865999999</v>
      </c>
      <c r="AC147" s="6">
        <f>[1]Production!AB36+[1]Production!AB38</f>
        <v>3819709.4629000002</v>
      </c>
      <c r="AD147" s="6">
        <f>[1]Production!AC36+[1]Production!AC38</f>
        <v>3875523.202</v>
      </c>
      <c r="AE147" s="6">
        <f>[1]Production!AD36+[1]Production!AD38</f>
        <v>3932753.3689999999</v>
      </c>
      <c r="AF147" s="6">
        <f>[1]Production!AE36+[1]Production!AE38</f>
        <v>3991441.767</v>
      </c>
      <c r="AG147" s="6">
        <f>[1]Production!AF36+[1]Production!AF38</f>
        <v>4051406.9909999999</v>
      </c>
      <c r="AH147" s="6">
        <f>[1]Production!AG36+[1]Production!AG38</f>
        <v>4112359.0559999999</v>
      </c>
      <c r="AI147" s="6">
        <f>[1]Production!AH36+[1]Production!AH38</f>
        <v>4174049.0470000003</v>
      </c>
      <c r="AJ147" s="6">
        <f>[1]Production!AI36+[1]Production!AI38</f>
        <v>4236365.7470000004</v>
      </c>
      <c r="AK147" s="6">
        <f>[1]Production!AJ36+[1]Production!AJ38</f>
        <v>4299349.4930000007</v>
      </c>
      <c r="AL147" s="6">
        <f>[1]Production!AK36+[1]Production!AK38</f>
        <v>4363138.9709999999</v>
      </c>
    </row>
    <row r="148" spans="1:38" x14ac:dyDescent="0.3">
      <c r="B148" t="s">
        <v>9</v>
      </c>
      <c r="C148" s="6">
        <f>[1]Production!B28+[1]Production!B30+[1]Production!B32+[1]Production!B34</f>
        <v>121128.20151</v>
      </c>
      <c r="D148" s="6">
        <f>[1]Production!C28+[1]Production!C30+[1]Production!C32+[1]Production!C34</f>
        <v>121457.33229999999</v>
      </c>
      <c r="E148" s="6">
        <f>[1]Production!D28+[1]Production!D30+[1]Production!D32+[1]Production!D34</f>
        <v>122277.25727</v>
      </c>
      <c r="F148" s="6">
        <f>[1]Production!E28+[1]Production!E30+[1]Production!E32+[1]Production!E34</f>
        <v>123516.87992000001</v>
      </c>
      <c r="G148" s="6">
        <f>[1]Production!F28+[1]Production!F30+[1]Production!F32+[1]Production!F34</f>
        <v>125018.40378000001</v>
      </c>
      <c r="H148" s="6">
        <f>[1]Production!G28+[1]Production!G30+[1]Production!G32+[1]Production!G34</f>
        <v>126669.30403000001</v>
      </c>
      <c r="I148" s="6">
        <f>[1]Production!H28+[1]Production!H30+[1]Production!H32+[1]Production!H34</f>
        <v>128412.20887999999</v>
      </c>
      <c r="J148" s="6">
        <f>[1]Production!I28+[1]Production!I30+[1]Production!I32+[1]Production!I34</f>
        <v>129803.31951999999</v>
      </c>
      <c r="K148" s="6">
        <f>[1]Production!J28+[1]Production!J30+[1]Production!J32+[1]Production!J34</f>
        <v>130952.86754000001</v>
      </c>
      <c r="L148" s="6">
        <f>[1]Production!K28+[1]Production!K30+[1]Production!K32+[1]Production!K34</f>
        <v>132078.61895</v>
      </c>
      <c r="M148" s="6">
        <f>[1]Production!L28+[1]Production!L30+[1]Production!L32+[1]Production!L34</f>
        <v>133442.95872</v>
      </c>
      <c r="N148" s="6">
        <f>[1]Production!M28+[1]Production!M30+[1]Production!M32+[1]Production!M34</f>
        <v>135056.84399999998</v>
      </c>
      <c r="O148" s="6">
        <f>[1]Production!N28+[1]Production!N30+[1]Production!N32+[1]Production!N34</f>
        <v>136872.27734999999</v>
      </c>
      <c r="P148" s="6">
        <f>[1]Production!O28+[1]Production!O30+[1]Production!O32+[1]Production!O34</f>
        <v>138816.77697000001</v>
      </c>
      <c r="Q148" s="6">
        <f>[1]Production!P28+[1]Production!P30+[1]Production!P32+[1]Production!P34</f>
        <v>140809.74698000003</v>
      </c>
      <c r="R148" s="6">
        <f>[1]Production!Q28+[1]Production!Q30+[1]Production!Q32+[1]Production!Q34</f>
        <v>142794.63148000001</v>
      </c>
      <c r="S148" s="6">
        <f>[1]Production!R28+[1]Production!R30+[1]Production!R32+[1]Production!R34</f>
        <v>144753.54703000002</v>
      </c>
      <c r="T148" s="6">
        <f>[1]Production!S28+[1]Production!S30+[1]Production!S32+[1]Production!S34</f>
        <v>146702.28949</v>
      </c>
      <c r="U148" s="6">
        <f>[1]Production!T28+[1]Production!T30+[1]Production!T32+[1]Production!T34</f>
        <v>148673.52781999999</v>
      </c>
      <c r="V148" s="6">
        <f>[1]Production!U28+[1]Production!U30+[1]Production!U32+[1]Production!U34</f>
        <v>150698.65644999998</v>
      </c>
      <c r="W148" s="6">
        <f>[1]Production!V28+[1]Production!V30+[1]Production!V32+[1]Production!V34</f>
        <v>152733.52616000001</v>
      </c>
      <c r="X148" s="6">
        <f>[1]Production!W28+[1]Production!W30+[1]Production!W32+[1]Production!W34</f>
        <v>154850.21018999998</v>
      </c>
      <c r="Y148" s="6">
        <f>[1]Production!X28+[1]Production!X30+[1]Production!X32+[1]Production!X34</f>
        <v>157056.06284</v>
      </c>
      <c r="Z148" s="6">
        <f>[1]Production!Y28+[1]Production!Y30+[1]Production!Y32+[1]Production!Y34</f>
        <v>159328.39232000001</v>
      </c>
      <c r="AA148" s="6">
        <f>[1]Production!Z28+[1]Production!Z30+[1]Production!Z32+[1]Production!Z34</f>
        <v>161644.32842000001</v>
      </c>
      <c r="AB148" s="6">
        <f>[1]Production!AA28+[1]Production!AA30+[1]Production!AA32+[1]Production!AA34</f>
        <v>163784.36492000002</v>
      </c>
      <c r="AC148" s="6">
        <f>[1]Production!AB28+[1]Production!AB30+[1]Production!AB32+[1]Production!AB34</f>
        <v>165918.59085000001</v>
      </c>
      <c r="AD148" s="6">
        <f>[1]Production!AC28+[1]Production!AC30+[1]Production!AC32+[1]Production!AC34</f>
        <v>168078.18371999997</v>
      </c>
      <c r="AE148" s="6">
        <f>[1]Production!AD28+[1]Production!AD30+[1]Production!AD32+[1]Production!AD34</f>
        <v>170280.02635</v>
      </c>
      <c r="AF148" s="6">
        <f>[1]Production!AE28+[1]Production!AE30+[1]Production!AE32+[1]Production!AE34</f>
        <v>172531.33001999999</v>
      </c>
      <c r="AG148" s="6">
        <f>[1]Production!AF28+[1]Production!AF30+[1]Production!AF32+[1]Production!AF34</f>
        <v>174830.38508000001</v>
      </c>
      <c r="AH148" s="6">
        <f>[1]Production!AG28+[1]Production!AG30+[1]Production!AG32+[1]Production!AG34</f>
        <v>177169.82078999997</v>
      </c>
      <c r="AI148" s="6">
        <f>[1]Production!AH28+[1]Production!AH30+[1]Production!AH32+[1]Production!AH34</f>
        <v>179541.49028999999</v>
      </c>
      <c r="AJ148" s="6">
        <f>[1]Production!AI28+[1]Production!AI30+[1]Production!AI32+[1]Production!AI34</f>
        <v>181940.33283999999</v>
      </c>
      <c r="AK148" s="6">
        <f>[1]Production!AJ28+[1]Production!AJ30+[1]Production!AJ32+[1]Production!AJ34</f>
        <v>184365.85169000004</v>
      </c>
      <c r="AL148" s="6">
        <f>[1]Production!AK28+[1]Production!AK30+[1]Production!AK32+[1]Production!AK34</f>
        <v>186821.25897</v>
      </c>
    </row>
    <row r="150" spans="1:38" x14ac:dyDescent="0.3">
      <c r="A150" s="12" t="s">
        <v>57</v>
      </c>
      <c r="B150" t="s">
        <v>13</v>
      </c>
      <c r="C150" s="7" t="s">
        <v>14</v>
      </c>
      <c r="D150" s="7" t="s">
        <v>15</v>
      </c>
      <c r="E150" s="7" t="s">
        <v>16</v>
      </c>
    </row>
    <row r="151" spans="1:38" x14ac:dyDescent="0.3">
      <c r="A151" t="s">
        <v>54</v>
      </c>
      <c r="B151" t="s">
        <v>28</v>
      </c>
      <c r="C151" s="4">
        <f>(R141-R129)/R129</f>
        <v>-1.518917643505256E-2</v>
      </c>
      <c r="D151" s="4">
        <f>(AB141-AB129)/AB129</f>
        <v>-1.224480155967627E-2</v>
      </c>
      <c r="E151" s="4">
        <f>(AL141-AL129)/AL129</f>
        <v>-1.1933843938481547E-2</v>
      </c>
    </row>
    <row r="152" spans="1:38" x14ac:dyDescent="0.3">
      <c r="B152" t="s">
        <v>7</v>
      </c>
      <c r="C152" s="4">
        <f t="shared" ref="C152:C158" si="23">(R142-R130)/R130</f>
        <v>-5.8144347047460805E-2</v>
      </c>
      <c r="D152" s="4">
        <f t="shared" ref="D152:D158" si="24">(AB142-AB130)/AB130</f>
        <v>-4.541745940179661E-2</v>
      </c>
      <c r="E152" s="4">
        <f t="shared" ref="E152:E158" si="25">(AL142-AL130)/AL130</f>
        <v>-4.5778450294410133E-2</v>
      </c>
    </row>
    <row r="153" spans="1:38" x14ac:dyDescent="0.3">
      <c r="B153" t="s">
        <v>96</v>
      </c>
      <c r="C153" s="4">
        <f t="shared" si="23"/>
        <v>-1.7785565328166275E-2</v>
      </c>
      <c r="D153" s="4">
        <f t="shared" si="24"/>
        <v>-1.1892582973579745E-2</v>
      </c>
      <c r="E153" s="4">
        <f t="shared" si="25"/>
        <v>-1.1179311777595355E-2</v>
      </c>
    </row>
    <row r="154" spans="1:38" x14ac:dyDescent="0.3">
      <c r="B154" t="s">
        <v>11</v>
      </c>
      <c r="C154" s="4">
        <f t="shared" si="23"/>
        <v>-1.6741157960898086E-2</v>
      </c>
      <c r="D154" s="4">
        <f t="shared" si="24"/>
        <v>6.4054069916612486E-3</v>
      </c>
      <c r="E154" s="4">
        <f t="shared" si="25"/>
        <v>-1.6281470824459328E-3</v>
      </c>
    </row>
    <row r="155" spans="1:38" x14ac:dyDescent="0.3">
      <c r="B155" t="s">
        <v>8</v>
      </c>
      <c r="C155" s="4">
        <f t="shared" si="23"/>
        <v>-2.7033633887766053E-2</v>
      </c>
      <c r="D155" s="4">
        <f t="shared" si="24"/>
        <v>-2.2208749452806101E-2</v>
      </c>
      <c r="E155" s="4">
        <f t="shared" si="25"/>
        <v>-2.0570268269285763E-2</v>
      </c>
    </row>
    <row r="156" spans="1:38" x14ac:dyDescent="0.3">
      <c r="B156" t="s">
        <v>24</v>
      </c>
      <c r="C156" s="4">
        <f t="shared" si="23"/>
        <v>-1.6933859603514966E-3</v>
      </c>
      <c r="D156" s="4">
        <f t="shared" si="24"/>
        <v>-3.9708271982357062E-3</v>
      </c>
      <c r="E156" s="4">
        <f t="shared" si="25"/>
        <v>-3.1825855168608821E-3</v>
      </c>
    </row>
    <row r="157" spans="1:38" x14ac:dyDescent="0.3">
      <c r="B157" t="s">
        <v>10</v>
      </c>
      <c r="C157" s="4">
        <f t="shared" si="23"/>
        <v>-1.0809982139761238E-2</v>
      </c>
      <c r="D157" s="4">
        <f t="shared" si="24"/>
        <v>-9.3934332266981755E-3</v>
      </c>
      <c r="E157" s="4">
        <f t="shared" si="25"/>
        <v>-9.4826569562983468E-3</v>
      </c>
    </row>
    <row r="158" spans="1:38" x14ac:dyDescent="0.3">
      <c r="B158" t="s">
        <v>9</v>
      </c>
      <c r="C158" s="4">
        <f t="shared" si="23"/>
        <v>-1.6027623382812245E-2</v>
      </c>
      <c r="D158" s="4">
        <f t="shared" si="24"/>
        <v>-1.3646197636987703E-2</v>
      </c>
      <c r="E158" s="4">
        <f t="shared" si="25"/>
        <v>-1.2869636065400689E-2</v>
      </c>
    </row>
    <row r="159" spans="1:38" x14ac:dyDescent="0.3">
      <c r="C159" s="5"/>
      <c r="D159" s="5"/>
      <c r="E159" s="5"/>
    </row>
    <row r="160" spans="1:38" x14ac:dyDescent="0.3">
      <c r="A160" s="12" t="s">
        <v>57</v>
      </c>
      <c r="B160" t="s">
        <v>13</v>
      </c>
      <c r="C160" s="7" t="s">
        <v>14</v>
      </c>
      <c r="D160" s="7" t="s">
        <v>15</v>
      </c>
      <c r="E160" s="7" t="s">
        <v>16</v>
      </c>
    </row>
    <row r="161" spans="1:9" x14ac:dyDescent="0.3">
      <c r="A161" t="s">
        <v>98</v>
      </c>
      <c r="B161" t="s">
        <v>22</v>
      </c>
      <c r="C161" s="4">
        <f>C151</f>
        <v>-1.518917643505256E-2</v>
      </c>
      <c r="D161" s="4">
        <f>D151</f>
        <v>-1.224480155967627E-2</v>
      </c>
      <c r="E161" s="4">
        <f>E151</f>
        <v>-1.1933843938481547E-2</v>
      </c>
      <c r="G161" s="6">
        <f t="shared" ref="G161:G168" si="26">R129</f>
        <v>4834637.04</v>
      </c>
      <c r="H161" s="6">
        <f t="shared" ref="H161:H168" si="27">AB129</f>
        <v>5592415.7419999996</v>
      </c>
      <c r="I161" s="6">
        <f t="shared" ref="I161:I168" si="28">AL129</f>
        <v>6437317.1289999997</v>
      </c>
    </row>
    <row r="162" spans="1:9" x14ac:dyDescent="0.3">
      <c r="B162" t="s">
        <v>7</v>
      </c>
      <c r="C162" s="4">
        <f t="shared" ref="C162:E168" si="29">C152*G162/G$161</f>
        <v>-1.1408313332245518E-3</v>
      </c>
      <c r="D162" s="4">
        <f t="shared" si="29"/>
        <v>-7.9282031139093459E-4</v>
      </c>
      <c r="E162" s="4">
        <f t="shared" si="29"/>
        <v>-7.159335918433974E-4</v>
      </c>
      <c r="G162" s="6">
        <f t="shared" si="26"/>
        <v>94858.841832000006</v>
      </c>
      <c r="H162" s="6">
        <f t="shared" si="27"/>
        <v>97622.827176999999</v>
      </c>
      <c r="I162" s="6">
        <f t="shared" si="28"/>
        <v>100673.82238500001</v>
      </c>
    </row>
    <row r="163" spans="1:9" x14ac:dyDescent="0.3">
      <c r="B163" t="s">
        <v>96</v>
      </c>
      <c r="C163" s="4">
        <f t="shared" si="29"/>
        <v>-1.3583295800008999E-3</v>
      </c>
      <c r="D163" s="4">
        <f t="shared" si="29"/>
        <v>-8.8281503517732309E-4</v>
      </c>
      <c r="E163" s="4">
        <f t="shared" si="29"/>
        <v>-8.5425163772446828E-4</v>
      </c>
      <c r="G163" s="6">
        <f t="shared" si="26"/>
        <v>369233.72289999999</v>
      </c>
      <c r="H163" s="6">
        <f t="shared" si="27"/>
        <v>415138.47</v>
      </c>
      <c r="I163" s="6">
        <f t="shared" si="28"/>
        <v>491898.67940000002</v>
      </c>
    </row>
    <row r="164" spans="1:9" x14ac:dyDescent="0.3">
      <c r="B164" t="s">
        <v>11</v>
      </c>
      <c r="C164" s="4">
        <f t="shared" si="29"/>
        <v>-2.0002211422473224E-4</v>
      </c>
      <c r="D164" s="4">
        <f t="shared" si="29"/>
        <v>7.367732214283707E-5</v>
      </c>
      <c r="E164" s="4">
        <f t="shared" si="29"/>
        <v>-1.8899240676200527E-5</v>
      </c>
      <c r="G164" s="6">
        <f t="shared" si="26"/>
        <v>57763.884942049997</v>
      </c>
      <c r="H164" s="6">
        <f t="shared" si="27"/>
        <v>64326.000942079983</v>
      </c>
      <c r="I164" s="6">
        <f t="shared" si="28"/>
        <v>74723.228043519994</v>
      </c>
    </row>
    <row r="165" spans="1:9" x14ac:dyDescent="0.3">
      <c r="B165" t="s">
        <v>8</v>
      </c>
      <c r="C165" s="4">
        <f t="shared" si="29"/>
        <v>-4.7528248201234016E-3</v>
      </c>
      <c r="D165" s="4">
        <f t="shared" si="29"/>
        <v>-3.7860168872974036E-3</v>
      </c>
      <c r="E165" s="4">
        <f t="shared" si="29"/>
        <v>-3.4264155746862482E-3</v>
      </c>
      <c r="G165" s="6">
        <f t="shared" si="26"/>
        <v>849984.98593999993</v>
      </c>
      <c r="H165" s="6">
        <f t="shared" si="27"/>
        <v>953362.11905999994</v>
      </c>
      <c r="I165" s="6">
        <f t="shared" si="28"/>
        <v>1072272.04727</v>
      </c>
    </row>
    <row r="166" spans="1:9" x14ac:dyDescent="0.3">
      <c r="B166" t="s">
        <v>24</v>
      </c>
      <c r="C166" s="4">
        <f t="shared" si="29"/>
        <v>-3.010390382894035E-5</v>
      </c>
      <c r="D166" s="4">
        <f t="shared" si="29"/>
        <v>-6.7533497869907836E-5</v>
      </c>
      <c r="E166" s="4">
        <f t="shared" si="29"/>
        <v>-5.1211152191787413E-5</v>
      </c>
      <c r="G166" s="6">
        <f t="shared" si="26"/>
        <v>85947.0031686</v>
      </c>
      <c r="H166" s="6">
        <f t="shared" si="27"/>
        <v>95112.523850900005</v>
      </c>
      <c r="I166" s="6">
        <f t="shared" si="28"/>
        <v>103583.2110256</v>
      </c>
    </row>
    <row r="167" spans="1:9" x14ac:dyDescent="0.3">
      <c r="B167" t="s">
        <v>10</v>
      </c>
      <c r="C167" s="4">
        <f t="shared" si="29"/>
        <v>-7.2259658814014596E-3</v>
      </c>
      <c r="D167" s="4">
        <f t="shared" si="29"/>
        <v>-6.3841093629480178E-3</v>
      </c>
      <c r="E167" s="4">
        <f t="shared" si="29"/>
        <v>-6.4887657642072006E-3</v>
      </c>
      <c r="G167" s="6">
        <f t="shared" si="26"/>
        <v>3231728.0313999997</v>
      </c>
      <c r="H167" s="6">
        <f t="shared" si="27"/>
        <v>3800803.4802999999</v>
      </c>
      <c r="I167" s="6">
        <f t="shared" si="28"/>
        <v>4404909.2139999997</v>
      </c>
    </row>
    <row r="168" spans="1:9" x14ac:dyDescent="0.3">
      <c r="B168" t="s">
        <v>9</v>
      </c>
      <c r="C168" s="4">
        <f t="shared" si="29"/>
        <v>-4.810987486249807E-4</v>
      </c>
      <c r="D168" s="4">
        <f t="shared" si="29"/>
        <v>-4.051836620411246E-4</v>
      </c>
      <c r="E168" s="4">
        <f t="shared" si="29"/>
        <v>-3.7836690677042458E-4</v>
      </c>
      <c r="G168" s="6">
        <f t="shared" si="26"/>
        <v>145120.56930999999</v>
      </c>
      <c r="H168" s="6">
        <f t="shared" si="27"/>
        <v>166050.32041000001</v>
      </c>
      <c r="I168" s="6">
        <f t="shared" si="28"/>
        <v>189256.92674</v>
      </c>
    </row>
    <row r="169" spans="1:9" x14ac:dyDescent="0.3">
      <c r="C169" s="5"/>
      <c r="D169" s="5"/>
      <c r="E169" s="5"/>
    </row>
    <row r="170" spans="1:9" x14ac:dyDescent="0.3">
      <c r="A170" s="12" t="s">
        <v>57</v>
      </c>
      <c r="B170" t="s">
        <v>13</v>
      </c>
      <c r="C170" s="7" t="s">
        <v>14</v>
      </c>
      <c r="D170" s="7" t="s">
        <v>15</v>
      </c>
      <c r="E170" s="7" t="s">
        <v>16</v>
      </c>
    </row>
    <row r="171" spans="1:9" x14ac:dyDescent="0.3">
      <c r="A171" t="s">
        <v>58</v>
      </c>
      <c r="B171" t="s">
        <v>7</v>
      </c>
      <c r="C171" s="4">
        <f t="shared" ref="C171:C177" si="30">R142/R$141-R130/R$129</f>
        <v>-8.558084655090302E-4</v>
      </c>
      <c r="D171" s="4">
        <f t="shared" ref="D171:E177" si="31">AB142/AB$141-AB130/AB$129</f>
        <v>-5.8625002798489562E-4</v>
      </c>
      <c r="E171" s="4">
        <f t="shared" si="31"/>
        <v>-5.6309441478316277E-4</v>
      </c>
    </row>
    <row r="172" spans="1:9" x14ac:dyDescent="0.3">
      <c r="B172" t="s">
        <v>96</v>
      </c>
      <c r="C172" s="4">
        <f t="shared" si="30"/>
        <v>-2.013512887931862E-4</v>
      </c>
      <c r="D172" s="4">
        <f t="shared" si="31"/>
        <v>2.6470154502619692E-5</v>
      </c>
      <c r="E172" s="4">
        <f t="shared" si="31"/>
        <v>3.0709757914096358E-5</v>
      </c>
    </row>
    <row r="173" spans="1:9" x14ac:dyDescent="0.3">
      <c r="B173" t="s">
        <v>11</v>
      </c>
      <c r="C173" s="4">
        <f t="shared" si="30"/>
        <v>-1.882895655918454E-5</v>
      </c>
      <c r="D173" s="4">
        <f t="shared" si="31"/>
        <v>2.1718082162340904E-4</v>
      </c>
      <c r="E173" s="4">
        <f t="shared" si="31"/>
        <v>2.3235632900117133E-4</v>
      </c>
    </row>
    <row r="174" spans="1:9" x14ac:dyDescent="0.3">
      <c r="B174" t="s">
        <v>8</v>
      </c>
      <c r="C174" s="4">
        <f t="shared" si="30"/>
        <v>-2.1145099766971265E-3</v>
      </c>
      <c r="D174" s="4">
        <f t="shared" si="31"/>
        <v>-1.7196519869304705E-3</v>
      </c>
      <c r="E174" s="4">
        <f t="shared" si="31"/>
        <v>-1.6481305518378786E-3</v>
      </c>
    </row>
    <row r="175" spans="1:9" x14ac:dyDescent="0.3">
      <c r="B175" t="s">
        <v>24</v>
      </c>
      <c r="C175" s="4">
        <f t="shared" si="30"/>
        <v>2.4361968492167888E-4</v>
      </c>
      <c r="D175" s="4">
        <f t="shared" si="31"/>
        <v>1.4246333386463278E-4</v>
      </c>
      <c r="E175" s="4">
        <f t="shared" si="31"/>
        <v>1.446743149017965E-4</v>
      </c>
    </row>
    <row r="176" spans="1:9" x14ac:dyDescent="0.3">
      <c r="B176" t="s">
        <v>10</v>
      </c>
      <c r="C176" s="4">
        <f t="shared" si="30"/>
        <v>2.9724347608933721E-3</v>
      </c>
      <c r="D176" s="4">
        <f t="shared" si="31"/>
        <v>1.9619139879871739E-3</v>
      </c>
      <c r="E176" s="4">
        <f t="shared" si="31"/>
        <v>1.8425941616035946E-3</v>
      </c>
    </row>
    <row r="177" spans="1:38" x14ac:dyDescent="0.3">
      <c r="B177" t="s">
        <v>9</v>
      </c>
      <c r="C177" s="4">
        <f t="shared" si="30"/>
        <v>-2.5555705424451514E-5</v>
      </c>
      <c r="D177" s="4">
        <f t="shared" si="31"/>
        <v>-4.2126156993810282E-5</v>
      </c>
      <c r="E177" s="4">
        <f t="shared" si="31"/>
        <v>-3.9109699833495687E-5</v>
      </c>
    </row>
    <row r="178" spans="1:38" x14ac:dyDescent="0.3">
      <c r="C178" s="4"/>
      <c r="D178" s="4"/>
      <c r="E178" s="4"/>
    </row>
    <row r="179" spans="1:38" x14ac:dyDescent="0.3">
      <c r="A179" s="12" t="s">
        <v>29</v>
      </c>
      <c r="C179" s="4"/>
      <c r="D179" s="4"/>
      <c r="E179" s="4"/>
    </row>
    <row r="180" spans="1:38" x14ac:dyDescent="0.3">
      <c r="A180" t="s">
        <v>26</v>
      </c>
      <c r="B180" t="s">
        <v>28</v>
      </c>
      <c r="C180" s="6">
        <f>[1]Capital!B3</f>
        <v>8841531.8310000002</v>
      </c>
      <c r="D180" s="6">
        <f>[1]Capital!C3</f>
        <v>8943711.9890000001</v>
      </c>
      <c r="E180" s="6">
        <f>[1]Capital!D3</f>
        <v>9048139.1319999993</v>
      </c>
      <c r="F180" s="6">
        <f>[1]Capital!E3</f>
        <v>9156345.7510000002</v>
      </c>
      <c r="G180" s="6">
        <f>[1]Capital!F3</f>
        <v>9268951.4289999995</v>
      </c>
      <c r="H180" s="6">
        <f>[1]Capital!G3</f>
        <v>9385810.2229999993</v>
      </c>
      <c r="I180" s="6">
        <f>[1]Capital!H3</f>
        <v>9506493.659</v>
      </c>
      <c r="J180" s="6">
        <f>[1]Capital!I3</f>
        <v>9630225.6089999992</v>
      </c>
      <c r="K180" s="6">
        <f>[1]Capital!J3</f>
        <v>9756459.6600000001</v>
      </c>
      <c r="L180" s="6">
        <f>[1]Capital!K3</f>
        <v>9885010.8870000001</v>
      </c>
      <c r="M180" s="6">
        <f>[1]Capital!L3</f>
        <v>10015840.01</v>
      </c>
      <c r="N180" s="6">
        <f>[1]Capital!M3</f>
        <v>10149688.98</v>
      </c>
      <c r="O180" s="6">
        <f>[1]Capital!N3</f>
        <v>10286635.890000001</v>
      </c>
      <c r="P180" s="6">
        <f>[1]Capital!O3</f>
        <v>10426552.640000001</v>
      </c>
      <c r="Q180" s="6">
        <f>[1]Capital!P3</f>
        <v>10569296.48</v>
      </c>
      <c r="R180" s="6">
        <f>[1]Capital!Q3</f>
        <v>10714807.82</v>
      </c>
      <c r="S180" s="6">
        <f>[1]Capital!R3</f>
        <v>10863152.98</v>
      </c>
      <c r="T180" s="6">
        <f>[1]Capital!S3</f>
        <v>11014518.43</v>
      </c>
      <c r="U180" s="6">
        <f>[1]Capital!T3</f>
        <v>11169171.119999999</v>
      </c>
      <c r="V180" s="6">
        <f>[1]Capital!U3</f>
        <v>11327406.01</v>
      </c>
      <c r="W180" s="6">
        <f>[1]Capital!V3</f>
        <v>11489511.880000001</v>
      </c>
      <c r="X180" s="6">
        <f>[1]Capital!W3</f>
        <v>11655402.84</v>
      </c>
      <c r="Y180" s="6">
        <f>[1]Capital!X3</f>
        <v>11825349.25</v>
      </c>
      <c r="Z180" s="6">
        <f>[1]Capital!Y3</f>
        <v>11999617.380000001</v>
      </c>
      <c r="AA180" s="6">
        <f>[1]Capital!Z3</f>
        <v>12178383.85</v>
      </c>
      <c r="AB180" s="6">
        <f>[1]Capital!AA3</f>
        <v>12361650.289999999</v>
      </c>
      <c r="AC180" s="6">
        <f>[1]Capital!AB3</f>
        <v>12548721.880000001</v>
      </c>
      <c r="AD180" s="6">
        <f>[1]Capital!AC3</f>
        <v>12739492.140000001</v>
      </c>
      <c r="AE180" s="6">
        <f>[1]Capital!AD3</f>
        <v>12934052.289999999</v>
      </c>
      <c r="AF180" s="6">
        <f>[1]Capital!AE3</f>
        <v>13132517.49</v>
      </c>
      <c r="AG180" s="6">
        <f>[1]Capital!AF3</f>
        <v>13334940.75</v>
      </c>
      <c r="AH180" s="6">
        <f>[1]Capital!AG3</f>
        <v>13541286.51</v>
      </c>
      <c r="AI180" s="6">
        <f>[1]Capital!AH3</f>
        <v>13751451.050000001</v>
      </c>
      <c r="AJ180" s="6">
        <f>[1]Capital!AI3</f>
        <v>13965307.5</v>
      </c>
      <c r="AK180" s="6">
        <f>[1]Capital!AJ3</f>
        <v>14182750.16</v>
      </c>
      <c r="AL180" s="6">
        <f>[1]Capital!AK3</f>
        <v>14403719.560000001</v>
      </c>
    </row>
    <row r="181" spans="1:38" x14ac:dyDescent="0.3">
      <c r="B181" t="s">
        <v>7</v>
      </c>
      <c r="C181" s="6">
        <f>[1]Capital!B5+[1]Capital!B7</f>
        <v>195859.69381999999</v>
      </c>
      <c r="D181" s="6">
        <f>[1]Capital!C5+[1]Capital!C7</f>
        <v>197989.98788</v>
      </c>
      <c r="E181" s="6">
        <f>[1]Capital!D5+[1]Capital!D7</f>
        <v>199974.79164000001</v>
      </c>
      <c r="F181" s="6">
        <f>[1]Capital!E5+[1]Capital!E7</f>
        <v>201836.58311000001</v>
      </c>
      <c r="G181" s="6">
        <f>[1]Capital!F5+[1]Capital!F7</f>
        <v>203611.22988</v>
      </c>
      <c r="H181" s="6">
        <f>[1]Capital!G5+[1]Capital!G7</f>
        <v>205332.41885000002</v>
      </c>
      <c r="I181" s="6">
        <f>[1]Capital!H5+[1]Capital!H7</f>
        <v>207020.95206000001</v>
      </c>
      <c r="J181" s="6">
        <f>[1]Capital!I5+[1]Capital!I7</f>
        <v>208689.28516999999</v>
      </c>
      <c r="K181" s="6">
        <f>[1]Capital!J5+[1]Capital!J7</f>
        <v>210343.58131000001</v>
      </c>
      <c r="L181" s="6">
        <f>[1]Capital!K5+[1]Capital!K7</f>
        <v>211985.05448999998</v>
      </c>
      <c r="M181" s="6">
        <f>[1]Capital!L5+[1]Capital!L7</f>
        <v>213620.34209999998</v>
      </c>
      <c r="N181" s="6">
        <f>[1]Capital!M5+[1]Capital!M7</f>
        <v>215240.44941999999</v>
      </c>
      <c r="O181" s="6">
        <f>[1]Capital!N5+[1]Capital!N7</f>
        <v>216832.31370999999</v>
      </c>
      <c r="P181" s="6">
        <f>[1]Capital!O5+[1]Capital!O7</f>
        <v>218381.41574999999</v>
      </c>
      <c r="Q181" s="6">
        <f>[1]Capital!P5+[1]Capital!P7</f>
        <v>219874.33168</v>
      </c>
      <c r="R181" s="6">
        <f>[1]Capital!Q5+[1]Capital!Q7</f>
        <v>221300.77255000002</v>
      </c>
      <c r="S181" s="6">
        <f>[1]Capital!R5+[1]Capital!R7</f>
        <v>222654.62749000001</v>
      </c>
      <c r="T181" s="6">
        <f>[1]Capital!S5+[1]Capital!S7</f>
        <v>223933.97759999998</v>
      </c>
      <c r="U181" s="6">
        <f>[1]Capital!T5+[1]Capital!T7</f>
        <v>225140.38123</v>
      </c>
      <c r="V181" s="6">
        <f>[1]Capital!U5+[1]Capital!U7</f>
        <v>226277.83322</v>
      </c>
      <c r="W181" s="6">
        <f>[1]Capital!V5+[1]Capital!V7</f>
        <v>227344.98416000002</v>
      </c>
      <c r="X181" s="6">
        <f>[1]Capital!W5+[1]Capital!W7</f>
        <v>228349.87159</v>
      </c>
      <c r="Y181" s="6">
        <f>[1]Capital!X5+[1]Capital!X7</f>
        <v>229300.81826</v>
      </c>
      <c r="Z181" s="6">
        <f>[1]Capital!Y5+[1]Capital!Y7</f>
        <v>230205.49123000001</v>
      </c>
      <c r="AA181" s="6">
        <f>[1]Capital!Z5+[1]Capital!Z7</f>
        <v>231070.52755</v>
      </c>
      <c r="AB181" s="6">
        <f>[1]Capital!AA5+[1]Capital!AA7</f>
        <v>231882.86091999998</v>
      </c>
      <c r="AC181" s="6">
        <f>[1]Capital!AB5+[1]Capital!AB7</f>
        <v>232644.52169000002</v>
      </c>
      <c r="AD181" s="6">
        <f>[1]Capital!AC5+[1]Capital!AC7</f>
        <v>233359.65431000001</v>
      </c>
      <c r="AE181" s="6">
        <f>[1]Capital!AD5+[1]Capital!AD7</f>
        <v>234033.24968000001</v>
      </c>
      <c r="AF181" s="6">
        <f>[1]Capital!AE5+[1]Capital!AE7</f>
        <v>234670.22942999998</v>
      </c>
      <c r="AG181" s="6">
        <f>[1]Capital!AF5+[1]Capital!AF7</f>
        <v>235274.74281999998</v>
      </c>
      <c r="AH181" s="6">
        <f>[1]Capital!AG5+[1]Capital!AG7</f>
        <v>235849.91699</v>
      </c>
      <c r="AI181" s="6">
        <f>[1]Capital!AH5+[1]Capital!AH7</f>
        <v>236398.0295</v>
      </c>
      <c r="AJ181" s="6">
        <f>[1]Capital!AI5+[1]Capital!AI7</f>
        <v>236920.89819000001</v>
      </c>
      <c r="AK181" s="6">
        <f>[1]Capital!AJ5+[1]Capital!AJ7</f>
        <v>237420.25516</v>
      </c>
      <c r="AL181" s="6">
        <f>[1]Capital!AK5+[1]Capital!AK7</f>
        <v>237897.94761999999</v>
      </c>
    </row>
    <row r="182" spans="1:38" x14ac:dyDescent="0.3">
      <c r="B182" t="s">
        <v>96</v>
      </c>
      <c r="C182" s="6">
        <f>[1]Capital!B27</f>
        <v>84744.617679999996</v>
      </c>
      <c r="D182" s="6">
        <f>[1]Capital!C27</f>
        <v>86030.010800000004</v>
      </c>
      <c r="E182" s="6">
        <f>[1]Capital!D27</f>
        <v>87728.139320000002</v>
      </c>
      <c r="F182" s="6">
        <f>[1]Capital!E27</f>
        <v>89730.074030000003</v>
      </c>
      <c r="G182" s="6">
        <f>[1]Capital!F27</f>
        <v>91897.795280000006</v>
      </c>
      <c r="H182" s="6">
        <f>[1]Capital!G27</f>
        <v>94132.047909999994</v>
      </c>
      <c r="I182" s="6">
        <f>[1]Capital!H27</f>
        <v>96261.728489999994</v>
      </c>
      <c r="J182" s="6">
        <f>[1]Capital!I27</f>
        <v>98292.658089999997</v>
      </c>
      <c r="K182" s="6">
        <f>[1]Capital!J27</f>
        <v>100254.32249999999</v>
      </c>
      <c r="L182" s="6">
        <f>[1]Capital!K27</f>
        <v>102170.39939999999</v>
      </c>
      <c r="M182" s="6">
        <f>[1]Capital!L27</f>
        <v>104224.8391</v>
      </c>
      <c r="N182" s="6">
        <f>[1]Capital!M27</f>
        <v>106217.6112</v>
      </c>
      <c r="O182" s="6">
        <f>[1]Capital!N27</f>
        <v>108145.1891</v>
      </c>
      <c r="P182" s="6">
        <f>[1]Capital!O27</f>
        <v>110035.5505</v>
      </c>
      <c r="Q182" s="6">
        <f>[1]Capital!P27</f>
        <v>111909.52340000001</v>
      </c>
      <c r="R182" s="6">
        <f>[1]Capital!Q27</f>
        <v>113779.5873</v>
      </c>
      <c r="S182" s="6">
        <f>[1]Capital!R27</f>
        <v>115654.12790000001</v>
      </c>
      <c r="T182" s="6">
        <f>[1]Capital!S27</f>
        <v>117540.3398</v>
      </c>
      <c r="U182" s="6">
        <f>[1]Capital!T27</f>
        <v>119445.2236</v>
      </c>
      <c r="V182" s="6">
        <f>[1]Capital!U27</f>
        <v>121375.4246</v>
      </c>
      <c r="W182" s="6">
        <f>[1]Capital!V27</f>
        <v>123217.1863</v>
      </c>
      <c r="X182" s="6">
        <f>[1]Capital!W27</f>
        <v>125122.89750000001</v>
      </c>
      <c r="Y182" s="6">
        <f>[1]Capital!X27</f>
        <v>127110.3138</v>
      </c>
      <c r="Z182" s="6">
        <f>[1]Capital!Y27</f>
        <v>129166.9132</v>
      </c>
      <c r="AA182" s="6">
        <f>[1]Capital!Z27</f>
        <v>131280.44330000001</v>
      </c>
      <c r="AB182" s="6">
        <f>[1]Capital!AA27</f>
        <v>133091.7641</v>
      </c>
      <c r="AC182" s="6">
        <f>[1]Capital!AB27</f>
        <v>134890.19899999999</v>
      </c>
      <c r="AD182" s="6">
        <f>[1]Capital!AC27</f>
        <v>136747.5711</v>
      </c>
      <c r="AE182" s="6">
        <f>[1]Capital!AD27</f>
        <v>138670.7071</v>
      </c>
      <c r="AF182" s="6">
        <f>[1]Capital!AE27</f>
        <v>140654.06049999999</v>
      </c>
      <c r="AG182" s="6">
        <f>[1]Capital!AF27</f>
        <v>142691.6263</v>
      </c>
      <c r="AH182" s="6">
        <f>[1]Capital!AG27</f>
        <v>144778.26980000001</v>
      </c>
      <c r="AI182" s="6">
        <f>[1]Capital!AH27</f>
        <v>146909.40580000001</v>
      </c>
      <c r="AJ182" s="6">
        <f>[1]Capital!AI27</f>
        <v>149081.02739999999</v>
      </c>
      <c r="AK182" s="6">
        <f>[1]Capital!AJ27</f>
        <v>151290.05679999999</v>
      </c>
      <c r="AL182" s="6">
        <f>[1]Capital!AK27</f>
        <v>153534.61139999999</v>
      </c>
    </row>
    <row r="183" spans="1:38" x14ac:dyDescent="0.3">
      <c r="B183" t="s">
        <v>11</v>
      </c>
      <c r="C183" s="6">
        <f>[1]Capital!B51+[1]Capital!B53+[1]Capital!B55+[1]Capital!B57+[1]Capital!B59+[1]Capital!B61+[1]Capital!B63+[1]Capital!B65+[1]Capital!B67</f>
        <v>83896.631688600013</v>
      </c>
      <c r="D183" s="6">
        <f>[1]Capital!C51+[1]Capital!C53+[1]Capital!C55+[1]Capital!C57+[1]Capital!C59+[1]Capital!C61+[1]Capital!C63+[1]Capital!C65+[1]Capital!C67</f>
        <v>84841.838205099979</v>
      </c>
      <c r="E183" s="6">
        <f>[1]Capital!D51+[1]Capital!D53+[1]Capital!D55+[1]Capital!D57+[1]Capital!D59+[1]Capital!D61+[1]Capital!D63+[1]Capital!D65+[1]Capital!D67</f>
        <v>85762.330670800002</v>
      </c>
      <c r="F183" s="6">
        <f>[1]Capital!E51+[1]Capital!E53+[1]Capital!E55+[1]Capital!E57+[1]Capital!E59+[1]Capital!E61+[1]Capital!E63+[1]Capital!E65+[1]Capital!E67</f>
        <v>86665.340042800002</v>
      </c>
      <c r="G183" s="6">
        <f>[1]Capital!F51+[1]Capital!F53+[1]Capital!F55+[1]Capital!F57+[1]Capital!F59+[1]Capital!F61+[1]Capital!F63+[1]Capital!F65+[1]Capital!F67</f>
        <v>87571.146320900021</v>
      </c>
      <c r="H183" s="6">
        <f>[1]Capital!G51+[1]Capital!G53+[1]Capital!G55+[1]Capital!G57+[1]Capital!G59+[1]Capital!G61+[1]Capital!G63+[1]Capital!G65+[1]Capital!G67</f>
        <v>88507.544500199991</v>
      </c>
      <c r="I183" s="6">
        <f>[1]Capital!H51+[1]Capital!H53+[1]Capital!H55+[1]Capital!H57+[1]Capital!H59+[1]Capital!H61+[1]Capital!H63+[1]Capital!H65+[1]Capital!H67</f>
        <v>89501.760680899999</v>
      </c>
      <c r="J183" s="6">
        <f>[1]Capital!I51+[1]Capital!I53+[1]Capital!I55+[1]Capital!I57+[1]Capital!I59+[1]Capital!I61+[1]Capital!I63+[1]Capital!I65+[1]Capital!I67</f>
        <v>90579.398030700002</v>
      </c>
      <c r="K183" s="6">
        <f>[1]Capital!J51+[1]Capital!J53+[1]Capital!J55+[1]Capital!J57+[1]Capital!J59+[1]Capital!J61+[1]Capital!J63+[1]Capital!J65+[1]Capital!J67</f>
        <v>91760.253791399984</v>
      </c>
      <c r="L183" s="6">
        <f>[1]Capital!K51+[1]Capital!K53+[1]Capital!K55+[1]Capital!K57+[1]Capital!K59+[1]Capital!K61+[1]Capital!K63+[1]Capital!K65+[1]Capital!K67</f>
        <v>93055.389639399989</v>
      </c>
      <c r="M183" s="6">
        <f>[1]Capital!L51+[1]Capital!L53+[1]Capital!L55+[1]Capital!L57+[1]Capital!L59+[1]Capital!L61+[1]Capital!L63+[1]Capital!L65+[1]Capital!L67</f>
        <v>94469.489809100007</v>
      </c>
      <c r="N183" s="6">
        <f>[1]Capital!M51+[1]Capital!M53+[1]Capital!M55+[1]Capital!M57+[1]Capital!M59+[1]Capital!M61+[1]Capital!M63+[1]Capital!M65+[1]Capital!M67</f>
        <v>95994.994790300014</v>
      </c>
      <c r="O183" s="6">
        <f>[1]Capital!N51+[1]Capital!N53+[1]Capital!N55+[1]Capital!N57+[1]Capital!N59+[1]Capital!N61+[1]Capital!N63+[1]Capital!N65+[1]Capital!N67</f>
        <v>97618.098874300005</v>
      </c>
      <c r="P183" s="6">
        <f>[1]Capital!O51+[1]Capital!O53+[1]Capital!O55+[1]Capital!O57+[1]Capital!O59+[1]Capital!O61+[1]Capital!O63+[1]Capital!O65+[1]Capital!O67</f>
        <v>99321.148065200003</v>
      </c>
      <c r="Q183" s="6">
        <f>[1]Capital!P51+[1]Capital!P53+[1]Capital!P55+[1]Capital!P57+[1]Capital!P59+[1]Capital!P61+[1]Capital!P63+[1]Capital!P65+[1]Capital!P67</f>
        <v>101083.60990890002</v>
      </c>
      <c r="R183" s="6">
        <f>[1]Capital!Q51+[1]Capital!Q53+[1]Capital!Q55+[1]Capital!Q57+[1]Capital!Q59+[1]Capital!Q61+[1]Capital!Q63+[1]Capital!Q65+[1]Capital!Q67</f>
        <v>102883.09387139999</v>
      </c>
      <c r="S183" s="6">
        <f>[1]Capital!R51+[1]Capital!R53+[1]Capital!R55+[1]Capital!R57+[1]Capital!R59+[1]Capital!R61+[1]Capital!R63+[1]Capital!R65+[1]Capital!R67</f>
        <v>104697.70500489997</v>
      </c>
      <c r="T183" s="6">
        <f>[1]Capital!S51+[1]Capital!S53+[1]Capital!S55+[1]Capital!S57+[1]Capital!S59+[1]Capital!S61+[1]Capital!S63+[1]Capital!S65+[1]Capital!S67</f>
        <v>106508.54959160001</v>
      </c>
      <c r="U183" s="6">
        <f>[1]Capital!T51+[1]Capital!T53+[1]Capital!T55+[1]Capital!T57+[1]Capital!T59+[1]Capital!T61+[1]Capital!T63+[1]Capital!T65+[1]Capital!T67</f>
        <v>108301.84215399998</v>
      </c>
      <c r="V183" s="6">
        <f>[1]Capital!U51+[1]Capital!U53+[1]Capital!U55+[1]Capital!U57+[1]Capital!U59+[1]Capital!U61+[1]Capital!U63+[1]Capital!U65+[1]Capital!U67</f>
        <v>110070.22035109998</v>
      </c>
      <c r="W183" s="6">
        <f>[1]Capital!V51+[1]Capital!V53+[1]Capital!V55+[1]Capital!V57+[1]Capital!V59+[1]Capital!V61+[1]Capital!V63+[1]Capital!V65+[1]Capital!V67</f>
        <v>111810.238763</v>
      </c>
      <c r="X183" s="6">
        <f>[1]Capital!W51+[1]Capital!W53+[1]Capital!W55+[1]Capital!W57+[1]Capital!W59+[1]Capital!W61+[1]Capital!W63+[1]Capital!W65+[1]Capital!W67</f>
        <v>113526.76786200001</v>
      </c>
      <c r="Y183" s="6">
        <f>[1]Capital!X51+[1]Capital!X53+[1]Capital!X55+[1]Capital!X57+[1]Capital!X59+[1]Capital!X61+[1]Capital!X63+[1]Capital!X65+[1]Capital!X67</f>
        <v>115228.82136859998</v>
      </c>
      <c r="Z183" s="6">
        <f>[1]Capital!Y51+[1]Capital!Y53+[1]Capital!Y55+[1]Capital!Y57+[1]Capital!Y59+[1]Capital!Y61+[1]Capital!Y63+[1]Capital!Y65+[1]Capital!Y67</f>
        <v>116927.93218780002</v>
      </c>
      <c r="AA183" s="6">
        <f>[1]Capital!Z51+[1]Capital!Z53+[1]Capital!Z55+[1]Capital!Z57+[1]Capital!Z59+[1]Capital!Z61+[1]Capital!Z63+[1]Capital!Z65+[1]Capital!Z67</f>
        <v>118637.1768342</v>
      </c>
      <c r="AB183" s="6">
        <f>[1]Capital!AA51+[1]Capital!AA53+[1]Capital!AA55+[1]Capital!AA57+[1]Capital!AA59+[1]Capital!AA61+[1]Capital!AA63+[1]Capital!AA65+[1]Capital!AA67</f>
        <v>120360.55158509998</v>
      </c>
      <c r="AC183" s="6">
        <f>[1]Capital!AB51+[1]Capital!AB53+[1]Capital!AB55+[1]Capital!AB57+[1]Capital!AB59+[1]Capital!AB61+[1]Capital!AB63+[1]Capital!AB65+[1]Capital!AB67</f>
        <v>122108.35531240002</v>
      </c>
      <c r="AD183" s="6">
        <f>[1]Capital!AC51+[1]Capital!AC53+[1]Capital!AC55+[1]Capital!AC57+[1]Capital!AC59+[1]Capital!AC61+[1]Capital!AC63+[1]Capital!AC65+[1]Capital!AC67</f>
        <v>123888.51334020001</v>
      </c>
      <c r="AE183" s="6">
        <f>[1]Capital!AD51+[1]Capital!AD53+[1]Capital!AD55+[1]Capital!AD57+[1]Capital!AD59+[1]Capital!AD61+[1]Capital!AD63+[1]Capital!AD65+[1]Capital!AD67</f>
        <v>125705.34511099999</v>
      </c>
      <c r="AF183" s="6">
        <f>[1]Capital!AE51+[1]Capital!AE53+[1]Capital!AE55+[1]Capital!AE57+[1]Capital!AE59+[1]Capital!AE61+[1]Capital!AE63+[1]Capital!AE65+[1]Capital!AE67</f>
        <v>127560.69303159999</v>
      </c>
      <c r="AG183" s="6">
        <f>[1]Capital!AF51+[1]Capital!AF53+[1]Capital!AF55+[1]Capital!AF57+[1]Capital!AF59+[1]Capital!AF61+[1]Capital!AF63+[1]Capital!AF65+[1]Capital!AF67</f>
        <v>129455.09446700002</v>
      </c>
      <c r="AH183" s="6">
        <f>[1]Capital!AG51+[1]Capital!AG53+[1]Capital!AG55+[1]Capital!AG57+[1]Capital!AG59+[1]Capital!AG61+[1]Capital!AG63+[1]Capital!AG65+[1]Capital!AG67</f>
        <v>131388.36334679998</v>
      </c>
      <c r="AI183" s="6">
        <f>[1]Capital!AH51+[1]Capital!AH53+[1]Capital!AH55+[1]Capital!AH57+[1]Capital!AH59+[1]Capital!AH61+[1]Capital!AH63+[1]Capital!AH65+[1]Capital!AH67</f>
        <v>133359.60008040001</v>
      </c>
      <c r="AJ183" s="6">
        <f>[1]Capital!AI51+[1]Capital!AI53+[1]Capital!AI55+[1]Capital!AI57+[1]Capital!AI59+[1]Capital!AI61+[1]Capital!AI63+[1]Capital!AI65+[1]Capital!AI67</f>
        <v>135366.91378670002</v>
      </c>
      <c r="AK183" s="6">
        <f>[1]Capital!AJ51+[1]Capital!AJ53+[1]Capital!AJ55+[1]Capital!AJ57+[1]Capital!AJ59+[1]Capital!AJ61+[1]Capital!AJ63+[1]Capital!AJ65+[1]Capital!AJ67</f>
        <v>137407.19726229997</v>
      </c>
      <c r="AL183" s="6">
        <f>[1]Capital!AK51+[1]Capital!AK53+[1]Capital!AK55+[1]Capital!AK57+[1]Capital!AK59+[1]Capital!AK61+[1]Capital!AK63+[1]Capital!AK65+[1]Capital!AK67</f>
        <v>139475.91341860002</v>
      </c>
    </row>
    <row r="184" spans="1:38" x14ac:dyDescent="0.3">
      <c r="B184" t="s">
        <v>8</v>
      </c>
      <c r="C184" s="6">
        <f>-[1]Capital!B27+[1]Capital!B9+[1]Capital!B11+[1]Capital!B13+[1]Capital!B15+[1]Capital!B17+[1]Capital!B19+[1]Capital!B21+[1]Capital!B23+[1]Capital!B25+[1]Capital!B27+[1]Capital!B41</f>
        <v>622035.43836700008</v>
      </c>
      <c r="D184" s="6">
        <f>-[1]Capital!C27+[1]Capital!C9+[1]Capital!C11+[1]Capital!C13+[1]Capital!C15+[1]Capital!C17+[1]Capital!C19+[1]Capital!C21+[1]Capital!C23+[1]Capital!C25+[1]Capital!C27+[1]Capital!C41</f>
        <v>629147.46870099998</v>
      </c>
      <c r="E184" s="6">
        <f>-[1]Capital!D27+[1]Capital!D9+[1]Capital!D11+[1]Capital!D13+[1]Capital!D15+[1]Capital!D17+[1]Capital!D19+[1]Capital!D21+[1]Capital!D23+[1]Capital!D25+[1]Capital!D27+[1]Capital!D41</f>
        <v>636355.26282600011</v>
      </c>
      <c r="F184" s="6">
        <f>-[1]Capital!E27+[1]Capital!E9+[1]Capital!E11+[1]Capital!E13+[1]Capital!E15+[1]Capital!E17+[1]Capital!E19+[1]Capital!E21+[1]Capital!E23+[1]Capital!E25+[1]Capital!E27+[1]Capital!E41</f>
        <v>643791.26085600012</v>
      </c>
      <c r="G184" s="6">
        <f>-[1]Capital!F27+[1]Capital!F9+[1]Capital!F11+[1]Capital!F13+[1]Capital!F15+[1]Capital!F17+[1]Capital!F19+[1]Capital!F21+[1]Capital!F23+[1]Capital!F25+[1]Capital!F27+[1]Capital!F41</f>
        <v>651511.56143899995</v>
      </c>
      <c r="H184" s="6">
        <f>-[1]Capital!G27+[1]Capital!G9+[1]Capital!G11+[1]Capital!G13+[1]Capital!G15+[1]Capital!G17+[1]Capital!G19+[1]Capital!G21+[1]Capital!G23+[1]Capital!G25+[1]Capital!G27+[1]Capital!G41</f>
        <v>659521.00382899994</v>
      </c>
      <c r="I184" s="6">
        <f>-[1]Capital!H27+[1]Capital!H9+[1]Capital!H11+[1]Capital!H13+[1]Capital!H15+[1]Capital!H17+[1]Capital!H19+[1]Capital!H21+[1]Capital!H23+[1]Capital!H25+[1]Capital!H27+[1]Capital!H41</f>
        <v>667738.26137199998</v>
      </c>
      <c r="J184" s="6">
        <f>-[1]Capital!I27+[1]Capital!I9+[1]Capital!I11+[1]Capital!I13+[1]Capital!I15+[1]Capital!I17+[1]Capital!I19+[1]Capital!I21+[1]Capital!I23+[1]Capital!I25+[1]Capital!I27+[1]Capital!I41</f>
        <v>676123.62234200002</v>
      </c>
      <c r="K184" s="6">
        <f>-[1]Capital!J27+[1]Capital!J9+[1]Capital!J11+[1]Capital!J13+[1]Capital!J15+[1]Capital!J17+[1]Capital!J19+[1]Capital!J21+[1]Capital!J23+[1]Capital!J25+[1]Capital!J27+[1]Capital!J41</f>
        <v>684660.61549</v>
      </c>
      <c r="L184" s="6">
        <f>-[1]Capital!K27+[1]Capital!K9+[1]Capital!K11+[1]Capital!K13+[1]Capital!K15+[1]Capital!K17+[1]Capital!K19+[1]Capital!K21+[1]Capital!K23+[1]Capital!K25+[1]Capital!K27+[1]Capital!K41</f>
        <v>693347.85918600007</v>
      </c>
      <c r="M184" s="6">
        <f>-[1]Capital!L27+[1]Capital!L9+[1]Capital!L11+[1]Capital!L13+[1]Capital!L15+[1]Capital!L17+[1]Capital!L19+[1]Capital!L21+[1]Capital!L23+[1]Capital!L25+[1]Capital!L27+[1]Capital!L41</f>
        <v>702292.48603999999</v>
      </c>
      <c r="N184" s="6">
        <f>-[1]Capital!M27+[1]Capital!M9+[1]Capital!M11+[1]Capital!M13+[1]Capital!M15+[1]Capital!M17+[1]Capital!M19+[1]Capital!M21+[1]Capital!M23+[1]Capital!M25+[1]Capital!M27+[1]Capital!M41</f>
        <v>711432.2832699999</v>
      </c>
      <c r="O184" s="6">
        <f>-[1]Capital!N27+[1]Capital!N9+[1]Capital!N11+[1]Capital!N13+[1]Capital!N15+[1]Capital!N17+[1]Capital!N19+[1]Capital!N21+[1]Capital!N23+[1]Capital!N25+[1]Capital!N27+[1]Capital!N41</f>
        <v>720741.94634999998</v>
      </c>
      <c r="P184" s="6">
        <f>-[1]Capital!O27+[1]Capital!O9+[1]Capital!O11+[1]Capital!O13+[1]Capital!O15+[1]Capital!O17+[1]Capital!O19+[1]Capital!O21+[1]Capital!O23+[1]Capital!O25+[1]Capital!O27+[1]Capital!O41</f>
        <v>730207.99023999996</v>
      </c>
      <c r="Q184" s="6">
        <f>-[1]Capital!P27+[1]Capital!P9+[1]Capital!P11+[1]Capital!P13+[1]Capital!P15+[1]Capital!P17+[1]Capital!P19+[1]Capital!P21+[1]Capital!P23+[1]Capital!P25+[1]Capital!P27+[1]Capital!P41</f>
        <v>739816.36756000004</v>
      </c>
      <c r="R184" s="6">
        <f>-[1]Capital!Q27+[1]Capital!Q9+[1]Capital!Q11+[1]Capital!Q13+[1]Capital!Q15+[1]Capital!Q17+[1]Capital!Q19+[1]Capital!Q21+[1]Capital!Q23+[1]Capital!Q25+[1]Capital!Q27+[1]Capital!Q41</f>
        <v>749555.34632999997</v>
      </c>
      <c r="S184" s="6">
        <f>-[1]Capital!R27+[1]Capital!R9+[1]Capital!R11+[1]Capital!R13+[1]Capital!R15+[1]Capital!R17+[1]Capital!R19+[1]Capital!R21+[1]Capital!R23+[1]Capital!R25+[1]Capital!R27+[1]Capital!R41</f>
        <v>759420.41365</v>
      </c>
      <c r="T184" s="6">
        <f>-[1]Capital!S27+[1]Capital!S9+[1]Capital!S11+[1]Capital!S13+[1]Capital!S15+[1]Capital!S17+[1]Capital!S19+[1]Capital!S21+[1]Capital!S23+[1]Capital!S25+[1]Capital!S27+[1]Capital!S41</f>
        <v>769416.10702</v>
      </c>
      <c r="U184" s="6">
        <f>-[1]Capital!T27+[1]Capital!T9+[1]Capital!T11+[1]Capital!T13+[1]Capital!T15+[1]Capital!T17+[1]Capital!T19+[1]Capital!T21+[1]Capital!T23+[1]Capital!T25+[1]Capital!T27+[1]Capital!T41</f>
        <v>779554.47294000012</v>
      </c>
      <c r="V184" s="6">
        <f>-[1]Capital!U27+[1]Capital!U9+[1]Capital!U11+[1]Capital!U13+[1]Capital!U15+[1]Capital!U17+[1]Capital!U19+[1]Capital!U21+[1]Capital!U23+[1]Capital!U25+[1]Capital!U27+[1]Capital!U41</f>
        <v>789851.67347000004</v>
      </c>
      <c r="W184" s="6">
        <f>-[1]Capital!V27+[1]Capital!V9+[1]Capital!V11+[1]Capital!V13+[1]Capital!V15+[1]Capital!V17+[1]Capital!V19+[1]Capital!V21+[1]Capital!V23+[1]Capital!V25+[1]Capital!V27+[1]Capital!V41</f>
        <v>800250.34351999999</v>
      </c>
      <c r="X184" s="6">
        <f>-[1]Capital!W27+[1]Capital!W9+[1]Capital!W11+[1]Capital!W13+[1]Capital!W15+[1]Capital!W17+[1]Capital!W19+[1]Capital!W21+[1]Capital!W23+[1]Capital!W25+[1]Capital!W27+[1]Capital!W41</f>
        <v>810819.88679000002</v>
      </c>
      <c r="Y184" s="6">
        <f>-[1]Capital!X27+[1]Capital!X9+[1]Capital!X11+[1]Capital!X13+[1]Capital!X15+[1]Capital!X17+[1]Capital!X19+[1]Capital!X21+[1]Capital!X23+[1]Capital!X25+[1]Capital!X27+[1]Capital!X41</f>
        <v>821597.50271000003</v>
      </c>
      <c r="Z184" s="6">
        <f>-[1]Capital!Y27+[1]Capital!Y9+[1]Capital!Y11+[1]Capital!Y13+[1]Capital!Y15+[1]Capital!Y17+[1]Capital!Y19+[1]Capital!Y21+[1]Capital!Y23+[1]Capital!Y25+[1]Capital!Y27+[1]Capital!Y41</f>
        <v>832599.38743999985</v>
      </c>
      <c r="AA184" s="6">
        <f>-[1]Capital!Z27+[1]Capital!Z9+[1]Capital!Z11+[1]Capital!Z13+[1]Capital!Z15+[1]Capital!Z17+[1]Capital!Z19+[1]Capital!Z21+[1]Capital!Z23+[1]Capital!Z25+[1]Capital!Z27+[1]Capital!Z41</f>
        <v>843833.20293000003</v>
      </c>
      <c r="AB184" s="6">
        <f>-[1]Capital!AA27+[1]Capital!AA9+[1]Capital!AA11+[1]Capital!AA13+[1]Capital!AA15+[1]Capital!AA17+[1]Capital!AA19+[1]Capital!AA21+[1]Capital!AA23+[1]Capital!AA25+[1]Capital!AA27+[1]Capital!AA41</f>
        <v>855083.03289000003</v>
      </c>
      <c r="AC184" s="6">
        <f>-[1]Capital!AB27+[1]Capital!AB9+[1]Capital!AB11+[1]Capital!AB13+[1]Capital!AB15+[1]Capital!AB17+[1]Capital!AB19+[1]Capital!AB21+[1]Capital!AB23+[1]Capital!AB25+[1]Capital!AB27+[1]Capital!AB41</f>
        <v>866423.01923000009</v>
      </c>
      <c r="AD184" s="6">
        <f>-[1]Capital!AC27+[1]Capital!AC9+[1]Capital!AC11+[1]Capital!AC13+[1]Capital!AC15+[1]Capital!AC17+[1]Capital!AC19+[1]Capital!AC21+[1]Capital!AC23+[1]Capital!AC25+[1]Capital!AC27+[1]Capital!AC41</f>
        <v>877899.50413999998</v>
      </c>
      <c r="AE184" s="6">
        <f>-[1]Capital!AD27+[1]Capital!AD9+[1]Capital!AD11+[1]Capital!AD13+[1]Capital!AD15+[1]Capital!AD17+[1]Capital!AD19+[1]Capital!AD21+[1]Capital!AD23+[1]Capital!AD25+[1]Capital!AD27+[1]Capital!AD41</f>
        <v>889535.30550000002</v>
      </c>
      <c r="AF184" s="6">
        <f>-[1]Capital!AE27+[1]Capital!AE9+[1]Capital!AE11+[1]Capital!AE13+[1]Capital!AE15+[1]Capital!AE17+[1]Capital!AE19+[1]Capital!AE21+[1]Capital!AE23+[1]Capital!AE25+[1]Capital!AE27+[1]Capital!AE41</f>
        <v>901344.73529999994</v>
      </c>
      <c r="AG184" s="6">
        <f>-[1]Capital!AF27+[1]Capital!AF9+[1]Capital!AF11+[1]Capital!AF13+[1]Capital!AF15+[1]Capital!AF17+[1]Capital!AF19+[1]Capital!AF21+[1]Capital!AF23+[1]Capital!AF25+[1]Capital!AF27+[1]Capital!AF41</f>
        <v>913336.40315999999</v>
      </c>
      <c r="AH184" s="6">
        <f>-[1]Capital!AG27+[1]Capital!AG9+[1]Capital!AG11+[1]Capital!AG13+[1]Capital!AG15+[1]Capital!AG17+[1]Capital!AG19+[1]Capital!AG21+[1]Capital!AG23+[1]Capital!AG25+[1]Capital!AG27+[1]Capital!AG41</f>
        <v>925512.79642000003</v>
      </c>
      <c r="AI184" s="6">
        <f>-[1]Capital!AH27+[1]Capital!AH9+[1]Capital!AH11+[1]Capital!AH13+[1]Capital!AH15+[1]Capital!AH17+[1]Capital!AH19+[1]Capital!AH21+[1]Capital!AH23+[1]Capital!AH25+[1]Capital!AH27+[1]Capital!AH41</f>
        <v>937871.17002000008</v>
      </c>
      <c r="AJ184" s="6">
        <f>-[1]Capital!AI27+[1]Capital!AI9+[1]Capital!AI11+[1]Capital!AI13+[1]Capital!AI15+[1]Capital!AI17+[1]Capital!AI19+[1]Capital!AI21+[1]Capital!AI23+[1]Capital!AI25+[1]Capital!AI27+[1]Capital!AI41</f>
        <v>950406.10856000008</v>
      </c>
      <c r="AK184" s="6">
        <f>-[1]Capital!AJ27+[1]Capital!AJ9+[1]Capital!AJ11+[1]Capital!AJ13+[1]Capital!AJ15+[1]Capital!AJ17+[1]Capital!AJ19+[1]Capital!AJ21+[1]Capital!AJ23+[1]Capital!AJ25+[1]Capital!AJ27+[1]Capital!AJ41</f>
        <v>963112.47669000016</v>
      </c>
      <c r="AL184" s="6">
        <f>-[1]Capital!AK27+[1]Capital!AK9+[1]Capital!AK11+[1]Capital!AK13+[1]Capital!AK15+[1]Capital!AK17+[1]Capital!AK19+[1]Capital!AK21+[1]Capital!AK23+[1]Capital!AK25+[1]Capital!AK27+[1]Capital!AK41</f>
        <v>975987.40487000009</v>
      </c>
    </row>
    <row r="185" spans="1:38" x14ac:dyDescent="0.3">
      <c r="B185" t="s">
        <v>24</v>
      </c>
      <c r="C185" s="6">
        <f>[1]Capital!B43+[1]Capital!B47+[1]Capital!B45+[1]Capital!B49</f>
        <v>48093.3721917</v>
      </c>
      <c r="D185" s="6">
        <f>[1]Capital!C43+[1]Capital!C47+[1]Capital!C45+[1]Capital!C49</f>
        <v>48729.406075899999</v>
      </c>
      <c r="E185" s="6">
        <f>[1]Capital!D43+[1]Capital!D47+[1]Capital!D45+[1]Capital!D49</f>
        <v>49452.734491800002</v>
      </c>
      <c r="F185" s="6">
        <f>[1]Capital!E43+[1]Capital!E47+[1]Capital!E45+[1]Capital!E49</f>
        <v>50248.903713200001</v>
      </c>
      <c r="G185" s="6">
        <f>[1]Capital!F43+[1]Capital!F47+[1]Capital!F45+[1]Capital!F49</f>
        <v>51104.408714700003</v>
      </c>
      <c r="H185" s="6">
        <f>[1]Capital!G43+[1]Capital!G47+[1]Capital!G45+[1]Capital!G49</f>
        <v>52009.898380300001</v>
      </c>
      <c r="I185" s="6">
        <f>[1]Capital!H43+[1]Capital!H47+[1]Capital!H45+[1]Capital!H49</f>
        <v>52957.052323700002</v>
      </c>
      <c r="J185" s="6">
        <f>[1]Capital!I43+[1]Capital!I47+[1]Capital!I45+[1]Capital!I49</f>
        <v>53940.527570400001</v>
      </c>
      <c r="K185" s="6">
        <f>[1]Capital!J43+[1]Capital!J47+[1]Capital!J45+[1]Capital!J49</f>
        <v>54956.009505299997</v>
      </c>
      <c r="L185" s="6">
        <f>[1]Capital!K43+[1]Capital!K47+[1]Capital!K45+[1]Capital!K49</f>
        <v>55998.936850300001</v>
      </c>
      <c r="M185" s="6">
        <f>[1]Capital!L43+[1]Capital!L47+[1]Capital!L45+[1]Capital!L49</f>
        <v>57067.369620400001</v>
      </c>
      <c r="N185" s="6">
        <f>[1]Capital!M43+[1]Capital!M47+[1]Capital!M45+[1]Capital!M49</f>
        <v>58154.930547700002</v>
      </c>
      <c r="O185" s="6">
        <f>[1]Capital!N43+[1]Capital!N47+[1]Capital!N45+[1]Capital!N49</f>
        <v>59256.208885399996</v>
      </c>
      <c r="P185" s="6">
        <f>[1]Capital!O43+[1]Capital!O47+[1]Capital!O45+[1]Capital!O49</f>
        <v>60366.915141900005</v>
      </c>
      <c r="Q185" s="6">
        <f>[1]Capital!P43+[1]Capital!P47+[1]Capital!P45+[1]Capital!P49</f>
        <v>61483.112797200003</v>
      </c>
      <c r="R185" s="6">
        <f>[1]Capital!Q43+[1]Capital!Q47+[1]Capital!Q45+[1]Capital!Q49</f>
        <v>62600.748083700004</v>
      </c>
      <c r="S185" s="6">
        <f>[1]Capital!R43+[1]Capital!R47+[1]Capital!R45+[1]Capital!R49</f>
        <v>63715.610784000004</v>
      </c>
      <c r="T185" s="6">
        <f>[1]Capital!S43+[1]Capital!S47+[1]Capital!S45+[1]Capital!S49</f>
        <v>64823.569558599993</v>
      </c>
      <c r="U185" s="6">
        <f>[1]Capital!T43+[1]Capital!T47+[1]Capital!T45+[1]Capital!T49</f>
        <v>65920.925546400002</v>
      </c>
      <c r="V185" s="6">
        <f>[1]Capital!U43+[1]Capital!U47+[1]Capital!U45+[1]Capital!U49</f>
        <v>67004.736317600007</v>
      </c>
      <c r="W185" s="6">
        <f>[1]Capital!V43+[1]Capital!V47+[1]Capital!V45+[1]Capital!V49</f>
        <v>68070.576191300002</v>
      </c>
      <c r="X185" s="6">
        <f>[1]Capital!W43+[1]Capital!W47+[1]Capital!W45+[1]Capital!W49</f>
        <v>69118.258106299996</v>
      </c>
      <c r="Y185" s="6">
        <f>[1]Capital!X43+[1]Capital!X47+[1]Capital!X45+[1]Capital!X49</f>
        <v>70148.125316599995</v>
      </c>
      <c r="Z185" s="6">
        <f>[1]Capital!Y43+[1]Capital!Y47+[1]Capital!Y45+[1]Capital!Y49</f>
        <v>71160.697898700004</v>
      </c>
      <c r="AA185" s="6">
        <f>[1]Capital!Z43+[1]Capital!Z47+[1]Capital!Z45+[1]Capital!Z49</f>
        <v>72156.869275999998</v>
      </c>
      <c r="AB185" s="6">
        <f>[1]Capital!AA43+[1]Capital!AA47+[1]Capital!AA45+[1]Capital!AA49</f>
        <v>73130.3307031</v>
      </c>
      <c r="AC185" s="6">
        <f>[1]Capital!AB43+[1]Capital!AB47+[1]Capital!AB45+[1]Capital!AB49</f>
        <v>74082.619005999994</v>
      </c>
      <c r="AD185" s="6">
        <f>[1]Capital!AC43+[1]Capital!AC47+[1]Capital!AC45+[1]Capital!AC49</f>
        <v>75015.268229199981</v>
      </c>
      <c r="AE185" s="6">
        <f>[1]Capital!AD43+[1]Capital!AD47+[1]Capital!AD45+[1]Capital!AD49</f>
        <v>75929.018124999988</v>
      </c>
      <c r="AF185" s="6">
        <f>[1]Capital!AE43+[1]Capital!AE47+[1]Capital!AE45+[1]Capital!AE49</f>
        <v>76824.473883300001</v>
      </c>
      <c r="AG185" s="6">
        <f>[1]Capital!AF43+[1]Capital!AF47+[1]Capital!AF45+[1]Capital!AF49</f>
        <v>77702.564796699997</v>
      </c>
      <c r="AH185" s="6">
        <f>[1]Capital!AG43+[1]Capital!AG47+[1]Capital!AG45+[1]Capital!AG49</f>
        <v>78564.627503000011</v>
      </c>
      <c r="AI185" s="6">
        <f>[1]Capital!AH43+[1]Capital!AH47+[1]Capital!AH45+[1]Capital!AH49</f>
        <v>79412.240764000002</v>
      </c>
      <c r="AJ185" s="6">
        <f>[1]Capital!AI43+[1]Capital!AI47+[1]Capital!AI45+[1]Capital!AI49</f>
        <v>80246.973788999996</v>
      </c>
      <c r="AK185" s="6">
        <f>[1]Capital!AJ43+[1]Capital!AJ47+[1]Capital!AJ45+[1]Capital!AJ49</f>
        <v>81070.179946000004</v>
      </c>
      <c r="AL185" s="6">
        <f>[1]Capital!AK43+[1]Capital!AK47+[1]Capital!AK45+[1]Capital!AK49</f>
        <v>81882.886062000005</v>
      </c>
    </row>
    <row r="186" spans="1:38" x14ac:dyDescent="0.3">
      <c r="B186" t="s">
        <v>10</v>
      </c>
      <c r="C186" s="6">
        <f>[1]Capital!B37+[1]Capital!B39</f>
        <v>7642113.6660000002</v>
      </c>
      <c r="D186" s="6">
        <f>[1]Capital!C37+[1]Capital!C39</f>
        <v>7730346.3219999997</v>
      </c>
      <c r="E186" s="6">
        <f>[1]Capital!D37+[1]Capital!D39</f>
        <v>7820437.693</v>
      </c>
      <c r="F186" s="6">
        <f>[1]Capital!E37+[1]Capital!E39</f>
        <v>7913838.1209999993</v>
      </c>
      <c r="G186" s="6">
        <f>[1]Capital!F37+[1]Capital!F39</f>
        <v>8011175.7139999997</v>
      </c>
      <c r="H186" s="6">
        <f>[1]Capital!G37+[1]Capital!G39</f>
        <v>8112333.2120000003</v>
      </c>
      <c r="I186" s="6">
        <f>[1]Capital!H37+[1]Capital!H39</f>
        <v>8217096.4890000001</v>
      </c>
      <c r="J186" s="6">
        <f>[1]Capital!I37+[1]Capital!I39</f>
        <v>8324698.3880000003</v>
      </c>
      <c r="K186" s="6">
        <f>[1]Capital!J37+[1]Capital!J39</f>
        <v>8434563.3279999997</v>
      </c>
      <c r="L186" s="6">
        <f>[1]Capital!K37+[1]Capital!K39</f>
        <v>8546476.6160000004</v>
      </c>
      <c r="M186" s="6">
        <f>[1]Capital!L37+[1]Capital!L39</f>
        <v>8660087.3660000004</v>
      </c>
      <c r="N186" s="6">
        <f>[1]Capital!M37+[1]Capital!M39</f>
        <v>8776415.057</v>
      </c>
      <c r="O186" s="6">
        <f>[1]Capital!N37+[1]Capital!N39</f>
        <v>8895597.9230000004</v>
      </c>
      <c r="P186" s="6">
        <f>[1]Capital!O37+[1]Capital!O39</f>
        <v>9017532.3440000005</v>
      </c>
      <c r="Q186" s="6">
        <f>[1]Capital!P37+[1]Capital!P39</f>
        <v>9142110.1309999991</v>
      </c>
      <c r="R186" s="6">
        <f>[1]Capital!Q37+[1]Capital!Q39</f>
        <v>9269310.0260000005</v>
      </c>
      <c r="S186" s="6">
        <f>[1]Capital!R37+[1]Capital!R39</f>
        <v>9399226.841</v>
      </c>
      <c r="T186" s="6">
        <f>[1]Capital!S37+[1]Capital!S39</f>
        <v>9532058.0559999999</v>
      </c>
      <c r="U186" s="6">
        <f>[1]Capital!T37+[1]Capital!T39</f>
        <v>9668063.5720000006</v>
      </c>
      <c r="V186" s="6">
        <f>[1]Capital!U37+[1]Capital!U39</f>
        <v>9807517.2029999997</v>
      </c>
      <c r="W186" s="6">
        <f>[1]Capital!V37+[1]Capital!V39</f>
        <v>9950890.0219999999</v>
      </c>
      <c r="X186" s="6">
        <f>[1]Capital!W37+[1]Capital!W39</f>
        <v>10097858.418</v>
      </c>
      <c r="Y186" s="6">
        <f>[1]Capital!X37+[1]Capital!X39</f>
        <v>10248614.598999999</v>
      </c>
      <c r="Z186" s="6">
        <f>[1]Capital!Y37+[1]Capital!Y39</f>
        <v>10403396.741</v>
      </c>
      <c r="AA186" s="6">
        <f>[1]Capital!Z37+[1]Capital!Z39</f>
        <v>10562362.620000001</v>
      </c>
      <c r="AB186" s="6">
        <f>[1]Capital!AA37+[1]Capital!AA39</f>
        <v>10726123.208999999</v>
      </c>
      <c r="AC186" s="6">
        <f>[1]Capital!AB37+[1]Capital!AB39</f>
        <v>10893613.841</v>
      </c>
      <c r="AD186" s="6">
        <f>[1]Capital!AC37+[1]Capital!AC39</f>
        <v>11064596.84</v>
      </c>
      <c r="AE186" s="6">
        <f>[1]Capital!AD37+[1]Capital!AD39</f>
        <v>11239121.138</v>
      </c>
      <c r="AF186" s="6">
        <f>[1]Capital!AE37+[1]Capital!AE39</f>
        <v>11417282.682</v>
      </c>
      <c r="AG186" s="6">
        <f>[1]Capital!AF37+[1]Capital!AF39</f>
        <v>11599124.32</v>
      </c>
      <c r="AH186" s="6">
        <f>[1]Capital!AG37+[1]Capital!AG39</f>
        <v>11784608.671999998</v>
      </c>
      <c r="AI186" s="6">
        <f>[1]Capital!AH37+[1]Capital!AH39</f>
        <v>11973637.694</v>
      </c>
      <c r="AJ186" s="6">
        <f>[1]Capital!AI37+[1]Capital!AI39</f>
        <v>12166094.377</v>
      </c>
      <c r="AK186" s="6">
        <f>[1]Capital!AJ37+[1]Capital!AJ39</f>
        <v>12361882.936000001</v>
      </c>
      <c r="AL186" s="6">
        <f>[1]Capital!AK37+[1]Capital!AK39</f>
        <v>12560951.184</v>
      </c>
    </row>
    <row r="187" spans="1:38" x14ac:dyDescent="0.3">
      <c r="B187" t="s">
        <v>9</v>
      </c>
      <c r="C187" s="6">
        <f>[1]Capital!B29+[1]Capital!B31+[1]Capital!B33+[1]Capital!B35</f>
        <v>164788.41206999999</v>
      </c>
      <c r="D187" s="6">
        <f>[1]Capital!C29+[1]Capital!C31+[1]Capital!C33+[1]Capital!C35</f>
        <v>166626.95570999998</v>
      </c>
      <c r="E187" s="6">
        <f>[1]Capital!D29+[1]Capital!D31+[1]Capital!D33+[1]Capital!D35</f>
        <v>168428.18059</v>
      </c>
      <c r="F187" s="6">
        <f>[1]Capital!E29+[1]Capital!E31+[1]Capital!E33+[1]Capital!E35</f>
        <v>170235.46825000001</v>
      </c>
      <c r="G187" s="6">
        <f>[1]Capital!F29+[1]Capital!F31+[1]Capital!F33+[1]Capital!F35</f>
        <v>172079.57272</v>
      </c>
      <c r="H187" s="6">
        <f>[1]Capital!G29+[1]Capital!G31+[1]Capital!G33+[1]Capital!G35</f>
        <v>173974.09858999998</v>
      </c>
      <c r="I187" s="6">
        <f>[1]Capital!H29+[1]Capital!H31+[1]Capital!H33+[1]Capital!H35</f>
        <v>175917.41550999999</v>
      </c>
      <c r="J187" s="6">
        <f>[1]Capital!I29+[1]Capital!I31+[1]Capital!I33+[1]Capital!I35</f>
        <v>177901.73034000001</v>
      </c>
      <c r="K187" s="6">
        <f>[1]Capital!J29+[1]Capital!J31+[1]Capital!J33+[1]Capital!J35</f>
        <v>179921.54974000002</v>
      </c>
      <c r="L187" s="6">
        <f>[1]Capital!K29+[1]Capital!K31+[1]Capital!K33+[1]Capital!K35</f>
        <v>181976.63101999997</v>
      </c>
      <c r="M187" s="6">
        <f>[1]Capital!L29+[1]Capital!L31+[1]Capital!L33+[1]Capital!L35</f>
        <v>184078.12158000001</v>
      </c>
      <c r="N187" s="6">
        <f>[1]Capital!M29+[1]Capital!M31+[1]Capital!M33+[1]Capital!M35</f>
        <v>186233.64985000002</v>
      </c>
      <c r="O187" s="6">
        <f>[1]Capital!N29+[1]Capital!N31+[1]Capital!N33+[1]Capital!N35</f>
        <v>188444.21216</v>
      </c>
      <c r="P187" s="6">
        <f>[1]Capital!O29+[1]Capital!O31+[1]Capital!O33+[1]Capital!O35</f>
        <v>190707.2739</v>
      </c>
      <c r="Q187" s="6">
        <f>[1]Capital!P29+[1]Capital!P31+[1]Capital!P33+[1]Capital!P35</f>
        <v>193019.40452000001</v>
      </c>
      <c r="R187" s="6">
        <f>[1]Capital!Q29+[1]Capital!Q31+[1]Capital!Q33+[1]Capital!Q35</f>
        <v>195378.24876999998</v>
      </c>
      <c r="S187" s="6">
        <f>[1]Capital!R29+[1]Capital!R31+[1]Capital!R33+[1]Capital!R35</f>
        <v>197783.6568</v>
      </c>
      <c r="T187" s="6">
        <f>[1]Capital!S29+[1]Capital!S31+[1]Capital!S33+[1]Capital!S35</f>
        <v>200237.83351</v>
      </c>
      <c r="U187" s="6">
        <f>[1]Capital!T29+[1]Capital!T31+[1]Capital!T33+[1]Capital!T35</f>
        <v>202744.70496</v>
      </c>
      <c r="V187" s="6">
        <f>[1]Capital!U29+[1]Capital!U31+[1]Capital!U33+[1]Capital!U35</f>
        <v>205308.91577000002</v>
      </c>
      <c r="W187" s="6">
        <f>[1]Capital!V29+[1]Capital!V31+[1]Capital!V33+[1]Capital!V35</f>
        <v>207928.52926000001</v>
      </c>
      <c r="X187" s="6">
        <f>[1]Capital!W29+[1]Capital!W31+[1]Capital!W33+[1]Capital!W35</f>
        <v>210606.73896000002</v>
      </c>
      <c r="Y187" s="6">
        <f>[1]Capital!X29+[1]Capital!X31+[1]Capital!X33+[1]Capital!X35</f>
        <v>213349.07336000001</v>
      </c>
      <c r="Z187" s="6">
        <f>[1]Capital!Y29+[1]Capital!Y31+[1]Capital!Y33+[1]Capital!Y35</f>
        <v>216160.21965000001</v>
      </c>
      <c r="AA187" s="6">
        <f>[1]Capital!Z29+[1]Capital!Z31+[1]Capital!Z33+[1]Capital!Z35</f>
        <v>219043.00886999999</v>
      </c>
      <c r="AB187" s="6">
        <f>[1]Capital!AA29+[1]Capital!AA31+[1]Capital!AA33+[1]Capital!AA35</f>
        <v>221978.54281999997</v>
      </c>
      <c r="AC187" s="6">
        <f>[1]Capital!AB29+[1]Capital!AB31+[1]Capital!AB33+[1]Capital!AB35</f>
        <v>224959.32281999997</v>
      </c>
      <c r="AD187" s="6">
        <f>[1]Capital!AC29+[1]Capital!AC31+[1]Capital!AC33+[1]Capital!AC35</f>
        <v>227984.79017000002</v>
      </c>
      <c r="AE187" s="6">
        <f>[1]Capital!AD29+[1]Capital!AD31+[1]Capital!AD33+[1]Capital!AD35</f>
        <v>231057.52570999999</v>
      </c>
      <c r="AF187" s="6">
        <f>[1]Capital!AE29+[1]Capital!AE31+[1]Capital!AE33+[1]Capital!AE35</f>
        <v>234180.61482000002</v>
      </c>
      <c r="AG187" s="6">
        <f>[1]Capital!AF29+[1]Capital!AF31+[1]Capital!AF33+[1]Capital!AF35</f>
        <v>237356.00221000001</v>
      </c>
      <c r="AH187" s="6">
        <f>[1]Capital!AG29+[1]Capital!AG31+[1]Capital!AG33+[1]Capital!AG35</f>
        <v>240583.86622999999</v>
      </c>
      <c r="AI187" s="6">
        <f>[1]Capital!AH29+[1]Capital!AH31+[1]Capital!AH33+[1]Capital!AH35</f>
        <v>243862.91170000003</v>
      </c>
      <c r="AJ187" s="6">
        <f>[1]Capital!AI29+[1]Capital!AI31+[1]Capital!AI33+[1]Capital!AI35</f>
        <v>247191.20336999997</v>
      </c>
      <c r="AK187" s="6">
        <f>[1]Capital!AJ29+[1]Capital!AJ31+[1]Capital!AJ33+[1]Capital!AJ35</f>
        <v>250567.05817</v>
      </c>
      <c r="AL187" s="6">
        <f>[1]Capital!AK29+[1]Capital!AK31+[1]Capital!AK33+[1]Capital!AK35</f>
        <v>253989.61126999999</v>
      </c>
    </row>
    <row r="188" spans="1:38" x14ac:dyDescent="0.3"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</row>
    <row r="189" spans="1:38" x14ac:dyDescent="0.3">
      <c r="A189" s="12" t="s">
        <v>29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</row>
    <row r="190" spans="1:38" x14ac:dyDescent="0.3">
      <c r="A190" t="s">
        <v>27</v>
      </c>
      <c r="B190" t="s">
        <v>28</v>
      </c>
      <c r="C190" s="6">
        <f>[1]Capital!B2</f>
        <v>8841531.8310000002</v>
      </c>
      <c r="D190" s="6">
        <f>[1]Capital!C2</f>
        <v>8943711.9890000001</v>
      </c>
      <c r="E190" s="6">
        <f>[1]Capital!D2</f>
        <v>9048139.1319999993</v>
      </c>
      <c r="F190" s="6">
        <f>[1]Capital!E2</f>
        <v>9156345.7510000002</v>
      </c>
      <c r="G190" s="6">
        <f>[1]Capital!F2</f>
        <v>9268951.4289999995</v>
      </c>
      <c r="H190" s="6">
        <f>[1]Capital!G2</f>
        <v>9385810.2229999993</v>
      </c>
      <c r="I190" s="6">
        <f>[1]Capital!H2</f>
        <v>9506700.4539999999</v>
      </c>
      <c r="J190" s="6">
        <f>[1]Capital!I2</f>
        <v>9627794.716</v>
      </c>
      <c r="K190" s="6">
        <f>[1]Capital!J2</f>
        <v>9746738.1349999998</v>
      </c>
      <c r="L190" s="6">
        <f>[1]Capital!K2</f>
        <v>9863423.7620000001</v>
      </c>
      <c r="M190" s="6">
        <f>[1]Capital!L2</f>
        <v>9979321.3550000004</v>
      </c>
      <c r="N190" s="6">
        <f>[1]Capital!M2</f>
        <v>10097112.720000001</v>
      </c>
      <c r="O190" s="6">
        <f>[1]Capital!N2</f>
        <v>10218657.77</v>
      </c>
      <c r="P190" s="6">
        <f>[1]Capital!O2</f>
        <v>10344941.15</v>
      </c>
      <c r="Q190" s="6">
        <f>[1]Capital!P2</f>
        <v>10476137.25</v>
      </c>
      <c r="R190" s="6">
        <f>[1]Capital!Q2</f>
        <v>10611905.42</v>
      </c>
      <c r="S190" s="6">
        <f>[1]Capital!R2</f>
        <v>10751776.130000001</v>
      </c>
      <c r="T190" s="6">
        <f>[1]Capital!S2</f>
        <v>10895453.85</v>
      </c>
      <c r="U190" s="6">
        <f>[1]Capital!T2</f>
        <v>11042943.789999999</v>
      </c>
      <c r="V190" s="6">
        <f>[1]Capital!U2</f>
        <v>11194511.34</v>
      </c>
      <c r="W190" s="6">
        <f>[1]Capital!V2</f>
        <v>11350573.460000001</v>
      </c>
      <c r="X190" s="6">
        <f>[1]Capital!W2</f>
        <v>11511157.99</v>
      </c>
      <c r="Y190" s="6">
        <f>[1]Capital!X2</f>
        <v>11676565.369999999</v>
      </c>
      <c r="Z190" s="6">
        <f>[1]Capital!Y2</f>
        <v>11846972.15</v>
      </c>
      <c r="AA190" s="6">
        <f>[1]Capital!Z2</f>
        <v>12022366.42</v>
      </c>
      <c r="AB190" s="6">
        <f>[1]Capital!AA2</f>
        <v>12202550.699999999</v>
      </c>
      <c r="AC190" s="6">
        <f>[1]Capital!AB2</f>
        <v>12386621.93</v>
      </c>
      <c r="AD190" s="6">
        <f>[1]Capital!AC2</f>
        <v>12574327.539999999</v>
      </c>
      <c r="AE190" s="6">
        <f>[1]Capital!AD2</f>
        <v>12765694.48</v>
      </c>
      <c r="AF190" s="6">
        <f>[1]Capital!AE2</f>
        <v>12960846.029999999</v>
      </c>
      <c r="AG190" s="6">
        <f>[1]Capital!AF2</f>
        <v>13159889.07</v>
      </c>
      <c r="AH190" s="6">
        <f>[1]Capital!AG2</f>
        <v>13362857.189999999</v>
      </c>
      <c r="AI190" s="6">
        <f>[1]Capital!AH2</f>
        <v>13569708.26</v>
      </c>
      <c r="AJ190" s="6">
        <f>[1]Capital!AI2</f>
        <v>13780359.390000001</v>
      </c>
      <c r="AK190" s="6">
        <f>[1]Capital!AJ2</f>
        <v>13994732.720000001</v>
      </c>
      <c r="AL190" s="6">
        <f>[1]Capital!AK2</f>
        <v>14212788.789999999</v>
      </c>
    </row>
    <row r="191" spans="1:38" x14ac:dyDescent="0.3">
      <c r="B191" t="s">
        <v>7</v>
      </c>
      <c r="C191" s="6">
        <f>[1]Capital!B4+[1]Capital!B6</f>
        <v>195859.69381999999</v>
      </c>
      <c r="D191" s="6">
        <f>[1]Capital!C4+[1]Capital!C6</f>
        <v>197989.98788</v>
      </c>
      <c r="E191" s="6">
        <f>[1]Capital!D4+[1]Capital!D6</f>
        <v>199974.79164000001</v>
      </c>
      <c r="F191" s="6">
        <f>[1]Capital!E4+[1]Capital!E6</f>
        <v>201836.58311000001</v>
      </c>
      <c r="G191" s="6">
        <f>[1]Capital!F4+[1]Capital!F6</f>
        <v>203611.22988</v>
      </c>
      <c r="H191" s="6">
        <f>[1]Capital!G4+[1]Capital!G6</f>
        <v>205332.41885000002</v>
      </c>
      <c r="I191" s="6">
        <f>[1]Capital!H4+[1]Capital!H6</f>
        <v>207065.74490999998</v>
      </c>
      <c r="J191" s="6">
        <f>[1]Capital!I4+[1]Capital!I6</f>
        <v>208757.86066999999</v>
      </c>
      <c r="K191" s="6">
        <f>[1]Capital!J4+[1]Capital!J6</f>
        <v>210343.51879999999</v>
      </c>
      <c r="L191" s="6">
        <f>[1]Capital!K4+[1]Capital!K6</f>
        <v>211793.65297</v>
      </c>
      <c r="M191" s="6">
        <f>[1]Capital!L4+[1]Capital!L6</f>
        <v>213117.33213</v>
      </c>
      <c r="N191" s="6">
        <f>[1]Capital!M4+[1]Capital!M6</f>
        <v>214326.53344</v>
      </c>
      <c r="O191" s="6">
        <f>[1]Capital!N4+[1]Capital!N6</f>
        <v>215436.62458999999</v>
      </c>
      <c r="P191" s="6">
        <f>[1]Capital!O4+[1]Capital!O6</f>
        <v>216460.27008000002</v>
      </c>
      <c r="Q191" s="6">
        <f>[1]Capital!P4+[1]Capital!P6</f>
        <v>217406.25594</v>
      </c>
      <c r="R191" s="6">
        <f>[1]Capital!Q4+[1]Capital!Q6</f>
        <v>218281.74268</v>
      </c>
      <c r="S191" s="6">
        <f>[1]Capital!R4+[1]Capital!R6</f>
        <v>219095.17728</v>
      </c>
      <c r="T191" s="6">
        <f>[1]Capital!S4+[1]Capital!S6</f>
        <v>219857.90586999999</v>
      </c>
      <c r="U191" s="6">
        <f>[1]Capital!T4+[1]Capital!T6</f>
        <v>220583.89979999998</v>
      </c>
      <c r="V191" s="6">
        <f>[1]Capital!U4+[1]Capital!U6</f>
        <v>221288.07980000001</v>
      </c>
      <c r="W191" s="6">
        <f>[1]Capital!V4+[1]Capital!V6</f>
        <v>221977.86779000002</v>
      </c>
      <c r="X191" s="6">
        <f>[1]Capital!W4+[1]Capital!W6</f>
        <v>222665.57680000001</v>
      </c>
      <c r="Y191" s="6">
        <f>[1]Capital!X4+[1]Capital!X6</f>
        <v>223359.71934000001</v>
      </c>
      <c r="Z191" s="6">
        <f>[1]Capital!Y4+[1]Capital!Y6</f>
        <v>224064.43171999999</v>
      </c>
      <c r="AA191" s="6">
        <f>[1]Capital!Z4+[1]Capital!Z6</f>
        <v>224780.10530999998</v>
      </c>
      <c r="AB191" s="6">
        <f>[1]Capital!AA4+[1]Capital!AA6</f>
        <v>225486.85517</v>
      </c>
      <c r="AC191" s="6">
        <f>[1]Capital!AB4+[1]Capital!AB6</f>
        <v>226178.77063000001</v>
      </c>
      <c r="AD191" s="6">
        <f>[1]Capital!AC4+[1]Capital!AC6</f>
        <v>226852.66877999998</v>
      </c>
      <c r="AE191" s="6">
        <f>[1]Capital!AD4+[1]Capital!AD6</f>
        <v>227507.39835999999</v>
      </c>
      <c r="AF191" s="6">
        <f>[1]Capital!AE4+[1]Capital!AE6</f>
        <v>228143.11829999997</v>
      </c>
      <c r="AG191" s="6">
        <f>[1]Capital!AF4+[1]Capital!AF6</f>
        <v>228760.49656999999</v>
      </c>
      <c r="AH191" s="6">
        <f>[1]Capital!AG4+[1]Capital!AG6</f>
        <v>229360.20647999999</v>
      </c>
      <c r="AI191" s="6">
        <f>[1]Capital!AH4+[1]Capital!AH6</f>
        <v>229942.83296999999</v>
      </c>
      <c r="AJ191" s="6">
        <f>[1]Capital!AI4+[1]Capital!AI6</f>
        <v>230509.0563</v>
      </c>
      <c r="AK191" s="6">
        <f>[1]Capital!AJ4+[1]Capital!AJ6</f>
        <v>231059.89388000002</v>
      </c>
      <c r="AL191" s="6">
        <f>[1]Capital!AK4+[1]Capital!AK6</f>
        <v>231596.82465</v>
      </c>
    </row>
    <row r="192" spans="1:38" x14ac:dyDescent="0.3">
      <c r="B192" t="s">
        <v>96</v>
      </c>
      <c r="C192" s="6">
        <f>[1]Capital!B26</f>
        <v>84744.617679999996</v>
      </c>
      <c r="D192" s="6">
        <f>[1]Capital!C26</f>
        <v>86030.010800000004</v>
      </c>
      <c r="E192" s="6">
        <f>[1]Capital!D26</f>
        <v>87728.139320000002</v>
      </c>
      <c r="F192" s="6">
        <f>[1]Capital!E26</f>
        <v>89730.074030000003</v>
      </c>
      <c r="G192" s="6">
        <f>[1]Capital!F26</f>
        <v>91897.795280000006</v>
      </c>
      <c r="H192" s="6">
        <f>[1]Capital!G26</f>
        <v>94132.047909999994</v>
      </c>
      <c r="I192" s="6">
        <f>[1]Capital!H26</f>
        <v>96263.698539999998</v>
      </c>
      <c r="J192" s="6">
        <f>[1]Capital!I26</f>
        <v>98248.889190000002</v>
      </c>
      <c r="K192" s="6">
        <f>[1]Capital!J26</f>
        <v>100080.50599999999</v>
      </c>
      <c r="L192" s="6">
        <f>[1]Capital!K26</f>
        <v>101779.1489</v>
      </c>
      <c r="M192" s="6">
        <f>[1]Capital!L26</f>
        <v>103554.3388</v>
      </c>
      <c r="N192" s="6">
        <f>[1]Capital!M26</f>
        <v>105245.9667</v>
      </c>
      <c r="O192" s="6">
        <f>[1]Capital!N26</f>
        <v>106888.74129999999</v>
      </c>
      <c r="P192" s="6">
        <f>[1]Capital!O26</f>
        <v>108535.969</v>
      </c>
      <c r="Q192" s="6">
        <f>[1]Capital!P26</f>
        <v>110217.4808</v>
      </c>
      <c r="R192" s="6">
        <f>[1]Capital!Q26</f>
        <v>111941.246</v>
      </c>
      <c r="S192" s="6">
        <f>[1]Capital!R26</f>
        <v>113704.0796</v>
      </c>
      <c r="T192" s="6">
        <f>[1]Capital!S26</f>
        <v>115501.1758</v>
      </c>
      <c r="U192" s="6">
        <f>[1]Capital!T26</f>
        <v>117331.38189999999</v>
      </c>
      <c r="V192" s="6">
        <f>[1]Capital!U26</f>
        <v>119198.1721</v>
      </c>
      <c r="W192" s="6">
        <f>[1]Capital!V26</f>
        <v>120989.0885</v>
      </c>
      <c r="X192" s="6">
        <f>[1]Capital!W26</f>
        <v>122857.4399</v>
      </c>
      <c r="Y192" s="6">
        <f>[1]Capital!X26</f>
        <v>124821.5959</v>
      </c>
      <c r="Z192" s="6">
        <f>[1]Capital!Y26</f>
        <v>126867.7666</v>
      </c>
      <c r="AA192" s="6">
        <f>[1]Capital!Z26</f>
        <v>128980.4786</v>
      </c>
      <c r="AB192" s="6">
        <f>[1]Capital!AA26</f>
        <v>130797.6194</v>
      </c>
      <c r="AC192" s="6">
        <f>[1]Capital!AB26</f>
        <v>132603.63320000001</v>
      </c>
      <c r="AD192" s="6">
        <f>[1]Capital!AC26</f>
        <v>134467.2432</v>
      </c>
      <c r="AE192" s="6">
        <f>[1]Capital!AD26</f>
        <v>136393.85159999999</v>
      </c>
      <c r="AF192" s="6">
        <f>[1]Capital!AE26</f>
        <v>138377.96059999999</v>
      </c>
      <c r="AG192" s="6">
        <f>[1]Capital!AF26</f>
        <v>140414.60870000001</v>
      </c>
      <c r="AH192" s="6">
        <f>[1]Capital!AG26</f>
        <v>142500.09479999999</v>
      </c>
      <c r="AI192" s="6">
        <f>[1]Capital!AH26</f>
        <v>144631.15330000001</v>
      </c>
      <c r="AJ192" s="6">
        <f>[1]Capital!AI26</f>
        <v>146804.71849999999</v>
      </c>
      <c r="AK192" s="6">
        <f>[1]Capital!AJ26</f>
        <v>149018.25810000001</v>
      </c>
      <c r="AL192" s="6">
        <f>[1]Capital!AK26</f>
        <v>151270.18789999999</v>
      </c>
    </row>
    <row r="193" spans="1:38" x14ac:dyDescent="0.3">
      <c r="B193" t="s">
        <v>11</v>
      </c>
      <c r="C193" s="6">
        <f>[1]Capital!B50+[1]Capital!B52+[1]Capital!B54+[1]Capital!B56+[1]Capital!B58+[1]Capital!B60+[1]Capital!B62+[1]Capital!B64+[1]Capital!B66</f>
        <v>83896.631688600013</v>
      </c>
      <c r="D193" s="6">
        <f>[1]Capital!C50+[1]Capital!C52+[1]Capital!C54+[1]Capital!C56+[1]Capital!C58+[1]Capital!C60+[1]Capital!C62+[1]Capital!C64+[1]Capital!C66</f>
        <v>84841.838205099979</v>
      </c>
      <c r="E193" s="6">
        <f>[1]Capital!D50+[1]Capital!D52+[1]Capital!D54+[1]Capital!D56+[1]Capital!D58+[1]Capital!D60+[1]Capital!D62+[1]Capital!D64+[1]Capital!D66</f>
        <v>85762.330670800002</v>
      </c>
      <c r="F193" s="6">
        <f>[1]Capital!E50+[1]Capital!E52+[1]Capital!E54+[1]Capital!E56+[1]Capital!E58+[1]Capital!E60+[1]Capital!E62+[1]Capital!E64+[1]Capital!E66</f>
        <v>86665.340042800002</v>
      </c>
      <c r="G193" s="6">
        <f>[1]Capital!F50+[1]Capital!F52+[1]Capital!F54+[1]Capital!F56+[1]Capital!F58+[1]Capital!F60+[1]Capital!F62+[1]Capital!F64+[1]Capital!F66</f>
        <v>87571.146320900021</v>
      </c>
      <c r="H193" s="6">
        <f>[1]Capital!G50+[1]Capital!G52+[1]Capital!G54+[1]Capital!G56+[1]Capital!G58+[1]Capital!G60+[1]Capital!G62+[1]Capital!G64+[1]Capital!G66</f>
        <v>88507.544500199991</v>
      </c>
      <c r="I193" s="6">
        <f>[1]Capital!H50+[1]Capital!H52+[1]Capital!H54+[1]Capital!H56+[1]Capital!H58+[1]Capital!H60+[1]Capital!H62+[1]Capital!H64+[1]Capital!H66</f>
        <v>89509.550985900001</v>
      </c>
      <c r="J193" s="6">
        <f>[1]Capital!I50+[1]Capital!I52+[1]Capital!I54+[1]Capital!I56+[1]Capital!I58+[1]Capital!I60+[1]Capital!I62+[1]Capital!I64+[1]Capital!I66</f>
        <v>90621.935954899993</v>
      </c>
      <c r="K193" s="6">
        <f>[1]Capital!J50+[1]Capital!J52+[1]Capital!J54+[1]Capital!J56+[1]Capital!J58+[1]Capital!J60+[1]Capital!J62+[1]Capital!J64+[1]Capital!J66</f>
        <v>91878.536925899985</v>
      </c>
      <c r="L193" s="6">
        <f>[1]Capital!K50+[1]Capital!K52+[1]Capital!K54+[1]Capital!K56+[1]Capital!K58+[1]Capital!K60+[1]Capital!K62+[1]Capital!K64+[1]Capital!K66</f>
        <v>93284.511408100036</v>
      </c>
      <c r="M193" s="6">
        <f>[1]Capital!L50+[1]Capital!L52+[1]Capital!L54+[1]Capital!L56+[1]Capital!L58+[1]Capital!L60+[1]Capital!L62+[1]Capital!L64+[1]Capital!L66</f>
        <v>94818.015734200002</v>
      </c>
      <c r="N193" s="6">
        <f>[1]Capital!M50+[1]Capital!M52+[1]Capital!M54+[1]Capital!M56+[1]Capital!M58+[1]Capital!M60+[1]Capital!M62+[1]Capital!M64+[1]Capital!M66</f>
        <v>96437.329988099998</v>
      </c>
      <c r="O193" s="6">
        <f>[1]Capital!N50+[1]Capital!N52+[1]Capital!N54+[1]Capital!N56+[1]Capital!N58+[1]Capital!N60+[1]Capital!N62+[1]Capital!N64+[1]Capital!N66</f>
        <v>98099.481158099996</v>
      </c>
      <c r="P193" s="6">
        <f>[1]Capital!O50+[1]Capital!O52+[1]Capital!O54+[1]Capital!O56+[1]Capital!O58+[1]Capital!O60+[1]Capital!O62+[1]Capital!O64+[1]Capital!O66</f>
        <v>99772.162090000013</v>
      </c>
      <c r="Q193" s="6">
        <f>[1]Capital!P50+[1]Capital!P52+[1]Capital!P54+[1]Capital!P56+[1]Capital!P58+[1]Capital!P60+[1]Capital!P62+[1]Capital!P64+[1]Capital!P66</f>
        <v>101438.42317669997</v>
      </c>
      <c r="R193" s="6">
        <f>[1]Capital!Q50+[1]Capital!Q52+[1]Capital!Q54+[1]Capital!Q56+[1]Capital!Q58+[1]Capital!Q60+[1]Capital!Q62+[1]Capital!Q64+[1]Capital!Q66</f>
        <v>103094.26230370003</v>
      </c>
      <c r="S193" s="6">
        <f>[1]Capital!R50+[1]Capital!R52+[1]Capital!R54+[1]Capital!R56+[1]Capital!R58+[1]Capital!R60+[1]Capital!R62+[1]Capital!R64+[1]Capital!R66</f>
        <v>104742.5169653</v>
      </c>
      <c r="T193" s="6">
        <f>[1]Capital!S50+[1]Capital!S52+[1]Capital!S54+[1]Capital!S56+[1]Capital!S58+[1]Capital!S60+[1]Capital!S62+[1]Capital!S64+[1]Capital!S66</f>
        <v>106388.02263610001</v>
      </c>
      <c r="U193" s="6">
        <f>[1]Capital!T50+[1]Capital!T52+[1]Capital!T54+[1]Capital!T56+[1]Capital!T58+[1]Capital!T60+[1]Capital!T62+[1]Capital!T64+[1]Capital!T66</f>
        <v>108035.08057559999</v>
      </c>
      <c r="V193" s="6">
        <f>[1]Capital!U50+[1]Capital!U52+[1]Capital!U54+[1]Capital!U56+[1]Capital!U58+[1]Capital!U60+[1]Capital!U62+[1]Capital!U64+[1]Capital!U66</f>
        <v>109687.18658009999</v>
      </c>
      <c r="W193" s="6">
        <f>[1]Capital!V50+[1]Capital!V52+[1]Capital!V54+[1]Capital!V56+[1]Capital!V58+[1]Capital!V60+[1]Capital!V62+[1]Capital!V64+[1]Capital!V66</f>
        <v>111345.1743867</v>
      </c>
      <c r="X193" s="6">
        <f>[1]Capital!W50+[1]Capital!W52+[1]Capital!W54+[1]Capital!W56+[1]Capital!W58+[1]Capital!W60+[1]Capital!W62+[1]Capital!W64+[1]Capital!W66</f>
        <v>113014.60487369999</v>
      </c>
      <c r="Y193" s="6">
        <f>[1]Capital!X50+[1]Capital!X52+[1]Capital!X54+[1]Capital!X56+[1]Capital!X58+[1]Capital!X60+[1]Capital!X62+[1]Capital!X64+[1]Capital!X66</f>
        <v>114703.23764779999</v>
      </c>
      <c r="Z193" s="6">
        <f>[1]Capital!Y50+[1]Capital!Y52+[1]Capital!Y54+[1]Capital!Y56+[1]Capital!Y58+[1]Capital!Y60+[1]Capital!Y62+[1]Capital!Y64+[1]Capital!Y66</f>
        <v>116420.19743239997</v>
      </c>
      <c r="AA193" s="6">
        <f>[1]Capital!Z50+[1]Capital!Z52+[1]Capital!Z54+[1]Capital!Z56+[1]Capital!Z58+[1]Capital!Z60+[1]Capital!Z62+[1]Capital!Z64+[1]Capital!Z66</f>
        <v>118175.18879839999</v>
      </c>
      <c r="AB193" s="6">
        <f>[1]Capital!AA50+[1]Capital!AA52+[1]Capital!AA54+[1]Capital!AA56+[1]Capital!AA58+[1]Capital!AA60+[1]Capital!AA62+[1]Capital!AA64+[1]Capital!AA66</f>
        <v>119967.46692070001</v>
      </c>
      <c r="AC193" s="6">
        <f>[1]Capital!AB50+[1]Capital!AB52+[1]Capital!AB54+[1]Capital!AB56+[1]Capital!AB58+[1]Capital!AB60+[1]Capital!AB62+[1]Capital!AB64+[1]Capital!AB66</f>
        <v>121801.49754159999</v>
      </c>
      <c r="AD193" s="6">
        <f>[1]Capital!AC50+[1]Capital!AC52+[1]Capital!AC54+[1]Capital!AC56+[1]Capital!AC58+[1]Capital!AC60+[1]Capital!AC62+[1]Capital!AC64+[1]Capital!AC66</f>
        <v>123678.24590119997</v>
      </c>
      <c r="AE193" s="6">
        <f>[1]Capital!AD50+[1]Capital!AD52+[1]Capital!AD54+[1]Capital!AD56+[1]Capital!AD58+[1]Capital!AD60+[1]Capital!AD62+[1]Capital!AD64+[1]Capital!AD66</f>
        <v>125594.3031988</v>
      </c>
      <c r="AF193" s="6">
        <f>[1]Capital!AE50+[1]Capital!AE52+[1]Capital!AE54+[1]Capital!AE56+[1]Capital!AE58+[1]Capital!AE60+[1]Capital!AE62+[1]Capital!AE64+[1]Capital!AE66</f>
        <v>127543.77172640002</v>
      </c>
      <c r="AG193" s="6">
        <f>[1]Capital!AF50+[1]Capital!AF52+[1]Capital!AF54+[1]Capital!AF56+[1]Capital!AF58+[1]Capital!AF60+[1]Capital!AF62+[1]Capital!AF64+[1]Capital!AF66</f>
        <v>129520.35773189999</v>
      </c>
      <c r="AH193" s="6">
        <f>[1]Capital!AG50+[1]Capital!AG52+[1]Capital!AG54+[1]Capital!AG56+[1]Capital!AG58+[1]Capital!AG60+[1]Capital!AG62+[1]Capital!AG64+[1]Capital!AG66</f>
        <v>131518.58899599998</v>
      </c>
      <c r="AI193" s="6">
        <f>[1]Capital!AH50+[1]Capital!AH52+[1]Capital!AH54+[1]Capital!AH56+[1]Capital!AH58+[1]Capital!AH60+[1]Capital!AH62+[1]Capital!AH64+[1]Capital!AH66</f>
        <v>133534.35606429999</v>
      </c>
      <c r="AJ193" s="6">
        <f>[1]Capital!AI50+[1]Capital!AI52+[1]Capital!AI54+[1]Capital!AI56+[1]Capital!AI58+[1]Capital!AI60+[1]Capital!AI62+[1]Capital!AI64+[1]Capital!AI66</f>
        <v>135564.85678880004</v>
      </c>
      <c r="AK193" s="6">
        <f>[1]Capital!AJ50+[1]Capital!AJ52+[1]Capital!AJ54+[1]Capital!AJ56+[1]Capital!AJ58+[1]Capital!AJ60+[1]Capital!AJ62+[1]Capital!AJ64+[1]Capital!AJ66</f>
        <v>137608.17655120001</v>
      </c>
      <c r="AL193" s="6">
        <f>[1]Capital!AK50+[1]Capital!AK52+[1]Capital!AK54+[1]Capital!AK56+[1]Capital!AK58+[1]Capital!AK60+[1]Capital!AK62+[1]Capital!AK64+[1]Capital!AK66</f>
        <v>139662.8822856</v>
      </c>
    </row>
    <row r="194" spans="1:38" x14ac:dyDescent="0.3">
      <c r="B194" t="s">
        <v>8</v>
      </c>
      <c r="C194" s="6">
        <f>-[1]Capital!B26+[1]Capital!B8+[1]Capital!B10+[1]Capital!B13+[1]Capital!B14+[1]Capital!B16+[1]Capital!B18+[1]Capital!B20+[1]Capital!B22+[1]Capital!B24+[1]Capital!B26+[1]Capital!B40</f>
        <v>622035.43836700008</v>
      </c>
      <c r="D194" s="6">
        <f>-[1]Capital!C26+[1]Capital!C8+[1]Capital!C10+[1]Capital!C13+[1]Capital!C14+[1]Capital!C16+[1]Capital!C18+[1]Capital!C20+[1]Capital!C22+[1]Capital!C24+[1]Capital!C26+[1]Capital!C40</f>
        <v>629147.46870099998</v>
      </c>
      <c r="E194" s="6">
        <f>-[1]Capital!D26+[1]Capital!D8+[1]Capital!D10+[1]Capital!D13+[1]Capital!D14+[1]Capital!D16+[1]Capital!D18+[1]Capital!D20+[1]Capital!D22+[1]Capital!D24+[1]Capital!D26+[1]Capital!D40</f>
        <v>636355.26282600011</v>
      </c>
      <c r="F194" s="6">
        <f>-[1]Capital!E26+[1]Capital!E8+[1]Capital!E10+[1]Capital!E13+[1]Capital!E14+[1]Capital!E16+[1]Capital!E18+[1]Capital!E20+[1]Capital!E22+[1]Capital!E24+[1]Capital!E26+[1]Capital!E40</f>
        <v>643791.26085600012</v>
      </c>
      <c r="G194" s="6">
        <f>-[1]Capital!F26+[1]Capital!F8+[1]Capital!F10+[1]Capital!F13+[1]Capital!F14+[1]Capital!F16+[1]Capital!F18+[1]Capital!F20+[1]Capital!F22+[1]Capital!F24+[1]Capital!F26+[1]Capital!F40</f>
        <v>651511.56143899995</v>
      </c>
      <c r="H194" s="6">
        <f>-[1]Capital!G26+[1]Capital!G8+[1]Capital!G10+[1]Capital!G13+[1]Capital!G14+[1]Capital!G16+[1]Capital!G18+[1]Capital!G20+[1]Capital!G22+[1]Capital!G24+[1]Capital!G26+[1]Capital!G40</f>
        <v>659521.00382899994</v>
      </c>
      <c r="I194" s="6">
        <f>-[1]Capital!H26+[1]Capital!H8+[1]Capital!H10+[1]Capital!H13+[1]Capital!H14+[1]Capital!H16+[1]Capital!H18+[1]Capital!H20+[1]Capital!H22+[1]Capital!H24+[1]Capital!H26+[1]Capital!H40</f>
        <v>667775.46383000002</v>
      </c>
      <c r="J194" s="6">
        <f>-[1]Capital!I26+[1]Capital!I8+[1]Capital!I10+[1]Capital!I13+[1]Capital!I14+[1]Capital!I16+[1]Capital!I18+[1]Capital!I20+[1]Capital!I22+[1]Capital!I24+[1]Capital!I26+[1]Capital!I40</f>
        <v>675979.92327999987</v>
      </c>
      <c r="K194" s="6">
        <f>-[1]Capital!J26+[1]Capital!J8+[1]Capital!J10+[1]Capital!J13+[1]Capital!J14+[1]Capital!J16+[1]Capital!J18+[1]Capital!J20+[1]Capital!J22+[1]Capital!J24+[1]Capital!J26+[1]Capital!J40</f>
        <v>683938.0825570001</v>
      </c>
      <c r="L194" s="6">
        <f>-[1]Capital!K26+[1]Capital!K8+[1]Capital!K10+[1]Capital!K13+[1]Capital!K14+[1]Capital!K16+[1]Capital!K18+[1]Capital!K20+[1]Capital!K22+[1]Capital!K24+[1]Capital!K26+[1]Capital!K40</f>
        <v>691615.11627800006</v>
      </c>
      <c r="M194" s="6">
        <f>-[1]Capital!L26+[1]Capital!L8+[1]Capital!L10+[1]Capital!L13+[1]Capital!L14+[1]Capital!L16+[1]Capital!L18+[1]Capital!L20+[1]Capital!L22+[1]Capital!L24+[1]Capital!L26+[1]Capital!L40</f>
        <v>699208.23265000014</v>
      </c>
      <c r="N194" s="6">
        <f>-[1]Capital!M26+[1]Capital!M8+[1]Capital!M10+[1]Capital!M13+[1]Capital!M14+[1]Capital!M16+[1]Capital!M18+[1]Capital!M20+[1]Capital!M22+[1]Capital!M24+[1]Capital!M26+[1]Capital!M40</f>
        <v>706801.51085000008</v>
      </c>
      <c r="O194" s="6">
        <f>-[1]Capital!N26+[1]Capital!N8+[1]Capital!N10+[1]Capital!N13+[1]Capital!N14+[1]Capital!N16+[1]Capital!N18+[1]Capital!N20+[1]Capital!N22+[1]Capital!N24+[1]Capital!N26+[1]Capital!N40</f>
        <v>714517.28773999994</v>
      </c>
      <c r="P194" s="6">
        <f>-[1]Capital!O26+[1]Capital!O8+[1]Capital!O10+[1]Capital!O13+[1]Capital!O14+[1]Capital!O16+[1]Capital!O18+[1]Capital!O20+[1]Capital!O22+[1]Capital!O24+[1]Capital!O26+[1]Capital!O40</f>
        <v>722448.94267999998</v>
      </c>
      <c r="Q194" s="6">
        <f>-[1]Capital!P26+[1]Capital!P8+[1]Capital!P10+[1]Capital!P13+[1]Capital!P14+[1]Capital!P16+[1]Capital!P18+[1]Capital!P20+[1]Capital!P22+[1]Capital!P24+[1]Capital!P26+[1]Capital!P40</f>
        <v>730634.02438000008</v>
      </c>
      <c r="R194" s="6">
        <f>-[1]Capital!Q26+[1]Capital!Q8+[1]Capital!Q10+[1]Capital!Q13+[1]Capital!Q14+[1]Capital!Q16+[1]Capital!Q18+[1]Capital!Q20+[1]Capital!Q22+[1]Capital!Q24+[1]Capital!Q26+[1]Capital!Q40</f>
        <v>739066.46043000009</v>
      </c>
      <c r="S194" s="6">
        <f>-[1]Capital!R26+[1]Capital!R8+[1]Capital!R10+[1]Capital!R13+[1]Capital!R14+[1]Capital!R16+[1]Capital!R18+[1]Capital!R20+[1]Capital!R22+[1]Capital!R24+[1]Capital!R26+[1]Capital!R40</f>
        <v>747723.21299000003</v>
      </c>
      <c r="T194" s="6">
        <f>-[1]Capital!S26+[1]Capital!S8+[1]Capital!S10+[1]Capital!S13+[1]Capital!S14+[1]Capital!S16+[1]Capital!S18+[1]Capital!S20+[1]Capital!S22+[1]Capital!S24+[1]Capital!S26+[1]Capital!S40</f>
        <v>756587.90553999995</v>
      </c>
      <c r="U194" s="6">
        <f>-[1]Capital!T26+[1]Capital!T8+[1]Capital!T10+[1]Capital!T13+[1]Capital!T14+[1]Capital!T16+[1]Capital!T18+[1]Capital!T20+[1]Capital!T22+[1]Capital!T24+[1]Capital!T26+[1]Capital!T40</f>
        <v>765662.76259000006</v>
      </c>
      <c r="V194" s="6">
        <f>-[1]Capital!U26+[1]Capital!U8+[1]Capital!U10+[1]Capital!U13+[1]Capital!U14+[1]Capital!U16+[1]Capital!U18+[1]Capital!U20+[1]Capital!U22+[1]Capital!U24+[1]Capital!U26+[1]Capital!U40</f>
        <v>774968.14997000003</v>
      </c>
      <c r="W194" s="6">
        <f>-[1]Capital!V26+[1]Capital!V8+[1]Capital!V10+[1]Capital!V13+[1]Capital!V14+[1]Capital!V16+[1]Capital!V18+[1]Capital!V20+[1]Capital!V22+[1]Capital!V24+[1]Capital!V26+[1]Capital!V40</f>
        <v>784462.34728999995</v>
      </c>
      <c r="X194" s="6">
        <f>-[1]Capital!W26+[1]Capital!W8+[1]Capital!W10+[1]Capital!W13+[1]Capital!W14+[1]Capital!W16+[1]Capital!W18+[1]Capital!W20+[1]Capital!W22+[1]Capital!W24+[1]Capital!W26+[1]Capital!W40</f>
        <v>794226.89615000004</v>
      </c>
      <c r="Y194" s="6">
        <f>-[1]Capital!X26+[1]Capital!X8+[1]Capital!X10+[1]Capital!X13+[1]Capital!X14+[1]Capital!X16+[1]Capital!X18+[1]Capital!X20+[1]Capital!X22+[1]Capital!X24+[1]Capital!X26+[1]Capital!X40</f>
        <v>804304.97188999993</v>
      </c>
      <c r="Z194" s="6">
        <f>-[1]Capital!Y26+[1]Capital!Y8+[1]Capital!Y10+[1]Capital!Y13+[1]Capital!Y14+[1]Capital!Y16+[1]Capital!Y18+[1]Capital!Y20+[1]Capital!Y22+[1]Capital!Y24+[1]Capital!Y26+[1]Capital!Y40</f>
        <v>814709.16396999988</v>
      </c>
      <c r="AA194" s="6">
        <f>-[1]Capital!Z26+[1]Capital!Z8+[1]Capital!Z10+[1]Capital!Z13+[1]Capital!Z14+[1]Capital!Z16+[1]Capital!Z18+[1]Capital!Z20+[1]Capital!Z22+[1]Capital!Z24+[1]Capital!Z26+[1]Capital!Z40</f>
        <v>825434.60742000001</v>
      </c>
      <c r="AB194" s="6">
        <f>-[1]Capital!AA26+[1]Capital!AA8+[1]Capital!AA10+[1]Capital!AA13+[1]Capital!AA14+[1]Capital!AA16+[1]Capital!AA18+[1]Capital!AA20+[1]Capital!AA22+[1]Capital!AA24+[1]Capital!AA26+[1]Capital!AA40</f>
        <v>836252.76547999983</v>
      </c>
      <c r="AC194" s="6">
        <f>-[1]Capital!AB26+[1]Capital!AB8+[1]Capital!AB10+[1]Capital!AB13+[1]Capital!AB14+[1]Capital!AB16+[1]Capital!AB18+[1]Capital!AB20+[1]Capital!AB22+[1]Capital!AB24+[1]Capital!AB26+[1]Capital!AB40</f>
        <v>847218.38042000006</v>
      </c>
      <c r="AD194" s="6">
        <f>-[1]Capital!AC26+[1]Capital!AC8+[1]Capital!AC10+[1]Capital!AC13+[1]Capital!AC14+[1]Capital!AC16+[1]Capital!AC18+[1]Capital!AC20+[1]Capital!AC22+[1]Capital!AC24+[1]Capital!AC26+[1]Capital!AC40</f>
        <v>858361.39194999996</v>
      </c>
      <c r="AE194" s="6">
        <f>-[1]Capital!AD26+[1]Capital!AD8+[1]Capital!AD10+[1]Capital!AD13+[1]Capital!AD14+[1]Capital!AD16+[1]Capital!AD18+[1]Capital!AD20+[1]Capital!AD22+[1]Capital!AD24+[1]Capital!AD26+[1]Capital!AD40</f>
        <v>869693.31019999995</v>
      </c>
      <c r="AF194" s="6">
        <f>-[1]Capital!AE26+[1]Capital!AE8+[1]Capital!AE10+[1]Capital!AE13+[1]Capital!AE14+[1]Capital!AE16+[1]Capital!AE18+[1]Capital!AE20+[1]Capital!AE22+[1]Capital!AE24+[1]Capital!AE26+[1]Capital!AE40</f>
        <v>881222.22331999999</v>
      </c>
      <c r="AG194" s="6">
        <f>-[1]Capital!AF26+[1]Capital!AF8+[1]Capital!AF10+[1]Capital!AF13+[1]Capital!AF14+[1]Capital!AF16+[1]Capital!AF18+[1]Capital!AF20+[1]Capital!AF22+[1]Capital!AF24+[1]Capital!AF26+[1]Capital!AF40</f>
        <v>892954.28182999999</v>
      </c>
      <c r="AH194" s="6">
        <f>-[1]Capital!AG26+[1]Capital!AG8+[1]Capital!AG10+[1]Capital!AG13+[1]Capital!AG14+[1]Capital!AG16+[1]Capital!AG18+[1]Capital!AG20+[1]Capital!AG22+[1]Capital!AG24+[1]Capital!AG26+[1]Capital!AG40</f>
        <v>904891.42663999996</v>
      </c>
      <c r="AI194" s="6">
        <f>-[1]Capital!AH26+[1]Capital!AH8+[1]Capital!AH10+[1]Capital!AH13+[1]Capital!AH14+[1]Capital!AH16+[1]Capital!AH18+[1]Capital!AH20+[1]Capital!AH22+[1]Capital!AH24+[1]Capital!AH26+[1]Capital!AH40</f>
        <v>917030.70197000005</v>
      </c>
      <c r="AJ194" s="6">
        <f>-[1]Capital!AI26+[1]Capital!AI8+[1]Capital!AI10+[1]Capital!AI13+[1]Capital!AI14+[1]Capital!AI16+[1]Capital!AI18+[1]Capital!AI20+[1]Capital!AI22+[1]Capital!AI24+[1]Capital!AI26+[1]Capital!AI40</f>
        <v>929365.97314999998</v>
      </c>
      <c r="AK194" s="6">
        <f>-[1]Capital!AJ26+[1]Capital!AJ8+[1]Capital!AJ10+[1]Capital!AJ13+[1]Capital!AJ14+[1]Capital!AJ16+[1]Capital!AJ18+[1]Capital!AJ20+[1]Capital!AJ22+[1]Capital!AJ24+[1]Capital!AJ26+[1]Capital!AJ40</f>
        <v>941890.79655000009</v>
      </c>
      <c r="AL194" s="6">
        <f>-[1]Capital!AK26+[1]Capital!AK8+[1]Capital!AK10+[1]Capital!AK13+[1]Capital!AK14+[1]Capital!AK16+[1]Capital!AK18+[1]Capital!AK20+[1]Capital!AK22+[1]Capital!AK24+[1]Capital!AK26+[1]Capital!AK40</f>
        <v>954600.85175999987</v>
      </c>
    </row>
    <row r="195" spans="1:38" x14ac:dyDescent="0.3">
      <c r="B195" t="s">
        <v>24</v>
      </c>
      <c r="C195" s="6">
        <f>[1]Capital!B42+[1]Capital!B46+[1]Capital!B44+[1]Capital!B48</f>
        <v>48093.3721917</v>
      </c>
      <c r="D195" s="6">
        <f>[1]Capital!C42+[1]Capital!C46+[1]Capital!C44+[1]Capital!C48</f>
        <v>48729.406075899999</v>
      </c>
      <c r="E195" s="6">
        <f>[1]Capital!D42+[1]Capital!D46+[1]Capital!D44+[1]Capital!D48</f>
        <v>49452.734491800002</v>
      </c>
      <c r="F195" s="6">
        <f>[1]Capital!E42+[1]Capital!E46+[1]Capital!E44+[1]Capital!E48</f>
        <v>50248.903713200001</v>
      </c>
      <c r="G195" s="6">
        <f>[1]Capital!F42+[1]Capital!F46+[1]Capital!F44+[1]Capital!F48</f>
        <v>51104.408714700003</v>
      </c>
      <c r="H195" s="6">
        <f>[1]Capital!G42+[1]Capital!G46+[1]Capital!G44+[1]Capital!G48</f>
        <v>52009.898380300001</v>
      </c>
      <c r="I195" s="6">
        <f>[1]Capital!H42+[1]Capital!H46+[1]Capital!H44+[1]Capital!H48</f>
        <v>52961.428371299997</v>
      </c>
      <c r="J195" s="6">
        <f>[1]Capital!I42+[1]Capital!I46+[1]Capital!I44+[1]Capital!I48</f>
        <v>53960.943343799998</v>
      </c>
      <c r="K195" s="6">
        <f>[1]Capital!J42+[1]Capital!J46+[1]Capital!J44+[1]Capital!J48</f>
        <v>55009.077067799997</v>
      </c>
      <c r="L195" s="6">
        <f>[1]Capital!K42+[1]Capital!K46+[1]Capital!K44+[1]Capital!K48</f>
        <v>56098.356591899996</v>
      </c>
      <c r="M195" s="6">
        <f>[1]Capital!L42+[1]Capital!L46+[1]Capital!L44+[1]Capital!L48</f>
        <v>57216.903886</v>
      </c>
      <c r="N195" s="6">
        <f>[1]Capital!M42+[1]Capital!M46+[1]Capital!M44+[1]Capital!M48</f>
        <v>58346.739425500004</v>
      </c>
      <c r="O195" s="6">
        <f>[1]Capital!N42+[1]Capital!N46+[1]Capital!N44+[1]Capital!N48</f>
        <v>59473.365316099997</v>
      </c>
      <c r="P195" s="6">
        <f>[1]Capital!O42+[1]Capital!O46+[1]Capital!O44+[1]Capital!O48</f>
        <v>60588.328973200005</v>
      </c>
      <c r="Q195" s="6">
        <f>[1]Capital!P42+[1]Capital!P46+[1]Capital!P44+[1]Capital!P48</f>
        <v>61688.547962199998</v>
      </c>
      <c r="R195" s="6">
        <f>[1]Capital!Q42+[1]Capital!Q46+[1]Capital!Q44+[1]Capital!Q48</f>
        <v>62774.179065200005</v>
      </c>
      <c r="S195" s="6">
        <f>[1]Capital!R42+[1]Capital!R46+[1]Capital!R44+[1]Capital!R48</f>
        <v>63846.320881000007</v>
      </c>
      <c r="T195" s="6">
        <f>[1]Capital!S42+[1]Capital!S46+[1]Capital!S44+[1]Capital!S48</f>
        <v>64905.502249200006</v>
      </c>
      <c r="U195" s="6">
        <f>[1]Capital!T42+[1]Capital!T46+[1]Capital!T44+[1]Capital!T48</f>
        <v>65951.193747500001</v>
      </c>
      <c r="V195" s="6">
        <f>[1]Capital!U42+[1]Capital!U46+[1]Capital!U44+[1]Capital!U48</f>
        <v>66982.14613020001</v>
      </c>
      <c r="W195" s="6">
        <f>[1]Capital!V42+[1]Capital!V46+[1]Capital!V44+[1]Capital!V48</f>
        <v>67994.650432599999</v>
      </c>
      <c r="X195" s="6">
        <f>[1]Capital!W42+[1]Capital!W46+[1]Capital!W44+[1]Capital!W48</f>
        <v>68989.089361899998</v>
      </c>
      <c r="Y195" s="6">
        <f>[1]Capital!X42+[1]Capital!X46+[1]Capital!X44+[1]Capital!X48</f>
        <v>69966.60765559999</v>
      </c>
      <c r="Z195" s="6">
        <f>[1]Capital!Y42+[1]Capital!Y46+[1]Capital!Y44+[1]Capital!Y48</f>
        <v>70928.813641100001</v>
      </c>
      <c r="AA195" s="6">
        <f>[1]Capital!Z42+[1]Capital!Z46+[1]Capital!Z44+[1]Capital!Z48</f>
        <v>71877.79690419999</v>
      </c>
      <c r="AB195" s="6">
        <f>[1]Capital!AA42+[1]Capital!AA46+[1]Capital!AA44+[1]Capital!AA48</f>
        <v>72808.258594900006</v>
      </c>
      <c r="AC195" s="6">
        <f>[1]Capital!AB42+[1]Capital!AB46+[1]Capital!AB44+[1]Capital!AB48</f>
        <v>73722.360362600011</v>
      </c>
      <c r="AD195" s="6">
        <f>[1]Capital!AC42+[1]Capital!AC46+[1]Capital!AC44+[1]Capital!AC48</f>
        <v>74621.769328299997</v>
      </c>
      <c r="AE195" s="6">
        <f>[1]Capital!AD42+[1]Capital!AD46+[1]Capital!AD44+[1]Capital!AD48</f>
        <v>75506.871906200002</v>
      </c>
      <c r="AF195" s="6">
        <f>[1]Capital!AE42+[1]Capital!AE46+[1]Capital!AE44+[1]Capital!AE48</f>
        <v>76377.568114099995</v>
      </c>
      <c r="AG195" s="6">
        <f>[1]Capital!AF42+[1]Capital!AF46+[1]Capital!AF44+[1]Capital!AF48</f>
        <v>77233.935456899984</v>
      </c>
      <c r="AH195" s="6">
        <f>[1]Capital!AG42+[1]Capital!AG46+[1]Capital!AG44+[1]Capital!AG48</f>
        <v>78076.491631900004</v>
      </c>
      <c r="AI195" s="6">
        <f>[1]Capital!AH42+[1]Capital!AH46+[1]Capital!AH44+[1]Capital!AH48</f>
        <v>78906.157015999997</v>
      </c>
      <c r="AJ195" s="6">
        <f>[1]Capital!AI42+[1]Capital!AI46+[1]Capital!AI44+[1]Capital!AI48</f>
        <v>79724.054864999998</v>
      </c>
      <c r="AK195" s="6">
        <f>[1]Capital!AJ42+[1]Capital!AJ46+[1]Capital!AJ44+[1]Capital!AJ48</f>
        <v>80531.285699999993</v>
      </c>
      <c r="AL195" s="6">
        <f>[1]Capital!AK42+[1]Capital!AK46+[1]Capital!AK44+[1]Capital!AK48</f>
        <v>81328.78270299999</v>
      </c>
    </row>
    <row r="196" spans="1:38" x14ac:dyDescent="0.3">
      <c r="B196" t="s">
        <v>10</v>
      </c>
      <c r="C196" s="6">
        <f>[1]Capital!B36+[1]Capital!B38</f>
        <v>7642113.6660000002</v>
      </c>
      <c r="D196" s="6">
        <f>[1]Capital!C36+[1]Capital!C38</f>
        <v>7730346.3219999997</v>
      </c>
      <c r="E196" s="6">
        <f>[1]Capital!D36+[1]Capital!D38</f>
        <v>7820437.693</v>
      </c>
      <c r="F196" s="6">
        <f>[1]Capital!E36+[1]Capital!E38</f>
        <v>7913838.1209999993</v>
      </c>
      <c r="G196" s="6">
        <f>[1]Capital!F36+[1]Capital!F38</f>
        <v>8011175.7139999997</v>
      </c>
      <c r="H196" s="6">
        <f>[1]Capital!G36+[1]Capital!G38</f>
        <v>8112333.2120000003</v>
      </c>
      <c r="I196" s="6">
        <f>[1]Capital!H36+[1]Capital!H38</f>
        <v>8217202.3370000003</v>
      </c>
      <c r="J196" s="6">
        <f>[1]Capital!I36+[1]Capital!I38</f>
        <v>8322381.6169999996</v>
      </c>
      <c r="K196" s="6">
        <f>[1]Capital!J36+[1]Capital!J38</f>
        <v>8425805.4059999995</v>
      </c>
      <c r="L196" s="6">
        <f>[1]Capital!K36+[1]Capital!K38</f>
        <v>8527416.6119999997</v>
      </c>
      <c r="M196" s="6">
        <f>[1]Capital!L36+[1]Capital!L38</f>
        <v>8628257.3200000003</v>
      </c>
      <c r="N196" s="6">
        <f>[1]Capital!M36+[1]Capital!M38</f>
        <v>8731075.1639999989</v>
      </c>
      <c r="O196" s="6">
        <f>[1]Capital!N36+[1]Capital!N38</f>
        <v>8837566.1980000008</v>
      </c>
      <c r="P196" s="6">
        <f>[1]Capital!O36+[1]Capital!O38</f>
        <v>8948567.1950000003</v>
      </c>
      <c r="Q196" s="6">
        <f>[1]Capital!P36+[1]Capital!P38</f>
        <v>9064188.2740000002</v>
      </c>
      <c r="R196" s="6">
        <f>[1]Capital!Q36+[1]Capital!Q38</f>
        <v>9184090.5580000002</v>
      </c>
      <c r="S196" s="6">
        <f>[1]Capital!R36+[1]Capital!R38</f>
        <v>9307831.0749999993</v>
      </c>
      <c r="T196" s="6">
        <f>[1]Capital!S36+[1]Capital!S38</f>
        <v>9435129.0720000006</v>
      </c>
      <c r="U196" s="6">
        <f>[1]Capital!T36+[1]Capital!T38</f>
        <v>9565974.6050000004</v>
      </c>
      <c r="V196" s="6">
        <f>[1]Capital!U36+[1]Capital!U38</f>
        <v>9700589.1449999996</v>
      </c>
      <c r="W196" s="6">
        <f>[1]Capital!V36+[1]Capital!V38</f>
        <v>9839538.3369999994</v>
      </c>
      <c r="X196" s="6">
        <f>[1]Capital!W36+[1]Capital!W38</f>
        <v>9982591.0099999998</v>
      </c>
      <c r="Y196" s="6">
        <f>[1]Capital!X36+[1]Capital!X38</f>
        <v>10129961.964</v>
      </c>
      <c r="Z196" s="6">
        <f>[1]Capital!Y36+[1]Capital!Y38</f>
        <v>10281811.002</v>
      </c>
      <c r="AA196" s="6">
        <f>[1]Capital!Z36+[1]Capital!Z38</f>
        <v>10438135.699999999</v>
      </c>
      <c r="AB196" s="6">
        <f>[1]Capital!AA36+[1]Capital!AA38</f>
        <v>10599378.251</v>
      </c>
      <c r="AC196" s="6">
        <f>[1]Capital!AB36+[1]Capital!AB38</f>
        <v>10764308.706</v>
      </c>
      <c r="AD196" s="6">
        <f>[1]Capital!AC36+[1]Capital!AC38</f>
        <v>10932581.052999999</v>
      </c>
      <c r="AE196" s="6">
        <f>[1]Capital!AD36+[1]Capital!AD38</f>
        <v>11104209.140000001</v>
      </c>
      <c r="AF196" s="6">
        <f>[1]Capital!AE36+[1]Capital!AE38</f>
        <v>11279316.848000001</v>
      </c>
      <c r="AG196" s="6">
        <f>[1]Capital!AF36+[1]Capital!AF38</f>
        <v>11458012.787</v>
      </c>
      <c r="AH196" s="6">
        <f>[1]Capital!AG36+[1]Capital!AG38</f>
        <v>11640335.254999999</v>
      </c>
      <c r="AI196" s="6">
        <f>[1]Capital!AH36+[1]Capital!AH38</f>
        <v>11826251.23</v>
      </c>
      <c r="AJ196" s="6">
        <f>[1]Capital!AI36+[1]Capital!AI38</f>
        <v>12015689.368999999</v>
      </c>
      <c r="AK196" s="6">
        <f>[1]Capital!AJ36+[1]Capital!AJ38</f>
        <v>12208582.044</v>
      </c>
      <c r="AL196" s="6">
        <f>[1]Capital!AK36+[1]Capital!AK38</f>
        <v>12404895.591</v>
      </c>
    </row>
    <row r="197" spans="1:38" x14ac:dyDescent="0.3">
      <c r="B197" t="s">
        <v>9</v>
      </c>
      <c r="C197" s="6">
        <f>[1]Capital!B28+[1]Capital!B30+[1]Capital!B32+[1]Capital!B34</f>
        <v>164788.41206999999</v>
      </c>
      <c r="D197" s="6">
        <f>[1]Capital!C28+[1]Capital!C30+[1]Capital!C32+[1]Capital!C34</f>
        <v>166626.95570999998</v>
      </c>
      <c r="E197" s="6">
        <f>[1]Capital!D28+[1]Capital!D30+[1]Capital!D32+[1]Capital!D34</f>
        <v>168428.18059</v>
      </c>
      <c r="F197" s="6">
        <f>[1]Capital!E28+[1]Capital!E30+[1]Capital!E32+[1]Capital!E34</f>
        <v>170235.46825000001</v>
      </c>
      <c r="G197" s="6">
        <f>[1]Capital!F28+[1]Capital!F30+[1]Capital!F32+[1]Capital!F34</f>
        <v>172079.57272</v>
      </c>
      <c r="H197" s="6">
        <f>[1]Capital!G28+[1]Capital!G30+[1]Capital!G32+[1]Capital!G34</f>
        <v>173974.09858999998</v>
      </c>
      <c r="I197" s="6">
        <f>[1]Capital!H28+[1]Capital!H30+[1]Capital!H32+[1]Capital!H34</f>
        <v>175921.29505000002</v>
      </c>
      <c r="J197" s="6">
        <f>[1]Capital!I28+[1]Capital!I30+[1]Capital!I32+[1]Capital!I34</f>
        <v>177852.89163</v>
      </c>
      <c r="K197" s="6">
        <f>[1]Capital!J28+[1]Capital!J30+[1]Capital!J32+[1]Capital!J34</f>
        <v>179721.58579000001</v>
      </c>
      <c r="L197" s="6">
        <f>[1]Capital!K28+[1]Capital!K30+[1]Capital!K32+[1]Capital!K34</f>
        <v>181523.20040999999</v>
      </c>
      <c r="M197" s="6">
        <f>[1]Capital!L28+[1]Capital!L30+[1]Capital!L32+[1]Capital!L34</f>
        <v>183297.50991999998</v>
      </c>
      <c r="N197" s="6">
        <f>[1]Capital!M28+[1]Capital!M30+[1]Capital!M32+[1]Capital!M34</f>
        <v>185093.94138</v>
      </c>
      <c r="O197" s="6">
        <f>[1]Capital!N28+[1]Capital!N30+[1]Capital!N32+[1]Capital!N34</f>
        <v>186953.58376000001</v>
      </c>
      <c r="P197" s="6">
        <f>[1]Capital!O28+[1]Capital!O30+[1]Capital!O32+[1]Capital!O34</f>
        <v>188900.71255</v>
      </c>
      <c r="Q197" s="6">
        <f>[1]Capital!P28+[1]Capital!P30+[1]Capital!P32+[1]Capital!P34</f>
        <v>190941.83265</v>
      </c>
      <c r="R197" s="6">
        <f>[1]Capital!Q28+[1]Capital!Q30+[1]Capital!Q32+[1]Capital!Q34</f>
        <v>193070.99408</v>
      </c>
      <c r="S197" s="6">
        <f>[1]Capital!R28+[1]Capital!R30+[1]Capital!R32+[1]Capital!R34</f>
        <v>195277.78779999999</v>
      </c>
      <c r="T197" s="6">
        <f>[1]Capital!S28+[1]Capital!S30+[1]Capital!S32+[1]Capital!S34</f>
        <v>197554.17992</v>
      </c>
      <c r="U197" s="6">
        <f>[1]Capital!T28+[1]Capital!T30+[1]Capital!T32+[1]Capital!T34</f>
        <v>199897.92297000001</v>
      </c>
      <c r="V197" s="6">
        <f>[1]Capital!U28+[1]Capital!U30+[1]Capital!U32+[1]Capital!U34</f>
        <v>202312.36326000001</v>
      </c>
      <c r="W197" s="6">
        <f>[1]Capital!V28+[1]Capital!V30+[1]Capital!V32+[1]Capital!V34</f>
        <v>204798.00096999999</v>
      </c>
      <c r="X197" s="6">
        <f>[1]Capital!W28+[1]Capital!W30+[1]Capital!W32+[1]Capital!W34</f>
        <v>207360.48483999999</v>
      </c>
      <c r="Y197" s="6">
        <f>[1]Capital!X28+[1]Capital!X30+[1]Capital!X32+[1]Capital!X34</f>
        <v>210006.39773</v>
      </c>
      <c r="Z197" s="6">
        <f>[1]Capital!Y28+[1]Capital!Y30+[1]Capital!Y32+[1]Capital!Y34</f>
        <v>212739.09883</v>
      </c>
      <c r="AA197" s="6">
        <f>[1]Capital!Z28+[1]Capital!Z30+[1]Capital!Z32+[1]Capital!Z34</f>
        <v>215557.93391999998</v>
      </c>
      <c r="AB197" s="6">
        <f>[1]Capital!AA28+[1]Capital!AA30+[1]Capital!AA32+[1]Capital!AA34</f>
        <v>218440.25481999997</v>
      </c>
      <c r="AC197" s="6">
        <f>[1]Capital!AB28+[1]Capital!AB30+[1]Capital!AB32+[1]Capital!AB34</f>
        <v>221374.08551999996</v>
      </c>
      <c r="AD197" s="6">
        <f>[1]Capital!AC28+[1]Capital!AC30+[1]Capital!AC32+[1]Capital!AC34</f>
        <v>224355.42511999997</v>
      </c>
      <c r="AE197" s="6">
        <f>[1]Capital!AD28+[1]Capital!AD30+[1]Capital!AD32+[1]Capital!AD34</f>
        <v>227384.94691</v>
      </c>
      <c r="AF197" s="6">
        <f>[1]Capital!AE28+[1]Capital!AE30+[1]Capital!AE32+[1]Capital!AE34</f>
        <v>230465.27439000001</v>
      </c>
      <c r="AG197" s="6">
        <f>[1]Capital!AF28+[1]Capital!AF30+[1]Capital!AF32+[1]Capital!AF34</f>
        <v>233598.85944999999</v>
      </c>
      <c r="AH197" s="6">
        <f>[1]Capital!AG28+[1]Capital!AG30+[1]Capital!AG32+[1]Capital!AG34</f>
        <v>236786.76462999999</v>
      </c>
      <c r="AI197" s="6">
        <f>[1]Capital!AH28+[1]Capital!AH30+[1]Capital!AH32+[1]Capital!AH34</f>
        <v>240028.48246000003</v>
      </c>
      <c r="AJ197" s="6">
        <f>[1]Capital!AI28+[1]Capital!AI30+[1]Capital!AI32+[1]Capital!AI34</f>
        <v>243322.54054000002</v>
      </c>
      <c r="AK197" s="6">
        <f>[1]Capital!AJ28+[1]Capital!AJ30+[1]Capital!AJ32+[1]Capital!AJ34</f>
        <v>246667.39902000001</v>
      </c>
      <c r="AL197" s="6">
        <f>[1]Capital!AK28+[1]Capital!AK30+[1]Capital!AK32+[1]Capital!AK34</f>
        <v>250062.17255000002</v>
      </c>
    </row>
    <row r="198" spans="1:38" x14ac:dyDescent="0.3"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</row>
    <row r="199" spans="1:38" x14ac:dyDescent="0.3">
      <c r="C199" s="2">
        <v>42005</v>
      </c>
      <c r="D199" s="2">
        <v>42370</v>
      </c>
      <c r="E199" s="2">
        <v>42736</v>
      </c>
      <c r="F199" s="2">
        <v>43101</v>
      </c>
      <c r="G199" s="2">
        <v>43466</v>
      </c>
      <c r="H199" s="2">
        <v>43831</v>
      </c>
      <c r="I199" s="2">
        <v>44197</v>
      </c>
      <c r="J199" s="2">
        <v>44562</v>
      </c>
      <c r="K199" s="2">
        <v>44927</v>
      </c>
      <c r="L199" s="2">
        <v>45292</v>
      </c>
      <c r="M199" s="2">
        <v>45658</v>
      </c>
      <c r="N199" s="2">
        <v>46023</v>
      </c>
      <c r="O199" s="2">
        <v>46388</v>
      </c>
      <c r="P199" s="2">
        <v>46753</v>
      </c>
      <c r="Q199" s="2">
        <v>47119</v>
      </c>
      <c r="R199" s="2">
        <v>47484</v>
      </c>
      <c r="S199" s="2">
        <v>47849</v>
      </c>
      <c r="T199" s="2">
        <v>48214</v>
      </c>
      <c r="U199" s="2">
        <v>48580</v>
      </c>
      <c r="V199" s="2">
        <v>48945</v>
      </c>
      <c r="W199" s="2">
        <v>49310</v>
      </c>
      <c r="X199" s="2">
        <v>49675</v>
      </c>
      <c r="Y199" s="2">
        <v>50041</v>
      </c>
      <c r="Z199" s="2">
        <v>50406</v>
      </c>
      <c r="AA199" s="2">
        <v>50771</v>
      </c>
      <c r="AB199" s="2">
        <v>51136</v>
      </c>
      <c r="AC199" s="2">
        <v>51502</v>
      </c>
      <c r="AD199" s="2">
        <v>51867</v>
      </c>
      <c r="AE199" s="2">
        <v>52232</v>
      </c>
      <c r="AF199" s="2">
        <v>52597</v>
      </c>
      <c r="AG199" s="2">
        <v>52963</v>
      </c>
      <c r="AH199" s="2">
        <v>53328</v>
      </c>
      <c r="AI199" s="2">
        <v>53693</v>
      </c>
      <c r="AJ199" s="2">
        <v>54058</v>
      </c>
      <c r="AK199" s="2">
        <v>54424</v>
      </c>
      <c r="AL199" s="2">
        <v>54789</v>
      </c>
    </row>
    <row r="200" spans="1:38" x14ac:dyDescent="0.3">
      <c r="A200" s="12" t="s">
        <v>30</v>
      </c>
      <c r="B200" t="s">
        <v>28</v>
      </c>
      <c r="C200" s="9">
        <f t="shared" ref="C200:AL200" si="32">C190/C141/(C180/C129)-1</f>
        <v>0</v>
      </c>
      <c r="D200" s="9">
        <f t="shared" si="32"/>
        <v>0</v>
      </c>
      <c r="E200" s="9">
        <f t="shared" si="32"/>
        <v>0</v>
      </c>
      <c r="F200" s="9">
        <f t="shared" si="32"/>
        <v>0</v>
      </c>
      <c r="G200" s="9">
        <f t="shared" si="32"/>
        <v>0</v>
      </c>
      <c r="H200" s="9">
        <f t="shared" si="32"/>
        <v>0</v>
      </c>
      <c r="I200" s="9">
        <f t="shared" si="32"/>
        <v>-7.1840518500765338E-4</v>
      </c>
      <c r="J200" s="9">
        <f t="shared" si="32"/>
        <v>2.1206531056949807E-3</v>
      </c>
      <c r="K200" s="9">
        <f t="shared" si="32"/>
        <v>6.5954475987561878E-3</v>
      </c>
      <c r="L200" s="9">
        <f t="shared" si="32"/>
        <v>1.0616705242269875E-2</v>
      </c>
      <c r="M200" s="9">
        <f t="shared" si="32"/>
        <v>1.2780442763851374E-2</v>
      </c>
      <c r="N200" s="9">
        <f t="shared" si="32"/>
        <v>1.2967282943961989E-2</v>
      </c>
      <c r="O200" s="9">
        <f t="shared" si="32"/>
        <v>1.1570258614657991E-2</v>
      </c>
      <c r="P200" s="9">
        <f t="shared" si="32"/>
        <v>9.4258687475143876E-3</v>
      </c>
      <c r="Q200" s="9">
        <f t="shared" si="32"/>
        <v>7.3068379366556524E-3</v>
      </c>
      <c r="R200" s="9">
        <f t="shared" si="32"/>
        <v>5.6715668544173869E-3</v>
      </c>
      <c r="S200" s="9">
        <f t="shared" si="32"/>
        <v>4.6184328878506875E-3</v>
      </c>
      <c r="T200" s="9">
        <f t="shared" si="32"/>
        <v>3.9862755321282695E-3</v>
      </c>
      <c r="U200" s="9">
        <f t="shared" si="32"/>
        <v>3.518889620608201E-3</v>
      </c>
      <c r="V200" s="9">
        <f t="shared" si="32"/>
        <v>3.0064095059938456E-3</v>
      </c>
      <c r="W200" s="9">
        <f t="shared" si="32"/>
        <v>2.3503803037550064E-3</v>
      </c>
      <c r="X200" s="9">
        <f t="shared" si="32"/>
        <v>1.5902415937198988E-3</v>
      </c>
      <c r="Y200" s="9">
        <f t="shared" si="32"/>
        <v>8.2505033319679733E-4</v>
      </c>
      <c r="Z200" s="9">
        <f t="shared" si="32"/>
        <v>1.6170542552540468E-4</v>
      </c>
      <c r="AA200" s="9">
        <f t="shared" si="32"/>
        <v>-3.2864576016977676E-4</v>
      </c>
      <c r="AB200" s="9">
        <f t="shared" si="32"/>
        <v>-6.333706109128423E-4</v>
      </c>
      <c r="AC200" s="9">
        <f t="shared" si="32"/>
        <v>-7.8729324282400537E-4</v>
      </c>
      <c r="AD200" s="9">
        <f t="shared" si="32"/>
        <v>-8.3811147237267125E-4</v>
      </c>
      <c r="AE200" s="9">
        <f t="shared" si="32"/>
        <v>-8.4795474078624977E-4</v>
      </c>
      <c r="AF200" s="9">
        <f t="shared" si="32"/>
        <v>-8.6376199295812306E-4</v>
      </c>
      <c r="AG200" s="9">
        <f t="shared" si="32"/>
        <v>-9.0834628576408338E-4</v>
      </c>
      <c r="AH200" s="9">
        <f t="shared" si="32"/>
        <v>-9.8238799855976389E-4</v>
      </c>
      <c r="AI200" s="9">
        <f t="shared" si="32"/>
        <v>-1.0739612959390632E-3</v>
      </c>
      <c r="AJ200" s="9">
        <f t="shared" si="32"/>
        <v>-1.1688395239044524E-3</v>
      </c>
      <c r="AK200" s="9">
        <f t="shared" si="32"/>
        <v>-1.2574453391359652E-3</v>
      </c>
      <c r="AL200" s="9">
        <f t="shared" si="32"/>
        <v>-1.3377781743799666E-3</v>
      </c>
    </row>
    <row r="201" spans="1:38" x14ac:dyDescent="0.3">
      <c r="A201" t="s">
        <v>59</v>
      </c>
      <c r="B201" t="s">
        <v>7</v>
      </c>
      <c r="C201" s="9">
        <f t="shared" ref="C201:AL201" si="33">C191/C142/(C181/C130)-1</f>
        <v>0</v>
      </c>
      <c r="D201" s="9">
        <f t="shared" si="33"/>
        <v>0</v>
      </c>
      <c r="E201" s="9">
        <f t="shared" si="33"/>
        <v>0</v>
      </c>
      <c r="F201" s="9">
        <f t="shared" si="33"/>
        <v>0</v>
      </c>
      <c r="G201" s="9">
        <f t="shared" si="33"/>
        <v>0</v>
      </c>
      <c r="H201" s="9">
        <f t="shared" si="33"/>
        <v>0</v>
      </c>
      <c r="I201" s="9">
        <f t="shared" si="33"/>
        <v>-5.5175686656934175E-3</v>
      </c>
      <c r="J201" s="9">
        <f t="shared" si="33"/>
        <v>-2.3455291285984226E-3</v>
      </c>
      <c r="K201" s="9">
        <f t="shared" si="33"/>
        <v>4.8176133680057909E-3</v>
      </c>
      <c r="L201" s="9">
        <f t="shared" si="33"/>
        <v>1.3927208251630629E-2</v>
      </c>
      <c r="M201" s="9">
        <f t="shared" si="33"/>
        <v>2.334252253887259E-2</v>
      </c>
      <c r="N201" s="9">
        <f t="shared" si="33"/>
        <v>3.1828154607410841E-2</v>
      </c>
      <c r="O201" s="9">
        <f t="shared" si="33"/>
        <v>3.8667851108957096E-2</v>
      </c>
      <c r="P201" s="9">
        <f t="shared" si="33"/>
        <v>4.3515218481102291E-2</v>
      </c>
      <c r="Q201" s="9">
        <f t="shared" si="33"/>
        <v>4.6325425859968128E-2</v>
      </c>
      <c r="R201" s="9">
        <f t="shared" si="33"/>
        <v>4.724943231046308E-2</v>
      </c>
      <c r="S201" s="9">
        <f t="shared" si="33"/>
        <v>4.654891870875888E-2</v>
      </c>
      <c r="T201" s="9">
        <f t="shared" si="33"/>
        <v>4.4537931397296671E-2</v>
      </c>
      <c r="U201" s="9">
        <f t="shared" si="33"/>
        <v>4.1552343240484957E-2</v>
      </c>
      <c r="V201" s="9">
        <f t="shared" si="33"/>
        <v>3.7932335551022378E-2</v>
      </c>
      <c r="W201" s="9">
        <f t="shared" si="33"/>
        <v>3.4008955368285632E-2</v>
      </c>
      <c r="X201" s="9">
        <f t="shared" si="33"/>
        <v>3.0092063277426195E-2</v>
      </c>
      <c r="Y201" s="9">
        <f t="shared" si="33"/>
        <v>2.6439197312730256E-2</v>
      </c>
      <c r="Z201" s="9">
        <f t="shared" si="33"/>
        <v>2.3249411909291195E-2</v>
      </c>
      <c r="AA201" s="9">
        <f t="shared" si="33"/>
        <v>2.0647758614805278E-2</v>
      </c>
      <c r="AB201" s="9">
        <f t="shared" si="33"/>
        <v>1.8683080253002249E-2</v>
      </c>
      <c r="AC201" s="9">
        <f t="shared" si="33"/>
        <v>1.7354095144839432E-2</v>
      </c>
      <c r="AD201" s="9">
        <f t="shared" si="33"/>
        <v>1.6594167958134509E-2</v>
      </c>
      <c r="AE201" s="9">
        <f t="shared" si="33"/>
        <v>1.6315109158220764E-2</v>
      </c>
      <c r="AF201" s="9">
        <f t="shared" si="33"/>
        <v>1.6414091683016663E-2</v>
      </c>
      <c r="AG201" s="9">
        <f t="shared" si="33"/>
        <v>1.6789612126139497E-2</v>
      </c>
      <c r="AH201" s="9">
        <f t="shared" si="33"/>
        <v>1.7351491685184461E-2</v>
      </c>
      <c r="AI201" s="9">
        <f t="shared" si="33"/>
        <v>1.8025362927237776E-2</v>
      </c>
      <c r="AJ201" s="9">
        <f t="shared" si="33"/>
        <v>1.8753561240363315E-2</v>
      </c>
      <c r="AK201" s="9">
        <f t="shared" si="33"/>
        <v>1.9493920605490045E-2</v>
      </c>
      <c r="AL201" s="9">
        <f t="shared" si="33"/>
        <v>2.02173032531765E-2</v>
      </c>
    </row>
    <row r="202" spans="1:38" x14ac:dyDescent="0.3">
      <c r="B202" t="s">
        <v>96</v>
      </c>
      <c r="C202" s="9">
        <f t="shared" ref="C202:AL202" si="34">C192/C143/(C182/C131)-1</f>
        <v>0</v>
      </c>
      <c r="D202" s="9">
        <f t="shared" si="34"/>
        <v>0</v>
      </c>
      <c r="E202" s="9">
        <f t="shared" si="34"/>
        <v>0</v>
      </c>
      <c r="F202" s="9">
        <f t="shared" si="34"/>
        <v>0</v>
      </c>
      <c r="G202" s="9">
        <f t="shared" si="34"/>
        <v>0</v>
      </c>
      <c r="H202" s="9">
        <f t="shared" si="34"/>
        <v>0</v>
      </c>
      <c r="I202" s="9">
        <f t="shared" si="34"/>
        <v>-3.6511091359181513E-4</v>
      </c>
      <c r="J202" s="9">
        <f t="shared" si="34"/>
        <v>3.873152453705675E-3</v>
      </c>
      <c r="K202" s="9">
        <f t="shared" si="34"/>
        <v>1.0532192239941285E-2</v>
      </c>
      <c r="L202" s="9">
        <f t="shared" si="34"/>
        <v>1.6369100147831883E-2</v>
      </c>
      <c r="M202" s="9">
        <f t="shared" si="34"/>
        <v>1.8493877079513998E-2</v>
      </c>
      <c r="N202" s="9">
        <f t="shared" si="34"/>
        <v>1.8077283791982701E-2</v>
      </c>
      <c r="O202" s="9">
        <f t="shared" si="34"/>
        <v>1.4714264801396038E-2</v>
      </c>
      <c r="P202" s="9">
        <f t="shared" si="34"/>
        <v>9.9427130344704739E-3</v>
      </c>
      <c r="Q202" s="9">
        <f t="shared" si="34"/>
        <v>5.274604838295005E-3</v>
      </c>
      <c r="R202" s="9">
        <f t="shared" si="34"/>
        <v>1.658014431747068E-3</v>
      </c>
      <c r="S202" s="9">
        <f t="shared" si="34"/>
        <v>-6.486237004876827E-4</v>
      </c>
      <c r="T202" s="9">
        <f t="shared" si="34"/>
        <v>-1.8976874538543242E-3</v>
      </c>
      <c r="U202" s="9">
        <f t="shared" si="34"/>
        <v>-2.5600504529937895E-3</v>
      </c>
      <c r="V202" s="9">
        <f t="shared" si="34"/>
        <v>-3.0646286601925254E-3</v>
      </c>
      <c r="W202" s="9">
        <f t="shared" si="34"/>
        <v>-3.4590086689851862E-3</v>
      </c>
      <c r="X202" s="9">
        <f t="shared" si="34"/>
        <v>-4.3053266027468506E-3</v>
      </c>
      <c r="Y202" s="9">
        <f t="shared" si="34"/>
        <v>-5.0540998074316557E-3</v>
      </c>
      <c r="Z202" s="9">
        <f t="shared" si="34"/>
        <v>-5.6002539640567228E-3</v>
      </c>
      <c r="AA202" s="9">
        <f t="shared" si="34"/>
        <v>-5.8605074683698577E-3</v>
      </c>
      <c r="AB202" s="9">
        <f t="shared" si="34"/>
        <v>-5.4090600091795116E-3</v>
      </c>
      <c r="AC202" s="9">
        <f t="shared" si="34"/>
        <v>-5.2787184541559506E-3</v>
      </c>
      <c r="AD202" s="9">
        <f t="shared" si="34"/>
        <v>-4.9683393258512787E-3</v>
      </c>
      <c r="AE202" s="9">
        <f t="shared" si="34"/>
        <v>-4.5998906096123005E-3</v>
      </c>
      <c r="AF202" s="9">
        <f t="shared" si="34"/>
        <v>-4.2691871397244618E-3</v>
      </c>
      <c r="AG202" s="9">
        <f t="shared" si="34"/>
        <v>-4.0242565631309901E-3</v>
      </c>
      <c r="AH202" s="9">
        <f t="shared" si="34"/>
        <v>-3.8683915669263103E-3</v>
      </c>
      <c r="AI202" s="9">
        <f t="shared" si="34"/>
        <v>-3.7768232745234442E-3</v>
      </c>
      <c r="AJ202" s="9">
        <f t="shared" si="34"/>
        <v>-3.7173186661614288E-3</v>
      </c>
      <c r="AK202" s="9">
        <f t="shared" si="34"/>
        <v>-3.6651542777809132E-3</v>
      </c>
      <c r="AL202" s="9">
        <f t="shared" si="34"/>
        <v>-3.609660831893402E-3</v>
      </c>
    </row>
    <row r="203" spans="1:38" x14ac:dyDescent="0.3">
      <c r="B203" t="s">
        <v>25</v>
      </c>
      <c r="C203" s="9">
        <f t="shared" ref="C203:AL203" si="35">C193/C144/(C183/C132)-1</f>
        <v>0</v>
      </c>
      <c r="D203" s="9">
        <f t="shared" si="35"/>
        <v>0</v>
      </c>
      <c r="E203" s="9">
        <f t="shared" si="35"/>
        <v>0</v>
      </c>
      <c r="F203" s="9">
        <f t="shared" si="35"/>
        <v>0</v>
      </c>
      <c r="G203" s="9">
        <f t="shared" si="35"/>
        <v>0</v>
      </c>
      <c r="H203" s="9">
        <f t="shared" si="35"/>
        <v>0</v>
      </c>
      <c r="I203" s="9">
        <f t="shared" si="35"/>
        <v>-1.4615493465136575E-3</v>
      </c>
      <c r="J203" s="9">
        <f t="shared" si="35"/>
        <v>-5.8054024374271096E-3</v>
      </c>
      <c r="K203" s="9">
        <f t="shared" si="35"/>
        <v>-1.1001373207074949E-2</v>
      </c>
      <c r="L203" s="9">
        <f t="shared" si="35"/>
        <v>-1.3733450811973413E-2</v>
      </c>
      <c r="M203" s="9">
        <f t="shared" si="35"/>
        <v>-1.1999193077148029E-2</v>
      </c>
      <c r="N203" s="9">
        <f t="shared" si="35"/>
        <v>-6.2661489393061043E-3</v>
      </c>
      <c r="O203" s="9">
        <f t="shared" si="35"/>
        <v>1.8232361396282037E-3</v>
      </c>
      <c r="P203" s="9">
        <f t="shared" si="35"/>
        <v>1.0014620772989868E-2</v>
      </c>
      <c r="Q203" s="9">
        <f t="shared" si="35"/>
        <v>1.6181956551623466E-2</v>
      </c>
      <c r="R203" s="9">
        <f t="shared" si="35"/>
        <v>1.9113651188749303E-2</v>
      </c>
      <c r="S203" s="9">
        <f t="shared" si="35"/>
        <v>1.8860834252441006E-2</v>
      </c>
      <c r="T203" s="9">
        <f t="shared" si="35"/>
        <v>1.6193439195848258E-2</v>
      </c>
      <c r="U203" s="9">
        <f t="shared" si="35"/>
        <v>1.2154405550401703E-2</v>
      </c>
      <c r="V203" s="9">
        <f t="shared" si="35"/>
        <v>7.6892616185677554E-3</v>
      </c>
      <c r="W203" s="9">
        <f t="shared" si="35"/>
        <v>3.4750744708669234E-3</v>
      </c>
      <c r="X203" s="9">
        <f t="shared" si="35"/>
        <v>-2.9534328761016138E-4</v>
      </c>
      <c r="Y203" s="9">
        <f t="shared" si="35"/>
        <v>-3.5336849900562406E-3</v>
      </c>
      <c r="Z203" s="9">
        <f t="shared" si="35"/>
        <v>-6.2007863293377374E-3</v>
      </c>
      <c r="AA203" s="9">
        <f t="shared" si="35"/>
        <v>-8.2557385443445819E-3</v>
      </c>
      <c r="AB203" s="9">
        <f t="shared" si="35"/>
        <v>-9.6097455069152904E-3</v>
      </c>
      <c r="AC203" s="9">
        <f t="shared" si="35"/>
        <v>-1.0241384542391541E-2</v>
      </c>
      <c r="AD203" s="9">
        <f t="shared" si="35"/>
        <v>-1.0121676672796842E-2</v>
      </c>
      <c r="AE203" s="9">
        <f t="shared" si="35"/>
        <v>-9.2802157930232942E-3</v>
      </c>
      <c r="AF203" s="9">
        <f t="shared" si="35"/>
        <v>-7.8255890581204746E-3</v>
      </c>
      <c r="AG203" s="9">
        <f t="shared" si="35"/>
        <v>-5.9380255728180842E-3</v>
      </c>
      <c r="AH203" s="9">
        <f t="shared" si="35"/>
        <v>-3.8198447526650581E-3</v>
      </c>
      <c r="AI203" s="9">
        <f t="shared" si="35"/>
        <v>-1.6914396597820236E-3</v>
      </c>
      <c r="AJ203" s="9">
        <f t="shared" si="35"/>
        <v>2.4419843864564861E-4</v>
      </c>
      <c r="AK203" s="9">
        <f t="shared" si="35"/>
        <v>1.8378970239367742E-3</v>
      </c>
      <c r="AL203" s="9">
        <f t="shared" si="35"/>
        <v>2.9734984491416316E-3</v>
      </c>
    </row>
    <row r="204" spans="1:38" x14ac:dyDescent="0.3">
      <c r="B204" t="s">
        <v>8</v>
      </c>
      <c r="C204" s="9">
        <f t="shared" ref="C204:AL204" si="36">C194/C145/(C184/C133)-1</f>
        <v>0</v>
      </c>
      <c r="D204" s="9">
        <f t="shared" si="36"/>
        <v>0</v>
      </c>
      <c r="E204" s="9">
        <f t="shared" si="36"/>
        <v>0</v>
      </c>
      <c r="F204" s="9">
        <f t="shared" si="36"/>
        <v>0</v>
      </c>
      <c r="G204" s="9">
        <f t="shared" si="36"/>
        <v>0</v>
      </c>
      <c r="H204" s="9">
        <f t="shared" si="36"/>
        <v>0</v>
      </c>
      <c r="I204" s="9">
        <f t="shared" si="36"/>
        <v>-8.6721462436356589E-4</v>
      </c>
      <c r="J204" s="9">
        <f t="shared" si="36"/>
        <v>2.0639554305745822E-3</v>
      </c>
      <c r="K204" s="9">
        <f t="shared" si="36"/>
        <v>6.7809088864239087E-3</v>
      </c>
      <c r="L204" s="9">
        <f t="shared" si="36"/>
        <v>1.1525200707621197E-2</v>
      </c>
      <c r="M204" s="9">
        <f t="shared" si="36"/>
        <v>1.499904096271254E-2</v>
      </c>
      <c r="N204" s="9">
        <f t="shared" si="36"/>
        <v>1.6797139475015044E-2</v>
      </c>
      <c r="O204" s="9">
        <f t="shared" si="36"/>
        <v>1.7027437933352596E-2</v>
      </c>
      <c r="P204" s="9">
        <f t="shared" si="36"/>
        <v>1.6185860522086815E-2</v>
      </c>
      <c r="Q204" s="9">
        <f t="shared" si="36"/>
        <v>1.4838644350301688E-2</v>
      </c>
      <c r="R204" s="9">
        <f t="shared" si="36"/>
        <v>1.340247392622218E-2</v>
      </c>
      <c r="S204" s="9">
        <f t="shared" si="36"/>
        <v>1.2064218925754711E-2</v>
      </c>
      <c r="T204" s="9">
        <f t="shared" si="36"/>
        <v>1.0817504369496689E-2</v>
      </c>
      <c r="U204" s="9">
        <f t="shared" si="36"/>
        <v>9.5621030101427085E-3</v>
      </c>
      <c r="V204" s="9">
        <f t="shared" si="36"/>
        <v>8.204378368704246E-3</v>
      </c>
      <c r="W204" s="9">
        <f t="shared" si="36"/>
        <v>6.7200861586536043E-3</v>
      </c>
      <c r="X204" s="9">
        <f t="shared" si="36"/>
        <v>5.1528630199302317E-3</v>
      </c>
      <c r="Y204" s="9">
        <f t="shared" si="36"/>
        <v>3.6190910727160741E-3</v>
      </c>
      <c r="Z204" s="9">
        <f t="shared" si="36"/>
        <v>2.2316165895093221E-3</v>
      </c>
      <c r="AA204" s="9">
        <f t="shared" si="36"/>
        <v>1.0732302336542432E-3</v>
      </c>
      <c r="AB204" s="9">
        <f t="shared" si="36"/>
        <v>1.9143502539620272E-4</v>
      </c>
      <c r="AC204" s="9">
        <f t="shared" si="36"/>
        <v>-4.5716362272796296E-4</v>
      </c>
      <c r="AD204" s="9">
        <f t="shared" si="36"/>
        <v>-8.9236097580602802E-4</v>
      </c>
      <c r="AE204" s="9">
        <f t="shared" si="36"/>
        <v>-1.165952464875053E-3</v>
      </c>
      <c r="AF204" s="9">
        <f t="shared" si="36"/>
        <v>-1.3308518248038581E-3</v>
      </c>
      <c r="AG204" s="9">
        <f t="shared" si="36"/>
        <v>-1.4265424847312858E-3</v>
      </c>
      <c r="AH204" s="9">
        <f t="shared" si="36"/>
        <v>-1.4761316659183121E-3</v>
      </c>
      <c r="AI204" s="9">
        <f t="shared" si="36"/>
        <v>-1.4903693006665941E-3</v>
      </c>
      <c r="AJ204" s="9">
        <f t="shared" si="36"/>
        <v>-1.4741471489351232E-3</v>
      </c>
      <c r="AK204" s="9">
        <f t="shared" si="36"/>
        <v>-1.4319240234833552E-3</v>
      </c>
      <c r="AL204" s="9">
        <f t="shared" si="36"/>
        <v>-1.3706613396179401E-3</v>
      </c>
    </row>
    <row r="205" spans="1:38" x14ac:dyDescent="0.3">
      <c r="B205" t="s">
        <v>24</v>
      </c>
      <c r="C205" s="9">
        <f t="shared" ref="C205:AL205" si="37">C195/C146/(C185/C134)-1</f>
        <v>0</v>
      </c>
      <c r="D205" s="9">
        <f t="shared" si="37"/>
        <v>0</v>
      </c>
      <c r="E205" s="9">
        <f t="shared" si="37"/>
        <v>0</v>
      </c>
      <c r="F205" s="9">
        <f t="shared" si="37"/>
        <v>0</v>
      </c>
      <c r="G205" s="9">
        <f t="shared" si="37"/>
        <v>0</v>
      </c>
      <c r="H205" s="9">
        <f t="shared" si="37"/>
        <v>0</v>
      </c>
      <c r="I205" s="9">
        <f t="shared" si="37"/>
        <v>-1.348142141656794E-3</v>
      </c>
      <c r="J205" s="9">
        <f t="shared" si="37"/>
        <v>-3.2819731420332676E-3</v>
      </c>
      <c r="K205" s="9">
        <f t="shared" si="37"/>
        <v>-5.3023669814468155E-3</v>
      </c>
      <c r="L205" s="9">
        <f t="shared" si="37"/>
        <v>-6.2288830331661549E-3</v>
      </c>
      <c r="M205" s="9">
        <f t="shared" si="37"/>
        <v>-5.5005044807803216E-3</v>
      </c>
      <c r="N205" s="9">
        <f t="shared" si="37"/>
        <v>-3.4919435002467303E-3</v>
      </c>
      <c r="O205" s="9">
        <f t="shared" si="37"/>
        <v>-8.6966987696179832E-4</v>
      </c>
      <c r="P205" s="9">
        <f t="shared" si="37"/>
        <v>1.6245108672396924E-3</v>
      </c>
      <c r="Q205" s="9">
        <f t="shared" si="37"/>
        <v>3.4674409011750118E-3</v>
      </c>
      <c r="R205" s="9">
        <f t="shared" si="37"/>
        <v>4.4713876013546816E-3</v>
      </c>
      <c r="S205" s="9">
        <f t="shared" si="37"/>
        <v>4.735741295704976E-3</v>
      </c>
      <c r="T205" s="9">
        <f t="shared" si="37"/>
        <v>4.5019632059863923E-3</v>
      </c>
      <c r="U205" s="9">
        <f t="shared" si="37"/>
        <v>4.0210288415936102E-3</v>
      </c>
      <c r="V205" s="9">
        <f t="shared" si="37"/>
        <v>3.4681113806012132E-3</v>
      </c>
      <c r="W205" s="9">
        <f t="shared" si="37"/>
        <v>2.927268458586596E-3</v>
      </c>
      <c r="X205" s="9">
        <f t="shared" si="37"/>
        <v>2.3680275203710188E-3</v>
      </c>
      <c r="Y205" s="9">
        <f t="shared" si="37"/>
        <v>1.7581153991073073E-3</v>
      </c>
      <c r="Z205" s="9">
        <f t="shared" si="37"/>
        <v>1.0750242650436892E-3</v>
      </c>
      <c r="AA205" s="9">
        <f t="shared" si="37"/>
        <v>3.2666458231611628E-4</v>
      </c>
      <c r="AB205" s="9">
        <f t="shared" si="37"/>
        <v>-4.3498389498319856E-4</v>
      </c>
      <c r="AC205" s="9">
        <f t="shared" si="37"/>
        <v>-1.1756631628233594E-3</v>
      </c>
      <c r="AD205" s="9">
        <f t="shared" si="37"/>
        <v>-1.8401365738732745E-3</v>
      </c>
      <c r="AE205" s="9">
        <f t="shared" si="37"/>
        <v>-2.3888767322529647E-3</v>
      </c>
      <c r="AF205" s="9">
        <f t="shared" si="37"/>
        <v>-2.8061898906072136E-3</v>
      </c>
      <c r="AG205" s="9">
        <f t="shared" si="37"/>
        <v>-3.1002588603944448E-3</v>
      </c>
      <c r="AH205" s="9">
        <f t="shared" si="37"/>
        <v>-3.2941484686758171E-3</v>
      </c>
      <c r="AI205" s="9">
        <f t="shared" si="37"/>
        <v>-3.4173005581468185E-3</v>
      </c>
      <c r="AJ205" s="9">
        <f t="shared" si="37"/>
        <v>-3.496873232178066E-3</v>
      </c>
      <c r="AK205" s="9">
        <f t="shared" si="37"/>
        <v>-3.5521855853173356E-3</v>
      </c>
      <c r="AL205" s="9">
        <f t="shared" si="37"/>
        <v>-3.5958815090579854E-3</v>
      </c>
    </row>
    <row r="206" spans="1:38" x14ac:dyDescent="0.3">
      <c r="B206" t="s">
        <v>10</v>
      </c>
      <c r="C206" s="9">
        <f t="shared" ref="C206:AL206" si="38">C196/C147/(C186/C135)-1</f>
        <v>0</v>
      </c>
      <c r="D206" s="9">
        <f t="shared" si="38"/>
        <v>0</v>
      </c>
      <c r="E206" s="9">
        <f t="shared" si="38"/>
        <v>0</v>
      </c>
      <c r="F206" s="9">
        <f t="shared" si="38"/>
        <v>0</v>
      </c>
      <c r="G206" s="9">
        <f t="shared" si="38"/>
        <v>0</v>
      </c>
      <c r="H206" s="9">
        <f t="shared" si="38"/>
        <v>0</v>
      </c>
      <c r="I206" s="9">
        <f t="shared" si="38"/>
        <v>-5.4306277191717989E-4</v>
      </c>
      <c r="J206" s="9">
        <f t="shared" si="38"/>
        <v>2.3868551997596743E-3</v>
      </c>
      <c r="K206" s="9">
        <f t="shared" si="38"/>
        <v>6.825515015692174E-3</v>
      </c>
      <c r="L206" s="9">
        <f t="shared" si="38"/>
        <v>1.0504597633167911E-2</v>
      </c>
      <c r="M206" s="9">
        <f t="shared" si="38"/>
        <v>1.2010564660208223E-2</v>
      </c>
      <c r="N206" s="9">
        <f t="shared" si="38"/>
        <v>1.1284626793611086E-2</v>
      </c>
      <c r="O206" s="9">
        <f t="shared" si="38"/>
        <v>8.96831342209925E-3</v>
      </c>
      <c r="P206" s="9">
        <f t="shared" si="38"/>
        <v>6.0735433768204228E-3</v>
      </c>
      <c r="Q206" s="9">
        <f t="shared" si="38"/>
        <v>3.4715304225114707E-3</v>
      </c>
      <c r="R206" s="9">
        <f t="shared" si="38"/>
        <v>1.6339218903806962E-3</v>
      </c>
      <c r="S206" s="9">
        <f t="shared" si="38"/>
        <v>6.0827161402987606E-4</v>
      </c>
      <c r="T206" s="9">
        <f t="shared" si="38"/>
        <v>1.5630295313462383E-4</v>
      </c>
      <c r="U206" s="9">
        <f t="shared" si="38"/>
        <v>-5.153506915567263E-5</v>
      </c>
      <c r="V206" s="9">
        <f t="shared" si="38"/>
        <v>-2.7745203494033976E-4</v>
      </c>
      <c r="W206" s="9">
        <f t="shared" si="38"/>
        <v>-6.6782366391904269E-4</v>
      </c>
      <c r="X206" s="9">
        <f t="shared" si="38"/>
        <v>-1.1399552884987507E-3</v>
      </c>
      <c r="Y206" s="9">
        <f t="shared" si="38"/>
        <v>-1.6339285048849739E-3</v>
      </c>
      <c r="Z206" s="9">
        <f t="shared" si="38"/>
        <v>-2.0425030696776814E-3</v>
      </c>
      <c r="AA206" s="9">
        <f t="shared" si="38"/>
        <v>-2.2996362547921256E-3</v>
      </c>
      <c r="AB206" s="9">
        <f t="shared" si="38"/>
        <v>-2.4460174595807294E-3</v>
      </c>
      <c r="AC206" s="9">
        <f t="shared" si="38"/>
        <v>-2.4302757744532055E-3</v>
      </c>
      <c r="AD206" s="9">
        <f t="shared" si="38"/>
        <v>-2.3600501506293448E-3</v>
      </c>
      <c r="AE206" s="9">
        <f t="shared" si="38"/>
        <v>-2.2983552289101983E-3</v>
      </c>
      <c r="AF206" s="9">
        <f t="shared" si="38"/>
        <v>-2.2866949644121393E-3</v>
      </c>
      <c r="AG206" s="9">
        <f t="shared" si="38"/>
        <v>-2.3382012347091807E-3</v>
      </c>
      <c r="AH206" s="9">
        <f t="shared" si="38"/>
        <v>-2.4423975711103107E-3</v>
      </c>
      <c r="AI206" s="9">
        <f t="shared" si="38"/>
        <v>-2.5766505428875819E-3</v>
      </c>
      <c r="AJ206" s="9">
        <f t="shared" si="38"/>
        <v>-2.7180078315391931E-3</v>
      </c>
      <c r="AK206" s="9">
        <f t="shared" si="38"/>
        <v>-2.8508987811051156E-3</v>
      </c>
      <c r="AL206" s="9">
        <f t="shared" si="38"/>
        <v>-2.9693680274355261E-3</v>
      </c>
    </row>
    <row r="207" spans="1:38" x14ac:dyDescent="0.3">
      <c r="B207" t="s">
        <v>9</v>
      </c>
      <c r="C207" s="9">
        <f t="shared" ref="C207:AL207" si="39">C197/C148/(C187/C136)-1</f>
        <v>0</v>
      </c>
      <c r="D207" s="9">
        <f t="shared" si="39"/>
        <v>0</v>
      </c>
      <c r="E207" s="9">
        <f t="shared" si="39"/>
        <v>0</v>
      </c>
      <c r="F207" s="9">
        <f t="shared" si="39"/>
        <v>0</v>
      </c>
      <c r="G207" s="9">
        <f t="shared" si="39"/>
        <v>0</v>
      </c>
      <c r="H207" s="9">
        <f t="shared" si="39"/>
        <v>0</v>
      </c>
      <c r="I207" s="9">
        <f t="shared" si="39"/>
        <v>-3.9961741836336273E-4</v>
      </c>
      <c r="J207" s="9">
        <f t="shared" si="39"/>
        <v>1.6624393706758944E-3</v>
      </c>
      <c r="K207" s="9">
        <f t="shared" si="39"/>
        <v>5.1165855360728596E-3</v>
      </c>
      <c r="L207" s="9">
        <f t="shared" si="39"/>
        <v>8.4093627918881975E-3</v>
      </c>
      <c r="M207" s="9">
        <f t="shared" si="39"/>
        <v>1.0359758150374487E-2</v>
      </c>
      <c r="N207" s="9">
        <f t="shared" si="39"/>
        <v>1.0662998108324162E-2</v>
      </c>
      <c r="O207" s="9">
        <f t="shared" si="39"/>
        <v>9.5948963656427022E-3</v>
      </c>
      <c r="P207" s="9">
        <f t="shared" si="39"/>
        <v>7.7854767828309246E-3</v>
      </c>
      <c r="Q207" s="9">
        <f t="shared" si="39"/>
        <v>5.8748910188519687E-3</v>
      </c>
      <c r="R207" s="9">
        <f t="shared" si="39"/>
        <v>4.2871678457878648E-3</v>
      </c>
      <c r="S207" s="9">
        <f t="shared" si="39"/>
        <v>3.1615846570780537E-3</v>
      </c>
      <c r="T207" s="9">
        <f t="shared" si="39"/>
        <v>2.4116451982922893E-3</v>
      </c>
      <c r="U207" s="9">
        <f t="shared" si="39"/>
        <v>1.8472703615690644E-3</v>
      </c>
      <c r="V207" s="9">
        <f t="shared" si="39"/>
        <v>1.292285445527952E-3</v>
      </c>
      <c r="W207" s="9">
        <f t="shared" si="39"/>
        <v>6.4133603491400848E-4</v>
      </c>
      <c r="X207" s="9">
        <f t="shared" si="39"/>
        <v>-7.5448286751211846E-5</v>
      </c>
      <c r="Y207" s="9">
        <f t="shared" si="39"/>
        <v>-8.0139493710718046E-4</v>
      </c>
      <c r="Z207" s="9">
        <f t="shared" si="39"/>
        <v>-1.4511049985491686E-3</v>
      </c>
      <c r="AA207" s="9">
        <f t="shared" si="39"/>
        <v>-1.9601161318211213E-3</v>
      </c>
      <c r="AB207" s="9">
        <f t="shared" si="39"/>
        <v>-2.3253088639982877E-3</v>
      </c>
      <c r="AC207" s="9">
        <f t="shared" si="39"/>
        <v>-2.5283262161244213E-3</v>
      </c>
      <c r="AD207" s="9">
        <f t="shared" si="39"/>
        <v>-2.6217585746958205E-3</v>
      </c>
      <c r="AE207" s="9">
        <f t="shared" si="39"/>
        <v>-2.6537336414466095E-3</v>
      </c>
      <c r="AF207" s="9">
        <f t="shared" si="39"/>
        <v>-2.6631071471612255E-3</v>
      </c>
      <c r="AG207" s="9">
        <f t="shared" si="39"/>
        <v>-2.6713885664597647E-3</v>
      </c>
      <c r="AH207" s="9">
        <f t="shared" si="39"/>
        <v>-2.6830285077351634E-3</v>
      </c>
      <c r="AI207" s="9">
        <f t="shared" si="39"/>
        <v>-2.6917203849681215E-3</v>
      </c>
      <c r="AJ207" s="9">
        <f t="shared" si="39"/>
        <v>-2.6883327751348052E-3</v>
      </c>
      <c r="AK207" s="9">
        <f t="shared" si="39"/>
        <v>-2.6668935155278461E-3</v>
      </c>
      <c r="AL207" s="9">
        <f t="shared" si="39"/>
        <v>-2.6271641911671528E-3</v>
      </c>
    </row>
    <row r="209" spans="1:38" x14ac:dyDescent="0.3">
      <c r="A209" s="12" t="s">
        <v>60</v>
      </c>
      <c r="B209" t="s">
        <v>22</v>
      </c>
      <c r="C209" s="6">
        <f>[1]Results!F1434</f>
        <v>27365.952300000001</v>
      </c>
      <c r="D209" s="6">
        <f>[1]Results!G1434</f>
        <v>27341.989379999999</v>
      </c>
      <c r="E209" s="6">
        <f>[1]Results!H1434</f>
        <v>27341.122139999999</v>
      </c>
      <c r="F209" s="6">
        <f>[1]Results!I1434</f>
        <v>27384.126230000002</v>
      </c>
      <c r="G209" s="6">
        <f>[1]Results!J1434</f>
        <v>27460.44342</v>
      </c>
      <c r="H209" s="6">
        <f>[1]Results!K1434</f>
        <v>27559.116419999998</v>
      </c>
      <c r="I209" s="6">
        <f>[1]Results!L1434</f>
        <v>27692.40596</v>
      </c>
      <c r="J209" s="6">
        <f>[1]Results!M1434</f>
        <v>27790.04594</v>
      </c>
      <c r="K209" s="6">
        <f>[1]Results!N1434</f>
        <v>27847.292539999999</v>
      </c>
      <c r="L209" s="6">
        <f>[1]Results!O1434</f>
        <v>27879.636879999998</v>
      </c>
      <c r="M209" s="6">
        <f>[1]Results!P1434</f>
        <v>27926.857759999999</v>
      </c>
      <c r="N209" s="6">
        <f>[1]Results!Q1434</f>
        <v>27985.8014</v>
      </c>
      <c r="O209" s="6">
        <f>[1]Results!R1434</f>
        <v>28065.360049999999</v>
      </c>
      <c r="P209" s="6">
        <f>[1]Results!S1434</f>
        <v>28162.596529999999</v>
      </c>
      <c r="Q209" s="6">
        <f>[1]Results!T1434</f>
        <v>28268.694680000001</v>
      </c>
      <c r="R209" s="6">
        <f>[1]Results!U1434</f>
        <v>28374.680520000002</v>
      </c>
      <c r="S209" s="6">
        <f>[1]Results!V1434</f>
        <v>28475.05674</v>
      </c>
      <c r="T209" s="6">
        <f>[1]Results!W1434</f>
        <v>28568.87313</v>
      </c>
      <c r="U209" s="6">
        <f>[1]Results!X1434</f>
        <v>28658.680609999999</v>
      </c>
      <c r="V209" s="6">
        <f>[1]Results!Y1434</f>
        <v>28748.46658</v>
      </c>
      <c r="W209" s="6">
        <f>[1]Results!Z1434</f>
        <v>28828.652050000001</v>
      </c>
      <c r="X209" s="6">
        <f>[1]Results!AA1434</f>
        <v>28917.435890000001</v>
      </c>
      <c r="Y209" s="6">
        <f>[1]Results!AB1434</f>
        <v>29015.165249999998</v>
      </c>
      <c r="Z209" s="6">
        <f>[1]Results!AC1434</f>
        <v>29119.67108</v>
      </c>
      <c r="AA209" s="6">
        <f>[1]Results!AD1434</f>
        <v>29228.295289999998</v>
      </c>
      <c r="AB209" s="6">
        <f>[1]Results!AE1434</f>
        <v>29297.209340000001</v>
      </c>
      <c r="AC209" s="6">
        <f>[1]Results!AF1434</f>
        <v>29366.881890000001</v>
      </c>
      <c r="AD209" s="6">
        <f>[1]Results!AG1434</f>
        <v>29435.58901</v>
      </c>
      <c r="AE209" s="6">
        <f>[1]Results!AH1434</f>
        <v>29503.477579999999</v>
      </c>
      <c r="AF209" s="6">
        <f>[1]Results!AI1434</f>
        <v>29571.693159999999</v>
      </c>
      <c r="AG209" s="6">
        <f>[1]Results!AJ1434</f>
        <v>29641.041580000001</v>
      </c>
      <c r="AH209" s="6">
        <f>[1]Results!AK1434</f>
        <v>29711.564900000001</v>
      </c>
      <c r="AI209" s="6">
        <f>[1]Results!AL1434</f>
        <v>29782.76137</v>
      </c>
      <c r="AJ209" s="6">
        <f>[1]Results!AM1434</f>
        <v>29854.01856</v>
      </c>
      <c r="AK209" s="6">
        <f>[1]Results!AN1434</f>
        <v>29924.95248</v>
      </c>
      <c r="AL209" s="6">
        <f>[1]Results!AO1434</f>
        <v>29995.52363</v>
      </c>
    </row>
    <row r="210" spans="1:38" x14ac:dyDescent="0.3">
      <c r="A210" t="s">
        <v>27</v>
      </c>
      <c r="B210" t="s">
        <v>7</v>
      </c>
      <c r="C210" s="6">
        <f>[1]Results!F1435</f>
        <v>760.57977960000005</v>
      </c>
      <c r="D210" s="6">
        <f>[1]Results!G1435</f>
        <v>751.63997489999997</v>
      </c>
      <c r="E210" s="6">
        <f>[1]Results!H1435</f>
        <v>738.59097459999998</v>
      </c>
      <c r="F210" s="6">
        <f>[1]Results!I1435</f>
        <v>725.65771329999995</v>
      </c>
      <c r="G210" s="6">
        <f>[1]Results!J1435</f>
        <v>715.18804790000002</v>
      </c>
      <c r="H210" s="6">
        <f>[1]Results!K1435</f>
        <v>708.04311700000005</v>
      </c>
      <c r="I210" s="6">
        <f>[1]Results!L1435</f>
        <v>728.40470489999996</v>
      </c>
      <c r="J210" s="6">
        <f>[1]Results!M1435</f>
        <v>738.62319109999999</v>
      </c>
      <c r="K210" s="6">
        <f>[1]Results!N1435</f>
        <v>741.50379180000004</v>
      </c>
      <c r="L210" s="6">
        <f>[1]Results!O1435</f>
        <v>738.90398110000001</v>
      </c>
      <c r="M210" s="6">
        <f>[1]Results!P1435</f>
        <v>732.67194240000003</v>
      </c>
      <c r="N210" s="6">
        <f>[1]Results!Q1435</f>
        <v>723.77624330000003</v>
      </c>
      <c r="O210" s="6">
        <f>[1]Results!R1435</f>
        <v>713.43325240000001</v>
      </c>
      <c r="P210" s="6">
        <f>[1]Results!S1435</f>
        <v>702.70426039999995</v>
      </c>
      <c r="Q210" s="6">
        <f>[1]Results!T1435</f>
        <v>692.37318330000005</v>
      </c>
      <c r="R210" s="6">
        <f>[1]Results!U1435</f>
        <v>682.90831100000003</v>
      </c>
      <c r="S210" s="6">
        <f>[1]Results!V1435</f>
        <v>674.4985805</v>
      </c>
      <c r="T210" s="6">
        <f>[1]Results!W1435</f>
        <v>667.13302969999995</v>
      </c>
      <c r="U210" s="6">
        <f>[1]Results!X1435</f>
        <v>660.68808650000005</v>
      </c>
      <c r="V210" s="6">
        <f>[1]Results!Y1435</f>
        <v>654.99760890000005</v>
      </c>
      <c r="W210" s="6">
        <f>[1]Results!Z1435</f>
        <v>649.6365174</v>
      </c>
      <c r="X210" s="6">
        <f>[1]Results!AA1435</f>
        <v>644.7266899</v>
      </c>
      <c r="Y210" s="6">
        <f>[1]Results!AB1435</f>
        <v>640.16923399999996</v>
      </c>
      <c r="Z210" s="6">
        <f>[1]Results!AC1435</f>
        <v>635.85791840000002</v>
      </c>
      <c r="AA210" s="6">
        <f>[1]Results!AD1435</f>
        <v>631.68829070000004</v>
      </c>
      <c r="AB210" s="6">
        <f>[1]Results!AE1435</f>
        <v>626.85860860000003</v>
      </c>
      <c r="AC210" s="6">
        <f>[1]Results!AF1435</f>
        <v>621.73041850000004</v>
      </c>
      <c r="AD210" s="6">
        <f>[1]Results!AG1435</f>
        <v>616.35324700000001</v>
      </c>
      <c r="AE210" s="6">
        <f>[1]Results!AH1435</f>
        <v>610.78213019999998</v>
      </c>
      <c r="AF210" s="6">
        <f>[1]Results!AI1435</f>
        <v>605.08580489999997</v>
      </c>
      <c r="AG210" s="6">
        <f>[1]Results!AJ1435</f>
        <v>599.33746150000002</v>
      </c>
      <c r="AH210" s="6">
        <f>[1]Results!AK1435</f>
        <v>593.60219180000001</v>
      </c>
      <c r="AI210" s="6">
        <f>[1]Results!AL1435</f>
        <v>587.9277783</v>
      </c>
      <c r="AJ210" s="6">
        <f>[1]Results!AM1435</f>
        <v>582.34149000000002</v>
      </c>
      <c r="AK210" s="6">
        <f>[1]Results!AN1435</f>
        <v>576.85252409999998</v>
      </c>
      <c r="AL210" s="6">
        <f>[1]Results!AO1435</f>
        <v>571.45782410000004</v>
      </c>
    </row>
    <row r="211" spans="1:38" x14ac:dyDescent="0.3">
      <c r="B211" t="s">
        <v>96</v>
      </c>
      <c r="C211" s="6">
        <f>[1]Results!F1448</f>
        <v>1768.7137700000001</v>
      </c>
      <c r="D211" s="6">
        <f>[1]Results!G1448</f>
        <v>1826.9535860000001</v>
      </c>
      <c r="E211" s="6">
        <f>[1]Results!H1448</f>
        <v>1913.7235949999999</v>
      </c>
      <c r="F211" s="6">
        <f>[1]Results!I1448</f>
        <v>1987.4596750000001</v>
      </c>
      <c r="G211" s="6">
        <f>[1]Results!J1448</f>
        <v>2034.395082</v>
      </c>
      <c r="H211" s="6">
        <f>[1]Results!K1448</f>
        <v>2057.5133679999999</v>
      </c>
      <c r="I211" s="6">
        <f>[1]Results!L1448</f>
        <v>2044.356886</v>
      </c>
      <c r="J211" s="6">
        <f>[1]Results!M1448</f>
        <v>2019.7394690000001</v>
      </c>
      <c r="K211" s="6">
        <f>[1]Results!N1448</f>
        <v>1992.301217</v>
      </c>
      <c r="L211" s="6">
        <f>[1]Results!O1448</f>
        <v>1967.3864269999999</v>
      </c>
      <c r="M211" s="6">
        <f>[1]Results!P1448</f>
        <v>1977.9798290000001</v>
      </c>
      <c r="N211" s="6">
        <f>[1]Results!Q1448</f>
        <v>1966.201781</v>
      </c>
      <c r="O211" s="6">
        <f>[1]Results!R1448</f>
        <v>1956.841864</v>
      </c>
      <c r="P211" s="6">
        <f>[1]Results!S1448</f>
        <v>1955.5200199999999</v>
      </c>
      <c r="Q211" s="6">
        <f>[1]Results!T1448</f>
        <v>1960.699593</v>
      </c>
      <c r="R211" s="6">
        <f>[1]Results!U1448</f>
        <v>1969.2376549999999</v>
      </c>
      <c r="S211" s="6">
        <f>[1]Results!V1448</f>
        <v>1978.653701</v>
      </c>
      <c r="T211" s="6">
        <f>[1]Results!W1448</f>
        <v>1987.757118</v>
      </c>
      <c r="U211" s="6">
        <f>[1]Results!X1448</f>
        <v>1996.440004</v>
      </c>
      <c r="V211" s="6">
        <f>[1]Results!Y1448</f>
        <v>2005.14545</v>
      </c>
      <c r="W211" s="6">
        <f>[1]Results!Z1448</f>
        <v>1996.114012</v>
      </c>
      <c r="X211" s="6">
        <f>[1]Results!AA1448</f>
        <v>2006.7591299999999</v>
      </c>
      <c r="Y211" s="6">
        <f>[1]Results!AB1448</f>
        <v>2022.8035970000001</v>
      </c>
      <c r="Z211" s="6">
        <f>[1]Results!AC1448</f>
        <v>2038.763897</v>
      </c>
      <c r="AA211" s="6">
        <f>[1]Results!AD1448</f>
        <v>2053.0285330000002</v>
      </c>
      <c r="AB211" s="6">
        <f>[1]Results!AE1448</f>
        <v>2014.77396</v>
      </c>
      <c r="AC211" s="6">
        <f>[1]Results!AF1448</f>
        <v>2007.450531</v>
      </c>
      <c r="AD211" s="6">
        <f>[1]Results!AG1448</f>
        <v>2012.914113</v>
      </c>
      <c r="AE211" s="6">
        <f>[1]Results!AH1448</f>
        <v>2022.7377019999999</v>
      </c>
      <c r="AF211" s="6">
        <f>[1]Results!AI1448</f>
        <v>2033.518343</v>
      </c>
      <c r="AG211" s="6">
        <f>[1]Results!AJ1448</f>
        <v>2044.04411</v>
      </c>
      <c r="AH211" s="6">
        <f>[1]Results!AK1448</f>
        <v>2053.9368479999998</v>
      </c>
      <c r="AI211" s="6">
        <f>[1]Results!AL1448</f>
        <v>2063.1032369999998</v>
      </c>
      <c r="AJ211" s="6">
        <f>[1]Results!AM1448</f>
        <v>2071.5629749999998</v>
      </c>
      <c r="AK211" s="6">
        <f>[1]Results!AN1448</f>
        <v>2079.410813</v>
      </c>
      <c r="AL211" s="6">
        <f>[1]Results!AO1448</f>
        <v>2086.7977879999999</v>
      </c>
    </row>
    <row r="212" spans="1:38" x14ac:dyDescent="0.3">
      <c r="B212" t="s">
        <v>11</v>
      </c>
      <c r="C212" s="6">
        <f>[1]Results!F1463</f>
        <v>57.164447150000001</v>
      </c>
      <c r="D212" s="6">
        <f>[1]Results!G1463</f>
        <v>56.985346819999997</v>
      </c>
      <c r="E212" s="6">
        <f>[1]Results!H1463</f>
        <v>56.66720093</v>
      </c>
      <c r="F212" s="6">
        <f>[1]Results!I1463</f>
        <v>56.362241259999998</v>
      </c>
      <c r="G212" s="6">
        <f>[1]Results!J1463</f>
        <v>56.195103899999999</v>
      </c>
      <c r="H212" s="6">
        <f>[1]Results!K1463</f>
        <v>56.246847240000001</v>
      </c>
      <c r="I212" s="6">
        <f>[1]Results!L1463</f>
        <v>56.584343189999998</v>
      </c>
      <c r="J212" s="6">
        <f>[1]Results!M1463</f>
        <v>57.283585960000003</v>
      </c>
      <c r="K212" s="6">
        <f>[1]Results!N1463</f>
        <v>58.282201440000001</v>
      </c>
      <c r="L212" s="6">
        <f>[1]Results!O1463</f>
        <v>59.37858043</v>
      </c>
      <c r="M212" s="6">
        <f>[1]Results!P1463</f>
        <v>60.354491719999999</v>
      </c>
      <c r="N212" s="6">
        <f>[1]Results!Q1463</f>
        <v>61.033084610000003</v>
      </c>
      <c r="O212" s="6">
        <f>[1]Results!R1463</f>
        <v>61.368623589999999</v>
      </c>
      <c r="P212" s="6">
        <f>[1]Results!S1463</f>
        <v>61.420279200000003</v>
      </c>
      <c r="Q212" s="6">
        <f>[1]Results!T1463</f>
        <v>61.301608880000003</v>
      </c>
      <c r="R212" s="6">
        <f>[1]Results!U1463</f>
        <v>61.123062169999997</v>
      </c>
      <c r="S212" s="6">
        <f>[1]Results!V1463</f>
        <v>60.955864599999998</v>
      </c>
      <c r="T212" s="6">
        <f>[1]Results!W1463</f>
        <v>60.831428019999997</v>
      </c>
      <c r="U212" s="6">
        <f>[1]Results!X1463</f>
        <v>60.754596960000001</v>
      </c>
      <c r="V212" s="6">
        <f>[1]Results!Y1463</f>
        <v>60.720364230000001</v>
      </c>
      <c r="W212" s="6">
        <f>[1]Results!Z1463</f>
        <v>60.709748230000002</v>
      </c>
      <c r="X212" s="6">
        <f>[1]Results!AA1463</f>
        <v>60.74203395</v>
      </c>
      <c r="Y212" s="6">
        <f>[1]Results!AB1463</f>
        <v>60.828788670000002</v>
      </c>
      <c r="Z212" s="6">
        <f>[1]Results!AC1463</f>
        <v>60.977740949999998</v>
      </c>
      <c r="AA212" s="6">
        <f>[1]Results!AD1463</f>
        <v>61.191871480000003</v>
      </c>
      <c r="AB212" s="6">
        <f>[1]Results!AE1463</f>
        <v>61.415472399999999</v>
      </c>
      <c r="AC212" s="6">
        <f>[1]Results!AF1463</f>
        <v>61.664727759999998</v>
      </c>
      <c r="AD212" s="6">
        <f>[1]Results!AG1463</f>
        <v>61.921159070000002</v>
      </c>
      <c r="AE212" s="6">
        <f>[1]Results!AH1463</f>
        <v>62.159630159999999</v>
      </c>
      <c r="AF212" s="6">
        <f>[1]Results!AI1463</f>
        <v>62.362976279999998</v>
      </c>
      <c r="AG212" s="6">
        <f>[1]Results!AJ1463</f>
        <v>62.525867169999998</v>
      </c>
      <c r="AH212" s="6">
        <f>[1]Results!AK1463</f>
        <v>62.651642549999998</v>
      </c>
      <c r="AI212" s="6">
        <f>[1]Results!AL1463</f>
        <v>62.748409520000003</v>
      </c>
      <c r="AJ212" s="6">
        <f>[1]Results!AM1463</f>
        <v>62.825078060000003</v>
      </c>
      <c r="AK212" s="6">
        <f>[1]Results!AN1463</f>
        <v>62.888582759999998</v>
      </c>
      <c r="AL212" s="6">
        <f>[1]Results!AO1463</f>
        <v>62.94324932</v>
      </c>
    </row>
    <row r="213" spans="1:38" x14ac:dyDescent="0.3">
      <c r="B213" t="s">
        <v>8</v>
      </c>
      <c r="C213" s="6">
        <f>[1]Results!F1438-[1]Results!F1448</f>
        <v>2595.3754289999997</v>
      </c>
      <c r="D213" s="6">
        <f>[1]Results!G1438-[1]Results!G1448</f>
        <v>2585.3259439999997</v>
      </c>
      <c r="E213" s="6">
        <f>[1]Results!H1438-[1]Results!H1448</f>
        <v>2574.6918129999999</v>
      </c>
      <c r="F213" s="6">
        <f>[1]Results!I1438-[1]Results!I1448</f>
        <v>2567.6493650000002</v>
      </c>
      <c r="G213" s="6">
        <f>[1]Results!J1438-[1]Results!J1448</f>
        <v>2564.7092549999998</v>
      </c>
      <c r="H213" s="6">
        <f>[1]Results!K1438-[1]Results!K1448</f>
        <v>2565.3426010000003</v>
      </c>
      <c r="I213" s="6">
        <f>[1]Results!L1438-[1]Results!L1448</f>
        <v>2568.306325</v>
      </c>
      <c r="J213" s="6">
        <f>[1]Results!M1438-[1]Results!M1448</f>
        <v>2567.1485929999999</v>
      </c>
      <c r="K213" s="6">
        <f>[1]Results!N1438-[1]Results!N1448</f>
        <v>2560.7876129999995</v>
      </c>
      <c r="L213" s="6">
        <f>[1]Results!O1438-[1]Results!O1448</f>
        <v>2550.7215080000001</v>
      </c>
      <c r="M213" s="6">
        <f>[1]Results!P1438-[1]Results!P1448</f>
        <v>2542.5065999999997</v>
      </c>
      <c r="N213" s="6">
        <f>[1]Results!Q1438-[1]Results!Q1448</f>
        <v>2534.0300870000001</v>
      </c>
      <c r="O213" s="6">
        <f>[1]Results!R1438-[1]Results!R1448</f>
        <v>2527.1858650000004</v>
      </c>
      <c r="P213" s="6">
        <f>[1]Results!S1438-[1]Results!S1448</f>
        <v>2522.6401029999997</v>
      </c>
      <c r="Q213" s="6">
        <f>[1]Results!T1438-[1]Results!T1448</f>
        <v>2519.9554889999999</v>
      </c>
      <c r="R213" s="6">
        <f>[1]Results!U1438-[1]Results!U1448</f>
        <v>2518.3292780000002</v>
      </c>
      <c r="S213" s="6">
        <f>[1]Results!V1438-[1]Results!V1448</f>
        <v>2517.1199939999997</v>
      </c>
      <c r="T213" s="6">
        <f>[1]Results!W1438-[1]Results!W1448</f>
        <v>2516.0706510000005</v>
      </c>
      <c r="U213" s="6">
        <f>[1]Results!X1438-[1]Results!X1448</f>
        <v>2515.2774440000003</v>
      </c>
      <c r="V213" s="6">
        <f>[1]Results!Y1438-[1]Results!Y1448</f>
        <v>2515.0166289999997</v>
      </c>
      <c r="W213" s="6">
        <f>[1]Results!Z1438-[1]Results!Z1448</f>
        <v>2513.6327449999999</v>
      </c>
      <c r="X213" s="6">
        <f>[1]Results!AA1438-[1]Results!AA1448</f>
        <v>2514.1151000000004</v>
      </c>
      <c r="Y213" s="6">
        <f>[1]Results!AB1438-[1]Results!AB1448</f>
        <v>2516.1195269999998</v>
      </c>
      <c r="Z213" s="6">
        <f>[1]Results!AC1438-[1]Results!AC1448</f>
        <v>2519.0688230000005</v>
      </c>
      <c r="AA213" s="6">
        <f>[1]Results!AD1438-[1]Results!AD1448</f>
        <v>2522.5139219999996</v>
      </c>
      <c r="AB213" s="6">
        <f>[1]Results!AE1438-[1]Results!AE1448</f>
        <v>2520.6846739999996</v>
      </c>
      <c r="AC213" s="6">
        <f>[1]Results!AF1438-[1]Results!AF1448</f>
        <v>2519.408379</v>
      </c>
      <c r="AD213" s="6">
        <f>[1]Results!AG1438-[1]Results!AG1448</f>
        <v>2518.7263970000004</v>
      </c>
      <c r="AE213" s="6">
        <f>[1]Results!AH1438-[1]Results!AH1448</f>
        <v>2518.3256409999999</v>
      </c>
      <c r="AF213" s="6">
        <f>[1]Results!AI1438-[1]Results!AI1448</f>
        <v>2518.1093930000006</v>
      </c>
      <c r="AG213" s="6">
        <f>[1]Results!AJ1438-[1]Results!AJ1448</f>
        <v>2518.0691260000003</v>
      </c>
      <c r="AH213" s="6">
        <f>[1]Results!AK1438-[1]Results!AK1448</f>
        <v>2518.1825979999999</v>
      </c>
      <c r="AI213" s="6">
        <f>[1]Results!AL1438-[1]Results!AL1448</f>
        <v>2518.3938659999999</v>
      </c>
      <c r="AJ213" s="6">
        <f>[1]Results!AM1438-[1]Results!AM1448</f>
        <v>2518.6369970000005</v>
      </c>
      <c r="AK213" s="6">
        <f>[1]Results!AN1438-[1]Results!AN1448</f>
        <v>2518.865679</v>
      </c>
      <c r="AL213" s="6">
        <f>[1]Results!AO1438-[1]Results!AO1448</f>
        <v>2519.0678170000001</v>
      </c>
    </row>
    <row r="214" spans="1:38" x14ac:dyDescent="0.3">
      <c r="B214" t="s">
        <v>24</v>
      </c>
      <c r="C214" s="6">
        <f>[1]Results!F1458</f>
        <v>43.714355689999998</v>
      </c>
      <c r="D214" s="6">
        <f>[1]Results!G1458</f>
        <v>44.321585929999998</v>
      </c>
      <c r="E214" s="6">
        <f>[1]Results!H1458</f>
        <v>45.01172974</v>
      </c>
      <c r="F214" s="6">
        <f>[1]Results!I1458</f>
        <v>45.624406919999998</v>
      </c>
      <c r="G214" s="6">
        <f>[1]Results!J1458</f>
        <v>46.128755460000001</v>
      </c>
      <c r="H214" s="6">
        <f>[1]Results!K1458</f>
        <v>46.54505623</v>
      </c>
      <c r="I214" s="6">
        <f>[1]Results!L1458</f>
        <v>46.921919709999997</v>
      </c>
      <c r="J214" s="6">
        <f>[1]Results!M1458</f>
        <v>47.329933670000003</v>
      </c>
      <c r="K214" s="6">
        <f>[1]Results!N1458</f>
        <v>47.764864690000003</v>
      </c>
      <c r="L214" s="6">
        <f>[1]Results!O1458</f>
        <v>48.154204790000001</v>
      </c>
      <c r="M214" s="6">
        <f>[1]Results!P1458</f>
        <v>48.445126670000001</v>
      </c>
      <c r="N214" s="6">
        <f>[1]Results!Q1458</f>
        <v>48.573167300000001</v>
      </c>
      <c r="O214" s="6">
        <f>[1]Results!R1458</f>
        <v>48.557339560000003</v>
      </c>
      <c r="P214" s="6">
        <f>[1]Results!S1458</f>
        <v>48.450311669999998</v>
      </c>
      <c r="Q214" s="6">
        <f>[1]Results!T1458</f>
        <v>48.307318680000002</v>
      </c>
      <c r="R214" s="6">
        <f>[1]Results!U1458</f>
        <v>48.166942050000003</v>
      </c>
      <c r="S214" s="6">
        <f>[1]Results!V1458</f>
        <v>48.045177049999999</v>
      </c>
      <c r="T214" s="6">
        <f>[1]Results!W1458</f>
        <v>47.940268099999997</v>
      </c>
      <c r="U214" s="6">
        <f>[1]Results!X1458</f>
        <v>47.841953529999998</v>
      </c>
      <c r="V214" s="6">
        <f>[1]Results!Y1458</f>
        <v>47.740206559999997</v>
      </c>
      <c r="W214" s="6">
        <f>[1]Results!Z1458</f>
        <v>47.612564089999999</v>
      </c>
      <c r="X214" s="6">
        <f>[1]Results!AA1458</f>
        <v>47.483339180000002</v>
      </c>
      <c r="Y214" s="6">
        <f>[1]Results!AB1458</f>
        <v>47.358596409999997</v>
      </c>
      <c r="Z214" s="6">
        <f>[1]Results!AC1458</f>
        <v>47.243033820000001</v>
      </c>
      <c r="AA214" s="6">
        <f>[1]Results!AD1458</f>
        <v>47.140863029999998</v>
      </c>
      <c r="AB214" s="6">
        <f>[1]Results!AE1458</f>
        <v>47.002337650000001</v>
      </c>
      <c r="AC214" s="6">
        <f>[1]Results!AF1458</f>
        <v>46.870642619999998</v>
      </c>
      <c r="AD214" s="6">
        <f>[1]Results!AG1458</f>
        <v>46.745115149999997</v>
      </c>
      <c r="AE214" s="6">
        <f>[1]Results!AH1458</f>
        <v>46.618396779999998</v>
      </c>
      <c r="AF214" s="6">
        <f>[1]Results!AI1458</f>
        <v>46.48609939</v>
      </c>
      <c r="AG214" s="6">
        <f>[1]Results!AJ1458</f>
        <v>46.348075979999997</v>
      </c>
      <c r="AH214" s="6">
        <f>[1]Results!AK1458</f>
        <v>46.206725560000002</v>
      </c>
      <c r="AI214" s="6">
        <f>[1]Results!AL1458</f>
        <v>46.06489663</v>
      </c>
      <c r="AJ214" s="6">
        <f>[1]Results!AM1458</f>
        <v>45.924373770000003</v>
      </c>
      <c r="AK214" s="6">
        <f>[1]Results!AN1458</f>
        <v>45.785333780000002</v>
      </c>
      <c r="AL214" s="6">
        <f>[1]Results!AO1458</f>
        <v>45.646704010000001</v>
      </c>
    </row>
    <row r="215" spans="1:38" x14ac:dyDescent="0.3">
      <c r="B215" t="s">
        <v>10</v>
      </c>
      <c r="C215" s="6">
        <f>[1]Results!F1455</f>
        <v>21272.308980000002</v>
      </c>
      <c r="D215" s="6">
        <f>[1]Results!G1455</f>
        <v>21215.48531</v>
      </c>
      <c r="E215" s="6">
        <f>[1]Results!H1455</f>
        <v>21159.806390000002</v>
      </c>
      <c r="F215" s="6">
        <f>[1]Results!I1455</f>
        <v>21155.991770000001</v>
      </c>
      <c r="G215" s="6">
        <f>[1]Results!J1455</f>
        <v>21203.39889</v>
      </c>
      <c r="H215" s="6">
        <f>[1]Results!K1455</f>
        <v>21287.78254</v>
      </c>
      <c r="I215" s="6">
        <f>[1]Results!L1455</f>
        <v>21411.079849999998</v>
      </c>
      <c r="J215" s="6">
        <f>[1]Results!M1455</f>
        <v>21523.873350000002</v>
      </c>
      <c r="K215" s="6">
        <f>[1]Results!N1455</f>
        <v>21611.906319999998</v>
      </c>
      <c r="L215" s="6">
        <f>[1]Results!O1455</f>
        <v>21682.185590000001</v>
      </c>
      <c r="M215" s="6">
        <f>[1]Results!P1455</f>
        <v>21733.727620000001</v>
      </c>
      <c r="N215" s="6">
        <f>[1]Results!Q1455</f>
        <v>21822.001619999999</v>
      </c>
      <c r="O215" s="6">
        <f>[1]Results!R1455</f>
        <v>21928.002639999999</v>
      </c>
      <c r="P215" s="6">
        <f>[1]Results!S1455</f>
        <v>22041.472979999999</v>
      </c>
      <c r="Q215" s="6">
        <f>[1]Results!T1455</f>
        <v>22154.874640000002</v>
      </c>
      <c r="R215" s="6">
        <f>[1]Results!U1455</f>
        <v>22262.83438</v>
      </c>
      <c r="S215" s="6">
        <f>[1]Results!V1455</f>
        <v>22362.89012</v>
      </c>
      <c r="T215" s="6">
        <f>[1]Results!W1455</f>
        <v>22455.582299999998</v>
      </c>
      <c r="U215" s="6">
        <f>[1]Results!X1455</f>
        <v>22543.552189999999</v>
      </c>
      <c r="V215" s="6">
        <f>[1]Results!Y1455</f>
        <v>22630.14014</v>
      </c>
      <c r="W215" s="6">
        <f>[1]Results!Z1455</f>
        <v>22725.665730000001</v>
      </c>
      <c r="X215" s="6">
        <f>[1]Results!AA1455</f>
        <v>22807.706610000001</v>
      </c>
      <c r="Y215" s="6">
        <f>[1]Results!AB1455</f>
        <v>22891.134699999999</v>
      </c>
      <c r="Z215" s="6">
        <f>[1]Results!AC1455</f>
        <v>22979.910599999999</v>
      </c>
      <c r="AA215" s="6">
        <f>[1]Results!AD1455</f>
        <v>23073.590550000001</v>
      </c>
      <c r="AB215" s="6">
        <f>[1]Results!AE1455</f>
        <v>23186.356349999998</v>
      </c>
      <c r="AC215" s="6">
        <f>[1]Results!AF1455</f>
        <v>23269.067920000001</v>
      </c>
      <c r="AD215" s="6">
        <f>[1]Results!AG1455</f>
        <v>23337.876690000001</v>
      </c>
      <c r="AE215" s="6">
        <f>[1]Results!AH1455</f>
        <v>23401.504260000002</v>
      </c>
      <c r="AF215" s="6">
        <f>[1]Results!AI1455</f>
        <v>23464.458259999999</v>
      </c>
      <c r="AG215" s="6">
        <f>[1]Results!AJ1455</f>
        <v>23528.654699999999</v>
      </c>
      <c r="AH215" s="6">
        <f>[1]Results!AK1455</f>
        <v>23594.461350000001</v>
      </c>
      <c r="AI215" s="6">
        <f>[1]Results!AL1455</f>
        <v>23661.486430000001</v>
      </c>
      <c r="AJ215" s="6">
        <f>[1]Results!AM1455</f>
        <v>23729.151549999999</v>
      </c>
      <c r="AK215" s="6">
        <f>[1]Results!AN1455</f>
        <v>23797.02749</v>
      </c>
      <c r="AL215" s="6">
        <f>[1]Results!AO1455</f>
        <v>23864.943350000001</v>
      </c>
    </row>
    <row r="216" spans="1:38" x14ac:dyDescent="0.3">
      <c r="B216" t="s">
        <v>23</v>
      </c>
      <c r="C216" s="6">
        <f>[1]Results!F1450</f>
        <v>868.09553140000003</v>
      </c>
      <c r="D216" s="6">
        <f>[1]Results!G1450</f>
        <v>861.27763200000004</v>
      </c>
      <c r="E216" s="6">
        <f>[1]Results!H1450</f>
        <v>852.63043640000001</v>
      </c>
      <c r="F216" s="6">
        <f>[1]Results!I1450</f>
        <v>845.38105780000001</v>
      </c>
      <c r="G216" s="6">
        <f>[1]Results!J1450</f>
        <v>840.42829140000003</v>
      </c>
      <c r="H216" s="6">
        <f>[1]Results!K1450</f>
        <v>837.64288469999997</v>
      </c>
      <c r="I216" s="6">
        <f>[1]Results!L1450</f>
        <v>836.75193379999996</v>
      </c>
      <c r="J216" s="6">
        <f>[1]Results!M1450</f>
        <v>836.04781290000005</v>
      </c>
      <c r="K216" s="6">
        <f>[1]Results!N1450</f>
        <v>834.746533</v>
      </c>
      <c r="L216" s="6">
        <f>[1]Results!O1450</f>
        <v>832.90659559999995</v>
      </c>
      <c r="M216" s="6">
        <f>[1]Results!P1450</f>
        <v>831.17215329999999</v>
      </c>
      <c r="N216" s="6">
        <f>[1]Results!Q1450</f>
        <v>830.18541330000005</v>
      </c>
      <c r="O216" s="6">
        <f>[1]Results!R1450</f>
        <v>829.97045590000005</v>
      </c>
      <c r="P216" s="6">
        <f>[1]Results!S1450</f>
        <v>830.38858389999996</v>
      </c>
      <c r="Q216" s="6">
        <f>[1]Results!T1450</f>
        <v>831.18284100000005</v>
      </c>
      <c r="R216" s="6">
        <f>[1]Results!U1450</f>
        <v>832.08089659999996</v>
      </c>
      <c r="S216" s="6">
        <f>[1]Results!V1450</f>
        <v>832.89330080000002</v>
      </c>
      <c r="T216" s="6">
        <f>[1]Results!W1450</f>
        <v>833.55833810000001</v>
      </c>
      <c r="U216" s="6">
        <f>[1]Results!X1450</f>
        <v>834.12633270000003</v>
      </c>
      <c r="V216" s="6">
        <f>[1]Results!Y1450</f>
        <v>834.70618000000002</v>
      </c>
      <c r="W216" s="6">
        <f>[1]Results!Z1450</f>
        <v>835.28072889999999</v>
      </c>
      <c r="X216" s="6">
        <f>[1]Results!AA1450</f>
        <v>835.9029822</v>
      </c>
      <c r="Y216" s="6">
        <f>[1]Results!AB1450</f>
        <v>836.75081439999997</v>
      </c>
      <c r="Z216" s="6">
        <f>[1]Results!AC1450</f>
        <v>837.84906569999998</v>
      </c>
      <c r="AA216" s="6">
        <f>[1]Results!AD1450</f>
        <v>839.14126269999997</v>
      </c>
      <c r="AB216" s="6">
        <f>[1]Results!AE1450</f>
        <v>840.1179439</v>
      </c>
      <c r="AC216" s="6">
        <f>[1]Results!AF1450</f>
        <v>840.68927840000003</v>
      </c>
      <c r="AD216" s="6">
        <f>[1]Results!AG1450</f>
        <v>841.05228620000003</v>
      </c>
      <c r="AE216" s="6">
        <f>[1]Results!AH1450</f>
        <v>841.3498204</v>
      </c>
      <c r="AF216" s="6">
        <f>[1]Results!AI1450</f>
        <v>841.67228379999995</v>
      </c>
      <c r="AG216" s="6">
        <f>[1]Results!AJ1450</f>
        <v>842.06224769999994</v>
      </c>
      <c r="AH216" s="6">
        <f>[1]Results!AK1450</f>
        <v>842.52354779999996</v>
      </c>
      <c r="AI216" s="6">
        <f>[1]Results!AL1450</f>
        <v>843.03675850000002</v>
      </c>
      <c r="AJ216" s="6">
        <f>[1]Results!AM1450</f>
        <v>843.57609079999997</v>
      </c>
      <c r="AK216" s="6">
        <f>[1]Results!AN1450</f>
        <v>844.12205410000001</v>
      </c>
      <c r="AL216" s="6">
        <f>[1]Results!AO1450</f>
        <v>844.66690229999995</v>
      </c>
    </row>
    <row r="218" spans="1:38" x14ac:dyDescent="0.3">
      <c r="A218" s="12" t="s">
        <v>60</v>
      </c>
      <c r="B218" t="s">
        <v>22</v>
      </c>
      <c r="C218" s="6">
        <f>[1]Results!F1473</f>
        <v>27365.952300000001</v>
      </c>
      <c r="D218" s="3">
        <f>[1]Results!G1473</f>
        <v>27341.989379999999</v>
      </c>
      <c r="E218" s="3">
        <f>[1]Results!H1473</f>
        <v>27341.122139999999</v>
      </c>
      <c r="F218" s="3">
        <f>[1]Results!I1473</f>
        <v>27384.126230000002</v>
      </c>
      <c r="G218" s="3">
        <f>[1]Results!J1473</f>
        <v>27460.44342</v>
      </c>
      <c r="H218" s="3">
        <f>[1]Results!K1473</f>
        <v>27559.116419999998</v>
      </c>
      <c r="I218" s="3">
        <f>[1]Results!L1473</f>
        <v>27658.564869999998</v>
      </c>
      <c r="J218" s="3">
        <f>[1]Results!M1473</f>
        <v>27761.852439999999</v>
      </c>
      <c r="K218" s="3">
        <f>[1]Results!N1473</f>
        <v>27868.896710000001</v>
      </c>
      <c r="L218" s="3">
        <f>[1]Results!O1473</f>
        <v>27979.766520000001</v>
      </c>
      <c r="M218" s="3">
        <f>[1]Results!P1473</f>
        <v>28111.1973</v>
      </c>
      <c r="N218" s="3">
        <f>[1]Results!Q1473</f>
        <v>28242.60946</v>
      </c>
      <c r="O218" s="3">
        <f>[1]Results!R1473</f>
        <v>28373.253830000001</v>
      </c>
      <c r="P218" s="3">
        <f>[1]Results!S1473</f>
        <v>28500.268919999999</v>
      </c>
      <c r="Q218" s="3">
        <f>[1]Results!T1473</f>
        <v>28621.089449999999</v>
      </c>
      <c r="R218" s="3">
        <f>[1]Results!U1473</f>
        <v>28734.669419999998</v>
      </c>
      <c r="S218" s="3">
        <f>[1]Results!V1473</f>
        <v>28841.520390000001</v>
      </c>
      <c r="T218" s="3">
        <f>[1]Results!W1473</f>
        <v>28943.17699</v>
      </c>
      <c r="U218" s="3">
        <f>[1]Results!X1473</f>
        <v>29041.519690000001</v>
      </c>
      <c r="V218" s="3">
        <f>[1]Results!Y1473</f>
        <v>29138.234759999999</v>
      </c>
      <c r="W218" s="3">
        <f>[1]Results!Z1473</f>
        <v>29221.27593</v>
      </c>
      <c r="X218" s="3">
        <f>[1]Results!AA1473</f>
        <v>29307.9663</v>
      </c>
      <c r="Y218" s="3">
        <f>[1]Results!AB1473</f>
        <v>29399.105210000002</v>
      </c>
      <c r="Z218" s="3">
        <f>[1]Results!AC1473</f>
        <v>29494.034759999999</v>
      </c>
      <c r="AA218" s="3">
        <f>[1]Results!AD1473</f>
        <v>29592.000830000001</v>
      </c>
      <c r="AB218" s="3">
        <f>[1]Results!AE1473</f>
        <v>29650.405640000001</v>
      </c>
      <c r="AC218" s="3">
        <f>[1]Results!AF1473</f>
        <v>29710.9768</v>
      </c>
      <c r="AD218" s="3">
        <f>[1]Results!AG1473</f>
        <v>29772.372200000002</v>
      </c>
      <c r="AE218" s="3">
        <f>[1]Results!AH1473</f>
        <v>29834.53816</v>
      </c>
      <c r="AF218" s="3">
        <f>[1]Results!AI1473</f>
        <v>29898.132880000001</v>
      </c>
      <c r="AG218" s="3">
        <f>[1]Results!AJ1473</f>
        <v>29963.463759999999</v>
      </c>
      <c r="AH218" s="3">
        <f>[1]Results!AK1473</f>
        <v>30030.240539999999</v>
      </c>
      <c r="AI218" s="3">
        <f>[1]Results!AL1473</f>
        <v>30097.841570000001</v>
      </c>
      <c r="AJ218" s="3">
        <f>[1]Results!AM1473</f>
        <v>30165.688480000001</v>
      </c>
      <c r="AK218" s="3">
        <f>[1]Results!AN1473</f>
        <v>30233.48258</v>
      </c>
      <c r="AL218" s="3">
        <f>[1]Results!AO1473</f>
        <v>30301.229469999998</v>
      </c>
    </row>
    <row r="219" spans="1:38" x14ac:dyDescent="0.3">
      <c r="A219" t="s">
        <v>26</v>
      </c>
      <c r="B219" t="s">
        <v>7</v>
      </c>
      <c r="C219" s="6">
        <f>[1]Results!F1474</f>
        <v>760.57977960000005</v>
      </c>
      <c r="D219" s="3">
        <f>[1]Results!G1474</f>
        <v>751.63997489999997</v>
      </c>
      <c r="E219" s="3">
        <f>[1]Results!H1474</f>
        <v>738.59097459999998</v>
      </c>
      <c r="F219" s="3">
        <f>[1]Results!I1474</f>
        <v>725.65771329999995</v>
      </c>
      <c r="G219" s="3">
        <f>[1]Results!J1474</f>
        <v>715.18804790000002</v>
      </c>
      <c r="H219" s="3">
        <f>[1]Results!K1474</f>
        <v>708.04311700000005</v>
      </c>
      <c r="I219" s="3">
        <f>[1]Results!L1474</f>
        <v>703.82702879999999</v>
      </c>
      <c r="J219" s="3">
        <f>[1]Results!M1474</f>
        <v>701.85329400000001</v>
      </c>
      <c r="K219" s="3">
        <f>[1]Results!N1474</f>
        <v>701.23214210000003</v>
      </c>
      <c r="L219" s="3">
        <f>[1]Results!O1474</f>
        <v>701.09280439999998</v>
      </c>
      <c r="M219" s="3">
        <f>[1]Results!P1474</f>
        <v>701.12353759999996</v>
      </c>
      <c r="N219" s="3">
        <f>[1]Results!Q1474</f>
        <v>700.4538192</v>
      </c>
      <c r="O219" s="3">
        <f>[1]Results!R1474</f>
        <v>698.77922720000004</v>
      </c>
      <c r="P219" s="3">
        <f>[1]Results!S1474</f>
        <v>696.00074310000002</v>
      </c>
      <c r="Q219" s="3">
        <f>[1]Results!T1474</f>
        <v>692.15410880000002</v>
      </c>
      <c r="R219" s="3">
        <f>[1]Results!U1474</f>
        <v>687.3630531</v>
      </c>
      <c r="S219" s="3">
        <f>[1]Results!V1474</f>
        <v>681.80523840000001</v>
      </c>
      <c r="T219" s="3">
        <f>[1]Results!W1474</f>
        <v>675.68541830000004</v>
      </c>
      <c r="U219" s="3">
        <f>[1]Results!X1474</f>
        <v>669.21248060000005</v>
      </c>
      <c r="V219" s="3">
        <f>[1]Results!Y1474</f>
        <v>662.57976369999994</v>
      </c>
      <c r="W219" s="3">
        <f>[1]Results!Z1474</f>
        <v>655.6906338</v>
      </c>
      <c r="X219" s="3">
        <f>[1]Results!AA1474</f>
        <v>648.94323610000004</v>
      </c>
      <c r="Y219" s="3">
        <f>[1]Results!AB1474</f>
        <v>642.45136300000001</v>
      </c>
      <c r="Z219" s="3">
        <f>[1]Results!AC1474</f>
        <v>636.27027740000005</v>
      </c>
      <c r="AA219" s="3">
        <f>[1]Results!AD1474</f>
        <v>630.41368</v>
      </c>
      <c r="AB219" s="3">
        <f>[1]Results!AE1474</f>
        <v>624.16392280000002</v>
      </c>
      <c r="AC219" s="3">
        <f>[1]Results!AF1474</f>
        <v>617.93374630000005</v>
      </c>
      <c r="AD219" s="3">
        <f>[1]Results!AG1474</f>
        <v>611.784357</v>
      </c>
      <c r="AE219" s="3">
        <f>[1]Results!AH1474</f>
        <v>605.75454260000004</v>
      </c>
      <c r="AF219" s="3">
        <f>[1]Results!AI1474</f>
        <v>599.87345740000001</v>
      </c>
      <c r="AG219" s="3">
        <f>[1]Results!AJ1474</f>
        <v>594.15904079999996</v>
      </c>
      <c r="AH219" s="3">
        <f>[1]Results!AK1474</f>
        <v>588.61452020000002</v>
      </c>
      <c r="AI219" s="3">
        <f>[1]Results!AL1474</f>
        <v>583.22770779999996</v>
      </c>
      <c r="AJ219" s="3">
        <f>[1]Results!AM1474</f>
        <v>577.97416740000006</v>
      </c>
      <c r="AK219" s="3">
        <f>[1]Results!AN1474</f>
        <v>572.82311049999998</v>
      </c>
      <c r="AL219" s="3">
        <f>[1]Results!AO1474</f>
        <v>567.74385319999999</v>
      </c>
    </row>
    <row r="220" spans="1:38" x14ac:dyDescent="0.3">
      <c r="B220" t="s">
        <v>96</v>
      </c>
      <c r="C220" s="6">
        <f>[1]Results!F1487</f>
        <v>1768.7137700000001</v>
      </c>
      <c r="D220" s="3">
        <f>[1]Results!G1487</f>
        <v>1826.9535860000001</v>
      </c>
      <c r="E220" s="3">
        <f>[1]Results!H1487</f>
        <v>1913.7235949999999</v>
      </c>
      <c r="F220" s="3">
        <f>[1]Results!I1487</f>
        <v>1987.4596750000001</v>
      </c>
      <c r="G220" s="3">
        <f>[1]Results!J1487</f>
        <v>2034.395082</v>
      </c>
      <c r="H220" s="3">
        <f>[1]Results!K1487</f>
        <v>2057.5133679999999</v>
      </c>
      <c r="I220" s="3">
        <f>[1]Results!L1487</f>
        <v>2043.8741709999999</v>
      </c>
      <c r="J220" s="3">
        <f>[1]Results!M1487</f>
        <v>2024.4316920000001</v>
      </c>
      <c r="K220" s="3">
        <f>[1]Results!N1487</f>
        <v>2008.6151010000001</v>
      </c>
      <c r="L220" s="3">
        <f>[1]Results!O1487</f>
        <v>1998.298959</v>
      </c>
      <c r="M220" s="3">
        <f>[1]Results!P1487</f>
        <v>2021.792031</v>
      </c>
      <c r="N220" s="3">
        <f>[1]Results!Q1487</f>
        <v>2018.4018639999999</v>
      </c>
      <c r="O220" s="3">
        <f>[1]Results!R1487</f>
        <v>2011.5884249999999</v>
      </c>
      <c r="P220" s="3">
        <f>[1]Results!S1487</f>
        <v>2007.889637</v>
      </c>
      <c r="Q220" s="3">
        <f>[1]Results!T1487</f>
        <v>2007.8710619999999</v>
      </c>
      <c r="R220" s="3">
        <f>[1]Results!U1487</f>
        <v>2010.6180670000001</v>
      </c>
      <c r="S220" s="3">
        <f>[1]Results!V1487</f>
        <v>2015.233052</v>
      </c>
      <c r="T220" s="3">
        <f>[1]Results!W1487</f>
        <v>2021.1587050000001</v>
      </c>
      <c r="U220" s="3">
        <f>[1]Results!X1487</f>
        <v>2028.104098</v>
      </c>
      <c r="V220" s="3">
        <f>[1]Results!Y1487</f>
        <v>2035.897487</v>
      </c>
      <c r="W220" s="3">
        <f>[1]Results!Z1487</f>
        <v>2026.116579</v>
      </c>
      <c r="X220" s="3">
        <f>[1]Results!AA1487</f>
        <v>2035.7957939999999</v>
      </c>
      <c r="Y220" s="3">
        <f>[1]Results!AB1487</f>
        <v>2050.6084770000002</v>
      </c>
      <c r="Z220" s="3">
        <f>[1]Results!AC1487</f>
        <v>2065.241634</v>
      </c>
      <c r="AA220" s="3">
        <f>[1]Results!AD1487</f>
        <v>2078.3458799999999</v>
      </c>
      <c r="AB220" s="3">
        <f>[1]Results!AE1487</f>
        <v>2039.264473</v>
      </c>
      <c r="AC220" s="3">
        <f>[1]Results!AF1487</f>
        <v>2031.56647</v>
      </c>
      <c r="AD220" s="3">
        <f>[1]Results!AG1487</f>
        <v>2037.047309</v>
      </c>
      <c r="AE220" s="3">
        <f>[1]Results!AH1487</f>
        <v>2047.137244</v>
      </c>
      <c r="AF220" s="3">
        <f>[1]Results!AI1487</f>
        <v>2058.259497</v>
      </c>
      <c r="AG220" s="3">
        <f>[1]Results!AJ1487</f>
        <v>2069.0538179999999</v>
      </c>
      <c r="AH220" s="3">
        <f>[1]Results!AK1487</f>
        <v>2079.0557789999998</v>
      </c>
      <c r="AI220" s="3">
        <f>[1]Results!AL1487</f>
        <v>2088.1534780000002</v>
      </c>
      <c r="AJ220" s="3">
        <f>[1]Results!AM1487</f>
        <v>2096.3957839999998</v>
      </c>
      <c r="AK220" s="3">
        <f>[1]Results!AN1487</f>
        <v>2103.924763</v>
      </c>
      <c r="AL220" s="3">
        <f>[1]Results!AO1487</f>
        <v>2110.9312490000002</v>
      </c>
    </row>
    <row r="221" spans="1:38" x14ac:dyDescent="0.3">
      <c r="B221" t="s">
        <v>11</v>
      </c>
      <c r="C221" s="6">
        <f>[1]Results!F1502</f>
        <v>57.164447150000001</v>
      </c>
      <c r="D221" s="3">
        <f>[1]Results!G1502</f>
        <v>56.985346819999997</v>
      </c>
      <c r="E221" s="3">
        <f>[1]Results!H1502</f>
        <v>56.66720093</v>
      </c>
      <c r="F221" s="3">
        <f>[1]Results!I1502</f>
        <v>56.362241259999998</v>
      </c>
      <c r="G221" s="3">
        <f>[1]Results!J1502</f>
        <v>56.195103899999999</v>
      </c>
      <c r="H221" s="3">
        <f>[1]Results!K1502</f>
        <v>56.246847240000001</v>
      </c>
      <c r="I221" s="3">
        <f>[1]Results!L1502</f>
        <v>56.531756610000002</v>
      </c>
      <c r="J221" s="3">
        <f>[1]Results!M1502</f>
        <v>57.041223379999998</v>
      </c>
      <c r="K221" s="3">
        <f>[1]Results!N1502</f>
        <v>57.730745919999997</v>
      </c>
      <c r="L221" s="3">
        <f>[1]Results!O1502</f>
        <v>58.529504439999997</v>
      </c>
      <c r="M221" s="3">
        <f>[1]Results!P1502</f>
        <v>59.377279469999998</v>
      </c>
      <c r="N221" s="3">
        <f>[1]Results!Q1502</f>
        <v>60.179504889999997</v>
      </c>
      <c r="O221" s="3">
        <f>[1]Results!R1502</f>
        <v>60.877386549999997</v>
      </c>
      <c r="P221" s="3">
        <f>[1]Results!S1502</f>
        <v>61.435153759999999</v>
      </c>
      <c r="Q221" s="3">
        <f>[1]Results!T1502</f>
        <v>61.831162880000001</v>
      </c>
      <c r="R221" s="3">
        <f>[1]Results!U1502</f>
        <v>62.055379430000002</v>
      </c>
      <c r="S221" s="3">
        <f>[1]Results!V1502</f>
        <v>62.115096659999999</v>
      </c>
      <c r="T221" s="3">
        <f>[1]Results!W1502</f>
        <v>62.0351967</v>
      </c>
      <c r="U221" s="3">
        <f>[1]Results!X1502</f>
        <v>61.854909409999998</v>
      </c>
      <c r="V221" s="3">
        <f>[1]Results!Y1502</f>
        <v>61.621945169999996</v>
      </c>
      <c r="W221" s="3">
        <f>[1]Results!Z1502</f>
        <v>61.369631339999998</v>
      </c>
      <c r="X221" s="3">
        <f>[1]Results!AA1502</f>
        <v>61.151411420000002</v>
      </c>
      <c r="Y221" s="3">
        <f>[1]Results!AB1502</f>
        <v>60.998687779999997</v>
      </c>
      <c r="Z221" s="3">
        <f>[1]Results!AC1502</f>
        <v>60.929856229999999</v>
      </c>
      <c r="AA221" s="3">
        <f>[1]Results!AD1502</f>
        <v>60.954304499999999</v>
      </c>
      <c r="AB221" s="3">
        <f>[1]Results!AE1502</f>
        <v>61.023397879999997</v>
      </c>
      <c r="AC221" s="3">
        <f>[1]Results!AF1502</f>
        <v>61.158498940000001</v>
      </c>
      <c r="AD221" s="3">
        <f>[1]Results!AG1502</f>
        <v>61.34630327</v>
      </c>
      <c r="AE221" s="3">
        <f>[1]Results!AH1502</f>
        <v>61.565019839999998</v>
      </c>
      <c r="AF221" s="3">
        <f>[1]Results!AI1502</f>
        <v>61.796784189999997</v>
      </c>
      <c r="AG221" s="3">
        <f>[1]Results!AJ1502</f>
        <v>62.030385840000001</v>
      </c>
      <c r="AH221" s="3">
        <f>[1]Results!AK1502</f>
        <v>62.25938567</v>
      </c>
      <c r="AI221" s="3">
        <f>[1]Results!AL1502</f>
        <v>62.479061229999999</v>
      </c>
      <c r="AJ221" s="3">
        <f>[1]Results!AM1502</f>
        <v>62.684255550000003</v>
      </c>
      <c r="AK221" s="3">
        <f>[1]Results!AN1502</f>
        <v>62.868976189999998</v>
      </c>
      <c r="AL221" s="3">
        <f>[1]Results!AO1502</f>
        <v>63.026200590000002</v>
      </c>
    </row>
    <row r="222" spans="1:38" x14ac:dyDescent="0.3">
      <c r="B222" t="s">
        <v>8</v>
      </c>
      <c r="C222" s="6">
        <f>[1]Results!F1477-[1]Results!F1487</f>
        <v>2595.3754289999997</v>
      </c>
      <c r="D222" s="3">
        <f>[1]Results!G1477-[1]Results!G1487</f>
        <v>2585.3259439999997</v>
      </c>
      <c r="E222" s="3">
        <f>[1]Results!H1477-[1]Results!H1487</f>
        <v>2574.6918129999999</v>
      </c>
      <c r="F222" s="3">
        <f>[1]Results!I1477-[1]Results!I1487</f>
        <v>2567.6493650000002</v>
      </c>
      <c r="G222" s="3">
        <f>[1]Results!J1477-[1]Results!J1487</f>
        <v>2564.7092549999998</v>
      </c>
      <c r="H222" s="3">
        <f>[1]Results!K1477-[1]Results!K1487</f>
        <v>2565.3426010000003</v>
      </c>
      <c r="I222" s="3">
        <f>[1]Results!L1477-[1]Results!L1487</f>
        <v>2566.6412640000003</v>
      </c>
      <c r="J222" s="3">
        <f>[1]Results!M1477-[1]Results!M1487</f>
        <v>2568.8883660000001</v>
      </c>
      <c r="K222" s="3">
        <f>[1]Results!N1477-[1]Results!N1487</f>
        <v>2571.9152009999998</v>
      </c>
      <c r="L222" s="3">
        <f>[1]Results!O1477-[1]Results!O1487</f>
        <v>2575.3713980000002</v>
      </c>
      <c r="M222" s="3">
        <f>[1]Results!P1477-[1]Results!P1487</f>
        <v>2581.8892580000002</v>
      </c>
      <c r="N222" s="3">
        <f>[1]Results!Q1477-[1]Results!Q1487</f>
        <v>2586.8146119999997</v>
      </c>
      <c r="O222" s="3">
        <f>[1]Results!R1477-[1]Results!R1487</f>
        <v>2590.473336</v>
      </c>
      <c r="P222" s="3">
        <f>[1]Results!S1477-[1]Results!S1487</f>
        <v>2593.1179299999994</v>
      </c>
      <c r="Q222" s="3">
        <f>[1]Results!T1477-[1]Results!T1487</f>
        <v>2594.7525949999999</v>
      </c>
      <c r="R222" s="3">
        <f>[1]Results!U1477-[1]Results!U1487</f>
        <v>2595.4007619999993</v>
      </c>
      <c r="S222" s="3">
        <f>[1]Results!V1477-[1]Results!V1487</f>
        <v>2595.2115870000002</v>
      </c>
      <c r="T222" s="3">
        <f>[1]Results!W1477-[1]Results!W1487</f>
        <v>2594.442481</v>
      </c>
      <c r="U222" s="3">
        <f>[1]Results!X1477-[1]Results!X1487</f>
        <v>2593.3918250000006</v>
      </c>
      <c r="V222" s="3">
        <f>[1]Results!Y1477-[1]Results!Y1487</f>
        <v>2592.3324629999997</v>
      </c>
      <c r="W222" s="3">
        <f>[1]Results!Z1477-[1]Results!Z1487</f>
        <v>2589.5005990000004</v>
      </c>
      <c r="X222" s="3">
        <f>[1]Results!AA1477-[1]Results!AA1487</f>
        <v>2587.9685330000002</v>
      </c>
      <c r="Y222" s="3">
        <f>[1]Results!AB1477-[1]Results!AB1487</f>
        <v>2587.5253929999994</v>
      </c>
      <c r="Z222" s="3">
        <f>[1]Results!AC1477-[1]Results!AC1487</f>
        <v>2587.8174930000005</v>
      </c>
      <c r="AA222" s="3">
        <f>[1]Results!AD1477-[1]Results!AD1487</f>
        <v>2588.6518759999999</v>
      </c>
      <c r="AB222" s="3">
        <f>[1]Results!AE1477-[1]Results!AE1487</f>
        <v>2584.3663390000002</v>
      </c>
      <c r="AC222" s="3">
        <f>[1]Results!AF1477-[1]Results!AF1487</f>
        <v>2581.0363740000003</v>
      </c>
      <c r="AD222" s="3">
        <f>[1]Results!AG1477-[1]Results!AG1487</f>
        <v>2578.7579309999996</v>
      </c>
      <c r="AE222" s="3">
        <f>[1]Results!AH1477-[1]Results!AH1487</f>
        <v>2577.1865519999997</v>
      </c>
      <c r="AF222" s="3">
        <f>[1]Results!AI1477-[1]Results!AI1487</f>
        <v>2576.144389</v>
      </c>
      <c r="AG222" s="3">
        <f>[1]Results!AJ1477-[1]Results!AJ1487</f>
        <v>2575.5260910000002</v>
      </c>
      <c r="AH222" s="3">
        <f>[1]Results!AK1477-[1]Results!AK1487</f>
        <v>2575.2233390000006</v>
      </c>
      <c r="AI222" s="3">
        <f>[1]Results!AL1477-[1]Results!AL1487</f>
        <v>2575.1177079999998</v>
      </c>
      <c r="AJ222" s="3">
        <f>[1]Results!AM1477-[1]Results!AM1487</f>
        <v>2575.1043679999998</v>
      </c>
      <c r="AK222" s="3">
        <f>[1]Results!AN1477-[1]Results!AN1487</f>
        <v>2575.1140329999998</v>
      </c>
      <c r="AL222" s="3">
        <f>[1]Results!AO1477-[1]Results!AO1487</f>
        <v>2575.1178899999995</v>
      </c>
    </row>
    <row r="223" spans="1:38" x14ac:dyDescent="0.3">
      <c r="B223" t="s">
        <v>24</v>
      </c>
      <c r="C223" s="6">
        <f>[1]Results!F1497</f>
        <v>43.714355689999998</v>
      </c>
      <c r="D223" s="3">
        <f>[1]Results!G1497</f>
        <v>44.321585929999998</v>
      </c>
      <c r="E223" s="3">
        <f>[1]Results!H1497</f>
        <v>45.01172974</v>
      </c>
      <c r="F223" s="3">
        <f>[1]Results!I1497</f>
        <v>45.624406919999998</v>
      </c>
      <c r="G223" s="3">
        <f>[1]Results!J1497</f>
        <v>46.128755460000001</v>
      </c>
      <c r="H223" s="3">
        <f>[1]Results!K1497</f>
        <v>46.54505623</v>
      </c>
      <c r="I223" s="3">
        <f>[1]Results!L1497</f>
        <v>46.882677370000003</v>
      </c>
      <c r="J223" s="3">
        <f>[1]Results!M1497</f>
        <v>47.170954039999998</v>
      </c>
      <c r="K223" s="3">
        <f>[1]Results!N1497</f>
        <v>47.424079120000002</v>
      </c>
      <c r="L223" s="3">
        <f>[1]Results!O1497</f>
        <v>47.643329659999999</v>
      </c>
      <c r="M223" s="3">
        <f>[1]Results!P1497</f>
        <v>47.851206929999996</v>
      </c>
      <c r="N223" s="3">
        <f>[1]Results!Q1497</f>
        <v>48.013345180000002</v>
      </c>
      <c r="O223" s="3">
        <f>[1]Results!R1497</f>
        <v>48.134763120000002</v>
      </c>
      <c r="P223" s="3">
        <f>[1]Results!S1497</f>
        <v>48.223866870000002</v>
      </c>
      <c r="Q223" s="3">
        <f>[1]Results!T1497</f>
        <v>48.284622800000001</v>
      </c>
      <c r="R223" s="3">
        <f>[1]Results!U1497</f>
        <v>48.316764050000003</v>
      </c>
      <c r="S223" s="3">
        <f>[1]Results!V1497</f>
        <v>48.318509630000001</v>
      </c>
      <c r="T223" s="3">
        <f>[1]Results!W1497</f>
        <v>48.289133249999999</v>
      </c>
      <c r="U223" s="3">
        <f>[1]Results!X1497</f>
        <v>48.23052071</v>
      </c>
      <c r="V223" s="3">
        <f>[1]Results!Y1497</f>
        <v>48.147401690000002</v>
      </c>
      <c r="W223" s="3">
        <f>[1]Results!Z1497</f>
        <v>48.028901840000003</v>
      </c>
      <c r="X223" s="3">
        <f>[1]Results!AA1497</f>
        <v>47.90385208</v>
      </c>
      <c r="Y223" s="3">
        <f>[1]Results!AB1497</f>
        <v>47.778261520000001</v>
      </c>
      <c r="Z223" s="3">
        <f>[1]Results!AC1497</f>
        <v>47.654837960000002</v>
      </c>
      <c r="AA223" s="3">
        <f>[1]Results!AD1497</f>
        <v>47.536326789999997</v>
      </c>
      <c r="AB223" s="3">
        <f>[1]Results!AE1497</f>
        <v>47.373698449999999</v>
      </c>
      <c r="AC223" s="3">
        <f>[1]Results!AF1497</f>
        <v>47.212481660000002</v>
      </c>
      <c r="AD223" s="3">
        <f>[1]Results!AG1497</f>
        <v>47.055644309999998</v>
      </c>
      <c r="AE223" s="3">
        <f>[1]Results!AH1497</f>
        <v>46.899760069999999</v>
      </c>
      <c r="AF223" s="3">
        <f>[1]Results!AI1497</f>
        <v>46.74355319</v>
      </c>
      <c r="AG223" s="3">
        <f>[1]Results!AJ1497</f>
        <v>46.588457900000002</v>
      </c>
      <c r="AH223" s="3">
        <f>[1]Results!AK1497</f>
        <v>46.436918910000003</v>
      </c>
      <c r="AI223" s="3">
        <f>[1]Results!AL1497</f>
        <v>46.29066254</v>
      </c>
      <c r="AJ223" s="3">
        <f>[1]Results!AM1497</f>
        <v>46.149782940000001</v>
      </c>
      <c r="AK223" s="3">
        <f>[1]Results!AN1497</f>
        <v>46.012790389999999</v>
      </c>
      <c r="AL223" s="3">
        <f>[1]Results!AO1497</f>
        <v>45.877224200000001</v>
      </c>
    </row>
    <row r="224" spans="1:38" x14ac:dyDescent="0.3">
      <c r="B224" t="s">
        <v>10</v>
      </c>
      <c r="C224" s="6">
        <f>[1]Results!F1494</f>
        <v>21272.308980000002</v>
      </c>
      <c r="D224" s="3">
        <f>[1]Results!G1494</f>
        <v>21215.48531</v>
      </c>
      <c r="E224" s="3">
        <f>[1]Results!H1494</f>
        <v>21159.806390000002</v>
      </c>
      <c r="F224" s="3">
        <f>[1]Results!I1494</f>
        <v>21155.991770000001</v>
      </c>
      <c r="G224" s="3">
        <f>[1]Results!J1494</f>
        <v>21203.39889</v>
      </c>
      <c r="H224" s="3">
        <f>[1]Results!K1494</f>
        <v>21287.78254</v>
      </c>
      <c r="I224" s="3">
        <f>[1]Results!L1494</f>
        <v>21404.354329999998</v>
      </c>
      <c r="J224" s="3">
        <f>[1]Results!M1494</f>
        <v>21526.221880000001</v>
      </c>
      <c r="K224" s="3">
        <f>[1]Results!N1494</f>
        <v>21645.344440000001</v>
      </c>
      <c r="L224" s="3">
        <f>[1]Results!O1494</f>
        <v>21761.413280000001</v>
      </c>
      <c r="M224" s="3">
        <f>[1]Results!P1494</f>
        <v>21860.55359</v>
      </c>
      <c r="N224" s="3">
        <f>[1]Results!Q1494</f>
        <v>21988.479139999999</v>
      </c>
      <c r="O224" s="3">
        <f>[1]Results!R1494</f>
        <v>22121.351979999999</v>
      </c>
      <c r="P224" s="3">
        <f>[1]Results!S1494</f>
        <v>22249.86104</v>
      </c>
      <c r="Q224" s="3">
        <f>[1]Results!T1494</f>
        <v>22370.968690000002</v>
      </c>
      <c r="R224" s="3">
        <f>[1]Results!U1494</f>
        <v>22484.446739999999</v>
      </c>
      <c r="S224" s="3">
        <f>[1]Results!V1494</f>
        <v>22591.355</v>
      </c>
      <c r="T224" s="3">
        <f>[1]Results!W1494</f>
        <v>22693.245889999998</v>
      </c>
      <c r="U224" s="3">
        <f>[1]Results!X1494</f>
        <v>22791.674930000001</v>
      </c>
      <c r="V224" s="3">
        <f>[1]Results!Y1494</f>
        <v>22887.917870000001</v>
      </c>
      <c r="W224" s="3">
        <f>[1]Results!Z1494</f>
        <v>22990.273000000001</v>
      </c>
      <c r="X224" s="3">
        <f>[1]Results!AA1494</f>
        <v>23075.448779999999</v>
      </c>
      <c r="Y224" s="3">
        <f>[1]Results!AB1494</f>
        <v>23158.444500000001</v>
      </c>
      <c r="Z224" s="3">
        <f>[1]Results!AC1494</f>
        <v>23244.125189999999</v>
      </c>
      <c r="AA224" s="3">
        <f>[1]Results!AD1494</f>
        <v>23333.250670000001</v>
      </c>
      <c r="AB224" s="3">
        <f>[1]Results!AE1494</f>
        <v>23440.828730000001</v>
      </c>
      <c r="AC224" s="3">
        <f>[1]Results!AF1494</f>
        <v>23518.50131</v>
      </c>
      <c r="AD224" s="3">
        <f>[1]Results!AG1494</f>
        <v>23582.767039999999</v>
      </c>
      <c r="AE224" s="3">
        <f>[1]Results!AH1494</f>
        <v>23642.330460000001</v>
      </c>
      <c r="AF224" s="3">
        <f>[1]Results!AI1494</f>
        <v>23701.51686</v>
      </c>
      <c r="AG224" s="3">
        <f>[1]Results!AJ1494</f>
        <v>23762.065190000001</v>
      </c>
      <c r="AH224" s="3">
        <f>[1]Results!AK1494</f>
        <v>23824.26885</v>
      </c>
      <c r="AI224" s="3">
        <f>[1]Results!AL1494</f>
        <v>23887.779640000001</v>
      </c>
      <c r="AJ224" s="3">
        <f>[1]Results!AM1494</f>
        <v>23952.13408</v>
      </c>
      <c r="AK224" s="3">
        <f>[1]Results!AN1494</f>
        <v>24017.019690000001</v>
      </c>
      <c r="AL224" s="3">
        <f>[1]Results!AO1494</f>
        <v>24082.329310000001</v>
      </c>
    </row>
    <row r="225" spans="1:38" x14ac:dyDescent="0.3">
      <c r="B225" t="s">
        <v>23</v>
      </c>
      <c r="C225" s="6">
        <f>[1]Results!F1489</f>
        <v>868.09553140000003</v>
      </c>
      <c r="D225" s="3">
        <f>[1]Results!G1489</f>
        <v>861.27763200000004</v>
      </c>
      <c r="E225" s="3">
        <f>[1]Results!H1489</f>
        <v>852.63043640000001</v>
      </c>
      <c r="F225" s="3">
        <f>[1]Results!I1489</f>
        <v>845.38105780000001</v>
      </c>
      <c r="G225" s="3">
        <f>[1]Results!J1489</f>
        <v>840.42829140000003</v>
      </c>
      <c r="H225" s="3">
        <f>[1]Results!K1489</f>
        <v>837.64288469999997</v>
      </c>
      <c r="I225" s="3">
        <f>[1]Results!L1489</f>
        <v>836.45363989999998</v>
      </c>
      <c r="J225" s="3">
        <f>[1]Results!M1489</f>
        <v>836.24502689999997</v>
      </c>
      <c r="K225" s="3">
        <f>[1]Results!N1489</f>
        <v>836.63500250000004</v>
      </c>
      <c r="L225" s="3">
        <f>[1]Results!O1489</f>
        <v>837.41723760000002</v>
      </c>
      <c r="M225" s="3">
        <f>[1]Results!P1489</f>
        <v>838.61040390000005</v>
      </c>
      <c r="N225" s="3">
        <f>[1]Results!Q1489</f>
        <v>840.2671732</v>
      </c>
      <c r="O225" s="3">
        <f>[1]Results!R1489</f>
        <v>842.04871279999998</v>
      </c>
      <c r="P225" s="3">
        <f>[1]Results!S1489</f>
        <v>843.74054360000002</v>
      </c>
      <c r="Q225" s="3">
        <f>[1]Results!T1489</f>
        <v>845.22720719999995</v>
      </c>
      <c r="R225" s="3">
        <f>[1]Results!U1489</f>
        <v>846.46865449999996</v>
      </c>
      <c r="S225" s="3">
        <f>[1]Results!V1489</f>
        <v>847.48190060000002</v>
      </c>
      <c r="T225" s="3">
        <f>[1]Results!W1489</f>
        <v>848.32016799999997</v>
      </c>
      <c r="U225" s="3">
        <f>[1]Results!X1489</f>
        <v>849.05092330000002</v>
      </c>
      <c r="V225" s="3">
        <f>[1]Results!Y1489</f>
        <v>849.73783109999999</v>
      </c>
      <c r="W225" s="3">
        <f>[1]Results!Z1489</f>
        <v>850.29659330000004</v>
      </c>
      <c r="X225" s="3">
        <f>[1]Results!AA1489</f>
        <v>850.75469989999999</v>
      </c>
      <c r="Y225" s="3">
        <f>[1]Results!AB1489</f>
        <v>851.29852730000005</v>
      </c>
      <c r="Z225" s="3">
        <f>[1]Results!AC1489</f>
        <v>851.9954778</v>
      </c>
      <c r="AA225" s="3">
        <f>[1]Results!AD1489</f>
        <v>852.84808769999995</v>
      </c>
      <c r="AB225" s="3">
        <f>[1]Results!AE1489</f>
        <v>853.38507349999998</v>
      </c>
      <c r="AC225" s="3">
        <f>[1]Results!AF1489</f>
        <v>853.56791480000004</v>
      </c>
      <c r="AD225" s="3">
        <f>[1]Results!AG1489</f>
        <v>853.61361250000004</v>
      </c>
      <c r="AE225" s="3">
        <f>[1]Results!AH1489</f>
        <v>853.66458550000004</v>
      </c>
      <c r="AF225" s="3">
        <f>[1]Results!AI1489</f>
        <v>853.79833670000005</v>
      </c>
      <c r="AG225" s="3">
        <f>[1]Results!AJ1489</f>
        <v>854.04077080000002</v>
      </c>
      <c r="AH225" s="3">
        <f>[1]Results!AK1489</f>
        <v>854.38174719999995</v>
      </c>
      <c r="AI225" s="3">
        <f>[1]Results!AL1489</f>
        <v>854.79331730000001</v>
      </c>
      <c r="AJ225" s="3">
        <f>[1]Results!AM1489</f>
        <v>855.24603820000004</v>
      </c>
      <c r="AK225" s="3">
        <f>[1]Results!AN1489</f>
        <v>855.71921410000004</v>
      </c>
      <c r="AL225" s="3">
        <f>[1]Results!AO1489</f>
        <v>856.20373889999996</v>
      </c>
    </row>
    <row r="227" spans="1:38" x14ac:dyDescent="0.3">
      <c r="A227" s="12" t="s">
        <v>60</v>
      </c>
      <c r="B227" t="s">
        <v>22</v>
      </c>
      <c r="C227" s="6">
        <f>C209-C218</f>
        <v>0</v>
      </c>
      <c r="D227" s="6">
        <f t="shared" ref="D227:AL227" si="40">D209-D218</f>
        <v>0</v>
      </c>
      <c r="E227" s="6">
        <f t="shared" si="40"/>
        <v>0</v>
      </c>
      <c r="F227" s="6">
        <f t="shared" si="40"/>
        <v>0</v>
      </c>
      <c r="G227" s="6">
        <f t="shared" si="40"/>
        <v>0</v>
      </c>
      <c r="H227" s="6">
        <f t="shared" si="40"/>
        <v>0</v>
      </c>
      <c r="I227" s="6">
        <f t="shared" si="40"/>
        <v>33.841090000001714</v>
      </c>
      <c r="J227" s="6">
        <f t="shared" si="40"/>
        <v>28.193500000001222</v>
      </c>
      <c r="K227" s="6">
        <f t="shared" si="40"/>
        <v>-21.604170000002341</v>
      </c>
      <c r="L227" s="6">
        <f t="shared" si="40"/>
        <v>-100.12964000000284</v>
      </c>
      <c r="M227" s="6">
        <f t="shared" si="40"/>
        <v>-184.33954000000085</v>
      </c>
      <c r="N227" s="6">
        <f t="shared" si="40"/>
        <v>-256.80805999999939</v>
      </c>
      <c r="O227" s="6">
        <f t="shared" si="40"/>
        <v>-307.89378000000215</v>
      </c>
      <c r="P227" s="6">
        <f t="shared" si="40"/>
        <v>-337.67238999999972</v>
      </c>
      <c r="Q227" s="6">
        <f t="shared" si="40"/>
        <v>-352.39476999999897</v>
      </c>
      <c r="R227" s="6">
        <f t="shared" si="40"/>
        <v>-359.98889999999665</v>
      </c>
      <c r="S227" s="6">
        <f t="shared" si="40"/>
        <v>-366.46365000000151</v>
      </c>
      <c r="T227" s="6">
        <f t="shared" si="40"/>
        <v>-374.30385999999999</v>
      </c>
      <c r="U227" s="6">
        <f t="shared" si="40"/>
        <v>-382.83908000000156</v>
      </c>
      <c r="V227" s="6">
        <f t="shared" si="40"/>
        <v>-389.76817999999912</v>
      </c>
      <c r="W227" s="6">
        <f t="shared" si="40"/>
        <v>-392.62387999999919</v>
      </c>
      <c r="X227" s="6">
        <f t="shared" si="40"/>
        <v>-390.53040999999939</v>
      </c>
      <c r="Y227" s="6">
        <f t="shared" si="40"/>
        <v>-383.93996000000334</v>
      </c>
      <c r="Z227" s="6">
        <f t="shared" si="40"/>
        <v>-374.36367999999857</v>
      </c>
      <c r="AA227" s="6">
        <f t="shared" si="40"/>
        <v>-363.70554000000266</v>
      </c>
      <c r="AB227" s="6">
        <f t="shared" si="40"/>
        <v>-353.19629999999961</v>
      </c>
      <c r="AC227" s="6">
        <f t="shared" si="40"/>
        <v>-344.0949099999998</v>
      </c>
      <c r="AD227" s="6">
        <f t="shared" si="40"/>
        <v>-336.78319000000192</v>
      </c>
      <c r="AE227" s="6">
        <f t="shared" si="40"/>
        <v>-331.06058000000121</v>
      </c>
      <c r="AF227" s="6">
        <f t="shared" si="40"/>
        <v>-326.43972000000213</v>
      </c>
      <c r="AG227" s="6">
        <f t="shared" si="40"/>
        <v>-322.42217999999775</v>
      </c>
      <c r="AH227" s="6">
        <f t="shared" si="40"/>
        <v>-318.67563999999766</v>
      </c>
      <c r="AI227" s="6">
        <f t="shared" si="40"/>
        <v>-315.08020000000033</v>
      </c>
      <c r="AJ227" s="6">
        <f t="shared" si="40"/>
        <v>-311.66992000000027</v>
      </c>
      <c r="AK227" s="6">
        <f t="shared" si="40"/>
        <v>-308.53009999999995</v>
      </c>
      <c r="AL227" s="6">
        <f t="shared" si="40"/>
        <v>-305.70583999999872</v>
      </c>
    </row>
    <row r="228" spans="1:38" x14ac:dyDescent="0.3">
      <c r="A228" t="s">
        <v>61</v>
      </c>
      <c r="B228" t="s">
        <v>7</v>
      </c>
      <c r="C228" s="6">
        <f t="shared" ref="C228:AL228" si="41">C210-C219</f>
        <v>0</v>
      </c>
      <c r="D228" s="6">
        <f t="shared" si="41"/>
        <v>0</v>
      </c>
      <c r="E228" s="6">
        <f t="shared" si="41"/>
        <v>0</v>
      </c>
      <c r="F228" s="6">
        <f t="shared" si="41"/>
        <v>0</v>
      </c>
      <c r="G228" s="6">
        <f t="shared" si="41"/>
        <v>0</v>
      </c>
      <c r="H228" s="6">
        <f t="shared" si="41"/>
        <v>0</v>
      </c>
      <c r="I228" s="6">
        <f t="shared" si="41"/>
        <v>24.577676099999962</v>
      </c>
      <c r="J228" s="6">
        <f t="shared" si="41"/>
        <v>36.76989709999998</v>
      </c>
      <c r="K228" s="6">
        <f t="shared" si="41"/>
        <v>40.271649700000012</v>
      </c>
      <c r="L228" s="6">
        <f t="shared" si="41"/>
        <v>37.811176700000033</v>
      </c>
      <c r="M228" s="6">
        <f t="shared" si="41"/>
        <v>31.548404800000071</v>
      </c>
      <c r="N228" s="6">
        <f t="shared" si="41"/>
        <v>23.322424100000035</v>
      </c>
      <c r="O228" s="6">
        <f t="shared" si="41"/>
        <v>14.654025199999978</v>
      </c>
      <c r="P228" s="6">
        <f t="shared" si="41"/>
        <v>6.7035172999999304</v>
      </c>
      <c r="Q228" s="6">
        <f t="shared" si="41"/>
        <v>0.21907450000003337</v>
      </c>
      <c r="R228" s="6">
        <f t="shared" si="41"/>
        <v>-4.4547420999999758</v>
      </c>
      <c r="S228" s="6">
        <f t="shared" si="41"/>
        <v>-7.3066579000000047</v>
      </c>
      <c r="T228" s="6">
        <f t="shared" si="41"/>
        <v>-8.5523886000000857</v>
      </c>
      <c r="U228" s="6">
        <f t="shared" si="41"/>
        <v>-8.524394099999995</v>
      </c>
      <c r="V228" s="6">
        <f t="shared" si="41"/>
        <v>-7.5821547999998984</v>
      </c>
      <c r="W228" s="6">
        <f t="shared" si="41"/>
        <v>-6.0541163999999981</v>
      </c>
      <c r="X228" s="6">
        <f t="shared" si="41"/>
        <v>-4.2165462000000389</v>
      </c>
      <c r="Y228" s="6">
        <f t="shared" si="41"/>
        <v>-2.2821290000000545</v>
      </c>
      <c r="Z228" s="6">
        <f t="shared" si="41"/>
        <v>-0.41235900000003767</v>
      </c>
      <c r="AA228" s="6">
        <f t="shared" si="41"/>
        <v>1.2746107000000393</v>
      </c>
      <c r="AB228" s="6">
        <f t="shared" si="41"/>
        <v>2.694685800000002</v>
      </c>
      <c r="AC228" s="6">
        <f t="shared" si="41"/>
        <v>3.7966721999999891</v>
      </c>
      <c r="AD228" s="6">
        <f t="shared" si="41"/>
        <v>4.5688900000000103</v>
      </c>
      <c r="AE228" s="6">
        <f t="shared" si="41"/>
        <v>5.0275875999999471</v>
      </c>
      <c r="AF228" s="6">
        <f t="shared" si="41"/>
        <v>5.2123474999999644</v>
      </c>
      <c r="AG228" s="6">
        <f t="shared" si="41"/>
        <v>5.1784207000000606</v>
      </c>
      <c r="AH228" s="6">
        <f t="shared" si="41"/>
        <v>4.9876715999999988</v>
      </c>
      <c r="AI228" s="6">
        <f t="shared" si="41"/>
        <v>4.700070500000038</v>
      </c>
      <c r="AJ228" s="6">
        <f t="shared" si="41"/>
        <v>4.3673225999999659</v>
      </c>
      <c r="AK228" s="6">
        <f t="shared" si="41"/>
        <v>4.029413599999998</v>
      </c>
      <c r="AL228" s="6">
        <f t="shared" si="41"/>
        <v>3.7139709000000494</v>
      </c>
    </row>
    <row r="229" spans="1:38" x14ac:dyDescent="0.3">
      <c r="B229" t="s">
        <v>96</v>
      </c>
      <c r="C229" s="6">
        <f t="shared" ref="C229:AL229" si="42">C211-C220</f>
        <v>0</v>
      </c>
      <c r="D229" s="6">
        <f t="shared" si="42"/>
        <v>0</v>
      </c>
      <c r="E229" s="6">
        <f t="shared" si="42"/>
        <v>0</v>
      </c>
      <c r="F229" s="6">
        <f t="shared" si="42"/>
        <v>0</v>
      </c>
      <c r="G229" s="6">
        <f t="shared" si="42"/>
        <v>0</v>
      </c>
      <c r="H229" s="6">
        <f t="shared" si="42"/>
        <v>0</v>
      </c>
      <c r="I229" s="6">
        <f t="shared" si="42"/>
        <v>0.48271500000009837</v>
      </c>
      <c r="J229" s="6">
        <f t="shared" si="42"/>
        <v>-4.6922230000000127</v>
      </c>
      <c r="K229" s="6">
        <f t="shared" si="42"/>
        <v>-16.313884000000144</v>
      </c>
      <c r="L229" s="6">
        <f t="shared" si="42"/>
        <v>-30.912532000000056</v>
      </c>
      <c r="M229" s="6">
        <f t="shared" si="42"/>
        <v>-43.812201999999843</v>
      </c>
      <c r="N229" s="6">
        <f t="shared" si="42"/>
        <v>-52.20008299999995</v>
      </c>
      <c r="O229" s="6">
        <f t="shared" si="42"/>
        <v>-54.746560999999929</v>
      </c>
      <c r="P229" s="6">
        <f t="shared" si="42"/>
        <v>-52.369617000000062</v>
      </c>
      <c r="Q229" s="6">
        <f t="shared" si="42"/>
        <v>-47.171468999999888</v>
      </c>
      <c r="R229" s="6">
        <f t="shared" si="42"/>
        <v>-41.380412000000206</v>
      </c>
      <c r="S229" s="6">
        <f t="shared" si="42"/>
        <v>-36.579351000000088</v>
      </c>
      <c r="T229" s="6">
        <f t="shared" si="42"/>
        <v>-33.401587000000063</v>
      </c>
      <c r="U229" s="6">
        <f t="shared" si="42"/>
        <v>-31.664093999999977</v>
      </c>
      <c r="V229" s="6">
        <f t="shared" si="42"/>
        <v>-30.752036999999973</v>
      </c>
      <c r="W229" s="6">
        <f t="shared" si="42"/>
        <v>-30.002566999999999</v>
      </c>
      <c r="X229" s="6">
        <f t="shared" si="42"/>
        <v>-29.036663999999973</v>
      </c>
      <c r="Y229" s="6">
        <f t="shared" si="42"/>
        <v>-27.804880000000139</v>
      </c>
      <c r="Z229" s="6">
        <f t="shared" si="42"/>
        <v>-26.477736999999934</v>
      </c>
      <c r="AA229" s="6">
        <f t="shared" si="42"/>
        <v>-25.3173469999997</v>
      </c>
      <c r="AB229" s="6">
        <f t="shared" si="42"/>
        <v>-24.490512999999964</v>
      </c>
      <c r="AC229" s="6">
        <f t="shared" si="42"/>
        <v>-24.115939000000026</v>
      </c>
      <c r="AD229" s="6">
        <f t="shared" si="42"/>
        <v>-24.133195999999998</v>
      </c>
      <c r="AE229" s="6">
        <f t="shared" si="42"/>
        <v>-24.39954200000011</v>
      </c>
      <c r="AF229" s="6">
        <f t="shared" si="42"/>
        <v>-24.741154000000051</v>
      </c>
      <c r="AG229" s="6">
        <f t="shared" si="42"/>
        <v>-25.009707999999819</v>
      </c>
      <c r="AH229" s="6">
        <f t="shared" si="42"/>
        <v>-25.118930999999975</v>
      </c>
      <c r="AI229" s="6">
        <f t="shared" si="42"/>
        <v>-25.050241000000369</v>
      </c>
      <c r="AJ229" s="6">
        <f t="shared" si="42"/>
        <v>-24.832808999999997</v>
      </c>
      <c r="AK229" s="6">
        <f t="shared" si="42"/>
        <v>-24.513950000000023</v>
      </c>
      <c r="AL229" s="6">
        <f t="shared" si="42"/>
        <v>-24.133461000000352</v>
      </c>
    </row>
    <row r="230" spans="1:38" x14ac:dyDescent="0.3">
      <c r="B230" t="s">
        <v>11</v>
      </c>
      <c r="C230" s="6">
        <f t="shared" ref="C230:AL230" si="43">C212-C221</f>
        <v>0</v>
      </c>
      <c r="D230" s="6">
        <f t="shared" si="43"/>
        <v>0</v>
      </c>
      <c r="E230" s="6">
        <f t="shared" si="43"/>
        <v>0</v>
      </c>
      <c r="F230" s="6">
        <f t="shared" si="43"/>
        <v>0</v>
      </c>
      <c r="G230" s="6">
        <f t="shared" si="43"/>
        <v>0</v>
      </c>
      <c r="H230" s="6">
        <f t="shared" si="43"/>
        <v>0</v>
      </c>
      <c r="I230" s="6">
        <f t="shared" si="43"/>
        <v>5.2586579999996275E-2</v>
      </c>
      <c r="J230" s="6">
        <f t="shared" si="43"/>
        <v>0.24236258000000532</v>
      </c>
      <c r="K230" s="6">
        <f t="shared" si="43"/>
        <v>0.55145552000000464</v>
      </c>
      <c r="L230" s="6">
        <f t="shared" si="43"/>
        <v>0.84907599000000289</v>
      </c>
      <c r="M230" s="6">
        <f t="shared" si="43"/>
        <v>0.97721225000000089</v>
      </c>
      <c r="N230" s="6">
        <f t="shared" si="43"/>
        <v>0.85357972000000615</v>
      </c>
      <c r="O230" s="6">
        <f t="shared" si="43"/>
        <v>0.49123704000000146</v>
      </c>
      <c r="P230" s="6">
        <f t="shared" si="43"/>
        <v>-1.487455999999554E-2</v>
      </c>
      <c r="Q230" s="6">
        <f t="shared" si="43"/>
        <v>-0.52955399999999742</v>
      </c>
      <c r="R230" s="6">
        <f t="shared" si="43"/>
        <v>-0.93231726000000492</v>
      </c>
      <c r="S230" s="6">
        <f t="shared" si="43"/>
        <v>-1.1592320600000008</v>
      </c>
      <c r="T230" s="6">
        <f t="shared" si="43"/>
        <v>-1.2037686800000031</v>
      </c>
      <c r="U230" s="6">
        <f t="shared" si="43"/>
        <v>-1.100312449999997</v>
      </c>
      <c r="V230" s="6">
        <f t="shared" si="43"/>
        <v>-0.90158093999999522</v>
      </c>
      <c r="W230" s="6">
        <f t="shared" si="43"/>
        <v>-0.65988310999999555</v>
      </c>
      <c r="X230" s="6">
        <f t="shared" si="43"/>
        <v>-0.40937747000000257</v>
      </c>
      <c r="Y230" s="6">
        <f t="shared" si="43"/>
        <v>-0.1698991099999958</v>
      </c>
      <c r="Z230" s="6">
        <f t="shared" si="43"/>
        <v>4.7884719999998993E-2</v>
      </c>
      <c r="AA230" s="6">
        <f t="shared" si="43"/>
        <v>0.23756698000000398</v>
      </c>
      <c r="AB230" s="6">
        <f t="shared" si="43"/>
        <v>0.39207452000000131</v>
      </c>
      <c r="AC230" s="6">
        <f t="shared" si="43"/>
        <v>0.50622881999999692</v>
      </c>
      <c r="AD230" s="6">
        <f t="shared" si="43"/>
        <v>0.57485580000000169</v>
      </c>
      <c r="AE230" s="6">
        <f t="shared" si="43"/>
        <v>0.59461032000000102</v>
      </c>
      <c r="AF230" s="6">
        <f t="shared" si="43"/>
        <v>0.56619209000000126</v>
      </c>
      <c r="AG230" s="6">
        <f t="shared" si="43"/>
        <v>0.49548132999999694</v>
      </c>
      <c r="AH230" s="6">
        <f t="shared" si="43"/>
        <v>0.39225687999999792</v>
      </c>
      <c r="AI230" s="6">
        <f t="shared" si="43"/>
        <v>0.26934829000000349</v>
      </c>
      <c r="AJ230" s="6">
        <f t="shared" si="43"/>
        <v>0.14082250999999957</v>
      </c>
      <c r="AK230" s="6">
        <f t="shared" si="43"/>
        <v>1.9606570000000545E-2</v>
      </c>
      <c r="AL230" s="6">
        <f t="shared" si="43"/>
        <v>-8.2951270000002353E-2</v>
      </c>
    </row>
    <row r="231" spans="1:38" x14ac:dyDescent="0.3">
      <c r="B231" t="s">
        <v>8</v>
      </c>
      <c r="C231" s="6">
        <f t="shared" ref="C231:AL231" si="44">C213-C222</f>
        <v>0</v>
      </c>
      <c r="D231" s="6">
        <f t="shared" si="44"/>
        <v>0</v>
      </c>
      <c r="E231" s="6">
        <f t="shared" si="44"/>
        <v>0</v>
      </c>
      <c r="F231" s="6">
        <f t="shared" si="44"/>
        <v>0</v>
      </c>
      <c r="G231" s="6">
        <f t="shared" si="44"/>
        <v>0</v>
      </c>
      <c r="H231" s="6">
        <f t="shared" si="44"/>
        <v>0</v>
      </c>
      <c r="I231" s="6">
        <f t="shared" si="44"/>
        <v>1.6650609999996959</v>
      </c>
      <c r="J231" s="6">
        <f t="shared" si="44"/>
        <v>-1.7397730000002412</v>
      </c>
      <c r="K231" s="6">
        <f t="shared" si="44"/>
        <v>-11.127588000000287</v>
      </c>
      <c r="L231" s="6">
        <f t="shared" si="44"/>
        <v>-24.649890000000141</v>
      </c>
      <c r="M231" s="6">
        <f t="shared" si="44"/>
        <v>-39.382658000000447</v>
      </c>
      <c r="N231" s="6">
        <f t="shared" si="44"/>
        <v>-52.784524999999576</v>
      </c>
      <c r="O231" s="6">
        <f t="shared" si="44"/>
        <v>-63.287470999999641</v>
      </c>
      <c r="P231" s="6">
        <f t="shared" si="44"/>
        <v>-70.477826999999706</v>
      </c>
      <c r="Q231" s="6">
        <f t="shared" si="44"/>
        <v>-74.797105999999985</v>
      </c>
      <c r="R231" s="6">
        <f t="shared" si="44"/>
        <v>-77.071483999999145</v>
      </c>
      <c r="S231" s="6">
        <f t="shared" si="44"/>
        <v>-78.091593000000557</v>
      </c>
      <c r="T231" s="6">
        <f t="shared" si="44"/>
        <v>-78.371829999999591</v>
      </c>
      <c r="U231" s="6">
        <f t="shared" si="44"/>
        <v>-78.114381000000321</v>
      </c>
      <c r="V231" s="6">
        <f t="shared" si="44"/>
        <v>-77.315833999999995</v>
      </c>
      <c r="W231" s="6">
        <f t="shared" si="44"/>
        <v>-75.867854000000534</v>
      </c>
      <c r="X231" s="6">
        <f t="shared" si="44"/>
        <v>-73.853432999999768</v>
      </c>
      <c r="Y231" s="6">
        <f t="shared" si="44"/>
        <v>-71.405865999999605</v>
      </c>
      <c r="Z231" s="6">
        <f t="shared" si="44"/>
        <v>-68.748669999999947</v>
      </c>
      <c r="AA231" s="6">
        <f t="shared" si="44"/>
        <v>-66.137954000000263</v>
      </c>
      <c r="AB231" s="6">
        <f t="shared" si="44"/>
        <v>-63.681665000000521</v>
      </c>
      <c r="AC231" s="6">
        <f t="shared" si="44"/>
        <v>-61.627995000000283</v>
      </c>
      <c r="AD231" s="6">
        <f t="shared" si="44"/>
        <v>-60.031533999999283</v>
      </c>
      <c r="AE231" s="6">
        <f t="shared" si="44"/>
        <v>-58.86091099999976</v>
      </c>
      <c r="AF231" s="6">
        <f t="shared" si="44"/>
        <v>-58.03499599999941</v>
      </c>
      <c r="AG231" s="6">
        <f t="shared" si="44"/>
        <v>-57.456964999999855</v>
      </c>
      <c r="AH231" s="6">
        <f t="shared" si="44"/>
        <v>-57.040741000000708</v>
      </c>
      <c r="AI231" s="6">
        <f t="shared" si="44"/>
        <v>-56.723841999999877</v>
      </c>
      <c r="AJ231" s="6">
        <f t="shared" si="44"/>
        <v>-56.467370999999275</v>
      </c>
      <c r="AK231" s="6">
        <f t="shared" si="44"/>
        <v>-56.248353999999836</v>
      </c>
      <c r="AL231" s="6">
        <f t="shared" si="44"/>
        <v>-56.050072999999429</v>
      </c>
    </row>
    <row r="232" spans="1:38" x14ac:dyDescent="0.3">
      <c r="B232" t="s">
        <v>24</v>
      </c>
      <c r="C232" s="6">
        <f t="shared" ref="C232:AL232" si="45">C214-C223</f>
        <v>0</v>
      </c>
      <c r="D232" s="6">
        <f t="shared" si="45"/>
        <v>0</v>
      </c>
      <c r="E232" s="6">
        <f t="shared" si="45"/>
        <v>0</v>
      </c>
      <c r="F232" s="6">
        <f t="shared" si="45"/>
        <v>0</v>
      </c>
      <c r="G232" s="6">
        <f t="shared" si="45"/>
        <v>0</v>
      </c>
      <c r="H232" s="6">
        <f t="shared" si="45"/>
        <v>0</v>
      </c>
      <c r="I232" s="6">
        <f t="shared" si="45"/>
        <v>3.9242339999994158E-2</v>
      </c>
      <c r="J232" s="6">
        <f t="shared" si="45"/>
        <v>0.15897963000000459</v>
      </c>
      <c r="K232" s="6">
        <f t="shared" si="45"/>
        <v>0.34078557000000131</v>
      </c>
      <c r="L232" s="6">
        <f t="shared" si="45"/>
        <v>0.51087513000000229</v>
      </c>
      <c r="M232" s="6">
        <f t="shared" si="45"/>
        <v>0.59391974000000403</v>
      </c>
      <c r="N232" s="6">
        <f t="shared" si="45"/>
        <v>0.55982211999999976</v>
      </c>
      <c r="O232" s="6">
        <f t="shared" si="45"/>
        <v>0.42257644000000028</v>
      </c>
      <c r="P232" s="6">
        <f t="shared" si="45"/>
        <v>0.22644479999999589</v>
      </c>
      <c r="Q232" s="6">
        <f t="shared" si="45"/>
        <v>2.2695880000000557E-2</v>
      </c>
      <c r="R232" s="6">
        <f t="shared" si="45"/>
        <v>-0.14982200000000034</v>
      </c>
      <c r="S232" s="6">
        <f t="shared" si="45"/>
        <v>-0.27333258000000171</v>
      </c>
      <c r="T232" s="6">
        <f t="shared" si="45"/>
        <v>-0.34886515000000173</v>
      </c>
      <c r="U232" s="6">
        <f t="shared" si="45"/>
        <v>-0.38856718000000257</v>
      </c>
      <c r="V232" s="6">
        <f t="shared" si="45"/>
        <v>-0.40719513000000518</v>
      </c>
      <c r="W232" s="6">
        <f t="shared" si="45"/>
        <v>-0.41633775000000384</v>
      </c>
      <c r="X232" s="6">
        <f t="shared" si="45"/>
        <v>-0.42051289999999852</v>
      </c>
      <c r="Y232" s="6">
        <f t="shared" si="45"/>
        <v>-0.41966511000000395</v>
      </c>
      <c r="Z232" s="6">
        <f t="shared" si="45"/>
        <v>-0.41180414000000098</v>
      </c>
      <c r="AA232" s="6">
        <f t="shared" si="45"/>
        <v>-0.39546375999999839</v>
      </c>
      <c r="AB232" s="6">
        <f t="shared" si="45"/>
        <v>-0.37136079999999794</v>
      </c>
      <c r="AC232" s="6">
        <f t="shared" si="45"/>
        <v>-0.34183904000000354</v>
      </c>
      <c r="AD232" s="6">
        <f t="shared" si="45"/>
        <v>-0.31052916000000153</v>
      </c>
      <c r="AE232" s="6">
        <f t="shared" si="45"/>
        <v>-0.2813632900000016</v>
      </c>
      <c r="AF232" s="6">
        <f t="shared" si="45"/>
        <v>-0.2574538000000004</v>
      </c>
      <c r="AG232" s="6">
        <f t="shared" si="45"/>
        <v>-0.24038192000000436</v>
      </c>
      <c r="AH232" s="6">
        <f t="shared" si="45"/>
        <v>-0.23019335000000041</v>
      </c>
      <c r="AI232" s="6">
        <f t="shared" si="45"/>
        <v>-0.22576590999999979</v>
      </c>
      <c r="AJ232" s="6">
        <f t="shared" si="45"/>
        <v>-0.22540916999999894</v>
      </c>
      <c r="AK232" s="6">
        <f t="shared" si="45"/>
        <v>-0.22745660999999728</v>
      </c>
      <c r="AL232" s="6">
        <f t="shared" si="45"/>
        <v>-0.23052019000000001</v>
      </c>
    </row>
    <row r="233" spans="1:38" x14ac:dyDescent="0.3">
      <c r="B233" t="s">
        <v>10</v>
      </c>
      <c r="C233" s="6">
        <f t="shared" ref="C233:AL233" si="46">C215-C224</f>
        <v>0</v>
      </c>
      <c r="D233" s="6">
        <f t="shared" si="46"/>
        <v>0</v>
      </c>
      <c r="E233" s="6">
        <f t="shared" si="46"/>
        <v>0</v>
      </c>
      <c r="F233" s="6">
        <f t="shared" si="46"/>
        <v>0</v>
      </c>
      <c r="G233" s="6">
        <f t="shared" si="46"/>
        <v>0</v>
      </c>
      <c r="H233" s="6">
        <f t="shared" si="46"/>
        <v>0</v>
      </c>
      <c r="I233" s="6">
        <f t="shared" si="46"/>
        <v>6.7255199999999604</v>
      </c>
      <c r="J233" s="6">
        <f t="shared" si="46"/>
        <v>-2.3485299999993003</v>
      </c>
      <c r="K233" s="6">
        <f t="shared" si="46"/>
        <v>-33.438120000002527</v>
      </c>
      <c r="L233" s="6">
        <f t="shared" si="46"/>
        <v>-79.227689999999711</v>
      </c>
      <c r="M233" s="6">
        <f t="shared" si="46"/>
        <v>-126.82596999999805</v>
      </c>
      <c r="N233" s="6">
        <f t="shared" si="46"/>
        <v>-166.47752000000037</v>
      </c>
      <c r="O233" s="6">
        <f t="shared" si="46"/>
        <v>-193.34934000000067</v>
      </c>
      <c r="P233" s="6">
        <f t="shared" si="46"/>
        <v>-208.38806000000113</v>
      </c>
      <c r="Q233" s="6">
        <f t="shared" si="46"/>
        <v>-216.0940499999997</v>
      </c>
      <c r="R233" s="6">
        <f t="shared" si="46"/>
        <v>-221.61235999999917</v>
      </c>
      <c r="S233" s="6">
        <f t="shared" si="46"/>
        <v>-228.46487999999954</v>
      </c>
      <c r="T233" s="6">
        <f t="shared" si="46"/>
        <v>-237.66359000000011</v>
      </c>
      <c r="U233" s="6">
        <f t="shared" si="46"/>
        <v>-248.12274000000252</v>
      </c>
      <c r="V233" s="6">
        <f t="shared" si="46"/>
        <v>-257.77773000000161</v>
      </c>
      <c r="W233" s="6">
        <f t="shared" si="46"/>
        <v>-264.60727000000043</v>
      </c>
      <c r="X233" s="6">
        <f t="shared" si="46"/>
        <v>-267.74216999999771</v>
      </c>
      <c r="Y233" s="6">
        <f t="shared" si="46"/>
        <v>-267.30980000000272</v>
      </c>
      <c r="Z233" s="6">
        <f t="shared" si="46"/>
        <v>-264.21458999999959</v>
      </c>
      <c r="AA233" s="6">
        <f t="shared" si="46"/>
        <v>-259.66012000000046</v>
      </c>
      <c r="AB233" s="6">
        <f t="shared" si="46"/>
        <v>-254.47238000000289</v>
      </c>
      <c r="AC233" s="6">
        <f t="shared" si="46"/>
        <v>-249.43338999999833</v>
      </c>
      <c r="AD233" s="6">
        <f t="shared" si="46"/>
        <v>-244.89034999999785</v>
      </c>
      <c r="AE233" s="6">
        <f t="shared" si="46"/>
        <v>-240.82619999999952</v>
      </c>
      <c r="AF233" s="6">
        <f t="shared" si="46"/>
        <v>-237.0586000000003</v>
      </c>
      <c r="AG233" s="6">
        <f t="shared" si="46"/>
        <v>-233.41049000000203</v>
      </c>
      <c r="AH233" s="6">
        <f t="shared" si="46"/>
        <v>-229.80749999999898</v>
      </c>
      <c r="AI233" s="6">
        <f t="shared" si="46"/>
        <v>-226.29320999999982</v>
      </c>
      <c r="AJ233" s="6">
        <f t="shared" si="46"/>
        <v>-222.98253000000113</v>
      </c>
      <c r="AK233" s="6">
        <f t="shared" si="46"/>
        <v>-219.99220000000059</v>
      </c>
      <c r="AL233" s="6">
        <f t="shared" si="46"/>
        <v>-217.38595999999961</v>
      </c>
    </row>
    <row r="234" spans="1:38" x14ac:dyDescent="0.3">
      <c r="B234" t="s">
        <v>23</v>
      </c>
      <c r="C234" s="6">
        <f t="shared" ref="C234:AL234" si="47">C216-C225</f>
        <v>0</v>
      </c>
      <c r="D234" s="6">
        <f t="shared" si="47"/>
        <v>0</v>
      </c>
      <c r="E234" s="6">
        <f t="shared" si="47"/>
        <v>0</v>
      </c>
      <c r="F234" s="6">
        <f t="shared" si="47"/>
        <v>0</v>
      </c>
      <c r="G234" s="6">
        <f t="shared" si="47"/>
        <v>0</v>
      </c>
      <c r="H234" s="6">
        <f t="shared" si="47"/>
        <v>0</v>
      </c>
      <c r="I234" s="6">
        <f t="shared" si="47"/>
        <v>0.29829389999997602</v>
      </c>
      <c r="J234" s="6">
        <f t="shared" si="47"/>
        <v>-0.19721399999991718</v>
      </c>
      <c r="K234" s="6">
        <f t="shared" si="47"/>
        <v>-1.888469500000042</v>
      </c>
      <c r="L234" s="6">
        <f t="shared" si="47"/>
        <v>-4.5106420000000753</v>
      </c>
      <c r="M234" s="6">
        <f t="shared" si="47"/>
        <v>-7.4382506000000603</v>
      </c>
      <c r="N234" s="6">
        <f t="shared" si="47"/>
        <v>-10.081759899999952</v>
      </c>
      <c r="O234" s="6">
        <f t="shared" si="47"/>
        <v>-12.078256899999928</v>
      </c>
      <c r="P234" s="6">
        <f t="shared" si="47"/>
        <v>-13.351959700000066</v>
      </c>
      <c r="Q234" s="6">
        <f t="shared" si="47"/>
        <v>-14.044366199999899</v>
      </c>
      <c r="R234" s="6">
        <f t="shared" si="47"/>
        <v>-14.387757899999997</v>
      </c>
      <c r="S234" s="6">
        <f t="shared" si="47"/>
        <v>-14.588599799999997</v>
      </c>
      <c r="T234" s="6">
        <f t="shared" si="47"/>
        <v>-14.761829899999952</v>
      </c>
      <c r="U234" s="6">
        <f t="shared" si="47"/>
        <v>-14.924590599999988</v>
      </c>
      <c r="V234" s="6">
        <f t="shared" si="47"/>
        <v>-15.031651099999976</v>
      </c>
      <c r="W234" s="6">
        <f t="shared" si="47"/>
        <v>-15.015864400000055</v>
      </c>
      <c r="X234" s="6">
        <f t="shared" si="47"/>
        <v>-14.851717699999995</v>
      </c>
      <c r="Y234" s="6">
        <f t="shared" si="47"/>
        <v>-14.547712900000079</v>
      </c>
      <c r="Z234" s="6">
        <f t="shared" si="47"/>
        <v>-14.14641210000002</v>
      </c>
      <c r="AA234" s="6">
        <f t="shared" si="47"/>
        <v>-13.706824999999981</v>
      </c>
      <c r="AB234" s="6">
        <f t="shared" si="47"/>
        <v>-13.267129599999976</v>
      </c>
      <c r="AC234" s="6">
        <f t="shared" si="47"/>
        <v>-12.878636400000005</v>
      </c>
      <c r="AD234" s="6">
        <f t="shared" si="47"/>
        <v>-12.561326300000019</v>
      </c>
      <c r="AE234" s="6">
        <f t="shared" si="47"/>
        <v>-12.314765100000045</v>
      </c>
      <c r="AF234" s="6">
        <f t="shared" si="47"/>
        <v>-12.126052900000104</v>
      </c>
      <c r="AG234" s="6">
        <f t="shared" si="47"/>
        <v>-11.978523100000075</v>
      </c>
      <c r="AH234" s="6">
        <f t="shared" si="47"/>
        <v>-11.85819939999999</v>
      </c>
      <c r="AI234" s="6">
        <f t="shared" si="47"/>
        <v>-11.756558799999993</v>
      </c>
      <c r="AJ234" s="6">
        <f t="shared" si="47"/>
        <v>-11.669947400000069</v>
      </c>
      <c r="AK234" s="6">
        <f t="shared" si="47"/>
        <v>-11.597160000000031</v>
      </c>
      <c r="AL234" s="6">
        <f t="shared" si="47"/>
        <v>-11.536836600000015</v>
      </c>
    </row>
    <row r="236" spans="1:38" x14ac:dyDescent="0.3">
      <c r="A236" s="12" t="s">
        <v>60</v>
      </c>
      <c r="B236" t="s">
        <v>13</v>
      </c>
      <c r="C236" s="7" t="s">
        <v>14</v>
      </c>
      <c r="D236" s="7" t="s">
        <v>15</v>
      </c>
      <c r="E236" s="7" t="s">
        <v>16</v>
      </c>
    </row>
    <row r="237" spans="1:38" x14ac:dyDescent="0.3">
      <c r="A237" t="s">
        <v>61</v>
      </c>
      <c r="B237" t="s">
        <v>22</v>
      </c>
      <c r="C237" s="6">
        <f>R227</f>
        <v>-359.98889999999665</v>
      </c>
      <c r="D237" s="6">
        <f>AB227</f>
        <v>-353.19629999999961</v>
      </c>
      <c r="E237" s="6">
        <f>AL227</f>
        <v>-305.70583999999872</v>
      </c>
    </row>
    <row r="238" spans="1:38" x14ac:dyDescent="0.3">
      <c r="B238" t="s">
        <v>7</v>
      </c>
      <c r="C238" s="6">
        <f t="shared" ref="C238:C244" si="48">R228</f>
        <v>-4.4547420999999758</v>
      </c>
      <c r="D238" s="6">
        <f t="shared" ref="D238:D244" si="49">AB228</f>
        <v>2.694685800000002</v>
      </c>
      <c r="E238" s="6">
        <f t="shared" ref="E238:E244" si="50">AL228</f>
        <v>3.7139709000000494</v>
      </c>
    </row>
    <row r="239" spans="1:38" x14ac:dyDescent="0.3">
      <c r="B239" t="s">
        <v>96</v>
      </c>
      <c r="C239" s="6">
        <f t="shared" si="48"/>
        <v>-41.380412000000206</v>
      </c>
      <c r="D239" s="6">
        <f t="shared" si="49"/>
        <v>-24.490512999999964</v>
      </c>
      <c r="E239" s="6">
        <f t="shared" si="50"/>
        <v>-24.133461000000352</v>
      </c>
    </row>
    <row r="240" spans="1:38" x14ac:dyDescent="0.3">
      <c r="B240" t="s">
        <v>11</v>
      </c>
      <c r="C240" s="6">
        <f t="shared" si="48"/>
        <v>-0.93231726000000492</v>
      </c>
      <c r="D240" s="6">
        <f t="shared" si="49"/>
        <v>0.39207452000000131</v>
      </c>
      <c r="E240" s="6">
        <f t="shared" si="50"/>
        <v>-8.2951270000002353E-2</v>
      </c>
    </row>
    <row r="241" spans="1:38" x14ac:dyDescent="0.3">
      <c r="B241" t="s">
        <v>8</v>
      </c>
      <c r="C241" s="6">
        <f t="shared" si="48"/>
        <v>-77.071483999999145</v>
      </c>
      <c r="D241" s="6">
        <f t="shared" si="49"/>
        <v>-63.681665000000521</v>
      </c>
      <c r="E241" s="6">
        <f t="shared" si="50"/>
        <v>-56.050072999999429</v>
      </c>
    </row>
    <row r="242" spans="1:38" x14ac:dyDescent="0.3">
      <c r="B242" t="s">
        <v>24</v>
      </c>
      <c r="C242" s="6">
        <f t="shared" si="48"/>
        <v>-0.14982200000000034</v>
      </c>
      <c r="D242" s="6">
        <f t="shared" si="49"/>
        <v>-0.37136079999999794</v>
      </c>
      <c r="E242" s="6">
        <f t="shared" si="50"/>
        <v>-0.23052019000000001</v>
      </c>
    </row>
    <row r="243" spans="1:38" x14ac:dyDescent="0.3">
      <c r="B243" t="s">
        <v>10</v>
      </c>
      <c r="C243" s="6">
        <f t="shared" si="48"/>
        <v>-221.61235999999917</v>
      </c>
      <c r="D243" s="6">
        <f t="shared" si="49"/>
        <v>-254.47238000000289</v>
      </c>
      <c r="E243" s="6">
        <f t="shared" si="50"/>
        <v>-217.38595999999961</v>
      </c>
    </row>
    <row r="244" spans="1:38" x14ac:dyDescent="0.3">
      <c r="B244" t="s">
        <v>23</v>
      </c>
      <c r="C244" s="6">
        <f t="shared" si="48"/>
        <v>-14.387757899999997</v>
      </c>
      <c r="D244" s="6">
        <f t="shared" si="49"/>
        <v>-13.267129599999976</v>
      </c>
      <c r="E244" s="6">
        <f t="shared" si="50"/>
        <v>-11.536836600000015</v>
      </c>
    </row>
    <row r="246" spans="1:38" x14ac:dyDescent="0.3">
      <c r="A246" s="12" t="s">
        <v>31</v>
      </c>
      <c r="B246" t="s">
        <v>21</v>
      </c>
      <c r="C246" s="6">
        <f t="shared" ref="C246:AL246" si="51">C247+C248+C250+C249</f>
        <v>76.807751676999999</v>
      </c>
      <c r="D246" s="6">
        <f t="shared" si="51"/>
        <v>77.402217824999994</v>
      </c>
      <c r="E246" s="6">
        <f t="shared" si="51"/>
        <v>78.060789394000011</v>
      </c>
      <c r="F246" s="6">
        <f t="shared" si="51"/>
        <v>78.884981480999997</v>
      </c>
      <c r="G246" s="6">
        <f t="shared" si="51"/>
        <v>79.965769373000001</v>
      </c>
      <c r="H246" s="6">
        <f t="shared" si="51"/>
        <v>81.379786933999995</v>
      </c>
      <c r="I246" s="6">
        <f t="shared" si="51"/>
        <v>83.368384687000002</v>
      </c>
      <c r="J246" s="6">
        <f t="shared" si="51"/>
        <v>85.906000352999996</v>
      </c>
      <c r="K246" s="6">
        <f t="shared" si="51"/>
        <v>88.805816598000007</v>
      </c>
      <c r="L246" s="6">
        <f t="shared" si="51"/>
        <v>91.561736325999988</v>
      </c>
      <c r="M246" s="6">
        <f t="shared" si="51"/>
        <v>93.913777443000001</v>
      </c>
      <c r="N246" s="6">
        <f t="shared" si="51"/>
        <v>95.593776867000003</v>
      </c>
      <c r="O246" s="6">
        <f t="shared" si="51"/>
        <v>96.861760576999998</v>
      </c>
      <c r="P246" s="6">
        <f t="shared" si="51"/>
        <v>97.972456717999989</v>
      </c>
      <c r="Q246" s="6">
        <f t="shared" si="51"/>
        <v>99.116216062999996</v>
      </c>
      <c r="R246" s="6">
        <f t="shared" si="51"/>
        <v>100.385884108</v>
      </c>
      <c r="S246" s="6">
        <f t="shared" si="51"/>
        <v>101.785799274</v>
      </c>
      <c r="T246" s="6">
        <f t="shared" si="51"/>
        <v>103.26971319</v>
      </c>
      <c r="U246" s="6">
        <f t="shared" si="51"/>
        <v>104.783734204</v>
      </c>
      <c r="V246" s="6">
        <f t="shared" si="51"/>
        <v>106.296812489</v>
      </c>
      <c r="W246" s="6">
        <f t="shared" si="51"/>
        <v>107.71570860200001</v>
      </c>
      <c r="X246" s="6">
        <f t="shared" si="51"/>
        <v>109.24199285200001</v>
      </c>
      <c r="Y246" s="6">
        <f t="shared" si="51"/>
        <v>110.84016943500001</v>
      </c>
      <c r="Z246" s="6">
        <f t="shared" si="51"/>
        <v>112.52368349699999</v>
      </c>
      <c r="AA246" s="6">
        <f t="shared" si="51"/>
        <v>114.31202100199999</v>
      </c>
      <c r="AB246" s="6">
        <f t="shared" si="51"/>
        <v>115.89979424399999</v>
      </c>
      <c r="AC246" s="6">
        <f t="shared" si="51"/>
        <v>117.71854568800001</v>
      </c>
      <c r="AD246" s="6">
        <f t="shared" si="51"/>
        <v>119.57823095099999</v>
      </c>
      <c r="AE246" s="6">
        <f t="shared" si="51"/>
        <v>121.40564935500001</v>
      </c>
      <c r="AF246" s="6">
        <f t="shared" si="51"/>
        <v>123.190537312</v>
      </c>
      <c r="AG246" s="6">
        <f t="shared" si="51"/>
        <v>124.947996178</v>
      </c>
      <c r="AH246" s="6">
        <f t="shared" si="51"/>
        <v>126.699631575</v>
      </c>
      <c r="AI246" s="6">
        <f t="shared" si="51"/>
        <v>128.462116348</v>
      </c>
      <c r="AJ246" s="6">
        <f t="shared" si="51"/>
        <v>130.242110989</v>
      </c>
      <c r="AK246" s="6">
        <f t="shared" si="51"/>
        <v>132.03714418300001</v>
      </c>
      <c r="AL246" s="6">
        <f t="shared" si="51"/>
        <v>133.840303562</v>
      </c>
    </row>
    <row r="247" spans="1:38" x14ac:dyDescent="0.3">
      <c r="A247" t="s">
        <v>27</v>
      </c>
      <c r="B247" t="s">
        <v>7</v>
      </c>
      <c r="C247" s="6">
        <f>[1]Results!F378</f>
        <v>4.9189742580000004</v>
      </c>
      <c r="D247" s="6">
        <f>[1]Results!G378</f>
        <v>4.8589847209999997</v>
      </c>
      <c r="E247" s="6">
        <f>[1]Results!H378</f>
        <v>4.7850852169999998</v>
      </c>
      <c r="F247" s="6">
        <f>[1]Results!I378</f>
        <v>4.7307539009999999</v>
      </c>
      <c r="G247" s="6">
        <f>[1]Results!J378</f>
        <v>4.7108863840000001</v>
      </c>
      <c r="H247" s="6">
        <f>[1]Results!K378</f>
        <v>4.7296013859999997</v>
      </c>
      <c r="I247" s="6">
        <f>[1]Results!L378</f>
        <v>5.0356968870000003</v>
      </c>
      <c r="J247" s="6">
        <f>[1]Results!M378</f>
        <v>5.181714511</v>
      </c>
      <c r="K247" s="6">
        <f>[1]Results!N378</f>
        <v>5.3194274970000004</v>
      </c>
      <c r="L247" s="6">
        <f>[1]Results!O378</f>
        <v>5.4286625690000001</v>
      </c>
      <c r="M247" s="6">
        <f>[1]Results!P378</f>
        <v>5.4892072750000001</v>
      </c>
      <c r="N247" s="6">
        <f>[1]Results!Q378</f>
        <v>5.4982058550000001</v>
      </c>
      <c r="O247" s="6">
        <f>[1]Results!R378</f>
        <v>5.4742462229999997</v>
      </c>
      <c r="P247" s="6">
        <f>[1]Results!S378</f>
        <v>5.4393964989999999</v>
      </c>
      <c r="Q247" s="6">
        <f>[1]Results!T378</f>
        <v>5.410532817</v>
      </c>
      <c r="R247" s="6">
        <f>[1]Results!U378</f>
        <v>5.3957863179999999</v>
      </c>
      <c r="S247" s="6">
        <f>[1]Results!V378</f>
        <v>5.3954978039999997</v>
      </c>
      <c r="T247" s="6">
        <f>[1]Results!W378</f>
        <v>5.4054629299999997</v>
      </c>
      <c r="U247" s="6">
        <f>[1]Results!X378</f>
        <v>5.4204635139999997</v>
      </c>
      <c r="V247" s="6">
        <f>[1]Results!Y378</f>
        <v>5.4367547590000003</v>
      </c>
      <c r="W247" s="6">
        <f>[1]Results!Z378</f>
        <v>5.4502169719999998</v>
      </c>
      <c r="X247" s="6">
        <f>[1]Results!AA378</f>
        <v>5.465353532</v>
      </c>
      <c r="Y247" s="6">
        <f>[1]Results!AB378</f>
        <v>5.4824450349999996</v>
      </c>
      <c r="Z247" s="6">
        <f>[1]Results!AC378</f>
        <v>5.5028728669999998</v>
      </c>
      <c r="AA247" s="6">
        <f>[1]Results!AD378</f>
        <v>5.5274969619999998</v>
      </c>
      <c r="AB247" s="6">
        <f>[1]Results!AE378</f>
        <v>5.5477947240000001</v>
      </c>
      <c r="AC247" s="6">
        <f>[1]Results!AF378</f>
        <v>5.5703743880000003</v>
      </c>
      <c r="AD247" s="6">
        <f>[1]Results!AG378</f>
        <v>5.5911950209999999</v>
      </c>
      <c r="AE247" s="6">
        <f>[1]Results!AH378</f>
        <v>5.6084703549999997</v>
      </c>
      <c r="AF247" s="6">
        <f>[1]Results!AI378</f>
        <v>5.6222437320000003</v>
      </c>
      <c r="AG247" s="6">
        <f>[1]Results!AJ378</f>
        <v>5.6337276679999997</v>
      </c>
      <c r="AH247" s="6">
        <f>[1]Results!AK378</f>
        <v>5.6444561450000004</v>
      </c>
      <c r="AI247" s="6">
        <f>[1]Results!AL378</f>
        <v>5.6555922780000003</v>
      </c>
      <c r="AJ247" s="6">
        <f>[1]Results!AM378</f>
        <v>5.6676070090000001</v>
      </c>
      <c r="AK247" s="6">
        <f>[1]Results!AN378</f>
        <v>5.6803385229999996</v>
      </c>
      <c r="AL247" s="6">
        <f>[1]Results!AO378</f>
        <v>5.6932891720000001</v>
      </c>
    </row>
    <row r="248" spans="1:38" x14ac:dyDescent="0.3">
      <c r="B248" t="s">
        <v>8</v>
      </c>
      <c r="C248" s="6">
        <f>[1]Results!F390</f>
        <v>33.6739113</v>
      </c>
      <c r="D248" s="6">
        <f>[1]Results!G390</f>
        <v>34.39201611</v>
      </c>
      <c r="E248" s="6">
        <f>[1]Results!H390</f>
        <v>35.197246300000003</v>
      </c>
      <c r="F248" s="6">
        <f>[1]Results!I390</f>
        <v>35.952677649999998</v>
      </c>
      <c r="G248" s="6">
        <f>[1]Results!J390</f>
        <v>36.674745100000003</v>
      </c>
      <c r="H248" s="6">
        <f>[1]Results!K390</f>
        <v>37.40857424</v>
      </c>
      <c r="I248" s="6">
        <f>[1]Results!L390</f>
        <v>38.098660819999999</v>
      </c>
      <c r="J248" s="6">
        <f>[1]Results!M390</f>
        <v>38.837418839999998</v>
      </c>
      <c r="K248" s="6">
        <f>[1]Results!N390</f>
        <v>39.576512630000003</v>
      </c>
      <c r="L248" s="6">
        <f>[1]Results!O390</f>
        <v>40.260018549999998</v>
      </c>
      <c r="M248" s="6">
        <f>[1]Results!P390</f>
        <v>41.035677589999999</v>
      </c>
      <c r="N248" s="6">
        <f>[1]Results!Q390</f>
        <v>41.547055659999998</v>
      </c>
      <c r="O248" s="6">
        <f>[1]Results!R390</f>
        <v>42.03807011</v>
      </c>
      <c r="P248" s="6">
        <f>[1]Results!S390</f>
        <v>42.553583789999998</v>
      </c>
      <c r="Q248" s="6">
        <f>[1]Results!T390</f>
        <v>43.098253440000001</v>
      </c>
      <c r="R248" s="6">
        <f>[1]Results!U390</f>
        <v>43.667327389999997</v>
      </c>
      <c r="S248" s="6">
        <f>[1]Results!V390</f>
        <v>44.253474859999997</v>
      </c>
      <c r="T248" s="6">
        <f>[1]Results!W390</f>
        <v>44.85122312</v>
      </c>
      <c r="U248" s="6">
        <f>[1]Results!X390</f>
        <v>45.459525419999999</v>
      </c>
      <c r="V248" s="6">
        <f>[1]Results!Y390</f>
        <v>46.081789540000003</v>
      </c>
      <c r="W248" s="6">
        <f>[1]Results!Z390</f>
        <v>46.601617070000003</v>
      </c>
      <c r="X248" s="6">
        <f>[1]Results!AA390</f>
        <v>47.292776770000003</v>
      </c>
      <c r="Y248" s="6">
        <f>[1]Results!AB390</f>
        <v>48.015302910000003</v>
      </c>
      <c r="Z248" s="6">
        <f>[1]Results!AC390</f>
        <v>48.751939659999998</v>
      </c>
      <c r="AA248" s="6">
        <f>[1]Results!AD390</f>
        <v>49.505484099999997</v>
      </c>
      <c r="AB248" s="6">
        <f>[1]Results!AE390</f>
        <v>49.912779649999997</v>
      </c>
      <c r="AC248" s="6">
        <f>[1]Results!AF390</f>
        <v>50.618067189999998</v>
      </c>
      <c r="AD248" s="6">
        <f>[1]Results!AG390</f>
        <v>51.363415869999997</v>
      </c>
      <c r="AE248" s="6">
        <f>[1]Results!AH390</f>
        <v>52.098793569999998</v>
      </c>
      <c r="AF248" s="6">
        <f>[1]Results!AI390</f>
        <v>52.823281969999996</v>
      </c>
      <c r="AG248" s="6">
        <f>[1]Results!AJ390</f>
        <v>53.542903619999997</v>
      </c>
      <c r="AH248" s="6">
        <f>[1]Results!AK390</f>
        <v>54.262287540000003</v>
      </c>
      <c r="AI248" s="6">
        <f>[1]Results!AL390</f>
        <v>54.983747700000002</v>
      </c>
      <c r="AJ248" s="6">
        <f>[1]Results!AM390</f>
        <v>55.707952900000002</v>
      </c>
      <c r="AK248" s="6">
        <f>[1]Results!AN390</f>
        <v>56.434908640000003</v>
      </c>
      <c r="AL248" s="6">
        <f>[1]Results!AO390</f>
        <v>57.16479468</v>
      </c>
    </row>
    <row r="249" spans="1:38" x14ac:dyDescent="0.3">
      <c r="B249" t="s">
        <v>10</v>
      </c>
      <c r="C249" s="6">
        <f>[1]Results!F402</f>
        <v>29.659150669999999</v>
      </c>
      <c r="D249" s="6">
        <f>[1]Results!G402</f>
        <v>29.581473389999999</v>
      </c>
      <c r="E249" s="6">
        <f>[1]Results!H402</f>
        <v>29.474894160000002</v>
      </c>
      <c r="F249" s="6">
        <f>[1]Results!I402</f>
        <v>29.532746490000001</v>
      </c>
      <c r="G249" s="6">
        <f>[1]Results!J402</f>
        <v>29.821714459999999</v>
      </c>
      <c r="H249" s="6">
        <f>[1]Results!K402</f>
        <v>30.375974249999999</v>
      </c>
      <c r="I249" s="6">
        <f>[1]Results!L402</f>
        <v>31.246611430000002</v>
      </c>
      <c r="J249" s="6">
        <f>[1]Results!M402</f>
        <v>32.781663469999998</v>
      </c>
      <c r="K249" s="6">
        <f>[1]Results!N402</f>
        <v>34.694627130000001</v>
      </c>
      <c r="L249" s="6">
        <f>[1]Results!O402</f>
        <v>36.551923549999998</v>
      </c>
      <c r="M249" s="6">
        <f>[1]Results!P402</f>
        <v>37.956323900000001</v>
      </c>
      <c r="N249" s="6">
        <f>[1]Results!Q402</f>
        <v>38.995932930000002</v>
      </c>
      <c r="O249" s="6">
        <f>[1]Results!R402</f>
        <v>39.669977629999998</v>
      </c>
      <c r="P249" s="6">
        <f>[1]Results!S402</f>
        <v>40.16746174</v>
      </c>
      <c r="Q249" s="6">
        <f>[1]Results!T402</f>
        <v>40.659323790000002</v>
      </c>
      <c r="R249" s="6">
        <f>[1]Results!U402</f>
        <v>41.237136149999998</v>
      </c>
      <c r="S249" s="6">
        <f>[1]Results!V402</f>
        <v>41.913356589999999</v>
      </c>
      <c r="T249" s="6">
        <f>[1]Results!W402</f>
        <v>42.651257909999998</v>
      </c>
      <c r="U249" s="6">
        <f>[1]Results!X402</f>
        <v>43.402093870000002</v>
      </c>
      <c r="V249" s="6">
        <f>[1]Results!Y402</f>
        <v>44.133699280000002</v>
      </c>
      <c r="W249" s="6">
        <f>[1]Results!Z402</f>
        <v>44.875582770000001</v>
      </c>
      <c r="X249" s="6">
        <f>[1]Results!AA402</f>
        <v>45.547713590000001</v>
      </c>
      <c r="Y249" s="6">
        <f>[1]Results!AB402</f>
        <v>46.252109449999999</v>
      </c>
      <c r="Z249" s="6">
        <f>[1]Results!AC402</f>
        <v>47.018752919999997</v>
      </c>
      <c r="AA249" s="6">
        <f>[1]Results!AD402</f>
        <v>47.864610399999997</v>
      </c>
      <c r="AB249" s="6">
        <f>[1]Results!AE402</f>
        <v>48.868640030000002</v>
      </c>
      <c r="AC249" s="6">
        <f>[1]Results!AF402</f>
        <v>49.805094619999998</v>
      </c>
      <c r="AD249" s="6">
        <f>[1]Results!AG402</f>
        <v>50.742789870000003</v>
      </c>
      <c r="AE249" s="6">
        <f>[1]Results!AH402</f>
        <v>51.659515370000001</v>
      </c>
      <c r="AF249" s="6">
        <f>[1]Results!AI402</f>
        <v>52.545520670000002</v>
      </c>
      <c r="AG249" s="6">
        <f>[1]Results!AJ402</f>
        <v>53.408598929999997</v>
      </c>
      <c r="AH249" s="6">
        <f>[1]Results!AK402</f>
        <v>54.264369000000002</v>
      </c>
      <c r="AI249" s="6">
        <f>[1]Results!AL402</f>
        <v>55.126314819999997</v>
      </c>
      <c r="AJ249" s="6">
        <f>[1]Results!AM402</f>
        <v>56.000197919999998</v>
      </c>
      <c r="AK249" s="6">
        <f>[1]Results!AN402</f>
        <v>56.883792470000003</v>
      </c>
      <c r="AL249" s="6">
        <f>[1]Results!AO402</f>
        <v>57.770423229999999</v>
      </c>
    </row>
    <row r="250" spans="1:38" x14ac:dyDescent="0.3">
      <c r="B250" t="s">
        <v>23</v>
      </c>
      <c r="C250" s="6">
        <f>[1]Results!F366</f>
        <v>8.5557154489999991</v>
      </c>
      <c r="D250" s="6">
        <f>[1]Results!G366</f>
        <v>8.5697436039999992</v>
      </c>
      <c r="E250" s="6">
        <f>[1]Results!H366</f>
        <v>8.6035637170000001</v>
      </c>
      <c r="F250" s="6">
        <f>[1]Results!I366</f>
        <v>8.6688034399999996</v>
      </c>
      <c r="G250" s="6">
        <f>[1]Results!J366</f>
        <v>8.7584234290000005</v>
      </c>
      <c r="H250" s="6">
        <f>[1]Results!K366</f>
        <v>8.8656370580000008</v>
      </c>
      <c r="I250" s="6">
        <f>[1]Results!L366</f>
        <v>8.9874155499999997</v>
      </c>
      <c r="J250" s="6">
        <f>[1]Results!M366</f>
        <v>9.1052035320000009</v>
      </c>
      <c r="K250" s="6">
        <f>[1]Results!N366</f>
        <v>9.2152493409999998</v>
      </c>
      <c r="L250" s="6">
        <f>[1]Results!O366</f>
        <v>9.3211316570000005</v>
      </c>
      <c r="M250" s="6">
        <f>[1]Results!P366</f>
        <v>9.4325686780000009</v>
      </c>
      <c r="N250" s="6">
        <f>[1]Results!Q366</f>
        <v>9.5525824220000004</v>
      </c>
      <c r="O250" s="6">
        <f>[1]Results!R366</f>
        <v>9.6794666140000007</v>
      </c>
      <c r="P250" s="6">
        <f>[1]Results!S366</f>
        <v>9.8120146889999997</v>
      </c>
      <c r="Q250" s="6">
        <f>[1]Results!T366</f>
        <v>9.9481060160000006</v>
      </c>
      <c r="R250" s="6">
        <f>[1]Results!U366</f>
        <v>10.08563425</v>
      </c>
      <c r="S250" s="6">
        <f>[1]Results!V366</f>
        <v>10.223470020000001</v>
      </c>
      <c r="T250" s="6">
        <f>[1]Results!W366</f>
        <v>10.36176923</v>
      </c>
      <c r="U250" s="6">
        <f>[1]Results!X366</f>
        <v>10.5016514</v>
      </c>
      <c r="V250" s="6">
        <f>[1]Results!Y366</f>
        <v>10.64456891</v>
      </c>
      <c r="W250" s="6">
        <f>[1]Results!Z366</f>
        <v>10.788291790000001</v>
      </c>
      <c r="X250" s="6">
        <f>[1]Results!AA366</f>
        <v>10.936148960000001</v>
      </c>
      <c r="Y250" s="6">
        <f>[1]Results!AB366</f>
        <v>11.090312040000001</v>
      </c>
      <c r="Z250" s="6">
        <f>[1]Results!AC366</f>
        <v>11.250118049999999</v>
      </c>
      <c r="AA250" s="6">
        <f>[1]Results!AD366</f>
        <v>11.41442954</v>
      </c>
      <c r="AB250" s="6">
        <f>[1]Results!AE366</f>
        <v>11.570579840000001</v>
      </c>
      <c r="AC250" s="6">
        <f>[1]Results!AF366</f>
        <v>11.72500949</v>
      </c>
      <c r="AD250" s="6">
        <f>[1]Results!AG366</f>
        <v>11.880830189999999</v>
      </c>
      <c r="AE250" s="6">
        <f>[1]Results!AH366</f>
        <v>12.038870060000001</v>
      </c>
      <c r="AF250" s="6">
        <f>[1]Results!AI366</f>
        <v>12.19949094</v>
      </c>
      <c r="AG250" s="6">
        <f>[1]Results!AJ366</f>
        <v>12.362765960000001</v>
      </c>
      <c r="AH250" s="6">
        <f>[1]Results!AK366</f>
        <v>12.528518890000001</v>
      </c>
      <c r="AI250" s="6">
        <f>[1]Results!AL366</f>
        <v>12.69646155</v>
      </c>
      <c r="AJ250" s="6">
        <f>[1]Results!AM366</f>
        <v>12.866353159999999</v>
      </c>
      <c r="AK250" s="6">
        <f>[1]Results!AN366</f>
        <v>13.03810455</v>
      </c>
      <c r="AL250" s="6">
        <f>[1]Results!AO366</f>
        <v>13.21179648</v>
      </c>
    </row>
    <row r="251" spans="1:38" x14ac:dyDescent="0.3">
      <c r="B251" t="s">
        <v>32</v>
      </c>
      <c r="C251" s="6">
        <f>[1]Results!F353</f>
        <v>73.965462770000002</v>
      </c>
      <c r="D251" s="6">
        <f>[1]Results!G353</f>
        <v>73.83138649</v>
      </c>
      <c r="E251" s="6">
        <f>[1]Results!H353</f>
        <v>73.464010979999998</v>
      </c>
      <c r="F251" s="6">
        <f>[1]Results!I353</f>
        <v>73.117083109999996</v>
      </c>
      <c r="G251" s="6">
        <f>[1]Results!J353</f>
        <v>72.862901769999993</v>
      </c>
      <c r="H251" s="6">
        <f>[1]Results!K353</f>
        <v>72.707891239999995</v>
      </c>
      <c r="I251" s="6">
        <f>[1]Results!L353</f>
        <v>72.637621679999995</v>
      </c>
      <c r="J251" s="6">
        <f>[1]Results!M353</f>
        <v>72.637403829999997</v>
      </c>
      <c r="K251" s="6">
        <f>[1]Results!N353</f>
        <v>72.681655840000005</v>
      </c>
      <c r="L251" s="6">
        <f>[1]Results!O353</f>
        <v>72.761830470000007</v>
      </c>
      <c r="M251" s="6">
        <f>[1]Results!P353</f>
        <v>72.900599810000003</v>
      </c>
      <c r="N251" s="6">
        <f>[1]Results!Q353</f>
        <v>73.050039389999995</v>
      </c>
      <c r="O251" s="6">
        <f>[1]Results!R353</f>
        <v>73.201146539999996</v>
      </c>
      <c r="P251" s="6">
        <f>[1]Results!S353</f>
        <v>73.342418629999997</v>
      </c>
      <c r="Q251" s="6">
        <f>[1]Results!T353</f>
        <v>73.472117490000002</v>
      </c>
      <c r="R251" s="6">
        <f>[1]Results!U353</f>
        <v>73.591194259999995</v>
      </c>
      <c r="S251" s="6">
        <f>[1]Results!V353</f>
        <v>73.697406650000005</v>
      </c>
      <c r="T251" s="6">
        <f>[1]Results!W353</f>
        <v>73.791950639999996</v>
      </c>
      <c r="U251" s="6">
        <f>[1]Results!X353</f>
        <v>73.876816390000002</v>
      </c>
      <c r="V251" s="6">
        <f>[1]Results!Y353</f>
        <v>73.953581220000004</v>
      </c>
      <c r="W251" s="6">
        <f>[1]Results!Z353</f>
        <v>74.00470061</v>
      </c>
      <c r="X251" s="6">
        <f>[1]Results!AA353</f>
        <v>74.055161870000006</v>
      </c>
      <c r="Y251" s="6">
        <f>[1]Results!AB353</f>
        <v>74.100124579999999</v>
      </c>
      <c r="Z251" s="6">
        <f>[1]Results!AC353</f>
        <v>74.136556889999994</v>
      </c>
      <c r="AA251" s="6">
        <f>[1]Results!AD353</f>
        <v>74.16232617</v>
      </c>
      <c r="AB251" s="6">
        <f>[1]Results!AE353</f>
        <v>74.12605112</v>
      </c>
      <c r="AC251" s="6">
        <f>[1]Results!AF353</f>
        <v>74.074696680000002</v>
      </c>
      <c r="AD251" s="6">
        <f>[1]Results!AG353</f>
        <v>74.008264560000001</v>
      </c>
      <c r="AE251" s="6">
        <f>[1]Results!AH353</f>
        <v>73.926703070000002</v>
      </c>
      <c r="AF251" s="6">
        <f>[1]Results!AI353</f>
        <v>73.829556760000003</v>
      </c>
      <c r="AG251" s="6">
        <f>[1]Results!AJ353</f>
        <v>73.716118059999999</v>
      </c>
      <c r="AH251" s="6">
        <f>[1]Results!AK353</f>
        <v>73.584501000000003</v>
      </c>
      <c r="AI251" s="6">
        <f>[1]Results!AL353</f>
        <v>73.433862590000004</v>
      </c>
      <c r="AJ251" s="6">
        <f>[1]Results!AM353</f>
        <v>73.26459045</v>
      </c>
      <c r="AK251" s="6">
        <f>[1]Results!AN353</f>
        <v>73.077547899999999</v>
      </c>
      <c r="AL251" s="6">
        <f>[1]Results!AO353</f>
        <v>72.873726009999999</v>
      </c>
    </row>
    <row r="252" spans="1:38" x14ac:dyDescent="0.3">
      <c r="B252" t="s">
        <v>33</v>
      </c>
      <c r="C252" s="6">
        <f>[1]Results!F354</f>
        <v>39.923462319999999</v>
      </c>
      <c r="D252" s="6">
        <f>[1]Results!G354</f>
        <v>40.19817115</v>
      </c>
      <c r="E252" s="6">
        <f>[1]Results!H354</f>
        <v>40.024225890000004</v>
      </c>
      <c r="F252" s="6">
        <f>[1]Results!I354</f>
        <v>39.742481340000005</v>
      </c>
      <c r="G252" s="6">
        <f>[1]Results!J354</f>
        <v>39.47893766</v>
      </c>
      <c r="H252" s="6">
        <f>[1]Results!K354</f>
        <v>39.270503850000004</v>
      </c>
      <c r="I252" s="6">
        <f>[1]Results!L354</f>
        <v>39.122016969999997</v>
      </c>
      <c r="J252" s="6">
        <f>[1]Results!M354</f>
        <v>39.029163450000006</v>
      </c>
      <c r="K252" s="6">
        <f>[1]Results!N354</f>
        <v>38.965788520000004</v>
      </c>
      <c r="L252" s="6">
        <f>[1]Results!O354</f>
        <v>38.904901180000003</v>
      </c>
      <c r="M252" s="6">
        <f>[1]Results!P354</f>
        <v>38.855881179999997</v>
      </c>
      <c r="N252" s="6">
        <f>[1]Results!Q354</f>
        <v>38.785984939999999</v>
      </c>
      <c r="O252" s="6">
        <f>[1]Results!R354</f>
        <v>38.701869430000002</v>
      </c>
      <c r="P252" s="6">
        <f>[1]Results!S354</f>
        <v>38.607476939999998</v>
      </c>
      <c r="Q252" s="6">
        <f>[1]Results!T354</f>
        <v>38.511910950000001</v>
      </c>
      <c r="R252" s="6">
        <f>[1]Results!U354</f>
        <v>38.420913659999997</v>
      </c>
      <c r="S252" s="6">
        <f>[1]Results!V354</f>
        <v>38.332233989999999</v>
      </c>
      <c r="T252" s="6">
        <f>[1]Results!W354</f>
        <v>38.244678710000002</v>
      </c>
      <c r="U252" s="6">
        <f>[1]Results!X354</f>
        <v>38.157805100000004</v>
      </c>
      <c r="V252" s="6">
        <f>[1]Results!Y354</f>
        <v>38.072158359999996</v>
      </c>
      <c r="W252" s="6">
        <f>[1]Results!Z354</f>
        <v>37.975599600000002</v>
      </c>
      <c r="X252" s="6">
        <f>[1]Results!AA354</f>
        <v>37.889416229999995</v>
      </c>
      <c r="Y252" s="6">
        <f>[1]Results!AB354</f>
        <v>37.810597799999996</v>
      </c>
      <c r="Z252" s="6">
        <f>[1]Results!AC354</f>
        <v>37.737825819999998</v>
      </c>
      <c r="AA252" s="6">
        <f>[1]Results!AD354</f>
        <v>37.670137099999998</v>
      </c>
      <c r="AB252" s="6">
        <f>[1]Results!AE354</f>
        <v>37.570162479999993</v>
      </c>
      <c r="AC252" s="6">
        <f>[1]Results!AF354</f>
        <v>37.473823439999997</v>
      </c>
      <c r="AD252" s="6">
        <f>[1]Results!AG354</f>
        <v>37.378865900000001</v>
      </c>
      <c r="AE252" s="6">
        <f>[1]Results!AH354</f>
        <v>37.284047489999999</v>
      </c>
      <c r="AF252" s="6">
        <f>[1]Results!AI354</f>
        <v>37.188870130000005</v>
      </c>
      <c r="AG252" s="6">
        <f>[1]Results!AJ354</f>
        <v>37.093209109999997</v>
      </c>
      <c r="AH252" s="6">
        <f>[1]Results!AK354</f>
        <v>36.9958375</v>
      </c>
      <c r="AI252" s="6">
        <f>[1]Results!AL354</f>
        <v>36.896273289999996</v>
      </c>
      <c r="AJ252" s="6">
        <f>[1]Results!AM354</f>
        <v>36.794843630000003</v>
      </c>
      <c r="AK252" s="6">
        <f>[1]Results!AN354</f>
        <v>36.692018490000002</v>
      </c>
      <c r="AL252" s="6">
        <f>[1]Results!AO354</f>
        <v>36.588255060000002</v>
      </c>
    </row>
    <row r="253" spans="1:38" x14ac:dyDescent="0.3">
      <c r="B253" t="s">
        <v>34</v>
      </c>
      <c r="C253" s="6">
        <f>[1]Results!F362</f>
        <v>34.042000460000004</v>
      </c>
      <c r="D253" s="6">
        <f>[1]Results!G362</f>
        <v>33.633215340000007</v>
      </c>
      <c r="E253" s="6">
        <f>[1]Results!H362</f>
        <v>33.43978508</v>
      </c>
      <c r="F253" s="6">
        <f>[1]Results!I362</f>
        <v>33.374601760000004</v>
      </c>
      <c r="G253" s="6">
        <f>[1]Results!J362</f>
        <v>33.383964120000002</v>
      </c>
      <c r="H253" s="6">
        <f>[1]Results!K362</f>
        <v>33.437387379999997</v>
      </c>
      <c r="I253" s="6">
        <f>[1]Results!L362</f>
        <v>33.515604709999998</v>
      </c>
      <c r="J253" s="6">
        <f>[1]Results!M362</f>
        <v>33.608240380000005</v>
      </c>
      <c r="K253" s="6">
        <f>[1]Results!N362</f>
        <v>33.71586731</v>
      </c>
      <c r="L253" s="6">
        <f>[1]Results!O362</f>
        <v>33.856929289999997</v>
      </c>
      <c r="M253" s="6">
        <f>[1]Results!P362</f>
        <v>34.044718639999999</v>
      </c>
      <c r="N253" s="6">
        <f>[1]Results!Q362</f>
        <v>34.264054450000003</v>
      </c>
      <c r="O253" s="6">
        <f>[1]Results!R362</f>
        <v>34.499277110000001</v>
      </c>
      <c r="P253" s="6">
        <f>[1]Results!S362</f>
        <v>34.734941689999999</v>
      </c>
      <c r="Q253" s="6">
        <f>[1]Results!T362</f>
        <v>34.960206540000001</v>
      </c>
      <c r="R253" s="6">
        <f>[1]Results!U362</f>
        <v>35.170280599999998</v>
      </c>
      <c r="S253" s="6">
        <f>[1]Results!V362</f>
        <v>35.365172649999998</v>
      </c>
      <c r="T253" s="6">
        <f>[1]Results!W362</f>
        <v>35.547271930000001</v>
      </c>
      <c r="U253" s="6">
        <f>[1]Results!X362</f>
        <v>35.719011289999997</v>
      </c>
      <c r="V253" s="6">
        <f>[1]Results!Y362</f>
        <v>35.881422860000001</v>
      </c>
      <c r="W253" s="6">
        <f>[1]Results!Z362</f>
        <v>36.029101009999998</v>
      </c>
      <c r="X253" s="6">
        <f>[1]Results!AA362</f>
        <v>36.165745630000004</v>
      </c>
      <c r="Y253" s="6">
        <f>[1]Results!AB362</f>
        <v>36.289526780000003</v>
      </c>
      <c r="Z253" s="6">
        <f>[1]Results!AC362</f>
        <v>36.398731070000004</v>
      </c>
      <c r="AA253" s="6">
        <f>[1]Results!AD362</f>
        <v>36.492189060000001</v>
      </c>
      <c r="AB253" s="6">
        <f>[1]Results!AE362</f>
        <v>36.555888639999999</v>
      </c>
      <c r="AC253" s="6">
        <f>[1]Results!AF362</f>
        <v>36.600873229999998</v>
      </c>
      <c r="AD253" s="6">
        <f>[1]Results!AG362</f>
        <v>36.62939866</v>
      </c>
      <c r="AE253" s="6">
        <f>[1]Results!AH362</f>
        <v>36.642655579999996</v>
      </c>
      <c r="AF253" s="6">
        <f>[1]Results!AI362</f>
        <v>36.640686639999998</v>
      </c>
      <c r="AG253" s="6">
        <f>[1]Results!AJ362</f>
        <v>36.622908950000003</v>
      </c>
      <c r="AH253" s="6">
        <f>[1]Results!AK362</f>
        <v>36.588663509999996</v>
      </c>
      <c r="AI253" s="6">
        <f>[1]Results!AL362</f>
        <v>36.5375893</v>
      </c>
      <c r="AJ253" s="6">
        <f>[1]Results!AM362</f>
        <v>36.469746819999997</v>
      </c>
      <c r="AK253" s="6">
        <f>[1]Results!AN362</f>
        <v>36.385529409999997</v>
      </c>
      <c r="AL253" s="6">
        <f>[1]Results!AO362</f>
        <v>36.285470950000004</v>
      </c>
    </row>
    <row r="255" spans="1:38" x14ac:dyDescent="0.3">
      <c r="A255" s="12" t="s">
        <v>31</v>
      </c>
      <c r="B255" t="s">
        <v>21</v>
      </c>
      <c r="C255" s="6">
        <f t="shared" ref="C255:AL255" si="52">C256+C257+C259+C258</f>
        <v>76.807751676999999</v>
      </c>
      <c r="D255" s="6">
        <f t="shared" si="52"/>
        <v>77.402217824999994</v>
      </c>
      <c r="E255" s="6">
        <f t="shared" si="52"/>
        <v>78.060789394000011</v>
      </c>
      <c r="F255" s="6">
        <f t="shared" si="52"/>
        <v>78.884981480999997</v>
      </c>
      <c r="G255" s="6">
        <f t="shared" si="52"/>
        <v>79.965769373000001</v>
      </c>
      <c r="H255" s="6">
        <f t="shared" si="52"/>
        <v>81.379786933999995</v>
      </c>
      <c r="I255" s="6">
        <f t="shared" si="52"/>
        <v>83.040051247000008</v>
      </c>
      <c r="J255" s="6">
        <f t="shared" si="52"/>
        <v>85.00326480199999</v>
      </c>
      <c r="K255" s="6">
        <f t="shared" si="52"/>
        <v>87.175079542999995</v>
      </c>
      <c r="L255" s="6">
        <f t="shared" si="52"/>
        <v>89.434948574999993</v>
      </c>
      <c r="M255" s="6">
        <f t="shared" si="52"/>
        <v>91.801211609000006</v>
      </c>
      <c r="N255" s="6">
        <f t="shared" si="52"/>
        <v>93.994262676999995</v>
      </c>
      <c r="O255" s="6">
        <f t="shared" si="52"/>
        <v>96.109034272000002</v>
      </c>
      <c r="P255" s="6">
        <f t="shared" si="52"/>
        <v>98.155340303000003</v>
      </c>
      <c r="Q255" s="6">
        <f t="shared" si="52"/>
        <v>100.11475378900001</v>
      </c>
      <c r="R255" s="6">
        <f t="shared" si="52"/>
        <v>101.96612705700001</v>
      </c>
      <c r="S255" s="6">
        <f t="shared" si="52"/>
        <v>103.697174793</v>
      </c>
      <c r="T255" s="6">
        <f t="shared" si="52"/>
        <v>105.31171498</v>
      </c>
      <c r="U255" s="6">
        <f t="shared" si="52"/>
        <v>106.831309609</v>
      </c>
      <c r="V255" s="6">
        <f t="shared" si="52"/>
        <v>108.29102201000001</v>
      </c>
      <c r="W255" s="6">
        <f t="shared" si="52"/>
        <v>109.63848835</v>
      </c>
      <c r="X255" s="6">
        <f t="shared" si="52"/>
        <v>111.08066865800001</v>
      </c>
      <c r="Y255" s="6">
        <f t="shared" si="52"/>
        <v>112.57676348199999</v>
      </c>
      <c r="Z255" s="6">
        <f t="shared" si="52"/>
        <v>114.133386148</v>
      </c>
      <c r="AA255" s="6">
        <f t="shared" si="52"/>
        <v>115.77078017699999</v>
      </c>
      <c r="AB255" s="6">
        <f t="shared" si="52"/>
        <v>117.197360444</v>
      </c>
      <c r="AC255" s="6">
        <f t="shared" si="52"/>
        <v>118.860881191</v>
      </c>
      <c r="AD255" s="6">
        <f t="shared" si="52"/>
        <v>120.591321072</v>
      </c>
      <c r="AE255" s="6">
        <f t="shared" si="52"/>
        <v>122.33265185900001</v>
      </c>
      <c r="AF255" s="6">
        <f t="shared" si="52"/>
        <v>124.08292136400001</v>
      </c>
      <c r="AG255" s="6">
        <f t="shared" si="52"/>
        <v>125.85506459599999</v>
      </c>
      <c r="AH255" s="6">
        <f t="shared" si="52"/>
        <v>127.660172554</v>
      </c>
      <c r="AI255" s="6">
        <f t="shared" si="52"/>
        <v>129.50013037000002</v>
      </c>
      <c r="AJ255" s="6">
        <f t="shared" si="52"/>
        <v>131.366680285</v>
      </c>
      <c r="AK255" s="6">
        <f t="shared" si="52"/>
        <v>133.24521755699999</v>
      </c>
      <c r="AL255" s="6">
        <f t="shared" si="52"/>
        <v>135.120790626</v>
      </c>
    </row>
    <row r="256" spans="1:38" x14ac:dyDescent="0.3">
      <c r="A256" t="s">
        <v>26</v>
      </c>
      <c r="B256" t="s">
        <v>7</v>
      </c>
      <c r="C256" s="6">
        <f>[1]Results!F439</f>
        <v>4.9189742580000004</v>
      </c>
      <c r="D256" s="6">
        <f>[1]Results!G439</f>
        <v>4.8589847209999997</v>
      </c>
      <c r="E256" s="6">
        <f>[1]Results!H439</f>
        <v>4.7850852169999998</v>
      </c>
      <c r="F256" s="6">
        <f>[1]Results!I439</f>
        <v>4.7307539009999999</v>
      </c>
      <c r="G256" s="6">
        <f>[1]Results!J439</f>
        <v>4.7108863840000001</v>
      </c>
      <c r="H256" s="6">
        <f>[1]Results!K439</f>
        <v>4.7296013859999997</v>
      </c>
      <c r="I256" s="6">
        <f>[1]Results!L439</f>
        <v>4.7803670929999997</v>
      </c>
      <c r="J256" s="6">
        <f>[1]Results!M439</f>
        <v>4.8564066610000003</v>
      </c>
      <c r="K256" s="6">
        <f>[1]Results!N439</f>
        <v>4.9466364460000003</v>
      </c>
      <c r="L256" s="6">
        <f>[1]Results!O439</f>
        <v>5.0398699020000004</v>
      </c>
      <c r="M256" s="6">
        <f>[1]Results!P439</f>
        <v>5.1309643060000001</v>
      </c>
      <c r="N256" s="6">
        <f>[1]Results!Q439</f>
        <v>5.2110911509999998</v>
      </c>
      <c r="O256" s="6">
        <f>[1]Results!R439</f>
        <v>5.281324218</v>
      </c>
      <c r="P256" s="6">
        <f>[1]Results!S439</f>
        <v>5.3422904789999999</v>
      </c>
      <c r="Q256" s="6">
        <f>[1]Results!T439</f>
        <v>5.3939201389999996</v>
      </c>
      <c r="R256" s="6">
        <f>[1]Results!U439</f>
        <v>5.4357488070000004</v>
      </c>
      <c r="S256" s="6">
        <f>[1]Results!V439</f>
        <v>5.467557813</v>
      </c>
      <c r="T256" s="6">
        <f>[1]Results!W439</f>
        <v>5.4899267299999996</v>
      </c>
      <c r="U256" s="6">
        <f>[1]Results!X439</f>
        <v>5.5044053890000004</v>
      </c>
      <c r="V256" s="6">
        <f>[1]Results!Y439</f>
        <v>5.5132795999999997</v>
      </c>
      <c r="W256" s="6">
        <f>[1]Results!Z439</f>
        <v>5.5165176599999999</v>
      </c>
      <c r="X256" s="6">
        <f>[1]Results!AA439</f>
        <v>5.5199524679999996</v>
      </c>
      <c r="Y256" s="6">
        <f>[1]Results!AB439</f>
        <v>5.5241444020000001</v>
      </c>
      <c r="Z256" s="6">
        <f>[1]Results!AC439</f>
        <v>5.5304211580000002</v>
      </c>
      <c r="AA256" s="6">
        <f>[1]Results!AD439</f>
        <v>5.5398863870000001</v>
      </c>
      <c r="AB256" s="6">
        <f>[1]Results!AE439</f>
        <v>5.5450879239999997</v>
      </c>
      <c r="AC256" s="6">
        <f>[1]Results!AF439</f>
        <v>5.5536025410000001</v>
      </c>
      <c r="AD256" s="6">
        <f>[1]Results!AG439</f>
        <v>5.5625284219999998</v>
      </c>
      <c r="AE256" s="6">
        <f>[1]Results!AH439</f>
        <v>5.5710223189999999</v>
      </c>
      <c r="AF256" s="6">
        <f>[1]Results!AI439</f>
        <v>5.5794995140000001</v>
      </c>
      <c r="AG256" s="6">
        <f>[1]Results!AJ439</f>
        <v>5.5889196060000002</v>
      </c>
      <c r="AH256" s="6">
        <f>[1]Results!AK439</f>
        <v>5.6001013740000003</v>
      </c>
      <c r="AI256" s="6">
        <f>[1]Results!AL439</f>
        <v>5.6132954399999999</v>
      </c>
      <c r="AJ256" s="6">
        <f>[1]Results!AM439</f>
        <v>5.628110715</v>
      </c>
      <c r="AK256" s="6">
        <f>[1]Results!AN439</f>
        <v>5.643729907</v>
      </c>
      <c r="AL256" s="6">
        <f>[1]Results!AO439</f>
        <v>5.6592581859999997</v>
      </c>
    </row>
    <row r="257" spans="1:38" x14ac:dyDescent="0.3">
      <c r="B257" t="s">
        <v>8</v>
      </c>
      <c r="C257" s="6">
        <f>[1]Results!F451</f>
        <v>33.6739113</v>
      </c>
      <c r="D257" s="6">
        <f>[1]Results!G451</f>
        <v>34.39201611</v>
      </c>
      <c r="E257" s="6">
        <f>[1]Results!H451</f>
        <v>35.197246300000003</v>
      </c>
      <c r="F257" s="6">
        <f>[1]Results!I451</f>
        <v>35.952677649999998</v>
      </c>
      <c r="G257" s="6">
        <f>[1]Results!J451</f>
        <v>36.674745100000003</v>
      </c>
      <c r="H257" s="6">
        <f>[1]Results!K451</f>
        <v>37.40857424</v>
      </c>
      <c r="I257" s="6">
        <f>[1]Results!L451</f>
        <v>38.064654300000001</v>
      </c>
      <c r="J257" s="6">
        <f>[1]Results!M451</f>
        <v>38.788967849999999</v>
      </c>
      <c r="K257" s="6">
        <f>[1]Results!N451</f>
        <v>39.563006819999998</v>
      </c>
      <c r="L257" s="6">
        <f>[1]Results!O451</f>
        <v>40.354335089999999</v>
      </c>
      <c r="M257" s="6">
        <f>[1]Results!P451</f>
        <v>41.306358209999999</v>
      </c>
      <c r="N257" s="6">
        <f>[1]Results!Q451</f>
        <v>42.033968770000001</v>
      </c>
      <c r="O257" s="6">
        <f>[1]Results!R451</f>
        <v>42.74091576</v>
      </c>
      <c r="P257" s="6">
        <f>[1]Results!S451</f>
        <v>43.43957434</v>
      </c>
      <c r="Q257" s="6">
        <f>[1]Results!T451</f>
        <v>44.11675709</v>
      </c>
      <c r="R257" s="6">
        <f>[1]Results!U451</f>
        <v>44.765179590000002</v>
      </c>
      <c r="S257" s="6">
        <f>[1]Results!V451</f>
        <v>45.385537769999999</v>
      </c>
      <c r="T257" s="6">
        <f>[1]Results!W451</f>
        <v>45.9844413</v>
      </c>
      <c r="U257" s="6">
        <f>[1]Results!X451</f>
        <v>46.571949349999997</v>
      </c>
      <c r="V257" s="6">
        <f>[1]Results!Y451</f>
        <v>47.159212240000002</v>
      </c>
      <c r="W257" s="6">
        <f>[1]Results!Z451</f>
        <v>47.633760840000001</v>
      </c>
      <c r="X257" s="6">
        <f>[1]Results!AA451</f>
        <v>48.272481999999997</v>
      </c>
      <c r="Y257" s="6">
        <f>[1]Results!AB451</f>
        <v>48.937761430000002</v>
      </c>
      <c r="Z257" s="6">
        <f>[1]Results!AC451</f>
        <v>49.615972399999997</v>
      </c>
      <c r="AA257" s="6">
        <f>[1]Results!AD451</f>
        <v>50.31462561</v>
      </c>
      <c r="AB257" s="6">
        <f>[1]Results!AE451</f>
        <v>50.674687749999997</v>
      </c>
      <c r="AC257" s="6">
        <f>[1]Results!AF451</f>
        <v>51.345491670000001</v>
      </c>
      <c r="AD257" s="6">
        <f>[1]Results!AG451</f>
        <v>52.071468670000002</v>
      </c>
      <c r="AE257" s="6">
        <f>[1]Results!AH451</f>
        <v>52.80323491</v>
      </c>
      <c r="AF257" s="6">
        <f>[1]Results!AI451</f>
        <v>53.538509140000002</v>
      </c>
      <c r="AG257" s="6">
        <f>[1]Results!AJ451</f>
        <v>54.280366129999997</v>
      </c>
      <c r="AH257" s="6">
        <f>[1]Results!AK451</f>
        <v>55.029671989999997</v>
      </c>
      <c r="AI257" s="6">
        <f>[1]Results!AL451</f>
        <v>55.784881550000001</v>
      </c>
      <c r="AJ257" s="6">
        <f>[1]Results!AM451</f>
        <v>56.543232539999998</v>
      </c>
      <c r="AK257" s="6">
        <f>[1]Results!AN451</f>
        <v>57.302012939999997</v>
      </c>
      <c r="AL257" s="6">
        <f>[1]Results!AO451</f>
        <v>58.059452370000002</v>
      </c>
    </row>
    <row r="258" spans="1:38" x14ac:dyDescent="0.3">
      <c r="B258" t="s">
        <v>10</v>
      </c>
      <c r="C258" s="6">
        <f>[1]Results!F463</f>
        <v>29.659150669999999</v>
      </c>
      <c r="D258" s="6">
        <f>[1]Results!G463</f>
        <v>29.581473389999999</v>
      </c>
      <c r="E258" s="6">
        <f>[1]Results!H463</f>
        <v>29.474894160000002</v>
      </c>
      <c r="F258" s="6">
        <f>[1]Results!I463</f>
        <v>29.532746490000001</v>
      </c>
      <c r="G258" s="6">
        <f>[1]Results!J463</f>
        <v>29.821714459999999</v>
      </c>
      <c r="H258" s="6">
        <f>[1]Results!K463</f>
        <v>30.375974249999999</v>
      </c>
      <c r="I258" s="6">
        <f>[1]Results!L463</f>
        <v>31.21191829</v>
      </c>
      <c r="J258" s="6">
        <f>[1]Results!M463</f>
        <v>32.250752630000001</v>
      </c>
      <c r="K258" s="6">
        <f>[1]Results!N463</f>
        <v>33.428987120000002</v>
      </c>
      <c r="L258" s="6">
        <f>[1]Results!O463</f>
        <v>34.670348420000003</v>
      </c>
      <c r="M258" s="6">
        <f>[1]Results!P463</f>
        <v>35.851958920000001</v>
      </c>
      <c r="N258" s="6">
        <f>[1]Results!Q463</f>
        <v>37.090603270000003</v>
      </c>
      <c r="O258" s="6">
        <f>[1]Results!R463</f>
        <v>38.280993469999999</v>
      </c>
      <c r="P258" s="6">
        <f>[1]Results!S463</f>
        <v>39.421341550000001</v>
      </c>
      <c r="Q258" s="6">
        <f>[1]Results!T463</f>
        <v>40.50701334</v>
      </c>
      <c r="R258" s="6">
        <f>[1]Results!U463</f>
        <v>41.524599780000003</v>
      </c>
      <c r="S258" s="6">
        <f>[1]Results!V463</f>
        <v>42.460836540000003</v>
      </c>
      <c r="T258" s="6">
        <f>[1]Results!W463</f>
        <v>43.311521290000002</v>
      </c>
      <c r="U258" s="6">
        <f>[1]Results!X463</f>
        <v>44.085668320000003</v>
      </c>
      <c r="V258" s="6">
        <f>[1]Results!Y463</f>
        <v>44.80404721</v>
      </c>
      <c r="W258" s="6">
        <f>[1]Results!Z463</f>
        <v>45.52968722</v>
      </c>
      <c r="X258" s="6">
        <f>[1]Results!AA463</f>
        <v>46.183418850000002</v>
      </c>
      <c r="Y258" s="6">
        <f>[1]Results!AB463</f>
        <v>46.859013879999999</v>
      </c>
      <c r="Z258" s="6">
        <f>[1]Results!AC463</f>
        <v>47.575363379999999</v>
      </c>
      <c r="AA258" s="6">
        <f>[1]Results!AD463</f>
        <v>48.344439629999997</v>
      </c>
      <c r="AB258" s="6">
        <f>[1]Results!AE463</f>
        <v>49.253454439999999</v>
      </c>
      <c r="AC258" s="6">
        <f>[1]Results!AF463</f>
        <v>50.08598284</v>
      </c>
      <c r="AD258" s="6">
        <f>[1]Results!AG463</f>
        <v>50.927251390000002</v>
      </c>
      <c r="AE258" s="6">
        <f>[1]Results!AH463</f>
        <v>51.770694470000002</v>
      </c>
      <c r="AF258" s="6">
        <f>[1]Results!AI463</f>
        <v>52.616066379999999</v>
      </c>
      <c r="AG258" s="6">
        <f>[1]Results!AJ463</f>
        <v>53.472445870000001</v>
      </c>
      <c r="AH258" s="6">
        <f>[1]Results!AK463</f>
        <v>54.349644499999997</v>
      </c>
      <c r="AI258" s="6">
        <f>[1]Results!AL463</f>
        <v>55.25130806</v>
      </c>
      <c r="AJ258" s="6">
        <f>[1]Results!AM463</f>
        <v>56.172704170000003</v>
      </c>
      <c r="AK258" s="6">
        <f>[1]Results!AN463</f>
        <v>57.102951400000002</v>
      </c>
      <c r="AL258" s="6">
        <f>[1]Results!AO463</f>
        <v>58.029780039999999</v>
      </c>
    </row>
    <row r="259" spans="1:38" x14ac:dyDescent="0.3">
      <c r="B259" t="s">
        <v>23</v>
      </c>
      <c r="C259" s="6">
        <f>[1]Results!F427</f>
        <v>8.5557154489999991</v>
      </c>
      <c r="D259" s="6">
        <f>[1]Results!G427</f>
        <v>8.5697436039999992</v>
      </c>
      <c r="E259" s="6">
        <f>[1]Results!H427</f>
        <v>8.6035637170000001</v>
      </c>
      <c r="F259" s="6">
        <f>[1]Results!I427</f>
        <v>8.6688034399999996</v>
      </c>
      <c r="G259" s="6">
        <f>[1]Results!J427</f>
        <v>8.7584234290000005</v>
      </c>
      <c r="H259" s="6">
        <f>[1]Results!K427</f>
        <v>8.8656370580000008</v>
      </c>
      <c r="I259" s="6">
        <f>[1]Results!L427</f>
        <v>8.9831115639999997</v>
      </c>
      <c r="J259" s="6">
        <f>[1]Results!M427</f>
        <v>9.1071376609999994</v>
      </c>
      <c r="K259" s="6">
        <f>[1]Results!N427</f>
        <v>9.2364491569999991</v>
      </c>
      <c r="L259" s="6">
        <f>[1]Results!O427</f>
        <v>9.3703951629999995</v>
      </c>
      <c r="M259" s="6">
        <f>[1]Results!P427</f>
        <v>9.5119301729999997</v>
      </c>
      <c r="N259" s="6">
        <f>[1]Results!Q427</f>
        <v>9.658599486</v>
      </c>
      <c r="O259" s="6">
        <f>[1]Results!R427</f>
        <v>9.8058008240000003</v>
      </c>
      <c r="P259" s="6">
        <f>[1]Results!S427</f>
        <v>9.9521339340000008</v>
      </c>
      <c r="Q259" s="6">
        <f>[1]Results!T427</f>
        <v>10.097063220000001</v>
      </c>
      <c r="R259" s="6">
        <f>[1]Results!U427</f>
        <v>10.24059888</v>
      </c>
      <c r="S259" s="6">
        <f>[1]Results!V427</f>
        <v>10.38324267</v>
      </c>
      <c r="T259" s="6">
        <f>[1]Results!W427</f>
        <v>10.525825660000001</v>
      </c>
      <c r="U259" s="6">
        <f>[1]Results!X427</f>
        <v>10.669286550000001</v>
      </c>
      <c r="V259" s="6">
        <f>[1]Results!Y427</f>
        <v>10.814482959999999</v>
      </c>
      <c r="W259" s="6">
        <f>[1]Results!Z427</f>
        <v>10.958522629999999</v>
      </c>
      <c r="X259" s="6">
        <f>[1]Results!AA427</f>
        <v>11.10481534</v>
      </c>
      <c r="Y259" s="6">
        <f>[1]Results!AB427</f>
        <v>11.25584377</v>
      </c>
      <c r="Z259" s="6">
        <f>[1]Results!AC427</f>
        <v>11.411629209999999</v>
      </c>
      <c r="AA259" s="6">
        <f>[1]Results!AD427</f>
        <v>11.571828549999999</v>
      </c>
      <c r="AB259" s="6">
        <f>[1]Results!AE427</f>
        <v>11.724130329999999</v>
      </c>
      <c r="AC259" s="6">
        <f>[1]Results!AF427</f>
        <v>11.87580414</v>
      </c>
      <c r="AD259" s="6">
        <f>[1]Results!AG427</f>
        <v>12.03007259</v>
      </c>
      <c r="AE259" s="6">
        <f>[1]Results!AH427</f>
        <v>12.18770016</v>
      </c>
      <c r="AF259" s="6">
        <f>[1]Results!AI427</f>
        <v>12.348846330000001</v>
      </c>
      <c r="AG259" s="6">
        <f>[1]Results!AJ427</f>
        <v>12.51333299</v>
      </c>
      <c r="AH259" s="6">
        <f>[1]Results!AK427</f>
        <v>12.680754690000001</v>
      </c>
      <c r="AI259" s="6">
        <f>[1]Results!AL427</f>
        <v>12.85064532</v>
      </c>
      <c r="AJ259" s="6">
        <f>[1]Results!AM427</f>
        <v>13.02263286</v>
      </c>
      <c r="AK259" s="6">
        <f>[1]Results!AN427</f>
        <v>13.19652331</v>
      </c>
      <c r="AL259" s="6">
        <f>[1]Results!AO427</f>
        <v>13.37230003</v>
      </c>
    </row>
    <row r="260" spans="1:38" x14ac:dyDescent="0.3">
      <c r="B260" t="s">
        <v>32</v>
      </c>
      <c r="C260" s="6">
        <f>[1]Results!F414</f>
        <v>73.965462770000002</v>
      </c>
      <c r="D260" s="6">
        <f>[1]Results!G414</f>
        <v>73.83138649</v>
      </c>
      <c r="E260" s="6">
        <f>[1]Results!H414</f>
        <v>73.464010979999998</v>
      </c>
      <c r="F260" s="6">
        <f>[1]Results!I414</f>
        <v>73.117083109999996</v>
      </c>
      <c r="G260" s="6">
        <f>[1]Results!J414</f>
        <v>72.862901769999993</v>
      </c>
      <c r="H260" s="6">
        <f>[1]Results!K414</f>
        <v>72.707891239999995</v>
      </c>
      <c r="I260" s="6">
        <f>[1]Results!L414</f>
        <v>72.621503250000004</v>
      </c>
      <c r="J260" s="6">
        <f>[1]Results!M414</f>
        <v>72.593277490000006</v>
      </c>
      <c r="K260" s="6">
        <f>[1]Results!N414</f>
        <v>72.610585279999995</v>
      </c>
      <c r="L260" s="6">
        <f>[1]Results!O414</f>
        <v>72.661975409999997</v>
      </c>
      <c r="M260" s="6">
        <f>[1]Results!P414</f>
        <v>72.763672729999996</v>
      </c>
      <c r="N260" s="6">
        <f>[1]Results!Q414</f>
        <v>72.869594410000005</v>
      </c>
      <c r="O260" s="6">
        <f>[1]Results!R414</f>
        <v>72.978184519999999</v>
      </c>
      <c r="P260" s="6">
        <f>[1]Results!S414</f>
        <v>73.086152870000006</v>
      </c>
      <c r="Q260" s="6">
        <f>[1]Results!T414</f>
        <v>73.187656309999994</v>
      </c>
      <c r="R260" s="6">
        <f>[1]Results!U414</f>
        <v>73.276476599999995</v>
      </c>
      <c r="S260" s="6">
        <f>[1]Results!V414</f>
        <v>73.352766630000005</v>
      </c>
      <c r="T260" s="6">
        <f>[1]Results!W414</f>
        <v>73.41949323</v>
      </c>
      <c r="U260" s="6">
        <f>[1]Results!X414</f>
        <v>73.480408890000007</v>
      </c>
      <c r="V260" s="6">
        <f>[1]Results!Y414</f>
        <v>73.538915610000004</v>
      </c>
      <c r="W260" s="6">
        <f>[1]Results!Z414</f>
        <v>73.579773939999995</v>
      </c>
      <c r="X260" s="6">
        <f>[1]Results!AA414</f>
        <v>73.624338620000003</v>
      </c>
      <c r="Y260" s="6">
        <f>[1]Results!AB414</f>
        <v>73.666999279999999</v>
      </c>
      <c r="Z260" s="6">
        <f>[1]Results!AC414</f>
        <v>73.704967659999994</v>
      </c>
      <c r="AA260" s="6">
        <f>[1]Results!AD414</f>
        <v>73.736449890000003</v>
      </c>
      <c r="AB260" s="6">
        <f>[1]Results!AE414</f>
        <v>73.710283779999997</v>
      </c>
      <c r="AC260" s="6">
        <f>[1]Results!AF414</f>
        <v>73.672804099999993</v>
      </c>
      <c r="AD260" s="6">
        <f>[1]Results!AG414</f>
        <v>73.623171279999994</v>
      </c>
      <c r="AE260" s="6">
        <f>[1]Results!AH414</f>
        <v>73.560238029999994</v>
      </c>
      <c r="AF260" s="6">
        <f>[1]Results!AI414</f>
        <v>73.482511669999994</v>
      </c>
      <c r="AG260" s="6">
        <f>[1]Results!AJ414</f>
        <v>73.388452169999994</v>
      </c>
      <c r="AH260" s="6">
        <f>[1]Results!AK414</f>
        <v>73.276817140000006</v>
      </c>
      <c r="AI260" s="6">
        <f>[1]Results!AL414</f>
        <v>73.146869530000004</v>
      </c>
      <c r="AJ260" s="6">
        <f>[1]Results!AM414</f>
        <v>72.998407549999996</v>
      </c>
      <c r="AK260" s="6">
        <f>[1]Results!AN414</f>
        <v>72.831660670000005</v>
      </c>
      <c r="AL260" s="6">
        <f>[1]Results!AO414</f>
        <v>72.644983389999993</v>
      </c>
    </row>
    <row r="261" spans="1:38" x14ac:dyDescent="0.3">
      <c r="B261" t="s">
        <v>33</v>
      </c>
      <c r="C261" s="6">
        <f>[1]Results!F415</f>
        <v>39.923462319999999</v>
      </c>
      <c r="D261" s="6">
        <f>[1]Results!G415</f>
        <v>40.19817115</v>
      </c>
      <c r="E261" s="6">
        <f>[1]Results!H415</f>
        <v>40.024225890000004</v>
      </c>
      <c r="F261" s="6">
        <f>[1]Results!I415</f>
        <v>39.742481340000005</v>
      </c>
      <c r="G261" s="6">
        <f>[1]Results!J415</f>
        <v>39.47893766</v>
      </c>
      <c r="H261" s="6">
        <f>[1]Results!K415</f>
        <v>39.270503850000004</v>
      </c>
      <c r="I261" s="6">
        <f>[1]Results!L415</f>
        <v>39.106337029999999</v>
      </c>
      <c r="J261" s="6">
        <f>[1]Results!M415</f>
        <v>38.981371600000003</v>
      </c>
      <c r="K261" s="6">
        <f>[1]Results!N415</f>
        <v>38.884485070000004</v>
      </c>
      <c r="L261" s="6">
        <f>[1]Results!O415</f>
        <v>38.804579429999997</v>
      </c>
      <c r="M261" s="6">
        <f>[1]Results!P415</f>
        <v>38.75289068</v>
      </c>
      <c r="N261" s="6">
        <f>[1]Results!Q415</f>
        <v>38.693638010000001</v>
      </c>
      <c r="O261" s="6">
        <f>[1]Results!R415</f>
        <v>38.628818719999998</v>
      </c>
      <c r="P261" s="6">
        <f>[1]Results!S415</f>
        <v>38.558485450000006</v>
      </c>
      <c r="Q261" s="6">
        <f>[1]Results!T415</f>
        <v>38.4790937</v>
      </c>
      <c r="R261" s="6">
        <f>[1]Results!U415</f>
        <v>38.385925810000003</v>
      </c>
      <c r="S261" s="6">
        <f>[1]Results!V415</f>
        <v>38.28039261</v>
      </c>
      <c r="T261" s="6">
        <f>[1]Results!W415</f>
        <v>38.166937240000003</v>
      </c>
      <c r="U261" s="6">
        <f>[1]Results!X415</f>
        <v>38.051196359999999</v>
      </c>
      <c r="V261" s="6">
        <f>[1]Results!Y415</f>
        <v>37.938781299999995</v>
      </c>
      <c r="W261" s="6">
        <f>[1]Results!Z415</f>
        <v>37.821454170000003</v>
      </c>
      <c r="X261" s="6">
        <f>[1]Results!AA415</f>
        <v>37.717212850000003</v>
      </c>
      <c r="Y261" s="6">
        <f>[1]Results!AB415</f>
        <v>37.621901369999996</v>
      </c>
      <c r="Z261" s="6">
        <f>[1]Results!AC415</f>
        <v>37.534301200000002</v>
      </c>
      <c r="AA261" s="6">
        <f>[1]Results!AD415</f>
        <v>37.45408638</v>
      </c>
      <c r="AB261" s="6">
        <f>[1]Results!AE415</f>
        <v>37.344880270000004</v>
      </c>
      <c r="AC261" s="6">
        <f>[1]Results!AF415</f>
        <v>37.243109830000002</v>
      </c>
      <c r="AD261" s="6">
        <f>[1]Results!AG415</f>
        <v>37.146659540000002</v>
      </c>
      <c r="AE261" s="6">
        <f>[1]Results!AH415</f>
        <v>37.054019500000003</v>
      </c>
      <c r="AF261" s="6">
        <f>[1]Results!AI415</f>
        <v>36.96406975</v>
      </c>
      <c r="AG261" s="6">
        <f>[1]Results!AJ415</f>
        <v>36.87585275</v>
      </c>
      <c r="AH261" s="6">
        <f>[1]Results!AK415</f>
        <v>36.788488130000005</v>
      </c>
      <c r="AI261" s="6">
        <f>[1]Results!AL415</f>
        <v>36.701170329999997</v>
      </c>
      <c r="AJ261" s="6">
        <f>[1]Results!AM415</f>
        <v>36.613215109999999</v>
      </c>
      <c r="AK261" s="6">
        <f>[1]Results!AN415</f>
        <v>36.524122159999997</v>
      </c>
      <c r="AL261" s="6">
        <f>[1]Results!AO415</f>
        <v>36.431477350000002</v>
      </c>
    </row>
    <row r="262" spans="1:38" x14ac:dyDescent="0.3">
      <c r="B262" t="s">
        <v>34</v>
      </c>
      <c r="C262" s="6">
        <f>[1]Results!F423</f>
        <v>34.042000460000004</v>
      </c>
      <c r="D262" s="6">
        <f>[1]Results!G423</f>
        <v>33.633215340000007</v>
      </c>
      <c r="E262" s="6">
        <f>[1]Results!H423</f>
        <v>33.43978508</v>
      </c>
      <c r="F262" s="6">
        <f>[1]Results!I423</f>
        <v>33.374601760000004</v>
      </c>
      <c r="G262" s="6">
        <f>[1]Results!J423</f>
        <v>33.383964120000002</v>
      </c>
      <c r="H262" s="6">
        <f>[1]Results!K423</f>
        <v>33.437387379999997</v>
      </c>
      <c r="I262" s="6">
        <f>[1]Results!L423</f>
        <v>33.515166219999998</v>
      </c>
      <c r="J262" s="6">
        <f>[1]Results!M423</f>
        <v>33.611905890000003</v>
      </c>
      <c r="K262" s="6">
        <f>[1]Results!N423</f>
        <v>33.726100209999998</v>
      </c>
      <c r="L262" s="6">
        <f>[1]Results!O423</f>
        <v>33.85739598</v>
      </c>
      <c r="M262" s="6">
        <f>[1]Results!P423</f>
        <v>34.010782049999996</v>
      </c>
      <c r="N262" s="6">
        <f>[1]Results!Q423</f>
        <v>34.175956390000003</v>
      </c>
      <c r="O262" s="6">
        <f>[1]Results!R423</f>
        <v>34.349365799999994</v>
      </c>
      <c r="P262" s="6">
        <f>[1]Results!S423</f>
        <v>34.52766742</v>
      </c>
      <c r="Q262" s="6">
        <f>[1]Results!T423</f>
        <v>34.708562610000001</v>
      </c>
      <c r="R262" s="6">
        <f>[1]Results!U423</f>
        <v>34.8905508</v>
      </c>
      <c r="S262" s="6">
        <f>[1]Results!V423</f>
        <v>35.072374020000005</v>
      </c>
      <c r="T262" s="6">
        <f>[1]Results!W423</f>
        <v>35.252555990000005</v>
      </c>
      <c r="U262" s="6">
        <f>[1]Results!X423</f>
        <v>35.429212530000001</v>
      </c>
      <c r="V262" s="6">
        <f>[1]Results!Y423</f>
        <v>35.600134310000001</v>
      </c>
      <c r="W262" s="6">
        <f>[1]Results!Z423</f>
        <v>35.75831977</v>
      </c>
      <c r="X262" s="6">
        <f>[1]Results!AA423</f>
        <v>35.90712577</v>
      </c>
      <c r="Y262" s="6">
        <f>[1]Results!AB423</f>
        <v>36.045097909999996</v>
      </c>
      <c r="Z262" s="6">
        <f>[1]Results!AC423</f>
        <v>36.17066646</v>
      </c>
      <c r="AA262" s="6">
        <f>[1]Results!AD423</f>
        <v>36.282363509999996</v>
      </c>
      <c r="AB262" s="6">
        <f>[1]Results!AE423</f>
        <v>36.36540351</v>
      </c>
      <c r="AC262" s="6">
        <f>[1]Results!AF423</f>
        <v>36.429694270000006</v>
      </c>
      <c r="AD262" s="6">
        <f>[1]Results!AG423</f>
        <v>36.47651175</v>
      </c>
      <c r="AE262" s="6">
        <f>[1]Results!AH423</f>
        <v>36.506218529999998</v>
      </c>
      <c r="AF262" s="6">
        <f>[1]Results!AI423</f>
        <v>36.518441920000001</v>
      </c>
      <c r="AG262" s="6">
        <f>[1]Results!AJ423</f>
        <v>36.512599409999993</v>
      </c>
      <c r="AH262" s="6">
        <f>[1]Results!AK423</f>
        <v>36.488329010000001</v>
      </c>
      <c r="AI262" s="6">
        <f>[1]Results!AL423</f>
        <v>36.4456992</v>
      </c>
      <c r="AJ262" s="6">
        <f>[1]Results!AM423</f>
        <v>36.385192439999997</v>
      </c>
      <c r="AK262" s="6">
        <f>[1]Results!AN423</f>
        <v>36.3075385</v>
      </c>
      <c r="AL262" s="6">
        <f>[1]Results!AO423</f>
        <v>36.213506049999999</v>
      </c>
    </row>
    <row r="264" spans="1:38" x14ac:dyDescent="0.3">
      <c r="A264" s="12" t="s">
        <v>31</v>
      </c>
      <c r="C264" s="2">
        <v>42005</v>
      </c>
      <c r="D264" s="2">
        <v>42370</v>
      </c>
      <c r="E264" s="2">
        <v>42736</v>
      </c>
      <c r="F264" s="2">
        <v>43101</v>
      </c>
      <c r="G264" s="2">
        <v>43466</v>
      </c>
      <c r="H264" s="2">
        <v>43831</v>
      </c>
      <c r="I264" s="2">
        <v>44197</v>
      </c>
      <c r="J264" s="2">
        <v>44562</v>
      </c>
      <c r="K264" s="2">
        <v>44927</v>
      </c>
      <c r="L264" s="2">
        <v>45292</v>
      </c>
      <c r="M264" s="2">
        <v>45658</v>
      </c>
      <c r="N264" s="2">
        <v>46023</v>
      </c>
      <c r="O264" s="2">
        <v>46388</v>
      </c>
      <c r="P264" s="2">
        <v>46753</v>
      </c>
      <c r="Q264" s="2">
        <v>47119</v>
      </c>
      <c r="R264" s="2">
        <v>47484</v>
      </c>
      <c r="S264" s="2">
        <v>47849</v>
      </c>
      <c r="T264" s="2">
        <v>48214</v>
      </c>
      <c r="U264" s="2">
        <v>48580</v>
      </c>
      <c r="V264" s="2">
        <v>48945</v>
      </c>
      <c r="W264" s="2">
        <v>49310</v>
      </c>
      <c r="X264" s="2">
        <v>49675</v>
      </c>
      <c r="Y264" s="2">
        <v>50041</v>
      </c>
      <c r="Z264" s="2">
        <v>50406</v>
      </c>
      <c r="AA264" s="2">
        <v>50771</v>
      </c>
      <c r="AB264" s="2">
        <v>51136</v>
      </c>
      <c r="AC264" s="2">
        <v>51502</v>
      </c>
      <c r="AD264" s="2">
        <v>51867</v>
      </c>
      <c r="AE264" s="2">
        <v>52232</v>
      </c>
      <c r="AF264" s="2">
        <v>52597</v>
      </c>
      <c r="AG264" s="2">
        <v>52963</v>
      </c>
      <c r="AH264" s="2">
        <v>53328</v>
      </c>
      <c r="AI264" s="2">
        <v>53693</v>
      </c>
      <c r="AJ264" s="2">
        <v>54058</v>
      </c>
      <c r="AK264" s="2">
        <v>54424</v>
      </c>
      <c r="AL264" s="2">
        <v>54789</v>
      </c>
    </row>
    <row r="265" spans="1:38" x14ac:dyDescent="0.3">
      <c r="A265" t="s">
        <v>27</v>
      </c>
      <c r="B265" t="s">
        <v>80</v>
      </c>
      <c r="C265" s="9">
        <f t="shared" ref="C265:AL265" si="53">(C246/C141)/(C255/C129)-1</f>
        <v>0</v>
      </c>
      <c r="D265" s="9">
        <f t="shared" si="53"/>
        <v>0</v>
      </c>
      <c r="E265" s="9">
        <f t="shared" si="53"/>
        <v>0</v>
      </c>
      <c r="F265" s="9">
        <f t="shared" si="53"/>
        <v>0</v>
      </c>
      <c r="G265" s="9">
        <f t="shared" si="53"/>
        <v>0</v>
      </c>
      <c r="H265" s="9">
        <f t="shared" si="53"/>
        <v>0</v>
      </c>
      <c r="I265" s="9">
        <f t="shared" si="53"/>
        <v>3.2108480645520743E-3</v>
      </c>
      <c r="J265" s="9">
        <f t="shared" si="53"/>
        <v>1.3018894339832832E-2</v>
      </c>
      <c r="K265" s="9">
        <f t="shared" si="53"/>
        <v>2.6448056796941843E-2</v>
      </c>
      <c r="L265" s="9">
        <f t="shared" si="53"/>
        <v>3.6913886843657151E-2</v>
      </c>
      <c r="M265" s="9">
        <f t="shared" si="53"/>
        <v>3.9878437831293745E-2</v>
      </c>
      <c r="N265" s="9">
        <f t="shared" si="53"/>
        <v>3.5569434704625147E-2</v>
      </c>
      <c r="O265" s="9">
        <f t="shared" si="53"/>
        <v>2.6274907203900133E-2</v>
      </c>
      <c r="P265" s="9">
        <f t="shared" si="53"/>
        <v>1.5493648339127031E-2</v>
      </c>
      <c r="Q265" s="9">
        <f t="shared" si="53"/>
        <v>6.1281801268375791E-3</v>
      </c>
      <c r="R265" s="9">
        <f t="shared" si="53"/>
        <v>-3.1330697456644074E-4</v>
      </c>
      <c r="S265" s="9">
        <f t="shared" si="53"/>
        <v>-3.6840296667469685E-3</v>
      </c>
      <c r="T265" s="9">
        <f t="shared" si="53"/>
        <v>-4.7223534266058742E-3</v>
      </c>
      <c r="U265" s="9">
        <f t="shared" si="53"/>
        <v>-4.4640349915997524E-3</v>
      </c>
      <c r="V265" s="9">
        <f t="shared" si="53"/>
        <v>-3.7764037291746488E-3</v>
      </c>
      <c r="W265" s="9">
        <f t="shared" si="53"/>
        <v>-3.1740437656723186E-3</v>
      </c>
      <c r="X265" s="9">
        <f t="shared" si="53"/>
        <v>-2.6456476758003333E-3</v>
      </c>
      <c r="Y265" s="9">
        <f t="shared" si="53"/>
        <v>-2.0576568705240605E-3</v>
      </c>
      <c r="Z265" s="9">
        <f t="shared" si="53"/>
        <v>-1.2391939788304329E-3</v>
      </c>
      <c r="AA265" s="9">
        <f t="shared" si="53"/>
        <v>-1.15379078480915E-4</v>
      </c>
      <c r="AB265" s="9">
        <f t="shared" si="53"/>
        <v>1.1877115395342308E-3</v>
      </c>
      <c r="AC265" s="9">
        <f t="shared" si="53"/>
        <v>2.5602989264383869E-3</v>
      </c>
      <c r="AD265" s="9">
        <f t="shared" si="53"/>
        <v>3.7817094813261676E-3</v>
      </c>
      <c r="AE265" s="9">
        <f t="shared" si="53"/>
        <v>4.6580160053837361E-3</v>
      </c>
      <c r="AF265" s="9">
        <f t="shared" si="53"/>
        <v>5.0893865008112549E-3</v>
      </c>
      <c r="AG265" s="9">
        <f t="shared" si="53"/>
        <v>5.0850000432776099E-3</v>
      </c>
      <c r="AH265" s="9">
        <f t="shared" si="53"/>
        <v>4.7399470028712809E-3</v>
      </c>
      <c r="AI265" s="9">
        <f t="shared" si="53"/>
        <v>4.1907516697101688E-3</v>
      </c>
      <c r="AJ265" s="9">
        <f t="shared" si="53"/>
        <v>3.5713229503868682E-3</v>
      </c>
      <c r="AK265" s="9">
        <f t="shared" si="53"/>
        <v>2.9837367677691962E-3</v>
      </c>
      <c r="AL265" s="9">
        <f t="shared" si="53"/>
        <v>2.4869121501898128E-3</v>
      </c>
    </row>
    <row r="266" spans="1:38" x14ac:dyDescent="0.3">
      <c r="B266" t="s">
        <v>7</v>
      </c>
      <c r="C266" s="9">
        <f t="shared" ref="C266:AL266" si="54">(C247/C142)/(C256/C130)-1</f>
        <v>0</v>
      </c>
      <c r="D266" s="9">
        <f t="shared" si="54"/>
        <v>0</v>
      </c>
      <c r="E266" s="9">
        <f t="shared" si="54"/>
        <v>0</v>
      </c>
      <c r="F266" s="9">
        <f t="shared" si="54"/>
        <v>0</v>
      </c>
      <c r="G266" s="9">
        <f t="shared" si="54"/>
        <v>0</v>
      </c>
      <c r="H266" s="9">
        <f t="shared" si="54"/>
        <v>0</v>
      </c>
      <c r="I266" s="9">
        <f t="shared" si="54"/>
        <v>4.7373280192379186E-2</v>
      </c>
      <c r="J266" s="9">
        <f t="shared" si="54"/>
        <v>6.4132978317585687E-2</v>
      </c>
      <c r="K266" s="9">
        <f t="shared" si="54"/>
        <v>8.054353474632503E-2</v>
      </c>
      <c r="L266" s="9">
        <f t="shared" si="54"/>
        <v>9.3131983823606879E-2</v>
      </c>
      <c r="M266" s="9">
        <f t="shared" si="54"/>
        <v>9.7376088199917277E-2</v>
      </c>
      <c r="N266" s="9">
        <f t="shared" si="54"/>
        <v>9.332090108294322E-2</v>
      </c>
      <c r="O266" s="9">
        <f t="shared" si="54"/>
        <v>8.3584178966478184E-2</v>
      </c>
      <c r="P266" s="9">
        <f t="shared" si="54"/>
        <v>7.1912874784063607E-2</v>
      </c>
      <c r="Q266" s="9">
        <f t="shared" si="54"/>
        <v>6.1462847197420567E-2</v>
      </c>
      <c r="R266" s="9">
        <f t="shared" si="54"/>
        <v>5.3928174574545684E-2</v>
      </c>
      <c r="S266" s="9">
        <f t="shared" si="54"/>
        <v>4.9534156903442428E-2</v>
      </c>
      <c r="T266" s="9">
        <f t="shared" si="54"/>
        <v>4.7534820248074094E-2</v>
      </c>
      <c r="U266" s="9">
        <f t="shared" si="54"/>
        <v>4.6855408198896553E-2</v>
      </c>
      <c r="V266" s="9">
        <f t="shared" si="54"/>
        <v>4.6604887978998644E-2</v>
      </c>
      <c r="W266" s="9">
        <f t="shared" si="54"/>
        <v>4.6282064324479899E-2</v>
      </c>
      <c r="X266" s="9">
        <f t="shared" si="54"/>
        <v>4.5939712220045781E-2</v>
      </c>
      <c r="Y266" s="9">
        <f t="shared" si="54"/>
        <v>4.5787005963800809E-2</v>
      </c>
      <c r="Z266" s="9">
        <f t="shared" si="54"/>
        <v>4.6057445813808107E-2</v>
      </c>
      <c r="AA266" s="9">
        <f t="shared" si="54"/>
        <v>4.6863905186419474E-2</v>
      </c>
      <c r="AB266" s="9">
        <f t="shared" si="54"/>
        <v>4.8089715867452032E-2</v>
      </c>
      <c r="AC266" s="9">
        <f t="shared" si="54"/>
        <v>4.9597334039371166E-2</v>
      </c>
      <c r="AD266" s="9">
        <f t="shared" si="54"/>
        <v>5.114321541655098E-2</v>
      </c>
      <c r="AE266" s="9">
        <f t="shared" si="54"/>
        <v>5.2494781867018281E-2</v>
      </c>
      <c r="AF266" s="9">
        <f t="shared" si="54"/>
        <v>5.3502879653044788E-2</v>
      </c>
      <c r="AG266" s="9">
        <f t="shared" si="54"/>
        <v>5.4128036696000414E-2</v>
      </c>
      <c r="AH266" s="9">
        <f t="shared" si="54"/>
        <v>5.442306509479411E-2</v>
      </c>
      <c r="AI266" s="9">
        <f t="shared" si="54"/>
        <v>5.4490726245907783E-2</v>
      </c>
      <c r="AJ266" s="9">
        <f t="shared" si="54"/>
        <v>5.4439372760721305E-2</v>
      </c>
      <c r="AK266" s="9">
        <f t="shared" si="54"/>
        <v>5.4352507541441053E-2</v>
      </c>
      <c r="AL266" s="9">
        <f t="shared" si="54"/>
        <v>5.4276472931058528E-2</v>
      </c>
    </row>
    <row r="267" spans="1:38" x14ac:dyDescent="0.3">
      <c r="B267" t="s">
        <v>8</v>
      </c>
      <c r="C267" s="9">
        <f t="shared" ref="C267:AL267" si="55">(C248/C145)/(C257/C133)-1</f>
        <v>0</v>
      </c>
      <c r="D267" s="9">
        <f t="shared" si="55"/>
        <v>0</v>
      </c>
      <c r="E267" s="9">
        <f t="shared" si="55"/>
        <v>0</v>
      </c>
      <c r="F267" s="9">
        <f t="shared" si="55"/>
        <v>0</v>
      </c>
      <c r="G267" s="9">
        <f t="shared" si="55"/>
        <v>0</v>
      </c>
      <c r="H267" s="9">
        <f t="shared" si="55"/>
        <v>0</v>
      </c>
      <c r="I267" s="9">
        <f t="shared" si="55"/>
        <v>-3.0313443299623266E-5</v>
      </c>
      <c r="J267" s="9">
        <f t="shared" si="55"/>
        <v>3.528909237882738E-3</v>
      </c>
      <c r="K267" s="9">
        <f t="shared" si="55"/>
        <v>8.1885553977596448E-3</v>
      </c>
      <c r="L267" s="9">
        <f t="shared" si="55"/>
        <v>1.1689363190835467E-2</v>
      </c>
      <c r="M267" s="9">
        <f t="shared" si="55"/>
        <v>1.2795638992387781E-2</v>
      </c>
      <c r="N267" s="9">
        <f t="shared" si="55"/>
        <v>1.1603375468051125E-2</v>
      </c>
      <c r="O267" s="9">
        <f t="shared" si="55"/>
        <v>9.0174431230298779E-3</v>
      </c>
      <c r="P267" s="9">
        <f t="shared" si="55"/>
        <v>6.1509678560471848E-3</v>
      </c>
      <c r="Q267" s="9">
        <f t="shared" si="55"/>
        <v>3.8691977952833856E-3</v>
      </c>
      <c r="R267" s="9">
        <f t="shared" si="55"/>
        <v>2.5786531870262142E-3</v>
      </c>
      <c r="S267" s="9">
        <f t="shared" si="55"/>
        <v>2.257619524905774E-3</v>
      </c>
      <c r="T267" s="9">
        <f t="shared" si="55"/>
        <v>2.623800519119035E-3</v>
      </c>
      <c r="U267" s="9">
        <f t="shared" si="55"/>
        <v>3.326914521694313E-3</v>
      </c>
      <c r="V267" s="9">
        <f t="shared" si="55"/>
        <v>4.0909713152303961E-3</v>
      </c>
      <c r="W267" s="9">
        <f t="shared" si="55"/>
        <v>4.7282534387462771E-3</v>
      </c>
      <c r="X267" s="9">
        <f t="shared" si="55"/>
        <v>5.3264309124867459E-3</v>
      </c>
      <c r="Y267" s="9">
        <f t="shared" si="55"/>
        <v>5.8722910223636404E-3</v>
      </c>
      <c r="Z267" s="9">
        <f t="shared" si="55"/>
        <v>6.4031251223646279E-3</v>
      </c>
      <c r="AA267" s="9">
        <f t="shared" si="55"/>
        <v>6.9290045772210096E-3</v>
      </c>
      <c r="AB267" s="9">
        <f t="shared" si="55"/>
        <v>7.3364021495860854E-3</v>
      </c>
      <c r="AC267" s="9">
        <f t="shared" si="55"/>
        <v>7.7185775204748897E-3</v>
      </c>
      <c r="AD267" s="9">
        <f t="shared" si="55"/>
        <v>7.9546184681837939E-3</v>
      </c>
      <c r="AE267" s="9">
        <f t="shared" si="55"/>
        <v>7.9930440567819172E-3</v>
      </c>
      <c r="AF267" s="9">
        <f t="shared" si="55"/>
        <v>7.8275506229392722E-3</v>
      </c>
      <c r="AG267" s="9">
        <f t="shared" si="55"/>
        <v>7.4899268765193927E-3</v>
      </c>
      <c r="AH267" s="9">
        <f t="shared" si="55"/>
        <v>7.0373515656372287E-3</v>
      </c>
      <c r="AI267" s="9">
        <f t="shared" si="55"/>
        <v>6.5361812909532357E-3</v>
      </c>
      <c r="AJ267" s="9">
        <f t="shared" si="55"/>
        <v>6.04714186504407E-3</v>
      </c>
      <c r="AK267" s="9">
        <f t="shared" si="55"/>
        <v>5.6157837005681444E-3</v>
      </c>
      <c r="AL267" s="9">
        <f t="shared" si="55"/>
        <v>5.2693222559589969E-3</v>
      </c>
    </row>
    <row r="268" spans="1:38" x14ac:dyDescent="0.3">
      <c r="B268" t="s">
        <v>10</v>
      </c>
      <c r="C268" s="9">
        <f t="shared" ref="C268:AL268" si="56">(C249/C147)/(C258/C135)-1</f>
        <v>0</v>
      </c>
      <c r="D268" s="9">
        <f t="shared" si="56"/>
        <v>0</v>
      </c>
      <c r="E268" s="9">
        <f t="shared" si="56"/>
        <v>0</v>
      </c>
      <c r="F268" s="9">
        <f t="shared" si="56"/>
        <v>0</v>
      </c>
      <c r="G268" s="9">
        <f t="shared" si="56"/>
        <v>0</v>
      </c>
      <c r="H268" s="9">
        <f t="shared" si="56"/>
        <v>0</v>
      </c>
      <c r="I268" s="9">
        <f t="shared" si="56"/>
        <v>5.5498002309462002E-4</v>
      </c>
      <c r="J268" s="9">
        <f t="shared" si="56"/>
        <v>1.9171751390441694E-2</v>
      </c>
      <c r="K268" s="9">
        <f t="shared" si="56"/>
        <v>4.6030620585283177E-2</v>
      </c>
      <c r="L268" s="9">
        <f t="shared" si="56"/>
        <v>6.7726328463806107E-2</v>
      </c>
      <c r="M268" s="9">
        <f t="shared" si="56"/>
        <v>7.5363978829562361E-2</v>
      </c>
      <c r="N268" s="9">
        <f t="shared" si="56"/>
        <v>6.8755222254469839E-2</v>
      </c>
      <c r="O268" s="9">
        <f t="shared" si="56"/>
        <v>5.2443397259926749E-2</v>
      </c>
      <c r="P268" s="9">
        <f t="shared" si="56"/>
        <v>3.301570145379662E-2</v>
      </c>
      <c r="Q268" s="9">
        <f t="shared" si="56"/>
        <v>1.590363700659303E-2</v>
      </c>
      <c r="R268" s="9">
        <f t="shared" si="56"/>
        <v>3.9297315679971412E-3</v>
      </c>
      <c r="S268" s="9">
        <f t="shared" si="56"/>
        <v>-2.5948116782336106E-3</v>
      </c>
      <c r="T268" s="9">
        <f t="shared" si="56"/>
        <v>-4.9724275290250475E-3</v>
      </c>
      <c r="U268" s="9">
        <f t="shared" si="56"/>
        <v>-5.0502554057187954E-3</v>
      </c>
      <c r="V268" s="9">
        <f t="shared" si="56"/>
        <v>-4.3801648085320943E-3</v>
      </c>
      <c r="W268" s="9">
        <f t="shared" si="56"/>
        <v>-3.878050321853066E-3</v>
      </c>
      <c r="X268" s="9">
        <f t="shared" si="56"/>
        <v>-3.5141372541088733E-3</v>
      </c>
      <c r="Y268" s="9">
        <f t="shared" si="56"/>
        <v>-3.0220335967341416E-3</v>
      </c>
      <c r="Z268" s="9">
        <f t="shared" si="56"/>
        <v>-2.055057552002526E-3</v>
      </c>
      <c r="AA268" s="9">
        <f t="shared" si="56"/>
        <v>-4.4599649442988998E-4</v>
      </c>
      <c r="AB268" s="9">
        <f t="shared" si="56"/>
        <v>1.5954776883821964E-3</v>
      </c>
      <c r="AC268" s="9">
        <f t="shared" si="56"/>
        <v>3.8912321155311069E-3</v>
      </c>
      <c r="AD268" s="9">
        <f t="shared" si="56"/>
        <v>6.0297509968827434E-3</v>
      </c>
      <c r="AE268" s="9">
        <f t="shared" si="56"/>
        <v>7.6547219530307409E-3</v>
      </c>
      <c r="AF268" s="9">
        <f t="shared" si="56"/>
        <v>8.5630290520966046E-3</v>
      </c>
      <c r="AG268" s="9">
        <f t="shared" si="56"/>
        <v>8.7426410224964446E-3</v>
      </c>
      <c r="AH268" s="9">
        <f t="shared" si="56"/>
        <v>8.3370133225300069E-3</v>
      </c>
      <c r="AI268" s="9">
        <f t="shared" si="56"/>
        <v>7.569330777450034E-3</v>
      </c>
      <c r="AJ268" s="9">
        <f t="shared" si="56"/>
        <v>6.6643674965753963E-3</v>
      </c>
      <c r="AK268" s="9">
        <f t="shared" si="56"/>
        <v>5.7950418018084537E-3</v>
      </c>
      <c r="AL268" s="9">
        <f t="shared" si="56"/>
        <v>5.061276967241124E-3</v>
      </c>
    </row>
    <row r="269" spans="1:38" x14ac:dyDescent="0.3">
      <c r="B269" t="s">
        <v>23</v>
      </c>
      <c r="C269" s="9">
        <f t="shared" ref="C269:AL269" si="57">(C250/C148)/(C259/C136)-1</f>
        <v>0</v>
      </c>
      <c r="D269" s="9">
        <f t="shared" si="57"/>
        <v>0</v>
      </c>
      <c r="E269" s="9">
        <f t="shared" si="57"/>
        <v>0</v>
      </c>
      <c r="F269" s="9">
        <f t="shared" si="57"/>
        <v>0</v>
      </c>
      <c r="G269" s="9">
        <f t="shared" si="57"/>
        <v>0</v>
      </c>
      <c r="H269" s="9">
        <f t="shared" si="57"/>
        <v>0</v>
      </c>
      <c r="I269" s="9">
        <f t="shared" si="57"/>
        <v>5.7256396867488846E-5</v>
      </c>
      <c r="J269" s="9">
        <f t="shared" si="57"/>
        <v>1.7247110532960797E-3</v>
      </c>
      <c r="K269" s="9">
        <f t="shared" si="57"/>
        <v>3.9253652055593058E-3</v>
      </c>
      <c r="L269" s="9">
        <f t="shared" si="57"/>
        <v>5.6134794840159152E-3</v>
      </c>
      <c r="M269" s="9">
        <f t="shared" si="57"/>
        <v>6.196892079260774E-3</v>
      </c>
      <c r="N269" s="9">
        <f t="shared" si="57"/>
        <v>5.7243225194119063E-3</v>
      </c>
      <c r="O269" s="9">
        <f t="shared" si="57"/>
        <v>4.5337060248353822E-3</v>
      </c>
      <c r="P269" s="9">
        <f t="shared" si="57"/>
        <v>3.0988558738545002E-3</v>
      </c>
      <c r="Q269" s="9">
        <f t="shared" si="57"/>
        <v>1.8188096437243839E-3</v>
      </c>
      <c r="R269" s="9">
        <f t="shared" si="57"/>
        <v>9.0982609208789533E-4</v>
      </c>
      <c r="S269" s="9">
        <f t="shared" si="57"/>
        <v>4.0020517909789E-4</v>
      </c>
      <c r="T269" s="9">
        <f t="shared" si="57"/>
        <v>1.9288596854694084E-4</v>
      </c>
      <c r="U269" s="9">
        <f t="shared" si="57"/>
        <v>1.496258439537268E-4</v>
      </c>
      <c r="V269" s="9">
        <f t="shared" si="57"/>
        <v>1.579089090473218E-4</v>
      </c>
      <c r="W269" s="9">
        <f t="shared" si="57"/>
        <v>1.5539829413246942E-4</v>
      </c>
      <c r="X269" s="9">
        <f t="shared" si="57"/>
        <v>1.5329908174788187E-4</v>
      </c>
      <c r="Y269" s="9">
        <f t="shared" si="57"/>
        <v>1.7446771625029278E-4</v>
      </c>
      <c r="Z269" s="9">
        <f t="shared" si="57"/>
        <v>2.4691550823385811E-4</v>
      </c>
      <c r="AA269" s="9">
        <f t="shared" si="57"/>
        <v>3.811557764874518E-4</v>
      </c>
      <c r="AB269" s="9">
        <f t="shared" si="57"/>
        <v>5.5683425742336645E-4</v>
      </c>
      <c r="AC269" s="9">
        <f t="shared" si="57"/>
        <v>7.5544961935158916E-4</v>
      </c>
      <c r="AD269" s="9">
        <f t="shared" si="57"/>
        <v>9.3927150992811903E-4</v>
      </c>
      <c r="AE269" s="9">
        <f t="shared" si="57"/>
        <v>1.078973672359318E-3</v>
      </c>
      <c r="AF269" s="9">
        <f t="shared" si="57"/>
        <v>1.1580691747854477E-3</v>
      </c>
      <c r="AG269" s="9">
        <f t="shared" si="57"/>
        <v>1.1759876136825387E-3</v>
      </c>
      <c r="AH269" s="9">
        <f t="shared" si="57"/>
        <v>1.1448480492666224E-3</v>
      </c>
      <c r="AI269" s="9">
        <f t="shared" si="57"/>
        <v>1.083180527325478E-3</v>
      </c>
      <c r="AJ269" s="9">
        <f t="shared" si="57"/>
        <v>1.0095945743020529E-3</v>
      </c>
      <c r="AK269" s="9">
        <f t="shared" si="57"/>
        <v>9.3847958939252685E-4</v>
      </c>
      <c r="AL269" s="9">
        <f t="shared" si="57"/>
        <v>8.7825046299006004E-4</v>
      </c>
    </row>
    <row r="270" spans="1:38" x14ac:dyDescent="0.3">
      <c r="B270" t="s">
        <v>32</v>
      </c>
      <c r="C270" s="9">
        <f t="shared" ref="C270:AL270" si="58">(C251/C59)/(C260/C58)-1</f>
        <v>0</v>
      </c>
      <c r="D270" s="9">
        <f t="shared" si="58"/>
        <v>0</v>
      </c>
      <c r="E270" s="9">
        <f t="shared" si="58"/>
        <v>0</v>
      </c>
      <c r="F270" s="9">
        <f t="shared" si="58"/>
        <v>0</v>
      </c>
      <c r="G270" s="9">
        <f t="shared" si="58"/>
        <v>0</v>
      </c>
      <c r="H270" s="9">
        <f t="shared" si="58"/>
        <v>0</v>
      </c>
      <c r="I270" s="9">
        <f t="shared" si="58"/>
        <v>3.1666005766117777E-4</v>
      </c>
      <c r="J270" s="9">
        <f t="shared" si="58"/>
        <v>5.6593385815379982E-3</v>
      </c>
      <c r="K270" s="9">
        <f t="shared" si="58"/>
        <v>1.2443982151250532E-2</v>
      </c>
      <c r="L270" s="9">
        <f t="shared" si="58"/>
        <v>1.7279833611584916E-2</v>
      </c>
      <c r="M270" s="9">
        <f t="shared" si="58"/>
        <v>1.8550259892792909E-2</v>
      </c>
      <c r="N270" s="9">
        <f t="shared" si="58"/>
        <v>1.6941967562978721E-2</v>
      </c>
      <c r="O270" s="9">
        <f t="shared" si="58"/>
        <v>1.3618079362210489E-2</v>
      </c>
      <c r="P270" s="9">
        <f t="shared" si="58"/>
        <v>1.0094340691423564E-2</v>
      </c>
      <c r="Q270" s="9">
        <f t="shared" si="58"/>
        <v>7.5535635232995002E-3</v>
      </c>
      <c r="R270" s="9">
        <f t="shared" si="58"/>
        <v>6.507847759375629E-3</v>
      </c>
      <c r="S270" s="9">
        <f t="shared" si="58"/>
        <v>6.7384375727199686E-3</v>
      </c>
      <c r="T270" s="9">
        <f t="shared" si="58"/>
        <v>7.7102184302813015E-3</v>
      </c>
      <c r="U270" s="9">
        <f t="shared" si="58"/>
        <v>8.8583338085095331E-3</v>
      </c>
      <c r="V270" s="9">
        <f t="shared" si="58"/>
        <v>9.7899984342653124E-3</v>
      </c>
      <c r="W270" s="9">
        <f t="shared" si="58"/>
        <v>1.0320077905596303E-2</v>
      </c>
      <c r="X270" s="9">
        <f t="shared" si="58"/>
        <v>1.0617701716327144E-2</v>
      </c>
      <c r="Y270" s="9">
        <f t="shared" si="58"/>
        <v>1.0811932309089833E-2</v>
      </c>
      <c r="Z270" s="9">
        <f t="shared" si="58"/>
        <v>1.1028036231035099E-2</v>
      </c>
      <c r="AA270" s="9">
        <f t="shared" si="58"/>
        <v>1.1318236928371306E-2</v>
      </c>
      <c r="AB270" s="9">
        <f t="shared" si="58"/>
        <v>1.1624189198789159E-2</v>
      </c>
      <c r="AC270" s="9">
        <f t="shared" si="58"/>
        <v>1.1932467944215208E-2</v>
      </c>
      <c r="AD270" s="9">
        <f t="shared" si="58"/>
        <v>1.214089622001624E-2</v>
      </c>
      <c r="AE270" s="9">
        <f t="shared" si="58"/>
        <v>1.218931908785259E-2</v>
      </c>
      <c r="AF270" s="9">
        <f t="shared" si="58"/>
        <v>1.2058777688126687E-2</v>
      </c>
      <c r="AG270" s="9">
        <f t="shared" si="58"/>
        <v>1.1771847854698203E-2</v>
      </c>
      <c r="AH270" s="9">
        <f t="shared" si="58"/>
        <v>1.1361232866438087E-2</v>
      </c>
      <c r="AI270" s="9">
        <f t="shared" si="58"/>
        <v>1.0876394859035132E-2</v>
      </c>
      <c r="AJ270" s="9">
        <f t="shared" si="58"/>
        <v>1.0368474804937522E-2</v>
      </c>
      <c r="AK270" s="9">
        <f t="shared" si="58"/>
        <v>9.8727064172459134E-3</v>
      </c>
      <c r="AL270" s="9">
        <f t="shared" si="58"/>
        <v>9.4350120340174204E-3</v>
      </c>
    </row>
    <row r="271" spans="1:38" x14ac:dyDescent="0.3">
      <c r="B271" t="s">
        <v>33</v>
      </c>
      <c r="C271" s="9">
        <f t="shared" ref="C271:AL271" si="59">(C252/C59)/(C261/C58)-1</f>
        <v>0</v>
      </c>
      <c r="D271" s="9">
        <f t="shared" si="59"/>
        <v>0</v>
      </c>
      <c r="E271" s="9">
        <f t="shared" si="59"/>
        <v>0</v>
      </c>
      <c r="F271" s="9">
        <f t="shared" si="59"/>
        <v>0</v>
      </c>
      <c r="G271" s="9">
        <f t="shared" si="59"/>
        <v>0</v>
      </c>
      <c r="H271" s="9">
        <f t="shared" si="59"/>
        <v>0</v>
      </c>
      <c r="I271" s="9">
        <f t="shared" si="59"/>
        <v>4.9568230382623923E-4</v>
      </c>
      <c r="J271" s="9">
        <f t="shared" si="59"/>
        <v>6.2806198594029805E-3</v>
      </c>
      <c r="K271" s="9">
        <f t="shared" si="59"/>
        <v>1.3568826490317987E-2</v>
      </c>
      <c r="L271" s="9">
        <f t="shared" si="59"/>
        <v>1.8510135957398921E-2</v>
      </c>
      <c r="M271" s="9">
        <f t="shared" si="59"/>
        <v>1.9338982845342745E-2</v>
      </c>
      <c r="N271" s="9">
        <f t="shared" si="59"/>
        <v>1.6851019173009352E-2</v>
      </c>
      <c r="O271" s="9">
        <f t="shared" si="59"/>
        <v>1.2441726905175754E-2</v>
      </c>
      <c r="P271" s="9">
        <f t="shared" si="59"/>
        <v>7.8438872402251114E-3</v>
      </c>
      <c r="Q271" s="9">
        <f t="shared" si="59"/>
        <v>4.5086040022106477E-3</v>
      </c>
      <c r="R271" s="9">
        <f t="shared" si="59"/>
        <v>3.1169340768750775E-3</v>
      </c>
      <c r="S271" s="9">
        <f t="shared" si="59"/>
        <v>3.3875098524871472E-3</v>
      </c>
      <c r="T271" s="9">
        <f t="shared" si="59"/>
        <v>4.6661275348940379E-3</v>
      </c>
      <c r="U271" s="9">
        <f t="shared" si="59"/>
        <v>6.2563820441274842E-3</v>
      </c>
      <c r="V271" s="9">
        <f t="shared" si="59"/>
        <v>7.6580969554302936E-3</v>
      </c>
      <c r="W271" s="9">
        <f t="shared" si="59"/>
        <v>8.6129592521828613E-3</v>
      </c>
      <c r="X271" s="9">
        <f t="shared" si="59"/>
        <v>9.3256108894665957E-3</v>
      </c>
      <c r="Y271" s="9">
        <f t="shared" si="59"/>
        <v>9.943794239249959E-3</v>
      </c>
      <c r="Z271" s="9">
        <f t="shared" si="59"/>
        <v>1.0592538752105085E-2</v>
      </c>
      <c r="AA271" s="9">
        <f t="shared" si="59"/>
        <v>1.1310957411252209E-2</v>
      </c>
      <c r="AB271" s="9">
        <f t="shared" si="59"/>
        <v>1.2018439408735704E-2</v>
      </c>
      <c r="AC271" s="9">
        <f t="shared" si="59"/>
        <v>1.2676932167809962E-2</v>
      </c>
      <c r="AD271" s="9">
        <f t="shared" si="59"/>
        <v>1.3168382122768607E-2</v>
      </c>
      <c r="AE271" s="9">
        <f t="shared" si="59"/>
        <v>1.3424185450559012E-2</v>
      </c>
      <c r="AF271" s="9">
        <f t="shared" si="59"/>
        <v>1.34274647442576E-2</v>
      </c>
      <c r="AG271" s="9">
        <f t="shared" si="59"/>
        <v>1.3211704597771767E-2</v>
      </c>
      <c r="AH271" s="9">
        <f t="shared" si="59"/>
        <v>1.2808816324587857E-2</v>
      </c>
      <c r="AI271" s="9">
        <f t="shared" si="59"/>
        <v>1.2278508105498798E-2</v>
      </c>
      <c r="AJ271" s="9">
        <f t="shared" si="59"/>
        <v>1.1691593672358946E-2</v>
      </c>
      <c r="AK271" s="9">
        <f t="shared" si="59"/>
        <v>1.1101368409106138E-2</v>
      </c>
      <c r="AL271" s="9">
        <f t="shared" si="59"/>
        <v>1.0596832014929891E-2</v>
      </c>
    </row>
    <row r="272" spans="1:38" x14ac:dyDescent="0.3">
      <c r="B272" t="s">
        <v>34</v>
      </c>
      <c r="C272" s="9">
        <f t="shared" ref="C272:AL272" si="60">(C253/C59)/(C262/C58)-1</f>
        <v>0</v>
      </c>
      <c r="D272" s="9">
        <f t="shared" si="60"/>
        <v>0</v>
      </c>
      <c r="E272" s="9">
        <f t="shared" si="60"/>
        <v>0</v>
      </c>
      <c r="F272" s="9">
        <f t="shared" si="60"/>
        <v>0</v>
      </c>
      <c r="G272" s="9">
        <f t="shared" si="60"/>
        <v>0</v>
      </c>
      <c r="H272" s="9">
        <f t="shared" si="60"/>
        <v>0</v>
      </c>
      <c r="I272" s="9">
        <f t="shared" si="60"/>
        <v>1.0777240815862399E-4</v>
      </c>
      <c r="J272" s="9">
        <f t="shared" si="60"/>
        <v>4.938808289687957E-3</v>
      </c>
      <c r="K272" s="9">
        <f t="shared" si="60"/>
        <v>1.1147093309945122E-2</v>
      </c>
      <c r="L272" s="9">
        <f t="shared" si="60"/>
        <v>1.5869761640034952E-2</v>
      </c>
      <c r="M272" s="9">
        <f t="shared" si="60"/>
        <v>1.7651565939044378E-2</v>
      </c>
      <c r="N272" s="9">
        <f t="shared" si="60"/>
        <v>1.7044938616907368E-2</v>
      </c>
      <c r="O272" s="9">
        <f t="shared" si="60"/>
        <v>1.4940988963459745E-2</v>
      </c>
      <c r="P272" s="9">
        <f t="shared" si="60"/>
        <v>1.2607515867678609E-2</v>
      </c>
      <c r="Q272" s="9">
        <f t="shared" si="60"/>
        <v>1.0929309273453924E-2</v>
      </c>
      <c r="R272" s="9">
        <f t="shared" si="60"/>
        <v>1.0238466737723551E-2</v>
      </c>
      <c r="S272" s="9">
        <f t="shared" si="60"/>
        <v>1.0395869449010497E-2</v>
      </c>
      <c r="T272" s="9">
        <f t="shared" si="60"/>
        <v>1.1005968848777137E-2</v>
      </c>
      <c r="U272" s="9">
        <f t="shared" si="60"/>
        <v>1.1652846314874843E-2</v>
      </c>
      <c r="V272" s="9">
        <f t="shared" si="60"/>
        <v>1.2061948962720059E-2</v>
      </c>
      <c r="W272" s="9">
        <f t="shared" si="60"/>
        <v>1.2125691545390005E-2</v>
      </c>
      <c r="X272" s="9">
        <f t="shared" si="60"/>
        <v>1.1974926881131553E-2</v>
      </c>
      <c r="Y272" s="9">
        <f t="shared" si="60"/>
        <v>1.1718047335344428E-2</v>
      </c>
      <c r="Z272" s="9">
        <f t="shared" si="60"/>
        <v>1.1479951972318325E-2</v>
      </c>
      <c r="AA272" s="9">
        <f t="shared" si="60"/>
        <v>1.132575125713875E-2</v>
      </c>
      <c r="AB272" s="9">
        <f t="shared" si="60"/>
        <v>1.1219320134628896E-2</v>
      </c>
      <c r="AC272" s="9">
        <f t="shared" si="60"/>
        <v>1.11713807744247E-2</v>
      </c>
      <c r="AD272" s="9">
        <f t="shared" si="60"/>
        <v>1.1094533031707376E-2</v>
      </c>
      <c r="AE272" s="9">
        <f t="shared" si="60"/>
        <v>1.0935922704274237E-2</v>
      </c>
      <c r="AF272" s="9">
        <f t="shared" si="60"/>
        <v>1.0673389071422568E-2</v>
      </c>
      <c r="AG272" s="9">
        <f t="shared" si="60"/>
        <v>1.0317666668507197E-2</v>
      </c>
      <c r="AH272" s="9">
        <f t="shared" si="60"/>
        <v>9.901741619759763E-3</v>
      </c>
      <c r="AI272" s="9">
        <f t="shared" si="60"/>
        <v>9.4644533073580117E-3</v>
      </c>
      <c r="AJ272" s="9">
        <f t="shared" si="60"/>
        <v>9.037064072703993E-3</v>
      </c>
      <c r="AK272" s="9">
        <f t="shared" si="60"/>
        <v>8.6367154236586252E-3</v>
      </c>
      <c r="AL272" s="9">
        <f t="shared" si="60"/>
        <v>8.2661987090855149E-3</v>
      </c>
    </row>
    <row r="274" spans="1:38" x14ac:dyDescent="0.3">
      <c r="A274" s="12" t="s">
        <v>17</v>
      </c>
      <c r="B274" t="s">
        <v>80</v>
      </c>
      <c r="C274" s="6">
        <f>[1]Results!F1600</f>
        <v>473232.37319999997</v>
      </c>
      <c r="D274" s="6">
        <f>[1]Results!G1600</f>
        <v>478431.02830000001</v>
      </c>
      <c r="E274" s="6">
        <f>[1]Results!H1600</f>
        <v>485026.14669999998</v>
      </c>
      <c r="F274" s="6">
        <f>[1]Results!I1600</f>
        <v>493250.495</v>
      </c>
      <c r="G274" s="6">
        <f>[1]Results!J1600</f>
        <v>502253.05869999999</v>
      </c>
      <c r="H274" s="6">
        <f>[1]Results!K1600</f>
        <v>511291.53320000001</v>
      </c>
      <c r="I274" s="6">
        <f>[1]Results!L1600</f>
        <v>520283.44500000001</v>
      </c>
      <c r="J274" s="6">
        <f>[1]Results!M1600</f>
        <v>525608.49609999999</v>
      </c>
      <c r="K274" s="6">
        <f>[1]Results!N1600</f>
        <v>528578.63190000004</v>
      </c>
      <c r="L274" s="6">
        <f>[1]Results!O1600</f>
        <v>531342.41819999996</v>
      </c>
      <c r="M274" s="6">
        <f>[1]Results!P1600</f>
        <v>535471.28870000003</v>
      </c>
      <c r="N274" s="6">
        <f>[1]Results!Q1600</f>
        <v>542251.60829999996</v>
      </c>
      <c r="O274" s="6">
        <f>[1]Results!R1600</f>
        <v>550959.77859999996</v>
      </c>
      <c r="P274" s="6">
        <f>[1]Results!S1600</f>
        <v>560797.83900000004</v>
      </c>
      <c r="Q274" s="6">
        <f>[1]Results!T1600</f>
        <v>570999.24349999998</v>
      </c>
      <c r="R274" s="6">
        <f>[1]Results!U1600</f>
        <v>581058.46</v>
      </c>
      <c r="S274" s="6">
        <f>[1]Results!V1600</f>
        <v>590833.69149999996</v>
      </c>
      <c r="T274" s="6">
        <f>[1]Results!W1600</f>
        <v>600479.91740000003</v>
      </c>
      <c r="U274" s="6">
        <f>[1]Results!X1600</f>
        <v>610285.72609999997</v>
      </c>
      <c r="V274" s="6">
        <f>[1]Results!Y1600</f>
        <v>620511.70010000002</v>
      </c>
      <c r="W274" s="6">
        <f>[1]Results!Z1600</f>
        <v>631320.80009999999</v>
      </c>
      <c r="X274" s="6">
        <f>[1]Results!AA1600</f>
        <v>642332.74650000001</v>
      </c>
      <c r="Y274" s="6">
        <f>[1]Results!AB1600</f>
        <v>653832.14950000006</v>
      </c>
      <c r="Z274" s="6">
        <f>[1]Results!AC1600</f>
        <v>665709.89029999997</v>
      </c>
      <c r="AA274" s="6">
        <f>[1]Results!AD1600</f>
        <v>677784.72719999996</v>
      </c>
      <c r="AB274" s="6">
        <f>[1]Results!AE1600</f>
        <v>689870.14029999997</v>
      </c>
      <c r="AC274" s="6">
        <f>[1]Results!AF1600</f>
        <v>701225.62470000004</v>
      </c>
      <c r="AD274" s="6">
        <f>[1]Results!AG1600</f>
        <v>712481.98620000004</v>
      </c>
      <c r="AE274" s="6">
        <f>[1]Results!AH1600</f>
        <v>723913.52130000002</v>
      </c>
      <c r="AF274" s="6">
        <f>[1]Results!AI1600</f>
        <v>735618.28189999994</v>
      </c>
      <c r="AG274" s="6">
        <f>[1]Results!AJ1600</f>
        <v>747584.6618</v>
      </c>
      <c r="AH274" s="6">
        <f>[1]Results!AK1600</f>
        <v>759743.41240000003</v>
      </c>
      <c r="AI274" s="6">
        <f>[1]Results!AL1600</f>
        <v>772019.99690000003</v>
      </c>
      <c r="AJ274" s="6">
        <f>[1]Results!AM1600</f>
        <v>784371.78480000002</v>
      </c>
      <c r="AK274" s="6">
        <f>[1]Results!AN1600</f>
        <v>796800.21629999997</v>
      </c>
      <c r="AL274" s="6">
        <f>[1]Results!AO1600</f>
        <v>809340.36609999998</v>
      </c>
    </row>
    <row r="275" spans="1:38" x14ac:dyDescent="0.3">
      <c r="A275" t="s">
        <v>27</v>
      </c>
      <c r="B275" t="s">
        <v>7</v>
      </c>
      <c r="C275" s="6">
        <f>[1]Results!F1601</f>
        <v>12189.78318</v>
      </c>
      <c r="D275" s="6">
        <f>[1]Results!G1601</f>
        <v>12187.914199999999</v>
      </c>
      <c r="E275" s="6">
        <f>[1]Results!H1601</f>
        <v>12151.81702</v>
      </c>
      <c r="F275" s="6">
        <f>[1]Results!I1601</f>
        <v>12130.72666</v>
      </c>
      <c r="G275" s="6">
        <f>[1]Results!J1601</f>
        <v>12139.187169999999</v>
      </c>
      <c r="H275" s="6">
        <f>[1]Results!K1601</f>
        <v>12176.85937</v>
      </c>
      <c r="I275" s="6">
        <f>[1]Results!L1601</f>
        <v>12277.381600000001</v>
      </c>
      <c r="J275" s="6">
        <f>[1]Results!M1601</f>
        <v>12325.179529999999</v>
      </c>
      <c r="K275" s="6">
        <f>[1]Results!N1601</f>
        <v>12305.61404</v>
      </c>
      <c r="L275" s="6">
        <f>[1]Results!O1601</f>
        <v>12251.51542</v>
      </c>
      <c r="M275" s="6">
        <f>[1]Results!P1601</f>
        <v>12199.52648</v>
      </c>
      <c r="N275" s="6">
        <f>[1]Results!Q1601</f>
        <v>12153.0211</v>
      </c>
      <c r="O275" s="6">
        <f>[1]Results!R1601</f>
        <v>12116.00476</v>
      </c>
      <c r="P275" s="6">
        <f>[1]Results!S1601</f>
        <v>12086.563539999999</v>
      </c>
      <c r="Q275" s="6">
        <f>[1]Results!T1601</f>
        <v>12061.469289999999</v>
      </c>
      <c r="R275" s="6">
        <f>[1]Results!U1601</f>
        <v>12039.54773</v>
      </c>
      <c r="S275" s="6">
        <f>[1]Results!V1601</f>
        <v>12022.452719999999</v>
      </c>
      <c r="T275" s="6">
        <f>[1]Results!W1601</f>
        <v>12013.517599999999</v>
      </c>
      <c r="U275" s="6">
        <f>[1]Results!X1601</f>
        <v>12015.94983</v>
      </c>
      <c r="V275" s="6">
        <f>[1]Results!Y1601</f>
        <v>12031.41663</v>
      </c>
      <c r="W275" s="6">
        <f>[1]Results!Z1601</f>
        <v>12053.185009999999</v>
      </c>
      <c r="X275" s="6">
        <f>[1]Results!AA1601</f>
        <v>12086.52744</v>
      </c>
      <c r="Y275" s="6">
        <f>[1]Results!AB1601</f>
        <v>12128.27558</v>
      </c>
      <c r="Z275" s="6">
        <f>[1]Results!AC1601</f>
        <v>12174.490519999999</v>
      </c>
      <c r="AA275" s="6">
        <f>[1]Results!AD1601</f>
        <v>12221.639499999999</v>
      </c>
      <c r="AB275" s="6">
        <f>[1]Results!AE1601</f>
        <v>12249.46631</v>
      </c>
      <c r="AC275" s="6">
        <f>[1]Results!AF1601</f>
        <v>12270.92448</v>
      </c>
      <c r="AD275" s="6">
        <f>[1]Results!AG1601</f>
        <v>12288.43777</v>
      </c>
      <c r="AE275" s="6">
        <f>[1]Results!AH1601</f>
        <v>12303.87464</v>
      </c>
      <c r="AF275" s="6">
        <f>[1]Results!AI1601</f>
        <v>12318.486140000001</v>
      </c>
      <c r="AG275" s="6">
        <f>[1]Results!AJ1601</f>
        <v>12332.789349999999</v>
      </c>
      <c r="AH275" s="6">
        <f>[1]Results!AK1601</f>
        <v>12346.82417</v>
      </c>
      <c r="AI275" s="6">
        <f>[1]Results!AL1601</f>
        <v>12360.53649</v>
      </c>
      <c r="AJ275" s="6">
        <f>[1]Results!AM1601</f>
        <v>12374.051820000001</v>
      </c>
      <c r="AK275" s="6">
        <f>[1]Results!AN1601</f>
        <v>12387.74238</v>
      </c>
      <c r="AL275" s="6">
        <f>[1]Results!AO1601</f>
        <v>12402.121639999999</v>
      </c>
    </row>
    <row r="276" spans="1:38" x14ac:dyDescent="0.3">
      <c r="B276" t="s">
        <v>96</v>
      </c>
      <c r="C276" s="6">
        <f>[1]Results!F1614</f>
        <v>7523.989826</v>
      </c>
      <c r="D276" s="6">
        <f>[1]Results!G1614</f>
        <v>7913.2368070000002</v>
      </c>
      <c r="E276" s="6">
        <f>[1]Results!H1614</f>
        <v>8426.502305</v>
      </c>
      <c r="F276" s="6">
        <f>[1]Results!I1614</f>
        <v>8863.1184620000004</v>
      </c>
      <c r="G276" s="6">
        <f>[1]Results!J1614</f>
        <v>9185.4755499999992</v>
      </c>
      <c r="H276" s="6">
        <f>[1]Results!K1614</f>
        <v>9421.5435620000007</v>
      </c>
      <c r="I276" s="6">
        <f>[1]Results!L1614</f>
        <v>9493.6815939999997</v>
      </c>
      <c r="J276" s="6">
        <f>[1]Results!M1614</f>
        <v>9513.9371790000005</v>
      </c>
      <c r="K276" s="6">
        <f>[1]Results!N1614</f>
        <v>9515.6243190000005</v>
      </c>
      <c r="L276" s="6">
        <f>[1]Results!O1614</f>
        <v>9525.9004659999991</v>
      </c>
      <c r="M276" s="6">
        <f>[1]Results!P1614</f>
        <v>9735.2976369999997</v>
      </c>
      <c r="N276" s="6">
        <f>[1]Results!Q1614</f>
        <v>9790.5726500000001</v>
      </c>
      <c r="O276" s="6">
        <f>[1]Results!R1614</f>
        <v>9874.0208399999992</v>
      </c>
      <c r="P276" s="6">
        <f>[1]Results!S1614</f>
        <v>10006.95469</v>
      </c>
      <c r="Q276" s="6">
        <f>[1]Results!T1614</f>
        <v>10170.06789</v>
      </c>
      <c r="R276" s="6">
        <f>[1]Results!U1614</f>
        <v>10343.831620000001</v>
      </c>
      <c r="S276" s="6">
        <f>[1]Results!V1614</f>
        <v>10517.71502</v>
      </c>
      <c r="T276" s="6">
        <f>[1]Results!W1614</f>
        <v>10689.8482</v>
      </c>
      <c r="U276" s="6">
        <f>[1]Results!X1614</f>
        <v>10863.5082</v>
      </c>
      <c r="V276" s="6">
        <f>[1]Results!Y1614</f>
        <v>11043.23208</v>
      </c>
      <c r="W276" s="6">
        <f>[1]Results!Z1614</f>
        <v>11113.359259999999</v>
      </c>
      <c r="X276" s="6">
        <f>[1]Results!AA1614</f>
        <v>11330.861129999999</v>
      </c>
      <c r="Y276" s="6">
        <f>[1]Results!AB1614</f>
        <v>11572.78872</v>
      </c>
      <c r="Z276" s="6">
        <f>[1]Results!AC1614</f>
        <v>11808.41927</v>
      </c>
      <c r="AA276" s="6">
        <f>[1]Results!AD1614</f>
        <v>12034.990820000001</v>
      </c>
      <c r="AB276" s="6">
        <f>[1]Results!AE1614</f>
        <v>11904.653990000001</v>
      </c>
      <c r="AC276" s="6">
        <f>[1]Results!AF1614</f>
        <v>12035.644969999999</v>
      </c>
      <c r="AD276" s="6">
        <f>[1]Results!AG1614</f>
        <v>12234.48869</v>
      </c>
      <c r="AE276" s="6">
        <f>[1]Results!AH1614</f>
        <v>12443.23933</v>
      </c>
      <c r="AF276" s="6">
        <f>[1]Results!AI1614</f>
        <v>12651.419260000001</v>
      </c>
      <c r="AG276" s="6">
        <f>[1]Results!AJ1614</f>
        <v>12859.13471</v>
      </c>
      <c r="AH276" s="6">
        <f>[1]Results!AK1614</f>
        <v>13067.258229999999</v>
      </c>
      <c r="AI276" s="6">
        <f>[1]Results!AL1614</f>
        <v>13275.93564</v>
      </c>
      <c r="AJ276" s="6">
        <f>[1]Results!AM1614</f>
        <v>13485.111580000001</v>
      </c>
      <c r="AK276" s="6">
        <f>[1]Results!AN1614</f>
        <v>13695.07971</v>
      </c>
      <c r="AL276" s="6">
        <f>[1]Results!AO1614</f>
        <v>13906.590050000001</v>
      </c>
    </row>
    <row r="277" spans="1:38" x14ac:dyDescent="0.3">
      <c r="B277" t="s">
        <v>11</v>
      </c>
      <c r="C277" s="6">
        <f>[1]Results!F1629</f>
        <v>6752.8269749999999</v>
      </c>
      <c r="D277" s="6">
        <f>[1]Results!G1629</f>
        <v>6806.7166960000004</v>
      </c>
      <c r="E277" s="6">
        <f>[1]Results!H1629</f>
        <v>6848.0403109999997</v>
      </c>
      <c r="F277" s="6">
        <f>[1]Results!I1629</f>
        <v>6894.8682140000001</v>
      </c>
      <c r="G277" s="6">
        <f>[1]Results!J1629</f>
        <v>6960.7546380000003</v>
      </c>
      <c r="H277" s="6">
        <f>[1]Results!K1629</f>
        <v>7054.6314819999998</v>
      </c>
      <c r="I277" s="6">
        <f>[1]Results!L1629</f>
        <v>7185.6620499999999</v>
      </c>
      <c r="J277" s="6">
        <f>[1]Results!M1629</f>
        <v>7366.0465759999997</v>
      </c>
      <c r="K277" s="6">
        <f>[1]Results!N1629</f>
        <v>7587.980305</v>
      </c>
      <c r="L277" s="6">
        <f>[1]Results!O1629</f>
        <v>7825.14732</v>
      </c>
      <c r="M277" s="6">
        <f>[1]Results!P1629</f>
        <v>8050.9067839999998</v>
      </c>
      <c r="N277" s="6">
        <f>[1]Results!Q1629</f>
        <v>8243.8563020000001</v>
      </c>
      <c r="O277" s="6">
        <f>[1]Results!R1629</f>
        <v>8399.8280049999994</v>
      </c>
      <c r="P277" s="6">
        <f>[1]Results!S1629</f>
        <v>8526.4853779999994</v>
      </c>
      <c r="Q277" s="6">
        <f>[1]Results!T1629</f>
        <v>8636.9288230000002</v>
      </c>
      <c r="R277" s="6">
        <f>[1]Results!U1629</f>
        <v>8742.9216230000002</v>
      </c>
      <c r="S277" s="6">
        <f>[1]Results!V1629</f>
        <v>8851.0237770000003</v>
      </c>
      <c r="T277" s="6">
        <f>[1]Results!W1629</f>
        <v>8963.4315299999998</v>
      </c>
      <c r="U277" s="6">
        <f>[1]Results!X1629</f>
        <v>9079.9484549999997</v>
      </c>
      <c r="V277" s="6">
        <f>[1]Results!Y1629</f>
        <v>9200.0696169999992</v>
      </c>
      <c r="W277" s="6">
        <f>[1]Results!Z1629</f>
        <v>9321.3772530000006</v>
      </c>
      <c r="X277" s="6">
        <f>[1]Results!AA1629</f>
        <v>9448.656653</v>
      </c>
      <c r="Y277" s="6">
        <f>[1]Results!AB1629</f>
        <v>9584.495148</v>
      </c>
      <c r="Z277" s="6">
        <f>[1]Results!AC1629</f>
        <v>9730.7999230000005</v>
      </c>
      <c r="AA277" s="6">
        <f>[1]Results!AD1629</f>
        <v>9888.788391</v>
      </c>
      <c r="AB277" s="6">
        <f>[1]Results!AE1629</f>
        <v>10048.689109999999</v>
      </c>
      <c r="AC277" s="6">
        <f>[1]Results!AF1629</f>
        <v>10215.66066</v>
      </c>
      <c r="AD277" s="6">
        <f>[1]Results!AG1629</f>
        <v>10386.51453</v>
      </c>
      <c r="AE277" s="6">
        <f>[1]Results!AH1629</f>
        <v>10556.944090000001</v>
      </c>
      <c r="AF277" s="6">
        <f>[1]Results!AI1629</f>
        <v>10724.222330000001</v>
      </c>
      <c r="AG277" s="6">
        <f>[1]Results!AJ1629</f>
        <v>10887.541080000001</v>
      </c>
      <c r="AH277" s="6">
        <f>[1]Results!AK1629</f>
        <v>11047.282230000001</v>
      </c>
      <c r="AI277" s="6">
        <f>[1]Results!AL1629</f>
        <v>11204.426170000001</v>
      </c>
      <c r="AJ277" s="6">
        <f>[1]Results!AM1629</f>
        <v>11359.993119999999</v>
      </c>
      <c r="AK277" s="6">
        <f>[1]Results!AN1629</f>
        <v>11514.67483</v>
      </c>
      <c r="AL277" s="6">
        <f>[1]Results!AO1629</f>
        <v>11668.819149999999</v>
      </c>
    </row>
    <row r="278" spans="1:38" x14ac:dyDescent="0.3">
      <c r="B278" t="s">
        <v>8</v>
      </c>
      <c r="C278" s="6">
        <f>[1]Results!F1604-[1]Results!F1614</f>
        <v>59909.080514000008</v>
      </c>
      <c r="D278" s="6">
        <f>[1]Results!G1604-[1]Results!G1614</f>
        <v>60466.815542999997</v>
      </c>
      <c r="E278" s="6">
        <f>[1]Results!H1604-[1]Results!H1614</f>
        <v>61166.761205000003</v>
      </c>
      <c r="F278" s="6">
        <f>[1]Results!I1604-[1]Results!I1614</f>
        <v>62000.971917999996</v>
      </c>
      <c r="G278" s="6">
        <f>[1]Results!J1604-[1]Results!J1614</f>
        <v>62905.502659999998</v>
      </c>
      <c r="H278" s="6">
        <f>[1]Results!K1604-[1]Results!K1614</f>
        <v>63834.939097999995</v>
      </c>
      <c r="I278" s="6">
        <f>[1]Results!L1604-[1]Results!L1614</f>
        <v>64742.462985999991</v>
      </c>
      <c r="J278" s="6">
        <f>[1]Results!M1604-[1]Results!M1614</f>
        <v>65361.030820999993</v>
      </c>
      <c r="K278" s="6">
        <f>[1]Results!N1604-[1]Results!N1614</f>
        <v>65767.846921000004</v>
      </c>
      <c r="L278" s="6">
        <f>[1]Results!O1604-[1]Results!O1614</f>
        <v>66114.685124000011</v>
      </c>
      <c r="M278" s="6">
        <f>[1]Results!P1604-[1]Results!P1614</f>
        <v>66636.719513000004</v>
      </c>
      <c r="N278" s="6">
        <f>[1]Results!Q1604-[1]Results!Q1614</f>
        <v>67241.353709999996</v>
      </c>
      <c r="O278" s="6">
        <f>[1]Results!R1604-[1]Results!R1614</f>
        <v>67974.625159999996</v>
      </c>
      <c r="P278" s="6">
        <f>[1]Results!S1604-[1]Results!S1614</f>
        <v>68816.293440000009</v>
      </c>
      <c r="Q278" s="6">
        <f>[1]Results!T1604-[1]Results!T1614</f>
        <v>69715.848599999998</v>
      </c>
      <c r="R278" s="6">
        <f>[1]Results!U1604-[1]Results!U1614</f>
        <v>70630.503469999996</v>
      </c>
      <c r="S278" s="6">
        <f>[1]Results!V1604-[1]Results!V1614</f>
        <v>71541.431859999997</v>
      </c>
      <c r="T278" s="6">
        <f>[1]Results!W1604-[1]Results!W1614</f>
        <v>72453.138449999999</v>
      </c>
      <c r="U278" s="6">
        <f>[1]Results!X1604-[1]Results!X1614</f>
        <v>73383.429499999998</v>
      </c>
      <c r="V278" s="6">
        <f>[1]Results!Y1604-[1]Results!Y1614</f>
        <v>74351.492910000001</v>
      </c>
      <c r="W278" s="6">
        <f>[1]Results!Z1604-[1]Results!Z1614</f>
        <v>75297.839670000001</v>
      </c>
      <c r="X278" s="6">
        <f>[1]Results!AA1604-[1]Results!AA1614</f>
        <v>76342.00817999999</v>
      </c>
      <c r="Y278" s="6">
        <f>[1]Results!AB1604-[1]Results!AB1614</f>
        <v>77452.528980000003</v>
      </c>
      <c r="Z278" s="6">
        <f>[1]Results!AC1604-[1]Results!AC1614</f>
        <v>78602.200920000003</v>
      </c>
      <c r="AA278" s="6">
        <f>[1]Results!AD1604-[1]Results!AD1614</f>
        <v>79774.306299999997</v>
      </c>
      <c r="AB278" s="6">
        <f>[1]Results!AE1604-[1]Results!AE1614</f>
        <v>80744.969289999994</v>
      </c>
      <c r="AC278" s="6">
        <f>[1]Results!AF1604-[1]Results!AF1614</f>
        <v>81777.265700000004</v>
      </c>
      <c r="AD278" s="6">
        <f>[1]Results!AG1604-[1]Results!AG1614</f>
        <v>82851.233860000008</v>
      </c>
      <c r="AE278" s="6">
        <f>[1]Results!AH1604-[1]Results!AH1614</f>
        <v>83951.332739999998</v>
      </c>
      <c r="AF278" s="6">
        <f>[1]Results!AI1604-[1]Results!AI1614</f>
        <v>85075.477599999998</v>
      </c>
      <c r="AG278" s="6">
        <f>[1]Results!AJ1604-[1]Results!AJ1614</f>
        <v>86222.705969999995</v>
      </c>
      <c r="AH278" s="6">
        <f>[1]Results!AK1604-[1]Results!AK1614</f>
        <v>87389.504069999995</v>
      </c>
      <c r="AI278" s="6">
        <f>[1]Results!AL1604-[1]Results!AL1614</f>
        <v>88571.204259999999</v>
      </c>
      <c r="AJ278" s="6">
        <f>[1]Results!AM1604-[1]Results!AM1614</f>
        <v>89764.37202000001</v>
      </c>
      <c r="AK278" s="6">
        <f>[1]Results!AN1604-[1]Results!AN1614</f>
        <v>90968.152289999998</v>
      </c>
      <c r="AL278" s="6">
        <f>[1]Results!AO1604-[1]Results!AO1614</f>
        <v>92184.115250000003</v>
      </c>
    </row>
    <row r="279" spans="1:38" x14ac:dyDescent="0.3">
      <c r="B279" t="s">
        <v>24</v>
      </c>
      <c r="C279" s="6">
        <f>[1]Results!F1624</f>
        <v>3918.3165840000001</v>
      </c>
      <c r="D279" s="6">
        <f>[1]Results!G1624</f>
        <v>4043.2712980000001</v>
      </c>
      <c r="E279" s="6">
        <f>[1]Results!H1624</f>
        <v>4175.6019619999997</v>
      </c>
      <c r="F279" s="6">
        <f>[1]Results!I1624</f>
        <v>4299.6320239999995</v>
      </c>
      <c r="G279" s="6">
        <f>[1]Results!J1624</f>
        <v>4415.2907169999999</v>
      </c>
      <c r="H279" s="6">
        <f>[1]Results!K1624</f>
        <v>4525.7804189999997</v>
      </c>
      <c r="I279" s="6">
        <f>[1]Results!L1624</f>
        <v>4635.8482940000004</v>
      </c>
      <c r="J279" s="6">
        <f>[1]Results!M1624</f>
        <v>4751.1050240000004</v>
      </c>
      <c r="K279" s="6">
        <f>[1]Results!N1624</f>
        <v>4870.3659289999996</v>
      </c>
      <c r="L279" s="6">
        <f>[1]Results!O1624</f>
        <v>4985.5624330000001</v>
      </c>
      <c r="M279" s="6">
        <f>[1]Results!P1624</f>
        <v>5091.7637420000001</v>
      </c>
      <c r="N279" s="6">
        <f>[1]Results!Q1624</f>
        <v>5182.0415169999997</v>
      </c>
      <c r="O279" s="6">
        <f>[1]Results!R1624</f>
        <v>5258.6163349999997</v>
      </c>
      <c r="P279" s="6">
        <f>[1]Results!S1624</f>
        <v>5326.5184179999997</v>
      </c>
      <c r="Q279" s="6">
        <f>[1]Results!T1624</f>
        <v>5390.5258640000002</v>
      </c>
      <c r="R279" s="6">
        <f>[1]Results!U1624</f>
        <v>5453.6608249999999</v>
      </c>
      <c r="S279" s="6">
        <f>[1]Results!V1624</f>
        <v>5516.874057</v>
      </c>
      <c r="T279" s="6">
        <f>[1]Results!W1624</f>
        <v>5579.6706160000003</v>
      </c>
      <c r="U279" s="6">
        <f>[1]Results!X1624</f>
        <v>5641.0273139999999</v>
      </c>
      <c r="V279" s="6">
        <f>[1]Results!Y1624</f>
        <v>5700.1858869999996</v>
      </c>
      <c r="W279" s="6">
        <f>[1]Results!Z1624</f>
        <v>5754.5981760000004</v>
      </c>
      <c r="X279" s="6">
        <f>[1]Results!AA1624</f>
        <v>5808.0919240000003</v>
      </c>
      <c r="Y279" s="6">
        <f>[1]Results!AB1624</f>
        <v>5861.4577159999999</v>
      </c>
      <c r="Z279" s="6">
        <f>[1]Results!AC1624</f>
        <v>5915.2392570000002</v>
      </c>
      <c r="AA279" s="6">
        <f>[1]Results!AD1624</f>
        <v>5970.0295640000004</v>
      </c>
      <c r="AB279" s="6">
        <f>[1]Results!AE1624</f>
        <v>6018.5854410000002</v>
      </c>
      <c r="AC279" s="6">
        <f>[1]Results!AF1624</f>
        <v>6067.9852270000001</v>
      </c>
      <c r="AD279" s="6">
        <f>[1]Results!AG1624</f>
        <v>6117.8875740000003</v>
      </c>
      <c r="AE279" s="6">
        <f>[1]Results!AH1624</f>
        <v>6167.1288080000004</v>
      </c>
      <c r="AF279" s="6">
        <f>[1]Results!AI1624</f>
        <v>6215.2494500000003</v>
      </c>
      <c r="AG279" s="6">
        <f>[1]Results!AJ1624</f>
        <v>6262.4197899999999</v>
      </c>
      <c r="AH279" s="6">
        <f>[1]Results!AK1624</f>
        <v>6309.0853180000004</v>
      </c>
      <c r="AI279" s="6">
        <f>[1]Results!AL1624</f>
        <v>6355.6848250000003</v>
      </c>
      <c r="AJ279" s="6">
        <f>[1]Results!AM1624</f>
        <v>6402.4855349999998</v>
      </c>
      <c r="AK279" s="6">
        <f>[1]Results!AN1624</f>
        <v>6449.5432570000003</v>
      </c>
      <c r="AL279" s="6">
        <f>[1]Results!AO1624</f>
        <v>6496.7676890000002</v>
      </c>
    </row>
    <row r="280" spans="1:38" x14ac:dyDescent="0.3">
      <c r="B280" t="s">
        <v>10</v>
      </c>
      <c r="C280" s="6">
        <f>[1]Results!F1621</f>
        <v>367266.26270000002</v>
      </c>
      <c r="D280" s="6">
        <f>[1]Results!G1621</f>
        <v>371236.76130000001</v>
      </c>
      <c r="E280" s="6">
        <f>[1]Results!H1621</f>
        <v>376362.92660000001</v>
      </c>
      <c r="F280" s="6">
        <f>[1]Results!I1621</f>
        <v>383008.27049999998</v>
      </c>
      <c r="G280" s="6">
        <f>[1]Results!J1621</f>
        <v>390404.26400000002</v>
      </c>
      <c r="H280" s="6">
        <f>[1]Results!K1621</f>
        <v>397828.79979999998</v>
      </c>
      <c r="I280" s="6">
        <f>[1]Results!L1621</f>
        <v>405286.51990000001</v>
      </c>
      <c r="J280" s="6">
        <f>[1]Results!M1621</f>
        <v>409480.21480000002</v>
      </c>
      <c r="K280" s="6">
        <f>[1]Results!N1621</f>
        <v>411619.74660000001</v>
      </c>
      <c r="L280" s="6">
        <f>[1]Results!O1621</f>
        <v>413637.17940000002</v>
      </c>
      <c r="M280" s="6">
        <f>[1]Results!P1621</f>
        <v>416629.57150000002</v>
      </c>
      <c r="N280" s="6">
        <f>[1]Results!Q1621</f>
        <v>422341.06719999999</v>
      </c>
      <c r="O280" s="6">
        <f>[1]Results!R1621</f>
        <v>429821.83500000002</v>
      </c>
      <c r="P280" s="6">
        <f>[1]Results!S1621</f>
        <v>438275.40059999999</v>
      </c>
      <c r="Q280" s="6">
        <f>[1]Results!T1621</f>
        <v>447006.10100000002</v>
      </c>
      <c r="R280" s="6">
        <f>[1]Results!U1621</f>
        <v>455569.01370000001</v>
      </c>
      <c r="S280" s="6">
        <f>[1]Results!V1621</f>
        <v>463847.49680000002</v>
      </c>
      <c r="T280" s="6">
        <f>[1]Results!W1621</f>
        <v>471987.3652</v>
      </c>
      <c r="U280" s="6">
        <f>[1]Results!X1621</f>
        <v>480249.0294</v>
      </c>
      <c r="V280" s="6">
        <f>[1]Results!Y1621</f>
        <v>488863.53899999999</v>
      </c>
      <c r="W280" s="6">
        <f>[1]Results!Z1621</f>
        <v>498183.26650000003</v>
      </c>
      <c r="X280" s="6">
        <f>[1]Results!AA1621</f>
        <v>507432.34600000002</v>
      </c>
      <c r="Y280" s="6">
        <f>[1]Results!AB1621</f>
        <v>517048.18479999999</v>
      </c>
      <c r="Z280" s="6">
        <f>[1]Results!AC1621</f>
        <v>526983.74289999995</v>
      </c>
      <c r="AA280" s="6">
        <f>[1]Results!AD1621</f>
        <v>537082.71</v>
      </c>
      <c r="AB280" s="6">
        <f>[1]Results!AE1621</f>
        <v>547789.61120000004</v>
      </c>
      <c r="AC280" s="6">
        <f>[1]Results!AF1621</f>
        <v>557448.68279999995</v>
      </c>
      <c r="AD280" s="6">
        <f>[1]Results!AG1621</f>
        <v>566898.3112</v>
      </c>
      <c r="AE280" s="6">
        <f>[1]Results!AH1621</f>
        <v>576485.54579999996</v>
      </c>
      <c r="AF280" s="6">
        <f>[1]Results!AI1621</f>
        <v>586320.92940000002</v>
      </c>
      <c r="AG280" s="6">
        <f>[1]Results!AJ1621</f>
        <v>596393.78200000001</v>
      </c>
      <c r="AH280" s="6">
        <f>[1]Results!AK1621</f>
        <v>606637.81149999995</v>
      </c>
      <c r="AI280" s="6">
        <f>[1]Results!AL1621</f>
        <v>616983.1176</v>
      </c>
      <c r="AJ280" s="6">
        <f>[1]Results!AM1621</f>
        <v>627390.15469999996</v>
      </c>
      <c r="AK280" s="6">
        <f>[1]Results!AN1621</f>
        <v>637859.99670000002</v>
      </c>
      <c r="AL280" s="6">
        <f>[1]Results!AO1621</f>
        <v>648424.10290000006</v>
      </c>
    </row>
    <row r="281" spans="1:38" x14ac:dyDescent="0.3">
      <c r="B281" t="s">
        <v>23</v>
      </c>
      <c r="C281" s="6">
        <f>[1]Results!F1616</f>
        <v>15672.11339</v>
      </c>
      <c r="D281" s="6">
        <f>[1]Results!G1616</f>
        <v>15776.31237</v>
      </c>
      <c r="E281" s="6">
        <f>[1]Results!H1616</f>
        <v>15894.49726</v>
      </c>
      <c r="F281" s="6">
        <f>[1]Results!I1616</f>
        <v>16052.907300000001</v>
      </c>
      <c r="G281" s="6">
        <f>[1]Results!J1616</f>
        <v>16242.584000000001</v>
      </c>
      <c r="H281" s="6">
        <f>[1]Results!K1616</f>
        <v>16448.979459999999</v>
      </c>
      <c r="I281" s="6">
        <f>[1]Results!L1616</f>
        <v>16661.888589999999</v>
      </c>
      <c r="J281" s="6">
        <f>[1]Results!M1616</f>
        <v>16810.982250000001</v>
      </c>
      <c r="K281" s="6">
        <f>[1]Results!N1616</f>
        <v>16911.45378</v>
      </c>
      <c r="L281" s="6">
        <f>[1]Results!O1616</f>
        <v>17002.428059999998</v>
      </c>
      <c r="M281" s="6">
        <f>[1]Results!P1616</f>
        <v>17127.50301</v>
      </c>
      <c r="N281" s="6">
        <f>[1]Results!Q1616</f>
        <v>17299.695800000001</v>
      </c>
      <c r="O281" s="6">
        <f>[1]Results!R1616</f>
        <v>17514.84849</v>
      </c>
      <c r="P281" s="6">
        <f>[1]Results!S1616</f>
        <v>17759.62298</v>
      </c>
      <c r="Q281" s="6">
        <f>[1]Results!T1616</f>
        <v>18018.302080000001</v>
      </c>
      <c r="R281" s="6">
        <f>[1]Results!U1616</f>
        <v>18278.980950000001</v>
      </c>
      <c r="S281" s="6">
        <f>[1]Results!V1616</f>
        <v>18536.69728</v>
      </c>
      <c r="T281" s="6">
        <f>[1]Results!W1616</f>
        <v>18792.945769999998</v>
      </c>
      <c r="U281" s="6">
        <f>[1]Results!X1616</f>
        <v>19052.833449999998</v>
      </c>
      <c r="V281" s="6">
        <f>[1]Results!Y1616</f>
        <v>19321.764009999999</v>
      </c>
      <c r="W281" s="6">
        <f>[1]Results!Z1616</f>
        <v>19597.174210000001</v>
      </c>
      <c r="X281" s="6">
        <f>[1]Results!AA1616</f>
        <v>19884.255140000001</v>
      </c>
      <c r="Y281" s="6">
        <f>[1]Results!AB1616</f>
        <v>20184.41849</v>
      </c>
      <c r="Z281" s="6">
        <f>[1]Results!AC1616</f>
        <v>20494.997469999998</v>
      </c>
      <c r="AA281" s="6">
        <f>[1]Results!AD1616</f>
        <v>20812.262640000001</v>
      </c>
      <c r="AB281" s="6">
        <f>[1]Results!AE1616</f>
        <v>21114.164990000001</v>
      </c>
      <c r="AC281" s="6">
        <f>[1]Results!AF1616</f>
        <v>21409.460930000001</v>
      </c>
      <c r="AD281" s="6">
        <f>[1]Results!AG1616</f>
        <v>21705.11249</v>
      </c>
      <c r="AE281" s="6">
        <f>[1]Results!AH1616</f>
        <v>22005.455880000001</v>
      </c>
      <c r="AF281" s="6">
        <f>[1]Results!AI1616</f>
        <v>22312.497739999999</v>
      </c>
      <c r="AG281" s="6">
        <f>[1]Results!AJ1616</f>
        <v>22626.2889</v>
      </c>
      <c r="AH281" s="6">
        <f>[1]Results!AK1616</f>
        <v>22945.64688</v>
      </c>
      <c r="AI281" s="6">
        <f>[1]Results!AL1616</f>
        <v>23269.091899999999</v>
      </c>
      <c r="AJ281" s="6">
        <f>[1]Results!AM1616</f>
        <v>23595.61593</v>
      </c>
      <c r="AK281" s="6">
        <f>[1]Results!AN1616</f>
        <v>23925.027129999999</v>
      </c>
      <c r="AL281" s="6">
        <f>[1]Results!AO1616</f>
        <v>24257.849470000001</v>
      </c>
    </row>
    <row r="283" spans="1:38" x14ac:dyDescent="0.3">
      <c r="A283" s="12" t="s">
        <v>17</v>
      </c>
      <c r="B283" t="s">
        <v>80</v>
      </c>
      <c r="C283" s="6">
        <f>[1]Results!F1639</f>
        <v>473232.37319999997</v>
      </c>
      <c r="D283" s="6">
        <f>[1]Results!G1639</f>
        <v>478431.02830000001</v>
      </c>
      <c r="E283" s="6">
        <f>[1]Results!H1639</f>
        <v>485026.14669999998</v>
      </c>
      <c r="F283" s="6">
        <f>[1]Results!I1639</f>
        <v>493250.495</v>
      </c>
      <c r="G283" s="6">
        <f>[1]Results!J1639</f>
        <v>502253.05869999999</v>
      </c>
      <c r="H283" s="6">
        <f>[1]Results!K1639</f>
        <v>511291.53320000001</v>
      </c>
      <c r="I283" s="6">
        <f>[1]Results!L1639</f>
        <v>520076.64980000001</v>
      </c>
      <c r="J283" s="6">
        <f>[1]Results!M1639</f>
        <v>528235.27159999998</v>
      </c>
      <c r="K283" s="6">
        <f>[1]Results!N1639</f>
        <v>535967.55339999998</v>
      </c>
      <c r="L283" s="6">
        <f>[1]Results!O1639</f>
        <v>543615.82449999999</v>
      </c>
      <c r="M283" s="6">
        <f>[1]Results!P1639</f>
        <v>551320.3173</v>
      </c>
      <c r="N283" s="6">
        <f>[1]Results!Q1639</f>
        <v>559874.63300000003</v>
      </c>
      <c r="O283" s="6">
        <f>[1]Results!R1639</f>
        <v>568631.20990000002</v>
      </c>
      <c r="P283" s="6">
        <f>[1]Results!S1639</f>
        <v>577384.74300000002</v>
      </c>
      <c r="Q283" s="6">
        <f>[1]Results!T1639</f>
        <v>586115.45700000005</v>
      </c>
      <c r="R283" s="6">
        <f>[1]Results!U1639</f>
        <v>594900.32200000004</v>
      </c>
      <c r="S283" s="6">
        <f>[1]Results!V1639</f>
        <v>603861.94449999998</v>
      </c>
      <c r="T283" s="6">
        <f>[1]Results!W1639</f>
        <v>613122.18709999998</v>
      </c>
      <c r="U283" s="6">
        <f>[1]Results!X1639</f>
        <v>622768.33889999997</v>
      </c>
      <c r="V283" s="6">
        <f>[1]Results!Y1639</f>
        <v>632838.87170000002</v>
      </c>
      <c r="W283" s="6">
        <f>[1]Results!Z1639</f>
        <v>643339.61100000003</v>
      </c>
      <c r="X283" s="6">
        <f>[1]Results!AA1639</f>
        <v>653898.73549999995</v>
      </c>
      <c r="Y283" s="6">
        <f>[1]Results!AB1639</f>
        <v>664879.43669999996</v>
      </c>
      <c r="Z283" s="6">
        <f>[1]Results!AC1639</f>
        <v>676290.90449999995</v>
      </c>
      <c r="AA283" s="6">
        <f>[1]Results!AD1639</f>
        <v>688054.43700000003</v>
      </c>
      <c r="AB283" s="6">
        <f>[1]Results!AE1639</f>
        <v>700002.20030000003</v>
      </c>
      <c r="AC283" s="6">
        <f>[1]Results!AF1639</f>
        <v>711411.32550000004</v>
      </c>
      <c r="AD283" s="6">
        <f>[1]Results!AG1639</f>
        <v>722859.93460000004</v>
      </c>
      <c r="AE283" s="6">
        <f>[1]Results!AH1639</f>
        <v>734547.33039999998</v>
      </c>
      <c r="AF283" s="6">
        <f>[1]Results!AI1639</f>
        <v>746502.69099999999</v>
      </c>
      <c r="AG283" s="6">
        <f>[1]Results!AJ1639</f>
        <v>758668.99219999998</v>
      </c>
      <c r="AH283" s="6">
        <f>[1]Results!AK1639</f>
        <v>770960.08</v>
      </c>
      <c r="AI283" s="6">
        <f>[1]Results!AL1639</f>
        <v>783306.5784</v>
      </c>
      <c r="AJ283" s="6">
        <f>[1]Results!AM1639</f>
        <v>795681.23100000003</v>
      </c>
      <c r="AK283" s="6">
        <f>[1]Results!AN1639</f>
        <v>808100.06039999996</v>
      </c>
      <c r="AL283" s="6">
        <f>[1]Results!AO1639</f>
        <v>820604.95510000002</v>
      </c>
    </row>
    <row r="284" spans="1:38" x14ac:dyDescent="0.3">
      <c r="A284" t="s">
        <v>26</v>
      </c>
      <c r="B284" t="s">
        <v>7</v>
      </c>
      <c r="C284" s="6">
        <f>[1]Results!F1640</f>
        <v>12189.78318</v>
      </c>
      <c r="D284" s="6">
        <f>[1]Results!G1640</f>
        <v>12187.914199999999</v>
      </c>
      <c r="E284" s="6">
        <f>[1]Results!H1640</f>
        <v>12151.81702</v>
      </c>
      <c r="F284" s="6">
        <f>[1]Results!I1640</f>
        <v>12130.72666</v>
      </c>
      <c r="G284" s="6">
        <f>[1]Results!J1640</f>
        <v>12139.187169999999</v>
      </c>
      <c r="H284" s="6">
        <f>[1]Results!K1640</f>
        <v>12176.85937</v>
      </c>
      <c r="I284" s="6">
        <f>[1]Results!L1640</f>
        <v>12232.58877</v>
      </c>
      <c r="J284" s="6">
        <f>[1]Results!M1640</f>
        <v>12299.096750000001</v>
      </c>
      <c r="K284" s="6">
        <f>[1]Results!N1640</f>
        <v>12370.730600000001</v>
      </c>
      <c r="L284" s="6">
        <f>[1]Results!O1640</f>
        <v>12442.857599999999</v>
      </c>
      <c r="M284" s="6">
        <f>[1]Results!P1640</f>
        <v>12520.96358</v>
      </c>
      <c r="N284" s="6">
        <f>[1]Results!Q1640</f>
        <v>12589.75726</v>
      </c>
      <c r="O284" s="6">
        <f>[1]Results!R1640</f>
        <v>12644.70851</v>
      </c>
      <c r="P284" s="6">
        <f>[1]Results!S1640</f>
        <v>12683.690420000001</v>
      </c>
      <c r="Q284" s="6">
        <f>[1]Results!T1640</f>
        <v>12707.0524</v>
      </c>
      <c r="R284" s="6">
        <f>[1]Results!U1640</f>
        <v>12717.24027</v>
      </c>
      <c r="S284" s="6">
        <f>[1]Results!V1640</f>
        <v>12717.90374</v>
      </c>
      <c r="T284" s="6">
        <f>[1]Results!W1640</f>
        <v>12712.920990000001</v>
      </c>
      <c r="U284" s="6">
        <f>[1]Results!X1640</f>
        <v>12705.67052</v>
      </c>
      <c r="V284" s="6">
        <f>[1]Results!Y1640</f>
        <v>12698.66914</v>
      </c>
      <c r="W284" s="6">
        <f>[1]Results!Z1640</f>
        <v>12686.777539999999</v>
      </c>
      <c r="X284" s="6">
        <f>[1]Results!AA1640</f>
        <v>12679.31343</v>
      </c>
      <c r="Y284" s="6">
        <f>[1]Results!AB1640</f>
        <v>12676.974840000001</v>
      </c>
      <c r="Z284" s="6">
        <f>[1]Results!AC1640</f>
        <v>12679.53332</v>
      </c>
      <c r="AA284" s="6">
        <f>[1]Results!AD1640</f>
        <v>12686.35268</v>
      </c>
      <c r="AB284" s="6">
        <f>[1]Results!AE1640</f>
        <v>12678.07027</v>
      </c>
      <c r="AC284" s="6">
        <f>[1]Results!AF1640</f>
        <v>12669.11205</v>
      </c>
      <c r="AD284" s="6">
        <f>[1]Results!AG1640</f>
        <v>12661.69591</v>
      </c>
      <c r="AE284" s="6">
        <f>[1]Results!AH1640</f>
        <v>12656.881670000001</v>
      </c>
      <c r="AF284" s="6">
        <f>[1]Results!AI1640</f>
        <v>12654.85583</v>
      </c>
      <c r="AG284" s="6">
        <f>[1]Results!AJ1640</f>
        <v>12655.099200000001</v>
      </c>
      <c r="AH284" s="6">
        <f>[1]Results!AK1640</f>
        <v>12656.80243</v>
      </c>
      <c r="AI284" s="6">
        <f>[1]Results!AL1640</f>
        <v>12659.27655</v>
      </c>
      <c r="AJ284" s="6">
        <f>[1]Results!AM1640</f>
        <v>12662.178959999999</v>
      </c>
      <c r="AK284" s="6">
        <f>[1]Results!AN1640</f>
        <v>12665.517250000001</v>
      </c>
      <c r="AL284" s="6">
        <f>[1]Results!AO1640</f>
        <v>12669.495199999999</v>
      </c>
    </row>
    <row r="285" spans="1:38" x14ac:dyDescent="0.3">
      <c r="B285" t="s">
        <v>96</v>
      </c>
      <c r="C285" s="6">
        <f>[1]Results!F1653</f>
        <v>7523.989826</v>
      </c>
      <c r="D285" s="6">
        <f>[1]Results!G1653</f>
        <v>7913.2368070000002</v>
      </c>
      <c r="E285" s="6">
        <f>[1]Results!H1653</f>
        <v>8426.502305</v>
      </c>
      <c r="F285" s="6">
        <f>[1]Results!I1653</f>
        <v>8863.1184620000004</v>
      </c>
      <c r="G285" s="6">
        <f>[1]Results!J1653</f>
        <v>9185.4755499999992</v>
      </c>
      <c r="H285" s="6">
        <f>[1]Results!K1653</f>
        <v>9421.5435620000007</v>
      </c>
      <c r="I285" s="6">
        <f>[1]Results!L1653</f>
        <v>9491.7115389999999</v>
      </c>
      <c r="J285" s="6">
        <f>[1]Results!M1653</f>
        <v>9559.522062</v>
      </c>
      <c r="K285" s="6">
        <f>[1]Results!N1653</f>
        <v>9649.0950479999992</v>
      </c>
      <c r="L285" s="6">
        <f>[1]Results!O1653</f>
        <v>9756.9286009999996</v>
      </c>
      <c r="M285" s="6">
        <f>[1]Results!P1653</f>
        <v>10045.147070000001</v>
      </c>
      <c r="N285" s="6">
        <f>[1]Results!Q1653</f>
        <v>10144.156349999999</v>
      </c>
      <c r="O285" s="6">
        <f>[1]Results!R1653</f>
        <v>10234.81601</v>
      </c>
      <c r="P285" s="6">
        <f>[1]Results!S1653</f>
        <v>10348.35478</v>
      </c>
      <c r="Q285" s="6">
        <f>[1]Results!T1653</f>
        <v>10479.810600000001</v>
      </c>
      <c r="R285" s="6">
        <f>[1]Results!U1653</f>
        <v>10622.46437</v>
      </c>
      <c r="S285" s="6">
        <f>[1]Results!V1653</f>
        <v>10773.197990000001</v>
      </c>
      <c r="T285" s="6">
        <f>[1]Results!W1653</f>
        <v>10931.476339999999</v>
      </c>
      <c r="U285" s="6">
        <f>[1]Results!X1653</f>
        <v>11097.66827</v>
      </c>
      <c r="V285" s="6">
        <f>[1]Results!Y1653</f>
        <v>11271.965539999999</v>
      </c>
      <c r="W285" s="6">
        <f>[1]Results!Z1653</f>
        <v>11334.48662</v>
      </c>
      <c r="X285" s="6">
        <f>[1]Results!AA1653</f>
        <v>11542.47957</v>
      </c>
      <c r="Y285" s="6">
        <f>[1]Results!AB1653</f>
        <v>11773.229579999999</v>
      </c>
      <c r="Z285" s="6">
        <f>[1]Results!AC1653</f>
        <v>11997.84773</v>
      </c>
      <c r="AA285" s="6">
        <f>[1]Results!AD1653</f>
        <v>12215.62436</v>
      </c>
      <c r="AB285" s="6">
        <f>[1]Results!AE1653</f>
        <v>12078.713369999999</v>
      </c>
      <c r="AC285" s="6">
        <f>[1]Results!AF1653</f>
        <v>12207.49013</v>
      </c>
      <c r="AD285" s="6">
        <f>[1]Results!AG1653</f>
        <v>12407.082249999999</v>
      </c>
      <c r="AE285" s="6">
        <f>[1]Results!AH1653</f>
        <v>12618.11047</v>
      </c>
      <c r="AF285" s="6">
        <f>[1]Results!AI1653</f>
        <v>12828.735619999999</v>
      </c>
      <c r="AG285" s="6">
        <f>[1]Results!AJ1653</f>
        <v>13038.065409999999</v>
      </c>
      <c r="AH285" s="6">
        <f>[1]Results!AK1653</f>
        <v>13246.50027</v>
      </c>
      <c r="AI285" s="6">
        <f>[1]Results!AL1653</f>
        <v>13454.18831</v>
      </c>
      <c r="AJ285" s="6">
        <f>[1]Results!AM1653</f>
        <v>13661.34928</v>
      </c>
      <c r="AK285" s="6">
        <f>[1]Results!AN1653</f>
        <v>13868.598749999999</v>
      </c>
      <c r="AL285" s="6">
        <f>[1]Results!AO1653</f>
        <v>14076.89121</v>
      </c>
    </row>
    <row r="286" spans="1:38" x14ac:dyDescent="0.3">
      <c r="B286" t="s">
        <v>11</v>
      </c>
      <c r="C286" s="6">
        <f>[1]Results!F1668</f>
        <v>6752.8269749999999</v>
      </c>
      <c r="D286" s="6">
        <f>[1]Results!G1668</f>
        <v>6806.7166960000004</v>
      </c>
      <c r="E286" s="6">
        <f>[1]Results!H1668</f>
        <v>6848.0403109999997</v>
      </c>
      <c r="F286" s="6">
        <f>[1]Results!I1668</f>
        <v>6894.8682140000001</v>
      </c>
      <c r="G286" s="6">
        <f>[1]Results!J1668</f>
        <v>6960.7546380000003</v>
      </c>
      <c r="H286" s="6">
        <f>[1]Results!K1668</f>
        <v>7054.6314819999998</v>
      </c>
      <c r="I286" s="6">
        <f>[1]Results!L1668</f>
        <v>7177.8717429999997</v>
      </c>
      <c r="J286" s="6">
        <f>[1]Results!M1668</f>
        <v>7330.7546750000001</v>
      </c>
      <c r="K286" s="6">
        <f>[1]Results!N1668</f>
        <v>7509.263148</v>
      </c>
      <c r="L286" s="6">
        <f>[1]Results!O1668</f>
        <v>7706.0447379999996</v>
      </c>
      <c r="M286" s="6">
        <f>[1]Results!P1668</f>
        <v>7915.4948329999997</v>
      </c>
      <c r="N286" s="6">
        <f>[1]Results!Q1668</f>
        <v>8125.6969719999997</v>
      </c>
      <c r="O286" s="6">
        <f>[1]Results!R1668</f>
        <v>8329.8767829999997</v>
      </c>
      <c r="P286" s="6">
        <f>[1]Results!S1668</f>
        <v>8523.2214590000003</v>
      </c>
      <c r="Q286" s="6">
        <f>[1]Results!T1668</f>
        <v>8701.6191049999998</v>
      </c>
      <c r="R286" s="6">
        <f>[1]Results!U1668</f>
        <v>8861.7771250000005</v>
      </c>
      <c r="S286" s="6">
        <f>[1]Results!V1668</f>
        <v>9002.6267850000004</v>
      </c>
      <c r="T286" s="6">
        <f>[1]Results!W1668</f>
        <v>9125.6396139999997</v>
      </c>
      <c r="U286" s="6">
        <f>[1]Results!X1668</f>
        <v>9234.6037969999998</v>
      </c>
      <c r="V286" s="6">
        <f>[1]Results!Y1668</f>
        <v>9334.9793499999996</v>
      </c>
      <c r="W286" s="6">
        <f>[1]Results!Z1668</f>
        <v>9430.1688240000003</v>
      </c>
      <c r="X286" s="6">
        <f>[1]Results!AA1668</f>
        <v>9528.2473979999995</v>
      </c>
      <c r="Y286" s="6">
        <f>[1]Results!AB1668</f>
        <v>9633.6985829999994</v>
      </c>
      <c r="Z286" s="6">
        <f>[1]Results!AC1668</f>
        <v>9749.6713290000007</v>
      </c>
      <c r="AA286" s="6">
        <f>[1]Results!AD1668</f>
        <v>9878.5149880000008</v>
      </c>
      <c r="AB286" s="6">
        <f>[1]Results!AE1668</f>
        <v>10012.06293</v>
      </c>
      <c r="AC286" s="6">
        <f>[1]Results!AF1668</f>
        <v>10156.89697</v>
      </c>
      <c r="AD286" s="6">
        <f>[1]Results!AG1668</f>
        <v>10311.363069999999</v>
      </c>
      <c r="AE286" s="6">
        <f>[1]Results!AH1668</f>
        <v>10472.409089999999</v>
      </c>
      <c r="AF286" s="6">
        <f>[1]Results!AI1668</f>
        <v>10637.85974</v>
      </c>
      <c r="AG286" s="6">
        <f>[1]Results!AJ1668</f>
        <v>10806.53874</v>
      </c>
      <c r="AH286" s="6">
        <f>[1]Results!AK1668</f>
        <v>10977.76017</v>
      </c>
      <c r="AI286" s="6">
        <f>[1]Results!AL1668</f>
        <v>11150.79751</v>
      </c>
      <c r="AJ286" s="6">
        <f>[1]Results!AM1668</f>
        <v>11324.59662</v>
      </c>
      <c r="AK286" s="6">
        <f>[1]Results!AN1668</f>
        <v>11497.809080000001</v>
      </c>
      <c r="AL286" s="6">
        <f>[1]Results!AO1668</f>
        <v>11668.78793</v>
      </c>
    </row>
    <row r="287" spans="1:38" x14ac:dyDescent="0.3">
      <c r="B287" t="s">
        <v>8</v>
      </c>
      <c r="C287" s="6">
        <f>[1]Results!F1643-[1]Results!F1653</f>
        <v>59909.080514000008</v>
      </c>
      <c r="D287" s="6">
        <f>[1]Results!G1643-[1]Results!G1653</f>
        <v>60466.815542999997</v>
      </c>
      <c r="E287" s="6">
        <f>[1]Results!H1643-[1]Results!H1653</f>
        <v>61166.761205000003</v>
      </c>
      <c r="F287" s="6">
        <f>[1]Results!I1643-[1]Results!I1653</f>
        <v>62000.971917999996</v>
      </c>
      <c r="G287" s="6">
        <f>[1]Results!J1643-[1]Results!J1653</f>
        <v>62905.502659999998</v>
      </c>
      <c r="H287" s="6">
        <f>[1]Results!K1643-[1]Results!K1653</f>
        <v>63834.939097999995</v>
      </c>
      <c r="I287" s="6">
        <f>[1]Results!L1643-[1]Results!L1653</f>
        <v>64704.324731000001</v>
      </c>
      <c r="J287" s="6">
        <f>[1]Results!M1643-[1]Results!M1653</f>
        <v>65548.858628000002</v>
      </c>
      <c r="K287" s="6">
        <f>[1]Results!N1643-[1]Results!N1653</f>
        <v>66388.784621999992</v>
      </c>
      <c r="L287" s="6">
        <f>[1]Results!O1643-[1]Results!O1653</f>
        <v>67238.114888999989</v>
      </c>
      <c r="M287" s="6">
        <f>[1]Results!P1643-[1]Results!P1653</f>
        <v>68205.551629999987</v>
      </c>
      <c r="N287" s="6">
        <f>[1]Results!Q1643-[1]Results!Q1653</f>
        <v>69131.268469999995</v>
      </c>
      <c r="O287" s="6">
        <f>[1]Results!R1643-[1]Results!R1653</f>
        <v>70047.118390000003</v>
      </c>
      <c r="P287" s="6">
        <f>[1]Results!S1643-[1]Results!S1653</f>
        <v>70962.944770000002</v>
      </c>
      <c r="Q287" s="6">
        <f>[1]Results!T1643-[1]Results!T1653</f>
        <v>71877.16565000001</v>
      </c>
      <c r="R287" s="6">
        <f>[1]Results!U1643-[1]Results!U1653</f>
        <v>72790.996480000002</v>
      </c>
      <c r="S287" s="6">
        <f>[1]Results!V1643-[1]Results!V1653</f>
        <v>73710.736869999993</v>
      </c>
      <c r="T287" s="6">
        <f>[1]Results!W1643-[1]Results!W1653</f>
        <v>74645.127370000002</v>
      </c>
      <c r="U287" s="6">
        <f>[1]Results!X1643-[1]Results!X1653</f>
        <v>75602.138180000009</v>
      </c>
      <c r="V287" s="6">
        <f>[1]Results!Y1643-[1]Results!Y1653</f>
        <v>76586.986629999999</v>
      </c>
      <c r="W287" s="6">
        <f>[1]Results!Z1643-[1]Results!Z1653</f>
        <v>77527.59332</v>
      </c>
      <c r="X287" s="6">
        <f>[1]Results!AA1643-[1]Results!AA1653</f>
        <v>78545.847840000002</v>
      </c>
      <c r="Y287" s="6">
        <f>[1]Results!AB1643-[1]Results!AB1653</f>
        <v>79615.514469999995</v>
      </c>
      <c r="Z287" s="6">
        <f>[1]Results!AC1643-[1]Results!AC1653</f>
        <v>80718.837090000001</v>
      </c>
      <c r="AA287" s="6">
        <f>[1]Results!AD1643-[1]Results!AD1653</f>
        <v>81848.739239999995</v>
      </c>
      <c r="AB287" s="6">
        <f>[1]Results!AE1643-[1]Results!AE1653</f>
        <v>82782.356880000007</v>
      </c>
      <c r="AC287" s="6">
        <f>[1]Results!AF1643-[1]Results!AF1653</f>
        <v>83791.257729999998</v>
      </c>
      <c r="AD287" s="6">
        <f>[1]Results!AG1643-[1]Results!AG1653</f>
        <v>84853.894369999995</v>
      </c>
      <c r="AE287" s="6">
        <f>[1]Results!AH1643-[1]Results!AH1653</f>
        <v>85950.731010000003</v>
      </c>
      <c r="AF287" s="6">
        <f>[1]Results!AI1643-[1]Results!AI1653</f>
        <v>87075.303509999998</v>
      </c>
      <c r="AG287" s="6">
        <f>[1]Results!AJ1643-[1]Results!AJ1653</f>
        <v>88223.237890000004</v>
      </c>
      <c r="AH287" s="6">
        <f>[1]Results!AK1643-[1]Results!AK1653</f>
        <v>89389.245029999991</v>
      </c>
      <c r="AI287" s="6">
        <f>[1]Results!AL1643-[1]Results!AL1653</f>
        <v>90568.388789999997</v>
      </c>
      <c r="AJ287" s="6">
        <f>[1]Results!AM1643-[1]Results!AM1653</f>
        <v>91757.832620000001</v>
      </c>
      <c r="AK287" s="6">
        <f>[1]Results!AN1643-[1]Results!AN1653</f>
        <v>92957.453549999991</v>
      </c>
      <c r="AL287" s="6">
        <f>[1]Results!AO1643-[1]Results!AO1653</f>
        <v>94169.132689999999</v>
      </c>
    </row>
    <row r="288" spans="1:38" x14ac:dyDescent="0.3">
      <c r="B288" t="s">
        <v>24</v>
      </c>
      <c r="C288" s="6">
        <f>[1]Results!F1663</f>
        <v>3918.3165840000001</v>
      </c>
      <c r="D288" s="6">
        <f>[1]Results!G1663</f>
        <v>4043.2712980000001</v>
      </c>
      <c r="E288" s="6">
        <f>[1]Results!H1663</f>
        <v>4175.6019619999997</v>
      </c>
      <c r="F288" s="6">
        <f>[1]Results!I1663</f>
        <v>4299.6320239999995</v>
      </c>
      <c r="G288" s="6">
        <f>[1]Results!J1663</f>
        <v>4415.2907169999999</v>
      </c>
      <c r="H288" s="6">
        <f>[1]Results!K1663</f>
        <v>4525.7804189999997</v>
      </c>
      <c r="I288" s="6">
        <f>[1]Results!L1663</f>
        <v>4631.472256</v>
      </c>
      <c r="J288" s="6">
        <f>[1]Results!M1663</f>
        <v>4734.7539489999999</v>
      </c>
      <c r="K288" s="6">
        <f>[1]Results!N1663</f>
        <v>4836.2751269999999</v>
      </c>
      <c r="L288" s="6">
        <f>[1]Results!O1663</f>
        <v>4935.4835359999997</v>
      </c>
      <c r="M288" s="6">
        <f>[1]Results!P1663</f>
        <v>5034.6784260000004</v>
      </c>
      <c r="N288" s="6">
        <f>[1]Results!Q1663</f>
        <v>5129.2893139999996</v>
      </c>
      <c r="O288" s="6">
        <f>[1]Results!R1663</f>
        <v>5219.8312850000002</v>
      </c>
      <c r="P288" s="6">
        <f>[1]Results!S1663</f>
        <v>5307.0444909999997</v>
      </c>
      <c r="Q288" s="6">
        <f>[1]Results!T1663</f>
        <v>5390.9803140000004</v>
      </c>
      <c r="R288" s="6">
        <f>[1]Results!U1663</f>
        <v>5471.2449649999999</v>
      </c>
      <c r="S288" s="6">
        <f>[1]Results!V1663</f>
        <v>5547.3974959999996</v>
      </c>
      <c r="T288" s="6">
        <f>[1]Results!W1663</f>
        <v>5619.2215459999998</v>
      </c>
      <c r="U288" s="6">
        <f>[1]Results!X1663</f>
        <v>5686.8599629999999</v>
      </c>
      <c r="V288" s="6">
        <f>[1]Results!Y1663</f>
        <v>5750.8099110000003</v>
      </c>
      <c r="W288" s="6">
        <f>[1]Results!Z1663</f>
        <v>5809.3817730000001</v>
      </c>
      <c r="X288" s="6">
        <f>[1]Results!AA1663</f>
        <v>5866.500333</v>
      </c>
      <c r="Y288" s="6">
        <f>[1]Results!AB1663</f>
        <v>5922.6847159999998</v>
      </c>
      <c r="Z288" s="6">
        <f>[1]Results!AC1663</f>
        <v>5978.1358579999996</v>
      </c>
      <c r="AA288" s="6">
        <f>[1]Results!AD1663</f>
        <v>6033.262839</v>
      </c>
      <c r="AB288" s="6">
        <f>[1]Results!AE1663</f>
        <v>6080.9251750000003</v>
      </c>
      <c r="AC288" s="6">
        <f>[1]Results!AF1663</f>
        <v>6128.5157479999998</v>
      </c>
      <c r="AD288" s="6">
        <f>[1]Results!AG1663</f>
        <v>6176.1411969999999</v>
      </c>
      <c r="AE288" s="6">
        <f>[1]Results!AH1663</f>
        <v>6223.1148910000002</v>
      </c>
      <c r="AF288" s="6">
        <f>[1]Results!AI1663</f>
        <v>6269.3536430000004</v>
      </c>
      <c r="AG288" s="6">
        <f>[1]Results!AJ1663</f>
        <v>6315.2234939999998</v>
      </c>
      <c r="AH288" s="6">
        <f>[1]Results!AK1663</f>
        <v>6361.1962940000003</v>
      </c>
      <c r="AI288" s="6">
        <f>[1]Results!AL1663</f>
        <v>6407.6073569999999</v>
      </c>
      <c r="AJ288" s="6">
        <f>[1]Results!AM1663</f>
        <v>6454.5572320000001</v>
      </c>
      <c r="AK288" s="6">
        <f>[1]Results!AN1663</f>
        <v>6501.939687</v>
      </c>
      <c r="AL288" s="6">
        <f>[1]Results!AO1663</f>
        <v>6549.5227670000004</v>
      </c>
    </row>
    <row r="289" spans="1:38" x14ac:dyDescent="0.3">
      <c r="B289" t="s">
        <v>10</v>
      </c>
      <c r="C289" s="6">
        <f>[1]Results!F1660</f>
        <v>367266.26270000002</v>
      </c>
      <c r="D289" s="6">
        <f>[1]Results!G1660</f>
        <v>371236.76130000001</v>
      </c>
      <c r="E289" s="6">
        <f>[1]Results!H1660</f>
        <v>376362.92660000001</v>
      </c>
      <c r="F289" s="6">
        <f>[1]Results!I1660</f>
        <v>383008.27049999998</v>
      </c>
      <c r="G289" s="6">
        <f>[1]Results!J1660</f>
        <v>390404.26400000002</v>
      </c>
      <c r="H289" s="6">
        <f>[1]Results!K1660</f>
        <v>397828.79979999998</v>
      </c>
      <c r="I289" s="6">
        <f>[1]Results!L1660</f>
        <v>405180.67170000001</v>
      </c>
      <c r="J289" s="6">
        <f>[1]Results!M1660</f>
        <v>411898.91320000001</v>
      </c>
      <c r="K289" s="6">
        <f>[1]Results!N1660</f>
        <v>418146.69510000001</v>
      </c>
      <c r="L289" s="6">
        <f>[1]Results!O1660</f>
        <v>424263.58750000002</v>
      </c>
      <c r="M289" s="6">
        <f>[1]Results!P1660</f>
        <v>430105.44660000002</v>
      </c>
      <c r="N289" s="6">
        <f>[1]Results!Q1660</f>
        <v>437029.64809999999</v>
      </c>
      <c r="O289" s="6">
        <f>[1]Results!R1660</f>
        <v>444192.69429999997</v>
      </c>
      <c r="P289" s="6">
        <f>[1]Results!S1660</f>
        <v>451357.85399999999</v>
      </c>
      <c r="Q289" s="6">
        <f>[1]Results!T1660</f>
        <v>458516.71789999999</v>
      </c>
      <c r="R289" s="6">
        <f>[1]Results!U1660</f>
        <v>465752.2144</v>
      </c>
      <c r="S289" s="6">
        <f>[1]Results!V1660</f>
        <v>473179.62300000002</v>
      </c>
      <c r="T289" s="6">
        <f>[1]Results!W1660</f>
        <v>480905.1249</v>
      </c>
      <c r="U289" s="6">
        <f>[1]Results!X1660</f>
        <v>488998.4535</v>
      </c>
      <c r="V289" s="6">
        <f>[1]Results!Y1660</f>
        <v>497483.14640000003</v>
      </c>
      <c r="W289" s="6">
        <f>[1]Results!Z1660</f>
        <v>506566.60519999999</v>
      </c>
      <c r="X289" s="6">
        <f>[1]Results!AA1660</f>
        <v>515471.58659999998</v>
      </c>
      <c r="Y289" s="6">
        <f>[1]Results!AB1660</f>
        <v>524701.92700000003</v>
      </c>
      <c r="Z289" s="6">
        <f>[1]Results!AC1660</f>
        <v>534310.71369999996</v>
      </c>
      <c r="AA289" s="6">
        <f>[1]Results!AD1660</f>
        <v>544226.36840000004</v>
      </c>
      <c r="AB289" s="6">
        <f>[1]Results!AE1660</f>
        <v>554907.92669999995</v>
      </c>
      <c r="AC289" s="6">
        <f>[1]Results!AF1660</f>
        <v>564702.37509999995</v>
      </c>
      <c r="AD289" s="6">
        <f>[1]Results!AG1660</f>
        <v>574397.27879999997</v>
      </c>
      <c r="AE289" s="6">
        <f>[1]Results!AH1660</f>
        <v>584270.44290000002</v>
      </c>
      <c r="AF289" s="6">
        <f>[1]Results!AI1660</f>
        <v>594370.6973</v>
      </c>
      <c r="AG289" s="6">
        <f>[1]Results!AJ1660</f>
        <v>604648.49360000005</v>
      </c>
      <c r="AH289" s="6">
        <f>[1]Results!AK1660</f>
        <v>615025.19169999997</v>
      </c>
      <c r="AI289" s="6">
        <f>[1]Results!AL1660</f>
        <v>625438.74239999999</v>
      </c>
      <c r="AJ289" s="6">
        <f>[1]Results!AM1660</f>
        <v>635866.55149999994</v>
      </c>
      <c r="AK289" s="6">
        <f>[1]Results!AN1660</f>
        <v>646325.50800000003</v>
      </c>
      <c r="AL289" s="6">
        <f>[1]Results!AO1660</f>
        <v>656855.66390000004</v>
      </c>
    </row>
    <row r="290" spans="1:38" x14ac:dyDescent="0.3">
      <c r="B290" t="s">
        <v>23</v>
      </c>
      <c r="C290" s="6">
        <f>[1]Results!F1655</f>
        <v>15672.11339</v>
      </c>
      <c r="D290" s="6">
        <f>[1]Results!G1655</f>
        <v>15776.31237</v>
      </c>
      <c r="E290" s="6">
        <f>[1]Results!H1655</f>
        <v>15894.49726</v>
      </c>
      <c r="F290" s="6">
        <f>[1]Results!I1655</f>
        <v>16052.907300000001</v>
      </c>
      <c r="G290" s="6">
        <f>[1]Results!J1655</f>
        <v>16242.584000000001</v>
      </c>
      <c r="H290" s="6">
        <f>[1]Results!K1655</f>
        <v>16448.979459999999</v>
      </c>
      <c r="I290" s="6">
        <f>[1]Results!L1655</f>
        <v>16658.00908</v>
      </c>
      <c r="J290" s="6">
        <f>[1]Results!M1655</f>
        <v>16863.37228</v>
      </c>
      <c r="K290" s="6">
        <f>[1]Results!N1655</f>
        <v>17066.70983</v>
      </c>
      <c r="L290" s="6">
        <f>[1]Results!O1655</f>
        <v>17272.80762</v>
      </c>
      <c r="M290" s="6">
        <f>[1]Results!P1655</f>
        <v>17493.035179999999</v>
      </c>
      <c r="N290" s="6">
        <f>[1]Results!Q1655</f>
        <v>17724.81654</v>
      </c>
      <c r="O290" s="6">
        <f>[1]Results!R1655</f>
        <v>17962.164659999999</v>
      </c>
      <c r="P290" s="6">
        <f>[1]Results!S1655</f>
        <v>18201.633099999999</v>
      </c>
      <c r="Q290" s="6">
        <f>[1]Results!T1655</f>
        <v>18442.111110000002</v>
      </c>
      <c r="R290" s="6">
        <f>[1]Results!U1655</f>
        <v>18684.38437</v>
      </c>
      <c r="S290" s="6">
        <f>[1]Results!V1655</f>
        <v>18930.458620000001</v>
      </c>
      <c r="T290" s="6">
        <f>[1]Results!W1655</f>
        <v>19182.67628</v>
      </c>
      <c r="U290" s="6">
        <f>[1]Results!X1655</f>
        <v>19442.944680000001</v>
      </c>
      <c r="V290" s="6">
        <f>[1]Results!Y1655</f>
        <v>19712.314729999998</v>
      </c>
      <c r="W290" s="6">
        <f>[1]Results!Z1655</f>
        <v>19984.59778</v>
      </c>
      <c r="X290" s="6">
        <f>[1]Results!AA1655</f>
        <v>20264.76035</v>
      </c>
      <c r="Y290" s="6">
        <f>[1]Results!AB1655</f>
        <v>20555.407510000001</v>
      </c>
      <c r="Z290" s="6">
        <f>[1]Results!AC1655</f>
        <v>20856.165420000001</v>
      </c>
      <c r="AA290" s="6">
        <f>[1]Results!AD1655</f>
        <v>21165.57446</v>
      </c>
      <c r="AB290" s="6">
        <f>[1]Results!AE1655</f>
        <v>21462.144990000001</v>
      </c>
      <c r="AC290" s="6">
        <f>[1]Results!AF1655</f>
        <v>21755.677790000002</v>
      </c>
      <c r="AD290" s="6">
        <f>[1]Results!AG1655</f>
        <v>22052.47897</v>
      </c>
      <c r="AE290" s="6">
        <f>[1]Results!AH1655</f>
        <v>22355.640439999999</v>
      </c>
      <c r="AF290" s="6">
        <f>[1]Results!AI1655</f>
        <v>22665.88538</v>
      </c>
      <c r="AG290" s="6">
        <f>[1]Results!AJ1655</f>
        <v>22982.333859999999</v>
      </c>
      <c r="AH290" s="6">
        <f>[1]Results!AK1655</f>
        <v>23303.38408</v>
      </c>
      <c r="AI290" s="6">
        <f>[1]Results!AL1655</f>
        <v>23627.577529999999</v>
      </c>
      <c r="AJ290" s="6">
        <f>[1]Results!AM1655</f>
        <v>23954.164799999999</v>
      </c>
      <c r="AK290" s="6">
        <f>[1]Results!AN1655</f>
        <v>24283.234079999998</v>
      </c>
      <c r="AL290" s="6">
        <f>[1]Results!AO1655</f>
        <v>24615.461429999999</v>
      </c>
    </row>
    <row r="292" spans="1:38" x14ac:dyDescent="0.3">
      <c r="A292" s="12" t="s">
        <v>17</v>
      </c>
      <c r="B292" t="s">
        <v>80</v>
      </c>
      <c r="C292" s="4">
        <f>C274/C283-1</f>
        <v>0</v>
      </c>
      <c r="D292" s="4">
        <f t="shared" ref="D292:AL292" si="61">D274/D283-1</f>
        <v>0</v>
      </c>
      <c r="E292" s="4">
        <f t="shared" si="61"/>
        <v>0</v>
      </c>
      <c r="F292" s="4">
        <f t="shared" si="61"/>
        <v>0</v>
      </c>
      <c r="G292" s="4">
        <f t="shared" si="61"/>
        <v>0</v>
      </c>
      <c r="H292" s="4">
        <f t="shared" si="61"/>
        <v>0</v>
      </c>
      <c r="I292" s="4">
        <f t="shared" si="61"/>
        <v>3.976244657004635E-4</v>
      </c>
      <c r="J292" s="4">
        <f t="shared" si="61"/>
        <v>-4.9727377954971175E-3</v>
      </c>
      <c r="K292" s="4">
        <f t="shared" si="61"/>
        <v>-1.3786135845588188E-2</v>
      </c>
      <c r="L292" s="4">
        <f t="shared" si="61"/>
        <v>-2.2577352878365375E-2</v>
      </c>
      <c r="M292" s="4">
        <f t="shared" si="61"/>
        <v>-2.8747405279054394E-2</v>
      </c>
      <c r="N292" s="4">
        <f t="shared" si="61"/>
        <v>-3.1476733649406285E-2</v>
      </c>
      <c r="O292" s="4">
        <f t="shared" si="61"/>
        <v>-3.1077139264142351E-2</v>
      </c>
      <c r="P292" s="4">
        <f t="shared" si="61"/>
        <v>-2.8727645129341339E-2</v>
      </c>
      <c r="Q292" s="4">
        <f t="shared" si="61"/>
        <v>-2.5790504787864821E-2</v>
      </c>
      <c r="R292" s="4">
        <f t="shared" si="61"/>
        <v>-2.3267531531105945E-2</v>
      </c>
      <c r="S292" s="4">
        <f t="shared" si="61"/>
        <v>-2.1574886641991475E-2</v>
      </c>
      <c r="T292" s="4">
        <f t="shared" si="61"/>
        <v>-2.0619494720614306E-2</v>
      </c>
      <c r="U292" s="4">
        <f t="shared" si="61"/>
        <v>-2.0043749850944814E-2</v>
      </c>
      <c r="V292" s="4">
        <f t="shared" si="61"/>
        <v>-1.947916310337483E-2</v>
      </c>
      <c r="W292" s="4">
        <f t="shared" si="61"/>
        <v>-1.8681907183234259E-2</v>
      </c>
      <c r="X292" s="4">
        <f t="shared" si="61"/>
        <v>-1.7687737216919519E-2</v>
      </c>
      <c r="Y292" s="4">
        <f t="shared" si="61"/>
        <v>-1.6615474310396783E-2</v>
      </c>
      <c r="Z292" s="4">
        <f t="shared" si="61"/>
        <v>-1.5645655042223039E-2</v>
      </c>
      <c r="AA292" s="4">
        <f t="shared" si="61"/>
        <v>-1.4925722802947461E-2</v>
      </c>
      <c r="AB292" s="4">
        <f t="shared" si="61"/>
        <v>-1.4474325931629561E-2</v>
      </c>
      <c r="AC292" s="4">
        <f t="shared" si="61"/>
        <v>-1.4317597197150644E-2</v>
      </c>
      <c r="AD292" s="4">
        <f t="shared" si="61"/>
        <v>-1.4356790165362732E-2</v>
      </c>
      <c r="AE292" s="4">
        <f t="shared" si="61"/>
        <v>-1.4476683339396668E-2</v>
      </c>
      <c r="AF292" s="4">
        <f t="shared" si="61"/>
        <v>-1.4580535651411375E-2</v>
      </c>
      <c r="AG292" s="4">
        <f t="shared" si="61"/>
        <v>-1.4610232544047252E-2</v>
      </c>
      <c r="AH292" s="4">
        <f t="shared" si="61"/>
        <v>-1.4548960304144321E-2</v>
      </c>
      <c r="AI292" s="4">
        <f t="shared" si="61"/>
        <v>-1.4408894054042332E-2</v>
      </c>
      <c r="AJ292" s="4">
        <f t="shared" si="61"/>
        <v>-1.4213538989459984E-2</v>
      </c>
      <c r="AK292" s="4">
        <f t="shared" si="61"/>
        <v>-1.3983223927005684E-2</v>
      </c>
      <c r="AL292" s="4">
        <f t="shared" si="61"/>
        <v>-1.3727176432449584E-2</v>
      </c>
    </row>
    <row r="293" spans="1:38" x14ac:dyDescent="0.3">
      <c r="A293" t="s">
        <v>62</v>
      </c>
      <c r="B293" t="s">
        <v>7</v>
      </c>
      <c r="C293" s="4">
        <f t="shared" ref="C293:AL293" si="62">C275/C284-1</f>
        <v>0</v>
      </c>
      <c r="D293" s="4">
        <f t="shared" si="62"/>
        <v>0</v>
      </c>
      <c r="E293" s="4">
        <f t="shared" si="62"/>
        <v>0</v>
      </c>
      <c r="F293" s="4">
        <f t="shared" si="62"/>
        <v>0</v>
      </c>
      <c r="G293" s="4">
        <f t="shared" si="62"/>
        <v>0</v>
      </c>
      <c r="H293" s="4">
        <f t="shared" si="62"/>
        <v>0</v>
      </c>
      <c r="I293" s="4">
        <f t="shared" si="62"/>
        <v>3.6617621046701743E-3</v>
      </c>
      <c r="J293" s="4">
        <f t="shared" si="62"/>
        <v>2.1207069535409406E-3</v>
      </c>
      <c r="K293" s="4">
        <f t="shared" si="62"/>
        <v>-5.2637602503444736E-3</v>
      </c>
      <c r="L293" s="4">
        <f t="shared" si="62"/>
        <v>-1.5377671765688272E-2</v>
      </c>
      <c r="M293" s="4">
        <f t="shared" si="62"/>
        <v>-2.5671913982198369E-2</v>
      </c>
      <c r="N293" s="4">
        <f t="shared" si="62"/>
        <v>-3.4689799888961481E-2</v>
      </c>
      <c r="O293" s="4">
        <f t="shared" si="62"/>
        <v>-4.1812252894709134E-2</v>
      </c>
      <c r="P293" s="4">
        <f t="shared" si="62"/>
        <v>-4.7078323439559422E-2</v>
      </c>
      <c r="Q293" s="4">
        <f t="shared" si="62"/>
        <v>-5.0805103314125133E-2</v>
      </c>
      <c r="R293" s="4">
        <f t="shared" si="62"/>
        <v>-5.3289277045325489E-2</v>
      </c>
      <c r="S293" s="4">
        <f t="shared" si="62"/>
        <v>-5.4682834075295506E-2</v>
      </c>
      <c r="T293" s="4">
        <f t="shared" si="62"/>
        <v>-5.5015160603149593E-2</v>
      </c>
      <c r="U293" s="4">
        <f t="shared" si="62"/>
        <v>-5.4284477856899493E-2</v>
      </c>
      <c r="V293" s="4">
        <f t="shared" si="62"/>
        <v>-5.2545074026552729E-2</v>
      </c>
      <c r="W293" s="4">
        <f t="shared" si="62"/>
        <v>-4.9941171270825313E-2</v>
      </c>
      <c r="X293" s="4">
        <f t="shared" si="62"/>
        <v>-4.6752215194667657E-2</v>
      </c>
      <c r="Y293" s="4">
        <f t="shared" si="62"/>
        <v>-4.3283138676640354E-2</v>
      </c>
      <c r="Z293" s="4">
        <f t="shared" si="62"/>
        <v>-3.9831339786250197E-2</v>
      </c>
      <c r="AA293" s="4">
        <f t="shared" si="62"/>
        <v>-3.6630952309296916E-2</v>
      </c>
      <c r="AB293" s="4">
        <f t="shared" si="62"/>
        <v>-3.3806719072554947E-2</v>
      </c>
      <c r="AC293" s="4">
        <f t="shared" si="62"/>
        <v>-3.1429793061148237E-2</v>
      </c>
      <c r="AD293" s="4">
        <f t="shared" si="62"/>
        <v>-2.9479316408571044E-2</v>
      </c>
      <c r="AE293" s="4">
        <f t="shared" si="62"/>
        <v>-2.7890521473129981E-2</v>
      </c>
      <c r="AF293" s="4">
        <f t="shared" si="62"/>
        <v>-2.658028621729458E-2</v>
      </c>
      <c r="AG293" s="4">
        <f t="shared" si="62"/>
        <v>-2.5468773093457964E-2</v>
      </c>
      <c r="AH293" s="4">
        <f t="shared" si="62"/>
        <v>-2.4491040427815247E-2</v>
      </c>
      <c r="AI293" s="4">
        <f t="shared" si="62"/>
        <v>-2.3598509663650624E-2</v>
      </c>
      <c r="AJ293" s="4">
        <f t="shared" si="62"/>
        <v>-2.2754941381747718E-2</v>
      </c>
      <c r="AK293" s="4">
        <f t="shared" si="62"/>
        <v>-2.1931585147065391E-2</v>
      </c>
      <c r="AL293" s="4">
        <f t="shared" si="62"/>
        <v>-2.1103726374196774E-2</v>
      </c>
    </row>
    <row r="294" spans="1:38" x14ac:dyDescent="0.3">
      <c r="B294" t="s">
        <v>96</v>
      </c>
      <c r="C294" s="4">
        <f t="shared" ref="C294:AL294" si="63">C276/C285-1</f>
        <v>0</v>
      </c>
      <c r="D294" s="4">
        <f t="shared" si="63"/>
        <v>0</v>
      </c>
      <c r="E294" s="4">
        <f t="shared" si="63"/>
        <v>0</v>
      </c>
      <c r="F294" s="4">
        <f t="shared" si="63"/>
        <v>0</v>
      </c>
      <c r="G294" s="4">
        <f t="shared" si="63"/>
        <v>0</v>
      </c>
      <c r="H294" s="4">
        <f t="shared" si="63"/>
        <v>0</v>
      </c>
      <c r="I294" s="4">
        <f t="shared" si="63"/>
        <v>2.0755529620819502E-4</v>
      </c>
      <c r="J294" s="4">
        <f t="shared" si="63"/>
        <v>-4.7685315964909325E-3</v>
      </c>
      <c r="K294" s="4">
        <f t="shared" si="63"/>
        <v>-1.3832460799281243E-2</v>
      </c>
      <c r="L294" s="4">
        <f t="shared" si="63"/>
        <v>-2.36783668762649E-2</v>
      </c>
      <c r="M294" s="4">
        <f t="shared" si="63"/>
        <v>-3.0845684074190638E-2</v>
      </c>
      <c r="N294" s="4">
        <f t="shared" si="63"/>
        <v>-3.4855900067037093E-2</v>
      </c>
      <c r="O294" s="4">
        <f t="shared" si="63"/>
        <v>-3.5251749484063399E-2</v>
      </c>
      <c r="P294" s="4">
        <f t="shared" si="63"/>
        <v>-3.2990760102254546E-2</v>
      </c>
      <c r="Q294" s="4">
        <f t="shared" si="63"/>
        <v>-2.9556136253073184E-2</v>
      </c>
      <c r="R294" s="4">
        <f t="shared" si="63"/>
        <v>-2.6230518672005543E-2</v>
      </c>
      <c r="S294" s="4">
        <f t="shared" si="63"/>
        <v>-2.3714682514620833E-2</v>
      </c>
      <c r="T294" s="4">
        <f t="shared" si="63"/>
        <v>-2.2103889034259971E-2</v>
      </c>
      <c r="U294" s="4">
        <f t="shared" si="63"/>
        <v>-2.1099934175632051E-2</v>
      </c>
      <c r="V294" s="4">
        <f t="shared" si="63"/>
        <v>-2.029224266063534E-2</v>
      </c>
      <c r="W294" s="4">
        <f t="shared" si="63"/>
        <v>-1.9509252374061203E-2</v>
      </c>
      <c r="X294" s="4">
        <f t="shared" si="63"/>
        <v>-1.833388040382733E-2</v>
      </c>
      <c r="Y294" s="4">
        <f t="shared" si="63"/>
        <v>-1.7025138143955121E-2</v>
      </c>
      <c r="Z294" s="4">
        <f t="shared" si="63"/>
        <v>-1.5788536766168759E-2</v>
      </c>
      <c r="AA294" s="4">
        <f t="shared" si="63"/>
        <v>-1.4787090260525937E-2</v>
      </c>
      <c r="AB294" s="4">
        <f t="shared" si="63"/>
        <v>-1.4410423914215209E-2</v>
      </c>
      <c r="AC294" s="4">
        <f t="shared" si="63"/>
        <v>-1.4077026331374198E-2</v>
      </c>
      <c r="AD294" s="4">
        <f t="shared" si="63"/>
        <v>-1.3910890290100175E-2</v>
      </c>
      <c r="AE294" s="4">
        <f t="shared" si="63"/>
        <v>-1.3858742195652973E-2</v>
      </c>
      <c r="AF294" s="4">
        <f t="shared" si="63"/>
        <v>-1.3821811069483991E-2</v>
      </c>
      <c r="AG294" s="4">
        <f t="shared" si="63"/>
        <v>-1.3723715472600873E-2</v>
      </c>
      <c r="AH294" s="4">
        <f t="shared" si="63"/>
        <v>-1.3531275155441613E-2</v>
      </c>
      <c r="AI294" s="4">
        <f t="shared" si="63"/>
        <v>-1.3248860941504126E-2</v>
      </c>
      <c r="AJ294" s="4">
        <f t="shared" si="63"/>
        <v>-1.2900460736920638E-2</v>
      </c>
      <c r="AK294" s="4">
        <f t="shared" si="63"/>
        <v>-1.2511649022941107E-2</v>
      </c>
      <c r="AL294" s="4">
        <f t="shared" si="63"/>
        <v>-1.2097923998945159E-2</v>
      </c>
    </row>
    <row r="295" spans="1:38" x14ac:dyDescent="0.3">
      <c r="B295" t="s">
        <v>11</v>
      </c>
      <c r="C295" s="4">
        <f t="shared" ref="C295:AL295" si="64">C277/C286-1</f>
        <v>0</v>
      </c>
      <c r="D295" s="4">
        <f t="shared" si="64"/>
        <v>0</v>
      </c>
      <c r="E295" s="4">
        <f t="shared" si="64"/>
        <v>0</v>
      </c>
      <c r="F295" s="4">
        <f t="shared" si="64"/>
        <v>0</v>
      </c>
      <c r="G295" s="4">
        <f t="shared" si="64"/>
        <v>0</v>
      </c>
      <c r="H295" s="4">
        <f t="shared" si="64"/>
        <v>0</v>
      </c>
      <c r="I295" s="4">
        <f t="shared" si="64"/>
        <v>1.0853226804445892E-3</v>
      </c>
      <c r="J295" s="4">
        <f t="shared" si="64"/>
        <v>4.814224805579137E-3</v>
      </c>
      <c r="K295" s="4">
        <f t="shared" si="64"/>
        <v>1.0482673925332531E-2</v>
      </c>
      <c r="L295" s="4">
        <f t="shared" si="64"/>
        <v>1.5455734562853207E-2</v>
      </c>
      <c r="M295" s="4">
        <f t="shared" si="64"/>
        <v>1.7107199721167365E-2</v>
      </c>
      <c r="N295" s="4">
        <f t="shared" si="64"/>
        <v>1.4541439387557809E-2</v>
      </c>
      <c r="O295" s="4">
        <f t="shared" si="64"/>
        <v>8.3976298596348808E-3</v>
      </c>
      <c r="P295" s="4">
        <f t="shared" si="64"/>
        <v>3.829442911580383E-4</v>
      </c>
      <c r="Q295" s="4">
        <f t="shared" si="64"/>
        <v>-7.4342810480900745E-3</v>
      </c>
      <c r="R295" s="4">
        <f t="shared" si="64"/>
        <v>-1.3412152023627E-2</v>
      </c>
      <c r="S295" s="4">
        <f t="shared" si="64"/>
        <v>-1.6839863699847912E-2</v>
      </c>
      <c r="T295" s="4">
        <f t="shared" si="64"/>
        <v>-1.7774982451767007E-2</v>
      </c>
      <c r="U295" s="4">
        <f t="shared" si="64"/>
        <v>-1.6747371668532463E-2</v>
      </c>
      <c r="V295" s="4">
        <f t="shared" si="64"/>
        <v>-1.4452065499212963E-2</v>
      </c>
      <c r="W295" s="4">
        <f t="shared" si="64"/>
        <v>-1.1536545424629341E-2</v>
      </c>
      <c r="X295" s="4">
        <f t="shared" si="64"/>
        <v>-8.3531358575665848E-3</v>
      </c>
      <c r="Y295" s="4">
        <f t="shared" si="64"/>
        <v>-5.1074293612243249E-3</v>
      </c>
      <c r="Z295" s="4">
        <f t="shared" si="64"/>
        <v>-1.9355940690911622E-3</v>
      </c>
      <c r="AA295" s="4">
        <f t="shared" si="64"/>
        <v>1.0399744306182068E-3</v>
      </c>
      <c r="AB295" s="4">
        <f t="shared" si="64"/>
        <v>3.6582051327558318E-3</v>
      </c>
      <c r="AC295" s="4">
        <f t="shared" si="64"/>
        <v>5.7855947710769851E-3</v>
      </c>
      <c r="AD295" s="4">
        <f t="shared" si="64"/>
        <v>7.2882178127009478E-3</v>
      </c>
      <c r="AE295" s="4">
        <f t="shared" si="64"/>
        <v>8.0721636515062034E-3</v>
      </c>
      <c r="AF295" s="4">
        <f t="shared" si="64"/>
        <v>8.1184178124913409E-3</v>
      </c>
      <c r="AG295" s="4">
        <f t="shared" si="64"/>
        <v>7.4956784914095298E-3</v>
      </c>
      <c r="AH295" s="4">
        <f t="shared" si="64"/>
        <v>6.3329913318739273E-3</v>
      </c>
      <c r="AI295" s="4">
        <f t="shared" si="64"/>
        <v>4.8094012963562083E-3</v>
      </c>
      <c r="AJ295" s="4">
        <f t="shared" si="64"/>
        <v>3.1256300941868709E-3</v>
      </c>
      <c r="AK295" s="4">
        <f t="shared" si="64"/>
        <v>1.4668664162580392E-3</v>
      </c>
      <c r="AL295" s="4">
        <f t="shared" si="64"/>
        <v>2.675513531169571E-6</v>
      </c>
    </row>
    <row r="296" spans="1:38" x14ac:dyDescent="0.3">
      <c r="B296" t="s">
        <v>8</v>
      </c>
      <c r="C296" s="4">
        <f t="shared" ref="C296:AL296" si="65">C278/C287-1</f>
        <v>0</v>
      </c>
      <c r="D296" s="4">
        <f t="shared" si="65"/>
        <v>0</v>
      </c>
      <c r="E296" s="4">
        <f t="shared" si="65"/>
        <v>0</v>
      </c>
      <c r="F296" s="4">
        <f t="shared" si="65"/>
        <v>0</v>
      </c>
      <c r="G296" s="4">
        <f t="shared" si="65"/>
        <v>0</v>
      </c>
      <c r="H296" s="4">
        <f t="shared" si="65"/>
        <v>0</v>
      </c>
      <c r="I296" s="4">
        <f t="shared" si="65"/>
        <v>5.8942358425873032E-4</v>
      </c>
      <c r="J296" s="4">
        <f t="shared" si="65"/>
        <v>-2.8654626629879276E-3</v>
      </c>
      <c r="K296" s="4">
        <f t="shared" si="65"/>
        <v>-9.3530511898273216E-3</v>
      </c>
      <c r="L296" s="4">
        <f t="shared" si="65"/>
        <v>-1.6708228165744909E-2</v>
      </c>
      <c r="M296" s="4">
        <f t="shared" si="65"/>
        <v>-2.3001531099851702E-2</v>
      </c>
      <c r="N296" s="4">
        <f t="shared" si="65"/>
        <v>-2.7338059923204483E-2</v>
      </c>
      <c r="O296" s="4">
        <f t="shared" si="65"/>
        <v>-2.9587130457830235E-2</v>
      </c>
      <c r="P296" s="4">
        <f t="shared" si="65"/>
        <v>-3.0250313553891628E-2</v>
      </c>
      <c r="Q296" s="4">
        <f t="shared" si="65"/>
        <v>-3.006959206661497E-2</v>
      </c>
      <c r="R296" s="4">
        <f t="shared" si="65"/>
        <v>-2.9680772547105105E-2</v>
      </c>
      <c r="S296" s="4">
        <f t="shared" si="65"/>
        <v>-2.9429973191366865E-2</v>
      </c>
      <c r="T296" s="4">
        <f t="shared" si="65"/>
        <v>-2.9365465600115881E-2</v>
      </c>
      <c r="U296" s="4">
        <f t="shared" si="65"/>
        <v>-2.9347168392480083E-2</v>
      </c>
      <c r="V296" s="4">
        <f t="shared" si="65"/>
        <v>-2.9188949955687771E-2</v>
      </c>
      <c r="W296" s="4">
        <f t="shared" si="65"/>
        <v>-2.8760774770816733E-2</v>
      </c>
      <c r="X296" s="4">
        <f t="shared" si="65"/>
        <v>-2.8058003326786873E-2</v>
      </c>
      <c r="Y296" s="4">
        <f t="shared" si="65"/>
        <v>-2.716788937933734E-2</v>
      </c>
      <c r="Z296" s="4">
        <f t="shared" si="65"/>
        <v>-2.6222332311849228E-2</v>
      </c>
      <c r="AA296" s="4">
        <f t="shared" si="65"/>
        <v>-2.5344714643890431E-2</v>
      </c>
      <c r="AB296" s="4">
        <f t="shared" si="65"/>
        <v>-2.4611374534230457E-2</v>
      </c>
      <c r="AC296" s="4">
        <f t="shared" si="65"/>
        <v>-2.4035825270575017E-2</v>
      </c>
      <c r="AD296" s="4">
        <f t="shared" si="65"/>
        <v>-2.3601279880773762E-2</v>
      </c>
      <c r="AE296" s="4">
        <f t="shared" si="65"/>
        <v>-2.3262143864342333E-2</v>
      </c>
      <c r="AF296" s="4">
        <f t="shared" si="65"/>
        <v>-2.2966625775474148E-2</v>
      </c>
      <c r="AG296" s="4">
        <f t="shared" si="65"/>
        <v>-2.267579345131665E-2</v>
      </c>
      <c r="AH296" s="4">
        <f t="shared" si="65"/>
        <v>-2.2371158401985225E-2</v>
      </c>
      <c r="AI296" s="4">
        <f t="shared" si="65"/>
        <v>-2.2051673400427241E-2</v>
      </c>
      <c r="AJ296" s="4">
        <f t="shared" si="65"/>
        <v>-2.1725236343098753E-2</v>
      </c>
      <c r="AK296" s="4">
        <f t="shared" si="65"/>
        <v>-2.1400126445266565E-2</v>
      </c>
      <c r="AL296" s="4">
        <f t="shared" si="65"/>
        <v>-2.1079279200059919E-2</v>
      </c>
    </row>
    <row r="297" spans="1:38" x14ac:dyDescent="0.3">
      <c r="B297" t="s">
        <v>24</v>
      </c>
      <c r="C297" s="4">
        <f t="shared" ref="C297:AL297" si="66">C279/C288-1</f>
        <v>0</v>
      </c>
      <c r="D297" s="4">
        <f t="shared" si="66"/>
        <v>0</v>
      </c>
      <c r="E297" s="4">
        <f t="shared" si="66"/>
        <v>0</v>
      </c>
      <c r="F297" s="4">
        <f t="shared" si="66"/>
        <v>0</v>
      </c>
      <c r="G297" s="4">
        <f t="shared" si="66"/>
        <v>0</v>
      </c>
      <c r="H297" s="4">
        <f t="shared" si="66"/>
        <v>0</v>
      </c>
      <c r="I297" s="4">
        <f t="shared" si="66"/>
        <v>9.4484815154216584E-4</v>
      </c>
      <c r="J297" s="4">
        <f t="shared" si="66"/>
        <v>3.4534159908043982E-3</v>
      </c>
      <c r="K297" s="4">
        <f t="shared" si="66"/>
        <v>7.0489790396077723E-3</v>
      </c>
      <c r="L297" s="4">
        <f t="shared" si="66"/>
        <v>1.0146705309564741E-2</v>
      </c>
      <c r="M297" s="4">
        <f t="shared" si="66"/>
        <v>1.1338423464188008E-2</v>
      </c>
      <c r="N297" s="4">
        <f t="shared" si="66"/>
        <v>1.0284505273667532E-2</v>
      </c>
      <c r="O297" s="4">
        <f t="shared" si="66"/>
        <v>7.4303263615922432E-3</v>
      </c>
      <c r="P297" s="4">
        <f t="shared" si="66"/>
        <v>3.6694486042136987E-3</v>
      </c>
      <c r="Q297" s="4">
        <f t="shared" si="66"/>
        <v>-8.4298211740829743E-5</v>
      </c>
      <c r="R297" s="4">
        <f t="shared" si="66"/>
        <v>-3.2139193387404896E-3</v>
      </c>
      <c r="S297" s="4">
        <f t="shared" si="66"/>
        <v>-5.5022988747441826E-3</v>
      </c>
      <c r="T297" s="4">
        <f t="shared" si="66"/>
        <v>-7.0385069668864597E-3</v>
      </c>
      <c r="U297" s="4">
        <f t="shared" si="66"/>
        <v>-8.0593946920088921E-3</v>
      </c>
      <c r="V297" s="4">
        <f t="shared" si="66"/>
        <v>-8.8029381571399501E-3</v>
      </c>
      <c r="W297" s="4">
        <f t="shared" si="66"/>
        <v>-9.4301939759949827E-3</v>
      </c>
      <c r="X297" s="4">
        <f t="shared" si="66"/>
        <v>-9.956261090013574E-3</v>
      </c>
      <c r="Y297" s="4">
        <f t="shared" si="66"/>
        <v>-1.0337710503920072E-2</v>
      </c>
      <c r="Z297" s="4">
        <f t="shared" si="66"/>
        <v>-1.0521105992569724E-2</v>
      </c>
      <c r="AA297" s="4">
        <f t="shared" si="66"/>
        <v>-1.0480775773806683E-2</v>
      </c>
      <c r="AB297" s="4">
        <f t="shared" si="66"/>
        <v>-1.0251685756024753E-2</v>
      </c>
      <c r="AC297" s="4">
        <f t="shared" si="66"/>
        <v>-9.876864723689982E-3</v>
      </c>
      <c r="AD297" s="4">
        <f t="shared" si="66"/>
        <v>-9.4320419727929039E-3</v>
      </c>
      <c r="AE297" s="4">
        <f t="shared" si="66"/>
        <v>-8.9964726637086212E-3</v>
      </c>
      <c r="AF297" s="4">
        <f t="shared" si="66"/>
        <v>-8.6299475322164643E-3</v>
      </c>
      <c r="AG297" s="4">
        <f t="shared" si="66"/>
        <v>-8.3613357548102396E-3</v>
      </c>
      <c r="AH297" s="4">
        <f t="shared" si="66"/>
        <v>-8.1920087970169808E-3</v>
      </c>
      <c r="AI297" s="4">
        <f t="shared" si="66"/>
        <v>-8.1032636844198258E-3</v>
      </c>
      <c r="AJ297" s="4">
        <f t="shared" si="66"/>
        <v>-8.0674312936358517E-3</v>
      </c>
      <c r="AK297" s="4">
        <f t="shared" si="66"/>
        <v>-8.058584441310912E-3</v>
      </c>
      <c r="AL297" s="4">
        <f t="shared" si="66"/>
        <v>-8.0547972542073243E-3</v>
      </c>
    </row>
    <row r="298" spans="1:38" x14ac:dyDescent="0.3">
      <c r="B298" t="s">
        <v>10</v>
      </c>
      <c r="C298" s="4">
        <f t="shared" ref="C298:AL298" si="67">C280/C289-1</f>
        <v>0</v>
      </c>
      <c r="D298" s="4">
        <f t="shared" si="67"/>
        <v>0</v>
      </c>
      <c r="E298" s="4">
        <f t="shared" si="67"/>
        <v>0</v>
      </c>
      <c r="F298" s="4">
        <f t="shared" si="67"/>
        <v>0</v>
      </c>
      <c r="G298" s="4">
        <f t="shared" si="67"/>
        <v>0</v>
      </c>
      <c r="H298" s="4">
        <f t="shared" si="67"/>
        <v>0</v>
      </c>
      <c r="I298" s="4">
        <f t="shared" si="67"/>
        <v>2.6123704162861472E-4</v>
      </c>
      <c r="J298" s="4">
        <f t="shared" si="67"/>
        <v>-5.8720679333902348E-3</v>
      </c>
      <c r="K298" s="4">
        <f t="shared" si="67"/>
        <v>-1.5609231345088292E-2</v>
      </c>
      <c r="L298" s="4">
        <f t="shared" si="67"/>
        <v>-2.5046712499219637E-2</v>
      </c>
      <c r="M298" s="4">
        <f t="shared" si="67"/>
        <v>-3.1331561147451836E-2</v>
      </c>
      <c r="N298" s="4">
        <f t="shared" si="67"/>
        <v>-3.3610033012311802E-2</v>
      </c>
      <c r="O298" s="4">
        <f t="shared" si="67"/>
        <v>-3.2352759251583096E-2</v>
      </c>
      <c r="P298" s="4">
        <f t="shared" si="67"/>
        <v>-2.8984658811320951E-2</v>
      </c>
      <c r="Q298" s="4">
        <f t="shared" si="67"/>
        <v>-2.5104028818662139E-2</v>
      </c>
      <c r="R298" s="4">
        <f t="shared" si="67"/>
        <v>-2.1863987728149348E-2</v>
      </c>
      <c r="S298" s="4">
        <f t="shared" si="67"/>
        <v>-1.9722164155830502E-2</v>
      </c>
      <c r="T298" s="4">
        <f t="shared" si="67"/>
        <v>-1.8543698618005755E-2</v>
      </c>
      <c r="U298" s="4">
        <f t="shared" si="67"/>
        <v>-1.7892539408613906E-2</v>
      </c>
      <c r="V298" s="4">
        <f t="shared" si="67"/>
        <v>-1.7326430980376339E-2</v>
      </c>
      <c r="W298" s="4">
        <f t="shared" si="67"/>
        <v>-1.6549331546816259E-2</v>
      </c>
      <c r="X298" s="4">
        <f t="shared" si="67"/>
        <v>-1.5595894728215765E-2</v>
      </c>
      <c r="Y298" s="4">
        <f t="shared" si="67"/>
        <v>-1.458683836699548E-2</v>
      </c>
      <c r="Z298" s="4">
        <f t="shared" si="67"/>
        <v>-1.3712940077997171E-2</v>
      </c>
      <c r="AA298" s="4">
        <f t="shared" si="67"/>
        <v>-1.3126262920707177E-2</v>
      </c>
      <c r="AB298" s="4">
        <f t="shared" si="67"/>
        <v>-1.2827921818187149E-2</v>
      </c>
      <c r="AC298" s="4">
        <f t="shared" si="67"/>
        <v>-1.2845159892793889E-2</v>
      </c>
      <c r="AD298" s="4">
        <f t="shared" si="67"/>
        <v>-1.305536755965564E-2</v>
      </c>
      <c r="AE298" s="4">
        <f t="shared" si="67"/>
        <v>-1.3324133018538631E-2</v>
      </c>
      <c r="AF298" s="4">
        <f t="shared" si="67"/>
        <v>-1.3543345822004671E-2</v>
      </c>
      <c r="AG298" s="4">
        <f t="shared" si="67"/>
        <v>-1.3652083296945894E-2</v>
      </c>
      <c r="AH298" s="4">
        <f t="shared" si="67"/>
        <v>-1.363745796626048E-2</v>
      </c>
      <c r="AI298" s="4">
        <f t="shared" si="67"/>
        <v>-1.3519509148974596E-2</v>
      </c>
      <c r="AJ298" s="4">
        <f t="shared" si="67"/>
        <v>-1.333046498515178E-2</v>
      </c>
      <c r="AK298" s="4">
        <f t="shared" si="67"/>
        <v>-1.3097906852223451E-2</v>
      </c>
      <c r="AL298" s="4">
        <f t="shared" si="67"/>
        <v>-1.2836246170031651E-2</v>
      </c>
    </row>
    <row r="299" spans="1:38" x14ac:dyDescent="0.3">
      <c r="B299" t="s">
        <v>23</v>
      </c>
      <c r="C299" s="4">
        <f t="shared" ref="C299:AL299" si="68">C281/C290-1</f>
        <v>0</v>
      </c>
      <c r="D299" s="4">
        <f t="shared" si="68"/>
        <v>0</v>
      </c>
      <c r="E299" s="4">
        <f t="shared" si="68"/>
        <v>0</v>
      </c>
      <c r="F299" s="4">
        <f t="shared" si="68"/>
        <v>0</v>
      </c>
      <c r="G299" s="4">
        <f t="shared" si="68"/>
        <v>0</v>
      </c>
      <c r="H299" s="4">
        <f t="shared" si="68"/>
        <v>0</v>
      </c>
      <c r="I299" s="4">
        <f t="shared" si="68"/>
        <v>2.3289157674044603E-4</v>
      </c>
      <c r="J299" s="4">
        <f t="shared" si="68"/>
        <v>-3.1067350663979143E-3</v>
      </c>
      <c r="K299" s="4">
        <f t="shared" si="68"/>
        <v>-9.0970111724223424E-3</v>
      </c>
      <c r="L299" s="4">
        <f t="shared" si="68"/>
        <v>-1.5653480658635477E-2</v>
      </c>
      <c r="M299" s="4">
        <f t="shared" si="68"/>
        <v>-2.0895868912326643E-2</v>
      </c>
      <c r="N299" s="4">
        <f t="shared" si="68"/>
        <v>-2.3984493099864723E-2</v>
      </c>
      <c r="O299" s="4">
        <f t="shared" si="68"/>
        <v>-2.4903244039184647E-2</v>
      </c>
      <c r="P299" s="4">
        <f t="shared" si="68"/>
        <v>-2.428409129947795E-2</v>
      </c>
      <c r="Q299" s="4">
        <f t="shared" si="68"/>
        <v>-2.2980505185775324E-2</v>
      </c>
      <c r="R299" s="4">
        <f t="shared" si="68"/>
        <v>-2.169744595122558E-2</v>
      </c>
      <c r="S299" s="4">
        <f t="shared" si="68"/>
        <v>-2.0800412071580343E-2</v>
      </c>
      <c r="T299" s="4">
        <f t="shared" si="68"/>
        <v>-2.031679544143361E-2</v>
      </c>
      <c r="U299" s="4">
        <f t="shared" si="68"/>
        <v>-2.0064410840056057E-2</v>
      </c>
      <c r="V299" s="4">
        <f t="shared" si="68"/>
        <v>-1.9812524574073676E-2</v>
      </c>
      <c r="W299" s="4">
        <f t="shared" si="68"/>
        <v>-1.93861079549833E-2</v>
      </c>
      <c r="X299" s="4">
        <f t="shared" si="68"/>
        <v>-1.8776694292365503E-2</v>
      </c>
      <c r="Y299" s="4">
        <f t="shared" si="68"/>
        <v>-1.8048244473845565E-2</v>
      </c>
      <c r="Z299" s="4">
        <f t="shared" si="68"/>
        <v>-1.7317083113162379E-2</v>
      </c>
      <c r="AA299" s="4">
        <f t="shared" si="68"/>
        <v>-1.6692758359462823E-2</v>
      </c>
      <c r="AB299" s="4">
        <f t="shared" si="68"/>
        <v>-1.6213663646487131E-2</v>
      </c>
      <c r="AC299" s="4">
        <f t="shared" si="68"/>
        <v>-1.5913862272732282E-2</v>
      </c>
      <c r="AD299" s="4">
        <f t="shared" si="68"/>
        <v>-1.5751810962955859E-2</v>
      </c>
      <c r="AE299" s="4">
        <f t="shared" si="68"/>
        <v>-1.5664259806819403E-2</v>
      </c>
      <c r="AF299" s="4">
        <f t="shared" si="68"/>
        <v>-1.5591168581123416E-2</v>
      </c>
      <c r="AG299" s="4">
        <f t="shared" si="68"/>
        <v>-1.5492115037963328E-2</v>
      </c>
      <c r="AH299" s="4">
        <f t="shared" si="68"/>
        <v>-1.5351298282339387E-2</v>
      </c>
      <c r="AI299" s="4">
        <f t="shared" si="68"/>
        <v>-1.5172339591091322E-2</v>
      </c>
      <c r="AJ299" s="4">
        <f t="shared" si="68"/>
        <v>-1.4968122370102366E-2</v>
      </c>
      <c r="AK299" s="4">
        <f t="shared" si="68"/>
        <v>-1.475120442441491E-2</v>
      </c>
      <c r="AL299" s="4">
        <f t="shared" si="68"/>
        <v>-1.452794053919948E-2</v>
      </c>
    </row>
    <row r="301" spans="1:38" x14ac:dyDescent="0.3">
      <c r="A301" s="12" t="s">
        <v>17</v>
      </c>
      <c r="C301" s="7" t="s">
        <v>14</v>
      </c>
      <c r="D301" s="7" t="s">
        <v>15</v>
      </c>
      <c r="E301" s="7" t="s">
        <v>16</v>
      </c>
    </row>
    <row r="302" spans="1:38" x14ac:dyDescent="0.3">
      <c r="A302" t="s">
        <v>54</v>
      </c>
      <c r="B302" t="s">
        <v>80</v>
      </c>
      <c r="C302" s="4">
        <f>R292</f>
        <v>-2.3267531531105945E-2</v>
      </c>
      <c r="D302" s="4">
        <f>AB292</f>
        <v>-1.4474325931629561E-2</v>
      </c>
      <c r="E302" s="4">
        <f>AL292</f>
        <v>-1.3727176432449584E-2</v>
      </c>
    </row>
    <row r="303" spans="1:38" x14ac:dyDescent="0.3">
      <c r="B303" t="s">
        <v>7</v>
      </c>
      <c r="C303" s="4">
        <f t="shared" ref="C303:C309" si="69">R293</f>
        <v>-5.3289277045325489E-2</v>
      </c>
      <c r="D303" s="4">
        <f t="shared" ref="D303:D309" si="70">AB293</f>
        <v>-3.3806719072554947E-2</v>
      </c>
      <c r="E303" s="4">
        <f t="shared" ref="E303:E309" si="71">AL293</f>
        <v>-2.1103726374196774E-2</v>
      </c>
    </row>
    <row r="304" spans="1:38" x14ac:dyDescent="0.3">
      <c r="B304" t="s">
        <v>96</v>
      </c>
      <c r="C304" s="4">
        <f t="shared" si="69"/>
        <v>-2.6230518672005543E-2</v>
      </c>
      <c r="D304" s="4">
        <f t="shared" si="70"/>
        <v>-1.4410423914215209E-2</v>
      </c>
      <c r="E304" s="4">
        <f t="shared" si="71"/>
        <v>-1.2097923998945159E-2</v>
      </c>
    </row>
    <row r="305" spans="1:9" x14ac:dyDescent="0.3">
      <c r="B305" t="s">
        <v>11</v>
      </c>
      <c r="C305" s="4">
        <f t="shared" si="69"/>
        <v>-1.3412152023627E-2</v>
      </c>
      <c r="D305" s="4">
        <f t="shared" si="70"/>
        <v>3.6582051327558318E-3</v>
      </c>
      <c r="E305" s="4">
        <f t="shared" si="71"/>
        <v>2.675513531169571E-6</v>
      </c>
    </row>
    <row r="306" spans="1:9" x14ac:dyDescent="0.3">
      <c r="B306" t="s">
        <v>8</v>
      </c>
      <c r="C306" s="4">
        <f t="shared" si="69"/>
        <v>-2.9680772547105105E-2</v>
      </c>
      <c r="D306" s="4">
        <f t="shared" si="70"/>
        <v>-2.4611374534230457E-2</v>
      </c>
      <c r="E306" s="4">
        <f t="shared" si="71"/>
        <v>-2.1079279200059919E-2</v>
      </c>
    </row>
    <row r="307" spans="1:9" x14ac:dyDescent="0.3">
      <c r="B307" t="s">
        <v>24</v>
      </c>
      <c r="C307" s="4">
        <f t="shared" si="69"/>
        <v>-3.2139193387404896E-3</v>
      </c>
      <c r="D307" s="4">
        <f t="shared" si="70"/>
        <v>-1.0251685756024753E-2</v>
      </c>
      <c r="E307" s="4">
        <f t="shared" si="71"/>
        <v>-8.0547972542073243E-3</v>
      </c>
    </row>
    <row r="308" spans="1:9" x14ac:dyDescent="0.3">
      <c r="B308" t="s">
        <v>10</v>
      </c>
      <c r="C308" s="4">
        <f t="shared" si="69"/>
        <v>-2.1863987728149348E-2</v>
      </c>
      <c r="D308" s="4">
        <f t="shared" si="70"/>
        <v>-1.2827921818187149E-2</v>
      </c>
      <c r="E308" s="4">
        <f t="shared" si="71"/>
        <v>-1.2836246170031651E-2</v>
      </c>
    </row>
    <row r="309" spans="1:9" x14ac:dyDescent="0.3">
      <c r="B309" t="s">
        <v>23</v>
      </c>
      <c r="C309" s="4">
        <f t="shared" si="69"/>
        <v>-2.169744595122558E-2</v>
      </c>
      <c r="D309" s="4">
        <f t="shared" si="70"/>
        <v>-1.6213663646487131E-2</v>
      </c>
      <c r="E309" s="4">
        <f t="shared" si="71"/>
        <v>-1.452794053919948E-2</v>
      </c>
    </row>
    <row r="310" spans="1:9" x14ac:dyDescent="0.3">
      <c r="C310" s="4"/>
      <c r="D310" s="4"/>
      <c r="E310" s="4"/>
    </row>
    <row r="311" spans="1:9" x14ac:dyDescent="0.3">
      <c r="A311" s="12" t="s">
        <v>17</v>
      </c>
      <c r="C311" s="7" t="s">
        <v>14</v>
      </c>
      <c r="D311" s="7" t="s">
        <v>15</v>
      </c>
      <c r="E311" s="7" t="s">
        <v>16</v>
      </c>
    </row>
    <row r="312" spans="1:9" x14ac:dyDescent="0.3">
      <c r="A312" t="s">
        <v>99</v>
      </c>
      <c r="B312" t="s">
        <v>80</v>
      </c>
      <c r="C312" s="4">
        <f>C302</f>
        <v>-2.3267531531105945E-2</v>
      </c>
      <c r="D312" s="4">
        <f>D302</f>
        <v>-1.4474325931629561E-2</v>
      </c>
      <c r="E312" s="4">
        <f>E302</f>
        <v>-1.3727176432449584E-2</v>
      </c>
      <c r="G312" s="6">
        <f>R283</f>
        <v>594900.32200000004</v>
      </c>
      <c r="H312" s="6">
        <f>AB283</f>
        <v>700002.20030000003</v>
      </c>
      <c r="I312" s="6">
        <f>AL283</f>
        <v>820604.95510000002</v>
      </c>
    </row>
    <row r="313" spans="1:9" x14ac:dyDescent="0.3">
      <c r="B313" t="s">
        <v>7</v>
      </c>
      <c r="C313" s="4">
        <f>C303*G313/G$312</f>
        <v>-1.1391698994575427E-3</v>
      </c>
      <c r="D313" s="4">
        <f t="shared" ref="D313:E313" si="72">D303*H313/H$312</f>
        <v>-6.1228944682790141E-4</v>
      </c>
      <c r="E313" s="4">
        <f t="shared" si="72"/>
        <v>-3.2582493968418328E-4</v>
      </c>
      <c r="G313" s="6">
        <f t="shared" ref="G313:G319" si="73">R284</f>
        <v>12717.24027</v>
      </c>
      <c r="H313" s="6">
        <f t="shared" ref="H313:H319" si="74">AB284</f>
        <v>12678.07027</v>
      </c>
      <c r="I313" s="6">
        <f t="shared" ref="I313:I319" si="75">AL284</f>
        <v>12669.495199999999</v>
      </c>
    </row>
    <row r="314" spans="1:9" x14ac:dyDescent="0.3">
      <c r="B314" t="s">
        <v>96</v>
      </c>
      <c r="C314" s="4">
        <f t="shared" ref="C314:E314" si="76">C304*G314/G$312</f>
        <v>-4.6836880010967376E-4</v>
      </c>
      <c r="D314" s="4">
        <f t="shared" si="76"/>
        <v>-2.4865547554765163E-4</v>
      </c>
      <c r="E314" s="4">
        <f t="shared" si="76"/>
        <v>-2.0753123526928499E-4</v>
      </c>
      <c r="G314" s="6">
        <f t="shared" si="73"/>
        <v>10622.46437</v>
      </c>
      <c r="H314" s="6">
        <f t="shared" si="74"/>
        <v>12078.713369999999</v>
      </c>
      <c r="I314" s="6">
        <f t="shared" si="75"/>
        <v>14076.89121</v>
      </c>
    </row>
    <row r="315" spans="1:9" x14ac:dyDescent="0.3">
      <c r="B315" t="s">
        <v>11</v>
      </c>
      <c r="C315" s="4">
        <f t="shared" ref="C315:E315" si="77">C305*G315/G$312</f>
        <v>-1.9979061635135608E-4</v>
      </c>
      <c r="D315" s="4">
        <f t="shared" si="77"/>
        <v>5.2322949819734154E-5</v>
      </c>
      <c r="E315" s="4">
        <f t="shared" si="77"/>
        <v>3.804510295122293E-8</v>
      </c>
      <c r="G315" s="6">
        <f t="shared" si="73"/>
        <v>8861.7771250000005</v>
      </c>
      <c r="H315" s="6">
        <f t="shared" si="74"/>
        <v>10012.06293</v>
      </c>
      <c r="I315" s="6">
        <f t="shared" si="75"/>
        <v>11668.78793</v>
      </c>
    </row>
    <row r="316" spans="1:9" x14ac:dyDescent="0.3">
      <c r="B316" t="s">
        <v>8</v>
      </c>
      <c r="C316" s="4">
        <f t="shared" ref="C316:E316" si="78">C306*G316/G$312</f>
        <v>-3.6316890916055149E-3</v>
      </c>
      <c r="D316" s="4">
        <f t="shared" si="78"/>
        <v>-2.9105445513269044E-3</v>
      </c>
      <c r="E316" s="4">
        <f t="shared" si="78"/>
        <v>-2.4189683813913877E-3</v>
      </c>
      <c r="G316" s="6">
        <f t="shared" si="73"/>
        <v>72790.996480000002</v>
      </c>
      <c r="H316" s="6">
        <f t="shared" si="74"/>
        <v>82782.356880000007</v>
      </c>
      <c r="I316" s="6">
        <f t="shared" si="75"/>
        <v>94169.132689999999</v>
      </c>
    </row>
    <row r="317" spans="1:9" x14ac:dyDescent="0.3">
      <c r="B317" t="s">
        <v>24</v>
      </c>
      <c r="C317" s="4">
        <f t="shared" ref="C317:E317" si="79">C307*G317/G$312</f>
        <v>-2.9558128227067982E-5</v>
      </c>
      <c r="D317" s="4">
        <f t="shared" si="79"/>
        <v>-8.9056482927172057E-5</v>
      </c>
      <c r="E317" s="4">
        <f t="shared" si="79"/>
        <v>-6.4288032471813628E-5</v>
      </c>
      <c r="G317" s="6">
        <f t="shared" si="73"/>
        <v>5471.2449649999999</v>
      </c>
      <c r="H317" s="6">
        <f t="shared" si="74"/>
        <v>6080.9251750000003</v>
      </c>
      <c r="I317" s="6">
        <f t="shared" si="75"/>
        <v>6549.5227670000004</v>
      </c>
    </row>
    <row r="318" spans="1:9" x14ac:dyDescent="0.3">
      <c r="B318" t="s">
        <v>10</v>
      </c>
      <c r="C318" s="4">
        <f t="shared" ref="C318:E318" si="80">C308*G318/G$312</f>
        <v>-1.711749065081189E-2</v>
      </c>
      <c r="D318" s="4">
        <f t="shared" si="80"/>
        <v>-1.0168990178815476E-2</v>
      </c>
      <c r="E318" s="4">
        <f t="shared" si="80"/>
        <v>-1.0274811220183883E-2</v>
      </c>
      <c r="G318" s="6">
        <f t="shared" si="73"/>
        <v>465752.2144</v>
      </c>
      <c r="H318" s="6">
        <f t="shared" si="74"/>
        <v>554907.92669999995</v>
      </c>
      <c r="I318" s="6">
        <f t="shared" si="75"/>
        <v>656855.66390000004</v>
      </c>
    </row>
    <row r="319" spans="1:9" x14ac:dyDescent="0.3">
      <c r="B319" t="s">
        <v>23</v>
      </c>
      <c r="C319" s="4">
        <f t="shared" ref="C319:E319" si="81">C309*G319/G$312</f>
        <v>-6.8146444876188682E-4</v>
      </c>
      <c r="D319" s="4">
        <f t="shared" si="81"/>
        <v>-4.9711272314696318E-4</v>
      </c>
      <c r="E319" s="4">
        <f t="shared" si="81"/>
        <v>-4.3579064174237059E-4</v>
      </c>
      <c r="G319" s="6">
        <f t="shared" si="73"/>
        <v>18684.38437</v>
      </c>
      <c r="H319" s="6">
        <f t="shared" si="74"/>
        <v>21462.144990000001</v>
      </c>
      <c r="I319" s="6">
        <f t="shared" si="75"/>
        <v>24615.461429999999</v>
      </c>
    </row>
    <row r="320" spans="1:9" x14ac:dyDescent="0.3">
      <c r="C320" s="4"/>
      <c r="D320" s="4"/>
      <c r="E320" s="4"/>
    </row>
    <row r="321" spans="1:38" x14ac:dyDescent="0.3">
      <c r="A321" s="12" t="s">
        <v>63</v>
      </c>
      <c r="C321" s="2">
        <v>42005</v>
      </c>
      <c r="D321" s="2">
        <v>42370</v>
      </c>
      <c r="E321" s="2">
        <v>42736</v>
      </c>
      <c r="F321" s="2">
        <v>43101</v>
      </c>
      <c r="G321" s="2">
        <v>43466</v>
      </c>
      <c r="H321" s="2">
        <v>43831</v>
      </c>
      <c r="I321" s="2">
        <v>44197</v>
      </c>
      <c r="J321" s="2">
        <v>44562</v>
      </c>
      <c r="K321" s="2">
        <v>44927</v>
      </c>
      <c r="L321" s="2">
        <v>45292</v>
      </c>
      <c r="M321" s="2">
        <v>45658</v>
      </c>
      <c r="N321" s="2">
        <v>46023</v>
      </c>
      <c r="O321" s="2">
        <v>46388</v>
      </c>
      <c r="P321" s="2">
        <v>46753</v>
      </c>
      <c r="Q321" s="2">
        <v>47119</v>
      </c>
      <c r="R321" s="2">
        <v>47484</v>
      </c>
      <c r="S321" s="2">
        <v>47849</v>
      </c>
      <c r="T321" s="2">
        <v>48214</v>
      </c>
      <c r="U321" s="2">
        <v>48580</v>
      </c>
      <c r="V321" s="2">
        <v>48945</v>
      </c>
      <c r="W321" s="2">
        <v>49310</v>
      </c>
      <c r="X321" s="2">
        <v>49675</v>
      </c>
      <c r="Y321" s="2">
        <v>50041</v>
      </c>
      <c r="Z321" s="2">
        <v>50406</v>
      </c>
      <c r="AA321" s="2">
        <v>50771</v>
      </c>
      <c r="AB321" s="2">
        <v>51136</v>
      </c>
      <c r="AC321" s="2">
        <v>51502</v>
      </c>
      <c r="AD321" s="2">
        <v>51867</v>
      </c>
      <c r="AE321" s="2">
        <v>52232</v>
      </c>
      <c r="AF321" s="2">
        <v>52597</v>
      </c>
      <c r="AG321" s="2">
        <v>52963</v>
      </c>
      <c r="AH321" s="2">
        <v>53328</v>
      </c>
      <c r="AI321" s="2">
        <v>53693</v>
      </c>
      <c r="AJ321" s="2">
        <v>54058</v>
      </c>
      <c r="AK321" s="2">
        <v>54424</v>
      </c>
      <c r="AL321" s="2">
        <v>54789</v>
      </c>
    </row>
    <row r="322" spans="1:38" x14ac:dyDescent="0.3">
      <c r="A322" t="s">
        <v>27</v>
      </c>
      <c r="B322" t="s">
        <v>83</v>
      </c>
      <c r="C322" s="6">
        <f>[1]Results!F3</f>
        <v>32317.940999999999</v>
      </c>
      <c r="D322" s="6">
        <f>[1]Results!G3</f>
        <v>31968.137040000001</v>
      </c>
      <c r="E322" s="6">
        <f>[1]Results!H3</f>
        <v>31825.75805</v>
      </c>
      <c r="F322" s="6">
        <f>[1]Results!I3</f>
        <v>31807.685979999998</v>
      </c>
      <c r="G322" s="6">
        <f>[1]Results!J3</f>
        <v>31863.05039</v>
      </c>
      <c r="H322" s="6">
        <f>[1]Results!K3</f>
        <v>31963.492910000001</v>
      </c>
      <c r="I322" s="6">
        <f>[1]Results!L3</f>
        <v>32091.555359999998</v>
      </c>
      <c r="J322" s="6">
        <f>[1]Results!M3</f>
        <v>32238.657670000001</v>
      </c>
      <c r="K322" s="6">
        <f>[1]Results!N3</f>
        <v>32407.042020000001</v>
      </c>
      <c r="L322" s="6">
        <f>[1]Results!O3</f>
        <v>32615.900750000001</v>
      </c>
      <c r="M322" s="6">
        <f>[1]Results!P3</f>
        <v>32878.917670000003</v>
      </c>
      <c r="N322" s="6">
        <f>[1]Results!Q3</f>
        <v>33181.270049999999</v>
      </c>
      <c r="O322" s="6">
        <f>[1]Results!R3</f>
        <v>33507.383520000003</v>
      </c>
      <c r="P322" s="6">
        <f>[1]Results!S3</f>
        <v>33841.807229999999</v>
      </c>
      <c r="Q322" s="6">
        <f>[1]Results!T3</f>
        <v>34173.746959999997</v>
      </c>
      <c r="R322" s="6">
        <f>[1]Results!U3</f>
        <v>34498.610650000002</v>
      </c>
      <c r="S322" s="6">
        <f>[1]Results!V3</f>
        <v>34816.787020000003</v>
      </c>
      <c r="T322" s="6">
        <f>[1]Results!W3</f>
        <v>35131.201009999997</v>
      </c>
      <c r="U322" s="6">
        <f>[1]Results!X3</f>
        <v>35444.925920000001</v>
      </c>
      <c r="V322" s="6">
        <f>[1]Results!Y3</f>
        <v>35759.687230000003</v>
      </c>
      <c r="W322" s="6">
        <f>[1]Results!Z3</f>
        <v>36070.609149999997</v>
      </c>
      <c r="X322" s="6">
        <f>[1]Results!AA3</f>
        <v>36382.298970000003</v>
      </c>
      <c r="Y322" s="6">
        <f>[1]Results!AB3</f>
        <v>36693.692439999999</v>
      </c>
      <c r="Z322" s="6">
        <f>[1]Results!AC3</f>
        <v>37003.880060000003</v>
      </c>
      <c r="AA322" s="6">
        <f>[1]Results!AD3</f>
        <v>37312.540390000002</v>
      </c>
      <c r="AB322" s="6">
        <f>[1]Results!AE3</f>
        <v>37605.484920000003</v>
      </c>
      <c r="AC322" s="6">
        <f>[1]Results!AF3</f>
        <v>37895.296159999998</v>
      </c>
      <c r="AD322" s="6">
        <f>[1]Results!AG3</f>
        <v>38185.145109999998</v>
      </c>
      <c r="AE322" s="6">
        <f>[1]Results!AH3</f>
        <v>38476.993340000001</v>
      </c>
      <c r="AF322" s="6">
        <f>[1]Results!AI3</f>
        <v>38771.4666</v>
      </c>
      <c r="AG322" s="6">
        <f>[1]Results!AJ3</f>
        <v>39068.410129999997</v>
      </c>
      <c r="AH322" s="6">
        <f>[1]Results!AK3</f>
        <v>39367.498919999998</v>
      </c>
      <c r="AI322" s="6">
        <f>[1]Results!AL3</f>
        <v>39668.670180000001</v>
      </c>
      <c r="AJ322" s="6">
        <f>[1]Results!AM3</f>
        <v>39972.279670000004</v>
      </c>
      <c r="AK322" s="6">
        <f>[1]Results!AN3</f>
        <v>40279.010829999999</v>
      </c>
      <c r="AL322" s="6">
        <f>[1]Results!AO3</f>
        <v>40589.652329999997</v>
      </c>
    </row>
    <row r="323" spans="1:38" x14ac:dyDescent="0.3">
      <c r="B323" t="s">
        <v>48</v>
      </c>
      <c r="C323" s="6">
        <f>[1]Results!F4</f>
        <v>32271.24</v>
      </c>
      <c r="D323" s="6">
        <f>[1]Results!G4</f>
        <v>31903.236649999999</v>
      </c>
      <c r="E323" s="6">
        <f>[1]Results!H4</f>
        <v>31741.058860000001</v>
      </c>
      <c r="F323" s="6">
        <f>[1]Results!I4</f>
        <v>31701.457600000002</v>
      </c>
      <c r="G323" s="6">
        <f>[1]Results!J4</f>
        <v>31732.86853</v>
      </c>
      <c r="H323" s="6">
        <f>[1]Results!K4</f>
        <v>31805.7713</v>
      </c>
      <c r="I323" s="6">
        <f>[1]Results!L4</f>
        <v>31901.246780000001</v>
      </c>
      <c r="J323" s="6">
        <f>[1]Results!M4</f>
        <v>32008.95248</v>
      </c>
      <c r="K323" s="6">
        <f>[1]Results!N4</f>
        <v>32129.238239999999</v>
      </c>
      <c r="L323" s="6">
        <f>[1]Results!O4</f>
        <v>32279.11188</v>
      </c>
      <c r="M323" s="6">
        <f>[1]Results!P4</f>
        <v>32470.359390000001</v>
      </c>
      <c r="N323" s="6">
        <f>[1]Results!Q4</f>
        <v>32687.47885</v>
      </c>
      <c r="O323" s="6">
        <f>[1]Results!R4</f>
        <v>32914.808369999999</v>
      </c>
      <c r="P323" s="6">
        <f>[1]Results!S4</f>
        <v>33137.193200000002</v>
      </c>
      <c r="Q323" s="6">
        <f>[1]Results!T4</f>
        <v>33344.077510000003</v>
      </c>
      <c r="R323" s="6">
        <f>[1]Results!U4</f>
        <v>33530.7327</v>
      </c>
      <c r="S323" s="6">
        <f>[1]Results!V4</f>
        <v>33696.936549999999</v>
      </c>
      <c r="T323" s="6">
        <f>[1]Results!W4</f>
        <v>33844.601260000003</v>
      </c>
      <c r="U323" s="6">
        <f>[1]Results!X4</f>
        <v>33975.543250000002</v>
      </c>
      <c r="V323" s="6">
        <f>[1]Results!Y4</f>
        <v>34090.145230000002</v>
      </c>
      <c r="W323" s="6">
        <f>[1]Results!Z4</f>
        <v>34182.660839999997</v>
      </c>
      <c r="X323" s="6">
        <f>[1]Results!AA4</f>
        <v>34255.92568</v>
      </c>
      <c r="Y323" s="6">
        <f>[1]Results!AB4</f>
        <v>34307.550860000003</v>
      </c>
      <c r="Z323" s="6">
        <f>[1]Results!AC4</f>
        <v>34335.273809999999</v>
      </c>
      <c r="AA323" s="6">
        <f>[1]Results!AD4</f>
        <v>34337.36621</v>
      </c>
      <c r="AB323" s="6">
        <f>[1]Results!AE4</f>
        <v>34300.295400000003</v>
      </c>
      <c r="AC323" s="6">
        <f>[1]Results!AF4</f>
        <v>34233.785459999999</v>
      </c>
      <c r="AD323" s="6">
        <f>[1]Results!AG4</f>
        <v>34139.40754</v>
      </c>
      <c r="AE323" s="6">
        <f>[1]Results!AH4</f>
        <v>34017.774850000002</v>
      </c>
      <c r="AF323" s="6">
        <f>[1]Results!AI4</f>
        <v>33868.504079999999</v>
      </c>
      <c r="AG323" s="6">
        <f>[1]Results!AJ4</f>
        <v>33690.714679999997</v>
      </c>
      <c r="AH323" s="6">
        <f>[1]Results!AK4</f>
        <v>33483.53026</v>
      </c>
      <c r="AI323" s="6">
        <f>[1]Results!AL4</f>
        <v>33246.404470000001</v>
      </c>
      <c r="AJ323" s="6">
        <f>[1]Results!AM4</f>
        <v>32979.215179999999</v>
      </c>
      <c r="AK323" s="6">
        <f>[1]Results!AN4</f>
        <v>32682.173350000001</v>
      </c>
      <c r="AL323" s="6">
        <f>[1]Results!AO4</f>
        <v>32355.65048</v>
      </c>
    </row>
    <row r="324" spans="1:38" x14ac:dyDescent="0.3">
      <c r="B324" t="s">
        <v>81</v>
      </c>
      <c r="C324" s="6">
        <f>[1]Results!F20</f>
        <v>1.9359999999999999</v>
      </c>
      <c r="D324" s="6">
        <f>[1]Results!G20</f>
        <v>1.995067251</v>
      </c>
      <c r="E324" s="6">
        <f>[1]Results!H20</f>
        <v>2.0653284699999999</v>
      </c>
      <c r="F324" s="6">
        <f>[1]Results!I20</f>
        <v>2.1404358490000002</v>
      </c>
      <c r="G324" s="6">
        <f>[1]Results!J20</f>
        <v>2.2165559159999999</v>
      </c>
      <c r="H324" s="6">
        <f>[1]Results!K20</f>
        <v>2.291609609</v>
      </c>
      <c r="I324" s="6">
        <f>[1]Results!L20</f>
        <v>2.3643454259999999</v>
      </c>
      <c r="J324" s="6">
        <f>[1]Results!M20</f>
        <v>2.4341869300000001</v>
      </c>
      <c r="K324" s="6">
        <f>[1]Results!N20</f>
        <v>2.501424364</v>
      </c>
      <c r="L324" s="6">
        <f>[1]Results!O20</f>
        <v>2.567731572</v>
      </c>
      <c r="M324" s="6">
        <f>[1]Results!P20</f>
        <v>2.6343502860000001</v>
      </c>
      <c r="N324" s="6">
        <f>[1]Results!Q20</f>
        <v>2.700229201</v>
      </c>
      <c r="O324" s="6">
        <f>[1]Results!R20</f>
        <v>2.7642679289999998</v>
      </c>
      <c r="P324" s="6">
        <f>[1]Results!S20</f>
        <v>2.825375068</v>
      </c>
      <c r="Q324" s="6">
        <f>[1]Results!T20</f>
        <v>2.8828147089999998</v>
      </c>
      <c r="R324" s="6">
        <f>[1]Results!U20</f>
        <v>2.9363174760000001</v>
      </c>
      <c r="S324" s="6">
        <f>[1]Results!V20</f>
        <v>2.985978502</v>
      </c>
      <c r="T324" s="6">
        <f>[1]Results!W20</f>
        <v>3.032064831</v>
      </c>
      <c r="U324" s="6">
        <f>[1]Results!X20</f>
        <v>3.0748312790000001</v>
      </c>
      <c r="V324" s="6">
        <f>[1]Results!Y20</f>
        <v>3.1144081579999998</v>
      </c>
      <c r="W324" s="6">
        <f>[1]Results!Z20</f>
        <v>3.1504052329999999</v>
      </c>
      <c r="X324" s="6">
        <f>[1]Results!AA20</f>
        <v>3.1831400639999998</v>
      </c>
      <c r="Y324" s="6">
        <f>[1]Results!AB20</f>
        <v>3.2124899899999999</v>
      </c>
      <c r="Z324" s="6">
        <f>[1]Results!AC20</f>
        <v>3.2383350129999999</v>
      </c>
      <c r="AA324" s="6">
        <f>[1]Results!AD20</f>
        <v>3.2605927210000001</v>
      </c>
      <c r="AB324" s="6">
        <f>[1]Results!AE20</f>
        <v>3.278182862</v>
      </c>
      <c r="AC324" s="6">
        <f>[1]Results!AF20</f>
        <v>3.291958046</v>
      </c>
      <c r="AD324" s="6">
        <f>[1]Results!AG20</f>
        <v>3.302096234</v>
      </c>
      <c r="AE324" s="6">
        <f>[1]Results!AH20</f>
        <v>3.3086940600000001</v>
      </c>
      <c r="AF324" s="6">
        <f>[1]Results!AI20</f>
        <v>3.3117624060000002</v>
      </c>
      <c r="AG324" s="6">
        <f>[1]Results!AJ20</f>
        <v>3.3112671960000002</v>
      </c>
      <c r="AH324" s="6">
        <f>[1]Results!AK20</f>
        <v>3.307171077</v>
      </c>
      <c r="AI324" s="6">
        <f>[1]Results!AL20</f>
        <v>3.299461027</v>
      </c>
      <c r="AJ324" s="6">
        <f>[1]Results!AM20</f>
        <v>3.288156904</v>
      </c>
      <c r="AK324" s="6">
        <f>[1]Results!AN20</f>
        <v>3.2733045110000001</v>
      </c>
      <c r="AL324" s="6">
        <f>[1]Results!AO20</f>
        <v>3.2549616549999998</v>
      </c>
    </row>
    <row r="325" spans="1:38" x14ac:dyDescent="0.3">
      <c r="B325" t="s">
        <v>82</v>
      </c>
      <c r="C325" s="6">
        <f>[1]Results!F12</f>
        <v>44.765000000000001</v>
      </c>
      <c r="D325" s="6">
        <f>[1]Results!G12</f>
        <v>62.90532503</v>
      </c>
      <c r="E325" s="6">
        <f>[1]Results!H12</f>
        <v>82.633856399999999</v>
      </c>
      <c r="F325" s="6">
        <f>[1]Results!I12</f>
        <v>104.0879429</v>
      </c>
      <c r="G325" s="6">
        <f>[1]Results!J12</f>
        <v>127.9653084</v>
      </c>
      <c r="H325" s="6">
        <f>[1]Results!K12</f>
        <v>155.42999620000001</v>
      </c>
      <c r="I325" s="6">
        <f>[1]Results!L12</f>
        <v>187.9442396</v>
      </c>
      <c r="J325" s="6">
        <f>[1]Results!M12</f>
        <v>227.27100250000001</v>
      </c>
      <c r="K325" s="6">
        <f>[1]Results!N12</f>
        <v>275.3023594</v>
      </c>
      <c r="L325" s="6">
        <f>[1]Results!O12</f>
        <v>334.22114040000002</v>
      </c>
      <c r="M325" s="6">
        <f>[1]Results!P12</f>
        <v>405.92393029999999</v>
      </c>
      <c r="N325" s="6">
        <f>[1]Results!Q12</f>
        <v>491.09097059999999</v>
      </c>
      <c r="O325" s="6">
        <f>[1]Results!R12</f>
        <v>589.81087500000001</v>
      </c>
      <c r="P325" s="6">
        <f>[1]Results!S12</f>
        <v>701.78864850000002</v>
      </c>
      <c r="Q325" s="6">
        <f>[1]Results!T12</f>
        <v>826.78661450000004</v>
      </c>
      <c r="R325" s="6">
        <f>[1]Results!U12</f>
        <v>964.9416129</v>
      </c>
      <c r="S325" s="6">
        <f>[1]Results!V12</f>
        <v>1116.8644589999999</v>
      </c>
      <c r="T325" s="6">
        <f>[1]Results!W12</f>
        <v>1283.5676559999999</v>
      </c>
      <c r="U325" s="6">
        <f>[1]Results!X12</f>
        <v>1466.307802</v>
      </c>
      <c r="V325" s="6">
        <f>[1]Results!Y12</f>
        <v>1666.427551</v>
      </c>
      <c r="W325" s="6">
        <f>[1]Results!Z12</f>
        <v>1884.7978519999999</v>
      </c>
      <c r="X325" s="6">
        <f>[1]Results!AA12</f>
        <v>2123.1900970000002</v>
      </c>
      <c r="Y325" s="6">
        <f>[1]Results!AB12</f>
        <v>2382.929032</v>
      </c>
      <c r="Z325" s="6">
        <f>[1]Results!AC12</f>
        <v>2665.3678570000002</v>
      </c>
      <c r="AA325" s="6">
        <f>[1]Results!AD12</f>
        <v>2971.9135230000002</v>
      </c>
      <c r="AB325" s="6">
        <f>[1]Results!AE12</f>
        <v>3301.9112730000002</v>
      </c>
      <c r="AC325" s="6">
        <f>[1]Results!AF12</f>
        <v>3658.218672</v>
      </c>
      <c r="AD325" s="6">
        <f>[1]Results!AG12</f>
        <v>4042.435399</v>
      </c>
      <c r="AE325" s="6">
        <f>[1]Results!AH12</f>
        <v>4455.9097149999998</v>
      </c>
      <c r="AF325" s="6">
        <f>[1]Results!AI12</f>
        <v>4899.65067</v>
      </c>
      <c r="AG325" s="6">
        <f>[1]Results!AJ12</f>
        <v>5374.3840920000002</v>
      </c>
      <c r="AH325" s="6">
        <f>[1]Results!AK12</f>
        <v>5880.6613889999999</v>
      </c>
      <c r="AI325" s="6">
        <f>[1]Results!AL12</f>
        <v>6418.9661480000004</v>
      </c>
      <c r="AJ325" s="6">
        <f>[1]Results!AM12</f>
        <v>6989.7762210000001</v>
      </c>
      <c r="AK325" s="6">
        <f>[1]Results!AN12</f>
        <v>7593.5640700000004</v>
      </c>
      <c r="AL325" s="6">
        <f>[1]Results!AO12</f>
        <v>8230.746776</v>
      </c>
    </row>
    <row r="327" spans="1:38" x14ac:dyDescent="0.3">
      <c r="A327" s="12" t="s">
        <v>63</v>
      </c>
      <c r="C327" s="2">
        <v>42005</v>
      </c>
      <c r="D327" s="2">
        <v>42370</v>
      </c>
      <c r="E327" s="2">
        <v>42736</v>
      </c>
      <c r="F327" s="2">
        <v>43101</v>
      </c>
      <c r="G327" s="2">
        <v>43466</v>
      </c>
      <c r="H327" s="2">
        <v>43831</v>
      </c>
      <c r="I327" s="2">
        <v>44197</v>
      </c>
      <c r="J327" s="2">
        <v>44562</v>
      </c>
      <c r="K327" s="2">
        <v>44927</v>
      </c>
      <c r="L327" s="2">
        <v>45292</v>
      </c>
      <c r="M327" s="2">
        <v>45658</v>
      </c>
      <c r="N327" s="2">
        <v>46023</v>
      </c>
      <c r="O327" s="2">
        <v>46388</v>
      </c>
      <c r="P327" s="2">
        <v>46753</v>
      </c>
      <c r="Q327" s="2">
        <v>47119</v>
      </c>
      <c r="R327" s="2">
        <v>47484</v>
      </c>
      <c r="S327" s="2">
        <v>47849</v>
      </c>
      <c r="T327" s="2">
        <v>48214</v>
      </c>
      <c r="U327" s="2">
        <v>48580</v>
      </c>
      <c r="V327" s="2">
        <v>48945</v>
      </c>
      <c r="W327" s="2">
        <v>49310</v>
      </c>
      <c r="X327" s="2">
        <v>49675</v>
      </c>
      <c r="Y327" s="2">
        <v>50041</v>
      </c>
      <c r="Z327" s="2">
        <v>50406</v>
      </c>
      <c r="AA327" s="2">
        <v>50771</v>
      </c>
      <c r="AB327" s="2">
        <v>51136</v>
      </c>
      <c r="AC327" s="2">
        <v>51502</v>
      </c>
      <c r="AD327" s="2">
        <v>51867</v>
      </c>
      <c r="AE327" s="2">
        <v>52232</v>
      </c>
      <c r="AF327" s="2">
        <v>52597</v>
      </c>
      <c r="AG327" s="2">
        <v>52963</v>
      </c>
      <c r="AH327" s="2">
        <v>53328</v>
      </c>
      <c r="AI327" s="2">
        <v>53693</v>
      </c>
      <c r="AJ327" s="2">
        <v>54058</v>
      </c>
      <c r="AK327" s="2">
        <v>54424</v>
      </c>
      <c r="AL327" s="2">
        <v>54789</v>
      </c>
    </row>
    <row r="328" spans="1:38" x14ac:dyDescent="0.3">
      <c r="A328" t="s">
        <v>26</v>
      </c>
      <c r="B328" t="s">
        <v>83</v>
      </c>
      <c r="C328" s="6">
        <f>[1]Results!F28</f>
        <v>32317.940999999999</v>
      </c>
      <c r="D328" s="6">
        <f>[1]Results!G28</f>
        <v>31968.137040000001</v>
      </c>
      <c r="E328" s="6">
        <f>[1]Results!H28</f>
        <v>31825.75805</v>
      </c>
      <c r="F328" s="6">
        <f>[1]Results!I28</f>
        <v>31807.685979999998</v>
      </c>
      <c r="G328" s="6">
        <f>[1]Results!J28</f>
        <v>31863.05039</v>
      </c>
      <c r="H328" s="6">
        <f>[1]Results!K28</f>
        <v>31963.492910000001</v>
      </c>
      <c r="I328" s="6">
        <f>[1]Results!L28</f>
        <v>32091.11177</v>
      </c>
      <c r="J328" s="6">
        <f>[1]Results!M28</f>
        <v>32241.870350000001</v>
      </c>
      <c r="K328" s="6">
        <f>[1]Results!N28</f>
        <v>32415.42899</v>
      </c>
      <c r="L328" s="6">
        <f>[1]Results!O28</f>
        <v>32612.420770000001</v>
      </c>
      <c r="M328" s="6">
        <f>[1]Results!P28</f>
        <v>32838.573369999998</v>
      </c>
      <c r="N328" s="6">
        <f>[1]Results!Q28</f>
        <v>33084.349970000003</v>
      </c>
      <c r="O328" s="6">
        <f>[1]Results!R28</f>
        <v>33346.703119999998</v>
      </c>
      <c r="P328" s="6">
        <f>[1]Results!S28</f>
        <v>33622.650930000003</v>
      </c>
      <c r="Q328" s="6">
        <f>[1]Results!T28</f>
        <v>33910.13478</v>
      </c>
      <c r="R328" s="6">
        <f>[1]Results!U28</f>
        <v>34207.814559999999</v>
      </c>
      <c r="S328" s="6">
        <f>[1]Results!V28</f>
        <v>34514.55891</v>
      </c>
      <c r="T328" s="6">
        <f>[1]Results!W28</f>
        <v>34829.029949999996</v>
      </c>
      <c r="U328" s="6">
        <f>[1]Results!X28</f>
        <v>35149.536269999997</v>
      </c>
      <c r="V328" s="6">
        <f>[1]Results!Y28</f>
        <v>35474.152829999999</v>
      </c>
      <c r="W328" s="6">
        <f>[1]Results!Z28</f>
        <v>35796.098850000002</v>
      </c>
      <c r="X328" s="6">
        <f>[1]Results!AA28</f>
        <v>36119.448880000004</v>
      </c>
      <c r="Y328" s="6">
        <f>[1]Results!AB28</f>
        <v>36443.427389999997</v>
      </c>
      <c r="Z328" s="6">
        <f>[1]Results!AC28</f>
        <v>36767.245669999997</v>
      </c>
      <c r="AA328" s="6">
        <f>[1]Results!AD28</f>
        <v>37090.299939999997</v>
      </c>
      <c r="AB328" s="6">
        <f>[1]Results!AE28</f>
        <v>37397.693019999999</v>
      </c>
      <c r="AC328" s="6">
        <f>[1]Results!AF28</f>
        <v>37700.902820000003</v>
      </c>
      <c r="AD328" s="6">
        <f>[1]Results!AG28</f>
        <v>38002.190269999999</v>
      </c>
      <c r="AE328" s="6">
        <f>[1]Results!AH28</f>
        <v>38302.778700000003</v>
      </c>
      <c r="AF328" s="6">
        <f>[1]Results!AI28</f>
        <v>38603.006070000003</v>
      </c>
      <c r="AG328" s="6">
        <f>[1]Results!AJ28</f>
        <v>38902.87934</v>
      </c>
      <c r="AH328" s="6">
        <f>[1]Results!AK28</f>
        <v>39202.547599999998</v>
      </c>
      <c r="AI328" s="6">
        <f>[1]Results!AL28</f>
        <v>39502.5452</v>
      </c>
      <c r="AJ328" s="6">
        <f>[1]Results!AM28</f>
        <v>39803.784529999997</v>
      </c>
      <c r="AK328" s="6">
        <f>[1]Results!AN28</f>
        <v>40107.373769999998</v>
      </c>
      <c r="AL328" s="6">
        <f>[1]Results!AO28</f>
        <v>40414.377439999997</v>
      </c>
    </row>
    <row r="329" spans="1:38" x14ac:dyDescent="0.3">
      <c r="B329" t="s">
        <v>48</v>
      </c>
      <c r="C329" s="6">
        <f>[1]Results!F29</f>
        <v>32271.24</v>
      </c>
      <c r="D329" s="6">
        <f>[1]Results!G29</f>
        <v>31903.236649999999</v>
      </c>
      <c r="E329" s="6">
        <f>[1]Results!H29</f>
        <v>31741.058860000001</v>
      </c>
      <c r="F329" s="6">
        <f>[1]Results!I29</f>
        <v>31701.457600000002</v>
      </c>
      <c r="G329" s="6">
        <f>[1]Results!J29</f>
        <v>31732.86853</v>
      </c>
      <c r="H329" s="6">
        <f>[1]Results!K29</f>
        <v>31805.7713</v>
      </c>
      <c r="I329" s="6">
        <f>[1]Results!L29</f>
        <v>31900.817319999998</v>
      </c>
      <c r="J329" s="6">
        <f>[1]Results!M29</f>
        <v>32012.26036</v>
      </c>
      <c r="K329" s="6">
        <f>[1]Results!N29</f>
        <v>32138.00477</v>
      </c>
      <c r="L329" s="6">
        <f>[1]Results!O29</f>
        <v>32277.016919999998</v>
      </c>
      <c r="M329" s="6">
        <f>[1]Results!P29</f>
        <v>32433.399079999999</v>
      </c>
      <c r="N329" s="6">
        <f>[1]Results!Q29</f>
        <v>32596.660800000001</v>
      </c>
      <c r="O329" s="6">
        <f>[1]Results!R29</f>
        <v>32762.92064</v>
      </c>
      <c r="P329" s="6">
        <f>[1]Results!S29</f>
        <v>32928.625310000003</v>
      </c>
      <c r="Q329" s="6">
        <f>[1]Results!T29</f>
        <v>33091.303870000003</v>
      </c>
      <c r="R329" s="6">
        <f>[1]Results!U29</f>
        <v>33249.285459999999</v>
      </c>
      <c r="S329" s="6">
        <f>[1]Results!V29</f>
        <v>33401.12962</v>
      </c>
      <c r="T329" s="6">
        <f>[1]Results!W29</f>
        <v>33545.15842</v>
      </c>
      <c r="U329" s="6">
        <f>[1]Results!X29</f>
        <v>33679.257590000001</v>
      </c>
      <c r="V329" s="6">
        <f>[1]Results!Y29</f>
        <v>33800.944210000001</v>
      </c>
      <c r="W329" s="6">
        <f>[1]Results!Z29</f>
        <v>33903.159890000003</v>
      </c>
      <c r="X329" s="6">
        <f>[1]Results!AA29</f>
        <v>33988.553800000002</v>
      </c>
      <c r="Y329" s="6">
        <f>[1]Results!AB29</f>
        <v>34055.159169999999</v>
      </c>
      <c r="Z329" s="6">
        <f>[1]Results!AC29</f>
        <v>34100.847159999998</v>
      </c>
      <c r="AA329" s="6">
        <f>[1]Results!AD29</f>
        <v>34123.552409999997</v>
      </c>
      <c r="AB329" s="6">
        <f>[1]Results!AE29</f>
        <v>34108.912199999999</v>
      </c>
      <c r="AC329" s="6">
        <f>[1]Results!AF29</f>
        <v>34065.487090000002</v>
      </c>
      <c r="AD329" s="6">
        <f>[1]Results!AG29</f>
        <v>33993.821510000002</v>
      </c>
      <c r="AE329" s="6">
        <f>[1]Results!AH29</f>
        <v>33893.648670000002</v>
      </c>
      <c r="AF329" s="6">
        <f>[1]Results!AI29</f>
        <v>33764.092799999999</v>
      </c>
      <c r="AG329" s="6">
        <f>[1]Results!AJ29</f>
        <v>33604.1702</v>
      </c>
      <c r="AH329" s="6">
        <f>[1]Results!AK29</f>
        <v>33413.182309999997</v>
      </c>
      <c r="AI329" s="6">
        <f>[1]Results!AL29</f>
        <v>33190.895329999999</v>
      </c>
      <c r="AJ329" s="6">
        <f>[1]Results!AM29</f>
        <v>32937.511980000003</v>
      </c>
      <c r="AK329" s="6">
        <f>[1]Results!AN29</f>
        <v>32653.513439999999</v>
      </c>
      <c r="AL329" s="6">
        <f>[1]Results!AO29</f>
        <v>32339.472559999998</v>
      </c>
    </row>
    <row r="330" spans="1:38" x14ac:dyDescent="0.3">
      <c r="B330" t="s">
        <v>81</v>
      </c>
      <c r="C330" s="6">
        <f>[1]Results!F45</f>
        <v>1.9359999999999999</v>
      </c>
      <c r="D330" s="6">
        <f>[1]Results!G45</f>
        <v>1.995067251</v>
      </c>
      <c r="E330" s="6">
        <f>[1]Results!H45</f>
        <v>2.0653284699999999</v>
      </c>
      <c r="F330" s="6">
        <f>[1]Results!I45</f>
        <v>2.1404358490000002</v>
      </c>
      <c r="G330" s="6">
        <f>[1]Results!J45</f>
        <v>2.2165559159999999</v>
      </c>
      <c r="H330" s="6">
        <f>[1]Results!K45</f>
        <v>2.291609609</v>
      </c>
      <c r="I330" s="6">
        <f>[1]Results!L45</f>
        <v>2.3643093460000002</v>
      </c>
      <c r="J330" s="6">
        <f>[1]Results!M45</f>
        <v>2.4344642749999998</v>
      </c>
      <c r="K330" s="6">
        <f>[1]Results!N45</f>
        <v>2.5021645879999999</v>
      </c>
      <c r="L330" s="6">
        <f>[1]Results!O45</f>
        <v>2.567570361</v>
      </c>
      <c r="M330" s="6">
        <f>[1]Results!P45</f>
        <v>2.6312563820000001</v>
      </c>
      <c r="N330" s="6">
        <f>[1]Results!Q45</f>
        <v>2.6925623839999999</v>
      </c>
      <c r="O330" s="6">
        <f>[1]Results!R45</f>
        <v>2.751356012</v>
      </c>
      <c r="P330" s="6">
        <f>[1]Results!S45</f>
        <v>2.8075153739999998</v>
      </c>
      <c r="Q330" s="6">
        <f>[1]Results!T45</f>
        <v>2.8609938970000002</v>
      </c>
      <c r="R330" s="6">
        <f>[1]Results!U45</f>
        <v>2.9117989789999998</v>
      </c>
      <c r="S330" s="6">
        <f>[1]Results!V45</f>
        <v>2.9599459860000001</v>
      </c>
      <c r="T330" s="6">
        <f>[1]Results!W45</f>
        <v>3.0054199599999998</v>
      </c>
      <c r="U330" s="6">
        <f>[1]Results!X45</f>
        <v>3.048159246</v>
      </c>
      <c r="V330" s="6">
        <f>[1]Results!Y45</f>
        <v>3.0880612529999998</v>
      </c>
      <c r="W330" s="6">
        <f>[1]Results!Z45</f>
        <v>3.124629176</v>
      </c>
      <c r="X330" s="6">
        <f>[1]Results!AA45</f>
        <v>3.1581666589999999</v>
      </c>
      <c r="Y330" s="6">
        <f>[1]Results!AB45</f>
        <v>3.1885878949999999</v>
      </c>
      <c r="Z330" s="6">
        <f>[1]Results!AC45</f>
        <v>3.2157859680000001</v>
      </c>
      <c r="AA330" s="6">
        <f>[1]Results!AD45</f>
        <v>3.2396520569999998</v>
      </c>
      <c r="AB330" s="6">
        <f>[1]Results!AE45</f>
        <v>3.2590375310000002</v>
      </c>
      <c r="AC330" s="6">
        <f>[1]Results!AF45</f>
        <v>3.274697449</v>
      </c>
      <c r="AD330" s="6">
        <f>[1]Results!AG45</f>
        <v>3.2867222059999999</v>
      </c>
      <c r="AE330" s="6">
        <f>[1]Results!AH45</f>
        <v>3.2951319560000001</v>
      </c>
      <c r="AF330" s="6">
        <f>[1]Results!AI45</f>
        <v>3.2998926869999998</v>
      </c>
      <c r="AG330" s="6">
        <f>[1]Results!AJ45</f>
        <v>3.3009577210000001</v>
      </c>
      <c r="AH330" s="6">
        <f>[1]Results!AK45</f>
        <v>3.2983008190000001</v>
      </c>
      <c r="AI330" s="6">
        <f>[1]Results!AL45</f>
        <v>3.291931859</v>
      </c>
      <c r="AJ330" s="6">
        <f>[1]Results!AM45</f>
        <v>3.281895252</v>
      </c>
      <c r="AK330" s="6">
        <f>[1]Results!AN45</f>
        <v>3.2682573449999999</v>
      </c>
      <c r="AL330" s="6">
        <f>[1]Results!AO45</f>
        <v>3.2510911870000001</v>
      </c>
    </row>
    <row r="331" spans="1:38" x14ac:dyDescent="0.3">
      <c r="B331" t="s">
        <v>82</v>
      </c>
      <c r="C331" s="6">
        <f>[1]Results!F37</f>
        <v>44.765000000000001</v>
      </c>
      <c r="D331" s="6">
        <f>[1]Results!G37</f>
        <v>62.90532503</v>
      </c>
      <c r="E331" s="6">
        <f>[1]Results!H37</f>
        <v>82.633856399999999</v>
      </c>
      <c r="F331" s="6">
        <f>[1]Results!I37</f>
        <v>104.0879429</v>
      </c>
      <c r="G331" s="6">
        <f>[1]Results!J37</f>
        <v>127.9653084</v>
      </c>
      <c r="H331" s="6">
        <f>[1]Results!K37</f>
        <v>155.42999620000001</v>
      </c>
      <c r="I331" s="6">
        <f>[1]Results!L37</f>
        <v>187.93014489999999</v>
      </c>
      <c r="J331" s="6">
        <f>[1]Results!M37</f>
        <v>227.17552380000001</v>
      </c>
      <c r="K331" s="6">
        <f>[1]Results!N37</f>
        <v>274.92205860000001</v>
      </c>
      <c r="L331" s="6">
        <f>[1]Results!O37</f>
        <v>332.83628340000001</v>
      </c>
      <c r="M331" s="6">
        <f>[1]Results!P37</f>
        <v>402.54303490000001</v>
      </c>
      <c r="N331" s="6">
        <f>[1]Results!Q37</f>
        <v>484.99660519999998</v>
      </c>
      <c r="O331" s="6">
        <f>[1]Results!R37</f>
        <v>581.03110939999999</v>
      </c>
      <c r="P331" s="6">
        <f>[1]Results!S37</f>
        <v>691.21809140000005</v>
      </c>
      <c r="Q331" s="6">
        <f>[1]Results!T37</f>
        <v>815.96989619999999</v>
      </c>
      <c r="R331" s="6">
        <f>[1]Results!U37</f>
        <v>955.61727780000001</v>
      </c>
      <c r="S331" s="6">
        <f>[1]Results!V37</f>
        <v>1110.469321</v>
      </c>
      <c r="T331" s="6">
        <f>[1]Results!W37</f>
        <v>1280.866082</v>
      </c>
      <c r="U331" s="6">
        <f>[1]Results!X37</f>
        <v>1467.2304839999999</v>
      </c>
      <c r="V331" s="6">
        <f>[1]Results!Y37</f>
        <v>1670.1205150000001</v>
      </c>
      <c r="W331" s="6">
        <f>[1]Results!Z37</f>
        <v>1889.8142849999999</v>
      </c>
      <c r="X331" s="6">
        <f>[1]Results!AA37</f>
        <v>2127.73686</v>
      </c>
      <c r="Y331" s="6">
        <f>[1]Results!AB37</f>
        <v>2385.0795640000001</v>
      </c>
      <c r="Z331" s="6">
        <f>[1]Results!AC37</f>
        <v>2663.1826510000001</v>
      </c>
      <c r="AA331" s="6">
        <f>[1]Results!AD37</f>
        <v>2963.5078060000001</v>
      </c>
      <c r="AB331" s="6">
        <f>[1]Results!AE37</f>
        <v>3285.5217050000001</v>
      </c>
      <c r="AC331" s="6">
        <f>[1]Results!AF37</f>
        <v>3632.1409469999999</v>
      </c>
      <c r="AD331" s="6">
        <f>[1]Results!AG37</f>
        <v>4005.0819390000001</v>
      </c>
      <c r="AE331" s="6">
        <f>[1]Results!AH37</f>
        <v>4405.8348029999997</v>
      </c>
      <c r="AF331" s="6">
        <f>[1]Results!AI37</f>
        <v>4835.6132749999997</v>
      </c>
      <c r="AG331" s="6">
        <f>[1]Results!AJ37</f>
        <v>5295.408066</v>
      </c>
      <c r="AH331" s="6">
        <f>[1]Results!AK37</f>
        <v>5786.0668759999999</v>
      </c>
      <c r="AI331" s="6">
        <f>[1]Results!AL37</f>
        <v>6308.3578260000004</v>
      </c>
      <c r="AJ331" s="6">
        <f>[1]Results!AM37</f>
        <v>6862.9905330000001</v>
      </c>
      <c r="AK331" s="6">
        <f>[1]Results!AN37</f>
        <v>7450.5919439999998</v>
      </c>
      <c r="AL331" s="6">
        <f>[1]Results!AO37</f>
        <v>8071.6536599999999</v>
      </c>
    </row>
    <row r="333" spans="1:38" x14ac:dyDescent="0.3">
      <c r="A333" s="12" t="s">
        <v>64</v>
      </c>
      <c r="B333" s="5" t="str">
        <f>[1]Hybrid!A18</f>
        <v>auto_ca_cfut_2</v>
      </c>
      <c r="C333" s="5">
        <f>[1]Hybrid!B18</f>
        <v>7095.7005250000002</v>
      </c>
      <c r="D333" s="5">
        <f>[1]Hybrid!C18</f>
        <v>7153.0182009999999</v>
      </c>
      <c r="E333" s="5">
        <f>[1]Hybrid!D18</f>
        <v>7260.7539189999998</v>
      </c>
      <c r="F333" s="5">
        <f>[1]Hybrid!E18</f>
        <v>7396.8710339999998</v>
      </c>
      <c r="G333" s="5">
        <f>[1]Hybrid!F18</f>
        <v>7547.9224800000002</v>
      </c>
      <c r="H333" s="5">
        <f>[1]Hybrid!G18</f>
        <v>7706.5527510000002</v>
      </c>
      <c r="I333" s="5">
        <f>[1]Hybrid!H18</f>
        <v>7868.2811860000002</v>
      </c>
      <c r="J333" s="5">
        <f>[1]Hybrid!I18</f>
        <v>8031.4329559999996</v>
      </c>
      <c r="K333" s="5">
        <f>[1]Hybrid!J18</f>
        <v>8197.9605040000006</v>
      </c>
      <c r="L333" s="5">
        <f>[1]Hybrid!K18</f>
        <v>8373.5997009999992</v>
      </c>
      <c r="M333" s="5">
        <f>[1]Hybrid!L18</f>
        <v>8561.5901379999996</v>
      </c>
      <c r="N333" s="5">
        <f>[1]Hybrid!M18</f>
        <v>8756.322999</v>
      </c>
      <c r="O333" s="5">
        <f>[1]Hybrid!N18</f>
        <v>8952.2398699999994</v>
      </c>
      <c r="P333" s="5">
        <f>[1]Hybrid!O18</f>
        <v>9144.2673250000007</v>
      </c>
      <c r="Q333" s="5">
        <f>[1]Hybrid!P18</f>
        <v>9329.1261709999999</v>
      </c>
      <c r="R333" s="5">
        <f>[1]Hybrid!Q18</f>
        <v>9505.5900970000002</v>
      </c>
      <c r="S333" s="5">
        <f>[1]Hybrid!R18</f>
        <v>9673.8968120000009</v>
      </c>
      <c r="T333" s="5">
        <f>[1]Hybrid!S18</f>
        <v>9834.8639679999997</v>
      </c>
      <c r="U333" s="5">
        <f>[1]Hybrid!T18</f>
        <v>9989.1219980000005</v>
      </c>
      <c r="V333" s="5">
        <f>[1]Hybrid!U18</f>
        <v>10136.699629999999</v>
      </c>
      <c r="W333" s="5">
        <f>[1]Hybrid!V18</f>
        <v>10275.505209999999</v>
      </c>
      <c r="X333" s="5">
        <f>[1]Hybrid!W18</f>
        <v>10406.336939999999</v>
      </c>
      <c r="Y333" s="5">
        <f>[1]Hybrid!X18</f>
        <v>10528.261759999999</v>
      </c>
      <c r="Z333" s="5">
        <f>[1]Hybrid!Y18</f>
        <v>10640.43671</v>
      </c>
      <c r="AA333" s="5">
        <f>[1]Hybrid!Z18</f>
        <v>10742.249620000001</v>
      </c>
      <c r="AB333" s="5">
        <f>[1]Hybrid!AA18</f>
        <v>10828.98976</v>
      </c>
      <c r="AC333" s="5">
        <f>[1]Hybrid!AB18</f>
        <v>10904.04711</v>
      </c>
      <c r="AD333" s="5">
        <f>[1]Hybrid!AC18</f>
        <v>10967.91792</v>
      </c>
      <c r="AE333" s="5">
        <f>[1]Hybrid!AD18</f>
        <v>11020.70343</v>
      </c>
      <c r="AF333" s="5">
        <f>[1]Hybrid!AE18</f>
        <v>11062.12824</v>
      </c>
      <c r="AG333" s="5">
        <f>[1]Hybrid!AF18</f>
        <v>11091.746059999999</v>
      </c>
      <c r="AH333" s="5">
        <f>[1]Hybrid!AG18</f>
        <v>11109.133470000001</v>
      </c>
      <c r="AI333" s="5">
        <f>[1]Hybrid!AH18</f>
        <v>11114.00655</v>
      </c>
      <c r="AJ333" s="5">
        <f>[1]Hybrid!AI18</f>
        <v>11106.244290000001</v>
      </c>
      <c r="AK333" s="5">
        <f>[1]Hybrid!AJ18</f>
        <v>11085.84258</v>
      </c>
      <c r="AL333" s="5">
        <f>[1]Hybrid!AK18</f>
        <v>11052.84211</v>
      </c>
    </row>
    <row r="334" spans="1:38" x14ac:dyDescent="0.3">
      <c r="A334" t="s">
        <v>27</v>
      </c>
      <c r="B334" s="5" t="str">
        <f>[1]Hybrid!A20</f>
        <v>auto_cb_cfut_2</v>
      </c>
      <c r="C334" s="5">
        <f>[1]Hybrid!B20</f>
        <v>8251.256421</v>
      </c>
      <c r="D334" s="5">
        <f>[1]Hybrid!C20</f>
        <v>8193.6758160000009</v>
      </c>
      <c r="E334" s="5">
        <f>[1]Hybrid!D20</f>
        <v>8192.2822809999998</v>
      </c>
      <c r="F334" s="5">
        <f>[1]Hybrid!E20</f>
        <v>8225.0756820000006</v>
      </c>
      <c r="G334" s="5">
        <f>[1]Hybrid!F20</f>
        <v>8278.3937330000008</v>
      </c>
      <c r="H334" s="5">
        <f>[1]Hybrid!G20</f>
        <v>8344.4636229999996</v>
      </c>
      <c r="I334" s="5">
        <f>[1]Hybrid!H20</f>
        <v>8418.3094849999998</v>
      </c>
      <c r="J334" s="5">
        <f>[1]Hybrid!I20</f>
        <v>8497.5553899999995</v>
      </c>
      <c r="K334" s="5">
        <f>[1]Hybrid!J20</f>
        <v>8583.1358980000005</v>
      </c>
      <c r="L334" s="5">
        <f>[1]Hybrid!K20</f>
        <v>8679.8635610000001</v>
      </c>
      <c r="M334" s="5">
        <f>[1]Hybrid!L20</f>
        <v>8790.4774249999991</v>
      </c>
      <c r="N334" s="5">
        <f>[1]Hybrid!M20</f>
        <v>8909.6014269999996</v>
      </c>
      <c r="O334" s="5">
        <f>[1]Hybrid!N20</f>
        <v>9031.9468870000001</v>
      </c>
      <c r="P334" s="5">
        <f>[1]Hybrid!O20</f>
        <v>9152.6312720000005</v>
      </c>
      <c r="Q334" s="5">
        <f>[1]Hybrid!P20</f>
        <v>9268.3653759999997</v>
      </c>
      <c r="R334" s="5">
        <f>[1]Hybrid!Q20</f>
        <v>9377.7134260000003</v>
      </c>
      <c r="S334" s="5">
        <f>[1]Hybrid!R20</f>
        <v>9480.5910189999995</v>
      </c>
      <c r="T334" s="5">
        <f>[1]Hybrid!S20</f>
        <v>9577.489114</v>
      </c>
      <c r="U334" s="5">
        <f>[1]Hybrid!T20</f>
        <v>9668.7898910000004</v>
      </c>
      <c r="V334" s="5">
        <f>[1]Hybrid!U20</f>
        <v>9754.3868029999994</v>
      </c>
      <c r="W334" s="5">
        <f>[1]Hybrid!V20</f>
        <v>9832.2957380000007</v>
      </c>
      <c r="X334" s="5">
        <f>[1]Hybrid!W20</f>
        <v>9903.164804</v>
      </c>
      <c r="Y334" s="5">
        <f>[1]Hybrid!X20</f>
        <v>9966.0847560000002</v>
      </c>
      <c r="Z334" s="5">
        <f>[1]Hybrid!Y20</f>
        <v>10020.22574</v>
      </c>
      <c r="AA334" s="5">
        <f>[1]Hybrid!Z20</f>
        <v>10064.95996</v>
      </c>
      <c r="AB334" s="5">
        <f>[1]Hybrid!AA20</f>
        <v>10096.04196</v>
      </c>
      <c r="AC334" s="5">
        <f>[1]Hybrid!AB20</f>
        <v>10116.4136</v>
      </c>
      <c r="AD334" s="5">
        <f>[1]Hybrid!AC20</f>
        <v>10126.488590000001</v>
      </c>
      <c r="AE334" s="5">
        <f>[1]Hybrid!AD20</f>
        <v>10126.37364</v>
      </c>
      <c r="AF334" s="5">
        <f>[1]Hybrid!AE20</f>
        <v>10115.87314</v>
      </c>
      <c r="AG334" s="5">
        <f>[1]Hybrid!AF20</f>
        <v>10094.65684</v>
      </c>
      <c r="AH334" s="5">
        <f>[1]Hybrid!AG20</f>
        <v>10062.420679999999</v>
      </c>
      <c r="AI334" s="5">
        <f>[1]Hybrid!AH20</f>
        <v>10018.986059999999</v>
      </c>
      <c r="AJ334" s="5">
        <f>[1]Hybrid!AI20</f>
        <v>9964.3231599999999</v>
      </c>
      <c r="AK334" s="5">
        <f>[1]Hybrid!AJ20</f>
        <v>9898.5162889999992</v>
      </c>
      <c r="AL334" s="5">
        <f>[1]Hybrid!AK20</f>
        <v>9821.7062000000005</v>
      </c>
    </row>
    <row r="335" spans="1:38" x14ac:dyDescent="0.3">
      <c r="B335" s="5" t="str">
        <f>[1]Hybrid!A22</f>
        <v>auto_cc_cfut_2</v>
      </c>
      <c r="C335" s="5">
        <f>[1]Hybrid!B22</f>
        <v>6777.6024520000001</v>
      </c>
      <c r="D335" s="5">
        <f>[1]Hybrid!C22</f>
        <v>6654.348199</v>
      </c>
      <c r="E335" s="5">
        <f>[1]Hybrid!D22</f>
        <v>6575.8048419999996</v>
      </c>
      <c r="F335" s="5">
        <f>[1]Hybrid!E22</f>
        <v>6526.1319450000001</v>
      </c>
      <c r="G335" s="5">
        <f>[1]Hybrid!F22</f>
        <v>6495.3278060000002</v>
      </c>
      <c r="H335" s="5">
        <f>[1]Hybrid!G22</f>
        <v>6477.500094</v>
      </c>
      <c r="I335" s="5">
        <f>[1]Hybrid!H22</f>
        <v>6468.7221440000003</v>
      </c>
      <c r="J335" s="5">
        <f>[1]Hybrid!I22</f>
        <v>6466.8097230000003</v>
      </c>
      <c r="K335" s="5">
        <f>[1]Hybrid!J22</f>
        <v>6471.763191</v>
      </c>
      <c r="L335" s="5">
        <f>[1]Hybrid!K22</f>
        <v>6486.4362369999999</v>
      </c>
      <c r="M335" s="5">
        <f>[1]Hybrid!L22</f>
        <v>6512.4637489999996</v>
      </c>
      <c r="N335" s="5">
        <f>[1]Hybrid!M22</f>
        <v>6546.1149400000004</v>
      </c>
      <c r="O335" s="5">
        <f>[1]Hybrid!N22</f>
        <v>6583.7448979999999</v>
      </c>
      <c r="P335" s="5">
        <f>[1]Hybrid!O22</f>
        <v>6621.9518879999996</v>
      </c>
      <c r="Q335" s="5">
        <f>[1]Hybrid!P22</f>
        <v>6658.3548650000002</v>
      </c>
      <c r="R335" s="5">
        <f>[1]Hybrid!Q22</f>
        <v>6691.7821720000002</v>
      </c>
      <c r="S335" s="5">
        <f>[1]Hybrid!R22</f>
        <v>6721.9653319999998</v>
      </c>
      <c r="T335" s="5">
        <f>[1]Hybrid!S22</f>
        <v>6749.0484569999999</v>
      </c>
      <c r="U335" s="5">
        <f>[1]Hybrid!T22</f>
        <v>6773.1475419999997</v>
      </c>
      <c r="V335" s="5">
        <f>[1]Hybrid!U22</f>
        <v>6794.0981670000001</v>
      </c>
      <c r="W335" s="5">
        <f>[1]Hybrid!V22</f>
        <v>6810.5379720000001</v>
      </c>
      <c r="X335" s="5">
        <f>[1]Hybrid!W22</f>
        <v>6822.8364149999998</v>
      </c>
      <c r="Y335" s="5">
        <f>[1]Hybrid!X22</f>
        <v>6830.353016</v>
      </c>
      <c r="Z335" s="5">
        <f>[1]Hybrid!Y22</f>
        <v>6832.4992460000003</v>
      </c>
      <c r="AA335" s="5">
        <f>[1]Hybrid!Z22</f>
        <v>6828.8159519999999</v>
      </c>
      <c r="AB335" s="5">
        <f>[1]Hybrid!AA22</f>
        <v>6816.5392830000001</v>
      </c>
      <c r="AC335" s="5">
        <f>[1]Hybrid!AB22</f>
        <v>6797.5128800000002</v>
      </c>
      <c r="AD335" s="5">
        <f>[1]Hybrid!AC22</f>
        <v>6771.9863580000001</v>
      </c>
      <c r="AE335" s="5">
        <f>[1]Hybrid!AD22</f>
        <v>6740.0402819999999</v>
      </c>
      <c r="AF335" s="5">
        <f>[1]Hybrid!AE22</f>
        <v>6701.5813170000001</v>
      </c>
      <c r="AG335" s="5">
        <f>[1]Hybrid!AF22</f>
        <v>6656.4401930000004</v>
      </c>
      <c r="AH335" s="5">
        <f>[1]Hybrid!AG22</f>
        <v>6604.4678389999999</v>
      </c>
      <c r="AI335" s="5">
        <f>[1]Hybrid!AH22</f>
        <v>6545.5964270000004</v>
      </c>
      <c r="AJ335" s="5">
        <f>[1]Hybrid!AI22</f>
        <v>6479.8556630000003</v>
      </c>
      <c r="AK335" s="5">
        <f>[1]Hybrid!AJ22</f>
        <v>6407.3540069999999</v>
      </c>
      <c r="AL335" s="5">
        <f>[1]Hybrid!AK22</f>
        <v>6328.2449189999998</v>
      </c>
    </row>
    <row r="336" spans="1:38" x14ac:dyDescent="0.3">
      <c r="B336" s="5" t="str">
        <f>[1]Hybrid!A24</f>
        <v>auto_cd_cfut_2</v>
      </c>
      <c r="C336" s="5">
        <f>[1]Hybrid!B24</f>
        <v>4159.6639080000004</v>
      </c>
      <c r="D336" s="5">
        <f>[1]Hybrid!C24</f>
        <v>4058.9251899999999</v>
      </c>
      <c r="E336" s="5">
        <f>[1]Hybrid!D24</f>
        <v>3983.9127709999998</v>
      </c>
      <c r="F336" s="5">
        <f>[1]Hybrid!E24</f>
        <v>3925.4869250000002</v>
      </c>
      <c r="G336" s="5">
        <f>[1]Hybrid!F24</f>
        <v>3877.871521</v>
      </c>
      <c r="H336" s="5">
        <f>[1]Hybrid!G24</f>
        <v>3837.615804</v>
      </c>
      <c r="I336" s="5">
        <f>[1]Hybrid!H24</f>
        <v>3802.3934380000001</v>
      </c>
      <c r="J336" s="5">
        <f>[1]Hybrid!I24</f>
        <v>3770.6777259999999</v>
      </c>
      <c r="K336" s="5">
        <f>[1]Hybrid!J24</f>
        <v>3741.8620820000001</v>
      </c>
      <c r="L336" s="5">
        <f>[1]Hybrid!K24</f>
        <v>3717.2839090000002</v>
      </c>
      <c r="M336" s="5">
        <f>[1]Hybrid!L24</f>
        <v>3698.011051</v>
      </c>
      <c r="N336" s="5">
        <f>[1]Hybrid!M24</f>
        <v>3682.5377090000002</v>
      </c>
      <c r="O336" s="5">
        <f>[1]Hybrid!N24</f>
        <v>3669.3423600000001</v>
      </c>
      <c r="P336" s="5">
        <f>[1]Hybrid!O24</f>
        <v>3656.8724400000001</v>
      </c>
      <c r="Q336" s="5">
        <f>[1]Hybrid!P24</f>
        <v>3643.9315860000002</v>
      </c>
      <c r="R336" s="5">
        <f>[1]Hybrid!Q24</f>
        <v>3629.84042</v>
      </c>
      <c r="S336" s="5">
        <f>[1]Hybrid!R24</f>
        <v>3614.367956</v>
      </c>
      <c r="T336" s="5">
        <f>[1]Hybrid!S24</f>
        <v>3597.5510690000001</v>
      </c>
      <c r="U336" s="5">
        <f>[1]Hybrid!T24</f>
        <v>3579.5016609999998</v>
      </c>
      <c r="V336" s="5">
        <f>[1]Hybrid!U24</f>
        <v>3560.2713399999998</v>
      </c>
      <c r="W336" s="5">
        <f>[1]Hybrid!V24</f>
        <v>3539.3824840000002</v>
      </c>
      <c r="X336" s="5">
        <f>[1]Hybrid!W24</f>
        <v>3517.1761540000002</v>
      </c>
      <c r="Y336" s="5">
        <f>[1]Hybrid!X24</f>
        <v>3493.50317</v>
      </c>
      <c r="Z336" s="5">
        <f>[1]Hybrid!Y24</f>
        <v>3468.209366</v>
      </c>
      <c r="AA336" s="5">
        <f>[1]Hybrid!Z24</f>
        <v>3441.1680289999999</v>
      </c>
      <c r="AB336" s="5">
        <f>[1]Hybrid!AA24</f>
        <v>3411.1667430000002</v>
      </c>
      <c r="AC336" s="5">
        <f>[1]Hybrid!AB24</f>
        <v>3379.0997910000001</v>
      </c>
      <c r="AD336" s="5">
        <f>[1]Hybrid!AC24</f>
        <v>3345.1533359999999</v>
      </c>
      <c r="AE336" s="5">
        <f>[1]Hybrid!AD24</f>
        <v>3309.4581600000001</v>
      </c>
      <c r="AF336" s="5">
        <f>[1]Hybrid!AE24</f>
        <v>3272.0648190000002</v>
      </c>
      <c r="AG336" s="5">
        <f>[1]Hybrid!AF24</f>
        <v>3232.9685679999998</v>
      </c>
      <c r="AH336" s="5">
        <f>[1]Hybrid!AG24</f>
        <v>3192.1432749999999</v>
      </c>
      <c r="AI336" s="5">
        <f>[1]Hybrid!AH24</f>
        <v>3149.569884</v>
      </c>
      <c r="AJ336" s="5">
        <f>[1]Hybrid!AI24</f>
        <v>3105.2514120000001</v>
      </c>
      <c r="AK336" s="5">
        <f>[1]Hybrid!AJ24</f>
        <v>3059.2135039999998</v>
      </c>
      <c r="AL336" s="5">
        <f>[1]Hybrid!AK24</f>
        <v>3011.4953089999999</v>
      </c>
    </row>
    <row r="337" spans="2:38" x14ac:dyDescent="0.3">
      <c r="B337" s="5" t="str">
        <f>[1]Hybrid!A26</f>
        <v>auto_ce_cfut_2</v>
      </c>
      <c r="C337" s="5">
        <f>[1]Hybrid!B26</f>
        <v>2503.7292430000002</v>
      </c>
      <c r="D337" s="5">
        <f>[1]Hybrid!C26</f>
        <v>2445.462779</v>
      </c>
      <c r="E337" s="5">
        <f>[1]Hybrid!D26</f>
        <v>2401.8388690000002</v>
      </c>
      <c r="F337" s="5">
        <f>[1]Hybrid!E26</f>
        <v>2367.1420520000001</v>
      </c>
      <c r="G337" s="5">
        <f>[1]Hybrid!F26</f>
        <v>2337.7747199999999</v>
      </c>
      <c r="H337" s="5">
        <f>[1]Hybrid!G26</f>
        <v>2311.5776919999998</v>
      </c>
      <c r="I337" s="5">
        <f>[1]Hybrid!H26</f>
        <v>2287.0902809999998</v>
      </c>
      <c r="J337" s="5">
        <f>[1]Hybrid!I26</f>
        <v>2263.2535229999999</v>
      </c>
      <c r="K337" s="5">
        <f>[1]Hybrid!J26</f>
        <v>2239.4432310000002</v>
      </c>
      <c r="L337" s="5">
        <f>[1]Hybrid!K26</f>
        <v>2216.408257</v>
      </c>
      <c r="M337" s="5">
        <f>[1]Hybrid!L26</f>
        <v>2194.9299780000001</v>
      </c>
      <c r="N337" s="5">
        <f>[1]Hybrid!M26</f>
        <v>2174.4296559999998</v>
      </c>
      <c r="O337" s="5">
        <f>[1]Hybrid!N26</f>
        <v>2154.2981909999999</v>
      </c>
      <c r="P337" s="5">
        <f>[1]Hybrid!O26</f>
        <v>2133.8375150000002</v>
      </c>
      <c r="Q337" s="5">
        <f>[1]Hybrid!P26</f>
        <v>2112.467506</v>
      </c>
      <c r="R337" s="5">
        <f>[1]Hybrid!Q26</f>
        <v>2089.8414280000002</v>
      </c>
      <c r="S337" s="5">
        <f>[1]Hybrid!R26</f>
        <v>2065.8455490000001</v>
      </c>
      <c r="T337" s="5">
        <f>[1]Hybrid!S26</f>
        <v>2040.5293799999999</v>
      </c>
      <c r="U337" s="5">
        <f>[1]Hybrid!T26</f>
        <v>2014.0131719999999</v>
      </c>
      <c r="V337" s="5">
        <f>[1]Hybrid!U26</f>
        <v>1986.411478</v>
      </c>
      <c r="W337" s="5">
        <f>[1]Hybrid!V26</f>
        <v>1957.586417</v>
      </c>
      <c r="X337" s="5">
        <f>[1]Hybrid!W26</f>
        <v>1927.8004570000001</v>
      </c>
      <c r="Y337" s="5">
        <f>[1]Hybrid!X26</f>
        <v>1897.0635150000001</v>
      </c>
      <c r="Z337" s="5">
        <f>[1]Hybrid!Y26</f>
        <v>1865.3691570000001</v>
      </c>
      <c r="AA337" s="5">
        <f>[1]Hybrid!Z26</f>
        <v>1832.7107940000001</v>
      </c>
      <c r="AB337" s="5">
        <f>[1]Hybrid!AA26</f>
        <v>1798.5768069999999</v>
      </c>
      <c r="AC337" s="5">
        <f>[1]Hybrid!AB26</f>
        <v>1763.426622</v>
      </c>
      <c r="AD337" s="5">
        <f>[1]Hybrid!AC26</f>
        <v>1727.402413</v>
      </c>
      <c r="AE337" s="5">
        <f>[1]Hybrid!AD26</f>
        <v>1690.6313439999999</v>
      </c>
      <c r="AF337" s="5">
        <f>[1]Hybrid!AE26</f>
        <v>1653.2070189999999</v>
      </c>
      <c r="AG337" s="5">
        <f>[1]Hybrid!AF26</f>
        <v>1615.194532</v>
      </c>
      <c r="AH337" s="5">
        <f>[1]Hybrid!AG26</f>
        <v>1576.6426449999999</v>
      </c>
      <c r="AI337" s="5">
        <f>[1]Hybrid!AH26</f>
        <v>1537.5967129999999</v>
      </c>
      <c r="AJ337" s="5">
        <f>[1]Hybrid!AI26</f>
        <v>1498.1076310000001</v>
      </c>
      <c r="AK337" s="5">
        <f>[1]Hybrid!AJ26</f>
        <v>1458.234841</v>
      </c>
      <c r="AL337" s="5">
        <f>[1]Hybrid!AK26</f>
        <v>1418.0443069999999</v>
      </c>
    </row>
    <row r="338" spans="2:38" x14ac:dyDescent="0.3">
      <c r="B338" s="5" t="str">
        <f>[1]Hybrid!A28</f>
        <v>auto_cf_cfut_2</v>
      </c>
      <c r="C338" s="5">
        <f>[1]Hybrid!B28</f>
        <v>1243.6668460000001</v>
      </c>
      <c r="D338" s="5">
        <f>[1]Hybrid!C28</f>
        <v>1211.942501</v>
      </c>
      <c r="E338" s="5">
        <f>[1]Hybrid!D28</f>
        <v>1186.0978729999999</v>
      </c>
      <c r="F338" s="5">
        <f>[1]Hybrid!E28</f>
        <v>1163.20463</v>
      </c>
      <c r="G338" s="5">
        <f>[1]Hybrid!F28</f>
        <v>1141.4631879999999</v>
      </c>
      <c r="H338" s="5">
        <f>[1]Hybrid!G28</f>
        <v>1119.8068510000001</v>
      </c>
      <c r="I338" s="5">
        <f>[1]Hybrid!H28</f>
        <v>1097.5405499999999</v>
      </c>
      <c r="J338" s="5">
        <f>[1]Hybrid!I28</f>
        <v>1074.0706740000001</v>
      </c>
      <c r="K338" s="5">
        <f>[1]Hybrid!J28</f>
        <v>1048.8936409999999</v>
      </c>
      <c r="L338" s="5">
        <f>[1]Hybrid!K28</f>
        <v>1022.410558</v>
      </c>
      <c r="M338" s="5">
        <f>[1]Hybrid!L28</f>
        <v>995.25795159999996</v>
      </c>
      <c r="N338" s="5">
        <f>[1]Hybrid!M28</f>
        <v>967.65740670000002</v>
      </c>
      <c r="O338" s="5">
        <f>[1]Hybrid!N28</f>
        <v>939.75644220000004</v>
      </c>
      <c r="P338" s="5">
        <f>[1]Hybrid!O28</f>
        <v>911.56515090000005</v>
      </c>
      <c r="Q338" s="5">
        <f>[1]Hybrid!P28</f>
        <v>883.03430849999995</v>
      </c>
      <c r="R338" s="5">
        <f>[1]Hybrid!Q28</f>
        <v>854.13404969999999</v>
      </c>
      <c r="S338" s="5">
        <f>[1]Hybrid!R28</f>
        <v>824.89605789999996</v>
      </c>
      <c r="T338" s="5">
        <f>[1]Hybrid!S28</f>
        <v>795.41697859999999</v>
      </c>
      <c r="U338" s="5">
        <f>[1]Hybrid!T28</f>
        <v>765.83520250000004</v>
      </c>
      <c r="V338" s="5">
        <f>[1]Hybrid!U28</f>
        <v>736.29949450000004</v>
      </c>
      <c r="W338" s="5">
        <f>[1]Hybrid!V28</f>
        <v>706.8971272</v>
      </c>
      <c r="X338" s="5">
        <f>[1]Hybrid!W28</f>
        <v>677.79101920000005</v>
      </c>
      <c r="Y338" s="5">
        <f>[1]Hybrid!X28</f>
        <v>649.06835960000001</v>
      </c>
      <c r="Z338" s="5">
        <f>[1]Hybrid!Y28</f>
        <v>620.79401829999995</v>
      </c>
      <c r="AA338" s="5">
        <f>[1]Hybrid!Z28</f>
        <v>593.01676410000005</v>
      </c>
      <c r="AB338" s="5">
        <f>[1]Hybrid!AA28</f>
        <v>565.68578960000002</v>
      </c>
      <c r="AC338" s="5">
        <f>[1]Hybrid!AB28</f>
        <v>538.91933870000003</v>
      </c>
      <c r="AD338" s="5">
        <f>[1]Hybrid!AC28</f>
        <v>512.77805720000003</v>
      </c>
      <c r="AE338" s="5">
        <f>[1]Hybrid!AD28</f>
        <v>487.31887819999997</v>
      </c>
      <c r="AF338" s="5">
        <f>[1]Hybrid!AE28</f>
        <v>462.58765840000001</v>
      </c>
      <c r="AG338" s="5">
        <f>[1]Hybrid!AF28</f>
        <v>438.61747059999999</v>
      </c>
      <c r="AH338" s="5">
        <f>[1]Hybrid!AG28</f>
        <v>415.43017750000001</v>
      </c>
      <c r="AI338" s="5">
        <f>[1]Hybrid!AH28</f>
        <v>393.03961340000001</v>
      </c>
      <c r="AJ338" s="5">
        <f>[1]Hybrid!AI28</f>
        <v>371.45468649999998</v>
      </c>
      <c r="AK338" s="5">
        <f>[1]Hybrid!AJ28</f>
        <v>350.68134029999999</v>
      </c>
      <c r="AL338" s="5">
        <f>[1]Hybrid!AK28</f>
        <v>330.72317529999998</v>
      </c>
    </row>
    <row r="339" spans="2:38" x14ac:dyDescent="0.3">
      <c r="B339" s="5" t="str">
        <f>[1]Hybrid!A30</f>
        <v>auto_cg_cfut_2</v>
      </c>
      <c r="C339" s="5">
        <f>[1]Hybrid!B30</f>
        <v>2239.620606</v>
      </c>
      <c r="D339" s="5">
        <f>[1]Hybrid!C30</f>
        <v>2185.8639629999998</v>
      </c>
      <c r="E339" s="5">
        <f>[1]Hybrid!D30</f>
        <v>2140.3683099999998</v>
      </c>
      <c r="F339" s="5">
        <f>[1]Hybrid!E30</f>
        <v>2097.5453309999998</v>
      </c>
      <c r="G339" s="5">
        <f>[1]Hybrid!F30</f>
        <v>2054.1150779999998</v>
      </c>
      <c r="H339" s="5">
        <f>[1]Hybrid!G30</f>
        <v>2008.25449</v>
      </c>
      <c r="I339" s="5">
        <f>[1]Hybrid!H30</f>
        <v>1958.9096939999999</v>
      </c>
      <c r="J339" s="5">
        <f>[1]Hybrid!I30</f>
        <v>1905.152493</v>
      </c>
      <c r="K339" s="5">
        <f>[1]Hybrid!J30</f>
        <v>1846.179697</v>
      </c>
      <c r="L339" s="5">
        <f>[1]Hybrid!K30</f>
        <v>1783.1096580000001</v>
      </c>
      <c r="M339" s="5">
        <f>[1]Hybrid!L30</f>
        <v>1717.629101</v>
      </c>
      <c r="N339" s="5">
        <f>[1]Hybrid!M30</f>
        <v>1650.8147100000001</v>
      </c>
      <c r="O339" s="5">
        <f>[1]Hybrid!N30</f>
        <v>1583.4797229999999</v>
      </c>
      <c r="P339" s="5">
        <f>[1]Hybrid!O30</f>
        <v>1516.067607</v>
      </c>
      <c r="Q339" s="5">
        <f>[1]Hybrid!P30</f>
        <v>1448.797703</v>
      </c>
      <c r="R339" s="5">
        <f>[1]Hybrid!Q30</f>
        <v>1381.8311100000001</v>
      </c>
      <c r="S339" s="5">
        <f>[1]Hybrid!R30</f>
        <v>1315.3738269999999</v>
      </c>
      <c r="T339" s="5">
        <f>[1]Hybrid!S30</f>
        <v>1249.7022919999999</v>
      </c>
      <c r="U339" s="5">
        <f>[1]Hybrid!T30</f>
        <v>1185.1337799999999</v>
      </c>
      <c r="V339" s="5">
        <f>[1]Hybrid!U30</f>
        <v>1121.9783150000001</v>
      </c>
      <c r="W339" s="5">
        <f>[1]Hybrid!V30</f>
        <v>1060.4558959999999</v>
      </c>
      <c r="X339" s="5">
        <f>[1]Hybrid!W30</f>
        <v>1000.819895</v>
      </c>
      <c r="Y339" s="5">
        <f>[1]Hybrid!X30</f>
        <v>943.21628459999999</v>
      </c>
      <c r="Z339" s="5">
        <f>[1]Hybrid!Y30</f>
        <v>887.73956750000002</v>
      </c>
      <c r="AA339" s="5">
        <f>[1]Hybrid!Z30</f>
        <v>834.44509719999996</v>
      </c>
      <c r="AB339" s="5">
        <f>[1]Hybrid!AA30</f>
        <v>783.29505329999995</v>
      </c>
      <c r="AC339" s="5">
        <f>[1]Hybrid!AB30</f>
        <v>734.36611870000002</v>
      </c>
      <c r="AD339" s="5">
        <f>[1]Hybrid!AC30</f>
        <v>687.68086349999999</v>
      </c>
      <c r="AE339" s="5">
        <f>[1]Hybrid!AD30</f>
        <v>643.24910869999997</v>
      </c>
      <c r="AF339" s="5">
        <f>[1]Hybrid!AE30</f>
        <v>601.06188220000001</v>
      </c>
      <c r="AG339" s="5">
        <f>[1]Hybrid!AF30</f>
        <v>561.0910202</v>
      </c>
      <c r="AH339" s="5">
        <f>[1]Hybrid!AG30</f>
        <v>523.29217440000002</v>
      </c>
      <c r="AI339" s="5">
        <f>[1]Hybrid!AH30</f>
        <v>487.6092233</v>
      </c>
      <c r="AJ339" s="5">
        <f>[1]Hybrid!AI30</f>
        <v>453.97833800000001</v>
      </c>
      <c r="AK339" s="5">
        <f>[1]Hybrid!AJ30</f>
        <v>422.33078990000001</v>
      </c>
      <c r="AL339" s="5">
        <f>[1]Hybrid!AK30</f>
        <v>392.59445929999998</v>
      </c>
    </row>
    <row r="340" spans="2:38" x14ac:dyDescent="0.3">
      <c r="B340" s="5" t="str">
        <f>[1]Hybrid!A32</f>
        <v>auto_ca_cele_2</v>
      </c>
      <c r="C340" s="5">
        <f>[1]Hybrid!B32</f>
        <v>9.8427898650000003</v>
      </c>
      <c r="D340" s="5">
        <f>[1]Hybrid!C32</f>
        <v>15.122730689999999</v>
      </c>
      <c r="E340" s="5">
        <f>[1]Hybrid!D32</f>
        <v>20.923956789999998</v>
      </c>
      <c r="F340" s="5">
        <f>[1]Hybrid!E32</f>
        <v>27.334665529999999</v>
      </c>
      <c r="G340" s="5">
        <f>[1]Hybrid!F32</f>
        <v>34.618435550000001</v>
      </c>
      <c r="H340" s="5">
        <f>[1]Hybrid!G32</f>
        <v>43.191274909999997</v>
      </c>
      <c r="I340" s="5">
        <f>[1]Hybrid!H32</f>
        <v>53.573028190000002</v>
      </c>
      <c r="J340" s="5">
        <f>[1]Hybrid!I32</f>
        <v>66.398733390000004</v>
      </c>
      <c r="K340" s="5">
        <f>[1]Hybrid!J32</f>
        <v>82.366308439999997</v>
      </c>
      <c r="L340" s="5">
        <f>[1]Hybrid!K32</f>
        <v>102.2674851</v>
      </c>
      <c r="M340" s="5">
        <f>[1]Hybrid!L32</f>
        <v>126.7917818</v>
      </c>
      <c r="N340" s="5">
        <f>[1]Hybrid!M32</f>
        <v>156.20882889999999</v>
      </c>
      <c r="O340" s="5">
        <f>[1]Hybrid!N32</f>
        <v>190.57990340000001</v>
      </c>
      <c r="P340" s="5">
        <f>[1]Hybrid!O32</f>
        <v>229.83638830000001</v>
      </c>
      <c r="Q340" s="5">
        <f>[1]Hybrid!P32</f>
        <v>273.9382584</v>
      </c>
      <c r="R340" s="5">
        <f>[1]Hybrid!Q32</f>
        <v>322.98686679999997</v>
      </c>
      <c r="S340" s="5">
        <f>[1]Hybrid!R32</f>
        <v>377.25893339999999</v>
      </c>
      <c r="T340" s="5">
        <f>[1]Hybrid!S32</f>
        <v>437.17889350000002</v>
      </c>
      <c r="U340" s="5">
        <f>[1]Hybrid!T32</f>
        <v>503.26135849999997</v>
      </c>
      <c r="V340" s="5">
        <f>[1]Hybrid!U32</f>
        <v>576.05468370000006</v>
      </c>
      <c r="W340" s="5">
        <f>[1]Hybrid!V32</f>
        <v>655.94204179999997</v>
      </c>
      <c r="X340" s="5">
        <f>[1]Hybrid!W32</f>
        <v>743.63864120000005</v>
      </c>
      <c r="Y340" s="5">
        <f>[1]Hybrid!X32</f>
        <v>839.70917870000005</v>
      </c>
      <c r="Z340" s="5">
        <f>[1]Hybrid!Y32</f>
        <v>944.74213450000002</v>
      </c>
      <c r="AA340" s="5">
        <f>[1]Hybrid!Z32</f>
        <v>1059.3615709999999</v>
      </c>
      <c r="AB340" s="5">
        <f>[1]Hybrid!AA32</f>
        <v>1183.4446370000001</v>
      </c>
      <c r="AC340" s="5">
        <f>[1]Hybrid!AB32</f>
        <v>1318.1805859999999</v>
      </c>
      <c r="AD340" s="5">
        <f>[1]Hybrid!AC32</f>
        <v>1464.302281</v>
      </c>
      <c r="AE340" s="5">
        <f>[1]Hybrid!AD32</f>
        <v>1622.4535169999999</v>
      </c>
      <c r="AF340" s="5">
        <f>[1]Hybrid!AE32</f>
        <v>1793.1571899999999</v>
      </c>
      <c r="AG340" s="5">
        <f>[1]Hybrid!AF32</f>
        <v>1976.8388990000001</v>
      </c>
      <c r="AH340" s="5">
        <f>[1]Hybrid!AG32</f>
        <v>2173.8705380000001</v>
      </c>
      <c r="AI340" s="5">
        <f>[1]Hybrid!AH32</f>
        <v>2384.6118150000002</v>
      </c>
      <c r="AJ340" s="5">
        <f>[1]Hybrid!AI32</f>
        <v>2609.4330089999999</v>
      </c>
      <c r="AK340" s="5">
        <f>[1]Hybrid!AJ32</f>
        <v>2848.7126029999999</v>
      </c>
      <c r="AL340" s="5">
        <f>[1]Hybrid!AK32</f>
        <v>3102.8149410000001</v>
      </c>
    </row>
    <row r="341" spans="2:38" x14ac:dyDescent="0.3">
      <c r="B341" s="5" t="str">
        <f>[1]Hybrid!A34</f>
        <v>auto_cb_cele_2</v>
      </c>
      <c r="C341" s="5">
        <f>[1]Hybrid!B34</f>
        <v>11.44571741</v>
      </c>
      <c r="D341" s="5">
        <f>[1]Hybrid!C34</f>
        <v>16.432302660000001</v>
      </c>
      <c r="E341" s="5">
        <f>[1]Hybrid!D34</f>
        <v>21.927222690000001</v>
      </c>
      <c r="F341" s="5">
        <f>[1]Hybrid!E34</f>
        <v>28.027346590000001</v>
      </c>
      <c r="G341" s="5">
        <f>[1]Hybrid!F34</f>
        <v>35.001650959999999</v>
      </c>
      <c r="H341" s="5">
        <f>[1]Hybrid!G34</f>
        <v>43.26687622</v>
      </c>
      <c r="I341" s="5">
        <f>[1]Hybrid!H34</f>
        <v>53.337839600000002</v>
      </c>
      <c r="J341" s="5">
        <f>[1]Hybrid!I34</f>
        <v>65.832627459999998</v>
      </c>
      <c r="K341" s="5">
        <f>[1]Hybrid!J34</f>
        <v>81.416365409999997</v>
      </c>
      <c r="L341" s="5">
        <f>[1]Hybrid!K34</f>
        <v>100.8389998</v>
      </c>
      <c r="M341" s="5">
        <f>[1]Hybrid!L34</f>
        <v>124.748559</v>
      </c>
      <c r="N341" s="5">
        <f>[1]Hybrid!M34</f>
        <v>153.38382089999999</v>
      </c>
      <c r="O341" s="5">
        <f>[1]Hybrid!N34</f>
        <v>186.77985169999999</v>
      </c>
      <c r="P341" s="5">
        <f>[1]Hybrid!O34</f>
        <v>224.84173699999999</v>
      </c>
      <c r="Q341" s="5">
        <f>[1]Hybrid!P34</f>
        <v>267.49567050000002</v>
      </c>
      <c r="R341" s="5">
        <f>[1]Hybrid!Q34</f>
        <v>314.7970067</v>
      </c>
      <c r="S341" s="5">
        <f>[1]Hybrid!R34</f>
        <v>366.96349550000002</v>
      </c>
      <c r="T341" s="5">
        <f>[1]Hybrid!S34</f>
        <v>424.34978899999999</v>
      </c>
      <c r="U341" s="5">
        <f>[1]Hybrid!T34</f>
        <v>487.39307250000002</v>
      </c>
      <c r="V341" s="5">
        <f>[1]Hybrid!U34</f>
        <v>556.55891780000002</v>
      </c>
      <c r="W341" s="5">
        <f>[1]Hybrid!V34</f>
        <v>632.15027139999995</v>
      </c>
      <c r="X341" s="5">
        <f>[1]Hybrid!W34</f>
        <v>714.7785331</v>
      </c>
      <c r="Y341" s="5">
        <f>[1]Hybrid!X34</f>
        <v>804.90168440000002</v>
      </c>
      <c r="Z341" s="5">
        <f>[1]Hybrid!Y34</f>
        <v>902.98734869999998</v>
      </c>
      <c r="AA341" s="5">
        <f>[1]Hybrid!Z34</f>
        <v>1009.5213</v>
      </c>
      <c r="AB341" s="5">
        <f>[1]Hybrid!AA34</f>
        <v>1124.2759550000001</v>
      </c>
      <c r="AC341" s="5">
        <f>[1]Hybrid!AB34</f>
        <v>1248.23478</v>
      </c>
      <c r="AD341" s="5">
        <f>[1]Hybrid!AC34</f>
        <v>1381.9432650000001</v>
      </c>
      <c r="AE341" s="5">
        <f>[1]Hybrid!AD34</f>
        <v>1525.855881</v>
      </c>
      <c r="AF341" s="5">
        <f>[1]Hybrid!AE34</f>
        <v>1680.306022</v>
      </c>
      <c r="AG341" s="5">
        <f>[1]Hybrid!AF34</f>
        <v>1845.5259140000001</v>
      </c>
      <c r="AH341" s="5">
        <f>[1]Hybrid!AG34</f>
        <v>2021.6846969999999</v>
      </c>
      <c r="AI341" s="5">
        <f>[1]Hybrid!AH34</f>
        <v>2208.9254369999999</v>
      </c>
      <c r="AJ341" s="5">
        <f>[1]Hybrid!AI34</f>
        <v>2407.3864469999999</v>
      </c>
      <c r="AK341" s="5">
        <f>[1]Hybrid!AJ34</f>
        <v>2617.2011080000002</v>
      </c>
      <c r="AL341" s="5">
        <f>[1]Hybrid!AK34</f>
        <v>2838.4803539999998</v>
      </c>
    </row>
    <row r="342" spans="2:38" x14ac:dyDescent="0.3">
      <c r="B342" s="5" t="str">
        <f>[1]Hybrid!A36</f>
        <v>auto_cc_cele_2</v>
      </c>
      <c r="C342" s="5">
        <f>[1]Hybrid!B36</f>
        <v>9.4015406210000005</v>
      </c>
      <c r="D342" s="5">
        <f>[1]Hybrid!C36</f>
        <v>12.79216619</v>
      </c>
      <c r="E342" s="5">
        <f>[1]Hybrid!D36</f>
        <v>16.53967755</v>
      </c>
      <c r="F342" s="5">
        <f>[1]Hybrid!E36</f>
        <v>20.71877834</v>
      </c>
      <c r="G342" s="5">
        <f>[1]Hybrid!F36</f>
        <v>25.52549539</v>
      </c>
      <c r="H342" s="5">
        <f>[1]Hybrid!G36</f>
        <v>31.258694510000002</v>
      </c>
      <c r="I342" s="5">
        <f>[1]Hybrid!H36</f>
        <v>38.283612900000001</v>
      </c>
      <c r="J342" s="5">
        <f>[1]Hybrid!I36</f>
        <v>47.031457340000003</v>
      </c>
      <c r="K342" s="5">
        <f>[1]Hybrid!J36</f>
        <v>57.956425279999998</v>
      </c>
      <c r="L342" s="5">
        <f>[1]Hybrid!K36</f>
        <v>71.567588610000001</v>
      </c>
      <c r="M342" s="5">
        <f>[1]Hybrid!L36</f>
        <v>88.301241660000002</v>
      </c>
      <c r="N342" s="5">
        <f>[1]Hybrid!M36</f>
        <v>108.307498</v>
      </c>
      <c r="O342" s="5">
        <f>[1]Hybrid!N36</f>
        <v>131.5938104</v>
      </c>
      <c r="P342" s="5">
        <f>[1]Hybrid!O36</f>
        <v>158.07466170000001</v>
      </c>
      <c r="Q342" s="5">
        <f>[1]Hybrid!P36</f>
        <v>187.6749561</v>
      </c>
      <c r="R342" s="5">
        <f>[1]Hybrid!Q36</f>
        <v>220.4043638</v>
      </c>
      <c r="S342" s="5">
        <f>[1]Hybrid!R36</f>
        <v>256.38071960000002</v>
      </c>
      <c r="T342" s="5">
        <f>[1]Hybrid!S36</f>
        <v>295.8132751</v>
      </c>
      <c r="U342" s="5">
        <f>[1]Hybrid!T36</f>
        <v>338.965914</v>
      </c>
      <c r="V342" s="5">
        <f>[1]Hybrid!U36</f>
        <v>386.11993360000002</v>
      </c>
      <c r="W342" s="5">
        <f>[1]Hybrid!V36</f>
        <v>437.44249810000002</v>
      </c>
      <c r="X342" s="5">
        <f>[1]Hybrid!W36</f>
        <v>493.30706780000003</v>
      </c>
      <c r="Y342" s="5">
        <f>[1]Hybrid!X36</f>
        <v>553.97629140000004</v>
      </c>
      <c r="Z342" s="5">
        <f>[1]Hybrid!Y36</f>
        <v>619.71169999999995</v>
      </c>
      <c r="AA342" s="5">
        <f>[1]Hybrid!Z36</f>
        <v>690.77796650000005</v>
      </c>
      <c r="AB342" s="5">
        <f>[1]Hybrid!AA36</f>
        <v>766.95223550000003</v>
      </c>
      <c r="AC342" s="5">
        <f>[1]Hybrid!AB36</f>
        <v>848.81566399999997</v>
      </c>
      <c r="AD342" s="5">
        <f>[1]Hybrid!AC36</f>
        <v>936.64971409999998</v>
      </c>
      <c r="AE342" s="5">
        <f>[1]Hybrid!AD36</f>
        <v>1030.671495</v>
      </c>
      <c r="AF342" s="5">
        <f>[1]Hybrid!AE36</f>
        <v>1131.013535</v>
      </c>
      <c r="AG342" s="5">
        <f>[1]Hybrid!AF36</f>
        <v>1237.73596</v>
      </c>
      <c r="AH342" s="5">
        <f>[1]Hybrid!AG36</f>
        <v>1350.8505990000001</v>
      </c>
      <c r="AI342" s="5">
        <f>[1]Hybrid!AH36</f>
        <v>1470.3449869999999</v>
      </c>
      <c r="AJ342" s="5">
        <f>[1]Hybrid!AI36</f>
        <v>1596.197007</v>
      </c>
      <c r="AK342" s="5">
        <f>[1]Hybrid!AJ36</f>
        <v>1728.376299</v>
      </c>
      <c r="AL342" s="5">
        <f>[1]Hybrid!AK36</f>
        <v>1866.8347940000001</v>
      </c>
    </row>
    <row r="343" spans="2:38" x14ac:dyDescent="0.3">
      <c r="B343" s="5" t="str">
        <f>[1]Hybrid!A38</f>
        <v>auto_cd_cele_2</v>
      </c>
      <c r="C343" s="5">
        <f>[1]Hybrid!B38</f>
        <v>5.770071272</v>
      </c>
      <c r="D343" s="5">
        <f>[1]Hybrid!C38</f>
        <v>7.6042050400000001</v>
      </c>
      <c r="E343" s="5">
        <f>[1]Hybrid!D38</f>
        <v>9.5575772790000002</v>
      </c>
      <c r="F343" s="5">
        <f>[1]Hybrid!E38</f>
        <v>11.592278690000001</v>
      </c>
      <c r="G343" s="5">
        <f>[1]Hybrid!F38</f>
        <v>13.70861287</v>
      </c>
      <c r="H343" s="5">
        <f>[1]Hybrid!G38</f>
        <v>15.93527896</v>
      </c>
      <c r="I343" s="5">
        <f>[1]Hybrid!H38</f>
        <v>18.315553019999999</v>
      </c>
      <c r="J343" s="5">
        <f>[1]Hybrid!I38</f>
        <v>20.905404959999998</v>
      </c>
      <c r="K343" s="5">
        <f>[1]Hybrid!J38</f>
        <v>23.764272739999999</v>
      </c>
      <c r="L343" s="5">
        <f>[1]Hybrid!K38</f>
        <v>26.971986489999999</v>
      </c>
      <c r="M343" s="5">
        <f>[1]Hybrid!L38</f>
        <v>30.59707457</v>
      </c>
      <c r="N343" s="5">
        <f>[1]Hybrid!M38</f>
        <v>34.650577220000002</v>
      </c>
      <c r="O343" s="5">
        <f>[1]Hybrid!N38</f>
        <v>39.122355810000002</v>
      </c>
      <c r="P343" s="5">
        <f>[1]Hybrid!O38</f>
        <v>43.986848219999999</v>
      </c>
      <c r="Q343" s="5">
        <f>[1]Hybrid!P38</f>
        <v>49.219651859999999</v>
      </c>
      <c r="R343" s="5">
        <f>[1]Hybrid!Q38</f>
        <v>54.809528980000003</v>
      </c>
      <c r="S343" s="5">
        <f>[1]Hybrid!R38</f>
        <v>60.762341300000003</v>
      </c>
      <c r="T343" s="5">
        <f>[1]Hybrid!S38</f>
        <v>67.098678300000003</v>
      </c>
      <c r="U343" s="5">
        <f>[1]Hybrid!T38</f>
        <v>73.848244649999998</v>
      </c>
      <c r="V343" s="5">
        <f>[1]Hybrid!U38</f>
        <v>81.043990730000004</v>
      </c>
      <c r="W343" s="5">
        <f>[1]Hybrid!V38</f>
        <v>88.700363800000005</v>
      </c>
      <c r="X343" s="5">
        <f>[1]Hybrid!W38</f>
        <v>96.865751970000005</v>
      </c>
      <c r="Y343" s="5">
        <f>[1]Hybrid!X38</f>
        <v>105.569823</v>
      </c>
      <c r="Z343" s="5">
        <f>[1]Hybrid!Y38</f>
        <v>114.8411971</v>
      </c>
      <c r="AA343" s="5">
        <f>[1]Hybrid!Z38</f>
        <v>124.7079797</v>
      </c>
      <c r="AB343" s="5">
        <f>[1]Hybrid!AA38</f>
        <v>135.12496899999999</v>
      </c>
      <c r="AC343" s="5">
        <f>[1]Hybrid!AB38</f>
        <v>146.1683199</v>
      </c>
      <c r="AD343" s="5">
        <f>[1]Hybrid!AC38</f>
        <v>157.872342</v>
      </c>
      <c r="AE343" s="5">
        <f>[1]Hybrid!AD38</f>
        <v>170.2661415</v>
      </c>
      <c r="AF343" s="5">
        <f>[1]Hybrid!AE38</f>
        <v>183.37017650000001</v>
      </c>
      <c r="AG343" s="5">
        <f>[1]Hybrid!AF38</f>
        <v>197.19684430000001</v>
      </c>
      <c r="AH343" s="5">
        <f>[1]Hybrid!AG38</f>
        <v>211.75275970000001</v>
      </c>
      <c r="AI343" s="5">
        <f>[1]Hybrid!AH38</f>
        <v>227.0415046</v>
      </c>
      <c r="AJ343" s="5">
        <f>[1]Hybrid!AI38</f>
        <v>243.06571120000001</v>
      </c>
      <c r="AK343" s="5">
        <f>[1]Hybrid!AJ38</f>
        <v>259.82775400000003</v>
      </c>
      <c r="AL343" s="5">
        <f>[1]Hybrid!AK38</f>
        <v>277.32898590000002</v>
      </c>
    </row>
    <row r="344" spans="2:38" x14ac:dyDescent="0.3">
      <c r="B344" s="5" t="str">
        <f>[1]Hybrid!A40</f>
        <v>auto_ce_cele_2</v>
      </c>
      <c r="C344" s="5">
        <f>[1]Hybrid!B40</f>
        <v>3.4730440960000002</v>
      </c>
      <c r="D344" s="5">
        <f>[1]Hybrid!C40</f>
        <v>4.5990918919999997</v>
      </c>
      <c r="E344" s="5">
        <f>[1]Hybrid!D40</f>
        <v>5.7905501199999998</v>
      </c>
      <c r="F344" s="5">
        <f>[1]Hybrid!E40</f>
        <v>7.022525559</v>
      </c>
      <c r="G344" s="5">
        <f>[1]Hybrid!F40</f>
        <v>8.2934131929999992</v>
      </c>
      <c r="H344" s="5">
        <f>[1]Hybrid!G40</f>
        <v>9.6180844230000009</v>
      </c>
      <c r="I344" s="5">
        <f>[1]Hybrid!H40</f>
        <v>11.01901211</v>
      </c>
      <c r="J344" s="5">
        <f>[1]Hybrid!I40</f>
        <v>12.523362860000001</v>
      </c>
      <c r="K344" s="5">
        <f>[1]Hybrid!J40</f>
        <v>14.156514359999999</v>
      </c>
      <c r="L344" s="5">
        <f>[1]Hybrid!K40</f>
        <v>15.956351010000001</v>
      </c>
      <c r="M344" s="5">
        <f>[1]Hybrid!L40</f>
        <v>17.955882429999999</v>
      </c>
      <c r="N344" s="5">
        <f>[1]Hybrid!M40</f>
        <v>20.15743355</v>
      </c>
      <c r="O344" s="5">
        <f>[1]Hybrid!N40</f>
        <v>22.55214196</v>
      </c>
      <c r="P344" s="5">
        <f>[1]Hybrid!O40</f>
        <v>25.122054810000002</v>
      </c>
      <c r="Q344" s="5">
        <f>[1]Hybrid!P40</f>
        <v>27.84843304</v>
      </c>
      <c r="R344" s="5">
        <f>[1]Hybrid!Q40</f>
        <v>30.718185810000001</v>
      </c>
      <c r="S344" s="5">
        <f>[1]Hybrid!R40</f>
        <v>33.726417140000002</v>
      </c>
      <c r="T344" s="5">
        <f>[1]Hybrid!S40</f>
        <v>36.875722750000001</v>
      </c>
      <c r="U344" s="5">
        <f>[1]Hybrid!T40</f>
        <v>40.173603249999999</v>
      </c>
      <c r="V344" s="5">
        <f>[1]Hybrid!U40</f>
        <v>43.62943842</v>
      </c>
      <c r="W344" s="5">
        <f>[1]Hybrid!V40</f>
        <v>47.243343029999998</v>
      </c>
      <c r="X344" s="5">
        <f>[1]Hybrid!W40</f>
        <v>51.031660709999997</v>
      </c>
      <c r="Y344" s="5">
        <f>[1]Hybrid!X40</f>
        <v>55.000565860000002</v>
      </c>
      <c r="Z344" s="5">
        <f>[1]Hybrid!Y40</f>
        <v>59.154474540000002</v>
      </c>
      <c r="AA344" s="5">
        <f>[1]Hybrid!Z40</f>
        <v>63.496103750000003</v>
      </c>
      <c r="AB344" s="5">
        <f>[1]Hybrid!AA40</f>
        <v>67.993146820000007</v>
      </c>
      <c r="AC344" s="5">
        <f>[1]Hybrid!AB40</f>
        <v>72.668385439999994</v>
      </c>
      <c r="AD344" s="5">
        <f>[1]Hybrid!AC40</f>
        <v>77.525158899999994</v>
      </c>
      <c r="AE344" s="5">
        <f>[1]Hybrid!AD40</f>
        <v>82.564752839999997</v>
      </c>
      <c r="AF344" s="5">
        <f>[1]Hybrid!AE40</f>
        <v>87.784643000000003</v>
      </c>
      <c r="AG344" s="5">
        <f>[1]Hybrid!AF40</f>
        <v>93.178418919999999</v>
      </c>
      <c r="AH344" s="5">
        <f>[1]Hybrid!AG40</f>
        <v>98.736528250000006</v>
      </c>
      <c r="AI344" s="5">
        <f>[1]Hybrid!AH40</f>
        <v>104.4474273</v>
      </c>
      <c r="AJ344" s="5">
        <f>[1]Hybrid!AI40</f>
        <v>110.29866250000001</v>
      </c>
      <c r="AK344" s="5">
        <f>[1]Hybrid!AJ40</f>
        <v>116.2775</v>
      </c>
      <c r="AL344" s="5">
        <f>[1]Hybrid!AK40</f>
        <v>122.37096510000001</v>
      </c>
    </row>
    <row r="345" spans="2:38" x14ac:dyDescent="0.3">
      <c r="B345" s="5" t="str">
        <f>[1]Hybrid!A42</f>
        <v>auto_cf_cele_2</v>
      </c>
      <c r="C345" s="5">
        <f>[1]Hybrid!B42</f>
        <v>1.7251505170000001</v>
      </c>
      <c r="D345" s="5">
        <f>[1]Hybrid!C42</f>
        <v>2.2577676759999998</v>
      </c>
      <c r="E345" s="5">
        <f>[1]Hybrid!D42</f>
        <v>2.8037054800000001</v>
      </c>
      <c r="F345" s="5">
        <f>[1]Hybrid!E42</f>
        <v>3.343135873</v>
      </c>
      <c r="G345" s="5">
        <f>[1]Hybrid!F42</f>
        <v>3.8662815290000001</v>
      </c>
      <c r="H345" s="5">
        <f>[1]Hybrid!G42</f>
        <v>4.3697525260000001</v>
      </c>
      <c r="I345" s="5">
        <f>[1]Hybrid!H42</f>
        <v>4.8528612430000004</v>
      </c>
      <c r="J345" s="5">
        <f>[1]Hybrid!I42</f>
        <v>5.3150755480000003</v>
      </c>
      <c r="K345" s="5">
        <f>[1]Hybrid!J42</f>
        <v>5.7542967230000004</v>
      </c>
      <c r="L345" s="5">
        <f>[1]Hybrid!K42</f>
        <v>6.1761060570000001</v>
      </c>
      <c r="M345" s="5">
        <f>[1]Hybrid!L42</f>
        <v>6.5876619710000002</v>
      </c>
      <c r="N345" s="5">
        <f>[1]Hybrid!M42</f>
        <v>6.9903445550000001</v>
      </c>
      <c r="O345" s="5">
        <f>[1]Hybrid!N42</f>
        <v>7.383800602</v>
      </c>
      <c r="P345" s="5">
        <f>[1]Hybrid!O42</f>
        <v>7.765464401</v>
      </c>
      <c r="Q345" s="5">
        <f>[1]Hybrid!P42</f>
        <v>8.131855904</v>
      </c>
      <c r="R345" s="5">
        <f>[1]Hybrid!Q42</f>
        <v>8.4799253070000002</v>
      </c>
      <c r="S345" s="5">
        <f>[1]Hybrid!R42</f>
        <v>8.8078612369999991</v>
      </c>
      <c r="T345" s="5">
        <f>[1]Hybrid!S42</f>
        <v>9.1152676639999992</v>
      </c>
      <c r="U345" s="5">
        <f>[1]Hybrid!T42</f>
        <v>9.4028484460000001</v>
      </c>
      <c r="V345" s="5">
        <f>[1]Hybrid!U42</f>
        <v>9.6718639090000007</v>
      </c>
      <c r="W345" s="5">
        <f>[1]Hybrid!V42</f>
        <v>9.9225410059999994</v>
      </c>
      <c r="X345" s="5">
        <f>[1]Hybrid!W42</f>
        <v>10.157010570000001</v>
      </c>
      <c r="Y345" s="5">
        <f>[1]Hybrid!X42</f>
        <v>10.375975370000001</v>
      </c>
      <c r="Z345" s="5">
        <f>[1]Hybrid!Y42</f>
        <v>10.579716060000001</v>
      </c>
      <c r="AA345" s="5">
        <f>[1]Hybrid!Z42</f>
        <v>10.768130380000001</v>
      </c>
      <c r="AB345" s="5">
        <f>[1]Hybrid!AA42</f>
        <v>10.93796161</v>
      </c>
      <c r="AC345" s="5">
        <f>[1]Hybrid!AB42</f>
        <v>11.090942500000001</v>
      </c>
      <c r="AD345" s="5">
        <f>[1]Hybrid!AC42</f>
        <v>11.227312339999999</v>
      </c>
      <c r="AE345" s="5">
        <f>[1]Hybrid!AD42</f>
        <v>11.34744098</v>
      </c>
      <c r="AF345" s="5">
        <f>[1]Hybrid!AE42</f>
        <v>11.451593799999999</v>
      </c>
      <c r="AG345" s="5">
        <f>[1]Hybrid!AF42</f>
        <v>11.53983684</v>
      </c>
      <c r="AH345" s="5">
        <f>[1]Hybrid!AG42</f>
        <v>11.61204762</v>
      </c>
      <c r="AI345" s="5">
        <f>[1]Hybrid!AH42</f>
        <v>11.668004679999999</v>
      </c>
      <c r="AJ345" s="5">
        <f>[1]Hybrid!AI42</f>
        <v>11.70750477</v>
      </c>
      <c r="AK345" s="5">
        <f>[1]Hybrid!AJ42</f>
        <v>11.73045602</v>
      </c>
      <c r="AL345" s="5">
        <f>[1]Hybrid!AK42</f>
        <v>11.73691857</v>
      </c>
    </row>
    <row r="346" spans="2:38" x14ac:dyDescent="0.3">
      <c r="B346" s="5" t="str">
        <f>[1]Hybrid!A44</f>
        <v>auto_cg_cele_2</v>
      </c>
      <c r="C346" s="5">
        <f>[1]Hybrid!B44</f>
        <v>3.1066862139999998</v>
      </c>
      <c r="D346" s="5">
        <f>[1]Hybrid!C44</f>
        <v>4.0970608879999997</v>
      </c>
      <c r="E346" s="5">
        <f>[1]Hybrid!D44</f>
        <v>5.0911665020000001</v>
      </c>
      <c r="F346" s="5">
        <f>[1]Hybrid!E44</f>
        <v>6.0492123649999998</v>
      </c>
      <c r="G346" s="5">
        <f>[1]Hybrid!F44</f>
        <v>6.9514189579999996</v>
      </c>
      <c r="H346" s="5">
        <f>[1]Hybrid!G44</f>
        <v>7.7900346809999998</v>
      </c>
      <c r="I346" s="5">
        <f>[1]Hybrid!H44</f>
        <v>8.5623325789999996</v>
      </c>
      <c r="J346" s="5">
        <f>[1]Hybrid!I44</f>
        <v>9.2643408909999998</v>
      </c>
      <c r="K346" s="5">
        <f>[1]Hybrid!J44</f>
        <v>9.8881763990000007</v>
      </c>
      <c r="L346" s="5">
        <f>[1]Hybrid!K44</f>
        <v>10.4426234</v>
      </c>
      <c r="M346" s="5">
        <f>[1]Hybrid!L44</f>
        <v>10.941728879999999</v>
      </c>
      <c r="N346" s="5">
        <f>[1]Hybrid!M44</f>
        <v>11.3924675</v>
      </c>
      <c r="O346" s="5">
        <f>[1]Hybrid!N44</f>
        <v>11.799011139999999</v>
      </c>
      <c r="P346" s="5">
        <f>[1]Hybrid!O44</f>
        <v>12.161494129999999</v>
      </c>
      <c r="Q346" s="5">
        <f>[1]Hybrid!P44</f>
        <v>12.47778866</v>
      </c>
      <c r="R346" s="5">
        <f>[1]Hybrid!Q44</f>
        <v>12.745735509999999</v>
      </c>
      <c r="S346" s="5">
        <f>[1]Hybrid!R44</f>
        <v>12.96469126</v>
      </c>
      <c r="T346" s="5">
        <f>[1]Hybrid!S44</f>
        <v>13.136029649999999</v>
      </c>
      <c r="U346" s="5">
        <f>[1]Hybrid!T44</f>
        <v>13.26276056</v>
      </c>
      <c r="V346" s="5">
        <f>[1]Hybrid!U44</f>
        <v>13.3487224</v>
      </c>
      <c r="W346" s="5">
        <f>[1]Hybrid!V44</f>
        <v>13.39679316</v>
      </c>
      <c r="X346" s="5">
        <f>[1]Hybrid!W44</f>
        <v>13.41143162</v>
      </c>
      <c r="Y346" s="5">
        <f>[1]Hybrid!X44</f>
        <v>13.39551307</v>
      </c>
      <c r="Z346" s="5">
        <f>[1]Hybrid!Y44</f>
        <v>13.35128572</v>
      </c>
      <c r="AA346" s="5">
        <f>[1]Hybrid!Z44</f>
        <v>13.280472120000001</v>
      </c>
      <c r="AB346" s="5">
        <f>[1]Hybrid!AA44</f>
        <v>13.18236847</v>
      </c>
      <c r="AC346" s="5">
        <f>[1]Hybrid!AB44</f>
        <v>13.05999501</v>
      </c>
      <c r="AD346" s="5">
        <f>[1]Hybrid!AC44</f>
        <v>12.91532598</v>
      </c>
      <c r="AE346" s="5">
        <f>[1]Hybrid!AD44</f>
        <v>12.750487209999999</v>
      </c>
      <c r="AF346" s="5">
        <f>[1]Hybrid!AE44</f>
        <v>12.56751049</v>
      </c>
      <c r="AG346" s="5">
        <f>[1]Hybrid!AF44</f>
        <v>12.368218580000001</v>
      </c>
      <c r="AH346" s="5">
        <f>[1]Hybrid!AG44</f>
        <v>12.154218930000001</v>
      </c>
      <c r="AI346" s="5">
        <f>[1]Hybrid!AH44</f>
        <v>11.926971740000001</v>
      </c>
      <c r="AJ346" s="5">
        <f>[1]Hybrid!AI44</f>
        <v>11.68787906</v>
      </c>
      <c r="AK346" s="5">
        <f>[1]Hybrid!AJ44</f>
        <v>11.438349390000001</v>
      </c>
      <c r="AL346" s="5">
        <f>[1]Hybrid!AK44</f>
        <v>11.179818020000001</v>
      </c>
    </row>
    <row r="347" spans="2:38" x14ac:dyDescent="0.3">
      <c r="B347" s="5" t="str">
        <f>[1]Hybrid!A46</f>
        <v>auto_ca_cgas_2</v>
      </c>
      <c r="C347" s="5">
        <f>[1]Hybrid!B46</f>
        <v>0.42568169729999999</v>
      </c>
      <c r="D347" s="5">
        <f>[1]Hybrid!C46</f>
        <v>0.45028232359999998</v>
      </c>
      <c r="E347" s="5">
        <f>[1]Hybrid!D46</f>
        <v>0.47795581329999998</v>
      </c>
      <c r="F347" s="5">
        <f>[1]Hybrid!E46</f>
        <v>0.50698841610000001</v>
      </c>
      <c r="G347" s="5">
        <f>[1]Hybrid!F46</f>
        <v>0.5363510386</v>
      </c>
      <c r="H347" s="5">
        <f>[1]Hybrid!G46</f>
        <v>0.56550274909999998</v>
      </c>
      <c r="I347" s="5">
        <f>[1]Hybrid!H46</f>
        <v>0.59412985370000004</v>
      </c>
      <c r="J347" s="5">
        <f>[1]Hybrid!I46</f>
        <v>0.62214469149999996</v>
      </c>
      <c r="K347" s="5">
        <f>[1]Hybrid!J46</f>
        <v>0.64975886159999996</v>
      </c>
      <c r="L347" s="5">
        <f>[1]Hybrid!K46</f>
        <v>0.67750135190000005</v>
      </c>
      <c r="M347" s="5">
        <f>[1]Hybrid!L46</f>
        <v>0.70569587410000001</v>
      </c>
      <c r="N347" s="5">
        <f>[1]Hybrid!M46</f>
        <v>0.73392372419999996</v>
      </c>
      <c r="O347" s="5">
        <f>[1]Hybrid!N46</f>
        <v>0.76175993200000003</v>
      </c>
      <c r="P347" s="5">
        <f>[1]Hybrid!O46</f>
        <v>0.78881049250000002</v>
      </c>
      <c r="Q347" s="5">
        <f>[1]Hybrid!P46</f>
        <v>0.81482359209999999</v>
      </c>
      <c r="R347" s="5">
        <f>[1]Hybrid!Q46</f>
        <v>0.83971418119999996</v>
      </c>
      <c r="S347" s="5">
        <f>[1]Hybrid!R46</f>
        <v>0.86351750279999995</v>
      </c>
      <c r="T347" s="5">
        <f>[1]Hybrid!S46</f>
        <v>0.88631687209999999</v>
      </c>
      <c r="U347" s="5">
        <f>[1]Hybrid!T46</f>
        <v>0.9081800149</v>
      </c>
      <c r="V347" s="5">
        <f>[1]Hybrid!U46</f>
        <v>0.92912399550000002</v>
      </c>
      <c r="W347" s="5">
        <f>[1]Hybrid!V46</f>
        <v>0.94898686480000005</v>
      </c>
      <c r="X347" s="5">
        <f>[1]Hybrid!W46</f>
        <v>0.96784589970000001</v>
      </c>
      <c r="Y347" s="5">
        <f>[1]Hybrid!X46</f>
        <v>0.98563332079999999</v>
      </c>
      <c r="Z347" s="5">
        <f>[1]Hybrid!Y46</f>
        <v>1.002287055</v>
      </c>
      <c r="AA347" s="5">
        <f>[1]Hybrid!Z46</f>
        <v>1.0177627840000001</v>
      </c>
      <c r="AB347" s="5">
        <f>[1]Hybrid!AA46</f>
        <v>1.031670638</v>
      </c>
      <c r="AC347" s="5">
        <f>[1]Hybrid!AB46</f>
        <v>1.044294858</v>
      </c>
      <c r="AD347" s="5">
        <f>[1]Hybrid!AC46</f>
        <v>1.0556809840000001</v>
      </c>
      <c r="AE347" s="5">
        <f>[1]Hybrid!AD46</f>
        <v>1.0658417659999999</v>
      </c>
      <c r="AF347" s="5">
        <f>[1]Hybrid!AE46</f>
        <v>1.074758178</v>
      </c>
      <c r="AG347" s="5">
        <f>[1]Hybrid!AF46</f>
        <v>1.082396224</v>
      </c>
      <c r="AH347" s="5">
        <f>[1]Hybrid!AG46</f>
        <v>1.0887230400000001</v>
      </c>
      <c r="AI347" s="5">
        <f>[1]Hybrid!AH46</f>
        <v>1.0937167640000001</v>
      </c>
      <c r="AJ347" s="5">
        <f>[1]Hybrid!AI46</f>
        <v>1.0973687329999999</v>
      </c>
      <c r="AK347" s="5">
        <f>[1]Hybrid!AJ46</f>
        <v>1.099679853</v>
      </c>
      <c r="AL347" s="5">
        <f>[1]Hybrid!AK46</f>
        <v>1.1006547099999999</v>
      </c>
    </row>
    <row r="348" spans="2:38" x14ac:dyDescent="0.3">
      <c r="B348" s="5" t="str">
        <f>[1]Hybrid!A48</f>
        <v>auto_cb_cgas_2</v>
      </c>
      <c r="C348" s="5">
        <f>[1]Hybrid!B48</f>
        <v>0.49500522540000003</v>
      </c>
      <c r="D348" s="5">
        <f>[1]Hybrid!C48</f>
        <v>0.51317522950000005</v>
      </c>
      <c r="E348" s="5">
        <f>[1]Hybrid!D48</f>
        <v>0.53455348820000004</v>
      </c>
      <c r="F348" s="5">
        <f>[1]Hybrid!E48</f>
        <v>0.55745857369999996</v>
      </c>
      <c r="G348" s="5">
        <f>[1]Hybrid!F48</f>
        <v>0.580870785</v>
      </c>
      <c r="H348" s="5">
        <f>[1]Hybrid!G48</f>
        <v>0.60423961159999995</v>
      </c>
      <c r="I348" s="5">
        <f>[1]Hybrid!H48</f>
        <v>0.6272331068</v>
      </c>
      <c r="J348" s="5">
        <f>[1]Hybrid!I48</f>
        <v>0.64972596240000002</v>
      </c>
      <c r="K348" s="5">
        <f>[1]Hybrid!J48</f>
        <v>0.67186328660000005</v>
      </c>
      <c r="L348" s="5">
        <f>[1]Hybrid!K48</f>
        <v>0.69411302149999998</v>
      </c>
      <c r="M348" s="5">
        <f>[1]Hybrid!L48</f>
        <v>0.7167711296</v>
      </c>
      <c r="N348" s="5">
        <f>[1]Hybrid!M48</f>
        <v>0.73945122480000003</v>
      </c>
      <c r="O348" s="5">
        <f>[1]Hybrid!N48</f>
        <v>0.76176326319999998</v>
      </c>
      <c r="P348" s="5">
        <f>[1]Hybrid!O48</f>
        <v>0.78334112330000005</v>
      </c>
      <c r="Q348" s="5">
        <f>[1]Hybrid!P48</f>
        <v>0.80394350209999998</v>
      </c>
      <c r="R348" s="5">
        <f>[1]Hybrid!Q48</f>
        <v>0.82347838220000003</v>
      </c>
      <c r="S348" s="5">
        <f>[1]Hybrid!R48</f>
        <v>0.84196364069999996</v>
      </c>
      <c r="T348" s="5">
        <f>[1]Hybrid!S48</f>
        <v>0.85946382219999995</v>
      </c>
      <c r="U348" s="5">
        <f>[1]Hybrid!T48</f>
        <v>0.87603350859999995</v>
      </c>
      <c r="V348" s="5">
        <f>[1]Hybrid!U48</f>
        <v>0.89168531019999997</v>
      </c>
      <c r="W348" s="5">
        <f>[1]Hybrid!V48</f>
        <v>0.90627261690000005</v>
      </c>
      <c r="X348" s="5">
        <f>[1]Hybrid!W48</f>
        <v>0.91986614509999998</v>
      </c>
      <c r="Y348" s="5">
        <f>[1]Hybrid!X48</f>
        <v>0.93240559410000001</v>
      </c>
      <c r="Z348" s="5">
        <f>[1]Hybrid!Y48</f>
        <v>0.94383515740000001</v>
      </c>
      <c r="AA348" s="5">
        <f>[1]Hybrid!Z48</f>
        <v>0.95411406470000004</v>
      </c>
      <c r="AB348" s="5">
        <f>[1]Hybrid!AA48</f>
        <v>0.96289606819999995</v>
      </c>
      <c r="AC348" s="5">
        <f>[1]Hybrid!AB48</f>
        <v>0.97043261719999996</v>
      </c>
      <c r="AD348" s="5">
        <f>[1]Hybrid!AC48</f>
        <v>0.97676628669999999</v>
      </c>
      <c r="AE348" s="5">
        <f>[1]Hybrid!AD48</f>
        <v>0.98191390320000005</v>
      </c>
      <c r="AF348" s="5">
        <f>[1]Hybrid!AE48</f>
        <v>0.98586654100000004</v>
      </c>
      <c r="AG348" s="5">
        <f>[1]Hybrid!AF48</f>
        <v>0.98860324379999998</v>
      </c>
      <c r="AH348" s="5">
        <f>[1]Hybrid!AG48</f>
        <v>0.99010440509999997</v>
      </c>
      <c r="AI348" s="5">
        <f>[1]Hybrid!AH48</f>
        <v>0.99036019610000003</v>
      </c>
      <c r="AJ348" s="5">
        <f>[1]Hybrid!AI48</f>
        <v>0.98937273290000005</v>
      </c>
      <c r="AK348" s="5">
        <f>[1]Hybrid!AJ48</f>
        <v>0.98715339410000003</v>
      </c>
      <c r="AL348" s="5">
        <f>[1]Hybrid!AK48</f>
        <v>0.98371813900000005</v>
      </c>
    </row>
    <row r="349" spans="2:38" x14ac:dyDescent="0.3">
      <c r="B349" s="5" t="str">
        <f>[1]Hybrid!A50</f>
        <v>auto_cc_cgas_2</v>
      </c>
      <c r="C349" s="5">
        <f>[1]Hybrid!B50</f>
        <v>0.40659851759999999</v>
      </c>
      <c r="D349" s="5">
        <f>[1]Hybrid!C50</f>
        <v>0.41514214710000003</v>
      </c>
      <c r="E349" s="5">
        <f>[1]Hybrid!D50</f>
        <v>0.42610219230000002</v>
      </c>
      <c r="F349" s="5">
        <f>[1]Hybrid!E50</f>
        <v>0.43828916839999998</v>
      </c>
      <c r="G349" s="5">
        <f>[1]Hybrid!F50</f>
        <v>0.45097488920000001</v>
      </c>
      <c r="H349" s="5">
        <f>[1]Hybrid!G50</f>
        <v>0.46375652299999998</v>
      </c>
      <c r="I349" s="5">
        <f>[1]Hybrid!H50</f>
        <v>0.47638302989999998</v>
      </c>
      <c r="J349" s="5">
        <f>[1]Hybrid!I50</f>
        <v>0.48873977130000001</v>
      </c>
      <c r="K349" s="5">
        <f>[1]Hybrid!J50</f>
        <v>0.50088852340000001</v>
      </c>
      <c r="L349" s="5">
        <f>[1]Hybrid!K50</f>
        <v>0.51312691489999995</v>
      </c>
      <c r="M349" s="5">
        <f>[1]Hybrid!L50</f>
        <v>0.5256502367</v>
      </c>
      <c r="N349" s="5">
        <f>[1]Hybrid!M50</f>
        <v>0.53820148680000002</v>
      </c>
      <c r="O349" s="5">
        <f>[1]Hybrid!N50</f>
        <v>0.55052254950000001</v>
      </c>
      <c r="P349" s="5">
        <f>[1]Hybrid!O50</f>
        <v>0.56236804070000002</v>
      </c>
      <c r="Q349" s="5">
        <f>[1]Hybrid!P50</f>
        <v>0.57357142230000002</v>
      </c>
      <c r="R349" s="5">
        <f>[1]Hybrid!Q50</f>
        <v>0.58406259959999995</v>
      </c>
      <c r="S349" s="5">
        <f>[1]Hybrid!R50</f>
        <v>0.59384407610000001</v>
      </c>
      <c r="T349" s="5">
        <f>[1]Hybrid!S50</f>
        <v>0.60295110529999996</v>
      </c>
      <c r="U349" s="5">
        <f>[1]Hybrid!T50</f>
        <v>0.61141531770000002</v>
      </c>
      <c r="V349" s="5">
        <f>[1]Hybrid!U50</f>
        <v>0.61924356700000005</v>
      </c>
      <c r="W349" s="5">
        <f>[1]Hybrid!V50</f>
        <v>0.62634056370000002</v>
      </c>
      <c r="X349" s="5">
        <f>[1]Hybrid!W50</f>
        <v>0.63275355870000005</v>
      </c>
      <c r="Y349" s="5">
        <f>[1]Hybrid!X50</f>
        <v>0.63844441910000005</v>
      </c>
      <c r="Z349" s="5">
        <f>[1]Hybrid!Y50</f>
        <v>0.64337757279999996</v>
      </c>
      <c r="AA349" s="5">
        <f>[1]Hybrid!Z50</f>
        <v>0.64752669200000001</v>
      </c>
      <c r="AB349" s="5">
        <f>[1]Hybrid!AA50</f>
        <v>0.65067047239999998</v>
      </c>
      <c r="AC349" s="5">
        <f>[1]Hybrid!AB50</f>
        <v>0.65297045210000004</v>
      </c>
      <c r="AD349" s="5">
        <f>[1]Hybrid!AC50</f>
        <v>0.65445621030000001</v>
      </c>
      <c r="AE349" s="5">
        <f>[1]Hybrid!AD50</f>
        <v>0.65514290770000005</v>
      </c>
      <c r="AF349" s="5">
        <f>[1]Hybrid!AE50</f>
        <v>0.65503067459999997</v>
      </c>
      <c r="AG349" s="5">
        <f>[1]Hybrid!AF50</f>
        <v>0.65411264329999996</v>
      </c>
      <c r="AH349" s="5">
        <f>[1]Hybrid!AG50</f>
        <v>0.65238296600000001</v>
      </c>
      <c r="AI349" s="5">
        <f>[1]Hybrid!AH50</f>
        <v>0.64984201100000005</v>
      </c>
      <c r="AJ349" s="5">
        <f>[1]Hybrid!AI50</f>
        <v>0.6464978737</v>
      </c>
      <c r="AK349" s="5">
        <f>[1]Hybrid!AJ50</f>
        <v>0.64236495449999997</v>
      </c>
      <c r="AL349" s="5">
        <f>[1]Hybrid!AK50</f>
        <v>0.63746124280000005</v>
      </c>
    </row>
    <row r="350" spans="2:38" x14ac:dyDescent="0.3">
      <c r="B350" s="5" t="str">
        <f>[1]Hybrid!A52</f>
        <v>auto_cd_cgas_2</v>
      </c>
      <c r="C350" s="5">
        <f>[1]Hybrid!B52</f>
        <v>0.2495444651</v>
      </c>
      <c r="D350" s="5">
        <f>[1]Hybrid!C52</f>
        <v>0.25267991270000001</v>
      </c>
      <c r="E350" s="5">
        <f>[1]Hybrid!D52</f>
        <v>0.25712207510000001</v>
      </c>
      <c r="F350" s="5">
        <f>[1]Hybrid!E52</f>
        <v>0.26218963909999998</v>
      </c>
      <c r="G350" s="5">
        <f>[1]Hybrid!F52</f>
        <v>0.2674666986</v>
      </c>
      <c r="H350" s="5">
        <f>[1]Hybrid!G52</f>
        <v>0.27272093549999998</v>
      </c>
      <c r="I350" s="5">
        <f>[1]Hybrid!H52</f>
        <v>0.2778064549</v>
      </c>
      <c r="J350" s="5">
        <f>[1]Hybrid!I52</f>
        <v>0.28263844929999998</v>
      </c>
      <c r="K350" s="5">
        <f>[1]Hybrid!J52</f>
        <v>0.28720473000000002</v>
      </c>
      <c r="L350" s="5">
        <f>[1]Hybrid!K52</f>
        <v>0.29165322069999999</v>
      </c>
      <c r="M350" s="5">
        <f>[1]Hybrid!L52</f>
        <v>0.2961086979</v>
      </c>
      <c r="N350" s="5">
        <f>[1]Hybrid!M52</f>
        <v>0.30047890640000002</v>
      </c>
      <c r="O350" s="5">
        <f>[1]Hybrid!N52</f>
        <v>0.30466619140000001</v>
      </c>
      <c r="P350" s="5">
        <f>[1]Hybrid!O52</f>
        <v>0.30856644630000002</v>
      </c>
      <c r="Q350" s="5">
        <f>[1]Hybrid!P52</f>
        <v>0.31210184549999997</v>
      </c>
      <c r="R350" s="5">
        <f>[1]Hybrid!Q52</f>
        <v>0.3152350384</v>
      </c>
      <c r="S350" s="5">
        <f>[1]Hybrid!R52</f>
        <v>0.31796423709999999</v>
      </c>
      <c r="T350" s="5">
        <f>[1]Hybrid!S52</f>
        <v>0.32030875819999999</v>
      </c>
      <c r="U350" s="5">
        <f>[1]Hybrid!T52</f>
        <v>0.32229325580000001</v>
      </c>
      <c r="V350" s="5">
        <f>[1]Hybrid!U52</f>
        <v>0.32393650880000002</v>
      </c>
      <c r="W350" s="5">
        <f>[1]Hybrid!V52</f>
        <v>0.32521199880000001</v>
      </c>
      <c r="X350" s="5">
        <f>[1]Hybrid!W52</f>
        <v>0.32616052089999997</v>
      </c>
      <c r="Y350" s="5">
        <f>[1]Hybrid!X52</f>
        <v>0.32678136419999998</v>
      </c>
      <c r="Z350" s="5">
        <f>[1]Hybrid!Y52</f>
        <v>0.32707246849999999</v>
      </c>
      <c r="AA350" s="5">
        <f>[1]Hybrid!Z52</f>
        <v>0.3270332004</v>
      </c>
      <c r="AB350" s="5">
        <f>[1]Hybrid!AA52</f>
        <v>0.3265709269</v>
      </c>
      <c r="AC350" s="5">
        <f>[1]Hybrid!AB52</f>
        <v>0.32576786369999999</v>
      </c>
      <c r="AD350" s="5">
        <f>[1]Hybrid!AC52</f>
        <v>0.32464744509999999</v>
      </c>
      <c r="AE350" s="5">
        <f>[1]Hybrid!AD52</f>
        <v>0.3232282051</v>
      </c>
      <c r="AF350" s="5">
        <f>[1]Hybrid!AE52</f>
        <v>0.32152163430000003</v>
      </c>
      <c r="AG350" s="5">
        <f>[1]Hybrid!AF52</f>
        <v>0.31953419020000001</v>
      </c>
      <c r="AH350" s="5">
        <f>[1]Hybrid!AG52</f>
        <v>0.31727009839999998</v>
      </c>
      <c r="AI350" s="5">
        <f>[1]Hybrid!AH52</f>
        <v>0.31473374450000002</v>
      </c>
      <c r="AJ350" s="5">
        <f>[1]Hybrid!AI52</f>
        <v>0.31193096949999999</v>
      </c>
      <c r="AK350" s="5">
        <f>[1]Hybrid!AJ52</f>
        <v>0.3088691703</v>
      </c>
      <c r="AL350" s="5">
        <f>[1]Hybrid!AK52</f>
        <v>0.30555658330000002</v>
      </c>
    </row>
    <row r="351" spans="2:38" x14ac:dyDescent="0.3">
      <c r="B351" s="5" t="str">
        <f>[1]Hybrid!A54</f>
        <v>auto_ce_cgas_2</v>
      </c>
      <c r="C351" s="5">
        <f>[1]Hybrid!B54</f>
        <v>0.15020246549999999</v>
      </c>
      <c r="D351" s="5">
        <f>[1]Hybrid!C54</f>
        <v>0.15228872060000001</v>
      </c>
      <c r="E351" s="5">
        <f>[1]Hybrid!D54</f>
        <v>0.1550937845</v>
      </c>
      <c r="F351" s="5">
        <f>[1]Hybrid!E54</f>
        <v>0.1581883006</v>
      </c>
      <c r="G351" s="5">
        <f>[1]Hybrid!F54</f>
        <v>0.1613103032</v>
      </c>
      <c r="H351" s="5">
        <f>[1]Hybrid!G54</f>
        <v>0.16431152269999999</v>
      </c>
      <c r="I351" s="5">
        <f>[1]Hybrid!H54</f>
        <v>0.167097521</v>
      </c>
      <c r="J351" s="5">
        <f>[1]Hybrid!I54</f>
        <v>0.16960396229999999</v>
      </c>
      <c r="K351" s="5">
        <f>[1]Hybrid!J54</f>
        <v>0.17180013390000001</v>
      </c>
      <c r="L351" s="5">
        <f>[1]Hybrid!K54</f>
        <v>0.17376851269999999</v>
      </c>
      <c r="M351" s="5">
        <f>[1]Hybrid!L54</f>
        <v>0.1755940487</v>
      </c>
      <c r="N351" s="5">
        <f>[1]Hybrid!M54</f>
        <v>0.17724722670000001</v>
      </c>
      <c r="O351" s="5">
        <f>[1]Hybrid!N54</f>
        <v>0.1786940417</v>
      </c>
      <c r="P351" s="5">
        <f>[1]Hybrid!O54</f>
        <v>0.17989115750000001</v>
      </c>
      <c r="Q351" s="5">
        <f>[1]Hybrid!P54</f>
        <v>0.18080329140000001</v>
      </c>
      <c r="R351" s="5">
        <f>[1]Hybrid!Q54</f>
        <v>0.18141318009999999</v>
      </c>
      <c r="S351" s="5">
        <f>[1]Hybrid!R54</f>
        <v>0.18172194699999999</v>
      </c>
      <c r="T351" s="5">
        <f>[1]Hybrid!S54</f>
        <v>0.18174361650000001</v>
      </c>
      <c r="U351" s="5">
        <f>[1]Hybrid!T54</f>
        <v>0.18149760249999999</v>
      </c>
      <c r="V351" s="5">
        <f>[1]Hybrid!U54</f>
        <v>0.18100241349999999</v>
      </c>
      <c r="W351" s="5">
        <f>[1]Hybrid!V54</f>
        <v>0.1802549426</v>
      </c>
      <c r="X351" s="5">
        <f>[1]Hybrid!W54</f>
        <v>0.1792850094</v>
      </c>
      <c r="Y351" s="5">
        <f>[1]Hybrid!X54</f>
        <v>0.17810106889999999</v>
      </c>
      <c r="Z351" s="5">
        <f>[1]Hybrid!Y54</f>
        <v>0.17670973849999999</v>
      </c>
      <c r="AA351" s="5">
        <f>[1]Hybrid!Z54</f>
        <v>0.17511716720000001</v>
      </c>
      <c r="AB351" s="5">
        <f>[1]Hybrid!AA54</f>
        <v>0.1732866485</v>
      </c>
      <c r="AC351" s="5">
        <f>[1]Hybrid!AB54</f>
        <v>0.17126200350000001</v>
      </c>
      <c r="AD351" s="5">
        <f>[1]Hybrid!AC54</f>
        <v>0.16906066559999999</v>
      </c>
      <c r="AE351" s="5">
        <f>[1]Hybrid!AD54</f>
        <v>0.16669864710000001</v>
      </c>
      <c r="AF351" s="5">
        <f>[1]Hybrid!AE54</f>
        <v>0.16418897139999999</v>
      </c>
      <c r="AG351" s="5">
        <f>[1]Hybrid!AF54</f>
        <v>0.1615420648</v>
      </c>
      <c r="AH351" s="5">
        <f>[1]Hybrid!AG54</f>
        <v>0.1587667555</v>
      </c>
      <c r="AI351" s="5">
        <f>[1]Hybrid!AH54</f>
        <v>0.1558713525</v>
      </c>
      <c r="AJ351" s="5">
        <f>[1]Hybrid!AI54</f>
        <v>0.15286440740000001</v>
      </c>
      <c r="AK351" s="5">
        <f>[1]Hybrid!AJ54</f>
        <v>0.14975498810000001</v>
      </c>
      <c r="AL351" s="5">
        <f>[1]Hybrid!AK54</f>
        <v>0.1465525325</v>
      </c>
    </row>
    <row r="352" spans="2:38" x14ac:dyDescent="0.3">
      <c r="B352" s="5" t="str">
        <f>[1]Hybrid!A56</f>
        <v>auto_cf_cgas_2</v>
      </c>
      <c r="C352" s="5">
        <f>[1]Hybrid!B56</f>
        <v>7.4609436000000001E-2</v>
      </c>
      <c r="D352" s="5">
        <f>[1]Hybrid!C56</f>
        <v>7.5412023199999997E-2</v>
      </c>
      <c r="E352" s="5">
        <f>[1]Hybrid!D56</f>
        <v>7.6451001500000004E-2</v>
      </c>
      <c r="F352" s="5">
        <f>[1]Hybrid!E56</f>
        <v>7.7504025000000004E-2</v>
      </c>
      <c r="G352" s="5">
        <f>[1]Hybrid!F56</f>
        <v>7.8438326399999994E-2</v>
      </c>
      <c r="H352" s="5">
        <f>[1]Hybrid!G56</f>
        <v>7.91792422E-2</v>
      </c>
      <c r="I352" s="5">
        <f>[1]Hybrid!H56</f>
        <v>7.9681021800000001E-2</v>
      </c>
      <c r="J352" s="5">
        <f>[1]Hybrid!I56</f>
        <v>7.9904753600000003E-2</v>
      </c>
      <c r="K352" s="5">
        <f>[1]Hybrid!J56</f>
        <v>7.9817640300000006E-2</v>
      </c>
      <c r="L352" s="5">
        <f>[1]Hybrid!K56</f>
        <v>7.9461646100000005E-2</v>
      </c>
      <c r="M352" s="5">
        <f>[1]Hybrid!L56</f>
        <v>7.8898512599999998E-2</v>
      </c>
      <c r="N352" s="5">
        <f>[1]Hybrid!M56</f>
        <v>7.8155424299999998E-2</v>
      </c>
      <c r="O352" s="5">
        <f>[1]Hybrid!N56</f>
        <v>7.7253093100000003E-2</v>
      </c>
      <c r="P352" s="5">
        <f>[1]Hybrid!O56</f>
        <v>7.6200355400000003E-2</v>
      </c>
      <c r="Q352" s="5">
        <f>[1]Hybrid!P56</f>
        <v>7.5000578200000001E-2</v>
      </c>
      <c r="R352" s="5">
        <f>[1]Hybrid!Q56</f>
        <v>7.3658222400000001E-2</v>
      </c>
      <c r="S352" s="5">
        <f>[1]Hybrid!R56</f>
        <v>7.2182445999999997E-2</v>
      </c>
      <c r="T352" s="5">
        <f>[1]Hybrid!S56</f>
        <v>7.0587498799999995E-2</v>
      </c>
      <c r="U352" s="5">
        <f>[1]Hybrid!T56</f>
        <v>6.8890879200000005E-2</v>
      </c>
      <c r="V352" s="5">
        <f>[1]Hybrid!U56</f>
        <v>6.7110768200000004E-2</v>
      </c>
      <c r="W352" s="5">
        <f>[1]Hybrid!V56</f>
        <v>6.5260017099999998E-2</v>
      </c>
      <c r="X352" s="5">
        <f>[1]Hybrid!W56</f>
        <v>6.3357599599999995E-2</v>
      </c>
      <c r="Y352" s="5">
        <f>[1]Hybrid!X56</f>
        <v>6.1416006500000002E-2</v>
      </c>
      <c r="Z352" s="5">
        <f>[1]Hybrid!Y56</f>
        <v>5.9445643100000001E-2</v>
      </c>
      <c r="AA352" s="5">
        <f>[1]Hybrid!Z56</f>
        <v>5.7455335500000003E-2</v>
      </c>
      <c r="AB352" s="5">
        <f>[1]Hybrid!AA56</f>
        <v>5.5445311900000002E-2</v>
      </c>
      <c r="AC352" s="5">
        <f>[1]Hybrid!AB56</f>
        <v>5.3429655999999999E-2</v>
      </c>
      <c r="AD352" s="5">
        <f>[1]Hybrid!AC56</f>
        <v>5.1417505400000001E-2</v>
      </c>
      <c r="AE352" s="5">
        <f>[1]Hybrid!AD56</f>
        <v>4.9417511300000001E-2</v>
      </c>
      <c r="AF352" s="5">
        <f>[1]Hybrid!AE56</f>
        <v>4.7437225899999998E-2</v>
      </c>
      <c r="AG352" s="5">
        <f>[1]Hybrid!AF56</f>
        <v>4.54829551E-2</v>
      </c>
      <c r="AH352" s="5">
        <f>[1]Hybrid!AG56</f>
        <v>4.3559885200000002E-2</v>
      </c>
      <c r="AI352" s="5">
        <f>[1]Hybrid!AH56</f>
        <v>4.1672346800000003E-2</v>
      </c>
      <c r="AJ352" s="5">
        <f>[1]Hybrid!AI56</f>
        <v>3.9824076399999998E-2</v>
      </c>
      <c r="AK352" s="5">
        <f>[1]Hybrid!AJ56</f>
        <v>3.8018386199999997E-2</v>
      </c>
      <c r="AL352" s="5">
        <f>[1]Hybrid!AK56</f>
        <v>3.6258223499999999E-2</v>
      </c>
    </row>
    <row r="353" spans="1:38" x14ac:dyDescent="0.3">
      <c r="B353" s="5" t="str">
        <f>[1]Hybrid!A58</f>
        <v>auto_cg_cgas_2</v>
      </c>
      <c r="C353" s="5">
        <f>[1]Hybrid!B58</f>
        <v>0.13435819299999999</v>
      </c>
      <c r="D353" s="5">
        <f>[1]Hybrid!C58</f>
        <v>0.13608689469999999</v>
      </c>
      <c r="E353" s="5">
        <f>[1]Hybrid!D58</f>
        <v>0.13805011519999999</v>
      </c>
      <c r="F353" s="5">
        <f>[1]Hybrid!E58</f>
        <v>0.13981772610000001</v>
      </c>
      <c r="G353" s="5">
        <f>[1]Hybrid!F58</f>
        <v>0.1411438746</v>
      </c>
      <c r="H353" s="5">
        <f>[1]Hybrid!G58</f>
        <v>0.14189902469999999</v>
      </c>
      <c r="I353" s="5">
        <f>[1]Hybrid!H58</f>
        <v>0.14201443799999999</v>
      </c>
      <c r="J353" s="5">
        <f>[1]Hybrid!I58</f>
        <v>0.1414293398</v>
      </c>
      <c r="K353" s="5">
        <f>[1]Hybrid!J58</f>
        <v>0.14009118810000001</v>
      </c>
      <c r="L353" s="5">
        <f>[1]Hybrid!K58</f>
        <v>0.13810690380000001</v>
      </c>
      <c r="M353" s="5">
        <f>[1]Hybrid!L58</f>
        <v>0.13563178670000001</v>
      </c>
      <c r="N353" s="5">
        <f>[1]Hybrid!M58</f>
        <v>0.1327712076</v>
      </c>
      <c r="O353" s="5">
        <f>[1]Hybrid!N58</f>
        <v>0.12960885829999999</v>
      </c>
      <c r="P353" s="5">
        <f>[1]Hybrid!O58</f>
        <v>0.1261974521</v>
      </c>
      <c r="Q353" s="5">
        <f>[1]Hybrid!P58</f>
        <v>0.12257047779999999</v>
      </c>
      <c r="R353" s="5">
        <f>[1]Hybrid!Q58</f>
        <v>0.1187558724</v>
      </c>
      <c r="S353" s="5">
        <f>[1]Hybrid!R58</f>
        <v>0.11478465190000001</v>
      </c>
      <c r="T353" s="5">
        <f>[1]Hybrid!S58</f>
        <v>0.1106931582</v>
      </c>
      <c r="U353" s="5">
        <f>[1]Hybrid!T58</f>
        <v>0.1065207004</v>
      </c>
      <c r="V353" s="5">
        <f>[1]Hybrid!U58</f>
        <v>0.1023055952</v>
      </c>
      <c r="W353" s="5">
        <f>[1]Hybrid!V58</f>
        <v>9.8078228899999995E-2</v>
      </c>
      <c r="X353" s="5">
        <f>[1]Hybrid!W58</f>
        <v>9.3871330200000005E-2</v>
      </c>
      <c r="Y353" s="5">
        <f>[1]Hybrid!X58</f>
        <v>8.9708216399999999E-2</v>
      </c>
      <c r="Z353" s="5">
        <f>[1]Hybrid!Y58</f>
        <v>8.5607377499999998E-2</v>
      </c>
      <c r="AA353" s="5">
        <f>[1]Hybrid!Z58</f>
        <v>8.1583477000000001E-2</v>
      </c>
      <c r="AB353" s="5">
        <f>[1]Hybrid!AA58</f>
        <v>7.7642796E-2</v>
      </c>
      <c r="AC353" s="5">
        <f>[1]Hybrid!AB58</f>
        <v>7.3800595299999994E-2</v>
      </c>
      <c r="AD353" s="5">
        <f>[1]Hybrid!AC58</f>
        <v>7.0067137299999999E-2</v>
      </c>
      <c r="AE353" s="5">
        <f>[1]Hybrid!AD58</f>
        <v>6.6451119500000003E-2</v>
      </c>
      <c r="AF353" s="5">
        <f>[1]Hybrid!AE58</f>
        <v>6.2959180899999995E-2</v>
      </c>
      <c r="AG353" s="5">
        <f>[1]Hybrid!AF58</f>
        <v>5.9595875E-2</v>
      </c>
      <c r="AH353" s="5">
        <f>[1]Hybrid!AG58</f>
        <v>5.6363926600000003E-2</v>
      </c>
      <c r="AI353" s="5">
        <f>[1]Hybrid!AH58</f>
        <v>5.32646113E-2</v>
      </c>
      <c r="AJ353" s="5">
        <f>[1]Hybrid!AI58</f>
        <v>5.0298110600000001E-2</v>
      </c>
      <c r="AK353" s="5">
        <f>[1]Hybrid!AJ58</f>
        <v>4.7463765599999999E-2</v>
      </c>
      <c r="AL353" s="5">
        <f>[1]Hybrid!AK58</f>
        <v>4.4760224500000001E-2</v>
      </c>
    </row>
    <row r="355" spans="1:38" x14ac:dyDescent="0.3">
      <c r="A355" s="12" t="s">
        <v>64</v>
      </c>
      <c r="B355" t="s">
        <v>83</v>
      </c>
      <c r="C355" s="2">
        <v>42005</v>
      </c>
      <c r="D355" s="2">
        <v>42370</v>
      </c>
      <c r="E355" s="2">
        <v>42736</v>
      </c>
      <c r="F355" s="2">
        <v>43101</v>
      </c>
      <c r="G355" s="2">
        <v>43466</v>
      </c>
      <c r="H355" s="2">
        <v>43831</v>
      </c>
      <c r="I355" s="2">
        <v>44197</v>
      </c>
      <c r="J355" s="2">
        <v>44562</v>
      </c>
      <c r="K355" s="2">
        <v>44927</v>
      </c>
      <c r="L355" s="2">
        <v>45292</v>
      </c>
      <c r="M355" s="2">
        <v>45658</v>
      </c>
      <c r="N355" s="2">
        <v>46023</v>
      </c>
      <c r="O355" s="2">
        <v>46388</v>
      </c>
      <c r="P355" s="2">
        <v>46753</v>
      </c>
      <c r="Q355" s="2">
        <v>47119</v>
      </c>
      <c r="R355" s="2">
        <v>47484</v>
      </c>
      <c r="S355" s="2">
        <v>47849</v>
      </c>
      <c r="T355" s="2">
        <v>48214</v>
      </c>
      <c r="U355" s="2">
        <v>48580</v>
      </c>
      <c r="V355" s="2">
        <v>48945</v>
      </c>
      <c r="W355" s="2">
        <v>49310</v>
      </c>
      <c r="X355" s="2">
        <v>49675</v>
      </c>
      <c r="Y355" s="2">
        <v>50041</v>
      </c>
      <c r="Z355" s="2">
        <v>50406</v>
      </c>
      <c r="AA355" s="2">
        <v>50771</v>
      </c>
      <c r="AB355" s="2">
        <v>51136</v>
      </c>
      <c r="AC355" s="2">
        <v>51502</v>
      </c>
      <c r="AD355" s="2">
        <v>51867</v>
      </c>
      <c r="AE355" s="2">
        <v>52232</v>
      </c>
      <c r="AF355" s="2">
        <v>52597</v>
      </c>
      <c r="AG355" s="2">
        <v>52963</v>
      </c>
      <c r="AH355" s="2">
        <v>53328</v>
      </c>
      <c r="AI355" s="2">
        <v>53693</v>
      </c>
      <c r="AJ355" s="2">
        <v>54058</v>
      </c>
      <c r="AK355" s="2">
        <v>54424</v>
      </c>
      <c r="AL355" s="2">
        <v>54789</v>
      </c>
    </row>
    <row r="356" spans="1:38" x14ac:dyDescent="0.3">
      <c r="A356" t="s">
        <v>27</v>
      </c>
      <c r="B356" t="s">
        <v>70</v>
      </c>
      <c r="C356" s="6">
        <f t="shared" ref="C356:AL356" si="82">C333+C347+C340</f>
        <v>7105.9689965623002</v>
      </c>
      <c r="D356" s="6">
        <f t="shared" si="82"/>
        <v>7168.5912140135997</v>
      </c>
      <c r="E356" s="6">
        <f t="shared" si="82"/>
        <v>7282.1558316032997</v>
      </c>
      <c r="F356" s="6">
        <f t="shared" si="82"/>
        <v>7424.7126879461002</v>
      </c>
      <c r="G356" s="6">
        <f t="shared" si="82"/>
        <v>7583.0772665885997</v>
      </c>
      <c r="H356" s="6">
        <f t="shared" si="82"/>
        <v>7750.3095286591006</v>
      </c>
      <c r="I356" s="6">
        <f t="shared" si="82"/>
        <v>7922.4483440436998</v>
      </c>
      <c r="J356" s="6">
        <f t="shared" si="82"/>
        <v>8098.4538340814997</v>
      </c>
      <c r="K356" s="6">
        <f t="shared" si="82"/>
        <v>8280.9765713016004</v>
      </c>
      <c r="L356" s="6">
        <f t="shared" si="82"/>
        <v>8476.5446874518984</v>
      </c>
      <c r="M356" s="6">
        <f t="shared" si="82"/>
        <v>8689.0876156740997</v>
      </c>
      <c r="N356" s="6">
        <f t="shared" si="82"/>
        <v>8913.2657516241998</v>
      </c>
      <c r="O356" s="6">
        <f t="shared" si="82"/>
        <v>9143.5815333319988</v>
      </c>
      <c r="P356" s="6">
        <f t="shared" si="82"/>
        <v>9374.8925237925014</v>
      </c>
      <c r="Q356" s="6">
        <f t="shared" si="82"/>
        <v>9603.8792529920993</v>
      </c>
      <c r="R356" s="6">
        <f t="shared" si="82"/>
        <v>9829.4166779812003</v>
      </c>
      <c r="S356" s="6">
        <f t="shared" si="82"/>
        <v>10052.019262902801</v>
      </c>
      <c r="T356" s="6">
        <f t="shared" si="82"/>
        <v>10272.9291783721</v>
      </c>
      <c r="U356" s="6">
        <f t="shared" si="82"/>
        <v>10493.2915365149</v>
      </c>
      <c r="V356" s="6">
        <f t="shared" si="82"/>
        <v>10713.683437695499</v>
      </c>
      <c r="W356" s="6">
        <f t="shared" si="82"/>
        <v>10932.396238664798</v>
      </c>
      <c r="X356" s="6">
        <f t="shared" si="82"/>
        <v>11150.943427099699</v>
      </c>
      <c r="Y356" s="6">
        <f t="shared" si="82"/>
        <v>11368.956572020801</v>
      </c>
      <c r="Z356" s="6">
        <f t="shared" si="82"/>
        <v>11586.181131555</v>
      </c>
      <c r="AA356" s="6">
        <f t="shared" si="82"/>
        <v>11802.628953784</v>
      </c>
      <c r="AB356" s="6">
        <f t="shared" si="82"/>
        <v>12013.466067638001</v>
      </c>
      <c r="AC356" s="6">
        <f t="shared" si="82"/>
        <v>12223.271990858</v>
      </c>
      <c r="AD356" s="6">
        <f t="shared" si="82"/>
        <v>12433.275881984</v>
      </c>
      <c r="AE356" s="6">
        <f t="shared" si="82"/>
        <v>12644.222788765999</v>
      </c>
      <c r="AF356" s="6">
        <f t="shared" si="82"/>
        <v>12856.360188178</v>
      </c>
      <c r="AG356" s="6">
        <f t="shared" si="82"/>
        <v>13069.667355223999</v>
      </c>
      <c r="AH356" s="6">
        <f t="shared" si="82"/>
        <v>13284.09273104</v>
      </c>
      <c r="AI356" s="6">
        <f t="shared" si="82"/>
        <v>13499.712081764001</v>
      </c>
      <c r="AJ356" s="6">
        <f t="shared" si="82"/>
        <v>13716.774667733001</v>
      </c>
      <c r="AK356" s="6">
        <f t="shared" si="82"/>
        <v>13935.654862853</v>
      </c>
      <c r="AL356" s="6">
        <f t="shared" si="82"/>
        <v>14156.757705710001</v>
      </c>
    </row>
    <row r="357" spans="1:38" x14ac:dyDescent="0.3">
      <c r="B357" t="s">
        <v>71</v>
      </c>
      <c r="C357" s="6">
        <f t="shared" ref="C357:AL357" si="83">C334+C348+C341</f>
        <v>8263.1971436354015</v>
      </c>
      <c r="D357" s="6">
        <f t="shared" si="83"/>
        <v>8210.6212938895005</v>
      </c>
      <c r="E357" s="6">
        <f t="shared" si="83"/>
        <v>8214.744057178199</v>
      </c>
      <c r="F357" s="6">
        <f t="shared" si="83"/>
        <v>8253.660487163701</v>
      </c>
      <c r="G357" s="6">
        <f t="shared" si="83"/>
        <v>8313.9762547449991</v>
      </c>
      <c r="H357" s="6">
        <f t="shared" si="83"/>
        <v>8388.3347388315997</v>
      </c>
      <c r="I357" s="6">
        <f t="shared" si="83"/>
        <v>8472.2745577067999</v>
      </c>
      <c r="J357" s="6">
        <f t="shared" si="83"/>
        <v>8564.0377434223992</v>
      </c>
      <c r="K357" s="6">
        <f t="shared" si="83"/>
        <v>8665.2241266965993</v>
      </c>
      <c r="L357" s="6">
        <f t="shared" si="83"/>
        <v>8781.3966738215004</v>
      </c>
      <c r="M357" s="6">
        <f t="shared" si="83"/>
        <v>8915.9427551295994</v>
      </c>
      <c r="N357" s="6">
        <f t="shared" si="83"/>
        <v>9063.7246991247994</v>
      </c>
      <c r="O357" s="6">
        <f t="shared" si="83"/>
        <v>9219.4885019631984</v>
      </c>
      <c r="P357" s="6">
        <f t="shared" si="83"/>
        <v>9378.2563501233017</v>
      </c>
      <c r="Q357" s="6">
        <f t="shared" si="83"/>
        <v>9536.6649900021002</v>
      </c>
      <c r="R357" s="6">
        <f t="shared" si="83"/>
        <v>9693.3339110822017</v>
      </c>
      <c r="S357" s="6">
        <f t="shared" si="83"/>
        <v>9848.3964781406994</v>
      </c>
      <c r="T357" s="6">
        <f t="shared" si="83"/>
        <v>10002.6983668222</v>
      </c>
      <c r="U357" s="6">
        <f t="shared" si="83"/>
        <v>10157.0589970086</v>
      </c>
      <c r="V357" s="6">
        <f t="shared" si="83"/>
        <v>10311.8374061102</v>
      </c>
      <c r="W357" s="6">
        <f t="shared" si="83"/>
        <v>10465.3522820169</v>
      </c>
      <c r="X357" s="6">
        <f t="shared" si="83"/>
        <v>10618.863203245099</v>
      </c>
      <c r="Y357" s="6">
        <f t="shared" si="83"/>
        <v>10771.9188459941</v>
      </c>
      <c r="Z357" s="6">
        <f t="shared" si="83"/>
        <v>10924.156923857401</v>
      </c>
      <c r="AA357" s="6">
        <f t="shared" si="83"/>
        <v>11075.4353740647</v>
      </c>
      <c r="AB357" s="6">
        <f t="shared" si="83"/>
        <v>11221.280811068202</v>
      </c>
      <c r="AC357" s="6">
        <f t="shared" si="83"/>
        <v>11365.6188126172</v>
      </c>
      <c r="AD357" s="6">
        <f t="shared" si="83"/>
        <v>11509.408621286701</v>
      </c>
      <c r="AE357" s="6">
        <f t="shared" si="83"/>
        <v>11653.2114349032</v>
      </c>
      <c r="AF357" s="6">
        <f t="shared" si="83"/>
        <v>11797.165028541</v>
      </c>
      <c r="AG357" s="6">
        <f t="shared" si="83"/>
        <v>11941.1713572438</v>
      </c>
      <c r="AH357" s="6">
        <f t="shared" si="83"/>
        <v>12085.0954814051</v>
      </c>
      <c r="AI357" s="6">
        <f t="shared" si="83"/>
        <v>12228.901857196099</v>
      </c>
      <c r="AJ357" s="6">
        <f t="shared" si="83"/>
        <v>12372.698979732901</v>
      </c>
      <c r="AK357" s="6">
        <f t="shared" si="83"/>
        <v>12516.704550394101</v>
      </c>
      <c r="AL357" s="6">
        <f t="shared" si="83"/>
        <v>12661.170272138999</v>
      </c>
    </row>
    <row r="358" spans="1:38" x14ac:dyDescent="0.3">
      <c r="B358" t="s">
        <v>72</v>
      </c>
      <c r="C358" s="6">
        <f t="shared" ref="C358:AL358" si="84">C335+C349+C342</f>
        <v>6787.4105911386005</v>
      </c>
      <c r="D358" s="6">
        <f t="shared" si="84"/>
        <v>6667.5555073370997</v>
      </c>
      <c r="E358" s="6">
        <f t="shared" si="84"/>
        <v>6592.7706217423001</v>
      </c>
      <c r="F358" s="6">
        <f t="shared" si="84"/>
        <v>6547.2890125084004</v>
      </c>
      <c r="G358" s="6">
        <f t="shared" si="84"/>
        <v>6521.3042762792002</v>
      </c>
      <c r="H358" s="6">
        <f t="shared" si="84"/>
        <v>6509.2225450329997</v>
      </c>
      <c r="I358" s="6">
        <f t="shared" si="84"/>
        <v>6507.4821399298999</v>
      </c>
      <c r="J358" s="6">
        <f t="shared" si="84"/>
        <v>6514.3299201113005</v>
      </c>
      <c r="K358" s="6">
        <f t="shared" si="84"/>
        <v>6530.2205048034002</v>
      </c>
      <c r="L358" s="6">
        <f t="shared" si="84"/>
        <v>6558.5169525248994</v>
      </c>
      <c r="M358" s="6">
        <f t="shared" si="84"/>
        <v>6601.2906408967001</v>
      </c>
      <c r="N358" s="6">
        <f t="shared" si="84"/>
        <v>6654.9606394868006</v>
      </c>
      <c r="O358" s="6">
        <f t="shared" si="84"/>
        <v>6715.8892309494995</v>
      </c>
      <c r="P358" s="6">
        <f t="shared" si="84"/>
        <v>6780.5889177406998</v>
      </c>
      <c r="Q358" s="6">
        <f t="shared" si="84"/>
        <v>6846.6033925223001</v>
      </c>
      <c r="R358" s="6">
        <f t="shared" si="84"/>
        <v>6912.7705983996002</v>
      </c>
      <c r="S358" s="6">
        <f t="shared" si="84"/>
        <v>6978.9398956760997</v>
      </c>
      <c r="T358" s="6">
        <f t="shared" si="84"/>
        <v>7045.4646832053004</v>
      </c>
      <c r="U358" s="6">
        <f t="shared" si="84"/>
        <v>7112.7248713177005</v>
      </c>
      <c r="V358" s="6">
        <f t="shared" si="84"/>
        <v>7180.8373441670001</v>
      </c>
      <c r="W358" s="6">
        <f t="shared" si="84"/>
        <v>7248.6068106637003</v>
      </c>
      <c r="X358" s="6">
        <f t="shared" si="84"/>
        <v>7316.7762363586999</v>
      </c>
      <c r="Y358" s="6">
        <f t="shared" si="84"/>
        <v>7384.9677518191002</v>
      </c>
      <c r="Z358" s="6">
        <f t="shared" si="84"/>
        <v>7452.8543235728002</v>
      </c>
      <c r="AA358" s="6">
        <f t="shared" si="84"/>
        <v>7520.2414451919994</v>
      </c>
      <c r="AB358" s="6">
        <f t="shared" si="84"/>
        <v>7584.1421889723997</v>
      </c>
      <c r="AC358" s="6">
        <f t="shared" si="84"/>
        <v>7646.9815144520999</v>
      </c>
      <c r="AD358" s="6">
        <f t="shared" si="84"/>
        <v>7709.2905283103</v>
      </c>
      <c r="AE358" s="6">
        <f t="shared" si="84"/>
        <v>7771.3669199076994</v>
      </c>
      <c r="AF358" s="6">
        <f t="shared" si="84"/>
        <v>7833.2498826746005</v>
      </c>
      <c r="AG358" s="6">
        <f t="shared" si="84"/>
        <v>7894.8302656433007</v>
      </c>
      <c r="AH358" s="6">
        <f t="shared" si="84"/>
        <v>7955.9708209660002</v>
      </c>
      <c r="AI358" s="6">
        <f t="shared" si="84"/>
        <v>8016.591256011001</v>
      </c>
      <c r="AJ358" s="6">
        <f t="shared" si="84"/>
        <v>8076.6991678737004</v>
      </c>
      <c r="AK358" s="6">
        <f t="shared" si="84"/>
        <v>8136.3726709545008</v>
      </c>
      <c r="AL358" s="6">
        <f t="shared" si="84"/>
        <v>8195.7171742428</v>
      </c>
    </row>
    <row r="359" spans="1:38" x14ac:dyDescent="0.3">
      <c r="B359" t="s">
        <v>73</v>
      </c>
      <c r="C359" s="6">
        <f t="shared" ref="C359:AL359" si="85">C336+C350+C343</f>
        <v>4165.6835237371006</v>
      </c>
      <c r="D359" s="6">
        <f t="shared" si="85"/>
        <v>4066.7820749527</v>
      </c>
      <c r="E359" s="6">
        <f t="shared" si="85"/>
        <v>3993.7274703540998</v>
      </c>
      <c r="F359" s="6">
        <f t="shared" si="85"/>
        <v>3937.3413933291004</v>
      </c>
      <c r="G359" s="6">
        <f t="shared" si="85"/>
        <v>3891.8476005685998</v>
      </c>
      <c r="H359" s="6">
        <f t="shared" si="85"/>
        <v>3853.8238038954996</v>
      </c>
      <c r="I359" s="6">
        <f t="shared" si="85"/>
        <v>3820.9867974749004</v>
      </c>
      <c r="J359" s="6">
        <f t="shared" si="85"/>
        <v>3791.8657694092999</v>
      </c>
      <c r="K359" s="6">
        <f t="shared" si="85"/>
        <v>3765.9135594700001</v>
      </c>
      <c r="L359" s="6">
        <f t="shared" si="85"/>
        <v>3744.5475487107001</v>
      </c>
      <c r="M359" s="6">
        <f t="shared" si="85"/>
        <v>3728.9042342678999</v>
      </c>
      <c r="N359" s="6">
        <f t="shared" si="85"/>
        <v>3717.4887651263998</v>
      </c>
      <c r="O359" s="6">
        <f t="shared" si="85"/>
        <v>3708.7693820014001</v>
      </c>
      <c r="P359" s="6">
        <f t="shared" si="85"/>
        <v>3701.1678546663002</v>
      </c>
      <c r="Q359" s="6">
        <f t="shared" si="85"/>
        <v>3693.4633397054999</v>
      </c>
      <c r="R359" s="6">
        <f t="shared" si="85"/>
        <v>3684.9651840183997</v>
      </c>
      <c r="S359" s="6">
        <f t="shared" si="85"/>
        <v>3675.4482615371003</v>
      </c>
      <c r="T359" s="6">
        <f t="shared" si="85"/>
        <v>3664.9700560582</v>
      </c>
      <c r="U359" s="6">
        <f t="shared" si="85"/>
        <v>3653.6721989058001</v>
      </c>
      <c r="V359" s="6">
        <f t="shared" si="85"/>
        <v>3641.6392672388001</v>
      </c>
      <c r="W359" s="6">
        <f t="shared" si="85"/>
        <v>3628.4080597988004</v>
      </c>
      <c r="X359" s="6">
        <f t="shared" si="85"/>
        <v>3614.3680664909002</v>
      </c>
      <c r="Y359" s="6">
        <f t="shared" si="85"/>
        <v>3599.3997743641999</v>
      </c>
      <c r="Z359" s="6">
        <f t="shared" si="85"/>
        <v>3583.3776355685</v>
      </c>
      <c r="AA359" s="6">
        <f t="shared" si="85"/>
        <v>3566.2030419004</v>
      </c>
      <c r="AB359" s="6">
        <f t="shared" si="85"/>
        <v>3546.6182829269001</v>
      </c>
      <c r="AC359" s="6">
        <f t="shared" si="85"/>
        <v>3525.5938787637001</v>
      </c>
      <c r="AD359" s="6">
        <f t="shared" si="85"/>
        <v>3503.3503254450998</v>
      </c>
      <c r="AE359" s="6">
        <f t="shared" si="85"/>
        <v>3480.0475297050998</v>
      </c>
      <c r="AF359" s="6">
        <f t="shared" si="85"/>
        <v>3455.7565171343003</v>
      </c>
      <c r="AG359" s="6">
        <f t="shared" si="85"/>
        <v>3430.4849464901999</v>
      </c>
      <c r="AH359" s="6">
        <f t="shared" si="85"/>
        <v>3404.2133047983998</v>
      </c>
      <c r="AI359" s="6">
        <f t="shared" si="85"/>
        <v>3376.9261223444996</v>
      </c>
      <c r="AJ359" s="6">
        <f t="shared" si="85"/>
        <v>3348.6290541694998</v>
      </c>
      <c r="AK359" s="6">
        <f t="shared" si="85"/>
        <v>3319.3501271702999</v>
      </c>
      <c r="AL359" s="6">
        <f t="shared" si="85"/>
        <v>3289.1298514833002</v>
      </c>
    </row>
    <row r="360" spans="1:38" x14ac:dyDescent="0.3">
      <c r="B360" t="s">
        <v>74</v>
      </c>
      <c r="C360" s="6">
        <f t="shared" ref="C360:AL360" si="86">C337+C351+C344</f>
        <v>2507.3524895615005</v>
      </c>
      <c r="D360" s="6">
        <f t="shared" si="86"/>
        <v>2450.2141596126003</v>
      </c>
      <c r="E360" s="6">
        <f t="shared" si="86"/>
        <v>2407.7845129044999</v>
      </c>
      <c r="F360" s="6">
        <f t="shared" si="86"/>
        <v>2374.3227658596002</v>
      </c>
      <c r="G360" s="6">
        <f t="shared" si="86"/>
        <v>2346.2294434962</v>
      </c>
      <c r="H360" s="6">
        <f t="shared" si="86"/>
        <v>2321.3600879456994</v>
      </c>
      <c r="I360" s="6">
        <f t="shared" si="86"/>
        <v>2298.2763906309997</v>
      </c>
      <c r="J360" s="6">
        <f t="shared" si="86"/>
        <v>2275.9464898222996</v>
      </c>
      <c r="K360" s="6">
        <f t="shared" si="86"/>
        <v>2253.7715454939002</v>
      </c>
      <c r="L360" s="6">
        <f t="shared" si="86"/>
        <v>2232.5383765227002</v>
      </c>
      <c r="M360" s="6">
        <f t="shared" si="86"/>
        <v>2213.0614544787004</v>
      </c>
      <c r="N360" s="6">
        <f t="shared" si="86"/>
        <v>2194.7643367766996</v>
      </c>
      <c r="O360" s="6">
        <f t="shared" si="86"/>
        <v>2177.0290270016999</v>
      </c>
      <c r="P360" s="6">
        <f t="shared" si="86"/>
        <v>2159.1394609675003</v>
      </c>
      <c r="Q360" s="6">
        <f t="shared" si="86"/>
        <v>2140.4967423314001</v>
      </c>
      <c r="R360" s="6">
        <f t="shared" si="86"/>
        <v>2120.7410269901002</v>
      </c>
      <c r="S360" s="6">
        <f t="shared" si="86"/>
        <v>2099.7536880870002</v>
      </c>
      <c r="T360" s="6">
        <f t="shared" si="86"/>
        <v>2077.5868463664997</v>
      </c>
      <c r="U360" s="6">
        <f t="shared" si="86"/>
        <v>2054.3682728525</v>
      </c>
      <c r="V360" s="6">
        <f t="shared" si="86"/>
        <v>2030.2219188335</v>
      </c>
      <c r="W360" s="6">
        <f t="shared" si="86"/>
        <v>2005.0100149725999</v>
      </c>
      <c r="X360" s="6">
        <f t="shared" si="86"/>
        <v>1979.0114027194002</v>
      </c>
      <c r="Y360" s="6">
        <f t="shared" si="86"/>
        <v>1952.2421819289002</v>
      </c>
      <c r="Z360" s="6">
        <f t="shared" si="86"/>
        <v>1924.7003412785</v>
      </c>
      <c r="AA360" s="6">
        <f t="shared" si="86"/>
        <v>1896.3820149172</v>
      </c>
      <c r="AB360" s="6">
        <f t="shared" si="86"/>
        <v>1866.7432404684998</v>
      </c>
      <c r="AC360" s="6">
        <f t="shared" si="86"/>
        <v>1836.2662694435001</v>
      </c>
      <c r="AD360" s="6">
        <f t="shared" si="86"/>
        <v>1805.0966325656</v>
      </c>
      <c r="AE360" s="6">
        <f t="shared" si="86"/>
        <v>1773.3627954870999</v>
      </c>
      <c r="AF360" s="6">
        <f t="shared" si="86"/>
        <v>1741.1558509714</v>
      </c>
      <c r="AG360" s="6">
        <f t="shared" si="86"/>
        <v>1708.5344929848</v>
      </c>
      <c r="AH360" s="6">
        <f t="shared" si="86"/>
        <v>1675.5379400054999</v>
      </c>
      <c r="AI360" s="6">
        <f t="shared" si="86"/>
        <v>1642.2000116525001</v>
      </c>
      <c r="AJ360" s="6">
        <f t="shared" si="86"/>
        <v>1608.5591579074003</v>
      </c>
      <c r="AK360" s="6">
        <f t="shared" si="86"/>
        <v>1574.6620959881</v>
      </c>
      <c r="AL360" s="6">
        <f t="shared" si="86"/>
        <v>1540.5618246324998</v>
      </c>
    </row>
    <row r="361" spans="1:38" x14ac:dyDescent="0.3">
      <c r="B361" t="s">
        <v>75</v>
      </c>
      <c r="C361" s="6">
        <f t="shared" ref="C361:AL361" si="87">C338+C352+C345</f>
        <v>1245.466605953</v>
      </c>
      <c r="D361" s="6">
        <f t="shared" si="87"/>
        <v>1214.2756806991999</v>
      </c>
      <c r="E361" s="6">
        <f t="shared" si="87"/>
        <v>1188.9780294814998</v>
      </c>
      <c r="F361" s="6">
        <f t="shared" si="87"/>
        <v>1166.6252698979999</v>
      </c>
      <c r="G361" s="6">
        <f t="shared" si="87"/>
        <v>1145.4079078553998</v>
      </c>
      <c r="H361" s="6">
        <f t="shared" si="87"/>
        <v>1124.2557827682001</v>
      </c>
      <c r="I361" s="6">
        <f t="shared" si="87"/>
        <v>1102.4730922648</v>
      </c>
      <c r="J361" s="6">
        <f t="shared" si="87"/>
        <v>1079.4656543016001</v>
      </c>
      <c r="K361" s="6">
        <f t="shared" si="87"/>
        <v>1054.7277553632998</v>
      </c>
      <c r="L361" s="6">
        <f t="shared" si="87"/>
        <v>1028.6661257031001</v>
      </c>
      <c r="M361" s="6">
        <f t="shared" si="87"/>
        <v>1001.9245120835999</v>
      </c>
      <c r="N361" s="6">
        <f t="shared" si="87"/>
        <v>974.72590667930001</v>
      </c>
      <c r="O361" s="6">
        <f t="shared" si="87"/>
        <v>947.2174958951</v>
      </c>
      <c r="P361" s="6">
        <f t="shared" si="87"/>
        <v>919.40681565640011</v>
      </c>
      <c r="Q361" s="6">
        <f t="shared" si="87"/>
        <v>891.24116498219996</v>
      </c>
      <c r="R361" s="6">
        <f t="shared" si="87"/>
        <v>862.68763322940003</v>
      </c>
      <c r="S361" s="6">
        <f t="shared" si="87"/>
        <v>833.77610158300001</v>
      </c>
      <c r="T361" s="6">
        <f t="shared" si="87"/>
        <v>804.60283376280006</v>
      </c>
      <c r="U361" s="6">
        <f t="shared" si="87"/>
        <v>775.30694182520006</v>
      </c>
      <c r="V361" s="6">
        <f t="shared" si="87"/>
        <v>746.0384691772</v>
      </c>
      <c r="W361" s="6">
        <f t="shared" si="87"/>
        <v>716.88492822309991</v>
      </c>
      <c r="X361" s="6">
        <f t="shared" si="87"/>
        <v>688.01138736960002</v>
      </c>
      <c r="Y361" s="6">
        <f t="shared" si="87"/>
        <v>659.50575097650005</v>
      </c>
      <c r="Z361" s="6">
        <f t="shared" si="87"/>
        <v>631.43318000310001</v>
      </c>
      <c r="AA361" s="6">
        <f t="shared" si="87"/>
        <v>603.84234981550003</v>
      </c>
      <c r="AB361" s="6">
        <f t="shared" si="87"/>
        <v>576.67919652190005</v>
      </c>
      <c r="AC361" s="6">
        <f t="shared" si="87"/>
        <v>550.06371085600006</v>
      </c>
      <c r="AD361" s="6">
        <f t="shared" si="87"/>
        <v>524.05678704540003</v>
      </c>
      <c r="AE361" s="6">
        <f t="shared" si="87"/>
        <v>498.71573669129998</v>
      </c>
      <c r="AF361" s="6">
        <f t="shared" si="87"/>
        <v>474.08668942590003</v>
      </c>
      <c r="AG361" s="6">
        <f t="shared" si="87"/>
        <v>450.20279039510001</v>
      </c>
      <c r="AH361" s="6">
        <f t="shared" si="87"/>
        <v>427.08578500520002</v>
      </c>
      <c r="AI361" s="6">
        <f t="shared" si="87"/>
        <v>404.74929042680003</v>
      </c>
      <c r="AJ361" s="6">
        <f t="shared" si="87"/>
        <v>383.2020153464</v>
      </c>
      <c r="AK361" s="6">
        <f t="shared" si="87"/>
        <v>362.44981470620002</v>
      </c>
      <c r="AL361" s="6">
        <f t="shared" si="87"/>
        <v>342.49635209349998</v>
      </c>
    </row>
    <row r="362" spans="1:38" x14ac:dyDescent="0.3">
      <c r="B362" t="s">
        <v>76</v>
      </c>
      <c r="C362" s="6">
        <f t="shared" ref="C362:AL362" si="88">C339+C353+C346</f>
        <v>2242.8616504070001</v>
      </c>
      <c r="D362" s="6">
        <f t="shared" si="88"/>
        <v>2190.0971107826999</v>
      </c>
      <c r="E362" s="6">
        <f t="shared" si="88"/>
        <v>2145.5975266171995</v>
      </c>
      <c r="F362" s="6">
        <f t="shared" si="88"/>
        <v>2103.7343610910998</v>
      </c>
      <c r="G362" s="6">
        <f t="shared" si="88"/>
        <v>2061.2076408325997</v>
      </c>
      <c r="H362" s="6">
        <f t="shared" si="88"/>
        <v>2016.1864237057</v>
      </c>
      <c r="I362" s="6">
        <f t="shared" si="88"/>
        <v>1967.6140410169999</v>
      </c>
      <c r="J362" s="6">
        <f t="shared" si="88"/>
        <v>1914.5582632308001</v>
      </c>
      <c r="K362" s="6">
        <f t="shared" si="88"/>
        <v>1856.2079645871002</v>
      </c>
      <c r="L362" s="6">
        <f t="shared" si="88"/>
        <v>1793.6903883038001</v>
      </c>
      <c r="M362" s="6">
        <f t="shared" si="88"/>
        <v>1728.7064616667001</v>
      </c>
      <c r="N362" s="6">
        <f t="shared" si="88"/>
        <v>1662.3399487076001</v>
      </c>
      <c r="O362" s="6">
        <f t="shared" si="88"/>
        <v>1595.4083429982998</v>
      </c>
      <c r="P362" s="6">
        <f t="shared" si="88"/>
        <v>1528.3552985821</v>
      </c>
      <c r="Q362" s="6">
        <f t="shared" si="88"/>
        <v>1461.3980621378</v>
      </c>
      <c r="R362" s="6">
        <f t="shared" si="88"/>
        <v>1394.6956013824001</v>
      </c>
      <c r="S362" s="6">
        <f t="shared" si="88"/>
        <v>1328.4533029119</v>
      </c>
      <c r="T362" s="6">
        <f t="shared" si="88"/>
        <v>1262.9490148082</v>
      </c>
      <c r="U362" s="6">
        <f t="shared" si="88"/>
        <v>1198.5030612604</v>
      </c>
      <c r="V362" s="6">
        <f t="shared" si="88"/>
        <v>1135.4293429952002</v>
      </c>
      <c r="W362" s="6">
        <f t="shared" si="88"/>
        <v>1073.9507673889</v>
      </c>
      <c r="X362" s="6">
        <f t="shared" si="88"/>
        <v>1014.3251979502</v>
      </c>
      <c r="Y362" s="6">
        <f t="shared" si="88"/>
        <v>956.70150588640001</v>
      </c>
      <c r="Z362" s="6">
        <f t="shared" si="88"/>
        <v>901.17646059749995</v>
      </c>
      <c r="AA362" s="6">
        <f t="shared" si="88"/>
        <v>847.80715279699996</v>
      </c>
      <c r="AB362" s="6">
        <f t="shared" si="88"/>
        <v>796.55506456599994</v>
      </c>
      <c r="AC362" s="6">
        <f t="shared" si="88"/>
        <v>747.49991430529997</v>
      </c>
      <c r="AD362" s="6">
        <f t="shared" si="88"/>
        <v>700.66625661730006</v>
      </c>
      <c r="AE362" s="6">
        <f t="shared" si="88"/>
        <v>656.06604702949994</v>
      </c>
      <c r="AF362" s="6">
        <f t="shared" si="88"/>
        <v>613.69235187089998</v>
      </c>
      <c r="AG362" s="6">
        <f t="shared" si="88"/>
        <v>573.51883465499998</v>
      </c>
      <c r="AH362" s="6">
        <f t="shared" si="88"/>
        <v>535.50275725660003</v>
      </c>
      <c r="AI362" s="6">
        <f t="shared" si="88"/>
        <v>499.58945965129999</v>
      </c>
      <c r="AJ362" s="6">
        <f t="shared" si="88"/>
        <v>465.71651517060002</v>
      </c>
      <c r="AK362" s="6">
        <f t="shared" si="88"/>
        <v>433.81660305560001</v>
      </c>
      <c r="AL362" s="6">
        <f t="shared" si="88"/>
        <v>403.81903754450002</v>
      </c>
    </row>
    <row r="364" spans="1:38" x14ac:dyDescent="0.3">
      <c r="A364" s="12" t="s">
        <v>64</v>
      </c>
      <c r="B364" s="6" t="str">
        <f>[1]Hybrid!A19</f>
        <v>auto_ca_cfut_0</v>
      </c>
      <c r="C364" s="6">
        <f>[1]Hybrid!B19</f>
        <v>7095.7005250000002</v>
      </c>
      <c r="D364" s="6">
        <f>[1]Hybrid!C19</f>
        <v>7153.0182009999999</v>
      </c>
      <c r="E364" s="6">
        <f>[1]Hybrid!D19</f>
        <v>7260.7539189999998</v>
      </c>
      <c r="F364" s="6">
        <f>[1]Hybrid!E19</f>
        <v>7396.8710339999998</v>
      </c>
      <c r="G364" s="6">
        <f>[1]Hybrid!F19</f>
        <v>7547.9224800000002</v>
      </c>
      <c r="H364" s="6">
        <f>[1]Hybrid!G19</f>
        <v>7706.5527510000002</v>
      </c>
      <c r="I364" s="6">
        <f>[1]Hybrid!H19</f>
        <v>7868.1268309999996</v>
      </c>
      <c r="J364" s="6">
        <f>[1]Hybrid!I19</f>
        <v>8031.7681359999997</v>
      </c>
      <c r="K364" s="6">
        <f>[1]Hybrid!J19</f>
        <v>8197.4646069999999</v>
      </c>
      <c r="L364" s="6">
        <f>[1]Hybrid!K19</f>
        <v>8365.2894799999995</v>
      </c>
      <c r="M364" s="6">
        <f>[1]Hybrid!L19</f>
        <v>8536.7103599999991</v>
      </c>
      <c r="N364" s="6">
        <f>[1]Hybrid!M19</f>
        <v>8708.6198239999994</v>
      </c>
      <c r="O364" s="6">
        <f>[1]Hybrid!N19</f>
        <v>8879.9473710000002</v>
      </c>
      <c r="P364" s="6">
        <f>[1]Hybrid!O19</f>
        <v>9049.7501830000001</v>
      </c>
      <c r="Q364" s="6">
        <f>[1]Hybrid!P19</f>
        <v>9217.4102590000002</v>
      </c>
      <c r="R364" s="6">
        <f>[1]Hybrid!Q19</f>
        <v>9382.5106990000004</v>
      </c>
      <c r="S364" s="6">
        <f>[1]Hybrid!R19</f>
        <v>9544.6368860000002</v>
      </c>
      <c r="T364" s="6">
        <f>[1]Hybrid!S19</f>
        <v>9703.2278709999991</v>
      </c>
      <c r="U364" s="6">
        <f>[1]Hybrid!T19</f>
        <v>9857.5275820000006</v>
      </c>
      <c r="V364" s="6">
        <f>[1]Hybrid!U19</f>
        <v>10006.62773</v>
      </c>
      <c r="W364" s="6">
        <f>[1]Hybrid!V19</f>
        <v>10148.076520000001</v>
      </c>
      <c r="X364" s="6">
        <f>[1]Hybrid!W19</f>
        <v>10282.677449999999</v>
      </c>
      <c r="Y364" s="6">
        <f>[1]Hybrid!X19</f>
        <v>10409.66804</v>
      </c>
      <c r="Z364" s="6">
        <f>[1]Hybrid!Y19</f>
        <v>10528.229230000001</v>
      </c>
      <c r="AA364" s="6">
        <f>[1]Hybrid!Z19</f>
        <v>10637.571239999999</v>
      </c>
      <c r="AB364" s="6">
        <f>[1]Hybrid!AA19</f>
        <v>10732.628000000001</v>
      </c>
      <c r="AC364" s="6">
        <f>[1]Hybrid!AB19</f>
        <v>10816.307339999999</v>
      </c>
      <c r="AD364" s="6">
        <f>[1]Hybrid!AC19</f>
        <v>10888.68958</v>
      </c>
      <c r="AE364" s="6">
        <f>[1]Hybrid!AD19</f>
        <v>10949.5363</v>
      </c>
      <c r="AF364" s="6">
        <f>[1]Hybrid!AE19</f>
        <v>10998.391180000001</v>
      </c>
      <c r="AG364" s="6">
        <f>[1]Hybrid!AF19</f>
        <v>11034.77874</v>
      </c>
      <c r="AH364" s="6">
        <f>[1]Hybrid!AG19</f>
        <v>11058.351060000001</v>
      </c>
      <c r="AI364" s="6">
        <f>[1]Hybrid!AH19</f>
        <v>11068.94607</v>
      </c>
      <c r="AJ364" s="6">
        <f>[1]Hybrid!AI19</f>
        <v>11066.56494</v>
      </c>
      <c r="AK364" s="6">
        <f>[1]Hybrid!AJ19</f>
        <v>11051.30285</v>
      </c>
      <c r="AL364" s="6">
        <f>[1]Hybrid!AK19</f>
        <v>11023.274450000001</v>
      </c>
    </row>
    <row r="365" spans="1:38" x14ac:dyDescent="0.3">
      <c r="A365" t="s">
        <v>26</v>
      </c>
      <c r="B365" s="6" t="str">
        <f>[1]Hybrid!A21</f>
        <v>auto_cb_cfut_0</v>
      </c>
      <c r="C365" s="6">
        <f>[1]Hybrid!B21</f>
        <v>8251.256421</v>
      </c>
      <c r="D365" s="6">
        <f>[1]Hybrid!C21</f>
        <v>8193.6758160000009</v>
      </c>
      <c r="E365" s="6">
        <f>[1]Hybrid!D21</f>
        <v>8192.2822809999998</v>
      </c>
      <c r="F365" s="6">
        <f>[1]Hybrid!E21</f>
        <v>8225.0756820000006</v>
      </c>
      <c r="G365" s="6">
        <f>[1]Hybrid!F21</f>
        <v>8278.3937330000008</v>
      </c>
      <c r="H365" s="6">
        <f>[1]Hybrid!G21</f>
        <v>8344.4636229999996</v>
      </c>
      <c r="I365" s="6">
        <f>[1]Hybrid!H21</f>
        <v>8418.1695679999993</v>
      </c>
      <c r="J365" s="6">
        <f>[1]Hybrid!I21</f>
        <v>8498.0387190000001</v>
      </c>
      <c r="K365" s="6">
        <f>[1]Hybrid!J21</f>
        <v>8583.4868299999998</v>
      </c>
      <c r="L365" s="6">
        <f>[1]Hybrid!K21</f>
        <v>8674.0900579999998</v>
      </c>
      <c r="M365" s="6">
        <f>[1]Hybrid!L21</f>
        <v>8770.8086710000007</v>
      </c>
      <c r="N365" s="6">
        <f>[1]Hybrid!M21</f>
        <v>8870.3601999999992</v>
      </c>
      <c r="O365" s="6">
        <f>[1]Hybrid!N21</f>
        <v>8971.4037009999993</v>
      </c>
      <c r="P365" s="6">
        <f>[1]Hybrid!O21</f>
        <v>9072.7357319999992</v>
      </c>
      <c r="Q365" s="6">
        <f>[1]Hybrid!P21</f>
        <v>9173.4812600000005</v>
      </c>
      <c r="R365" s="6">
        <f>[1]Hybrid!Q21</f>
        <v>9272.9866669999992</v>
      </c>
      <c r="S365" s="6">
        <f>[1]Hybrid!R21</f>
        <v>9370.6405099999993</v>
      </c>
      <c r="T365" s="6">
        <f>[1]Hybrid!S21</f>
        <v>9465.7364400000006</v>
      </c>
      <c r="U365" s="6">
        <f>[1]Hybrid!T21</f>
        <v>9557.4239510000007</v>
      </c>
      <c r="V365" s="6">
        <f>[1]Hybrid!U21</f>
        <v>9644.7409590000007</v>
      </c>
      <c r="W365" s="6">
        <f>[1]Hybrid!V21</f>
        <v>9725.3479879999995</v>
      </c>
      <c r="X365" s="6">
        <f>[1]Hybrid!W21</f>
        <v>9799.8676130000003</v>
      </c>
      <c r="Y365" s="6">
        <f>[1]Hybrid!X21</f>
        <v>9867.5262230000008</v>
      </c>
      <c r="Z365" s="6">
        <f>[1]Hybrid!Y21</f>
        <v>9927.5148430000008</v>
      </c>
      <c r="AA365" s="6">
        <f>[1]Hybrid!Z21</f>
        <v>9979.0623890000006</v>
      </c>
      <c r="AB365" s="6">
        <f>[1]Hybrid!AA21</f>
        <v>10017.626700000001</v>
      </c>
      <c r="AC365" s="6">
        <f>[1]Hybrid!AB21</f>
        <v>10045.745419999999</v>
      </c>
      <c r="AD365" s="6">
        <f>[1]Hybrid!AC21</f>
        <v>10063.48107</v>
      </c>
      <c r="AE365" s="6">
        <f>[1]Hybrid!AD21</f>
        <v>10070.646849999999</v>
      </c>
      <c r="AF365" s="6">
        <f>[1]Hybrid!AE21</f>
        <v>10066.883889999999</v>
      </c>
      <c r="AG365" s="6">
        <f>[1]Hybrid!AF21</f>
        <v>10051.82538</v>
      </c>
      <c r="AH365" s="6">
        <f>[1]Hybrid!AG21</f>
        <v>10025.219810000001</v>
      </c>
      <c r="AI365" s="6">
        <f>[1]Hybrid!AH21</f>
        <v>9986.9823329999999</v>
      </c>
      <c r="AJ365" s="6">
        <f>[1]Hybrid!AI21</f>
        <v>9937.1794599999994</v>
      </c>
      <c r="AK365" s="6">
        <f>[1]Hybrid!AJ21</f>
        <v>9875.9742600000009</v>
      </c>
      <c r="AL365" s="6">
        <f>[1]Hybrid!AK21</f>
        <v>9803.565439</v>
      </c>
    </row>
    <row r="366" spans="1:38" x14ac:dyDescent="0.3">
      <c r="B366" s="6" t="str">
        <f>[1]Hybrid!A23</f>
        <v>auto_cc_cfut_0</v>
      </c>
      <c r="C366" s="6">
        <f>[1]Hybrid!B23</f>
        <v>6777.6024520000001</v>
      </c>
      <c r="D366" s="6">
        <f>[1]Hybrid!C23</f>
        <v>6654.348199</v>
      </c>
      <c r="E366" s="6">
        <f>[1]Hybrid!D23</f>
        <v>6575.8048419999996</v>
      </c>
      <c r="F366" s="6">
        <f>[1]Hybrid!E23</f>
        <v>6526.1319450000001</v>
      </c>
      <c r="G366" s="6">
        <f>[1]Hybrid!F23</f>
        <v>6495.3278060000002</v>
      </c>
      <c r="H366" s="6">
        <f>[1]Hybrid!G23</f>
        <v>6477.500094</v>
      </c>
      <c r="I366" s="6">
        <f>[1]Hybrid!H23</f>
        <v>6468.6308310000004</v>
      </c>
      <c r="J366" s="6">
        <f>[1]Hybrid!I23</f>
        <v>6467.2513870000002</v>
      </c>
      <c r="K366" s="6">
        <f>[1]Hybrid!J23</f>
        <v>6472.5518499999998</v>
      </c>
      <c r="L366" s="6">
        <f>[1]Hybrid!K23</f>
        <v>6483.8896610000002</v>
      </c>
      <c r="M366" s="6">
        <f>[1]Hybrid!L23</f>
        <v>6501.6137840000001</v>
      </c>
      <c r="N366" s="6">
        <f>[1]Hybrid!M23</f>
        <v>6523.238867</v>
      </c>
      <c r="O366" s="6">
        <f>[1]Hybrid!N23</f>
        <v>6547.6166970000004</v>
      </c>
      <c r="P366" s="6">
        <f>[1]Hybrid!O23</f>
        <v>6573.7068749999999</v>
      </c>
      <c r="Q366" s="6">
        <f>[1]Hybrid!P23</f>
        <v>6600.7097979999999</v>
      </c>
      <c r="R366" s="6">
        <f>[1]Hybrid!Q23</f>
        <v>6627.9999120000002</v>
      </c>
      <c r="S366" s="6">
        <f>[1]Hybrid!R23</f>
        <v>6655.0087510000003</v>
      </c>
      <c r="T366" s="6">
        <f>[1]Hybrid!S23</f>
        <v>6681.1331810000001</v>
      </c>
      <c r="U366" s="6">
        <f>[1]Hybrid!T23</f>
        <v>6705.6993819999998</v>
      </c>
      <c r="V366" s="6">
        <f>[1]Hybrid!U23</f>
        <v>6727.9796050000004</v>
      </c>
      <c r="W366" s="6">
        <f>[1]Hybrid!V23</f>
        <v>6746.3606589999999</v>
      </c>
      <c r="X366" s="6">
        <f>[1]Hybrid!W23</f>
        <v>6761.1763279999996</v>
      </c>
      <c r="Y366" s="6">
        <f>[1]Hybrid!X23</f>
        <v>6771.8633680000003</v>
      </c>
      <c r="Z366" s="6">
        <f>[1]Hybrid!Y23</f>
        <v>6777.8470299999999</v>
      </c>
      <c r="AA366" s="6">
        <f>[1]Hybrid!Z23</f>
        <v>6778.585986</v>
      </c>
      <c r="AB366" s="6">
        <f>[1]Hybrid!AA23</f>
        <v>6771.1383450000003</v>
      </c>
      <c r="AC366" s="6">
        <f>[1]Hybrid!AB23</f>
        <v>6757.1036809999996</v>
      </c>
      <c r="AD366" s="6">
        <f>[1]Hybrid!AC23</f>
        <v>6736.5176270000002</v>
      </c>
      <c r="AE366" s="6">
        <f>[1]Hybrid!AD23</f>
        <v>6709.2774520000003</v>
      </c>
      <c r="AF366" s="6">
        <f>[1]Hybrid!AE23</f>
        <v>6675.1835199999996</v>
      </c>
      <c r="AG366" s="6">
        <f>[1]Hybrid!AF23</f>
        <v>6634.0367980000001</v>
      </c>
      <c r="AH366" s="6">
        <f>[1]Hybrid!AG23</f>
        <v>6585.713522</v>
      </c>
      <c r="AI366" s="6">
        <f>[1]Hybrid!AH23</f>
        <v>6530.1978630000003</v>
      </c>
      <c r="AJ366" s="6">
        <f>[1]Hybrid!AI23</f>
        <v>6467.5747279999996</v>
      </c>
      <c r="AK366" s="6">
        <f>[1]Hybrid!AJ23</f>
        <v>6397.9982529999997</v>
      </c>
      <c r="AL366" s="6">
        <f>[1]Hybrid!AK23</f>
        <v>6321.6553979999999</v>
      </c>
    </row>
    <row r="367" spans="1:38" x14ac:dyDescent="0.3">
      <c r="B367" s="6" t="str">
        <f>[1]Hybrid!A25</f>
        <v>auto_cd_cfut_0</v>
      </c>
      <c r="C367" s="6">
        <f>[1]Hybrid!B25</f>
        <v>4159.6639080000004</v>
      </c>
      <c r="D367" s="6">
        <f>[1]Hybrid!C25</f>
        <v>4058.9251899999999</v>
      </c>
      <c r="E367" s="6">
        <f>[1]Hybrid!D25</f>
        <v>3983.9127709999998</v>
      </c>
      <c r="F367" s="6">
        <f>[1]Hybrid!E25</f>
        <v>3925.4869250000002</v>
      </c>
      <c r="G367" s="6">
        <f>[1]Hybrid!F25</f>
        <v>3877.871521</v>
      </c>
      <c r="H367" s="6">
        <f>[1]Hybrid!G25</f>
        <v>3837.615804</v>
      </c>
      <c r="I367" s="6">
        <f>[1]Hybrid!H25</f>
        <v>3802.3547279999998</v>
      </c>
      <c r="J367" s="6">
        <f>[1]Hybrid!I25</f>
        <v>3771.1581040000001</v>
      </c>
      <c r="K367" s="6">
        <f>[1]Hybrid!J25</f>
        <v>3743.505936</v>
      </c>
      <c r="L367" s="6">
        <f>[1]Hybrid!K25</f>
        <v>3719.0335129999999</v>
      </c>
      <c r="M367" s="6">
        <f>[1]Hybrid!L25</f>
        <v>3697.9377079999999</v>
      </c>
      <c r="N367" s="6">
        <f>[1]Hybrid!M25</f>
        <v>3678.9711130000001</v>
      </c>
      <c r="O367" s="6">
        <f>[1]Hybrid!N25</f>
        <v>3661.547939</v>
      </c>
      <c r="P367" s="6">
        <f>[1]Hybrid!O25</f>
        <v>3645.1056910000002</v>
      </c>
      <c r="Q367" s="6">
        <f>[1]Hybrid!P25</f>
        <v>3629.1960210000002</v>
      </c>
      <c r="R367" s="6">
        <f>[1]Hybrid!Q25</f>
        <v>3613.4748770000001</v>
      </c>
      <c r="S367" s="6">
        <f>[1]Hybrid!R25</f>
        <v>3597.6601260000002</v>
      </c>
      <c r="T367" s="6">
        <f>[1]Hybrid!S25</f>
        <v>3581.4916760000001</v>
      </c>
      <c r="U367" s="6">
        <f>[1]Hybrid!T25</f>
        <v>3564.7101240000002</v>
      </c>
      <c r="V367" s="6">
        <f>[1]Hybrid!U25</f>
        <v>3547.0561339999999</v>
      </c>
      <c r="W367" s="6">
        <f>[1]Hybrid!V25</f>
        <v>3527.8625830000001</v>
      </c>
      <c r="X367" s="6">
        <f>[1]Hybrid!W25</f>
        <v>3507.3975310000001</v>
      </c>
      <c r="Y367" s="6">
        <f>[1]Hybrid!X25</f>
        <v>3485.5203200000001</v>
      </c>
      <c r="Z367" s="6">
        <f>[1]Hybrid!Y25</f>
        <v>3462.0897300000001</v>
      </c>
      <c r="AA367" s="6">
        <f>[1]Hybrid!Z25</f>
        <v>3436.9763349999998</v>
      </c>
      <c r="AB367" s="6">
        <f>[1]Hybrid!AA25</f>
        <v>3408.9295390000002</v>
      </c>
      <c r="AC367" s="6">
        <f>[1]Hybrid!AB25</f>
        <v>3378.7866819999999</v>
      </c>
      <c r="AD367" s="6">
        <f>[1]Hybrid!AC25</f>
        <v>3346.6815409999999</v>
      </c>
      <c r="AE367" s="6">
        <f>[1]Hybrid!AD25</f>
        <v>3312.692873</v>
      </c>
      <c r="AF367" s="6">
        <f>[1]Hybrid!AE25</f>
        <v>3276.8416649999999</v>
      </c>
      <c r="AG367" s="6">
        <f>[1]Hybrid!AF25</f>
        <v>3239.1203609999998</v>
      </c>
      <c r="AH367" s="6">
        <f>[1]Hybrid!AG25</f>
        <v>3199.5220570000001</v>
      </c>
      <c r="AI367" s="6">
        <f>[1]Hybrid!AH25</f>
        <v>3158.0594980000001</v>
      </c>
      <c r="AJ367" s="6">
        <f>[1]Hybrid!AI25</f>
        <v>3114.7703350000002</v>
      </c>
      <c r="AK367" s="6">
        <f>[1]Hybrid!AJ25</f>
        <v>3069.7108109999999</v>
      </c>
      <c r="AL367" s="6">
        <f>[1]Hybrid!AK25</f>
        <v>3022.9435250000001</v>
      </c>
    </row>
    <row r="368" spans="1:38" x14ac:dyDescent="0.3">
      <c r="B368" s="6" t="str">
        <f>[1]Hybrid!A27</f>
        <v>auto_ce_cfut_0</v>
      </c>
      <c r="C368" s="6">
        <f>[1]Hybrid!B27</f>
        <v>2503.7292430000002</v>
      </c>
      <c r="D368" s="6">
        <f>[1]Hybrid!C27</f>
        <v>2445.462779</v>
      </c>
      <c r="E368" s="6">
        <f>[1]Hybrid!D27</f>
        <v>2401.8388690000002</v>
      </c>
      <c r="F368" s="6">
        <f>[1]Hybrid!E27</f>
        <v>2367.1420520000001</v>
      </c>
      <c r="G368" s="6">
        <f>[1]Hybrid!F27</f>
        <v>2337.7747199999999</v>
      </c>
      <c r="H368" s="6">
        <f>[1]Hybrid!G27</f>
        <v>2311.5776919999998</v>
      </c>
      <c r="I368" s="6">
        <f>[1]Hybrid!H27</f>
        <v>2287.072952</v>
      </c>
      <c r="J368" s="6">
        <f>[1]Hybrid!I27</f>
        <v>2263.6687019999999</v>
      </c>
      <c r="K368" s="6">
        <f>[1]Hybrid!J27</f>
        <v>2241.047497</v>
      </c>
      <c r="L368" s="6">
        <f>[1]Hybrid!K27</f>
        <v>2219.0218610000002</v>
      </c>
      <c r="M368" s="6">
        <f>[1]Hybrid!L27</f>
        <v>2197.7553849999999</v>
      </c>
      <c r="N368" s="6">
        <f>[1]Hybrid!M27</f>
        <v>2176.6089510000002</v>
      </c>
      <c r="O368" s="6">
        <f>[1]Hybrid!N27</f>
        <v>2155.3144870000001</v>
      </c>
      <c r="P368" s="6">
        <f>[1]Hybrid!O27</f>
        <v>2133.609692</v>
      </c>
      <c r="Q368" s="6">
        <f>[1]Hybrid!P27</f>
        <v>2111.297063</v>
      </c>
      <c r="R368" s="6">
        <f>[1]Hybrid!Q27</f>
        <v>2088.2460080000001</v>
      </c>
      <c r="S368" s="6">
        <f>[1]Hybrid!R27</f>
        <v>2064.3733910000001</v>
      </c>
      <c r="T368" s="6">
        <f>[1]Hybrid!S27</f>
        <v>2039.621216</v>
      </c>
      <c r="U368" s="6">
        <f>[1]Hybrid!T27</f>
        <v>2013.9411279999999</v>
      </c>
      <c r="V368" s="6">
        <f>[1]Hybrid!U27</f>
        <v>1987.2887229999999</v>
      </c>
      <c r="W368" s="6">
        <f>[1]Hybrid!V27</f>
        <v>1959.415904</v>
      </c>
      <c r="X368" s="6">
        <f>[1]Hybrid!W27</f>
        <v>1930.5362929999999</v>
      </c>
      <c r="Y368" s="6">
        <f>[1]Hybrid!X27</f>
        <v>1900.6604589999999</v>
      </c>
      <c r="Z368" s="6">
        <f>[1]Hybrid!Y27</f>
        <v>1869.7953769999999</v>
      </c>
      <c r="AA368" s="6">
        <f>[1]Hybrid!Z27</f>
        <v>1837.9485179999999</v>
      </c>
      <c r="AB368" s="6">
        <f>[1]Hybrid!AA27</f>
        <v>1804.6059909999999</v>
      </c>
      <c r="AC368" s="6">
        <f>[1]Hybrid!AB27</f>
        <v>1770.217709</v>
      </c>
      <c r="AD368" s="6">
        <f>[1]Hybrid!AC27</f>
        <v>1734.9133400000001</v>
      </c>
      <c r="AE368" s="6">
        <f>[1]Hybrid!AD27</f>
        <v>1698.8017170000001</v>
      </c>
      <c r="AF368" s="6">
        <f>[1]Hybrid!AE27</f>
        <v>1661.9631850000001</v>
      </c>
      <c r="AG368" s="6">
        <f>[1]Hybrid!AF27</f>
        <v>1624.4585139999999</v>
      </c>
      <c r="AH368" s="6">
        <f>[1]Hybrid!AG27</f>
        <v>1586.340966</v>
      </c>
      <c r="AI368" s="6">
        <f>[1]Hybrid!AH27</f>
        <v>1547.666395</v>
      </c>
      <c r="AJ368" s="6">
        <f>[1]Hybrid!AI27</f>
        <v>1508.4984300000001</v>
      </c>
      <c r="AK368" s="6">
        <f>[1]Hybrid!AJ27</f>
        <v>1468.908328</v>
      </c>
      <c r="AL368" s="6">
        <f>[1]Hybrid!AK27</f>
        <v>1428.9711380000001</v>
      </c>
    </row>
    <row r="369" spans="2:38" x14ac:dyDescent="0.3">
      <c r="B369" s="6" t="str">
        <f>[1]Hybrid!A29</f>
        <v>auto_cf_cfut_0</v>
      </c>
      <c r="C369" s="6">
        <f>[1]Hybrid!B29</f>
        <v>1243.6668460000001</v>
      </c>
      <c r="D369" s="6">
        <f>[1]Hybrid!C29</f>
        <v>1211.942501</v>
      </c>
      <c r="E369" s="6">
        <f>[1]Hybrid!D29</f>
        <v>1186.0978729999999</v>
      </c>
      <c r="F369" s="6">
        <f>[1]Hybrid!E29</f>
        <v>1163.20463</v>
      </c>
      <c r="G369" s="6">
        <f>[1]Hybrid!F29</f>
        <v>1141.4631879999999</v>
      </c>
      <c r="H369" s="6">
        <f>[1]Hybrid!G29</f>
        <v>1119.8068510000001</v>
      </c>
      <c r="I369" s="6">
        <f>[1]Hybrid!H29</f>
        <v>1097.5410959999999</v>
      </c>
      <c r="J369" s="6">
        <f>[1]Hybrid!I29</f>
        <v>1074.4211740000001</v>
      </c>
      <c r="K369" s="6">
        <f>[1]Hybrid!J29</f>
        <v>1050.377127</v>
      </c>
      <c r="L369" s="6">
        <f>[1]Hybrid!K29</f>
        <v>1025.451468</v>
      </c>
      <c r="M369" s="6">
        <f>[1]Hybrid!L29</f>
        <v>999.85695459999999</v>
      </c>
      <c r="N369" s="6">
        <f>[1]Hybrid!M29</f>
        <v>973.52905009999995</v>
      </c>
      <c r="O369" s="6">
        <f>[1]Hybrid!N29</f>
        <v>946.52720009999996</v>
      </c>
      <c r="P369" s="6">
        <f>[1]Hybrid!O29</f>
        <v>918.89906459999997</v>
      </c>
      <c r="Q369" s="6">
        <f>[1]Hybrid!P29</f>
        <v>890.71066080000003</v>
      </c>
      <c r="R369" s="6">
        <f>[1]Hybrid!Q29</f>
        <v>862.05383840000002</v>
      </c>
      <c r="S369" s="6">
        <f>[1]Hybrid!R29</f>
        <v>833.04129439999997</v>
      </c>
      <c r="T369" s="6">
        <f>[1]Hybrid!S29</f>
        <v>803.7962374</v>
      </c>
      <c r="U369" s="6">
        <f>[1]Hybrid!T29</f>
        <v>774.44198659999995</v>
      </c>
      <c r="V369" s="6">
        <f>[1]Hybrid!U29</f>
        <v>745.09471040000005</v>
      </c>
      <c r="W369" s="6">
        <f>[1]Hybrid!V29</f>
        <v>715.81115320000004</v>
      </c>
      <c r="X369" s="6">
        <f>[1]Hybrid!W29</f>
        <v>686.74185920000002</v>
      </c>
      <c r="Y369" s="6">
        <f>[1]Hybrid!X29</f>
        <v>657.97989440000003</v>
      </c>
      <c r="Z369" s="6">
        <f>[1]Hybrid!Y29</f>
        <v>629.60541190000004</v>
      </c>
      <c r="AA369" s="6">
        <f>[1]Hybrid!Z29</f>
        <v>601.6862926</v>
      </c>
      <c r="AB369" s="6">
        <f>[1]Hybrid!AA29</f>
        <v>574.18572349999999</v>
      </c>
      <c r="AC369" s="6">
        <f>[1]Hybrid!AB29</f>
        <v>547.23374290000004</v>
      </c>
      <c r="AD369" s="6">
        <f>[1]Hybrid!AC29</f>
        <v>520.89763140000002</v>
      </c>
      <c r="AE369" s="6">
        <f>[1]Hybrid!AD29</f>
        <v>495.23576639999999</v>
      </c>
      <c r="AF369" s="6">
        <f>[1]Hybrid!AE29</f>
        <v>470.29327180000001</v>
      </c>
      <c r="AG369" s="6">
        <f>[1]Hybrid!AF29</f>
        <v>446.10236220000002</v>
      </c>
      <c r="AH369" s="6">
        <f>[1]Hybrid!AG29</f>
        <v>422.68503420000002</v>
      </c>
      <c r="AI369" s="6">
        <f>[1]Hybrid!AH29</f>
        <v>400.05644289999998</v>
      </c>
      <c r="AJ369" s="6">
        <f>[1]Hybrid!AI29</f>
        <v>378.22759129999997</v>
      </c>
      <c r="AK369" s="6">
        <f>[1]Hybrid!AJ29</f>
        <v>357.20670009999998</v>
      </c>
      <c r="AL369" s="6">
        <f>[1]Hybrid!AK29</f>
        <v>336.99936509999998</v>
      </c>
    </row>
    <row r="370" spans="2:38" x14ac:dyDescent="0.3">
      <c r="B370" s="6" t="str">
        <f>[1]Hybrid!A31</f>
        <v>auto_cg_cfut_0</v>
      </c>
      <c r="C370" s="6">
        <f>[1]Hybrid!B31</f>
        <v>2239.620606</v>
      </c>
      <c r="D370" s="6">
        <f>[1]Hybrid!C31</f>
        <v>2185.8639629999998</v>
      </c>
      <c r="E370" s="6">
        <f>[1]Hybrid!D31</f>
        <v>2140.3683099999998</v>
      </c>
      <c r="F370" s="6">
        <f>[1]Hybrid!E31</f>
        <v>2097.5453309999998</v>
      </c>
      <c r="G370" s="6">
        <f>[1]Hybrid!F31</f>
        <v>2054.1150779999998</v>
      </c>
      <c r="H370" s="6">
        <f>[1]Hybrid!G31</f>
        <v>2008.25449</v>
      </c>
      <c r="I370" s="6">
        <f>[1]Hybrid!H31</f>
        <v>1958.9213110000001</v>
      </c>
      <c r="J370" s="6">
        <f>[1]Hybrid!I31</f>
        <v>1905.9541340000001</v>
      </c>
      <c r="K370" s="6">
        <f>[1]Hybrid!J31</f>
        <v>1849.570923</v>
      </c>
      <c r="L370" s="6">
        <f>[1]Hybrid!K31</f>
        <v>1790.2408789999999</v>
      </c>
      <c r="M370" s="6">
        <f>[1]Hybrid!L31</f>
        <v>1728.7162149999999</v>
      </c>
      <c r="N370" s="6">
        <f>[1]Hybrid!M31</f>
        <v>1665.3327939999999</v>
      </c>
      <c r="O370" s="6">
        <f>[1]Hybrid!N31</f>
        <v>1600.5632499999999</v>
      </c>
      <c r="P370" s="6">
        <f>[1]Hybrid!O31</f>
        <v>1534.8180729999999</v>
      </c>
      <c r="Q370" s="6">
        <f>[1]Hybrid!P31</f>
        <v>1468.4988129999999</v>
      </c>
      <c r="R370" s="6">
        <f>[1]Hybrid!Q31</f>
        <v>1402.013463</v>
      </c>
      <c r="S370" s="6">
        <f>[1]Hybrid!R31</f>
        <v>1335.7686630000001</v>
      </c>
      <c r="T370" s="6">
        <f>[1]Hybrid!S31</f>
        <v>1270.151795</v>
      </c>
      <c r="U370" s="6">
        <f>[1]Hybrid!T31</f>
        <v>1205.513438</v>
      </c>
      <c r="V370" s="6">
        <f>[1]Hybrid!U31</f>
        <v>1142.1563430000001</v>
      </c>
      <c r="W370" s="6">
        <f>[1]Hybrid!V31</f>
        <v>1080.2850780000001</v>
      </c>
      <c r="X370" s="6">
        <f>[1]Hybrid!W31</f>
        <v>1020.1567230000001</v>
      </c>
      <c r="Y370" s="6">
        <f>[1]Hybrid!X31</f>
        <v>961.94086589999995</v>
      </c>
      <c r="Z370" s="6">
        <f>[1]Hybrid!Y31</f>
        <v>905.76554169999997</v>
      </c>
      <c r="AA370" s="6">
        <f>[1]Hybrid!Z31</f>
        <v>851.72164599999996</v>
      </c>
      <c r="AB370" s="6">
        <f>[1]Hybrid!AA31</f>
        <v>799.79790360000004</v>
      </c>
      <c r="AC370" s="6">
        <f>[1]Hybrid!AB31</f>
        <v>750.09251080000001</v>
      </c>
      <c r="AD370" s="6">
        <f>[1]Hybrid!AC31</f>
        <v>702.64072280000005</v>
      </c>
      <c r="AE370" s="6">
        <f>[1]Hybrid!AD31</f>
        <v>657.45771249999996</v>
      </c>
      <c r="AF370" s="6">
        <f>[1]Hybrid!AE31</f>
        <v>614.53608529999997</v>
      </c>
      <c r="AG370" s="6">
        <f>[1]Hybrid!AF31</f>
        <v>573.84804829999996</v>
      </c>
      <c r="AH370" s="6">
        <f>[1]Hybrid!AG31</f>
        <v>535.3498707</v>
      </c>
      <c r="AI370" s="6">
        <f>[1]Hybrid!AH31</f>
        <v>498.98671919999998</v>
      </c>
      <c r="AJ370" s="6">
        <f>[1]Hybrid!AI31</f>
        <v>464.69650000000001</v>
      </c>
      <c r="AK370" s="6">
        <f>[1]Hybrid!AJ31</f>
        <v>432.41223789999998</v>
      </c>
      <c r="AL370" s="6">
        <f>[1]Hybrid!AK31</f>
        <v>402.06324319999999</v>
      </c>
    </row>
    <row r="371" spans="2:38" x14ac:dyDescent="0.3">
      <c r="B371" s="6" t="str">
        <f>[1]Hybrid!A33</f>
        <v>auto_ca_cele_0</v>
      </c>
      <c r="C371" s="6">
        <f>[1]Hybrid!B33</f>
        <v>9.8427898650000003</v>
      </c>
      <c r="D371" s="6">
        <f>[1]Hybrid!C33</f>
        <v>15.122730689999999</v>
      </c>
      <c r="E371" s="6">
        <f>[1]Hybrid!D33</f>
        <v>20.923956789999998</v>
      </c>
      <c r="F371" s="6">
        <f>[1]Hybrid!E33</f>
        <v>27.334665529999999</v>
      </c>
      <c r="G371" s="6">
        <f>[1]Hybrid!F33</f>
        <v>34.618435550000001</v>
      </c>
      <c r="H371" s="6">
        <f>[1]Hybrid!G33</f>
        <v>43.191274909999997</v>
      </c>
      <c r="I371" s="6">
        <f>[1]Hybrid!H33</f>
        <v>53.568060430000003</v>
      </c>
      <c r="J371" s="6">
        <f>[1]Hybrid!I33</f>
        <v>66.355212330000001</v>
      </c>
      <c r="K371" s="6">
        <f>[1]Hybrid!J33</f>
        <v>82.182104069999994</v>
      </c>
      <c r="L371" s="6">
        <f>[1]Hybrid!K33</f>
        <v>101.65440099999999</v>
      </c>
      <c r="M371" s="6">
        <f>[1]Hybrid!L33</f>
        <v>125.36755719999999</v>
      </c>
      <c r="N371" s="6">
        <f>[1]Hybrid!M33</f>
        <v>153.69558599999999</v>
      </c>
      <c r="O371" s="6">
        <f>[1]Hybrid!N33</f>
        <v>186.9739174</v>
      </c>
      <c r="P371" s="6">
        <f>[1]Hybrid!O33</f>
        <v>225.45209439999999</v>
      </c>
      <c r="Q371" s="6">
        <f>[1]Hybrid!P33</f>
        <v>269.32826460000001</v>
      </c>
      <c r="R371" s="6">
        <f>[1]Hybrid!Q33</f>
        <v>318.77497670000002</v>
      </c>
      <c r="S371" s="6">
        <f>[1]Hybrid!R33</f>
        <v>373.95924910000002</v>
      </c>
      <c r="T371" s="6">
        <f>[1]Hybrid!S33</f>
        <v>435.06086570000002</v>
      </c>
      <c r="U371" s="6">
        <f>[1]Hybrid!T33</f>
        <v>502.29140210000003</v>
      </c>
      <c r="V371" s="6">
        <f>[1]Hybrid!U33</f>
        <v>575.91429919999996</v>
      </c>
      <c r="W371" s="6">
        <f>[1]Hybrid!V33</f>
        <v>656.09790439999995</v>
      </c>
      <c r="X371" s="6">
        <f>[1]Hybrid!W33</f>
        <v>743.43028440000001</v>
      </c>
      <c r="Y371" s="6">
        <f>[1]Hybrid!X33</f>
        <v>838.42374150000001</v>
      </c>
      <c r="Z371" s="6">
        <f>[1]Hybrid!Y33</f>
        <v>941.65474500000005</v>
      </c>
      <c r="AA371" s="6">
        <f>[1]Hybrid!Z33</f>
        <v>1053.7562909999999</v>
      </c>
      <c r="AB371" s="6">
        <f>[1]Hybrid!AA33</f>
        <v>1174.6380879999999</v>
      </c>
      <c r="AC371" s="6">
        <f>[1]Hybrid!AB33</f>
        <v>1305.4956769999999</v>
      </c>
      <c r="AD371" s="6">
        <f>[1]Hybrid!AC33</f>
        <v>1447.0911590000001</v>
      </c>
      <c r="AE371" s="6">
        <f>[1]Hybrid!AD33</f>
        <v>1600.110134</v>
      </c>
      <c r="AF371" s="6">
        <f>[1]Hybrid!AE33</f>
        <v>1765.1448680000001</v>
      </c>
      <c r="AG371" s="6">
        <f>[1]Hybrid!AF33</f>
        <v>1942.716705</v>
      </c>
      <c r="AH371" s="6">
        <f>[1]Hybrid!AG33</f>
        <v>2133.3078310000001</v>
      </c>
      <c r="AI371" s="6">
        <f>[1]Hybrid!AH33</f>
        <v>2337.3852270000002</v>
      </c>
      <c r="AJ371" s="6">
        <f>[1]Hybrid!AI33</f>
        <v>2555.4068900000002</v>
      </c>
      <c r="AK371" s="6">
        <f>[1]Hybrid!AJ33</f>
        <v>2787.8096609999998</v>
      </c>
      <c r="AL371" s="6">
        <f>[1]Hybrid!AK33</f>
        <v>3034.9859019999999</v>
      </c>
    </row>
    <row r="372" spans="2:38" x14ac:dyDescent="0.3">
      <c r="B372" s="6" t="str">
        <f>[1]Hybrid!A35</f>
        <v>auto_cb_cele_0</v>
      </c>
      <c r="C372" s="6">
        <f>[1]Hybrid!B35</f>
        <v>11.44571741</v>
      </c>
      <c r="D372" s="6">
        <f>[1]Hybrid!C35</f>
        <v>16.432302660000001</v>
      </c>
      <c r="E372" s="6">
        <f>[1]Hybrid!D35</f>
        <v>21.927222690000001</v>
      </c>
      <c r="F372" s="6">
        <f>[1]Hybrid!E35</f>
        <v>28.027346590000001</v>
      </c>
      <c r="G372" s="6">
        <f>[1]Hybrid!F35</f>
        <v>35.001650959999999</v>
      </c>
      <c r="H372" s="6">
        <f>[1]Hybrid!G35</f>
        <v>43.26687622</v>
      </c>
      <c r="I372" s="6">
        <f>[1]Hybrid!H35</f>
        <v>53.333123659999998</v>
      </c>
      <c r="J372" s="6">
        <f>[1]Hybrid!I35</f>
        <v>65.794453809999993</v>
      </c>
      <c r="K372" s="6">
        <f>[1]Hybrid!J35</f>
        <v>81.260583240000003</v>
      </c>
      <c r="L372" s="6">
        <f>[1]Hybrid!K35</f>
        <v>100.3108967</v>
      </c>
      <c r="M372" s="6">
        <f>[1]Hybrid!L35</f>
        <v>123.5081725</v>
      </c>
      <c r="N372" s="6">
        <f>[1]Hybrid!M35</f>
        <v>151.19201000000001</v>
      </c>
      <c r="O372" s="6">
        <f>[1]Hybrid!N35</f>
        <v>183.65777080000001</v>
      </c>
      <c r="P372" s="6">
        <f>[1]Hybrid!O35</f>
        <v>221.11052419999999</v>
      </c>
      <c r="Q372" s="6">
        <f>[1]Hybrid!P35</f>
        <v>263.6996924</v>
      </c>
      <c r="R372" s="6">
        <f>[1]Hybrid!Q35</f>
        <v>311.54536839999997</v>
      </c>
      <c r="S372" s="6">
        <f>[1]Hybrid!R35</f>
        <v>364.75886869999999</v>
      </c>
      <c r="T372" s="6">
        <f>[1]Hybrid!S35</f>
        <v>423.4609997</v>
      </c>
      <c r="U372" s="6">
        <f>[1]Hybrid!T35</f>
        <v>487.80020510000003</v>
      </c>
      <c r="V372" s="6">
        <f>[1]Hybrid!U35</f>
        <v>557.97087079999994</v>
      </c>
      <c r="W372" s="6">
        <f>[1]Hybrid!V35</f>
        <v>634.07125059999998</v>
      </c>
      <c r="X372" s="6">
        <f>[1]Hybrid!W35</f>
        <v>716.59337649999998</v>
      </c>
      <c r="Y372" s="6">
        <f>[1]Hybrid!X35</f>
        <v>805.94889739999996</v>
      </c>
      <c r="Z372" s="6">
        <f>[1]Hybrid!Y35</f>
        <v>902.60044240000002</v>
      </c>
      <c r="AA372" s="6">
        <f>[1]Hybrid!Z35</f>
        <v>1007.052004</v>
      </c>
      <c r="AB372" s="6">
        <f>[1]Hybrid!AA35</f>
        <v>1119.1170279999999</v>
      </c>
      <c r="AC372" s="6">
        <f>[1]Hybrid!AB35</f>
        <v>1239.7996519999999</v>
      </c>
      <c r="AD372" s="6">
        <f>[1]Hybrid!AC35</f>
        <v>1369.686334</v>
      </c>
      <c r="AE372" s="6">
        <f>[1]Hybrid!AD35</f>
        <v>1509.281939</v>
      </c>
      <c r="AF372" s="6">
        <f>[1]Hybrid!AE35</f>
        <v>1658.992563</v>
      </c>
      <c r="AG372" s="6">
        <f>[1]Hybrid!AF35</f>
        <v>1819.144231</v>
      </c>
      <c r="AH372" s="6">
        <f>[1]Hybrid!AG35</f>
        <v>1990.0106559999999</v>
      </c>
      <c r="AI372" s="6">
        <f>[1]Hybrid!AH35</f>
        <v>2171.8350169999999</v>
      </c>
      <c r="AJ372" s="6">
        <f>[1]Hybrid!AI35</f>
        <v>2364.8369010000001</v>
      </c>
      <c r="AK372" s="6">
        <f>[1]Hybrid!AJ35</f>
        <v>2569.203606</v>
      </c>
      <c r="AL372" s="6">
        <f>[1]Hybrid!AK35</f>
        <v>2785.0717570000002</v>
      </c>
    </row>
    <row r="373" spans="2:38" x14ac:dyDescent="0.3">
      <c r="B373" s="6" t="str">
        <f>[1]Hybrid!A37</f>
        <v>auto_cc_cele_0</v>
      </c>
      <c r="C373" s="6">
        <f>[1]Hybrid!B37</f>
        <v>9.4015406210000005</v>
      </c>
      <c r="D373" s="6">
        <f>[1]Hybrid!C37</f>
        <v>12.79216619</v>
      </c>
      <c r="E373" s="6">
        <f>[1]Hybrid!D37</f>
        <v>16.53967755</v>
      </c>
      <c r="F373" s="6">
        <f>[1]Hybrid!E37</f>
        <v>20.71877834</v>
      </c>
      <c r="G373" s="6">
        <f>[1]Hybrid!F37</f>
        <v>25.52549539</v>
      </c>
      <c r="H373" s="6">
        <f>[1]Hybrid!G37</f>
        <v>31.258694510000002</v>
      </c>
      <c r="I373" s="6">
        <f>[1]Hybrid!H37</f>
        <v>38.280395839999997</v>
      </c>
      <c r="J373" s="6">
        <f>[1]Hybrid!I37</f>
        <v>47.007670419999997</v>
      </c>
      <c r="K373" s="6">
        <f>[1]Hybrid!J37</f>
        <v>57.863816810000003</v>
      </c>
      <c r="L373" s="6">
        <f>[1]Hybrid!K37</f>
        <v>71.245891189999995</v>
      </c>
      <c r="M373" s="6">
        <f>[1]Hybrid!L37</f>
        <v>87.534805359999993</v>
      </c>
      <c r="N373" s="6">
        <f>[1]Hybrid!M37</f>
        <v>106.95034099999999</v>
      </c>
      <c r="O373" s="6">
        <f>[1]Hybrid!N37</f>
        <v>129.67700930000001</v>
      </c>
      <c r="P373" s="6">
        <f>[1]Hybrid!O37</f>
        <v>155.83191350000001</v>
      </c>
      <c r="Q373" s="6">
        <f>[1]Hybrid!P37</f>
        <v>185.48976809999999</v>
      </c>
      <c r="R373" s="6">
        <f>[1]Hybrid!Q37</f>
        <v>218.7021804</v>
      </c>
      <c r="S373" s="6">
        <f>[1]Hybrid!R37</f>
        <v>255.51275749999999</v>
      </c>
      <c r="T373" s="6">
        <f>[1]Hybrid!S37</f>
        <v>295.9702193</v>
      </c>
      <c r="U373" s="6">
        <f>[1]Hybrid!T37</f>
        <v>340.14086029999999</v>
      </c>
      <c r="V373" s="6">
        <f>[1]Hybrid!U37</f>
        <v>388.12054920000003</v>
      </c>
      <c r="W373" s="6">
        <f>[1]Hybrid!V37</f>
        <v>439.93626460000002</v>
      </c>
      <c r="X373" s="6">
        <f>[1]Hybrid!W37</f>
        <v>495.88075759999998</v>
      </c>
      <c r="Y373" s="6">
        <f>[1]Hybrid!X37</f>
        <v>556.1870801</v>
      </c>
      <c r="Z373" s="6">
        <f>[1]Hybrid!Y37</f>
        <v>621.11725239999998</v>
      </c>
      <c r="AA373" s="6">
        <f>[1]Hybrid!Z37</f>
        <v>690.95433700000001</v>
      </c>
      <c r="AB373" s="6">
        <f>[1]Hybrid!AA37</f>
        <v>765.50957449999999</v>
      </c>
      <c r="AC373" s="6">
        <f>[1]Hybrid!AB37</f>
        <v>845.38706090000005</v>
      </c>
      <c r="AD373" s="6">
        <f>[1]Hybrid!AC37</f>
        <v>930.90390760000003</v>
      </c>
      <c r="AE373" s="6">
        <f>[1]Hybrid!AD37</f>
        <v>1022.317533</v>
      </c>
      <c r="AF373" s="6">
        <f>[1]Hybrid!AE37</f>
        <v>1119.8133969999999</v>
      </c>
      <c r="AG373" s="6">
        <f>[1]Hybrid!AF37</f>
        <v>1223.516347</v>
      </c>
      <c r="AH373" s="6">
        <f>[1]Hybrid!AG37</f>
        <v>1333.508317</v>
      </c>
      <c r="AI373" s="6">
        <f>[1]Hybrid!AH37</f>
        <v>1449.842881</v>
      </c>
      <c r="AJ373" s="6">
        <f>[1]Hybrid!AI37</f>
        <v>1572.550962</v>
      </c>
      <c r="AK373" s="6">
        <f>[1]Hybrid!AJ37</f>
        <v>1701.6369360000001</v>
      </c>
      <c r="AL373" s="6">
        <f>[1]Hybrid!AK37</f>
        <v>1837.0686499999999</v>
      </c>
    </row>
    <row r="374" spans="2:38" x14ac:dyDescent="0.3">
      <c r="B374" s="6" t="str">
        <f>[1]Hybrid!A39</f>
        <v>auto_cd_cele_0</v>
      </c>
      <c r="C374" s="6">
        <f>[1]Hybrid!B39</f>
        <v>5.770071272</v>
      </c>
      <c r="D374" s="6">
        <f>[1]Hybrid!C39</f>
        <v>7.6042050400000001</v>
      </c>
      <c r="E374" s="6">
        <f>[1]Hybrid!D39</f>
        <v>9.5575772790000002</v>
      </c>
      <c r="F374" s="6">
        <f>[1]Hybrid!E39</f>
        <v>11.592278690000001</v>
      </c>
      <c r="G374" s="6">
        <f>[1]Hybrid!F39</f>
        <v>13.70861287</v>
      </c>
      <c r="H374" s="6">
        <f>[1]Hybrid!G39</f>
        <v>15.93527896</v>
      </c>
      <c r="I374" s="6">
        <f>[1]Hybrid!H39</f>
        <v>18.3147515</v>
      </c>
      <c r="J374" s="6">
        <f>[1]Hybrid!I39</f>
        <v>20.904196150000001</v>
      </c>
      <c r="K374" s="6">
        <f>[1]Hybrid!J39</f>
        <v>23.761558539999999</v>
      </c>
      <c r="L374" s="6">
        <f>[1]Hybrid!K39</f>
        <v>26.93969671</v>
      </c>
      <c r="M374" s="6">
        <f>[1]Hybrid!L39</f>
        <v>30.491361919999999</v>
      </c>
      <c r="N374" s="6">
        <f>[1]Hybrid!M39</f>
        <v>34.435090279999997</v>
      </c>
      <c r="O374" s="6">
        <f>[1]Hybrid!N39</f>
        <v>38.787697180000002</v>
      </c>
      <c r="P374" s="6">
        <f>[1]Hybrid!O39</f>
        <v>43.555514959999996</v>
      </c>
      <c r="Q374" s="6">
        <f>[1]Hybrid!P39</f>
        <v>48.738932069999997</v>
      </c>
      <c r="R374" s="6">
        <f>[1]Hybrid!Q39</f>
        <v>54.3354845</v>
      </c>
      <c r="S374" s="6">
        <f>[1]Hybrid!R39</f>
        <v>60.342098759999999</v>
      </c>
      <c r="T374" s="6">
        <f>[1]Hybrid!S39</f>
        <v>66.756940200000003</v>
      </c>
      <c r="U374" s="6">
        <f>[1]Hybrid!T39</f>
        <v>73.581099019999996</v>
      </c>
      <c r="V374" s="6">
        <f>[1]Hybrid!U39</f>
        <v>80.820154180000003</v>
      </c>
      <c r="W374" s="6">
        <f>[1]Hybrid!V39</f>
        <v>88.467702160000002</v>
      </c>
      <c r="X374" s="6">
        <f>[1]Hybrid!W39</f>
        <v>96.55971529</v>
      </c>
      <c r="Y374" s="6">
        <f>[1]Hybrid!X39</f>
        <v>105.121714</v>
      </c>
      <c r="Z374" s="6">
        <f>[1]Hybrid!Y39</f>
        <v>114.1831002</v>
      </c>
      <c r="AA374" s="6">
        <f>[1]Hybrid!Z39</f>
        <v>123.7759034</v>
      </c>
      <c r="AB374" s="6">
        <f>[1]Hybrid!AA39</f>
        <v>133.86191239999999</v>
      </c>
      <c r="AC374" s="6">
        <f>[1]Hybrid!AB39</f>
        <v>144.52115789999999</v>
      </c>
      <c r="AD374" s="6">
        <f>[1]Hybrid!AC39</f>
        <v>155.79347390000001</v>
      </c>
      <c r="AE374" s="6">
        <f>[1]Hybrid!AD39</f>
        <v>167.7131219</v>
      </c>
      <c r="AF374" s="6">
        <f>[1]Hybrid!AE39</f>
        <v>180.30656049999999</v>
      </c>
      <c r="AG374" s="6">
        <f>[1]Hybrid!AF39</f>
        <v>193.59329</v>
      </c>
      <c r="AH374" s="6">
        <f>[1]Hybrid!AG39</f>
        <v>207.5877835</v>
      </c>
      <c r="AI374" s="6">
        <f>[1]Hybrid!AH39</f>
        <v>222.30144899999999</v>
      </c>
      <c r="AJ374" s="6">
        <f>[1]Hybrid!AI39</f>
        <v>237.74381840000001</v>
      </c>
      <c r="AK374" s="6">
        <f>[1]Hybrid!AJ39</f>
        <v>253.92260089999999</v>
      </c>
      <c r="AL374" s="6">
        <f>[1]Hybrid!AK39</f>
        <v>270.8427208</v>
      </c>
    </row>
    <row r="375" spans="2:38" x14ac:dyDescent="0.3">
      <c r="B375" s="6" t="str">
        <f>[1]Hybrid!A41</f>
        <v>auto_ce_cele_0</v>
      </c>
      <c r="C375" s="6">
        <f>[1]Hybrid!B41</f>
        <v>3.4730440960000002</v>
      </c>
      <c r="D375" s="6">
        <f>[1]Hybrid!C41</f>
        <v>4.5990918919999997</v>
      </c>
      <c r="E375" s="6">
        <f>[1]Hybrid!D41</f>
        <v>5.7905501199999998</v>
      </c>
      <c r="F375" s="6">
        <f>[1]Hybrid!E41</f>
        <v>7.022525559</v>
      </c>
      <c r="G375" s="6">
        <f>[1]Hybrid!F41</f>
        <v>8.2934131929999992</v>
      </c>
      <c r="H375" s="6">
        <f>[1]Hybrid!G41</f>
        <v>9.6180844230000009</v>
      </c>
      <c r="I375" s="6">
        <f>[1]Hybrid!H41</f>
        <v>11.01860993</v>
      </c>
      <c r="J375" s="6">
        <f>[1]Hybrid!I41</f>
        <v>12.52457501</v>
      </c>
      <c r="K375" s="6">
        <f>[1]Hybrid!J41</f>
        <v>14.16481063</v>
      </c>
      <c r="L375" s="6">
        <f>[1]Hybrid!K41</f>
        <v>15.964278569999999</v>
      </c>
      <c r="M375" s="6">
        <f>[1]Hybrid!L41</f>
        <v>17.947206560000001</v>
      </c>
      <c r="N375" s="6">
        <f>[1]Hybrid!M41</f>
        <v>20.117862639999998</v>
      </c>
      <c r="O375" s="6">
        <f>[1]Hybrid!N41</f>
        <v>22.479006510000001</v>
      </c>
      <c r="P375" s="6">
        <f>[1]Hybrid!O41</f>
        <v>25.02699612</v>
      </c>
      <c r="Q375" s="6">
        <f>[1]Hybrid!P41</f>
        <v>27.75459455</v>
      </c>
      <c r="R375" s="6">
        <f>[1]Hybrid!Q41</f>
        <v>30.652966339999999</v>
      </c>
      <c r="S375" s="6">
        <f>[1]Hybrid!R41</f>
        <v>33.713119419999998</v>
      </c>
      <c r="T375" s="6">
        <f>[1]Hybrid!S41</f>
        <v>36.926976330000002</v>
      </c>
      <c r="U375" s="6">
        <f>[1]Hybrid!T41</f>
        <v>40.288179229999997</v>
      </c>
      <c r="V375" s="6">
        <f>[1]Hybrid!U41</f>
        <v>43.792683799999999</v>
      </c>
      <c r="W375" s="6">
        <f>[1]Hybrid!V41</f>
        <v>47.43024561</v>
      </c>
      <c r="X375" s="6">
        <f>[1]Hybrid!W41</f>
        <v>51.211271949999997</v>
      </c>
      <c r="Y375" s="6">
        <f>[1]Hybrid!X41</f>
        <v>55.1404462</v>
      </c>
      <c r="Z375" s="6">
        <f>[1]Hybrid!Y41</f>
        <v>59.223583830000003</v>
      </c>
      <c r="AA375" s="6">
        <f>[1]Hybrid!Z41</f>
        <v>63.466780790000001</v>
      </c>
      <c r="AB375" s="6">
        <f>[1]Hybrid!AA41</f>
        <v>67.842560270000007</v>
      </c>
      <c r="AC375" s="6">
        <f>[1]Hybrid!AB41</f>
        <v>72.377400210000005</v>
      </c>
      <c r="AD375" s="6">
        <f>[1]Hybrid!AC41</f>
        <v>77.078759700000006</v>
      </c>
      <c r="AE375" s="6">
        <f>[1]Hybrid!AD41</f>
        <v>81.951384020000006</v>
      </c>
      <c r="AF375" s="6">
        <f>[1]Hybrid!AE41</f>
        <v>86.996044010000006</v>
      </c>
      <c r="AG375" s="6">
        <f>[1]Hybrid!AF41</f>
        <v>92.209657329999999</v>
      </c>
      <c r="AH375" s="6">
        <f>[1]Hybrid!AG41</f>
        <v>97.586034740000002</v>
      </c>
      <c r="AI375" s="6">
        <f>[1]Hybrid!AH41</f>
        <v>103.1168454</v>
      </c>
      <c r="AJ375" s="6">
        <f>[1]Hybrid!AI41</f>
        <v>108.7924197</v>
      </c>
      <c r="AK375" s="6">
        <f>[1]Hybrid!AJ41</f>
        <v>114.60214360000001</v>
      </c>
      <c r="AL375" s="6">
        <f>[1]Hybrid!AK41</f>
        <v>120.53439760000001</v>
      </c>
    </row>
    <row r="376" spans="2:38" x14ac:dyDescent="0.3">
      <c r="B376" s="6" t="str">
        <f>[1]Hybrid!A43</f>
        <v>auto_cf_cele_0</v>
      </c>
      <c r="C376" s="6">
        <f>[1]Hybrid!B43</f>
        <v>1.7251505170000001</v>
      </c>
      <c r="D376" s="6">
        <f>[1]Hybrid!C43</f>
        <v>2.2577676759999998</v>
      </c>
      <c r="E376" s="6">
        <f>[1]Hybrid!D43</f>
        <v>2.8037054800000001</v>
      </c>
      <c r="F376" s="6">
        <f>[1]Hybrid!E43</f>
        <v>3.343135873</v>
      </c>
      <c r="G376" s="6">
        <f>[1]Hybrid!F43</f>
        <v>3.8662815290000001</v>
      </c>
      <c r="H376" s="6">
        <f>[1]Hybrid!G43</f>
        <v>4.3697525260000001</v>
      </c>
      <c r="I376" s="6">
        <f>[1]Hybrid!H43</f>
        <v>4.8528222230000004</v>
      </c>
      <c r="J376" s="6">
        <f>[1]Hybrid!I43</f>
        <v>5.3179055709999998</v>
      </c>
      <c r="K376" s="6">
        <f>[1]Hybrid!J43</f>
        <v>5.7677515240000004</v>
      </c>
      <c r="L376" s="6">
        <f>[1]Hybrid!K43</f>
        <v>6.2048265039999997</v>
      </c>
      <c r="M376" s="6">
        <f>[1]Hybrid!L43</f>
        <v>6.632266682</v>
      </c>
      <c r="N376" s="6">
        <f>[1]Hybrid!M43</f>
        <v>7.0487511730000003</v>
      </c>
      <c r="O376" s="6">
        <f>[1]Hybrid!N43</f>
        <v>7.4533647580000002</v>
      </c>
      <c r="P376" s="6">
        <f>[1]Hybrid!O43</f>
        <v>7.8442435960000001</v>
      </c>
      <c r="Q376" s="6">
        <f>[1]Hybrid!P43</f>
        <v>8.2192776330000008</v>
      </c>
      <c r="R376" s="6">
        <f>[1]Hybrid!Q43</f>
        <v>8.5765496989999992</v>
      </c>
      <c r="S376" s="6">
        <f>[1]Hybrid!R43</f>
        <v>8.9145699779999994</v>
      </c>
      <c r="T376" s="6">
        <f>[1]Hybrid!S43</f>
        <v>9.232355665</v>
      </c>
      <c r="U376" s="6">
        <f>[1]Hybrid!T43</f>
        <v>9.5294080660000002</v>
      </c>
      <c r="V376" s="6">
        <f>[1]Hybrid!U43</f>
        <v>9.8056397430000004</v>
      </c>
      <c r="W376" s="6">
        <f>[1]Hybrid!V43</f>
        <v>10.060188930000001</v>
      </c>
      <c r="X376" s="6">
        <f>[1]Hybrid!W43</f>
        <v>10.29466057</v>
      </c>
      <c r="Y376" s="6">
        <f>[1]Hybrid!X43</f>
        <v>10.509860400000001</v>
      </c>
      <c r="Z376" s="6">
        <f>[1]Hybrid!Y43</f>
        <v>10.70659603</v>
      </c>
      <c r="AA376" s="6">
        <f>[1]Hybrid!Z43</f>
        <v>10.88556359</v>
      </c>
      <c r="AB376" s="6">
        <f>[1]Hybrid!AA43</f>
        <v>11.04439563</v>
      </c>
      <c r="AC376" s="6">
        <f>[1]Hybrid!AB43</f>
        <v>11.18554031</v>
      </c>
      <c r="AD376" s="6">
        <f>[1]Hybrid!AC43</f>
        <v>11.309849379999999</v>
      </c>
      <c r="AE376" s="6">
        <f>[1]Hybrid!AD43</f>
        <v>11.418085809999999</v>
      </c>
      <c r="AF376" s="6">
        <f>[1]Hybrid!AE43</f>
        <v>11.51075502</v>
      </c>
      <c r="AG376" s="6">
        <f>[1]Hybrid!AF43</f>
        <v>11.5880721</v>
      </c>
      <c r="AH376" s="6">
        <f>[1]Hybrid!AG43</f>
        <v>11.65002133</v>
      </c>
      <c r="AI376" s="6">
        <f>[1]Hybrid!AH43</f>
        <v>11.69646968</v>
      </c>
      <c r="AJ376" s="6">
        <f>[1]Hybrid!AI43</f>
        <v>11.72728467</v>
      </c>
      <c r="AK376" s="6">
        <f>[1]Hybrid!AJ43</f>
        <v>11.742416950000001</v>
      </c>
      <c r="AL376" s="6">
        <f>[1]Hybrid!AK43</f>
        <v>11.74193118</v>
      </c>
    </row>
    <row r="377" spans="2:38" x14ac:dyDescent="0.3">
      <c r="B377" s="6" t="str">
        <f>[1]Hybrid!A45</f>
        <v>auto_cg_cele_0</v>
      </c>
      <c r="C377" s="6">
        <f>[1]Hybrid!B45</f>
        <v>3.1066862139999998</v>
      </c>
      <c r="D377" s="6">
        <f>[1]Hybrid!C45</f>
        <v>4.0970608879999997</v>
      </c>
      <c r="E377" s="6">
        <f>[1]Hybrid!D45</f>
        <v>5.0911665020000001</v>
      </c>
      <c r="F377" s="6">
        <f>[1]Hybrid!E45</f>
        <v>6.0492123649999998</v>
      </c>
      <c r="G377" s="6">
        <f>[1]Hybrid!F45</f>
        <v>6.9514189579999996</v>
      </c>
      <c r="H377" s="6">
        <f>[1]Hybrid!G45</f>
        <v>7.7900346809999998</v>
      </c>
      <c r="I377" s="6">
        <f>[1]Hybrid!H45</f>
        <v>8.5623813609999999</v>
      </c>
      <c r="J377" s="6">
        <f>[1]Hybrid!I45</f>
        <v>9.2715105009999998</v>
      </c>
      <c r="K377" s="6">
        <f>[1]Hybrid!J45</f>
        <v>9.9214338170000005</v>
      </c>
      <c r="L377" s="6">
        <f>[1]Hybrid!K45</f>
        <v>10.51629266</v>
      </c>
      <c r="M377" s="6">
        <f>[1]Hybrid!L45</f>
        <v>11.061664629999999</v>
      </c>
      <c r="N377" s="6">
        <f>[1]Hybrid!M45</f>
        <v>11.55696408</v>
      </c>
      <c r="O377" s="6">
        <f>[1]Hybrid!N45</f>
        <v>12.00234341</v>
      </c>
      <c r="P377" s="6">
        <f>[1]Hybrid!O45</f>
        <v>12.39680465</v>
      </c>
      <c r="Q377" s="6">
        <f>[1]Hybrid!P45</f>
        <v>12.739366889999999</v>
      </c>
      <c r="R377" s="6">
        <f>[1]Hybrid!Q45</f>
        <v>13.0297518</v>
      </c>
      <c r="S377" s="6">
        <f>[1]Hybrid!R45</f>
        <v>13.26865744</v>
      </c>
      <c r="T377" s="6">
        <f>[1]Hybrid!S45</f>
        <v>13.457725229999999</v>
      </c>
      <c r="U377" s="6">
        <f>[1]Hybrid!T45</f>
        <v>13.599329989999999</v>
      </c>
      <c r="V377" s="6">
        <f>[1]Hybrid!U45</f>
        <v>13.69631833</v>
      </c>
      <c r="W377" s="6">
        <f>[1]Hybrid!V45</f>
        <v>13.750728759999999</v>
      </c>
      <c r="X377" s="6">
        <f>[1]Hybrid!W45</f>
        <v>13.766794089999999</v>
      </c>
      <c r="Y377" s="6">
        <f>[1]Hybrid!X45</f>
        <v>13.74782394</v>
      </c>
      <c r="Z377" s="6">
        <f>[1]Hybrid!Y45</f>
        <v>13.69693082</v>
      </c>
      <c r="AA377" s="6">
        <f>[1]Hybrid!Z45</f>
        <v>13.616925670000001</v>
      </c>
      <c r="AB377" s="6">
        <f>[1]Hybrid!AA45</f>
        <v>13.508146930000001</v>
      </c>
      <c r="AC377" s="6">
        <f>[1]Hybrid!AB45</f>
        <v>13.374458690000001</v>
      </c>
      <c r="AD377" s="6">
        <f>[1]Hybrid!AC45</f>
        <v>13.21845538</v>
      </c>
      <c r="AE377" s="6">
        <f>[1]Hybrid!AD45</f>
        <v>13.042604770000001</v>
      </c>
      <c r="AF377" s="6">
        <f>[1]Hybrid!AE45</f>
        <v>12.849087190000001</v>
      </c>
      <c r="AG377" s="6">
        <f>[1]Hybrid!AF45</f>
        <v>12.63976338</v>
      </c>
      <c r="AH377" s="6">
        <f>[1]Hybrid!AG45</f>
        <v>12.41623268</v>
      </c>
      <c r="AI377" s="6">
        <f>[1]Hybrid!AH45</f>
        <v>12.179936509999999</v>
      </c>
      <c r="AJ377" s="6">
        <f>[1]Hybrid!AI45</f>
        <v>11.932257269999999</v>
      </c>
      <c r="AK377" s="6">
        <f>[1]Hybrid!AJ45</f>
        <v>11.67457916</v>
      </c>
      <c r="AL377" s="6">
        <f>[1]Hybrid!AK45</f>
        <v>11.40830265</v>
      </c>
    </row>
    <row r="378" spans="2:38" x14ac:dyDescent="0.3">
      <c r="B378" s="6" t="str">
        <f>[1]Hybrid!A47</f>
        <v>auto_ca_cgas_0</v>
      </c>
      <c r="C378" s="6">
        <f>[1]Hybrid!B47</f>
        <v>0.42568169729999999</v>
      </c>
      <c r="D378" s="6">
        <f>[1]Hybrid!C47</f>
        <v>0.45028232359999998</v>
      </c>
      <c r="E378" s="6">
        <f>[1]Hybrid!D47</f>
        <v>0.47795581329999998</v>
      </c>
      <c r="F378" s="6">
        <f>[1]Hybrid!E47</f>
        <v>0.50698841610000001</v>
      </c>
      <c r="G378" s="6">
        <f>[1]Hybrid!F47</f>
        <v>0.5363510386</v>
      </c>
      <c r="H378" s="6">
        <f>[1]Hybrid!G47</f>
        <v>0.56550274909999998</v>
      </c>
      <c r="I378" s="6">
        <f>[1]Hybrid!H47</f>
        <v>0.59411688620000003</v>
      </c>
      <c r="J378" s="6">
        <f>[1]Hybrid!I47</f>
        <v>0.62217265170000002</v>
      </c>
      <c r="K378" s="6">
        <f>[1]Hybrid!J47</f>
        <v>0.64971744600000003</v>
      </c>
      <c r="L378" s="6">
        <f>[1]Hybrid!K47</f>
        <v>0.67680279350000006</v>
      </c>
      <c r="M378" s="6">
        <f>[1]Hybrid!L47</f>
        <v>0.70359461990000005</v>
      </c>
      <c r="N378" s="6">
        <f>[1]Hybrid!M47</f>
        <v>0.72987372250000004</v>
      </c>
      <c r="O378" s="6">
        <f>[1]Hybrid!N47</f>
        <v>0.75558540709999999</v>
      </c>
      <c r="P378" s="6">
        <f>[1]Hybrid!O47</f>
        <v>0.78068212560000005</v>
      </c>
      <c r="Q378" s="6">
        <f>[1]Hybrid!P47</f>
        <v>0.80514042620000004</v>
      </c>
      <c r="R378" s="6">
        <f>[1]Hybrid!Q47</f>
        <v>0.82895117689999998</v>
      </c>
      <c r="S378" s="6">
        <f>[1]Hybrid!R47</f>
        <v>0.85210328280000003</v>
      </c>
      <c r="T378" s="6">
        <f>[1]Hybrid!S47</f>
        <v>0.8745713383</v>
      </c>
      <c r="U378" s="6">
        <f>[1]Hybrid!T47</f>
        <v>0.89631146530000005</v>
      </c>
      <c r="V378" s="6">
        <f>[1]Hybrid!U47</f>
        <v>0.91726479819999995</v>
      </c>
      <c r="W378" s="6">
        <f>[1]Hybrid!V47</f>
        <v>0.93724053929999995</v>
      </c>
      <c r="X378" s="6">
        <f>[1]Hybrid!W47</f>
        <v>0.95631726770000003</v>
      </c>
      <c r="Y378" s="6">
        <f>[1]Hybrid!X47</f>
        <v>0.97444234549999997</v>
      </c>
      <c r="Z378" s="6">
        <f>[1]Hybrid!Y47</f>
        <v>0.99155668450000001</v>
      </c>
      <c r="AA378" s="6">
        <f>[1]Hybrid!Z47</f>
        <v>1.0076019970000001</v>
      </c>
      <c r="AB378" s="6">
        <f>[1]Hybrid!AA47</f>
        <v>1.0221592180000001</v>
      </c>
      <c r="AC378" s="6">
        <f>[1]Hybrid!AB47</f>
        <v>1.0354722489999999</v>
      </c>
      <c r="AD378" s="6">
        <f>[1]Hybrid!AC47</f>
        <v>1.0475512149999999</v>
      </c>
      <c r="AE378" s="6">
        <f>[1]Hybrid!AD47</f>
        <v>1.058379357</v>
      </c>
      <c r="AF378" s="6">
        <f>[1]Hybrid!AE47</f>
        <v>1.0679210990000001</v>
      </c>
      <c r="AG378" s="6">
        <f>[1]Hybrid!AF47</f>
        <v>1.0761384940000001</v>
      </c>
      <c r="AH378" s="6">
        <f>[1]Hybrid!AG47</f>
        <v>1.0830035760000001</v>
      </c>
      <c r="AI378" s="6">
        <f>[1]Hybrid!AH47</f>
        <v>1.0885034659999999</v>
      </c>
      <c r="AJ378" s="6">
        <f>[1]Hybrid!AI47</f>
        <v>1.0926387420000001</v>
      </c>
      <c r="AK378" s="6">
        <f>[1]Hybrid!AJ47</f>
        <v>1.095417855</v>
      </c>
      <c r="AL378" s="6">
        <f>[1]Hybrid!AK47</f>
        <v>1.096850981</v>
      </c>
    </row>
    <row r="379" spans="2:38" x14ac:dyDescent="0.3">
      <c r="B379" s="6" t="str">
        <f>[1]Hybrid!A49</f>
        <v>auto_cb_cgas_0</v>
      </c>
      <c r="C379" s="6">
        <f>[1]Hybrid!B49</f>
        <v>0.49500522540000003</v>
      </c>
      <c r="D379" s="6">
        <f>[1]Hybrid!C49</f>
        <v>0.51317522950000005</v>
      </c>
      <c r="E379" s="6">
        <f>[1]Hybrid!D49</f>
        <v>0.53455348820000004</v>
      </c>
      <c r="F379" s="6">
        <f>[1]Hybrid!E49</f>
        <v>0.55745857369999996</v>
      </c>
      <c r="G379" s="6">
        <f>[1]Hybrid!F49</f>
        <v>0.580870785</v>
      </c>
      <c r="H379" s="6">
        <f>[1]Hybrid!G49</f>
        <v>0.60423961159999995</v>
      </c>
      <c r="I379" s="6">
        <f>[1]Hybrid!H49</f>
        <v>0.62722135219999997</v>
      </c>
      <c r="J379" s="6">
        <f>[1]Hybrid!I49</f>
        <v>0.64976638740000003</v>
      </c>
      <c r="K379" s="6">
        <f>[1]Hybrid!J49</f>
        <v>0.6718932219</v>
      </c>
      <c r="L379" s="6">
        <f>[1]Hybrid!K49</f>
        <v>0.69362886030000004</v>
      </c>
      <c r="M379" s="6">
        <f>[1]Hybrid!L49</f>
        <v>0.71511212850000005</v>
      </c>
      <c r="N379" s="6">
        <f>[1]Hybrid!M49</f>
        <v>0.73612301749999998</v>
      </c>
      <c r="O379" s="6">
        <f>[1]Hybrid!N49</f>
        <v>0.75659691809999996</v>
      </c>
      <c r="P379" s="6">
        <f>[1]Hybrid!O49</f>
        <v>0.77647604380000002</v>
      </c>
      <c r="Q379" s="6">
        <f>[1]Hybrid!P49</f>
        <v>0.79572594210000003</v>
      </c>
      <c r="R379" s="6">
        <f>[1]Hybrid!Q49</f>
        <v>0.81432719409999998</v>
      </c>
      <c r="S379" s="6">
        <f>[1]Hybrid!R49</f>
        <v>0.83226086470000005</v>
      </c>
      <c r="T379" s="6">
        <f>[1]Hybrid!S49</f>
        <v>0.84949723129999999</v>
      </c>
      <c r="U379" s="6">
        <f>[1]Hybrid!T49</f>
        <v>0.86599170059999997</v>
      </c>
      <c r="V379" s="6">
        <f>[1]Hybrid!U49</f>
        <v>0.88168753170000003</v>
      </c>
      <c r="W379" s="6">
        <f>[1]Hybrid!V49</f>
        <v>0.89640952419999997</v>
      </c>
      <c r="X379" s="6">
        <f>[1]Hybrid!W49</f>
        <v>0.91022697770000005</v>
      </c>
      <c r="Y379" s="6">
        <f>[1]Hybrid!X49</f>
        <v>0.92309163540000005</v>
      </c>
      <c r="Z379" s="6">
        <f>[1]Hybrid!Y49</f>
        <v>0.93495022859999999</v>
      </c>
      <c r="AA379" s="6">
        <f>[1]Hybrid!Z49</f>
        <v>0.9457507114</v>
      </c>
      <c r="AB379" s="6">
        <f>[1]Hybrid!AA49</f>
        <v>0.95512243789999995</v>
      </c>
      <c r="AC379" s="6">
        <f>[1]Hybrid!AB49</f>
        <v>0.96328301409999995</v>
      </c>
      <c r="AD379" s="6">
        <f>[1]Hybrid!AC49</f>
        <v>0.97024509699999995</v>
      </c>
      <c r="AE379" s="6">
        <f>[1]Hybrid!AD49</f>
        <v>0.97600001719999996</v>
      </c>
      <c r="AF379" s="6">
        <f>[1]Hybrid!AE49</f>
        <v>0.98052396909999995</v>
      </c>
      <c r="AG379" s="6">
        <f>[1]Hybrid!AF49</f>
        <v>0.98379162200000003</v>
      </c>
      <c r="AH379" s="6">
        <f>[1]Hybrid!AG49</f>
        <v>0.98578651620000002</v>
      </c>
      <c r="AI379" s="6">
        <f>[1]Hybrid!AH49</f>
        <v>0.98650557979999998</v>
      </c>
      <c r="AJ379" s="6">
        <f>[1]Hybrid!AI49</f>
        <v>0.98595809130000001</v>
      </c>
      <c r="AK379" s="6">
        <f>[1]Hybrid!AJ49</f>
        <v>0.98416129789999995</v>
      </c>
      <c r="AL379" s="6">
        <f>[1]Hybrid!AK49</f>
        <v>0.98113542809999998</v>
      </c>
    </row>
    <row r="380" spans="2:38" x14ac:dyDescent="0.3">
      <c r="B380" s="6" t="str">
        <f>[1]Hybrid!A51</f>
        <v>auto_cc_cgas_0</v>
      </c>
      <c r="C380" s="6">
        <f>[1]Hybrid!B51</f>
        <v>0.40659851759999999</v>
      </c>
      <c r="D380" s="6">
        <f>[1]Hybrid!C51</f>
        <v>0.41514214710000003</v>
      </c>
      <c r="E380" s="6">
        <f>[1]Hybrid!D51</f>
        <v>0.42610219230000002</v>
      </c>
      <c r="F380" s="6">
        <f>[1]Hybrid!E51</f>
        <v>0.43828916839999998</v>
      </c>
      <c r="G380" s="6">
        <f>[1]Hybrid!F51</f>
        <v>0.45097488920000001</v>
      </c>
      <c r="H380" s="6">
        <f>[1]Hybrid!G51</f>
        <v>0.46375652299999998</v>
      </c>
      <c r="I380" s="6">
        <f>[1]Hybrid!H51</f>
        <v>0.47637535850000001</v>
      </c>
      <c r="J380" s="6">
        <f>[1]Hybrid!I51</f>
        <v>0.48877675840000001</v>
      </c>
      <c r="K380" s="6">
        <f>[1]Hybrid!J51</f>
        <v>0.50095523769999994</v>
      </c>
      <c r="L380" s="6">
        <f>[1]Hybrid!K51</f>
        <v>0.51291441930000004</v>
      </c>
      <c r="M380" s="6">
        <f>[1]Hybrid!L51</f>
        <v>0.52473679699999998</v>
      </c>
      <c r="N380" s="6">
        <f>[1]Hybrid!M51</f>
        <v>0.53626387669999998</v>
      </c>
      <c r="O380" s="6">
        <f>[1]Hybrid!N51</f>
        <v>0.54744315590000003</v>
      </c>
      <c r="P380" s="6">
        <f>[1]Hybrid!O51</f>
        <v>0.55822696409999994</v>
      </c>
      <c r="Q380" s="6">
        <f>[1]Hybrid!P51</f>
        <v>0.5685840378</v>
      </c>
      <c r="R380" s="6">
        <f>[1]Hybrid!Q51</f>
        <v>0.57849446189999998</v>
      </c>
      <c r="S380" s="6">
        <f>[1]Hybrid!R51</f>
        <v>0.58794027209999999</v>
      </c>
      <c r="T380" s="6">
        <f>[1]Hybrid!S51</f>
        <v>0.59689799799999999</v>
      </c>
      <c r="U380" s="6">
        <f>[1]Hybrid!T51</f>
        <v>0.6053357546</v>
      </c>
      <c r="V380" s="6">
        <f>[1]Hybrid!U51</f>
        <v>0.61321471350000001</v>
      </c>
      <c r="W380" s="6">
        <f>[1]Hybrid!V51</f>
        <v>0.62041932850000003</v>
      </c>
      <c r="X380" s="6">
        <f>[1]Hybrid!W51</f>
        <v>0.62699429559999997</v>
      </c>
      <c r="Y380" s="6">
        <f>[1]Hybrid!X51</f>
        <v>0.63290833909999999</v>
      </c>
      <c r="Z380" s="6">
        <f>[1]Hybrid!Y51</f>
        <v>0.63812748939999997</v>
      </c>
      <c r="AA380" s="6">
        <f>[1]Hybrid!Z51</f>
        <v>0.64261895000000002</v>
      </c>
      <c r="AB380" s="6">
        <f>[1]Hybrid!AA51</f>
        <v>0.64614676130000004</v>
      </c>
      <c r="AC380" s="6">
        <f>[1]Hybrid!AB51</f>
        <v>0.64885201069999998</v>
      </c>
      <c r="AD380" s="6">
        <f>[1]Hybrid!AC51</f>
        <v>0.65074603710000001</v>
      </c>
      <c r="AE380" s="6">
        <f>[1]Hybrid!AD51</f>
        <v>0.65182807949999999</v>
      </c>
      <c r="AF380" s="6">
        <f>[1]Hybrid!AE51</f>
        <v>0.65208861210000002</v>
      </c>
      <c r="AG380" s="6">
        <f>[1]Hybrid!AF51</f>
        <v>0.6515174494</v>
      </c>
      <c r="AH380" s="6">
        <f>[1]Hybrid!AG51</f>
        <v>0.65011006500000001</v>
      </c>
      <c r="AI380" s="6">
        <f>[1]Hybrid!AH51</f>
        <v>0.64787047399999997</v>
      </c>
      <c r="AJ380" s="6">
        <f>[1]Hybrid!AI51</f>
        <v>0.6448107998</v>
      </c>
      <c r="AK380" s="6">
        <f>[1]Hybrid!AJ51</f>
        <v>0.64094877949999995</v>
      </c>
      <c r="AL380" s="6">
        <f>[1]Hybrid!AK51</f>
        <v>0.63630480659999999</v>
      </c>
    </row>
    <row r="381" spans="2:38" x14ac:dyDescent="0.3">
      <c r="B381" s="6" t="str">
        <f>[1]Hybrid!A53</f>
        <v>auto_cd_cgas_0</v>
      </c>
      <c r="C381" s="6">
        <f>[1]Hybrid!B53</f>
        <v>0.2495444651</v>
      </c>
      <c r="D381" s="6">
        <f>[1]Hybrid!C53</f>
        <v>0.25267991270000001</v>
      </c>
      <c r="E381" s="6">
        <f>[1]Hybrid!D53</f>
        <v>0.25712207510000001</v>
      </c>
      <c r="F381" s="6">
        <f>[1]Hybrid!E53</f>
        <v>0.26218963909999998</v>
      </c>
      <c r="G381" s="6">
        <f>[1]Hybrid!F53</f>
        <v>0.2674666986</v>
      </c>
      <c r="H381" s="6">
        <f>[1]Hybrid!G53</f>
        <v>0.27272093549999998</v>
      </c>
      <c r="I381" s="6">
        <f>[1]Hybrid!H53</f>
        <v>0.27780320279999998</v>
      </c>
      <c r="J381" s="6">
        <f>[1]Hybrid!I53</f>
        <v>0.28267875640000001</v>
      </c>
      <c r="K381" s="6">
        <f>[1]Hybrid!J53</f>
        <v>0.28734340339999997</v>
      </c>
      <c r="L381" s="6">
        <f>[1]Hybrid!K53</f>
        <v>0.29180285839999998</v>
      </c>
      <c r="M381" s="6">
        <f>[1]Hybrid!L53</f>
        <v>0.2961072743</v>
      </c>
      <c r="N381" s="6">
        <f>[1]Hybrid!M53</f>
        <v>0.30018362059999998</v>
      </c>
      <c r="O381" s="6">
        <f>[1]Hybrid!N53</f>
        <v>0.3040108594</v>
      </c>
      <c r="P381" s="6">
        <f>[1]Hybrid!O53</f>
        <v>0.3075673948</v>
      </c>
      <c r="Q381" s="6">
        <f>[1]Hybrid!P53</f>
        <v>0.31083889260000003</v>
      </c>
      <c r="R381" s="6">
        <f>[1]Hybrid!Q53</f>
        <v>0.31381774550000002</v>
      </c>
      <c r="S381" s="6">
        <f>[1]Hybrid!R53</f>
        <v>0.31649977419999997</v>
      </c>
      <c r="T381" s="6">
        <f>[1]Hybrid!S53</f>
        <v>0.31888106729999999</v>
      </c>
      <c r="U381" s="6">
        <f>[1]Hybrid!T53</f>
        <v>0.32095631600000002</v>
      </c>
      <c r="V381" s="6">
        <f>[1]Hybrid!U53</f>
        <v>0.32271885239999998</v>
      </c>
      <c r="W381" s="6">
        <f>[1]Hybrid!V53</f>
        <v>0.32412647150000001</v>
      </c>
      <c r="X381" s="6">
        <f>[1]Hybrid!W53</f>
        <v>0.32521381059999999</v>
      </c>
      <c r="Y381" s="6">
        <f>[1]Hybrid!X53</f>
        <v>0.32598075710000002</v>
      </c>
      <c r="Z381" s="6">
        <f>[1]Hybrid!Y53</f>
        <v>0.32642623929999998</v>
      </c>
      <c r="AA381" s="6">
        <f>[1]Hybrid!Z53</f>
        <v>0.32654931970000001</v>
      </c>
      <c r="AB381" s="6">
        <f>[1]Hybrid!AA53</f>
        <v>0.32625408280000001</v>
      </c>
      <c r="AC381" s="6">
        <f>[1]Hybrid!AB53</f>
        <v>0.32561784110000003</v>
      </c>
      <c r="AD381" s="6">
        <f>[1]Hybrid!AC53</f>
        <v>0.32465944260000001</v>
      </c>
      <c r="AE381" s="6">
        <f>[1]Hybrid!AD53</f>
        <v>0.32339280920000002</v>
      </c>
      <c r="AF381" s="6">
        <f>[1]Hybrid!AE53</f>
        <v>0.32182665490000001</v>
      </c>
      <c r="AG381" s="6">
        <f>[1]Hybrid!AF53</f>
        <v>0.31996688779999999</v>
      </c>
      <c r="AH381" s="6">
        <f>[1]Hybrid!AG53</f>
        <v>0.31781905220000001</v>
      </c>
      <c r="AI381" s="6">
        <f>[1]Hybrid!AH53</f>
        <v>0.31538995199999997</v>
      </c>
      <c r="AJ381" s="6">
        <f>[1]Hybrid!AI53</f>
        <v>0.31268814090000002</v>
      </c>
      <c r="AK381" s="6">
        <f>[1]Hybrid!AJ53</f>
        <v>0.30972344639999999</v>
      </c>
      <c r="AL381" s="6">
        <f>[1]Hybrid!AK53</f>
        <v>0.30650598350000002</v>
      </c>
    </row>
    <row r="382" spans="2:38" x14ac:dyDescent="0.3">
      <c r="B382" s="6" t="str">
        <f>[1]Hybrid!A55</f>
        <v>auto_ce_cgas_0</v>
      </c>
      <c r="C382" s="6">
        <f>[1]Hybrid!B55</f>
        <v>0.15020246549999999</v>
      </c>
      <c r="D382" s="6">
        <f>[1]Hybrid!C55</f>
        <v>0.15228872060000001</v>
      </c>
      <c r="E382" s="6">
        <f>[1]Hybrid!D55</f>
        <v>0.1550937845</v>
      </c>
      <c r="F382" s="6">
        <f>[1]Hybrid!E55</f>
        <v>0.1581883006</v>
      </c>
      <c r="G382" s="6">
        <f>[1]Hybrid!F55</f>
        <v>0.1613103032</v>
      </c>
      <c r="H382" s="6">
        <f>[1]Hybrid!G55</f>
        <v>0.16431152269999999</v>
      </c>
      <c r="I382" s="6">
        <f>[1]Hybrid!H55</f>
        <v>0.1670960652</v>
      </c>
      <c r="J382" s="6">
        <f>[1]Hybrid!I55</f>
        <v>0.16963881959999999</v>
      </c>
      <c r="K382" s="6">
        <f>[1]Hybrid!J55</f>
        <v>0.17193542340000001</v>
      </c>
      <c r="L382" s="6">
        <f>[1]Hybrid!K55</f>
        <v>0.17399063040000001</v>
      </c>
      <c r="M382" s="6">
        <f>[1]Hybrid!L55</f>
        <v>0.1758371651</v>
      </c>
      <c r="N382" s="6">
        <f>[1]Hybrid!M55</f>
        <v>0.17743933980000001</v>
      </c>
      <c r="O382" s="6">
        <f>[1]Hybrid!N55</f>
        <v>0.17879069089999999</v>
      </c>
      <c r="P382" s="6">
        <f>[1]Hybrid!O55</f>
        <v>0.17988389090000001</v>
      </c>
      <c r="Q382" s="6">
        <f>[1]Hybrid!P55</f>
        <v>0.18071579900000001</v>
      </c>
      <c r="R382" s="6">
        <f>[1]Hybrid!Q55</f>
        <v>0.181287801</v>
      </c>
      <c r="S382" s="6">
        <f>[1]Hybrid!R55</f>
        <v>0.18160432900000001</v>
      </c>
      <c r="T382" s="6">
        <f>[1]Hybrid!S55</f>
        <v>0.18167110659999999</v>
      </c>
      <c r="U382" s="6">
        <f>[1]Hybrid!T55</f>
        <v>0.1814939304</v>
      </c>
      <c r="V382" s="6">
        <f>[1]Hybrid!U55</f>
        <v>0.18107825050000001</v>
      </c>
      <c r="W382" s="6">
        <f>[1]Hybrid!V55</f>
        <v>0.18041177380000001</v>
      </c>
      <c r="X382" s="6">
        <f>[1]Hybrid!W55</f>
        <v>0.1795201428</v>
      </c>
      <c r="Y382" s="6">
        <f>[1]Hybrid!X55</f>
        <v>0.17841173539999999</v>
      </c>
      <c r="Z382" s="6">
        <f>[1]Hybrid!Y55</f>
        <v>0.1770941728</v>
      </c>
      <c r="AA382" s="6">
        <f>[1]Hybrid!Z55</f>
        <v>0.1755746876</v>
      </c>
      <c r="AB382" s="6">
        <f>[1]Hybrid!AA55</f>
        <v>0.17381630849999999</v>
      </c>
      <c r="AC382" s="6">
        <f>[1]Hybrid!AB55</f>
        <v>0.1718619857</v>
      </c>
      <c r="AD382" s="6">
        <f>[1]Hybrid!AC55</f>
        <v>0.1697280223</v>
      </c>
      <c r="AE382" s="6">
        <f>[1]Hybrid!AD55</f>
        <v>0.16742879969999999</v>
      </c>
      <c r="AF382" s="6">
        <f>[1]Hybrid!AE55</f>
        <v>0.1649761189</v>
      </c>
      <c r="AG382" s="6">
        <f>[1]Hybrid!AF55</f>
        <v>0.16237992400000001</v>
      </c>
      <c r="AH382" s="6">
        <f>[1]Hybrid!AG55</f>
        <v>0.15964930399999999</v>
      </c>
      <c r="AI382" s="6">
        <f>[1]Hybrid!AH55</f>
        <v>0.15679334610000001</v>
      </c>
      <c r="AJ382" s="6">
        <f>[1]Hybrid!AI55</f>
        <v>0.1538215875</v>
      </c>
      <c r="AK382" s="6">
        <f>[1]Hybrid!AJ55</f>
        <v>0.1507440266</v>
      </c>
      <c r="AL382" s="6">
        <f>[1]Hybrid!AK55</f>
        <v>0.1475708211</v>
      </c>
    </row>
    <row r="383" spans="2:38" x14ac:dyDescent="0.3">
      <c r="B383" s="6" t="str">
        <f>[1]Hybrid!A57</f>
        <v>auto_cf_cgas_0</v>
      </c>
      <c r="C383" s="6">
        <f>[1]Hybrid!B57</f>
        <v>7.4609436000000001E-2</v>
      </c>
      <c r="D383" s="6">
        <f>[1]Hybrid!C57</f>
        <v>7.5412023199999997E-2</v>
      </c>
      <c r="E383" s="6">
        <f>[1]Hybrid!D57</f>
        <v>7.6451001500000004E-2</v>
      </c>
      <c r="F383" s="6">
        <f>[1]Hybrid!E57</f>
        <v>7.7504025000000004E-2</v>
      </c>
      <c r="G383" s="6">
        <f>[1]Hybrid!F57</f>
        <v>7.8438326399999994E-2</v>
      </c>
      <c r="H383" s="6">
        <f>[1]Hybrid!G57</f>
        <v>7.91792422E-2</v>
      </c>
      <c r="I383" s="6">
        <f>[1]Hybrid!H57</f>
        <v>7.9681067699999997E-2</v>
      </c>
      <c r="J383" s="6">
        <f>[1]Hybrid!I57</f>
        <v>7.99342002E-2</v>
      </c>
      <c r="K383" s="6">
        <f>[1]Hybrid!J57</f>
        <v>7.9942721199999997E-2</v>
      </c>
      <c r="L383" s="6">
        <f>[1]Hybrid!K57</f>
        <v>7.9719448999999998E-2</v>
      </c>
      <c r="M383" s="6">
        <f>[1]Hybrid!L57</f>
        <v>7.9290980699999999E-2</v>
      </c>
      <c r="N383" s="6">
        <f>[1]Hybrid!M57</f>
        <v>7.8660346399999997E-2</v>
      </c>
      <c r="O383" s="6">
        <f>[1]Hybrid!N57</f>
        <v>7.7840380700000003E-2</v>
      </c>
      <c r="P383" s="6">
        <f>[1]Hybrid!O57</f>
        <v>7.6842514900000006E-2</v>
      </c>
      <c r="Q383" s="6">
        <f>[1]Hybrid!P57</f>
        <v>7.5679319100000003E-2</v>
      </c>
      <c r="R383" s="6">
        <f>[1]Hybrid!Q57</f>
        <v>7.4365180000000003E-2</v>
      </c>
      <c r="S383" s="6">
        <f>[1]Hybrid!R57</f>
        <v>7.2915937E-2</v>
      </c>
      <c r="T383" s="6">
        <f>[1]Hybrid!S57</f>
        <v>7.13480591E-2</v>
      </c>
      <c r="U383" s="6">
        <f>[1]Hybrid!T57</f>
        <v>6.96778012E-2</v>
      </c>
      <c r="V383" s="6">
        <f>[1]Hybrid!U57</f>
        <v>6.7920607600000002E-2</v>
      </c>
      <c r="W383" s="6">
        <f>[1]Hybrid!V57</f>
        <v>6.6086724400000005E-2</v>
      </c>
      <c r="X383" s="6">
        <f>[1]Hybrid!W57</f>
        <v>6.4194008699999999E-2</v>
      </c>
      <c r="Y383" s="6">
        <f>[1]Hybrid!X57</f>
        <v>6.2255356999999997E-2</v>
      </c>
      <c r="Z383" s="6">
        <f>[1]Hybrid!Y57</f>
        <v>6.0282383199999998E-2</v>
      </c>
      <c r="AA383" s="6">
        <f>[1]Hybrid!Z57</f>
        <v>5.82854685E-2</v>
      </c>
      <c r="AB383" s="6">
        <f>[1]Hybrid!AA57</f>
        <v>5.6265993600000001E-2</v>
      </c>
      <c r="AC383" s="6">
        <f>[1]Hybrid!AB57</f>
        <v>5.4239029600000002E-2</v>
      </c>
      <c r="AD383" s="6">
        <f>[1]Hybrid!AC57</f>
        <v>5.2214283399999999E-2</v>
      </c>
      <c r="AE383" s="6">
        <f>[1]Hybrid!AD57</f>
        <v>5.0200547099999999E-2</v>
      </c>
      <c r="AF383" s="6">
        <f>[1]Hybrid!AE57</f>
        <v>4.82053317E-2</v>
      </c>
      <c r="AG383" s="6">
        <f>[1]Hybrid!AF57</f>
        <v>4.6234889199999997E-2</v>
      </c>
      <c r="AH383" s="6">
        <f>[1]Hybrid!AG57</f>
        <v>4.4294432799999998E-2</v>
      </c>
      <c r="AI383" s="6">
        <f>[1]Hybrid!AH57</f>
        <v>4.2388419199999999E-2</v>
      </c>
      <c r="AJ383" s="6">
        <f>[1]Hybrid!AI57</f>
        <v>4.0520776699999997E-2</v>
      </c>
      <c r="AK383" s="6">
        <f>[1]Hybrid!AJ57</f>
        <v>3.8695026399999999E-2</v>
      </c>
      <c r="AL383" s="6">
        <f>[1]Hybrid!AK57</f>
        <v>3.6914302199999999E-2</v>
      </c>
    </row>
    <row r="384" spans="2:38" x14ac:dyDescent="0.3">
      <c r="B384" s="6" t="str">
        <f>[1]Hybrid!A59</f>
        <v>auto_cg_cgas_0</v>
      </c>
      <c r="C384" s="6">
        <f>[1]Hybrid!B59</f>
        <v>0.13435819299999999</v>
      </c>
      <c r="D384" s="6">
        <f>[1]Hybrid!C59</f>
        <v>0.13608689469999999</v>
      </c>
      <c r="E384" s="6">
        <f>[1]Hybrid!D59</f>
        <v>0.13805011519999999</v>
      </c>
      <c r="F384" s="6">
        <f>[1]Hybrid!E59</f>
        <v>0.13981772610000001</v>
      </c>
      <c r="G384" s="6">
        <f>[1]Hybrid!F59</f>
        <v>0.1411438746</v>
      </c>
      <c r="H384" s="6">
        <f>[1]Hybrid!G59</f>
        <v>0.14189902469999999</v>
      </c>
      <c r="I384" s="6">
        <f>[1]Hybrid!H59</f>
        <v>0.1420154139</v>
      </c>
      <c r="J384" s="6">
        <f>[1]Hybrid!I59</f>
        <v>0.14149670149999999</v>
      </c>
      <c r="K384" s="6">
        <f>[1]Hybrid!J59</f>
        <v>0.1403771342</v>
      </c>
      <c r="L384" s="6">
        <f>[1]Hybrid!K59</f>
        <v>0.1387113502</v>
      </c>
      <c r="M384" s="6">
        <f>[1]Hybrid!L59</f>
        <v>0.13657741640000001</v>
      </c>
      <c r="N384" s="6">
        <f>[1]Hybrid!M59</f>
        <v>0.13401846009999999</v>
      </c>
      <c r="O384" s="6">
        <f>[1]Hybrid!N59</f>
        <v>0.13108859959999999</v>
      </c>
      <c r="P384" s="6">
        <f>[1]Hybrid!O59</f>
        <v>0.12783643989999999</v>
      </c>
      <c r="Q384" s="6">
        <f>[1]Hybrid!P59</f>
        <v>0.12430948059999999</v>
      </c>
      <c r="R384" s="6">
        <f>[1]Hybrid!Q59</f>
        <v>0.1205554195</v>
      </c>
      <c r="S384" s="6">
        <f>[1]Hybrid!R59</f>
        <v>0.1166215268</v>
      </c>
      <c r="T384" s="6">
        <f>[1]Hybrid!S59</f>
        <v>0.11255315890000001</v>
      </c>
      <c r="U384" s="6">
        <f>[1]Hybrid!T59</f>
        <v>0.1083922784</v>
      </c>
      <c r="V384" s="6">
        <f>[1]Hybrid!U59</f>
        <v>0.10417649900000001</v>
      </c>
      <c r="W384" s="6">
        <f>[1]Hybrid!V59</f>
        <v>9.9934814600000005E-2</v>
      </c>
      <c r="X384" s="6">
        <f>[1]Hybrid!W59</f>
        <v>9.57001559E-2</v>
      </c>
      <c r="Y384" s="6">
        <f>[1]Hybrid!X59</f>
        <v>9.1497725700000004E-2</v>
      </c>
      <c r="Z384" s="6">
        <f>[1]Hybrid!Y59</f>
        <v>8.7348769800000003E-2</v>
      </c>
      <c r="AA384" s="6">
        <f>[1]Hybrid!Z59</f>
        <v>8.3270922900000002E-2</v>
      </c>
      <c r="AB384" s="6">
        <f>[1]Hybrid!AA59</f>
        <v>7.9272728299999998E-2</v>
      </c>
      <c r="AC384" s="6">
        <f>[1]Hybrid!AB59</f>
        <v>7.5371318500000006E-2</v>
      </c>
      <c r="AD384" s="6">
        <f>[1]Hybrid!AC59</f>
        <v>7.1578109400000006E-2</v>
      </c>
      <c r="AE384" s="6">
        <f>[1]Hybrid!AD59</f>
        <v>6.7902346899999994E-2</v>
      </c>
      <c r="AF384" s="6">
        <f>[1]Hybrid!AE59</f>
        <v>6.4350902200000004E-2</v>
      </c>
      <c r="AG384" s="6">
        <f>[1]Hybrid!AF59</f>
        <v>6.0928455100000001E-2</v>
      </c>
      <c r="AH384" s="6">
        <f>[1]Hybrid!AG59</f>
        <v>5.7637872E-2</v>
      </c>
      <c r="AI384" s="6">
        <f>[1]Hybrid!AH59</f>
        <v>5.4480621899999998E-2</v>
      </c>
      <c r="AJ384" s="6">
        <f>[1]Hybrid!AI59</f>
        <v>5.1457113300000003E-2</v>
      </c>
      <c r="AK384" s="6">
        <f>[1]Hybrid!AJ59</f>
        <v>4.8566913099999998E-2</v>
      </c>
      <c r="AL384" s="6">
        <f>[1]Hybrid!AK59</f>
        <v>4.5808865400000003E-2</v>
      </c>
    </row>
    <row r="386" spans="1:38" x14ac:dyDescent="0.3">
      <c r="A386" s="12" t="s">
        <v>64</v>
      </c>
      <c r="B386" t="s">
        <v>83</v>
      </c>
      <c r="C386" s="2">
        <v>42005</v>
      </c>
      <c r="D386" s="2">
        <v>42370</v>
      </c>
      <c r="E386" s="2">
        <v>42736</v>
      </c>
      <c r="F386" s="2">
        <v>43101</v>
      </c>
      <c r="G386" s="2">
        <v>43466</v>
      </c>
      <c r="H386" s="2">
        <v>43831</v>
      </c>
      <c r="I386" s="2">
        <v>44197</v>
      </c>
      <c r="J386" s="2">
        <v>44562</v>
      </c>
      <c r="K386" s="2">
        <v>44927</v>
      </c>
      <c r="L386" s="2">
        <v>45292</v>
      </c>
      <c r="M386" s="2">
        <v>45658</v>
      </c>
      <c r="N386" s="2">
        <v>46023</v>
      </c>
      <c r="O386" s="2">
        <v>46388</v>
      </c>
      <c r="P386" s="2">
        <v>46753</v>
      </c>
      <c r="Q386" s="2">
        <v>47119</v>
      </c>
      <c r="R386" s="2">
        <v>47484</v>
      </c>
      <c r="S386" s="2">
        <v>47849</v>
      </c>
      <c r="T386" s="2">
        <v>48214</v>
      </c>
      <c r="U386" s="2">
        <v>48580</v>
      </c>
      <c r="V386" s="2">
        <v>48945</v>
      </c>
      <c r="W386" s="2">
        <v>49310</v>
      </c>
      <c r="X386" s="2">
        <v>49675</v>
      </c>
      <c r="Y386" s="2">
        <v>50041</v>
      </c>
      <c r="Z386" s="2">
        <v>50406</v>
      </c>
      <c r="AA386" s="2">
        <v>50771</v>
      </c>
      <c r="AB386" s="2">
        <v>51136</v>
      </c>
      <c r="AC386" s="2">
        <v>51502</v>
      </c>
      <c r="AD386" s="2">
        <v>51867</v>
      </c>
      <c r="AE386" s="2">
        <v>52232</v>
      </c>
      <c r="AF386" s="2">
        <v>52597</v>
      </c>
      <c r="AG386" s="2">
        <v>52963</v>
      </c>
      <c r="AH386" s="2">
        <v>53328</v>
      </c>
      <c r="AI386" s="2">
        <v>53693</v>
      </c>
      <c r="AJ386" s="2">
        <v>54058</v>
      </c>
      <c r="AK386" s="2">
        <v>54424</v>
      </c>
      <c r="AL386" s="2">
        <v>54789</v>
      </c>
    </row>
    <row r="387" spans="1:38" x14ac:dyDescent="0.3">
      <c r="A387" t="s">
        <v>26</v>
      </c>
      <c r="B387" t="s">
        <v>70</v>
      </c>
      <c r="C387" s="6">
        <f>C364+C371+C378</f>
        <v>7105.9689965623002</v>
      </c>
      <c r="D387" s="6">
        <f t="shared" ref="D387:AL387" si="89">D364+D371+D378</f>
        <v>7168.5912140135997</v>
      </c>
      <c r="E387" s="6">
        <f t="shared" si="89"/>
        <v>7282.1558316032997</v>
      </c>
      <c r="F387" s="6">
        <f t="shared" si="89"/>
        <v>7424.7126879461002</v>
      </c>
      <c r="G387" s="6">
        <f t="shared" si="89"/>
        <v>7583.0772665885997</v>
      </c>
      <c r="H387" s="6">
        <f t="shared" si="89"/>
        <v>7750.3095286591006</v>
      </c>
      <c r="I387" s="6">
        <f t="shared" si="89"/>
        <v>7922.2890083161992</v>
      </c>
      <c r="J387" s="6">
        <f t="shared" si="89"/>
        <v>8098.745520981699</v>
      </c>
      <c r="K387" s="6">
        <f t="shared" si="89"/>
        <v>8280.2964285159997</v>
      </c>
      <c r="L387" s="6">
        <f t="shared" si="89"/>
        <v>8467.6206837934988</v>
      </c>
      <c r="M387" s="6">
        <f t="shared" si="89"/>
        <v>8662.7815118198978</v>
      </c>
      <c r="N387" s="6">
        <f t="shared" si="89"/>
        <v>8863.0452837224984</v>
      </c>
      <c r="O387" s="6">
        <f t="shared" si="89"/>
        <v>9067.6768738071005</v>
      </c>
      <c r="P387" s="6">
        <f t="shared" si="89"/>
        <v>9275.9829595255997</v>
      </c>
      <c r="Q387" s="6">
        <f t="shared" si="89"/>
        <v>9487.5436640262014</v>
      </c>
      <c r="R387" s="6">
        <f t="shared" si="89"/>
        <v>9702.1146268769007</v>
      </c>
      <c r="S387" s="6">
        <f t="shared" si="89"/>
        <v>9919.4482383827999</v>
      </c>
      <c r="T387" s="6">
        <f t="shared" si="89"/>
        <v>10139.163308038298</v>
      </c>
      <c r="U387" s="6">
        <f t="shared" si="89"/>
        <v>10360.7152955653</v>
      </c>
      <c r="V387" s="6">
        <f t="shared" si="89"/>
        <v>10583.459293998199</v>
      </c>
      <c r="W387" s="6">
        <f t="shared" si="89"/>
        <v>10805.111664939301</v>
      </c>
      <c r="X387" s="6">
        <f t="shared" si="89"/>
        <v>11027.064051667699</v>
      </c>
      <c r="Y387" s="6">
        <f t="shared" si="89"/>
        <v>11249.066223845501</v>
      </c>
      <c r="Z387" s="6">
        <f t="shared" si="89"/>
        <v>11470.8755316845</v>
      </c>
      <c r="AA387" s="6">
        <f t="shared" si="89"/>
        <v>11692.335132996999</v>
      </c>
      <c r="AB387" s="6">
        <f t="shared" si="89"/>
        <v>11908.288247218001</v>
      </c>
      <c r="AC387" s="6">
        <f t="shared" si="89"/>
        <v>12122.838489248998</v>
      </c>
      <c r="AD387" s="6">
        <f t="shared" si="89"/>
        <v>12336.828290215</v>
      </c>
      <c r="AE387" s="6">
        <f t="shared" si="89"/>
        <v>12550.704813357001</v>
      </c>
      <c r="AF387" s="6">
        <f t="shared" si="89"/>
        <v>12764.603969099</v>
      </c>
      <c r="AG387" s="6">
        <f t="shared" si="89"/>
        <v>12978.571583494</v>
      </c>
      <c r="AH387" s="6">
        <f t="shared" si="89"/>
        <v>13192.741894576</v>
      </c>
      <c r="AI387" s="6">
        <f t="shared" si="89"/>
        <v>13407.419800466001</v>
      </c>
      <c r="AJ387" s="6">
        <f t="shared" si="89"/>
        <v>13623.064468742001</v>
      </c>
      <c r="AK387" s="6">
        <f t="shared" si="89"/>
        <v>13840.207928854999</v>
      </c>
      <c r="AL387" s="6">
        <f t="shared" si="89"/>
        <v>14059.357202981002</v>
      </c>
    </row>
    <row r="388" spans="1:38" x14ac:dyDescent="0.3">
      <c r="B388" t="s">
        <v>71</v>
      </c>
      <c r="C388" s="6">
        <f t="shared" ref="C388:AL388" si="90">C365+C372+C379</f>
        <v>8263.1971436354015</v>
      </c>
      <c r="D388" s="6">
        <f t="shared" si="90"/>
        <v>8210.6212938895005</v>
      </c>
      <c r="E388" s="6">
        <f t="shared" si="90"/>
        <v>8214.744057178199</v>
      </c>
      <c r="F388" s="6">
        <f t="shared" si="90"/>
        <v>8253.660487163701</v>
      </c>
      <c r="G388" s="6">
        <f t="shared" si="90"/>
        <v>8313.9762547449991</v>
      </c>
      <c r="H388" s="6">
        <f t="shared" si="90"/>
        <v>8388.3347388315997</v>
      </c>
      <c r="I388" s="6">
        <f t="shared" si="90"/>
        <v>8472.1299130122006</v>
      </c>
      <c r="J388" s="6">
        <f t="shared" si="90"/>
        <v>8564.4829391973999</v>
      </c>
      <c r="K388" s="6">
        <f t="shared" si="90"/>
        <v>8665.4193064618994</v>
      </c>
      <c r="L388" s="6">
        <f t="shared" si="90"/>
        <v>8775.0945835602997</v>
      </c>
      <c r="M388" s="6">
        <f t="shared" si="90"/>
        <v>8895.0319556285012</v>
      </c>
      <c r="N388" s="6">
        <f t="shared" si="90"/>
        <v>9022.2883330174991</v>
      </c>
      <c r="O388" s="6">
        <f t="shared" si="90"/>
        <v>9155.8180687180993</v>
      </c>
      <c r="P388" s="6">
        <f t="shared" si="90"/>
        <v>9294.622732243799</v>
      </c>
      <c r="Q388" s="6">
        <f t="shared" si="90"/>
        <v>9437.9766783421001</v>
      </c>
      <c r="R388" s="6">
        <f t="shared" si="90"/>
        <v>9585.3463625941004</v>
      </c>
      <c r="S388" s="6">
        <f t="shared" si="90"/>
        <v>9736.2316395646994</v>
      </c>
      <c r="T388" s="6">
        <f t="shared" si="90"/>
        <v>9890.0469369313014</v>
      </c>
      <c r="U388" s="6">
        <f t="shared" si="90"/>
        <v>10046.090147800602</v>
      </c>
      <c r="V388" s="6">
        <f t="shared" si="90"/>
        <v>10203.593517331701</v>
      </c>
      <c r="W388" s="6">
        <f t="shared" si="90"/>
        <v>10360.3156481242</v>
      </c>
      <c r="X388" s="6">
        <f t="shared" si="90"/>
        <v>10517.371216477699</v>
      </c>
      <c r="Y388" s="6">
        <f t="shared" si="90"/>
        <v>10674.398212035401</v>
      </c>
      <c r="Z388" s="6">
        <f t="shared" si="90"/>
        <v>10831.050235628602</v>
      </c>
      <c r="AA388" s="6">
        <f t="shared" si="90"/>
        <v>10987.0601437114</v>
      </c>
      <c r="AB388" s="6">
        <f t="shared" si="90"/>
        <v>11137.698850437901</v>
      </c>
      <c r="AC388" s="6">
        <f t="shared" si="90"/>
        <v>11286.508355014099</v>
      </c>
      <c r="AD388" s="6">
        <f t="shared" si="90"/>
        <v>11434.137649097</v>
      </c>
      <c r="AE388" s="6">
        <f t="shared" si="90"/>
        <v>11580.904789017199</v>
      </c>
      <c r="AF388" s="6">
        <f t="shared" si="90"/>
        <v>11726.856976969098</v>
      </c>
      <c r="AG388" s="6">
        <f t="shared" si="90"/>
        <v>11871.953402622001</v>
      </c>
      <c r="AH388" s="6">
        <f t="shared" si="90"/>
        <v>12016.2162525162</v>
      </c>
      <c r="AI388" s="6">
        <f t="shared" si="90"/>
        <v>12159.803855579799</v>
      </c>
      <c r="AJ388" s="6">
        <f t="shared" si="90"/>
        <v>12303.0023190913</v>
      </c>
      <c r="AK388" s="6">
        <f t="shared" si="90"/>
        <v>12446.162027297902</v>
      </c>
      <c r="AL388" s="6">
        <f t="shared" si="90"/>
        <v>12589.618331428099</v>
      </c>
    </row>
    <row r="389" spans="1:38" x14ac:dyDescent="0.3">
      <c r="B389" t="s">
        <v>72</v>
      </c>
      <c r="C389" s="6">
        <f t="shared" ref="C389:AL389" si="91">C366+C373+C380</f>
        <v>6787.4105911386005</v>
      </c>
      <c r="D389" s="6">
        <f t="shared" si="91"/>
        <v>6667.5555073370997</v>
      </c>
      <c r="E389" s="6">
        <f t="shared" si="91"/>
        <v>6592.7706217423001</v>
      </c>
      <c r="F389" s="6">
        <f t="shared" si="91"/>
        <v>6547.2890125084004</v>
      </c>
      <c r="G389" s="6">
        <f t="shared" si="91"/>
        <v>6521.3042762792002</v>
      </c>
      <c r="H389" s="6">
        <f t="shared" si="91"/>
        <v>6509.2225450329997</v>
      </c>
      <c r="I389" s="6">
        <f t="shared" si="91"/>
        <v>6507.3876021985006</v>
      </c>
      <c r="J389" s="6">
        <f t="shared" si="91"/>
        <v>6514.7478341783999</v>
      </c>
      <c r="K389" s="6">
        <f t="shared" si="91"/>
        <v>6530.9166220476991</v>
      </c>
      <c r="L389" s="6">
        <f t="shared" si="91"/>
        <v>6555.6484666093002</v>
      </c>
      <c r="M389" s="6">
        <f t="shared" si="91"/>
        <v>6589.6733261569998</v>
      </c>
      <c r="N389" s="6">
        <f t="shared" si="91"/>
        <v>6630.7254718766999</v>
      </c>
      <c r="O389" s="6">
        <f t="shared" si="91"/>
        <v>6677.8411494559004</v>
      </c>
      <c r="P389" s="6">
        <f t="shared" si="91"/>
        <v>6730.0970154641</v>
      </c>
      <c r="Q389" s="6">
        <f t="shared" si="91"/>
        <v>6786.7681501378001</v>
      </c>
      <c r="R389" s="6">
        <f t="shared" si="91"/>
        <v>6847.2805868618998</v>
      </c>
      <c r="S389" s="6">
        <f t="shared" si="91"/>
        <v>6911.1094487721002</v>
      </c>
      <c r="T389" s="6">
        <f t="shared" si="91"/>
        <v>6977.7002982980002</v>
      </c>
      <c r="U389" s="6">
        <f t="shared" si="91"/>
        <v>7046.4455780545995</v>
      </c>
      <c r="V389" s="6">
        <f t="shared" si="91"/>
        <v>7116.7133689135007</v>
      </c>
      <c r="W389" s="6">
        <f t="shared" si="91"/>
        <v>7186.9173429285001</v>
      </c>
      <c r="X389" s="6">
        <f t="shared" si="91"/>
        <v>7257.6840798955991</v>
      </c>
      <c r="Y389" s="6">
        <f t="shared" si="91"/>
        <v>7328.6833564391009</v>
      </c>
      <c r="Z389" s="6">
        <f t="shared" si="91"/>
        <v>7399.6024098894004</v>
      </c>
      <c r="AA389" s="6">
        <f t="shared" si="91"/>
        <v>7470.18294195</v>
      </c>
      <c r="AB389" s="6">
        <f t="shared" si="91"/>
        <v>7537.2940662613</v>
      </c>
      <c r="AC389" s="6">
        <f t="shared" si="91"/>
        <v>7603.1395939106987</v>
      </c>
      <c r="AD389" s="6">
        <f t="shared" si="91"/>
        <v>7668.0722806371004</v>
      </c>
      <c r="AE389" s="6">
        <f t="shared" si="91"/>
        <v>7732.2468130795005</v>
      </c>
      <c r="AF389" s="6">
        <f t="shared" si="91"/>
        <v>7795.6490056120992</v>
      </c>
      <c r="AG389" s="6">
        <f t="shared" si="91"/>
        <v>7858.2046624493996</v>
      </c>
      <c r="AH389" s="6">
        <f t="shared" si="91"/>
        <v>7919.8719490650001</v>
      </c>
      <c r="AI389" s="6">
        <f t="shared" si="91"/>
        <v>7980.6886144740001</v>
      </c>
      <c r="AJ389" s="6">
        <f t="shared" si="91"/>
        <v>8040.7705007998002</v>
      </c>
      <c r="AK389" s="6">
        <f t="shared" si="91"/>
        <v>8100.2761377794995</v>
      </c>
      <c r="AL389" s="6">
        <f t="shared" si="91"/>
        <v>8159.3603528065996</v>
      </c>
    </row>
    <row r="390" spans="1:38" x14ac:dyDescent="0.3">
      <c r="B390" t="s">
        <v>73</v>
      </c>
      <c r="C390" s="6">
        <f t="shared" ref="C390:AL390" si="92">C367+C374+C381</f>
        <v>4165.6835237371006</v>
      </c>
      <c r="D390" s="6">
        <f t="shared" si="92"/>
        <v>4066.7820749527</v>
      </c>
      <c r="E390" s="6">
        <f t="shared" si="92"/>
        <v>3993.7274703540998</v>
      </c>
      <c r="F390" s="6">
        <f t="shared" si="92"/>
        <v>3937.3413933291004</v>
      </c>
      <c r="G390" s="6">
        <f t="shared" si="92"/>
        <v>3891.8476005685998</v>
      </c>
      <c r="H390" s="6">
        <f t="shared" si="92"/>
        <v>3853.8238038954996</v>
      </c>
      <c r="I390" s="6">
        <f t="shared" si="92"/>
        <v>3820.9472827027998</v>
      </c>
      <c r="J390" s="6">
        <f t="shared" si="92"/>
        <v>3792.3449789064002</v>
      </c>
      <c r="K390" s="6">
        <f t="shared" si="92"/>
        <v>3767.5548379433999</v>
      </c>
      <c r="L390" s="6">
        <f t="shared" si="92"/>
        <v>3746.2650125683999</v>
      </c>
      <c r="M390" s="6">
        <f t="shared" si="92"/>
        <v>3728.7251771943002</v>
      </c>
      <c r="N390" s="6">
        <f t="shared" si="92"/>
        <v>3713.7063869006001</v>
      </c>
      <c r="O390" s="6">
        <f t="shared" si="92"/>
        <v>3700.6396470394002</v>
      </c>
      <c r="P390" s="6">
        <f t="shared" si="92"/>
        <v>3688.9687733548003</v>
      </c>
      <c r="Q390" s="6">
        <f t="shared" si="92"/>
        <v>3678.2457919625999</v>
      </c>
      <c r="R390" s="6">
        <f t="shared" si="92"/>
        <v>3668.1241792454998</v>
      </c>
      <c r="S390" s="6">
        <f t="shared" si="92"/>
        <v>3658.3187245342001</v>
      </c>
      <c r="T390" s="6">
        <f t="shared" si="92"/>
        <v>3648.5674972673</v>
      </c>
      <c r="U390" s="6">
        <f t="shared" si="92"/>
        <v>3638.6121793359998</v>
      </c>
      <c r="V390" s="6">
        <f t="shared" si="92"/>
        <v>3628.1990070324</v>
      </c>
      <c r="W390" s="6">
        <f t="shared" si="92"/>
        <v>3616.6544116315004</v>
      </c>
      <c r="X390" s="6">
        <f t="shared" si="92"/>
        <v>3604.2824601006</v>
      </c>
      <c r="Y390" s="6">
        <f t="shared" si="92"/>
        <v>3590.9680147570998</v>
      </c>
      <c r="Z390" s="6">
        <f t="shared" si="92"/>
        <v>3576.5992564393</v>
      </c>
      <c r="AA390" s="6">
        <f t="shared" si="92"/>
        <v>3561.0787877196999</v>
      </c>
      <c r="AB390" s="6">
        <f t="shared" si="92"/>
        <v>3543.1177054828004</v>
      </c>
      <c r="AC390" s="6">
        <f t="shared" si="92"/>
        <v>3523.6334577411003</v>
      </c>
      <c r="AD390" s="6">
        <f t="shared" si="92"/>
        <v>3502.7996743426002</v>
      </c>
      <c r="AE390" s="6">
        <f t="shared" si="92"/>
        <v>3480.7293877091997</v>
      </c>
      <c r="AF390" s="6">
        <f t="shared" si="92"/>
        <v>3457.4700521549003</v>
      </c>
      <c r="AG390" s="6">
        <f t="shared" si="92"/>
        <v>3433.0336178877997</v>
      </c>
      <c r="AH390" s="6">
        <f t="shared" si="92"/>
        <v>3407.4276595522001</v>
      </c>
      <c r="AI390" s="6">
        <f t="shared" si="92"/>
        <v>3380.6763369519999</v>
      </c>
      <c r="AJ390" s="6">
        <f t="shared" si="92"/>
        <v>3352.8268415409002</v>
      </c>
      <c r="AK390" s="6">
        <f t="shared" si="92"/>
        <v>3323.9431353463997</v>
      </c>
      <c r="AL390" s="6">
        <f t="shared" si="92"/>
        <v>3294.0927517834998</v>
      </c>
    </row>
    <row r="391" spans="1:38" x14ac:dyDescent="0.3">
      <c r="B391" t="s">
        <v>74</v>
      </c>
      <c r="C391" s="6">
        <f t="shared" ref="C391:AL391" si="93">C368+C375+C382</f>
        <v>2507.3524895615005</v>
      </c>
      <c r="D391" s="6">
        <f t="shared" si="93"/>
        <v>2450.2141596126003</v>
      </c>
      <c r="E391" s="6">
        <f t="shared" si="93"/>
        <v>2407.7845129044999</v>
      </c>
      <c r="F391" s="6">
        <f t="shared" si="93"/>
        <v>2374.3227658596002</v>
      </c>
      <c r="G391" s="6">
        <f t="shared" si="93"/>
        <v>2346.2294434962</v>
      </c>
      <c r="H391" s="6">
        <f t="shared" si="93"/>
        <v>2321.3600879456994</v>
      </c>
      <c r="I391" s="6">
        <f t="shared" si="93"/>
        <v>2298.2586579951999</v>
      </c>
      <c r="J391" s="6">
        <f t="shared" si="93"/>
        <v>2276.3629158295998</v>
      </c>
      <c r="K391" s="6">
        <f t="shared" si="93"/>
        <v>2255.3842430534</v>
      </c>
      <c r="L391" s="6">
        <f t="shared" si="93"/>
        <v>2235.1601302004001</v>
      </c>
      <c r="M391" s="6">
        <f t="shared" si="93"/>
        <v>2215.8784287250996</v>
      </c>
      <c r="N391" s="6">
        <f t="shared" si="93"/>
        <v>2196.9042529798003</v>
      </c>
      <c r="O391" s="6">
        <f t="shared" si="93"/>
        <v>2177.9722842009</v>
      </c>
      <c r="P391" s="6">
        <f t="shared" si="93"/>
        <v>2158.8165720109</v>
      </c>
      <c r="Q391" s="6">
        <f t="shared" si="93"/>
        <v>2139.2323733490002</v>
      </c>
      <c r="R391" s="6">
        <f t="shared" si="93"/>
        <v>2119.0802621410003</v>
      </c>
      <c r="S391" s="6">
        <f t="shared" si="93"/>
        <v>2098.2681147490002</v>
      </c>
      <c r="T391" s="6">
        <f t="shared" si="93"/>
        <v>2076.7298634365998</v>
      </c>
      <c r="U391" s="6">
        <f t="shared" si="93"/>
        <v>2054.4108011603998</v>
      </c>
      <c r="V391" s="6">
        <f t="shared" si="93"/>
        <v>2031.2624850504999</v>
      </c>
      <c r="W391" s="6">
        <f t="shared" si="93"/>
        <v>2007.0265613837998</v>
      </c>
      <c r="X391" s="6">
        <f t="shared" si="93"/>
        <v>1981.9270850927999</v>
      </c>
      <c r="Y391" s="6">
        <f t="shared" si="93"/>
        <v>1955.9793169354</v>
      </c>
      <c r="Z391" s="6">
        <f t="shared" si="93"/>
        <v>1929.1960550028</v>
      </c>
      <c r="AA391" s="6">
        <f t="shared" si="93"/>
        <v>1901.5908734775999</v>
      </c>
      <c r="AB391" s="6">
        <f t="shared" si="93"/>
        <v>1872.6223675784997</v>
      </c>
      <c r="AC391" s="6">
        <f t="shared" si="93"/>
        <v>1842.7669711956999</v>
      </c>
      <c r="AD391" s="6">
        <f t="shared" si="93"/>
        <v>1812.1618277223001</v>
      </c>
      <c r="AE391" s="6">
        <f t="shared" si="93"/>
        <v>1780.9205298197001</v>
      </c>
      <c r="AF391" s="6">
        <f t="shared" si="93"/>
        <v>1749.1242051289003</v>
      </c>
      <c r="AG391" s="6">
        <f t="shared" si="93"/>
        <v>1716.8305512540001</v>
      </c>
      <c r="AH391" s="6">
        <f t="shared" si="93"/>
        <v>1684.086650044</v>
      </c>
      <c r="AI391" s="6">
        <f t="shared" si="93"/>
        <v>1650.9400337461</v>
      </c>
      <c r="AJ391" s="6">
        <f t="shared" si="93"/>
        <v>1617.4446712875001</v>
      </c>
      <c r="AK391" s="6">
        <f t="shared" si="93"/>
        <v>1583.6612156266001</v>
      </c>
      <c r="AL391" s="6">
        <f t="shared" si="93"/>
        <v>1549.6531064211001</v>
      </c>
    </row>
    <row r="392" spans="1:38" x14ac:dyDescent="0.3">
      <c r="B392" t="s">
        <v>75</v>
      </c>
      <c r="C392" s="6">
        <f t="shared" ref="C392:AL392" si="94">C369+C376+C383</f>
        <v>1245.466605953</v>
      </c>
      <c r="D392" s="6">
        <f t="shared" si="94"/>
        <v>1214.2756806991999</v>
      </c>
      <c r="E392" s="6">
        <f t="shared" si="94"/>
        <v>1188.9780294814998</v>
      </c>
      <c r="F392" s="6">
        <f t="shared" si="94"/>
        <v>1166.6252698979999</v>
      </c>
      <c r="G392" s="6">
        <f t="shared" si="94"/>
        <v>1145.4079078553998</v>
      </c>
      <c r="H392" s="6">
        <f t="shared" si="94"/>
        <v>1124.2557827682001</v>
      </c>
      <c r="I392" s="6">
        <f t="shared" si="94"/>
        <v>1102.4735992906999</v>
      </c>
      <c r="J392" s="6">
        <f t="shared" si="94"/>
        <v>1079.8190137711999</v>
      </c>
      <c r="K392" s="6">
        <f t="shared" si="94"/>
        <v>1056.2248212452</v>
      </c>
      <c r="L392" s="6">
        <f t="shared" si="94"/>
        <v>1031.7360139530001</v>
      </c>
      <c r="M392" s="6">
        <f t="shared" si="94"/>
        <v>1006.5685122627</v>
      </c>
      <c r="N392" s="6">
        <f t="shared" si="94"/>
        <v>980.65646161940003</v>
      </c>
      <c r="O392" s="6">
        <f t="shared" si="94"/>
        <v>954.05840523869995</v>
      </c>
      <c r="P392" s="6">
        <f t="shared" si="94"/>
        <v>926.82015071089995</v>
      </c>
      <c r="Q392" s="6">
        <f t="shared" si="94"/>
        <v>899.00561775210008</v>
      </c>
      <c r="R392" s="6">
        <f t="shared" si="94"/>
        <v>870.70475327899999</v>
      </c>
      <c r="S392" s="6">
        <f t="shared" si="94"/>
        <v>842.02878031499995</v>
      </c>
      <c r="T392" s="6">
        <f t="shared" si="94"/>
        <v>813.09994112410004</v>
      </c>
      <c r="U392" s="6">
        <f t="shared" si="94"/>
        <v>784.04107246719991</v>
      </c>
      <c r="V392" s="6">
        <f t="shared" si="94"/>
        <v>754.96827075060003</v>
      </c>
      <c r="W392" s="6">
        <f t="shared" si="94"/>
        <v>725.93742885439997</v>
      </c>
      <c r="X392" s="6">
        <f t="shared" si="94"/>
        <v>697.10071377870008</v>
      </c>
      <c r="Y392" s="6">
        <f t="shared" si="94"/>
        <v>668.55201015700004</v>
      </c>
      <c r="Z392" s="6">
        <f t="shared" si="94"/>
        <v>640.3722903132001</v>
      </c>
      <c r="AA392" s="6">
        <f t="shared" si="94"/>
        <v>612.63014165849995</v>
      </c>
      <c r="AB392" s="6">
        <f t="shared" si="94"/>
        <v>585.2863851236001</v>
      </c>
      <c r="AC392" s="6">
        <f t="shared" si="94"/>
        <v>558.47352223960002</v>
      </c>
      <c r="AD392" s="6">
        <f t="shared" si="94"/>
        <v>532.25969506339993</v>
      </c>
      <c r="AE392" s="6">
        <f t="shared" si="94"/>
        <v>506.70405275709999</v>
      </c>
      <c r="AF392" s="6">
        <f t="shared" si="94"/>
        <v>481.85223215169998</v>
      </c>
      <c r="AG392" s="6">
        <f t="shared" si="94"/>
        <v>457.73666918919997</v>
      </c>
      <c r="AH392" s="6">
        <f t="shared" si="94"/>
        <v>434.37934996280001</v>
      </c>
      <c r="AI392" s="6">
        <f t="shared" si="94"/>
        <v>411.79530099919998</v>
      </c>
      <c r="AJ392" s="6">
        <f t="shared" si="94"/>
        <v>389.99539674670001</v>
      </c>
      <c r="AK392" s="6">
        <f t="shared" si="94"/>
        <v>368.98781207639996</v>
      </c>
      <c r="AL392" s="6">
        <f t="shared" si="94"/>
        <v>348.77821058219996</v>
      </c>
    </row>
    <row r="393" spans="1:38" x14ac:dyDescent="0.3">
      <c r="B393" t="s">
        <v>76</v>
      </c>
      <c r="C393" s="6">
        <f t="shared" ref="C393:AL393" si="95">C370+C377+C384</f>
        <v>2242.8616504070001</v>
      </c>
      <c r="D393" s="6">
        <f t="shared" si="95"/>
        <v>2190.0971107826999</v>
      </c>
      <c r="E393" s="6">
        <f t="shared" si="95"/>
        <v>2145.5975266171995</v>
      </c>
      <c r="F393" s="6">
        <f t="shared" si="95"/>
        <v>2103.7343610910998</v>
      </c>
      <c r="G393" s="6">
        <f t="shared" si="95"/>
        <v>2061.2076408325997</v>
      </c>
      <c r="H393" s="6">
        <f t="shared" si="95"/>
        <v>2016.1864237057</v>
      </c>
      <c r="I393" s="6">
        <f t="shared" si="95"/>
        <v>1967.6257077749001</v>
      </c>
      <c r="J393" s="6">
        <f t="shared" si="95"/>
        <v>1915.3671412025001</v>
      </c>
      <c r="K393" s="6">
        <f t="shared" si="95"/>
        <v>1859.6327339512</v>
      </c>
      <c r="L393" s="6">
        <f t="shared" si="95"/>
        <v>1800.8958830102001</v>
      </c>
      <c r="M393" s="6">
        <f t="shared" si="95"/>
        <v>1739.9144570464</v>
      </c>
      <c r="N393" s="6">
        <f t="shared" si="95"/>
        <v>1677.0237765400998</v>
      </c>
      <c r="O393" s="6">
        <f t="shared" si="95"/>
        <v>1612.6966820096</v>
      </c>
      <c r="P393" s="6">
        <f t="shared" si="95"/>
        <v>1547.3427140898998</v>
      </c>
      <c r="Q393" s="6">
        <f t="shared" si="95"/>
        <v>1481.3624893705999</v>
      </c>
      <c r="R393" s="6">
        <f t="shared" si="95"/>
        <v>1415.1637702195001</v>
      </c>
      <c r="S393" s="6">
        <f t="shared" si="95"/>
        <v>1349.1539419667999</v>
      </c>
      <c r="T393" s="6">
        <f t="shared" si="95"/>
        <v>1283.7220733889001</v>
      </c>
      <c r="U393" s="6">
        <f t="shared" si="95"/>
        <v>1219.2211602683999</v>
      </c>
      <c r="V393" s="6">
        <f t="shared" si="95"/>
        <v>1155.9568378290001</v>
      </c>
      <c r="W393" s="6">
        <f t="shared" si="95"/>
        <v>1094.1357415745999</v>
      </c>
      <c r="X393" s="6">
        <f t="shared" si="95"/>
        <v>1034.0192172459001</v>
      </c>
      <c r="Y393" s="6">
        <f t="shared" si="95"/>
        <v>975.78018756569998</v>
      </c>
      <c r="Z393" s="6">
        <f t="shared" si="95"/>
        <v>919.54982128979998</v>
      </c>
      <c r="AA393" s="6">
        <f t="shared" si="95"/>
        <v>865.42184259290002</v>
      </c>
      <c r="AB393" s="6">
        <f t="shared" si="95"/>
        <v>813.38532325829999</v>
      </c>
      <c r="AC393" s="6">
        <f t="shared" si="95"/>
        <v>763.54234080849994</v>
      </c>
      <c r="AD393" s="6">
        <f t="shared" si="95"/>
        <v>715.93075628940005</v>
      </c>
      <c r="AE393" s="6">
        <f t="shared" si="95"/>
        <v>670.56821961690002</v>
      </c>
      <c r="AF393" s="6">
        <f t="shared" si="95"/>
        <v>627.44952339219992</v>
      </c>
      <c r="AG393" s="6">
        <f t="shared" si="95"/>
        <v>586.54874013509993</v>
      </c>
      <c r="AH393" s="6">
        <f t="shared" si="95"/>
        <v>547.82374125199999</v>
      </c>
      <c r="AI393" s="6">
        <f t="shared" si="95"/>
        <v>511.22113633189997</v>
      </c>
      <c r="AJ393" s="6">
        <f t="shared" si="95"/>
        <v>476.68021438329998</v>
      </c>
      <c r="AK393" s="6">
        <f t="shared" si="95"/>
        <v>444.13538397309998</v>
      </c>
      <c r="AL393" s="6">
        <f t="shared" si="95"/>
        <v>413.51735471539996</v>
      </c>
    </row>
    <row r="395" spans="1:38" x14ac:dyDescent="0.3">
      <c r="A395" s="12" t="s">
        <v>65</v>
      </c>
      <c r="C395" s="2">
        <v>42005</v>
      </c>
      <c r="D395" s="2">
        <v>42370</v>
      </c>
      <c r="E395" s="2">
        <v>42736</v>
      </c>
      <c r="F395" s="2">
        <v>43101</v>
      </c>
      <c r="G395" s="2">
        <v>43466</v>
      </c>
      <c r="H395" s="2">
        <v>43831</v>
      </c>
      <c r="I395" s="2">
        <v>44197</v>
      </c>
      <c r="J395" s="2">
        <v>44562</v>
      </c>
      <c r="K395" s="2">
        <v>44927</v>
      </c>
      <c r="L395" s="2">
        <v>45292</v>
      </c>
      <c r="M395" s="2">
        <v>45658</v>
      </c>
      <c r="N395" s="2">
        <v>46023</v>
      </c>
      <c r="O395" s="2">
        <v>46388</v>
      </c>
      <c r="P395" s="2">
        <v>46753</v>
      </c>
      <c r="Q395" s="2">
        <v>47119</v>
      </c>
      <c r="R395" s="2">
        <v>47484</v>
      </c>
      <c r="S395" s="2">
        <v>47849</v>
      </c>
      <c r="T395" s="2">
        <v>48214</v>
      </c>
      <c r="U395" s="2">
        <v>48580</v>
      </c>
      <c r="V395" s="2">
        <v>48945</v>
      </c>
      <c r="W395" s="2">
        <v>49310</v>
      </c>
      <c r="X395" s="2">
        <v>49675</v>
      </c>
      <c r="Y395" s="2">
        <v>50041</v>
      </c>
      <c r="Z395" s="2">
        <v>50406</v>
      </c>
      <c r="AA395" s="2">
        <v>50771</v>
      </c>
      <c r="AB395" s="2">
        <v>51136</v>
      </c>
      <c r="AC395" s="2">
        <v>51502</v>
      </c>
      <c r="AD395" s="2">
        <v>51867</v>
      </c>
      <c r="AE395" s="2">
        <v>52232</v>
      </c>
      <c r="AF395" s="2">
        <v>52597</v>
      </c>
      <c r="AG395" s="2">
        <v>52963</v>
      </c>
      <c r="AH395" s="2">
        <v>53328</v>
      </c>
      <c r="AI395" s="2">
        <v>53693</v>
      </c>
      <c r="AJ395" s="2">
        <v>54058</v>
      </c>
      <c r="AK395" s="2">
        <v>54424</v>
      </c>
      <c r="AL395" s="2">
        <v>54789</v>
      </c>
    </row>
    <row r="396" spans="1:38" x14ac:dyDescent="0.3">
      <c r="A396" t="s">
        <v>27</v>
      </c>
      <c r="B396" t="s">
        <v>39</v>
      </c>
      <c r="C396" s="6">
        <f>[1]Results!F104</f>
        <v>3.476542051</v>
      </c>
      <c r="D396" s="6">
        <f>[1]Results!G104</f>
        <v>5.9493271419999996</v>
      </c>
      <c r="E396" s="6">
        <f>[1]Results!H104</f>
        <v>8.9586324899999994</v>
      </c>
      <c r="F396" s="6">
        <f>[1]Results!I104</f>
        <v>12.522361070000001</v>
      </c>
      <c r="G396" s="6">
        <f>[1]Results!J104</f>
        <v>16.48542767</v>
      </c>
      <c r="H396" s="6">
        <f>[1]Results!K104</f>
        <v>20.700597349999999</v>
      </c>
      <c r="I396" s="6">
        <f>[1]Results!L104</f>
        <v>25.04107531</v>
      </c>
      <c r="J396" s="6">
        <f>[1]Results!M104</f>
        <v>29.463652849999999</v>
      </c>
      <c r="K396" s="6">
        <f>[1]Results!N104</f>
        <v>33.945720280000003</v>
      </c>
      <c r="L396" s="6">
        <f>[1]Results!O104</f>
        <v>38.454898040000003</v>
      </c>
      <c r="M396" s="6">
        <f>[1]Results!P104</f>
        <v>43.005256469999999</v>
      </c>
      <c r="N396" s="6">
        <f>[1]Results!Q104</f>
        <v>47.5000255</v>
      </c>
      <c r="O396" s="6">
        <f>[1]Results!R104</f>
        <v>51.9683007</v>
      </c>
      <c r="P396" s="6">
        <f>[1]Results!S104</f>
        <v>56.40259373</v>
      </c>
      <c r="Q396" s="6">
        <f>[1]Results!T104</f>
        <v>60.799986789999998</v>
      </c>
      <c r="R396" s="6">
        <f>[1]Results!U104</f>
        <v>65.162065819999995</v>
      </c>
      <c r="S396" s="6">
        <f>[1]Results!V104</f>
        <v>69.492916080000001</v>
      </c>
      <c r="T396" s="6">
        <f>[1]Results!W104</f>
        <v>73.796838080000001</v>
      </c>
      <c r="U396" s="6">
        <f>[1]Results!X104</f>
        <v>78.076836810000003</v>
      </c>
      <c r="V396" s="6">
        <f>[1]Results!Y104</f>
        <v>82.334792789999995</v>
      </c>
      <c r="W396" s="6">
        <f>[1]Results!Z104</f>
        <v>86.545158209999997</v>
      </c>
      <c r="X396" s="6">
        <f>[1]Results!AA104</f>
        <v>90.763283040000005</v>
      </c>
      <c r="Y396" s="6">
        <f>[1]Results!AB104</f>
        <v>94.964961700000003</v>
      </c>
      <c r="Z396" s="6">
        <f>[1]Results!AC104</f>
        <v>99.151803909999998</v>
      </c>
      <c r="AA396" s="6">
        <f>[1]Results!AD104</f>
        <v>103.32460140000001</v>
      </c>
      <c r="AB396" s="6">
        <f>[1]Results!AE104</f>
        <v>107.40973</v>
      </c>
      <c r="AC396" s="6">
        <f>[1]Results!AF104</f>
        <v>111.5173202</v>
      </c>
      <c r="AD396" s="6">
        <f>[1]Results!AG104</f>
        <v>115.607956</v>
      </c>
      <c r="AE396" s="6">
        <f>[1]Results!AH104</f>
        <v>119.6796154</v>
      </c>
      <c r="AF396" s="6">
        <f>[1]Results!AI104</f>
        <v>123.73008</v>
      </c>
      <c r="AG396" s="6">
        <f>[1]Results!AJ104</f>
        <v>127.7574351</v>
      </c>
      <c r="AH396" s="6">
        <f>[1]Results!AK104</f>
        <v>131.76032810000001</v>
      </c>
      <c r="AI396" s="6">
        <f>[1]Results!AL104</f>
        <v>135.73804949999999</v>
      </c>
      <c r="AJ396" s="6">
        <f>[1]Results!AM104</f>
        <v>139.69036489999999</v>
      </c>
      <c r="AK396" s="6">
        <f>[1]Results!AN104</f>
        <v>143.61728890000001</v>
      </c>
      <c r="AL396" s="6">
        <f>[1]Results!AO104</f>
        <v>147.5189383</v>
      </c>
    </row>
    <row r="397" spans="1:38" x14ac:dyDescent="0.3">
      <c r="B397" t="s">
        <v>40</v>
      </c>
      <c r="C397" s="6">
        <f>[1]Results!F105</f>
        <v>68.80476281</v>
      </c>
      <c r="D397" s="6">
        <f>[1]Results!G105</f>
        <v>76.548945099999997</v>
      </c>
      <c r="E397" s="6">
        <f>[1]Results!H105</f>
        <v>84.201254050000003</v>
      </c>
      <c r="F397" s="6">
        <f>[1]Results!I105</f>
        <v>91.342237030000007</v>
      </c>
      <c r="G397" s="6">
        <f>[1]Results!J105</f>
        <v>97.994505090000004</v>
      </c>
      <c r="H397" s="6">
        <f>[1]Results!K105</f>
        <v>104.15698020000001</v>
      </c>
      <c r="I397" s="6">
        <f>[1]Results!L105</f>
        <v>109.2651066</v>
      </c>
      <c r="J397" s="6">
        <f>[1]Results!M105</f>
        <v>114.0690692</v>
      </c>
      <c r="K397" s="6">
        <f>[1]Results!N105</f>
        <v>118.4801075</v>
      </c>
      <c r="L397" s="6">
        <f>[1]Results!O105</f>
        <v>122.59265120000001</v>
      </c>
      <c r="M397" s="6">
        <f>[1]Results!P105</f>
        <v>127.6012298</v>
      </c>
      <c r="N397" s="6">
        <f>[1]Results!Q105</f>
        <v>131.5973985</v>
      </c>
      <c r="O397" s="6">
        <f>[1]Results!R105</f>
        <v>135.7157843</v>
      </c>
      <c r="P397" s="6">
        <f>[1]Results!S105</f>
        <v>139.99615979999999</v>
      </c>
      <c r="Q397" s="6">
        <f>[1]Results!T105</f>
        <v>144.42371270000001</v>
      </c>
      <c r="R397" s="6">
        <f>[1]Results!U105</f>
        <v>148.95397130000001</v>
      </c>
      <c r="S397" s="6">
        <f>[1]Results!V105</f>
        <v>153.53805969999999</v>
      </c>
      <c r="T397" s="6">
        <f>[1]Results!W105</f>
        <v>158.13795210000001</v>
      </c>
      <c r="U397" s="6">
        <f>[1]Results!X105</f>
        <v>162.7321073</v>
      </c>
      <c r="V397" s="6">
        <f>[1]Results!Y105</f>
        <v>167.30997859999999</v>
      </c>
      <c r="W397" s="6">
        <f>[1]Results!Z105</f>
        <v>171.18204420000001</v>
      </c>
      <c r="X397" s="6">
        <f>[1]Results!AA105</f>
        <v>175.70456949999999</v>
      </c>
      <c r="Y397" s="6">
        <f>[1]Results!AB105</f>
        <v>180.1791053</v>
      </c>
      <c r="Z397" s="6">
        <f>[1]Results!AC105</f>
        <v>184.5947779</v>
      </c>
      <c r="AA397" s="6">
        <f>[1]Results!AD105</f>
        <v>188.94541129999999</v>
      </c>
      <c r="AB397" s="6">
        <f>[1]Results!AE105</f>
        <v>191.3674087</v>
      </c>
      <c r="AC397" s="6">
        <f>[1]Results!AF105</f>
        <v>194.72323539999999</v>
      </c>
      <c r="AD397" s="6">
        <f>[1]Results!AG105</f>
        <v>198.0281665</v>
      </c>
      <c r="AE397" s="6">
        <f>[1]Results!AH105</f>
        <v>201.29972649999999</v>
      </c>
      <c r="AF397" s="6">
        <f>[1]Results!AI105</f>
        <v>204.5576226</v>
      </c>
      <c r="AG397" s="6">
        <f>[1]Results!AJ105</f>
        <v>207.8181615</v>
      </c>
      <c r="AH397" s="6">
        <f>[1]Results!AK105</f>
        <v>211.0916244</v>
      </c>
      <c r="AI397" s="6">
        <f>[1]Results!AL105</f>
        <v>214.3820537</v>
      </c>
      <c r="AJ397" s="6">
        <f>[1]Results!AM105</f>
        <v>217.6894394</v>
      </c>
      <c r="AK397" s="6">
        <f>[1]Results!AN105</f>
        <v>221.01205200000001</v>
      </c>
      <c r="AL397" s="6">
        <f>[1]Results!AO105</f>
        <v>224.34779080000001</v>
      </c>
    </row>
    <row r="398" spans="1:38" x14ac:dyDescent="0.3">
      <c r="B398" t="s">
        <v>41</v>
      </c>
      <c r="C398" s="6">
        <f>[1]Results!F106</f>
        <v>408.28039699999999</v>
      </c>
      <c r="D398" s="6">
        <f>[1]Results!G106</f>
        <v>425.45424279999997</v>
      </c>
      <c r="E398" s="6">
        <f>[1]Results!H106</f>
        <v>444.51863500000002</v>
      </c>
      <c r="F398" s="6">
        <f>[1]Results!I106</f>
        <v>463.85994299999999</v>
      </c>
      <c r="G398" s="6">
        <f>[1]Results!J106</f>
        <v>482.92276079999999</v>
      </c>
      <c r="H398" s="6">
        <f>[1]Results!K106</f>
        <v>501.27536880000002</v>
      </c>
      <c r="I398" s="6">
        <f>[1]Results!L106</f>
        <v>517.05202940000004</v>
      </c>
      <c r="J398" s="6">
        <f>[1]Results!M106</f>
        <v>532.14373599999999</v>
      </c>
      <c r="K398" s="6">
        <f>[1]Results!N106</f>
        <v>546.36330450000003</v>
      </c>
      <c r="L398" s="6">
        <f>[1]Results!O106</f>
        <v>559.92943030000004</v>
      </c>
      <c r="M398" s="6">
        <f>[1]Results!P106</f>
        <v>576.06623969999998</v>
      </c>
      <c r="N398" s="6">
        <f>[1]Results!Q106</f>
        <v>589.26114640000003</v>
      </c>
      <c r="O398" s="6">
        <f>[1]Results!R106</f>
        <v>602.63672499999996</v>
      </c>
      <c r="P398" s="6">
        <f>[1]Results!S106</f>
        <v>616.30281179999997</v>
      </c>
      <c r="Q398" s="6">
        <f>[1]Results!T106</f>
        <v>630.25009490000002</v>
      </c>
      <c r="R398" s="6">
        <f>[1]Results!U106</f>
        <v>644.39695010000003</v>
      </c>
      <c r="S398" s="6">
        <f>[1]Results!V106</f>
        <v>658.6432499</v>
      </c>
      <c r="T398" s="6">
        <f>[1]Results!W106</f>
        <v>672.90457160000005</v>
      </c>
      <c r="U398" s="6">
        <f>[1]Results!X106</f>
        <v>687.12795900000003</v>
      </c>
      <c r="V398" s="6">
        <f>[1]Results!Y106</f>
        <v>701.28359169999999</v>
      </c>
      <c r="W398" s="6">
        <f>[1]Results!Z106</f>
        <v>713.43063219999999</v>
      </c>
      <c r="X398" s="6">
        <f>[1]Results!AA106</f>
        <v>727.3856131</v>
      </c>
      <c r="Y398" s="6">
        <f>[1]Results!AB106</f>
        <v>741.19777239999996</v>
      </c>
      <c r="Z398" s="6">
        <f>[1]Results!AC106</f>
        <v>754.84583769999995</v>
      </c>
      <c r="AA398" s="6">
        <f>[1]Results!AD106</f>
        <v>768.31942270000002</v>
      </c>
      <c r="AB398" s="6">
        <f>[1]Results!AE106</f>
        <v>776.37793009999996</v>
      </c>
      <c r="AC398" s="6">
        <f>[1]Results!AF106</f>
        <v>787.06423380000001</v>
      </c>
      <c r="AD398" s="6">
        <f>[1]Results!AG106</f>
        <v>797.61364639999999</v>
      </c>
      <c r="AE398" s="6">
        <f>[1]Results!AH106</f>
        <v>808.06677509999997</v>
      </c>
      <c r="AF398" s="6">
        <f>[1]Results!AI106</f>
        <v>818.4674076</v>
      </c>
      <c r="AG398" s="6">
        <f>[1]Results!AJ106</f>
        <v>828.85156470000004</v>
      </c>
      <c r="AH398" s="6">
        <f>[1]Results!AK106</f>
        <v>839.24218800000006</v>
      </c>
      <c r="AI398" s="6">
        <f>[1]Results!AL106</f>
        <v>849.64851599999997</v>
      </c>
      <c r="AJ398" s="6">
        <f>[1]Results!AM106</f>
        <v>860.07068960000004</v>
      </c>
      <c r="AK398" s="6">
        <f>[1]Results!AN106</f>
        <v>870.50477230000001</v>
      </c>
      <c r="AL398" s="6">
        <f>[1]Results!AO106</f>
        <v>880.94571510000003</v>
      </c>
    </row>
    <row r="399" spans="1:38" x14ac:dyDescent="0.3">
      <c r="B399" t="s">
        <v>42</v>
      </c>
      <c r="C399" s="6">
        <f>[1]Results!F107</f>
        <v>954.38155940000001</v>
      </c>
      <c r="D399" s="6">
        <f>[1]Results!G107</f>
        <v>948.79342759999997</v>
      </c>
      <c r="E399" s="6">
        <f>[1]Results!H107</f>
        <v>944.11476779999998</v>
      </c>
      <c r="F399" s="6">
        <f>[1]Results!I107</f>
        <v>939.60345819999998</v>
      </c>
      <c r="G399" s="6">
        <f>[1]Results!J107</f>
        <v>935.1567483</v>
      </c>
      <c r="H399" s="6">
        <f>[1]Results!K107</f>
        <v>930.72706019999998</v>
      </c>
      <c r="I399" s="6">
        <f>[1]Results!L107</f>
        <v>926.30194879999999</v>
      </c>
      <c r="J399" s="6">
        <f>[1]Results!M107</f>
        <v>921.88038740000002</v>
      </c>
      <c r="K399" s="6">
        <f>[1]Results!N107</f>
        <v>917.46144560000005</v>
      </c>
      <c r="L399" s="6">
        <f>[1]Results!O107</f>
        <v>913.05078660000004</v>
      </c>
      <c r="M399" s="6">
        <f>[1]Results!P107</f>
        <v>908.65539709999996</v>
      </c>
      <c r="N399" s="6">
        <f>[1]Results!Q107</f>
        <v>904.28336809999996</v>
      </c>
      <c r="O399" s="6">
        <f>[1]Results!R107</f>
        <v>899.94005049999998</v>
      </c>
      <c r="P399" s="6">
        <f>[1]Results!S107</f>
        <v>895.62897599999997</v>
      </c>
      <c r="Q399" s="6">
        <f>[1]Results!T107</f>
        <v>891.35144500000001</v>
      </c>
      <c r="R399" s="6">
        <f>[1]Results!U107</f>
        <v>887.1067276</v>
      </c>
      <c r="S399" s="6">
        <f>[1]Results!V107</f>
        <v>882.89245389999996</v>
      </c>
      <c r="T399" s="6">
        <f>[1]Results!W107</f>
        <v>878.70541679999997</v>
      </c>
      <c r="U399" s="6">
        <f>[1]Results!X107</f>
        <v>874.54262329999995</v>
      </c>
      <c r="V399" s="6">
        <f>[1]Results!Y107</f>
        <v>870.40175920000001</v>
      </c>
      <c r="W399" s="6">
        <f>[1]Results!Z107</f>
        <v>866.28122829999995</v>
      </c>
      <c r="X399" s="6">
        <f>[1]Results!AA107</f>
        <v>862.17952049999997</v>
      </c>
      <c r="Y399" s="6">
        <f>[1]Results!AB107</f>
        <v>858.09614620000002</v>
      </c>
      <c r="Z399" s="6">
        <f>[1]Results!AC107</f>
        <v>854.03059380000002</v>
      </c>
      <c r="AA399" s="6">
        <f>[1]Results!AD107</f>
        <v>849.98266360000002</v>
      </c>
      <c r="AB399" s="6">
        <f>[1]Results!AE107</f>
        <v>845.95261359999995</v>
      </c>
      <c r="AC399" s="6">
        <f>[1]Results!AF107</f>
        <v>841.94014849999996</v>
      </c>
      <c r="AD399" s="6">
        <f>[1]Results!AG107</f>
        <v>837.94658660000005</v>
      </c>
      <c r="AE399" s="6">
        <f>[1]Results!AH107</f>
        <v>833.97303050000005</v>
      </c>
      <c r="AF399" s="6">
        <f>[1]Results!AI107</f>
        <v>830.0206081</v>
      </c>
      <c r="AG399" s="6">
        <f>[1]Results!AJ107</f>
        <v>826.09029899999996</v>
      </c>
      <c r="AH399" s="6">
        <f>[1]Results!AK107</f>
        <v>822.18280400000003</v>
      </c>
      <c r="AI399" s="6">
        <f>[1]Results!AL107</f>
        <v>818.29847219999999</v>
      </c>
      <c r="AJ399" s="6">
        <f>[1]Results!AM107</f>
        <v>814.43736279999996</v>
      </c>
      <c r="AK399" s="6">
        <f>[1]Results!AN107</f>
        <v>810.59934499999997</v>
      </c>
      <c r="AL399" s="6">
        <f>[1]Results!AO107</f>
        <v>806.78417760000002</v>
      </c>
    </row>
    <row r="400" spans="1:38" x14ac:dyDescent="0.3">
      <c r="B400" t="s">
        <v>43</v>
      </c>
      <c r="C400" s="6">
        <f>[1]Results!F108</f>
        <v>878.79999729999997</v>
      </c>
      <c r="D400" s="6">
        <f>[1]Results!G108</f>
        <v>867.28083979999997</v>
      </c>
      <c r="E400" s="6">
        <f>[1]Results!H108</f>
        <v>854.93762000000004</v>
      </c>
      <c r="F400" s="6">
        <f>[1]Results!I108</f>
        <v>842.00446169999998</v>
      </c>
      <c r="G400" s="6">
        <f>[1]Results!J108</f>
        <v>829.23736169999995</v>
      </c>
      <c r="H400" s="6">
        <f>[1]Results!K108</f>
        <v>817.25585360000002</v>
      </c>
      <c r="I400" s="6">
        <f>[1]Results!L108</f>
        <v>806.24922100000003</v>
      </c>
      <c r="J400" s="6">
        <f>[1]Results!M108</f>
        <v>796.04058650000002</v>
      </c>
      <c r="K400" s="6">
        <f>[1]Results!N108</f>
        <v>786.96369779999998</v>
      </c>
      <c r="L400" s="6">
        <f>[1]Results!O108</f>
        <v>778.76968509999995</v>
      </c>
      <c r="M400" s="6">
        <f>[1]Results!P108</f>
        <v>771.03898089999996</v>
      </c>
      <c r="N400" s="6">
        <f>[1]Results!Q108</f>
        <v>763.3301262</v>
      </c>
      <c r="O400" s="6">
        <f>[1]Results!R108</f>
        <v>755.34490719999997</v>
      </c>
      <c r="P400" s="6">
        <f>[1]Results!S108</f>
        <v>746.94963789999997</v>
      </c>
      <c r="Q400" s="6">
        <f>[1]Results!T108</f>
        <v>738.17731389999994</v>
      </c>
      <c r="R400" s="6">
        <f>[1]Results!U108</f>
        <v>729.15425040000002</v>
      </c>
      <c r="S400" s="6">
        <f>[1]Results!V108</f>
        <v>720.02321740000002</v>
      </c>
      <c r="T400" s="6">
        <f>[1]Results!W108</f>
        <v>710.89793710000004</v>
      </c>
      <c r="U400" s="6">
        <f>[1]Results!X108</f>
        <v>701.84546260000002</v>
      </c>
      <c r="V400" s="6">
        <f>[1]Results!Y108</f>
        <v>692.90083949999996</v>
      </c>
      <c r="W400" s="6">
        <f>[1]Results!Z108</f>
        <v>684.0751262</v>
      </c>
      <c r="X400" s="6">
        <f>[1]Results!AA108</f>
        <v>675.41474229999994</v>
      </c>
      <c r="Y400" s="6">
        <f>[1]Results!AB108</f>
        <v>666.95823849999999</v>
      </c>
      <c r="Z400" s="6">
        <f>[1]Results!AC108</f>
        <v>658.73571130000005</v>
      </c>
      <c r="AA400" s="6">
        <f>[1]Results!AD108</f>
        <v>650.76318189999995</v>
      </c>
      <c r="AB400" s="6">
        <f>[1]Results!AE108</f>
        <v>643.00609459999998</v>
      </c>
      <c r="AC400" s="6">
        <f>[1]Results!AF108</f>
        <v>635.46586630000002</v>
      </c>
      <c r="AD400" s="6">
        <f>[1]Results!AG108</f>
        <v>628.11291849999998</v>
      </c>
      <c r="AE400" s="6">
        <f>[1]Results!AH108</f>
        <v>620.89334329999997</v>
      </c>
      <c r="AF400" s="6">
        <f>[1]Results!AI108</f>
        <v>613.74805249999997</v>
      </c>
      <c r="AG400" s="6">
        <f>[1]Results!AJ108</f>
        <v>606.6286053</v>
      </c>
      <c r="AH400" s="6">
        <f>[1]Results!AK108</f>
        <v>599.50472209999998</v>
      </c>
      <c r="AI400" s="6">
        <f>[1]Results!AL108</f>
        <v>592.36490100000003</v>
      </c>
      <c r="AJ400" s="6">
        <f>[1]Results!AM108</f>
        <v>585.20985340000004</v>
      </c>
      <c r="AK400" s="6">
        <f>[1]Results!AN108</f>
        <v>578.04551300000003</v>
      </c>
      <c r="AL400" s="6">
        <f>[1]Results!AO108</f>
        <v>570.87898719999998</v>
      </c>
    </row>
    <row r="401" spans="1:38" x14ac:dyDescent="0.3">
      <c r="B401" t="s">
        <v>44</v>
      </c>
      <c r="C401" s="6">
        <f>[1]Results!F109</f>
        <v>139.85209269999999</v>
      </c>
      <c r="D401" s="6">
        <f>[1]Results!G109</f>
        <v>137.9738577</v>
      </c>
      <c r="E401" s="6">
        <f>[1]Results!H109</f>
        <v>136.18879580000001</v>
      </c>
      <c r="F401" s="6">
        <f>[1]Results!I109</f>
        <v>134.53879280000001</v>
      </c>
      <c r="G401" s="6">
        <f>[1]Results!J109</f>
        <v>133.05573200000001</v>
      </c>
      <c r="H401" s="6">
        <f>[1]Results!K109</f>
        <v>131.746453</v>
      </c>
      <c r="I401" s="6">
        <f>[1]Results!L109</f>
        <v>130.5904907</v>
      </c>
      <c r="J401" s="6">
        <f>[1]Results!M109</f>
        <v>129.55360150000001</v>
      </c>
      <c r="K401" s="6">
        <f>[1]Results!N109</f>
        <v>128.6042157</v>
      </c>
      <c r="L401" s="6">
        <f>[1]Results!O109</f>
        <v>127.7093071</v>
      </c>
      <c r="M401" s="6">
        <f>[1]Results!P109</f>
        <v>126.84509130000001</v>
      </c>
      <c r="N401" s="6">
        <f>[1]Results!Q109</f>
        <v>125.9953053</v>
      </c>
      <c r="O401" s="6">
        <f>[1]Results!R109</f>
        <v>125.1478783</v>
      </c>
      <c r="P401" s="6">
        <f>[1]Results!S109</f>
        <v>124.2928885</v>
      </c>
      <c r="Q401" s="6">
        <f>[1]Results!T109</f>
        <v>123.4240573</v>
      </c>
      <c r="R401" s="6">
        <f>[1]Results!U109</f>
        <v>122.5401734</v>
      </c>
      <c r="S401" s="6">
        <f>[1]Results!V109</f>
        <v>121.6448219</v>
      </c>
      <c r="T401" s="6">
        <f>[1]Results!W109</f>
        <v>120.7443811</v>
      </c>
      <c r="U401" s="6">
        <f>[1]Results!X109</f>
        <v>119.8451802</v>
      </c>
      <c r="V401" s="6">
        <f>[1]Results!Y109</f>
        <v>118.9521864</v>
      </c>
      <c r="W401" s="6">
        <f>[1]Results!Z109</f>
        <v>118.0687575</v>
      </c>
      <c r="X401" s="6">
        <f>[1]Results!AA109</f>
        <v>117.1976682</v>
      </c>
      <c r="Y401" s="6">
        <f>[1]Results!AB109</f>
        <v>116.34048629999999</v>
      </c>
      <c r="Z401" s="6">
        <f>[1]Results!AC109</f>
        <v>115.4981021</v>
      </c>
      <c r="AA401" s="6">
        <f>[1]Results!AD109</f>
        <v>114.67054589999999</v>
      </c>
      <c r="AB401" s="6">
        <f>[1]Results!AE109</f>
        <v>113.8565978</v>
      </c>
      <c r="AC401" s="6">
        <f>[1]Results!AF109</f>
        <v>113.05484319999999</v>
      </c>
      <c r="AD401" s="6">
        <f>[1]Results!AG109</f>
        <v>112.26282639999999</v>
      </c>
      <c r="AE401" s="6">
        <f>[1]Results!AH109</f>
        <v>111.4778081</v>
      </c>
      <c r="AF401" s="6">
        <f>[1]Results!AI109</f>
        <v>110.6970393</v>
      </c>
      <c r="AG401" s="6">
        <f>[1]Results!AJ109</f>
        <v>109.91806</v>
      </c>
      <c r="AH401" s="6">
        <f>[1]Results!AK109</f>
        <v>109.1389413</v>
      </c>
      <c r="AI401" s="6">
        <f>[1]Results!AL109</f>
        <v>108.35846909999999</v>
      </c>
      <c r="AJ401" s="6">
        <f>[1]Results!AM109</f>
        <v>107.57605460000001</v>
      </c>
      <c r="AK401" s="6">
        <f>[1]Results!AN109</f>
        <v>106.7915417</v>
      </c>
      <c r="AL401" s="6">
        <f>[1]Results!AO109</f>
        <v>106.0050469</v>
      </c>
    </row>
    <row r="402" spans="1:38" x14ac:dyDescent="0.3">
      <c r="B402" t="s">
        <v>45</v>
      </c>
      <c r="C402" s="6">
        <f>[1]Results!F110</f>
        <v>3.874567114</v>
      </c>
      <c r="D402" s="6">
        <f>[1]Results!G110</f>
        <v>3.7257333199999998</v>
      </c>
      <c r="E402" s="6">
        <f>[1]Results!H110</f>
        <v>3.5884012969999999</v>
      </c>
      <c r="F402" s="6">
        <f>[1]Results!I110</f>
        <v>3.465730529</v>
      </c>
      <c r="G402" s="6">
        <f>[1]Results!J110</f>
        <v>3.360677511</v>
      </c>
      <c r="H402" s="6">
        <f>[1]Results!K110</f>
        <v>3.2746864850000001</v>
      </c>
      <c r="I402" s="6">
        <f>[1]Results!L110</f>
        <v>3.2069173649999998</v>
      </c>
      <c r="J402" s="6">
        <f>[1]Results!M110</f>
        <v>3.1548149859999999</v>
      </c>
      <c r="K402" s="6">
        <f>[1]Results!N110</f>
        <v>3.1157856829999999</v>
      </c>
      <c r="L402" s="6">
        <f>[1]Results!O110</f>
        <v>3.085417112</v>
      </c>
      <c r="M402" s="6">
        <f>[1]Results!P110</f>
        <v>3.059686036</v>
      </c>
      <c r="N402" s="6">
        <f>[1]Results!Q110</f>
        <v>3.0352868900000001</v>
      </c>
      <c r="O402" s="6">
        <f>[1]Results!R110</f>
        <v>3.0096059230000001</v>
      </c>
      <c r="P402" s="6">
        <f>[1]Results!S110</f>
        <v>2.980700476</v>
      </c>
      <c r="Q402" s="6">
        <f>[1]Results!T110</f>
        <v>2.947697324</v>
      </c>
      <c r="R402" s="6">
        <f>[1]Results!U110</f>
        <v>2.9108348020000001</v>
      </c>
      <c r="S402" s="6">
        <f>[1]Results!V110</f>
        <v>2.8711490799999999</v>
      </c>
      <c r="T402" s="6">
        <f>[1]Results!W110</f>
        <v>2.8299975970000002</v>
      </c>
      <c r="U402" s="6">
        <f>[1]Results!X110</f>
        <v>2.7885875580000001</v>
      </c>
      <c r="V402" s="6">
        <f>[1]Results!Y110</f>
        <v>2.747810496</v>
      </c>
      <c r="W402" s="6">
        <f>[1]Results!Z110</f>
        <v>2.7082438259999999</v>
      </c>
      <c r="X402" s="6">
        <f>[1]Results!AA110</f>
        <v>2.670362586</v>
      </c>
      <c r="Y402" s="6">
        <f>[1]Results!AB110</f>
        <v>2.634440391</v>
      </c>
      <c r="Z402" s="6">
        <f>[1]Results!AC110</f>
        <v>2.6006437999999998</v>
      </c>
      <c r="AA402" s="6">
        <f>[1]Results!AD110</f>
        <v>2.5689971620000001</v>
      </c>
      <c r="AB402" s="6">
        <f>[1]Results!AE110</f>
        <v>2.5392869500000002</v>
      </c>
      <c r="AC402" s="6">
        <f>[1]Results!AF110</f>
        <v>2.5112692710000002</v>
      </c>
      <c r="AD402" s="6">
        <f>[1]Results!AG110</f>
        <v>2.4844795240000002</v>
      </c>
      <c r="AE402" s="6">
        <f>[1]Results!AH110</f>
        <v>2.4583794440000002</v>
      </c>
      <c r="AF402" s="6">
        <f>[1]Results!AI110</f>
        <v>2.4324286979999998</v>
      </c>
      <c r="AG402" s="6">
        <f>[1]Results!AJ110</f>
        <v>2.4061623989999998</v>
      </c>
      <c r="AH402" s="6">
        <f>[1]Results!AK110</f>
        <v>2.3792452590000002</v>
      </c>
      <c r="AI402" s="6">
        <f>[1]Results!AL110</f>
        <v>2.3514990629999999</v>
      </c>
      <c r="AJ402" s="6">
        <f>[1]Results!AM110</f>
        <v>2.322873199</v>
      </c>
      <c r="AK402" s="6">
        <f>[1]Results!AN110</f>
        <v>2.293398882</v>
      </c>
      <c r="AL402" s="6">
        <f>[1]Results!AO110</f>
        <v>2.2631533020000001</v>
      </c>
    </row>
    <row r="404" spans="1:38" x14ac:dyDescent="0.3">
      <c r="A404" s="12" t="s">
        <v>65</v>
      </c>
      <c r="C404" s="2">
        <v>42005</v>
      </c>
      <c r="D404" s="2">
        <v>42370</v>
      </c>
      <c r="E404" s="2">
        <v>42736</v>
      </c>
      <c r="F404" s="2">
        <v>43101</v>
      </c>
      <c r="G404" s="2">
        <v>43466</v>
      </c>
      <c r="H404" s="2">
        <v>43831</v>
      </c>
      <c r="I404" s="2">
        <v>44197</v>
      </c>
      <c r="J404" s="2">
        <v>44562</v>
      </c>
      <c r="K404" s="2">
        <v>44927</v>
      </c>
      <c r="L404" s="2">
        <v>45292</v>
      </c>
      <c r="M404" s="2">
        <v>45658</v>
      </c>
      <c r="N404" s="2">
        <v>46023</v>
      </c>
      <c r="O404" s="2">
        <v>46388</v>
      </c>
      <c r="P404" s="2">
        <v>46753</v>
      </c>
      <c r="Q404" s="2">
        <v>47119</v>
      </c>
      <c r="R404" s="2">
        <v>47484</v>
      </c>
      <c r="S404" s="2">
        <v>47849</v>
      </c>
      <c r="T404" s="2">
        <v>48214</v>
      </c>
      <c r="U404" s="2">
        <v>48580</v>
      </c>
      <c r="V404" s="2">
        <v>48945</v>
      </c>
      <c r="W404" s="2">
        <v>49310</v>
      </c>
      <c r="X404" s="2">
        <v>49675</v>
      </c>
      <c r="Y404" s="2">
        <v>50041</v>
      </c>
      <c r="Z404" s="2">
        <v>50406</v>
      </c>
      <c r="AA404" s="2">
        <v>50771</v>
      </c>
      <c r="AB404" s="2">
        <v>51136</v>
      </c>
      <c r="AC404" s="2">
        <v>51502</v>
      </c>
      <c r="AD404" s="2">
        <v>51867</v>
      </c>
      <c r="AE404" s="2">
        <v>52232</v>
      </c>
      <c r="AF404" s="2">
        <v>52597</v>
      </c>
      <c r="AG404" s="2">
        <v>52963</v>
      </c>
      <c r="AH404" s="2">
        <v>53328</v>
      </c>
      <c r="AI404" s="2">
        <v>53693</v>
      </c>
      <c r="AJ404" s="2">
        <v>54058</v>
      </c>
      <c r="AK404" s="2">
        <v>54424</v>
      </c>
      <c r="AL404" s="2">
        <v>54789</v>
      </c>
    </row>
    <row r="405" spans="1:38" x14ac:dyDescent="0.3">
      <c r="A405" t="s">
        <v>26</v>
      </c>
      <c r="B405" t="s">
        <v>39</v>
      </c>
      <c r="C405" s="6">
        <f>[1]Results!F112</f>
        <v>3.476542051</v>
      </c>
      <c r="D405" s="6">
        <f>[1]Results!G112</f>
        <v>5.9493271419999996</v>
      </c>
      <c r="E405" s="6">
        <f>[1]Results!H112</f>
        <v>8.9586324899999994</v>
      </c>
      <c r="F405" s="6">
        <f>[1]Results!I112</f>
        <v>12.522361070000001</v>
      </c>
      <c r="G405" s="6">
        <f>[1]Results!J112</f>
        <v>16.48542767</v>
      </c>
      <c r="H405" s="6">
        <f>[1]Results!K112</f>
        <v>20.700597349999999</v>
      </c>
      <c r="I405" s="6">
        <f>[1]Results!L112</f>
        <v>25.043697160000001</v>
      </c>
      <c r="J405" s="6">
        <f>[1]Results!M112</f>
        <v>29.474793550000001</v>
      </c>
      <c r="K405" s="6">
        <f>[1]Results!N112</f>
        <v>33.952691979999997</v>
      </c>
      <c r="L405" s="6">
        <f>[1]Results!O112</f>
        <v>38.44972207</v>
      </c>
      <c r="M405" s="6">
        <f>[1]Results!P112</f>
        <v>42.987637939999999</v>
      </c>
      <c r="N405" s="6">
        <f>[1]Results!Q112</f>
        <v>47.47369295</v>
      </c>
      <c r="O405" s="6">
        <f>[1]Results!R112</f>
        <v>51.93936557</v>
      </c>
      <c r="P405" s="6">
        <f>[1]Results!S112</f>
        <v>56.378909720000003</v>
      </c>
      <c r="Q405" s="6">
        <f>[1]Results!T112</f>
        <v>60.787521230000003</v>
      </c>
      <c r="R405" s="6">
        <f>[1]Results!U112</f>
        <v>65.160634290000004</v>
      </c>
      <c r="S405" s="6">
        <f>[1]Results!V112</f>
        <v>69.493949330000007</v>
      </c>
      <c r="T405" s="6">
        <f>[1]Results!W112</f>
        <v>73.783745679999996</v>
      </c>
      <c r="U405" s="6">
        <f>[1]Results!X112</f>
        <v>78.027800299999996</v>
      </c>
      <c r="V405" s="6">
        <f>[1]Results!Y112</f>
        <v>82.226684309999996</v>
      </c>
      <c r="W405" s="6">
        <f>[1]Results!Z112</f>
        <v>86.357168439999995</v>
      </c>
      <c r="X405" s="6">
        <f>[1]Results!AA112</f>
        <v>90.481609090000006</v>
      </c>
      <c r="Y405" s="6">
        <f>[1]Results!AB112</f>
        <v>94.584363100000004</v>
      </c>
      <c r="Z405" s="6">
        <f>[1]Results!AC112</f>
        <v>98.675094290000004</v>
      </c>
      <c r="AA405" s="6">
        <f>[1]Results!AD112</f>
        <v>102.76032429999999</v>
      </c>
      <c r="AB405" s="6">
        <f>[1]Results!AE112</f>
        <v>106.7685895</v>
      </c>
      <c r="AC405" s="6">
        <f>[1]Results!AF112</f>
        <v>110.8118638</v>
      </c>
      <c r="AD405" s="6">
        <f>[1]Results!AG112</f>
        <v>114.8503819</v>
      </c>
      <c r="AE405" s="6">
        <f>[1]Results!AH112</f>
        <v>118.8809093</v>
      </c>
      <c r="AF405" s="6">
        <f>[1]Results!AI112</f>
        <v>122.89984629999999</v>
      </c>
      <c r="AG405" s="6">
        <f>[1]Results!AJ112</f>
        <v>126.9040033</v>
      </c>
      <c r="AH405" s="6">
        <f>[1]Results!AK112</f>
        <v>130.8908054</v>
      </c>
      <c r="AI405" s="6">
        <f>[1]Results!AL112</f>
        <v>134.85818259999999</v>
      </c>
      <c r="AJ405" s="6">
        <f>[1]Results!AM112</f>
        <v>138.8043653</v>
      </c>
      <c r="AK405" s="6">
        <f>[1]Results!AN112</f>
        <v>142.72771829999999</v>
      </c>
      <c r="AL405" s="6">
        <f>[1]Results!AO112</f>
        <v>146.6267259</v>
      </c>
    </row>
    <row r="406" spans="1:38" x14ac:dyDescent="0.3">
      <c r="B406" t="s">
        <v>40</v>
      </c>
      <c r="C406" s="6">
        <f>[1]Results!F113</f>
        <v>68.80476281</v>
      </c>
      <c r="D406" s="6">
        <f>[1]Results!G113</f>
        <v>76.548945099999997</v>
      </c>
      <c r="E406" s="6">
        <f>[1]Results!H113</f>
        <v>84.201254050000003</v>
      </c>
      <c r="F406" s="6">
        <f>[1]Results!I113</f>
        <v>91.342237030000007</v>
      </c>
      <c r="G406" s="6">
        <f>[1]Results!J113</f>
        <v>97.994505090000004</v>
      </c>
      <c r="H406" s="6">
        <f>[1]Results!K113</f>
        <v>104.15698020000001</v>
      </c>
      <c r="I406" s="6">
        <f>[1]Results!L113</f>
        <v>109.2362589</v>
      </c>
      <c r="J406" s="6">
        <f>[1]Results!M113</f>
        <v>113.9164674</v>
      </c>
      <c r="K406" s="6">
        <f>[1]Results!N113</f>
        <v>118.2795764</v>
      </c>
      <c r="L406" s="6">
        <f>[1]Results!O113</f>
        <v>122.4167202</v>
      </c>
      <c r="M406" s="6">
        <f>[1]Results!P113</f>
        <v>127.44774719999999</v>
      </c>
      <c r="N406" s="6">
        <f>[1]Results!Q113</f>
        <v>131.385896</v>
      </c>
      <c r="O406" s="6">
        <f>[1]Results!R113</f>
        <v>135.33052330000001</v>
      </c>
      <c r="P406" s="6">
        <f>[1]Results!S113</f>
        <v>139.32855409999999</v>
      </c>
      <c r="Q406" s="6">
        <f>[1]Results!T113</f>
        <v>143.41498809999999</v>
      </c>
      <c r="R406" s="6">
        <f>[1]Results!U113</f>
        <v>147.6155947</v>
      </c>
      <c r="S406" s="6">
        <f>[1]Results!V113</f>
        <v>151.9468315</v>
      </c>
      <c r="T406" s="6">
        <f>[1]Results!W113</f>
        <v>156.41567979999999</v>
      </c>
      <c r="U406" s="6">
        <f>[1]Results!X113</f>
        <v>161.01686319999999</v>
      </c>
      <c r="V406" s="6">
        <f>[1]Results!Y113</f>
        <v>165.73065829999999</v>
      </c>
      <c r="W406" s="6">
        <f>[1]Results!Z113</f>
        <v>169.84274970000001</v>
      </c>
      <c r="X406" s="6">
        <f>[1]Results!AA113</f>
        <v>174.6743744</v>
      </c>
      <c r="Y406" s="6">
        <f>[1]Results!AB113</f>
        <v>179.49201249999999</v>
      </c>
      <c r="Z406" s="6">
        <f>[1]Results!AC113</f>
        <v>184.25373930000001</v>
      </c>
      <c r="AA406" s="6">
        <f>[1]Results!AD113</f>
        <v>188.92937649999999</v>
      </c>
      <c r="AB406" s="6">
        <f>[1]Results!AE113</f>
        <v>191.64012740000001</v>
      </c>
      <c r="AC406" s="6">
        <f>[1]Results!AF113</f>
        <v>195.23516710000001</v>
      </c>
      <c r="AD406" s="6">
        <f>[1]Results!AG113</f>
        <v>198.7241113</v>
      </c>
      <c r="AE406" s="6">
        <f>[1]Results!AH113</f>
        <v>202.12255669999999</v>
      </c>
      <c r="AF406" s="6">
        <f>[1]Results!AI113</f>
        <v>205.4508548</v>
      </c>
      <c r="AG406" s="6">
        <f>[1]Results!AJ113</f>
        <v>208.72838960000001</v>
      </c>
      <c r="AH406" s="6">
        <f>[1]Results!AK113</f>
        <v>211.97140630000001</v>
      </c>
      <c r="AI406" s="6">
        <f>[1]Results!AL113</f>
        <v>215.19321249999999</v>
      </c>
      <c r="AJ406" s="6">
        <f>[1]Results!AM113</f>
        <v>218.40522849999999</v>
      </c>
      <c r="AK406" s="6">
        <f>[1]Results!AN113</f>
        <v>221.6178185</v>
      </c>
      <c r="AL406" s="6">
        <f>[1]Results!AO113</f>
        <v>224.84006959999999</v>
      </c>
    </row>
    <row r="407" spans="1:38" x14ac:dyDescent="0.3">
      <c r="B407" t="s">
        <v>41</v>
      </c>
      <c r="C407" s="6">
        <f>[1]Results!F114</f>
        <v>408.28039699999999</v>
      </c>
      <c r="D407" s="6">
        <f>[1]Results!G114</f>
        <v>425.45424279999997</v>
      </c>
      <c r="E407" s="6">
        <f>[1]Results!H114</f>
        <v>444.51863500000002</v>
      </c>
      <c r="F407" s="6">
        <f>[1]Results!I114</f>
        <v>463.85994299999999</v>
      </c>
      <c r="G407" s="6">
        <f>[1]Results!J114</f>
        <v>482.92276079999999</v>
      </c>
      <c r="H407" s="6">
        <f>[1]Results!K114</f>
        <v>501.27536880000002</v>
      </c>
      <c r="I407" s="6">
        <f>[1]Results!L114</f>
        <v>516.99354410000001</v>
      </c>
      <c r="J407" s="6">
        <f>[1]Results!M114</f>
        <v>531.85167679999995</v>
      </c>
      <c r="K407" s="6">
        <f>[1]Results!N114</f>
        <v>545.99704859999997</v>
      </c>
      <c r="L407" s="6">
        <f>[1]Results!O114</f>
        <v>559.62430640000002</v>
      </c>
      <c r="M407" s="6">
        <f>[1]Results!P114</f>
        <v>575.82885929999998</v>
      </c>
      <c r="N407" s="6">
        <f>[1]Results!Q114</f>
        <v>588.96569950000003</v>
      </c>
      <c r="O407" s="6">
        <f>[1]Results!R114</f>
        <v>602.07106490000001</v>
      </c>
      <c r="P407" s="6">
        <f>[1]Results!S114</f>
        <v>615.24509479999995</v>
      </c>
      <c r="Q407" s="6">
        <f>[1]Results!T114</f>
        <v>628.56771470000001</v>
      </c>
      <c r="R407" s="6">
        <f>[1]Results!U114</f>
        <v>642.10193349999997</v>
      </c>
      <c r="S407" s="6">
        <f>[1]Results!V114</f>
        <v>655.89061670000001</v>
      </c>
      <c r="T407" s="6">
        <f>[1]Results!W114</f>
        <v>669.9540131</v>
      </c>
      <c r="U407" s="6">
        <f>[1]Results!X114</f>
        <v>684.28232849999995</v>
      </c>
      <c r="V407" s="6">
        <f>[1]Results!Y114</f>
        <v>698.83083399999998</v>
      </c>
      <c r="W407" s="6">
        <f>[1]Results!Z114</f>
        <v>711.60600309999995</v>
      </c>
      <c r="X407" s="6">
        <f>[1]Results!AA114</f>
        <v>726.34517200000005</v>
      </c>
      <c r="Y407" s="6">
        <f>[1]Results!AB114</f>
        <v>741.01588819999995</v>
      </c>
      <c r="Z407" s="6">
        <f>[1]Results!AC114</f>
        <v>755.52311150000003</v>
      </c>
      <c r="AA407" s="6">
        <f>[1]Results!AD114</f>
        <v>769.79867119999994</v>
      </c>
      <c r="AB407" s="6">
        <f>[1]Results!AE114</f>
        <v>778.56588580000005</v>
      </c>
      <c r="AC407" s="6">
        <f>[1]Results!AF114</f>
        <v>789.83712290000005</v>
      </c>
      <c r="AD407" s="6">
        <f>[1]Results!AG114</f>
        <v>800.83619220000003</v>
      </c>
      <c r="AE407" s="6">
        <f>[1]Results!AH114</f>
        <v>811.60214229999997</v>
      </c>
      <c r="AF407" s="6">
        <f>[1]Results!AI114</f>
        <v>822.18337759999997</v>
      </c>
      <c r="AG407" s="6">
        <f>[1]Results!AJ114</f>
        <v>832.6254596</v>
      </c>
      <c r="AH407" s="6">
        <f>[1]Results!AK114</f>
        <v>842.96650769999997</v>
      </c>
      <c r="AI407" s="6">
        <f>[1]Results!AL114</f>
        <v>853.23763959999997</v>
      </c>
      <c r="AJ407" s="6">
        <f>[1]Results!AM114</f>
        <v>863.46525550000001</v>
      </c>
      <c r="AK407" s="6">
        <f>[1]Results!AN114</f>
        <v>873.67292299999997</v>
      </c>
      <c r="AL407" s="6">
        <f>[1]Results!AO114</f>
        <v>883.88099350000005</v>
      </c>
    </row>
    <row r="408" spans="1:38" x14ac:dyDescent="0.3">
      <c r="B408" t="s">
        <v>42</v>
      </c>
      <c r="C408" s="6">
        <f>[1]Results!F115</f>
        <v>954.38155940000001</v>
      </c>
      <c r="D408" s="6">
        <f>[1]Results!G115</f>
        <v>948.79342759999997</v>
      </c>
      <c r="E408" s="6">
        <f>[1]Results!H115</f>
        <v>944.11476779999998</v>
      </c>
      <c r="F408" s="6">
        <f>[1]Results!I115</f>
        <v>939.60345819999998</v>
      </c>
      <c r="G408" s="6">
        <f>[1]Results!J115</f>
        <v>935.1567483</v>
      </c>
      <c r="H408" s="6">
        <f>[1]Results!K115</f>
        <v>930.72706019999998</v>
      </c>
      <c r="I408" s="6">
        <f>[1]Results!L115</f>
        <v>926.30126819999998</v>
      </c>
      <c r="J408" s="6">
        <f>[1]Results!M115</f>
        <v>921.87863600000003</v>
      </c>
      <c r="K408" s="6">
        <f>[1]Results!N115</f>
        <v>917.46255240000005</v>
      </c>
      <c r="L408" s="6">
        <f>[1]Results!O115</f>
        <v>913.0571013</v>
      </c>
      <c r="M408" s="6">
        <f>[1]Results!P115</f>
        <v>908.66624379999996</v>
      </c>
      <c r="N408" s="6">
        <f>[1]Results!Q115</f>
        <v>904.29465219999997</v>
      </c>
      <c r="O408" s="6">
        <f>[1]Results!R115</f>
        <v>899.9459617</v>
      </c>
      <c r="P408" s="6">
        <f>[1]Results!S115</f>
        <v>895.62383260000001</v>
      </c>
      <c r="Q408" s="6">
        <f>[1]Results!T115</f>
        <v>891.33132420000004</v>
      </c>
      <c r="R408" s="6">
        <f>[1]Results!U115</f>
        <v>887.07092050000006</v>
      </c>
      <c r="S408" s="6">
        <f>[1]Results!V115</f>
        <v>882.84454370000003</v>
      </c>
      <c r="T408" s="6">
        <f>[1]Results!W115</f>
        <v>878.65346569999997</v>
      </c>
      <c r="U408" s="6">
        <f>[1]Results!X115</f>
        <v>874.4978476</v>
      </c>
      <c r="V408" s="6">
        <f>[1]Results!Y115</f>
        <v>870.37627780000003</v>
      </c>
      <c r="W408" s="6">
        <f>[1]Results!Z115</f>
        <v>866.28581689999999</v>
      </c>
      <c r="X408" s="6">
        <f>[1]Results!AA115</f>
        <v>862.22180130000004</v>
      </c>
      <c r="Y408" s="6">
        <f>[1]Results!AB115</f>
        <v>858.17971620000003</v>
      </c>
      <c r="Z408" s="6">
        <f>[1]Results!AC115</f>
        <v>854.15513380000004</v>
      </c>
      <c r="AA408" s="6">
        <f>[1]Results!AD115</f>
        <v>850.14484860000005</v>
      </c>
      <c r="AB408" s="6">
        <f>[1]Results!AE115</f>
        <v>846.1473671</v>
      </c>
      <c r="AC408" s="6">
        <f>[1]Results!AF115</f>
        <v>842.16152980000004</v>
      </c>
      <c r="AD408" s="6">
        <f>[1]Results!AG115</f>
        <v>838.18867109999997</v>
      </c>
      <c r="AE408" s="6">
        <f>[1]Results!AH115</f>
        <v>834.23026749999997</v>
      </c>
      <c r="AF408" s="6">
        <f>[1]Results!AI115</f>
        <v>830.28795019999995</v>
      </c>
      <c r="AG408" s="6">
        <f>[1]Results!AJ115</f>
        <v>826.36323990000005</v>
      </c>
      <c r="AH408" s="6">
        <f>[1]Results!AK115</f>
        <v>822.45744319999994</v>
      </c>
      <c r="AI408" s="6">
        <f>[1]Results!AL115</f>
        <v>818.5716592</v>
      </c>
      <c r="AJ408" s="6">
        <f>[1]Results!AM115</f>
        <v>814.70683229999997</v>
      </c>
      <c r="AK408" s="6">
        <f>[1]Results!AN115</f>
        <v>810.86380589999999</v>
      </c>
      <c r="AL408" s="6">
        <f>[1]Results!AO115</f>
        <v>807.04331439999999</v>
      </c>
    </row>
    <row r="409" spans="1:38" x14ac:dyDescent="0.3">
      <c r="B409" t="s">
        <v>43</v>
      </c>
      <c r="C409" s="6">
        <f>[1]Results!F116</f>
        <v>878.79999729999997</v>
      </c>
      <c r="D409" s="6">
        <f>[1]Results!G116</f>
        <v>867.28083979999997</v>
      </c>
      <c r="E409" s="6">
        <f>[1]Results!H116</f>
        <v>854.93762000000004</v>
      </c>
      <c r="F409" s="6">
        <f>[1]Results!I116</f>
        <v>842.00446169999998</v>
      </c>
      <c r="G409" s="6">
        <f>[1]Results!J116</f>
        <v>829.23736169999995</v>
      </c>
      <c r="H409" s="6">
        <f>[1]Results!K116</f>
        <v>817.25585360000002</v>
      </c>
      <c r="I409" s="6">
        <f>[1]Results!L116</f>
        <v>806.33468889999995</v>
      </c>
      <c r="J409" s="6">
        <f>[1]Results!M116</f>
        <v>796.47759340000005</v>
      </c>
      <c r="K409" s="6">
        <f>[1]Results!N116</f>
        <v>787.53321129999995</v>
      </c>
      <c r="L409" s="6">
        <f>[1]Results!O116</f>
        <v>779.27214309999999</v>
      </c>
      <c r="M409" s="6">
        <f>[1]Results!P116</f>
        <v>771.46888109999998</v>
      </c>
      <c r="N409" s="6">
        <f>[1]Results!Q116</f>
        <v>763.88832230000003</v>
      </c>
      <c r="O409" s="6">
        <f>[1]Results!R116</f>
        <v>756.34918389999996</v>
      </c>
      <c r="P409" s="6">
        <f>[1]Results!S116</f>
        <v>748.71496790000003</v>
      </c>
      <c r="Q409" s="6">
        <f>[1]Results!T116</f>
        <v>740.88043870000001</v>
      </c>
      <c r="R409" s="6">
        <f>[1]Results!U116</f>
        <v>732.7670488</v>
      </c>
      <c r="S409" s="6">
        <f>[1]Results!V116</f>
        <v>724.32574720000002</v>
      </c>
      <c r="T409" s="6">
        <f>[1]Results!W116</f>
        <v>715.53827920000003</v>
      </c>
      <c r="U409" s="6">
        <f>[1]Results!X116</f>
        <v>706.42493000000002</v>
      </c>
      <c r="V409" s="6">
        <f>[1]Results!Y116</f>
        <v>697.04895280000005</v>
      </c>
      <c r="W409" s="6">
        <f>[1]Results!Z116</f>
        <v>687.4945467</v>
      </c>
      <c r="X409" s="6">
        <f>[1]Results!AA116</f>
        <v>677.90908479999996</v>
      </c>
      <c r="Y409" s="6">
        <f>[1]Results!AB116</f>
        <v>668.43098429999998</v>
      </c>
      <c r="Z409" s="6">
        <f>[1]Results!AC116</f>
        <v>659.17886769999996</v>
      </c>
      <c r="AA409" s="6">
        <f>[1]Results!AD116</f>
        <v>650.23854470000003</v>
      </c>
      <c r="AB409" s="6">
        <f>[1]Results!AE116</f>
        <v>641.62122109999996</v>
      </c>
      <c r="AC409" s="6">
        <f>[1]Results!AF116</f>
        <v>633.36881489999996</v>
      </c>
      <c r="AD409" s="6">
        <f>[1]Results!AG116</f>
        <v>625.46989459999998</v>
      </c>
      <c r="AE409" s="6">
        <f>[1]Results!AH116</f>
        <v>617.87667309999995</v>
      </c>
      <c r="AF409" s="6">
        <f>[1]Results!AI116</f>
        <v>610.52770720000001</v>
      </c>
      <c r="AG409" s="6">
        <f>[1]Results!AJ116</f>
        <v>603.36452020000002</v>
      </c>
      <c r="AH409" s="6">
        <f>[1]Results!AK116</f>
        <v>596.33804120000002</v>
      </c>
      <c r="AI409" s="6">
        <f>[1]Results!AL116</f>
        <v>589.40817049999998</v>
      </c>
      <c r="AJ409" s="6">
        <f>[1]Results!AM116</f>
        <v>582.54082019999998</v>
      </c>
      <c r="AK409" s="6">
        <f>[1]Results!AN116</f>
        <v>575.70551609999995</v>
      </c>
      <c r="AL409" s="6">
        <f>[1]Results!AO116</f>
        <v>568.87604280000005</v>
      </c>
    </row>
    <row r="410" spans="1:38" x14ac:dyDescent="0.3">
      <c r="B410" t="s">
        <v>44</v>
      </c>
      <c r="C410" s="6">
        <f>[1]Results!F117</f>
        <v>139.85209269999999</v>
      </c>
      <c r="D410" s="6">
        <f>[1]Results!G117</f>
        <v>137.9738577</v>
      </c>
      <c r="E410" s="6">
        <f>[1]Results!H117</f>
        <v>136.18879580000001</v>
      </c>
      <c r="F410" s="6">
        <f>[1]Results!I117</f>
        <v>134.53879280000001</v>
      </c>
      <c r="G410" s="6">
        <f>[1]Results!J117</f>
        <v>133.05573200000001</v>
      </c>
      <c r="H410" s="6">
        <f>[1]Results!K117</f>
        <v>131.746453</v>
      </c>
      <c r="I410" s="6">
        <f>[1]Results!L117</f>
        <v>130.59047229999999</v>
      </c>
      <c r="J410" s="6">
        <f>[1]Results!M117</f>
        <v>129.5523249</v>
      </c>
      <c r="K410" s="6">
        <f>[1]Results!N117</f>
        <v>128.59574939999999</v>
      </c>
      <c r="L410" s="6">
        <f>[1]Results!O117</f>
        <v>127.6916976</v>
      </c>
      <c r="M410" s="6">
        <f>[1]Results!P117</f>
        <v>126.82003280000001</v>
      </c>
      <c r="N410" s="6">
        <f>[1]Results!Q117</f>
        <v>125.96732539999999</v>
      </c>
      <c r="O410" s="6">
        <f>[1]Results!R117</f>
        <v>125.1246617</v>
      </c>
      <c r="P410" s="6">
        <f>[1]Results!S117</f>
        <v>124.2851149</v>
      </c>
      <c r="Q410" s="6">
        <f>[1]Results!T117</f>
        <v>123.4421376</v>
      </c>
      <c r="R410" s="6">
        <f>[1]Results!U117</f>
        <v>122.58883659999999</v>
      </c>
      <c r="S410" s="6">
        <f>[1]Results!V117</f>
        <v>121.7183117</v>
      </c>
      <c r="T410" s="6">
        <f>[1]Results!W117</f>
        <v>120.82463850000001</v>
      </c>
      <c r="U410" s="6">
        <f>[1]Results!X117</f>
        <v>119.9047095</v>
      </c>
      <c r="V410" s="6">
        <f>[1]Results!Y117</f>
        <v>118.9599777</v>
      </c>
      <c r="W410" s="6">
        <f>[1]Results!Z117</f>
        <v>117.9965665</v>
      </c>
      <c r="X410" s="6">
        <f>[1]Results!AA117</f>
        <v>117.0255191</v>
      </c>
      <c r="Y410" s="6">
        <f>[1]Results!AB117</f>
        <v>116.0593925</v>
      </c>
      <c r="Z410" s="6">
        <f>[1]Results!AC117</f>
        <v>115.109942</v>
      </c>
      <c r="AA410" s="6">
        <f>[1]Results!AD117</f>
        <v>114.18547119999999</v>
      </c>
      <c r="AB410" s="6">
        <f>[1]Results!AE117</f>
        <v>113.2892473</v>
      </c>
      <c r="AC410" s="6">
        <f>[1]Results!AF117</f>
        <v>112.4218128</v>
      </c>
      <c r="AD410" s="6">
        <f>[1]Results!AG117</f>
        <v>111.57999</v>
      </c>
      <c r="AE410" s="6">
        <f>[1]Results!AH117</f>
        <v>110.7593138</v>
      </c>
      <c r="AF410" s="6">
        <f>[1]Results!AI117</f>
        <v>109.9551403</v>
      </c>
      <c r="AG410" s="6">
        <f>[1]Results!AJ117</f>
        <v>109.1633257</v>
      </c>
      <c r="AH410" s="6">
        <f>[1]Results!AK117</f>
        <v>108.3804119</v>
      </c>
      <c r="AI410" s="6">
        <f>[1]Results!AL117</f>
        <v>107.60352570000001</v>
      </c>
      <c r="AJ410" s="6">
        <f>[1]Results!AM117</f>
        <v>106.83017460000001</v>
      </c>
      <c r="AK410" s="6">
        <f>[1]Results!AN117</f>
        <v>106.0580617</v>
      </c>
      <c r="AL410" s="6">
        <f>[1]Results!AO117</f>
        <v>105.28506520000001</v>
      </c>
    </row>
    <row r="411" spans="1:38" x14ac:dyDescent="0.3">
      <c r="B411" t="s">
        <v>45</v>
      </c>
      <c r="C411" s="6">
        <f>[1]Results!F118</f>
        <v>3.874567114</v>
      </c>
      <c r="D411" s="6">
        <f>[1]Results!G118</f>
        <v>3.7257333199999998</v>
      </c>
      <c r="E411" s="6">
        <f>[1]Results!H118</f>
        <v>3.5884012969999999</v>
      </c>
      <c r="F411" s="6">
        <f>[1]Results!I118</f>
        <v>3.465730529</v>
      </c>
      <c r="G411" s="6">
        <f>[1]Results!J118</f>
        <v>3.360677511</v>
      </c>
      <c r="H411" s="6">
        <f>[1]Results!K118</f>
        <v>3.2746864850000001</v>
      </c>
      <c r="I411" s="6">
        <f>[1]Results!L118</f>
        <v>3.2068595800000002</v>
      </c>
      <c r="J411" s="6">
        <f>[1]Results!M118</f>
        <v>3.1543563890000001</v>
      </c>
      <c r="K411" s="6">
        <f>[1]Results!N118</f>
        <v>3.1134469619999998</v>
      </c>
      <c r="L411" s="6">
        <f>[1]Results!O118</f>
        <v>3.0804849330000001</v>
      </c>
      <c r="M411" s="6">
        <f>[1]Results!P118</f>
        <v>3.052479124</v>
      </c>
      <c r="N411" s="6">
        <f>[1]Results!Q118</f>
        <v>3.0270684719999998</v>
      </c>
      <c r="O411" s="6">
        <f>[1]Results!R118</f>
        <v>3.0024908080000001</v>
      </c>
      <c r="P411" s="6">
        <f>[1]Results!S118</f>
        <v>2.9772941999999998</v>
      </c>
      <c r="Q411" s="6">
        <f>[1]Results!T118</f>
        <v>2.9501832389999998</v>
      </c>
      <c r="R411" s="6">
        <f>[1]Results!U118</f>
        <v>2.9200049670000001</v>
      </c>
      <c r="S411" s="6">
        <f>[1]Results!V118</f>
        <v>2.885867819</v>
      </c>
      <c r="T411" s="6">
        <f>[1]Results!W118</f>
        <v>2.847272582</v>
      </c>
      <c r="U411" s="6">
        <f>[1]Results!X118</f>
        <v>2.8042777550000002</v>
      </c>
      <c r="V411" s="6">
        <f>[1]Results!Y118</f>
        <v>2.7575737579999999</v>
      </c>
      <c r="W411" s="6">
        <f>[1]Results!Z118</f>
        <v>2.708338999</v>
      </c>
      <c r="X411" s="6">
        <f>[1]Results!AA118</f>
        <v>2.6581985079999999</v>
      </c>
      <c r="Y411" s="6">
        <f>[1]Results!AB118</f>
        <v>2.608794085</v>
      </c>
      <c r="Z411" s="6">
        <f>[1]Results!AC118</f>
        <v>2.5615818770000001</v>
      </c>
      <c r="AA411" s="6">
        <f>[1]Results!AD118</f>
        <v>2.5175875790000002</v>
      </c>
      <c r="AB411" s="6">
        <f>[1]Results!AE118</f>
        <v>2.4772236319999998</v>
      </c>
      <c r="AC411" s="6">
        <f>[1]Results!AF118</f>
        <v>2.4406054209999999</v>
      </c>
      <c r="AD411" s="6">
        <f>[1]Results!AG118</f>
        <v>2.4073386960000001</v>
      </c>
      <c r="AE411" s="6">
        <f>[1]Results!AH118</f>
        <v>2.3768156070000002</v>
      </c>
      <c r="AF411" s="6">
        <f>[1]Results!AI118</f>
        <v>2.34836242</v>
      </c>
      <c r="AG411" s="6">
        <f>[1]Results!AJ118</f>
        <v>2.3213499039999999</v>
      </c>
      <c r="AH411" s="6">
        <f>[1]Results!AK118</f>
        <v>2.2952372780000001</v>
      </c>
      <c r="AI411" s="6">
        <f>[1]Results!AL118</f>
        <v>2.2695705159999999</v>
      </c>
      <c r="AJ411" s="6">
        <f>[1]Results!AM118</f>
        <v>2.243961525</v>
      </c>
      <c r="AK411" s="6">
        <f>[1]Results!AN118</f>
        <v>2.2180681980000001</v>
      </c>
      <c r="AL411" s="6">
        <f>[1]Results!AO118</f>
        <v>2.1915978209999998</v>
      </c>
    </row>
    <row r="413" spans="1:38" x14ac:dyDescent="0.3">
      <c r="A413" s="12" t="s">
        <v>66</v>
      </c>
      <c r="B413" s="6" t="str">
        <f>[1]Emissions!A830</f>
        <v>ems_ci_co2_sagr_2</v>
      </c>
      <c r="C413" s="6">
        <f>[1]Emissions!B830</f>
        <v>11.91229208</v>
      </c>
      <c r="D413" s="6">
        <f>[1]Emissions!C830</f>
        <v>11.766586050000001</v>
      </c>
      <c r="E413" s="6">
        <f>[1]Emissions!D830</f>
        <v>11.58078179</v>
      </c>
      <c r="F413" s="6">
        <f>[1]Emissions!E830</f>
        <v>11.43452162</v>
      </c>
      <c r="G413" s="6">
        <f>[1]Emissions!F830</f>
        <v>11.36323118</v>
      </c>
      <c r="H413" s="6">
        <f>[1]Emissions!G830</f>
        <v>11.376561239999999</v>
      </c>
      <c r="I413" s="6">
        <f>[1]Emissions!H830</f>
        <v>12.06797403</v>
      </c>
      <c r="J413" s="6">
        <f>[1]Emissions!I830</f>
        <v>12.367544410000001</v>
      </c>
      <c r="K413" s="6">
        <f>[1]Emissions!J830</f>
        <v>12.642559159999999</v>
      </c>
      <c r="L413" s="6">
        <f>[1]Emissions!K830</f>
        <v>12.85079561</v>
      </c>
      <c r="M413" s="6">
        <f>[1]Emissions!L830</f>
        <v>12.950466580000001</v>
      </c>
      <c r="N413" s="6">
        <f>[1]Emissions!M830</f>
        <v>12.93934393</v>
      </c>
      <c r="O413" s="6">
        <f>[1]Emissions!N830</f>
        <v>12.86138702</v>
      </c>
      <c r="P413" s="6">
        <f>[1]Emissions!O830</f>
        <v>12.766243640000001</v>
      </c>
      <c r="Q413" s="6">
        <f>[1]Emissions!P830</f>
        <v>12.69038975</v>
      </c>
      <c r="R413" s="6">
        <f>[1]Emissions!Q830</f>
        <v>12.65006286</v>
      </c>
      <c r="S413" s="6">
        <f>[1]Emissions!R830</f>
        <v>12.64407186</v>
      </c>
      <c r="T413" s="6">
        <f>[1]Emissions!S830</f>
        <v>12.66138649</v>
      </c>
      <c r="U413" s="6">
        <f>[1]Emissions!T830</f>
        <v>12.68918137</v>
      </c>
      <c r="V413" s="6">
        <f>[1]Emissions!U830</f>
        <v>12.71840169</v>
      </c>
      <c r="W413" s="6">
        <f>[1]Emissions!V830</f>
        <v>12.73947918</v>
      </c>
      <c r="X413" s="6">
        <f>[1]Emissions!W830</f>
        <v>12.76251443</v>
      </c>
      <c r="Y413" s="6">
        <f>[1]Emissions!X830</f>
        <v>12.78837264</v>
      </c>
      <c r="Z413" s="6">
        <f>[1]Emissions!Y830</f>
        <v>12.820471019999999</v>
      </c>
      <c r="AA413" s="6">
        <f>[1]Emissions!Z830</f>
        <v>12.861111259999999</v>
      </c>
      <c r="AB413" s="6">
        <f>[1]Emissions!AA830</f>
        <v>12.89162249</v>
      </c>
      <c r="AC413" s="6">
        <f>[1]Emissions!AB830</f>
        <v>12.927166079999999</v>
      </c>
      <c r="AD413" s="6">
        <f>[1]Emissions!AC830</f>
        <v>12.95960148</v>
      </c>
      <c r="AE413" s="6">
        <f>[1]Emissions!AD830</f>
        <v>12.98568085</v>
      </c>
      <c r="AF413" s="6">
        <f>[1]Emissions!AE830</f>
        <v>13.00596867</v>
      </c>
      <c r="AG413" s="6">
        <f>[1]Emissions!AF830</f>
        <v>13.02339791</v>
      </c>
      <c r="AH413" s="6">
        <f>[1]Emissions!AG830</f>
        <v>13.041407489999999</v>
      </c>
      <c r="AI413" s="6">
        <f>[1]Emissions!AH830</f>
        <v>13.062439299999999</v>
      </c>
      <c r="AJ413" s="6">
        <f>[1]Emissions!AI830</f>
        <v>13.0872811</v>
      </c>
      <c r="AK413" s="6">
        <f>[1]Emissions!AJ830</f>
        <v>13.11525775</v>
      </c>
      <c r="AL413" s="6">
        <f>[1]Emissions!AK830</f>
        <v>13.144935650000001</v>
      </c>
    </row>
    <row r="414" spans="1:38" x14ac:dyDescent="0.3">
      <c r="A414" t="s">
        <v>27</v>
      </c>
      <c r="B414" s="6" t="str">
        <f>[1]Emissions!A831</f>
        <v>ems_y_co2_sagr_2</v>
      </c>
      <c r="C414" s="6">
        <f>[1]Emissions!B831</f>
        <v>2.3494161770000002</v>
      </c>
      <c r="D414" s="6">
        <f>[1]Emissions!C831</f>
        <v>2.332651281</v>
      </c>
      <c r="E414" s="6">
        <f>[1]Emissions!D831</f>
        <v>2.320756571</v>
      </c>
      <c r="F414" s="6">
        <f>[1]Emissions!E831</f>
        <v>2.3177076919999999</v>
      </c>
      <c r="G414" s="6">
        <f>[1]Emissions!F831</f>
        <v>2.3245017369999998</v>
      </c>
      <c r="H414" s="6">
        <f>[1]Emissions!G831</f>
        <v>2.340057125</v>
      </c>
      <c r="I414" s="6">
        <f>[1]Emissions!H831</f>
        <v>2.3724455710000001</v>
      </c>
      <c r="J414" s="6">
        <f>[1]Emissions!I831</f>
        <v>2.3888838579999998</v>
      </c>
      <c r="K414" s="6">
        <f>[1]Emissions!J831</f>
        <v>2.3956137649999998</v>
      </c>
      <c r="L414" s="6">
        <f>[1]Emissions!K831</f>
        <v>2.3953883079999998</v>
      </c>
      <c r="M414" s="6">
        <f>[1]Emissions!L831</f>
        <v>2.3933985400000002</v>
      </c>
      <c r="N414" s="6">
        <f>[1]Emissions!M831</f>
        <v>2.3890367910000001</v>
      </c>
      <c r="O414" s="6">
        <f>[1]Emissions!N831</f>
        <v>2.3846568700000002</v>
      </c>
      <c r="P414" s="6">
        <f>[1]Emissions!O831</f>
        <v>2.3813581109999999</v>
      </c>
      <c r="Q414" s="6">
        <f>[1]Emissions!P831</f>
        <v>2.3797885110000001</v>
      </c>
      <c r="R414" s="6">
        <f>[1]Emissions!Q831</f>
        <v>2.3803169130000001</v>
      </c>
      <c r="S414" s="6">
        <f>[1]Emissions!R831</f>
        <v>2.383144353</v>
      </c>
      <c r="T414" s="6">
        <f>[1]Emissions!S831</f>
        <v>2.3883458279999998</v>
      </c>
      <c r="U414" s="6">
        <f>[1]Emissions!T831</f>
        <v>2.395864</v>
      </c>
      <c r="V414" s="6">
        <f>[1]Emissions!U831</f>
        <v>2.40548969</v>
      </c>
      <c r="W414" s="6">
        <f>[1]Emissions!V831</f>
        <v>2.4152958020000002</v>
      </c>
      <c r="X414" s="6">
        <f>[1]Emissions!W831</f>
        <v>2.427135764</v>
      </c>
      <c r="Y414" s="6">
        <f>[1]Emissions!X831</f>
        <v>2.4399691520000002</v>
      </c>
      <c r="Z414" s="6">
        <f>[1]Emissions!Y831</f>
        <v>2.4532737199999999</v>
      </c>
      <c r="AA414" s="6">
        <f>[1]Emissions!Z831</f>
        <v>2.4665674829999999</v>
      </c>
      <c r="AB414" s="6">
        <f>[1]Emissions!AA831</f>
        <v>2.4749710340000002</v>
      </c>
      <c r="AC414" s="6">
        <f>[1]Emissions!AB831</f>
        <v>2.4830390790000001</v>
      </c>
      <c r="AD414" s="6">
        <f>[1]Emissions!AC831</f>
        <v>2.490165395</v>
      </c>
      <c r="AE414" s="6">
        <f>[1]Emissions!AD831</f>
        <v>2.4966538100000002</v>
      </c>
      <c r="AF414" s="6">
        <f>[1]Emissions!AE831</f>
        <v>2.502757984</v>
      </c>
      <c r="AG414" s="6">
        <f>[1]Emissions!AF831</f>
        <v>2.5086609599999998</v>
      </c>
      <c r="AH414" s="6">
        <f>[1]Emissions!AG831</f>
        <v>2.5144803530000002</v>
      </c>
      <c r="AI414" s="6">
        <f>[1]Emissions!AH831</f>
        <v>2.5202872670000001</v>
      </c>
      <c r="AJ414" s="6">
        <f>[1]Emissions!AI831</f>
        <v>2.5261267919999999</v>
      </c>
      <c r="AK414" s="6">
        <f>[1]Emissions!AJ831</f>
        <v>2.5320316809999999</v>
      </c>
      <c r="AL414" s="6">
        <f>[1]Emissions!AK831</f>
        <v>2.5380268240000001</v>
      </c>
    </row>
    <row r="415" spans="1:38" x14ac:dyDescent="0.3">
      <c r="B415" s="6" t="str">
        <f>[1]Emissions!A832</f>
        <v>ems_mat_co2_sagr_2</v>
      </c>
      <c r="C415" s="6">
        <f>[1]Emissions!B832</f>
        <v>0</v>
      </c>
      <c r="D415" s="6">
        <f>[1]Emissions!C832</f>
        <v>0</v>
      </c>
      <c r="E415" s="6">
        <f>[1]Emissions!D832</f>
        <v>0</v>
      </c>
      <c r="F415" s="6">
        <f>[1]Emissions!E832</f>
        <v>0</v>
      </c>
      <c r="G415" s="6">
        <f>[1]Emissions!F832</f>
        <v>0</v>
      </c>
      <c r="H415" s="6">
        <f>[1]Emissions!G832</f>
        <v>0</v>
      </c>
      <c r="I415" s="6">
        <f>[1]Emissions!H832</f>
        <v>0</v>
      </c>
      <c r="J415" s="6">
        <f>[1]Emissions!I832</f>
        <v>0</v>
      </c>
      <c r="K415" s="6">
        <f>[1]Emissions!J832</f>
        <v>0</v>
      </c>
      <c r="L415" s="6">
        <f>[1]Emissions!K832</f>
        <v>0</v>
      </c>
      <c r="M415" s="6">
        <f>[1]Emissions!L832</f>
        <v>0</v>
      </c>
      <c r="N415" s="6">
        <f>[1]Emissions!M832</f>
        <v>0</v>
      </c>
      <c r="O415" s="6">
        <f>[1]Emissions!N832</f>
        <v>0</v>
      </c>
      <c r="P415" s="6">
        <f>[1]Emissions!O832</f>
        <v>0</v>
      </c>
      <c r="Q415" s="6">
        <f>[1]Emissions!P832</f>
        <v>0</v>
      </c>
      <c r="R415" s="6">
        <f>[1]Emissions!Q832</f>
        <v>0</v>
      </c>
      <c r="S415" s="6">
        <f>[1]Emissions!R832</f>
        <v>0</v>
      </c>
      <c r="T415" s="6">
        <f>[1]Emissions!S832</f>
        <v>0</v>
      </c>
      <c r="U415" s="6">
        <f>[1]Emissions!T832</f>
        <v>0</v>
      </c>
      <c r="V415" s="6">
        <f>[1]Emissions!U832</f>
        <v>0</v>
      </c>
      <c r="W415" s="6">
        <f>[1]Emissions!V832</f>
        <v>0</v>
      </c>
      <c r="X415" s="6">
        <f>[1]Emissions!W832</f>
        <v>0</v>
      </c>
      <c r="Y415" s="6">
        <f>[1]Emissions!X832</f>
        <v>0</v>
      </c>
      <c r="Z415" s="6">
        <f>[1]Emissions!Y832</f>
        <v>0</v>
      </c>
      <c r="AA415" s="6">
        <f>[1]Emissions!Z832</f>
        <v>0</v>
      </c>
      <c r="AB415" s="6">
        <f>[1]Emissions!AA832</f>
        <v>0</v>
      </c>
      <c r="AC415" s="6">
        <f>[1]Emissions!AB832</f>
        <v>0</v>
      </c>
      <c r="AD415" s="6">
        <f>[1]Emissions!AC832</f>
        <v>0</v>
      </c>
      <c r="AE415" s="6">
        <f>[1]Emissions!AD832</f>
        <v>0</v>
      </c>
      <c r="AF415" s="6">
        <f>[1]Emissions!AE832</f>
        <v>0</v>
      </c>
      <c r="AG415" s="6">
        <f>[1]Emissions!AF832</f>
        <v>0</v>
      </c>
      <c r="AH415" s="6">
        <f>[1]Emissions!AG832</f>
        <v>0</v>
      </c>
      <c r="AI415" s="6">
        <f>[1]Emissions!AH832</f>
        <v>0</v>
      </c>
      <c r="AJ415" s="6">
        <f>[1]Emissions!AI832</f>
        <v>0</v>
      </c>
      <c r="AK415" s="6">
        <f>[1]Emissions!AJ832</f>
        <v>0</v>
      </c>
      <c r="AL415" s="6">
        <f>[1]Emissions!AK832</f>
        <v>0</v>
      </c>
    </row>
    <row r="416" spans="1:38" x14ac:dyDescent="0.3">
      <c r="B416" s="6" t="str">
        <f>[1]Emissions!A833</f>
        <v>ems_ci_co2_sfor_2</v>
      </c>
      <c r="C416" s="6">
        <f>[1]Emissions!B833</f>
        <v>0.52096150529999996</v>
      </c>
      <c r="D416" s="6">
        <f>[1]Emissions!C833</f>
        <v>0.50699637990000002</v>
      </c>
      <c r="E416" s="6">
        <f>[1]Emissions!D833</f>
        <v>0.49206658749999999</v>
      </c>
      <c r="F416" s="6">
        <f>[1]Emissions!E833</f>
        <v>0.47962980999999999</v>
      </c>
      <c r="G416" s="6">
        <f>[1]Emissions!F833</f>
        <v>0.47064221350000002</v>
      </c>
      <c r="H416" s="6">
        <f>[1]Emissions!G833</f>
        <v>0.46535881429999998</v>
      </c>
      <c r="I416" s="6">
        <f>[1]Emissions!H833</f>
        <v>0.49298111610000001</v>
      </c>
      <c r="J416" s="6">
        <f>[1]Emissions!I833</f>
        <v>0.50175088729999995</v>
      </c>
      <c r="K416" s="6">
        <f>[1]Emissions!J833</f>
        <v>0.51058738299999995</v>
      </c>
      <c r="L416" s="6">
        <f>[1]Emissions!K833</f>
        <v>0.51871712439999995</v>
      </c>
      <c r="M416" s="6">
        <f>[1]Emissions!L833</f>
        <v>0.52474102460000005</v>
      </c>
      <c r="N416" s="6">
        <f>[1]Emissions!M833</f>
        <v>0.52664253549999995</v>
      </c>
      <c r="O416" s="6">
        <f>[1]Emissions!N833</f>
        <v>0.52651442189999997</v>
      </c>
      <c r="P416" s="6">
        <f>[1]Emissions!O833</f>
        <v>0.52616485769999999</v>
      </c>
      <c r="Q416" s="6">
        <f>[1]Emissions!P833</f>
        <v>0.52675289260000002</v>
      </c>
      <c r="R416" s="6">
        <f>[1]Emissions!Q833</f>
        <v>0.52868392269999998</v>
      </c>
      <c r="S416" s="6">
        <f>[1]Emissions!R833</f>
        <v>0.53174194490000004</v>
      </c>
      <c r="T416" s="6">
        <f>[1]Emissions!S833</f>
        <v>0.535397499</v>
      </c>
      <c r="U416" s="6">
        <f>[1]Emissions!T833</f>
        <v>0.53912358309999997</v>
      </c>
      <c r="V416" s="6">
        <f>[1]Emissions!U833</f>
        <v>0.54261937549999995</v>
      </c>
      <c r="W416" s="6">
        <f>[1]Emissions!V833</f>
        <v>0.54522002020000004</v>
      </c>
      <c r="X416" s="6">
        <f>[1]Emissions!W833</f>
        <v>0.54842914600000003</v>
      </c>
      <c r="Y416" s="6">
        <f>[1]Emissions!X833</f>
        <v>0.55191060390000002</v>
      </c>
      <c r="Z416" s="6">
        <f>[1]Emissions!Y833</f>
        <v>0.55575547219999999</v>
      </c>
      <c r="AA416" s="6">
        <f>[1]Emissions!Z833</f>
        <v>0.5601394274</v>
      </c>
      <c r="AB416" s="6">
        <f>[1]Emissions!AA833</f>
        <v>0.56319295840000005</v>
      </c>
      <c r="AC416" s="6">
        <f>[1]Emissions!AB833</f>
        <v>0.56793086930000003</v>
      </c>
      <c r="AD416" s="6">
        <f>[1]Emissions!AC833</f>
        <v>0.57317819169999995</v>
      </c>
      <c r="AE416" s="6">
        <f>[1]Emissions!AD833</f>
        <v>0.57840847480000002</v>
      </c>
      <c r="AF416" s="6">
        <f>[1]Emissions!AE833</f>
        <v>0.58354443909999998</v>
      </c>
      <c r="AG416" s="6">
        <f>[1]Emissions!AF833</f>
        <v>0.58868698509999995</v>
      </c>
      <c r="AH416" s="6">
        <f>[1]Emissions!AG833</f>
        <v>0.59396971269999999</v>
      </c>
      <c r="AI416" s="6">
        <f>[1]Emissions!AH833</f>
        <v>0.59948317029999998</v>
      </c>
      <c r="AJ416" s="6">
        <f>[1]Emissions!AI833</f>
        <v>0.6052469318</v>
      </c>
      <c r="AK416" s="6">
        <f>[1]Emissions!AJ833</f>
        <v>0.61121960099999995</v>
      </c>
      <c r="AL416" s="6">
        <f>[1]Emissions!AK833</f>
        <v>0.61733144569999998</v>
      </c>
    </row>
    <row r="417" spans="2:38" x14ac:dyDescent="0.3">
      <c r="B417" s="6" t="str">
        <f>[1]Emissions!A834</f>
        <v>ems_y_co2_sfor_2</v>
      </c>
      <c r="C417" s="6">
        <f>[1]Emissions!B834</f>
        <v>0</v>
      </c>
      <c r="D417" s="6">
        <f>[1]Emissions!C834</f>
        <v>0</v>
      </c>
      <c r="E417" s="6">
        <f>[1]Emissions!D834</f>
        <v>0</v>
      </c>
      <c r="F417" s="6">
        <f>[1]Emissions!E834</f>
        <v>0</v>
      </c>
      <c r="G417" s="6">
        <f>[1]Emissions!F834</f>
        <v>0</v>
      </c>
      <c r="H417" s="6">
        <f>[1]Emissions!G834</f>
        <v>0</v>
      </c>
      <c r="I417" s="6">
        <f>[1]Emissions!H834</f>
        <v>0</v>
      </c>
      <c r="J417" s="6">
        <f>[1]Emissions!I834</f>
        <v>0</v>
      </c>
      <c r="K417" s="6">
        <f>[1]Emissions!J834</f>
        <v>0</v>
      </c>
      <c r="L417" s="6">
        <f>[1]Emissions!K834</f>
        <v>0</v>
      </c>
      <c r="M417" s="6">
        <f>[1]Emissions!L834</f>
        <v>0</v>
      </c>
      <c r="N417" s="6">
        <f>[1]Emissions!M834</f>
        <v>0</v>
      </c>
      <c r="O417" s="6">
        <f>[1]Emissions!N834</f>
        <v>0</v>
      </c>
      <c r="P417" s="6">
        <f>[1]Emissions!O834</f>
        <v>0</v>
      </c>
      <c r="Q417" s="6">
        <f>[1]Emissions!P834</f>
        <v>0</v>
      </c>
      <c r="R417" s="6">
        <f>[1]Emissions!Q834</f>
        <v>0</v>
      </c>
      <c r="S417" s="6">
        <f>[1]Emissions!R834</f>
        <v>0</v>
      </c>
      <c r="T417" s="6">
        <f>[1]Emissions!S834</f>
        <v>0</v>
      </c>
      <c r="U417" s="6">
        <f>[1]Emissions!T834</f>
        <v>0</v>
      </c>
      <c r="V417" s="6">
        <f>[1]Emissions!U834</f>
        <v>0</v>
      </c>
      <c r="W417" s="6">
        <f>[1]Emissions!V834</f>
        <v>0</v>
      </c>
      <c r="X417" s="6">
        <f>[1]Emissions!W834</f>
        <v>0</v>
      </c>
      <c r="Y417" s="6">
        <f>[1]Emissions!X834</f>
        <v>0</v>
      </c>
      <c r="Z417" s="6">
        <f>[1]Emissions!Y834</f>
        <v>0</v>
      </c>
      <c r="AA417" s="6">
        <f>[1]Emissions!Z834</f>
        <v>0</v>
      </c>
      <c r="AB417" s="6">
        <f>[1]Emissions!AA834</f>
        <v>0</v>
      </c>
      <c r="AC417" s="6">
        <f>[1]Emissions!AB834</f>
        <v>0</v>
      </c>
      <c r="AD417" s="6">
        <f>[1]Emissions!AC834</f>
        <v>0</v>
      </c>
      <c r="AE417" s="6">
        <f>[1]Emissions!AD834</f>
        <v>0</v>
      </c>
      <c r="AF417" s="6">
        <f>[1]Emissions!AE834</f>
        <v>0</v>
      </c>
      <c r="AG417" s="6">
        <f>[1]Emissions!AF834</f>
        <v>0</v>
      </c>
      <c r="AH417" s="6">
        <f>[1]Emissions!AG834</f>
        <v>0</v>
      </c>
      <c r="AI417" s="6">
        <f>[1]Emissions!AH834</f>
        <v>0</v>
      </c>
      <c r="AJ417" s="6">
        <f>[1]Emissions!AI834</f>
        <v>0</v>
      </c>
      <c r="AK417" s="6">
        <f>[1]Emissions!AJ834</f>
        <v>0</v>
      </c>
      <c r="AL417" s="6">
        <f>[1]Emissions!AK834</f>
        <v>0</v>
      </c>
    </row>
    <row r="418" spans="2:38" x14ac:dyDescent="0.3">
      <c r="B418" s="6" t="str">
        <f>[1]Emissions!A835</f>
        <v>ems_mat_co2_sfor_2</v>
      </c>
      <c r="C418" s="6">
        <f>[1]Emissions!B835</f>
        <v>0</v>
      </c>
      <c r="D418" s="6">
        <f>[1]Emissions!C835</f>
        <v>0</v>
      </c>
      <c r="E418" s="6">
        <f>[1]Emissions!D835</f>
        <v>0</v>
      </c>
      <c r="F418" s="6">
        <f>[1]Emissions!E835</f>
        <v>0</v>
      </c>
      <c r="G418" s="6">
        <f>[1]Emissions!F835</f>
        <v>0</v>
      </c>
      <c r="H418" s="6">
        <f>[1]Emissions!G835</f>
        <v>0</v>
      </c>
      <c r="I418" s="6">
        <f>[1]Emissions!H835</f>
        <v>0</v>
      </c>
      <c r="J418" s="6">
        <f>[1]Emissions!I835</f>
        <v>0</v>
      </c>
      <c r="K418" s="6">
        <f>[1]Emissions!J835</f>
        <v>0</v>
      </c>
      <c r="L418" s="6">
        <f>[1]Emissions!K835</f>
        <v>0</v>
      </c>
      <c r="M418" s="6">
        <f>[1]Emissions!L835</f>
        <v>0</v>
      </c>
      <c r="N418" s="6">
        <f>[1]Emissions!M835</f>
        <v>0</v>
      </c>
      <c r="O418" s="6">
        <f>[1]Emissions!N835</f>
        <v>0</v>
      </c>
      <c r="P418" s="6">
        <f>[1]Emissions!O835</f>
        <v>0</v>
      </c>
      <c r="Q418" s="6">
        <f>[1]Emissions!P835</f>
        <v>0</v>
      </c>
      <c r="R418" s="6">
        <f>[1]Emissions!Q835</f>
        <v>0</v>
      </c>
      <c r="S418" s="6">
        <f>[1]Emissions!R835</f>
        <v>0</v>
      </c>
      <c r="T418" s="6">
        <f>[1]Emissions!S835</f>
        <v>0</v>
      </c>
      <c r="U418" s="6">
        <f>[1]Emissions!T835</f>
        <v>0</v>
      </c>
      <c r="V418" s="6">
        <f>[1]Emissions!U835</f>
        <v>0</v>
      </c>
      <c r="W418" s="6">
        <f>[1]Emissions!V835</f>
        <v>0</v>
      </c>
      <c r="X418" s="6">
        <f>[1]Emissions!W835</f>
        <v>0</v>
      </c>
      <c r="Y418" s="6">
        <f>[1]Emissions!X835</f>
        <v>0</v>
      </c>
      <c r="Z418" s="6">
        <f>[1]Emissions!Y835</f>
        <v>0</v>
      </c>
      <c r="AA418" s="6">
        <f>[1]Emissions!Z835</f>
        <v>0</v>
      </c>
      <c r="AB418" s="6">
        <f>[1]Emissions!AA835</f>
        <v>0</v>
      </c>
      <c r="AC418" s="6">
        <f>[1]Emissions!AB835</f>
        <v>0</v>
      </c>
      <c r="AD418" s="6">
        <f>[1]Emissions!AC835</f>
        <v>0</v>
      </c>
      <c r="AE418" s="6">
        <f>[1]Emissions!AD835</f>
        <v>0</v>
      </c>
      <c r="AF418" s="6">
        <f>[1]Emissions!AE835</f>
        <v>0</v>
      </c>
      <c r="AG418" s="6">
        <f>[1]Emissions!AF835</f>
        <v>0</v>
      </c>
      <c r="AH418" s="6">
        <f>[1]Emissions!AG835</f>
        <v>0</v>
      </c>
      <c r="AI418" s="6">
        <f>[1]Emissions!AH835</f>
        <v>0</v>
      </c>
      <c r="AJ418" s="6">
        <f>[1]Emissions!AI835</f>
        <v>0</v>
      </c>
      <c r="AK418" s="6">
        <f>[1]Emissions!AJ835</f>
        <v>0</v>
      </c>
      <c r="AL418" s="6">
        <f>[1]Emissions!AK835</f>
        <v>0</v>
      </c>
    </row>
    <row r="419" spans="2:38" x14ac:dyDescent="0.3">
      <c r="B419" s="6" t="str">
        <f>[1]Emissions!A836</f>
        <v>ems_ci_co2_sfoo_2</v>
      </c>
      <c r="C419" s="6">
        <f>[1]Emissions!B836</f>
        <v>9.8937547279999993</v>
      </c>
      <c r="D419" s="6">
        <f>[1]Emissions!C836</f>
        <v>9.8970310369999996</v>
      </c>
      <c r="E419" s="6">
        <f>[1]Emissions!D836</f>
        <v>9.8740654859999992</v>
      </c>
      <c r="F419" s="6">
        <f>[1]Emissions!E836</f>
        <v>9.860966028</v>
      </c>
      <c r="G419" s="6">
        <f>[1]Emissions!F836</f>
        <v>9.8727860740000004</v>
      </c>
      <c r="H419" s="6">
        <f>[1]Emissions!G836</f>
        <v>9.9127603149999999</v>
      </c>
      <c r="I419" s="6">
        <f>[1]Emissions!H836</f>
        <v>9.9827152699999999</v>
      </c>
      <c r="J419" s="6">
        <f>[1]Emissions!I836</f>
        <v>10.055755700000001</v>
      </c>
      <c r="K419" s="6">
        <f>[1]Emissions!J836</f>
        <v>10.123339079999999</v>
      </c>
      <c r="L419" s="6">
        <f>[1]Emissions!K836</f>
        <v>10.162700149999999</v>
      </c>
      <c r="M419" s="6">
        <f>[1]Emissions!L836</f>
        <v>10.171563920000001</v>
      </c>
      <c r="N419" s="6">
        <f>[1]Emissions!M836</f>
        <v>10.149095300000001</v>
      </c>
      <c r="O419" s="6">
        <f>[1]Emissions!N836</f>
        <v>10.112472889999999</v>
      </c>
      <c r="P419" s="6">
        <f>[1]Emissions!O836</f>
        <v>10.07741029</v>
      </c>
      <c r="Q419" s="6">
        <f>[1]Emissions!P836</f>
        <v>10.05398108</v>
      </c>
      <c r="R419" s="6">
        <f>[1]Emissions!Q836</f>
        <v>10.045637429999999</v>
      </c>
      <c r="S419" s="6">
        <f>[1]Emissions!R836</f>
        <v>10.05078672</v>
      </c>
      <c r="T419" s="6">
        <f>[1]Emissions!S836</f>
        <v>10.06540307</v>
      </c>
      <c r="U419" s="6">
        <f>[1]Emissions!T836</f>
        <v>10.08545018</v>
      </c>
      <c r="V419" s="6">
        <f>[1]Emissions!U836</f>
        <v>10.108313320000001</v>
      </c>
      <c r="W419" s="6">
        <f>[1]Emissions!V836</f>
        <v>10.12767066</v>
      </c>
      <c r="X419" s="6">
        <f>[1]Emissions!W836</f>
        <v>10.151114809999999</v>
      </c>
      <c r="Y419" s="6">
        <f>[1]Emissions!X836</f>
        <v>10.178155009999999</v>
      </c>
      <c r="Z419" s="6">
        <f>[1]Emissions!Y836</f>
        <v>10.20909136</v>
      </c>
      <c r="AA419" s="6">
        <f>[1]Emissions!Z836</f>
        <v>10.243814649999999</v>
      </c>
      <c r="AB419" s="6">
        <f>[1]Emissions!AA836</f>
        <v>10.265964070000001</v>
      </c>
      <c r="AC419" s="6">
        <f>[1]Emissions!AB836</f>
        <v>10.28884704</v>
      </c>
      <c r="AD419" s="6">
        <f>[1]Emissions!AC836</f>
        <v>10.31034017</v>
      </c>
      <c r="AE419" s="6">
        <f>[1]Emissions!AD836</f>
        <v>10.330112209999999</v>
      </c>
      <c r="AF419" s="6">
        <f>[1]Emissions!AE836</f>
        <v>10.348860760000001</v>
      </c>
      <c r="AG419" s="6">
        <f>[1]Emissions!AF836</f>
        <v>10.367782289999999</v>
      </c>
      <c r="AH419" s="6">
        <f>[1]Emissions!AG836</f>
        <v>10.387995500000001</v>
      </c>
      <c r="AI419" s="6">
        <f>[1]Emissions!AH836</f>
        <v>10.410133760000001</v>
      </c>
      <c r="AJ419" s="6">
        <f>[1]Emissions!AI836</f>
        <v>10.43423018</v>
      </c>
      <c r="AK419" s="6">
        <f>[1]Emissions!AJ836</f>
        <v>10.459858629999999</v>
      </c>
      <c r="AL419" s="6">
        <f>[1]Emissions!AK836</f>
        <v>10.48640103</v>
      </c>
    </row>
    <row r="420" spans="2:38" x14ac:dyDescent="0.3">
      <c r="B420" s="6" t="str">
        <f>[1]Emissions!A837</f>
        <v>ems_y_co2_sfoo_2</v>
      </c>
      <c r="C420" s="6">
        <f>[1]Emissions!B837</f>
        <v>0</v>
      </c>
      <c r="D420" s="6">
        <f>[1]Emissions!C837</f>
        <v>0</v>
      </c>
      <c r="E420" s="6">
        <f>[1]Emissions!D837</f>
        <v>0</v>
      </c>
      <c r="F420" s="6">
        <f>[1]Emissions!E837</f>
        <v>0</v>
      </c>
      <c r="G420" s="6">
        <f>[1]Emissions!F837</f>
        <v>0</v>
      </c>
      <c r="H420" s="6">
        <f>[1]Emissions!G837</f>
        <v>0</v>
      </c>
      <c r="I420" s="6">
        <f>[1]Emissions!H837</f>
        <v>0</v>
      </c>
      <c r="J420" s="6">
        <f>[1]Emissions!I837</f>
        <v>0</v>
      </c>
      <c r="K420" s="6">
        <f>[1]Emissions!J837</f>
        <v>0</v>
      </c>
      <c r="L420" s="6">
        <f>[1]Emissions!K837</f>
        <v>0</v>
      </c>
      <c r="M420" s="6">
        <f>[1]Emissions!L837</f>
        <v>0</v>
      </c>
      <c r="N420" s="6">
        <f>[1]Emissions!M837</f>
        <v>0</v>
      </c>
      <c r="O420" s="6">
        <f>[1]Emissions!N837</f>
        <v>0</v>
      </c>
      <c r="P420" s="6">
        <f>[1]Emissions!O837</f>
        <v>0</v>
      </c>
      <c r="Q420" s="6">
        <f>[1]Emissions!P837</f>
        <v>0</v>
      </c>
      <c r="R420" s="6">
        <f>[1]Emissions!Q837</f>
        <v>0</v>
      </c>
      <c r="S420" s="6">
        <f>[1]Emissions!R837</f>
        <v>0</v>
      </c>
      <c r="T420" s="6">
        <f>[1]Emissions!S837</f>
        <v>0</v>
      </c>
      <c r="U420" s="6">
        <f>[1]Emissions!T837</f>
        <v>0</v>
      </c>
      <c r="V420" s="6">
        <f>[1]Emissions!U837</f>
        <v>0</v>
      </c>
      <c r="W420" s="6">
        <f>[1]Emissions!V837</f>
        <v>0</v>
      </c>
      <c r="X420" s="6">
        <f>[1]Emissions!W837</f>
        <v>0</v>
      </c>
      <c r="Y420" s="6">
        <f>[1]Emissions!X837</f>
        <v>0</v>
      </c>
      <c r="Z420" s="6">
        <f>[1]Emissions!Y837</f>
        <v>0</v>
      </c>
      <c r="AA420" s="6">
        <f>[1]Emissions!Z837</f>
        <v>0</v>
      </c>
      <c r="AB420" s="6">
        <f>[1]Emissions!AA837</f>
        <v>0</v>
      </c>
      <c r="AC420" s="6">
        <f>[1]Emissions!AB837</f>
        <v>0</v>
      </c>
      <c r="AD420" s="6">
        <f>[1]Emissions!AC837</f>
        <v>0</v>
      </c>
      <c r="AE420" s="6">
        <f>[1]Emissions!AD837</f>
        <v>0</v>
      </c>
      <c r="AF420" s="6">
        <f>[1]Emissions!AE837</f>
        <v>0</v>
      </c>
      <c r="AG420" s="6">
        <f>[1]Emissions!AF837</f>
        <v>0</v>
      </c>
      <c r="AH420" s="6">
        <f>[1]Emissions!AG837</f>
        <v>0</v>
      </c>
      <c r="AI420" s="6">
        <f>[1]Emissions!AH837</f>
        <v>0</v>
      </c>
      <c r="AJ420" s="6">
        <f>[1]Emissions!AI837</f>
        <v>0</v>
      </c>
      <c r="AK420" s="6">
        <f>[1]Emissions!AJ837</f>
        <v>0</v>
      </c>
      <c r="AL420" s="6">
        <f>[1]Emissions!AK837</f>
        <v>0</v>
      </c>
    </row>
    <row r="421" spans="2:38" x14ac:dyDescent="0.3">
      <c r="B421" s="6" t="str">
        <f>[1]Emissions!A838</f>
        <v>ems_mat_co2_sfoo_2</v>
      </c>
      <c r="C421" s="6">
        <f>[1]Emissions!B838</f>
        <v>0</v>
      </c>
      <c r="D421" s="6">
        <f>[1]Emissions!C838</f>
        <v>0</v>
      </c>
      <c r="E421" s="6">
        <f>[1]Emissions!D838</f>
        <v>0</v>
      </c>
      <c r="F421" s="6">
        <f>[1]Emissions!E838</f>
        <v>0</v>
      </c>
      <c r="G421" s="6">
        <f>[1]Emissions!F838</f>
        <v>0</v>
      </c>
      <c r="H421" s="6">
        <f>[1]Emissions!G838</f>
        <v>0</v>
      </c>
      <c r="I421" s="6">
        <f>[1]Emissions!H838</f>
        <v>0</v>
      </c>
      <c r="J421" s="6">
        <f>[1]Emissions!I838</f>
        <v>0</v>
      </c>
      <c r="K421" s="6">
        <f>[1]Emissions!J838</f>
        <v>0</v>
      </c>
      <c r="L421" s="6">
        <f>[1]Emissions!K838</f>
        <v>0</v>
      </c>
      <c r="M421" s="6">
        <f>[1]Emissions!L838</f>
        <v>0</v>
      </c>
      <c r="N421" s="6">
        <f>[1]Emissions!M838</f>
        <v>0</v>
      </c>
      <c r="O421" s="6">
        <f>[1]Emissions!N838</f>
        <v>0</v>
      </c>
      <c r="P421" s="6">
        <f>[1]Emissions!O838</f>
        <v>0</v>
      </c>
      <c r="Q421" s="6">
        <f>[1]Emissions!P838</f>
        <v>0</v>
      </c>
      <c r="R421" s="6">
        <f>[1]Emissions!Q838</f>
        <v>0</v>
      </c>
      <c r="S421" s="6">
        <f>[1]Emissions!R838</f>
        <v>0</v>
      </c>
      <c r="T421" s="6">
        <f>[1]Emissions!S838</f>
        <v>0</v>
      </c>
      <c r="U421" s="6">
        <f>[1]Emissions!T838</f>
        <v>0</v>
      </c>
      <c r="V421" s="6">
        <f>[1]Emissions!U838</f>
        <v>0</v>
      </c>
      <c r="W421" s="6">
        <f>[1]Emissions!V838</f>
        <v>0</v>
      </c>
      <c r="X421" s="6">
        <f>[1]Emissions!W838</f>
        <v>0</v>
      </c>
      <c r="Y421" s="6">
        <f>[1]Emissions!X838</f>
        <v>0</v>
      </c>
      <c r="Z421" s="6">
        <f>[1]Emissions!Y838</f>
        <v>0</v>
      </c>
      <c r="AA421" s="6">
        <f>[1]Emissions!Z838</f>
        <v>0</v>
      </c>
      <c r="AB421" s="6">
        <f>[1]Emissions!AA838</f>
        <v>0</v>
      </c>
      <c r="AC421" s="6">
        <f>[1]Emissions!AB838</f>
        <v>0</v>
      </c>
      <c r="AD421" s="6">
        <f>[1]Emissions!AC838</f>
        <v>0</v>
      </c>
      <c r="AE421" s="6">
        <f>[1]Emissions!AD838</f>
        <v>0</v>
      </c>
      <c r="AF421" s="6">
        <f>[1]Emissions!AE838</f>
        <v>0</v>
      </c>
      <c r="AG421" s="6">
        <f>[1]Emissions!AF838</f>
        <v>0</v>
      </c>
      <c r="AH421" s="6">
        <f>[1]Emissions!AG838</f>
        <v>0</v>
      </c>
      <c r="AI421" s="6">
        <f>[1]Emissions!AH838</f>
        <v>0</v>
      </c>
      <c r="AJ421" s="6">
        <f>[1]Emissions!AI838</f>
        <v>0</v>
      </c>
      <c r="AK421" s="6">
        <f>[1]Emissions!AJ838</f>
        <v>0</v>
      </c>
      <c r="AL421" s="6">
        <f>[1]Emissions!AK838</f>
        <v>0</v>
      </c>
    </row>
    <row r="422" spans="2:38" x14ac:dyDescent="0.3">
      <c r="B422" s="6" t="str">
        <f>[1]Emissions!A839</f>
        <v>ems_ci_co2_sveh_2</v>
      </c>
      <c r="C422" s="6">
        <f>[1]Emissions!B839</f>
        <v>1.236831963</v>
      </c>
      <c r="D422" s="6">
        <f>[1]Emissions!C839</f>
        <v>1.2346705069999999</v>
      </c>
      <c r="E422" s="6">
        <f>[1]Emissions!D839</f>
        <v>1.2334287370000001</v>
      </c>
      <c r="F422" s="6">
        <f>[1]Emissions!E839</f>
        <v>1.237508405</v>
      </c>
      <c r="G422" s="6">
        <f>[1]Emissions!F839</f>
        <v>1.2502621970000001</v>
      </c>
      <c r="H422" s="6">
        <f>[1]Emissions!G839</f>
        <v>1.2735663129999999</v>
      </c>
      <c r="I422" s="6">
        <f>[1]Emissions!H839</f>
        <v>1.307021845</v>
      </c>
      <c r="J422" s="6">
        <f>[1]Emissions!I839</f>
        <v>1.368815275</v>
      </c>
      <c r="K422" s="6">
        <f>[1]Emissions!J839</f>
        <v>1.445155736</v>
      </c>
      <c r="L422" s="6">
        <f>[1]Emissions!K839</f>
        <v>1.5174634069999999</v>
      </c>
      <c r="M422" s="6">
        <f>[1]Emissions!L839</f>
        <v>1.573546788</v>
      </c>
      <c r="N422" s="6">
        <f>[1]Emissions!M839</f>
        <v>1.6084717550000001</v>
      </c>
      <c r="O422" s="6">
        <f>[1]Emissions!N839</f>
        <v>1.628842584</v>
      </c>
      <c r="P422" s="6">
        <f>[1]Emissions!O839</f>
        <v>1.6430917009999999</v>
      </c>
      <c r="Q422" s="6">
        <f>[1]Emissions!P839</f>
        <v>1.658040991</v>
      </c>
      <c r="R422" s="6">
        <f>[1]Emissions!Q839</f>
        <v>1.677102302</v>
      </c>
      <c r="S422" s="6">
        <f>[1]Emissions!R839</f>
        <v>1.7004802670000001</v>
      </c>
      <c r="T422" s="6">
        <f>[1]Emissions!S839</f>
        <v>1.726500897</v>
      </c>
      <c r="U422" s="6">
        <f>[1]Emissions!T839</f>
        <v>1.7531614550000001</v>
      </c>
      <c r="V422" s="6">
        <f>[1]Emissions!U839</f>
        <v>1.7792523650000001</v>
      </c>
      <c r="W422" s="6">
        <f>[1]Emissions!V839</f>
        <v>1.8035662960000001</v>
      </c>
      <c r="X422" s="6">
        <f>[1]Emissions!W839</f>
        <v>1.8291669310000001</v>
      </c>
      <c r="Y422" s="6">
        <f>[1]Emissions!X839</f>
        <v>1.8561680899999999</v>
      </c>
      <c r="Z422" s="6">
        <f>[1]Emissions!Y839</f>
        <v>1.8855764100000001</v>
      </c>
      <c r="AA422" s="6">
        <f>[1]Emissions!Z839</f>
        <v>1.9180731740000001</v>
      </c>
      <c r="AB422" s="6">
        <f>[1]Emissions!AA839</f>
        <v>1.949967837</v>
      </c>
      <c r="AC422" s="6">
        <f>[1]Emissions!AB839</f>
        <v>1.9854225080000001</v>
      </c>
      <c r="AD422" s="6">
        <f>[1]Emissions!AC839</f>
        <v>2.0211801650000001</v>
      </c>
      <c r="AE422" s="6">
        <f>[1]Emissions!AD839</f>
        <v>2.055696271</v>
      </c>
      <c r="AF422" s="6">
        <f>[1]Emissions!AE839</f>
        <v>2.0885502969999998</v>
      </c>
      <c r="AG422" s="6">
        <f>[1]Emissions!AF839</f>
        <v>2.1200850739999999</v>
      </c>
      <c r="AH422" s="6">
        <f>[1]Emissions!AG839</f>
        <v>2.1509374430000001</v>
      </c>
      <c r="AI422" s="6">
        <f>[1]Emissions!AH839</f>
        <v>2.1816342639999999</v>
      </c>
      <c r="AJ422" s="6">
        <f>[1]Emissions!AI839</f>
        <v>2.2123868930000001</v>
      </c>
      <c r="AK422" s="6">
        <f>[1]Emissions!AJ839</f>
        <v>2.24310221</v>
      </c>
      <c r="AL422" s="6">
        <f>[1]Emissions!AK839</f>
        <v>2.2735367819999999</v>
      </c>
    </row>
    <row r="423" spans="2:38" x14ac:dyDescent="0.3">
      <c r="B423" s="6" t="str">
        <f>[1]Emissions!A840</f>
        <v>ems_y_co2_sveh_2</v>
      </c>
      <c r="C423" s="6">
        <f>[1]Emissions!B840</f>
        <v>0</v>
      </c>
      <c r="D423" s="6">
        <f>[1]Emissions!C840</f>
        <v>0</v>
      </c>
      <c r="E423" s="6">
        <f>[1]Emissions!D840</f>
        <v>0</v>
      </c>
      <c r="F423" s="6">
        <f>[1]Emissions!E840</f>
        <v>0</v>
      </c>
      <c r="G423" s="6">
        <f>[1]Emissions!F840</f>
        <v>0</v>
      </c>
      <c r="H423" s="6">
        <f>[1]Emissions!G840</f>
        <v>0</v>
      </c>
      <c r="I423" s="6">
        <f>[1]Emissions!H840</f>
        <v>0</v>
      </c>
      <c r="J423" s="6">
        <f>[1]Emissions!I840</f>
        <v>0</v>
      </c>
      <c r="K423" s="6">
        <f>[1]Emissions!J840</f>
        <v>0</v>
      </c>
      <c r="L423" s="6">
        <f>[1]Emissions!K840</f>
        <v>0</v>
      </c>
      <c r="M423" s="6">
        <f>[1]Emissions!L840</f>
        <v>0</v>
      </c>
      <c r="N423" s="6">
        <f>[1]Emissions!M840</f>
        <v>0</v>
      </c>
      <c r="O423" s="6">
        <f>[1]Emissions!N840</f>
        <v>0</v>
      </c>
      <c r="P423" s="6">
        <f>[1]Emissions!O840</f>
        <v>0</v>
      </c>
      <c r="Q423" s="6">
        <f>[1]Emissions!P840</f>
        <v>0</v>
      </c>
      <c r="R423" s="6">
        <f>[1]Emissions!Q840</f>
        <v>0</v>
      </c>
      <c r="S423" s="6">
        <f>[1]Emissions!R840</f>
        <v>0</v>
      </c>
      <c r="T423" s="6">
        <f>[1]Emissions!S840</f>
        <v>0</v>
      </c>
      <c r="U423" s="6">
        <f>[1]Emissions!T840</f>
        <v>0</v>
      </c>
      <c r="V423" s="6">
        <f>[1]Emissions!U840</f>
        <v>0</v>
      </c>
      <c r="W423" s="6">
        <f>[1]Emissions!V840</f>
        <v>0</v>
      </c>
      <c r="X423" s="6">
        <f>[1]Emissions!W840</f>
        <v>0</v>
      </c>
      <c r="Y423" s="6">
        <f>[1]Emissions!X840</f>
        <v>0</v>
      </c>
      <c r="Z423" s="6">
        <f>[1]Emissions!Y840</f>
        <v>0</v>
      </c>
      <c r="AA423" s="6">
        <f>[1]Emissions!Z840</f>
        <v>0</v>
      </c>
      <c r="AB423" s="6">
        <f>[1]Emissions!AA840</f>
        <v>0</v>
      </c>
      <c r="AC423" s="6">
        <f>[1]Emissions!AB840</f>
        <v>0</v>
      </c>
      <c r="AD423" s="6">
        <f>[1]Emissions!AC840</f>
        <v>0</v>
      </c>
      <c r="AE423" s="6">
        <f>[1]Emissions!AD840</f>
        <v>0</v>
      </c>
      <c r="AF423" s="6">
        <f>[1]Emissions!AE840</f>
        <v>0</v>
      </c>
      <c r="AG423" s="6">
        <f>[1]Emissions!AF840</f>
        <v>0</v>
      </c>
      <c r="AH423" s="6">
        <f>[1]Emissions!AG840</f>
        <v>0</v>
      </c>
      <c r="AI423" s="6">
        <f>[1]Emissions!AH840</f>
        <v>0</v>
      </c>
      <c r="AJ423" s="6">
        <f>[1]Emissions!AI840</f>
        <v>0</v>
      </c>
      <c r="AK423" s="6">
        <f>[1]Emissions!AJ840</f>
        <v>0</v>
      </c>
      <c r="AL423" s="6">
        <f>[1]Emissions!AK840</f>
        <v>0</v>
      </c>
    </row>
    <row r="424" spans="2:38" x14ac:dyDescent="0.3">
      <c r="B424" s="6" t="str">
        <f>[1]Emissions!A841</f>
        <v>ems_mat_co2_sveh_2</v>
      </c>
      <c r="C424" s="6">
        <f>[1]Emissions!B841</f>
        <v>0</v>
      </c>
      <c r="D424" s="6">
        <f>[1]Emissions!C841</f>
        <v>0</v>
      </c>
      <c r="E424" s="6">
        <f>[1]Emissions!D841</f>
        <v>0</v>
      </c>
      <c r="F424" s="6">
        <f>[1]Emissions!E841</f>
        <v>0</v>
      </c>
      <c r="G424" s="6">
        <f>[1]Emissions!F841</f>
        <v>0</v>
      </c>
      <c r="H424" s="6">
        <f>[1]Emissions!G841</f>
        <v>0</v>
      </c>
      <c r="I424" s="6">
        <f>[1]Emissions!H841</f>
        <v>0</v>
      </c>
      <c r="J424" s="6">
        <f>[1]Emissions!I841</f>
        <v>0</v>
      </c>
      <c r="K424" s="6">
        <f>[1]Emissions!J841</f>
        <v>0</v>
      </c>
      <c r="L424" s="6">
        <f>[1]Emissions!K841</f>
        <v>0</v>
      </c>
      <c r="M424" s="6">
        <f>[1]Emissions!L841</f>
        <v>0</v>
      </c>
      <c r="N424" s="6">
        <f>[1]Emissions!M841</f>
        <v>0</v>
      </c>
      <c r="O424" s="6">
        <f>[1]Emissions!N841</f>
        <v>0</v>
      </c>
      <c r="P424" s="6">
        <f>[1]Emissions!O841</f>
        <v>0</v>
      </c>
      <c r="Q424" s="6">
        <f>[1]Emissions!P841</f>
        <v>0</v>
      </c>
      <c r="R424" s="6">
        <f>[1]Emissions!Q841</f>
        <v>0</v>
      </c>
      <c r="S424" s="6">
        <f>[1]Emissions!R841</f>
        <v>0</v>
      </c>
      <c r="T424" s="6">
        <f>[1]Emissions!S841</f>
        <v>0</v>
      </c>
      <c r="U424" s="6">
        <f>[1]Emissions!T841</f>
        <v>0</v>
      </c>
      <c r="V424" s="6">
        <f>[1]Emissions!U841</f>
        <v>0</v>
      </c>
      <c r="W424" s="6">
        <f>[1]Emissions!V841</f>
        <v>0</v>
      </c>
      <c r="X424" s="6">
        <f>[1]Emissions!W841</f>
        <v>0</v>
      </c>
      <c r="Y424" s="6">
        <f>[1]Emissions!X841</f>
        <v>0</v>
      </c>
      <c r="Z424" s="6">
        <f>[1]Emissions!Y841</f>
        <v>0</v>
      </c>
      <c r="AA424" s="6">
        <f>[1]Emissions!Z841</f>
        <v>0</v>
      </c>
      <c r="AB424" s="6">
        <f>[1]Emissions!AA841</f>
        <v>0</v>
      </c>
      <c r="AC424" s="6">
        <f>[1]Emissions!AB841</f>
        <v>0</v>
      </c>
      <c r="AD424" s="6">
        <f>[1]Emissions!AC841</f>
        <v>0</v>
      </c>
      <c r="AE424" s="6">
        <f>[1]Emissions!AD841</f>
        <v>0</v>
      </c>
      <c r="AF424" s="6">
        <f>[1]Emissions!AE841</f>
        <v>0</v>
      </c>
      <c r="AG424" s="6">
        <f>[1]Emissions!AF841</f>
        <v>0</v>
      </c>
      <c r="AH424" s="6">
        <f>[1]Emissions!AG841</f>
        <v>0</v>
      </c>
      <c r="AI424" s="6">
        <f>[1]Emissions!AH841</f>
        <v>0</v>
      </c>
      <c r="AJ424" s="6">
        <f>[1]Emissions!AI841</f>
        <v>0</v>
      </c>
      <c r="AK424" s="6">
        <f>[1]Emissions!AJ841</f>
        <v>0</v>
      </c>
      <c r="AL424" s="6">
        <f>[1]Emissions!AK841</f>
        <v>0</v>
      </c>
    </row>
    <row r="425" spans="2:38" x14ac:dyDescent="0.3">
      <c r="B425" s="6" t="str">
        <f>[1]Emissions!A842</f>
        <v>ems_ci_co2_sgla_2</v>
      </c>
      <c r="C425" s="6">
        <f>[1]Emissions!B842</f>
        <v>5.7358959430000001</v>
      </c>
      <c r="D425" s="6">
        <f>[1]Emissions!C842</f>
        <v>5.9164102520000004</v>
      </c>
      <c r="E425" s="6">
        <f>[1]Emissions!D842</f>
        <v>6.1343918090000003</v>
      </c>
      <c r="F425" s="6">
        <f>[1]Emissions!E842</f>
        <v>6.3062461540000001</v>
      </c>
      <c r="G425" s="6">
        <f>[1]Emissions!F842</f>
        <v>6.4308318670000002</v>
      </c>
      <c r="H425" s="6">
        <f>[1]Emissions!G842</f>
        <v>6.530188806</v>
      </c>
      <c r="I425" s="6">
        <f>[1]Emissions!H842</f>
        <v>6.5767234820000002</v>
      </c>
      <c r="J425" s="6">
        <f>[1]Emissions!I842</f>
        <v>6.6288411060000003</v>
      </c>
      <c r="K425" s="6">
        <f>[1]Emissions!J842</f>
        <v>6.6846267279999996</v>
      </c>
      <c r="L425" s="6">
        <f>[1]Emissions!K842</f>
        <v>6.7423869160000001</v>
      </c>
      <c r="M425" s="6">
        <f>[1]Emissions!L842</f>
        <v>6.8784893220000001</v>
      </c>
      <c r="N425" s="6">
        <f>[1]Emissions!M842</f>
        <v>6.9327495240000001</v>
      </c>
      <c r="O425" s="6">
        <f>[1]Emissions!N842</f>
        <v>7.002394926</v>
      </c>
      <c r="P425" s="6">
        <f>[1]Emissions!O842</f>
        <v>7.0969767810000004</v>
      </c>
      <c r="Q425" s="6">
        <f>[1]Emissions!P842</f>
        <v>7.2066887370000003</v>
      </c>
      <c r="R425" s="6">
        <f>[1]Emissions!Q842</f>
        <v>7.3225792170000004</v>
      </c>
      <c r="S425" s="6">
        <f>[1]Emissions!R842</f>
        <v>7.4394797459999999</v>
      </c>
      <c r="T425" s="6">
        <f>[1]Emissions!S842</f>
        <v>7.5556439959999997</v>
      </c>
      <c r="U425" s="6">
        <f>[1]Emissions!T842</f>
        <v>7.6716389109999996</v>
      </c>
      <c r="V425" s="6">
        <f>[1]Emissions!U842</f>
        <v>7.7890537530000001</v>
      </c>
      <c r="W425" s="6">
        <f>[1]Emissions!V842</f>
        <v>7.8583654320000003</v>
      </c>
      <c r="X425" s="6">
        <f>[1]Emissions!W842</f>
        <v>7.9966381430000002</v>
      </c>
      <c r="Y425" s="6">
        <f>[1]Emissions!X842</f>
        <v>8.1413165949999993</v>
      </c>
      <c r="Z425" s="6">
        <f>[1]Emissions!Y842</f>
        <v>8.2813405729999996</v>
      </c>
      <c r="AA425" s="6">
        <f>[1]Emissions!Z842</f>
        <v>8.4186446149999998</v>
      </c>
      <c r="AB425" s="6">
        <f>[1]Emissions!AA842</f>
        <v>8.405109736</v>
      </c>
      <c r="AC425" s="6">
        <f>[1]Emissions!AB842</f>
        <v>8.5235738390000009</v>
      </c>
      <c r="AD425" s="6">
        <f>[1]Emissions!AC842</f>
        <v>8.6664656549999997</v>
      </c>
      <c r="AE425" s="6">
        <f>[1]Emissions!AD842</f>
        <v>8.8075360329999999</v>
      </c>
      <c r="AF425" s="6">
        <f>[1]Emissions!AE842</f>
        <v>8.9460465360000008</v>
      </c>
      <c r="AG425" s="6">
        <f>[1]Emissions!AF842</f>
        <v>9.084427282</v>
      </c>
      <c r="AH425" s="6">
        <f>[1]Emissions!AG842</f>
        <v>9.2241334619999993</v>
      </c>
      <c r="AI425" s="6">
        <f>[1]Emissions!AH842</f>
        <v>9.3656100979999994</v>
      </c>
      <c r="AJ425" s="6">
        <f>[1]Emissions!AI842</f>
        <v>9.5088327439999993</v>
      </c>
      <c r="AK425" s="6">
        <f>[1]Emissions!AJ842</f>
        <v>9.6537177290000002</v>
      </c>
      <c r="AL425" s="6">
        <f>[1]Emissions!AK842</f>
        <v>9.8003036859999995</v>
      </c>
    </row>
    <row r="426" spans="2:38" x14ac:dyDescent="0.3">
      <c r="B426" s="6" t="str">
        <f>[1]Emissions!A843</f>
        <v>ems_y_co2_sgla_2</v>
      </c>
      <c r="C426" s="6">
        <f>[1]Emissions!B843</f>
        <v>0</v>
      </c>
      <c r="D426" s="6">
        <f>[1]Emissions!C843</f>
        <v>0</v>
      </c>
      <c r="E426" s="6">
        <f>[1]Emissions!D843</f>
        <v>0</v>
      </c>
      <c r="F426" s="6">
        <f>[1]Emissions!E843</f>
        <v>0</v>
      </c>
      <c r="G426" s="6">
        <f>[1]Emissions!F843</f>
        <v>0</v>
      </c>
      <c r="H426" s="6">
        <f>[1]Emissions!G843</f>
        <v>0</v>
      </c>
      <c r="I426" s="6">
        <f>[1]Emissions!H843</f>
        <v>0</v>
      </c>
      <c r="J426" s="6">
        <f>[1]Emissions!I843</f>
        <v>0</v>
      </c>
      <c r="K426" s="6">
        <f>[1]Emissions!J843</f>
        <v>0</v>
      </c>
      <c r="L426" s="6">
        <f>[1]Emissions!K843</f>
        <v>0</v>
      </c>
      <c r="M426" s="6">
        <f>[1]Emissions!L843</f>
        <v>0</v>
      </c>
      <c r="N426" s="6">
        <f>[1]Emissions!M843</f>
        <v>0</v>
      </c>
      <c r="O426" s="6">
        <f>[1]Emissions!N843</f>
        <v>0</v>
      </c>
      <c r="P426" s="6">
        <f>[1]Emissions!O843</f>
        <v>0</v>
      </c>
      <c r="Q426" s="6">
        <f>[1]Emissions!P843</f>
        <v>0</v>
      </c>
      <c r="R426" s="6">
        <f>[1]Emissions!Q843</f>
        <v>0</v>
      </c>
      <c r="S426" s="6">
        <f>[1]Emissions!R843</f>
        <v>0</v>
      </c>
      <c r="T426" s="6">
        <f>[1]Emissions!S843</f>
        <v>0</v>
      </c>
      <c r="U426" s="6">
        <f>[1]Emissions!T843</f>
        <v>0</v>
      </c>
      <c r="V426" s="6">
        <f>[1]Emissions!U843</f>
        <v>0</v>
      </c>
      <c r="W426" s="6">
        <f>[1]Emissions!V843</f>
        <v>0</v>
      </c>
      <c r="X426" s="6">
        <f>[1]Emissions!W843</f>
        <v>0</v>
      </c>
      <c r="Y426" s="6">
        <f>[1]Emissions!X843</f>
        <v>0</v>
      </c>
      <c r="Z426" s="6">
        <f>[1]Emissions!Y843</f>
        <v>0</v>
      </c>
      <c r="AA426" s="6">
        <f>[1]Emissions!Z843</f>
        <v>0</v>
      </c>
      <c r="AB426" s="6">
        <f>[1]Emissions!AA843</f>
        <v>0</v>
      </c>
      <c r="AC426" s="6">
        <f>[1]Emissions!AB843</f>
        <v>0</v>
      </c>
      <c r="AD426" s="6">
        <f>[1]Emissions!AC843</f>
        <v>0</v>
      </c>
      <c r="AE426" s="6">
        <f>[1]Emissions!AD843</f>
        <v>0</v>
      </c>
      <c r="AF426" s="6">
        <f>[1]Emissions!AE843</f>
        <v>0</v>
      </c>
      <c r="AG426" s="6">
        <f>[1]Emissions!AF843</f>
        <v>0</v>
      </c>
      <c r="AH426" s="6">
        <f>[1]Emissions!AG843</f>
        <v>0</v>
      </c>
      <c r="AI426" s="6">
        <f>[1]Emissions!AH843</f>
        <v>0</v>
      </c>
      <c r="AJ426" s="6">
        <f>[1]Emissions!AI843</f>
        <v>0</v>
      </c>
      <c r="AK426" s="6">
        <f>[1]Emissions!AJ843</f>
        <v>0</v>
      </c>
      <c r="AL426" s="6">
        <f>[1]Emissions!AK843</f>
        <v>0</v>
      </c>
    </row>
    <row r="427" spans="2:38" x14ac:dyDescent="0.3">
      <c r="B427" s="6" t="str">
        <f>[1]Emissions!A844</f>
        <v>ems_mat_co2_sgla_2</v>
      </c>
      <c r="C427" s="6">
        <f>[1]Emissions!B844</f>
        <v>13.79124712</v>
      </c>
      <c r="D427" s="6">
        <f>[1]Emissions!C844</f>
        <v>14.25018208</v>
      </c>
      <c r="E427" s="6">
        <f>[1]Emissions!D844</f>
        <v>14.81580364</v>
      </c>
      <c r="F427" s="6">
        <f>[1]Emissions!E844</f>
        <v>15.27789716</v>
      </c>
      <c r="G427" s="6">
        <f>[1]Emissions!F844</f>
        <v>15.62534774</v>
      </c>
      <c r="H427" s="6">
        <f>[1]Emissions!G844</f>
        <v>15.90612458</v>
      </c>
      <c r="I427" s="6">
        <f>[1]Emissions!H844</f>
        <v>16.051052179999999</v>
      </c>
      <c r="J427" s="6">
        <f>[1]Emissions!I844</f>
        <v>16.16612026</v>
      </c>
      <c r="K427" s="6">
        <f>[1]Emissions!J844</f>
        <v>16.268376310000001</v>
      </c>
      <c r="L427" s="6">
        <f>[1]Emissions!K844</f>
        <v>16.380612320000001</v>
      </c>
      <c r="M427" s="6">
        <f>[1]Emissions!L844</f>
        <v>16.704334070000002</v>
      </c>
      <c r="N427" s="6">
        <f>[1]Emissions!M844</f>
        <v>16.848774639999998</v>
      </c>
      <c r="O427" s="6">
        <f>[1]Emissions!N844</f>
        <v>17.041148809999999</v>
      </c>
      <c r="P427" s="6">
        <f>[1]Emissions!O844</f>
        <v>17.294569750000001</v>
      </c>
      <c r="Q427" s="6">
        <f>[1]Emissions!P844</f>
        <v>17.578260220000001</v>
      </c>
      <c r="R427" s="6">
        <f>[1]Emissions!Q844</f>
        <v>17.868283999999999</v>
      </c>
      <c r="S427" s="6">
        <f>[1]Emissions!R844</f>
        <v>18.154114499999999</v>
      </c>
      <c r="T427" s="6">
        <f>[1]Emissions!S844</f>
        <v>18.435792729999999</v>
      </c>
      <c r="U427" s="6">
        <f>[1]Emissions!T844</f>
        <v>18.718935439999999</v>
      </c>
      <c r="V427" s="6">
        <f>[1]Emissions!U844</f>
        <v>19.00999612</v>
      </c>
      <c r="W427" s="6">
        <f>[1]Emissions!V844</f>
        <v>19.18809143</v>
      </c>
      <c r="X427" s="6">
        <f>[1]Emissions!W844</f>
        <v>19.538257160000001</v>
      </c>
      <c r="Y427" s="6">
        <f>[1]Emissions!X844</f>
        <v>19.906284429999999</v>
      </c>
      <c r="Z427" s="6">
        <f>[1]Emissions!Y844</f>
        <v>20.263005159999999</v>
      </c>
      <c r="AA427" s="6">
        <f>[1]Emissions!Z844</f>
        <v>20.611330460000001</v>
      </c>
      <c r="AB427" s="6">
        <f>[1]Emissions!AA844</f>
        <v>20.586535229999999</v>
      </c>
      <c r="AC427" s="6">
        <f>[1]Emissions!AB844</f>
        <v>20.882058499999999</v>
      </c>
      <c r="AD427" s="6">
        <f>[1]Emissions!AC844</f>
        <v>21.236596949999999</v>
      </c>
      <c r="AE427" s="6">
        <f>[1]Emissions!AD844</f>
        <v>21.586900050000001</v>
      </c>
      <c r="AF427" s="6">
        <f>[1]Emissions!AE844</f>
        <v>21.931046080000002</v>
      </c>
      <c r="AG427" s="6">
        <f>[1]Emissions!AF844</f>
        <v>22.274133809999999</v>
      </c>
      <c r="AH427" s="6">
        <f>[1]Emissions!AG844</f>
        <v>22.618735050000002</v>
      </c>
      <c r="AI427" s="6">
        <f>[1]Emissions!AH844</f>
        <v>22.96531439</v>
      </c>
      <c r="AJ427" s="6">
        <f>[1]Emissions!AI844</f>
        <v>23.31377848</v>
      </c>
      <c r="AK427" s="6">
        <f>[1]Emissions!AJ844</f>
        <v>23.664407799999999</v>
      </c>
      <c r="AL427" s="6">
        <f>[1]Emissions!AK844</f>
        <v>24.018039529999999</v>
      </c>
    </row>
    <row r="428" spans="2:38" x14ac:dyDescent="0.3">
      <c r="B428" s="6" t="str">
        <f>[1]Emissions!A845</f>
        <v>ems_ci_co2_spap_2</v>
      </c>
      <c r="C428" s="6">
        <f>[1]Emissions!B845</f>
        <v>3.0195576750000002</v>
      </c>
      <c r="D428" s="6">
        <f>[1]Emissions!C845</f>
        <v>3.0389702120000002</v>
      </c>
      <c r="E428" s="6">
        <f>[1]Emissions!D845</f>
        <v>3.0675809909999998</v>
      </c>
      <c r="F428" s="6">
        <f>[1]Emissions!E845</f>
        <v>3.1091992070000001</v>
      </c>
      <c r="G428" s="6">
        <f>[1]Emissions!F845</f>
        <v>3.1578563040000001</v>
      </c>
      <c r="H428" s="6">
        <f>[1]Emissions!G845</f>
        <v>3.208958414</v>
      </c>
      <c r="I428" s="6">
        <f>[1]Emissions!H845</f>
        <v>3.2625682729999999</v>
      </c>
      <c r="J428" s="6">
        <f>[1]Emissions!I845</f>
        <v>3.305112625</v>
      </c>
      <c r="K428" s="6">
        <f>[1]Emissions!J845</f>
        <v>3.3381114859999999</v>
      </c>
      <c r="L428" s="6">
        <f>[1]Emissions!K845</f>
        <v>3.3686458880000001</v>
      </c>
      <c r="M428" s="6">
        <f>[1]Emissions!L845</f>
        <v>3.4009464110000001</v>
      </c>
      <c r="N428" s="6">
        <f>[1]Emissions!M845</f>
        <v>3.4476102229999999</v>
      </c>
      <c r="O428" s="6">
        <f>[1]Emissions!N845</f>
        <v>3.5015030309999999</v>
      </c>
      <c r="P428" s="6">
        <f>[1]Emissions!O845</f>
        <v>3.5601477539999999</v>
      </c>
      <c r="Q428" s="6">
        <f>[1]Emissions!P845</f>
        <v>3.621069125</v>
      </c>
      <c r="R428" s="6">
        <f>[1]Emissions!Q845</f>
        <v>3.6821436420000002</v>
      </c>
      <c r="S428" s="6">
        <f>[1]Emissions!R845</f>
        <v>3.74227789</v>
      </c>
      <c r="T428" s="6">
        <f>[1]Emissions!S845</f>
        <v>3.8014997030000002</v>
      </c>
      <c r="U428" s="6">
        <f>[1]Emissions!T845</f>
        <v>3.86056862</v>
      </c>
      <c r="V428" s="6">
        <f>[1]Emissions!U845</f>
        <v>3.9204230189999998</v>
      </c>
      <c r="W428" s="6">
        <f>[1]Emissions!V845</f>
        <v>3.9830376809999999</v>
      </c>
      <c r="X428" s="6">
        <f>[1]Emissions!W845</f>
        <v>4.0433022220000003</v>
      </c>
      <c r="Y428" s="6">
        <f>[1]Emissions!X845</f>
        <v>4.1060417080000002</v>
      </c>
      <c r="Z428" s="6">
        <f>[1]Emissions!Y845</f>
        <v>4.1710253609999999</v>
      </c>
      <c r="AA428" s="6">
        <f>[1]Emissions!Z845</f>
        <v>4.2374508029999998</v>
      </c>
      <c r="AB428" s="6">
        <f>[1]Emissions!AA845</f>
        <v>4.3073187380000002</v>
      </c>
      <c r="AC428" s="6">
        <f>[1]Emissions!AB845</f>
        <v>4.3693581290000001</v>
      </c>
      <c r="AD428" s="6">
        <f>[1]Emissions!AC845</f>
        <v>4.4313444329999996</v>
      </c>
      <c r="AE428" s="6">
        <f>[1]Emissions!AD845</f>
        <v>4.4948843549999999</v>
      </c>
      <c r="AF428" s="6">
        <f>[1]Emissions!AE845</f>
        <v>4.5603718219999996</v>
      </c>
      <c r="AG428" s="6">
        <f>[1]Emissions!AF845</f>
        <v>4.6278065589999997</v>
      </c>
      <c r="AH428" s="6">
        <f>[1]Emissions!AG845</f>
        <v>4.696969664</v>
      </c>
      <c r="AI428" s="6">
        <f>[1]Emissions!AH845</f>
        <v>4.767567208</v>
      </c>
      <c r="AJ428" s="6">
        <f>[1]Emissions!AI845</f>
        <v>4.8393590839999998</v>
      </c>
      <c r="AK428" s="6">
        <f>[1]Emissions!AJ845</f>
        <v>4.912229022</v>
      </c>
      <c r="AL428" s="6">
        <f>[1]Emissions!AK845</f>
        <v>4.9861824019999998</v>
      </c>
    </row>
    <row r="429" spans="2:38" x14ac:dyDescent="0.3">
      <c r="B429" s="6" t="str">
        <f>[1]Emissions!A846</f>
        <v>ems_y_co2_spap_2</v>
      </c>
      <c r="C429" s="6">
        <f>[1]Emissions!B846</f>
        <v>0</v>
      </c>
      <c r="D429" s="6">
        <f>[1]Emissions!C846</f>
        <v>0</v>
      </c>
      <c r="E429" s="6">
        <f>[1]Emissions!D846</f>
        <v>0</v>
      </c>
      <c r="F429" s="6">
        <f>[1]Emissions!E846</f>
        <v>0</v>
      </c>
      <c r="G429" s="6">
        <f>[1]Emissions!F846</f>
        <v>0</v>
      </c>
      <c r="H429" s="6">
        <f>[1]Emissions!G846</f>
        <v>0</v>
      </c>
      <c r="I429" s="6">
        <f>[1]Emissions!H846</f>
        <v>0</v>
      </c>
      <c r="J429" s="6">
        <f>[1]Emissions!I846</f>
        <v>0</v>
      </c>
      <c r="K429" s="6">
        <f>[1]Emissions!J846</f>
        <v>0</v>
      </c>
      <c r="L429" s="6">
        <f>[1]Emissions!K846</f>
        <v>0</v>
      </c>
      <c r="M429" s="6">
        <f>[1]Emissions!L846</f>
        <v>0</v>
      </c>
      <c r="N429" s="6">
        <f>[1]Emissions!M846</f>
        <v>0</v>
      </c>
      <c r="O429" s="6">
        <f>[1]Emissions!N846</f>
        <v>0</v>
      </c>
      <c r="P429" s="6">
        <f>[1]Emissions!O846</f>
        <v>0</v>
      </c>
      <c r="Q429" s="6">
        <f>[1]Emissions!P846</f>
        <v>0</v>
      </c>
      <c r="R429" s="6">
        <f>[1]Emissions!Q846</f>
        <v>0</v>
      </c>
      <c r="S429" s="6">
        <f>[1]Emissions!R846</f>
        <v>0</v>
      </c>
      <c r="T429" s="6">
        <f>[1]Emissions!S846</f>
        <v>0</v>
      </c>
      <c r="U429" s="6">
        <f>[1]Emissions!T846</f>
        <v>0</v>
      </c>
      <c r="V429" s="6">
        <f>[1]Emissions!U846</f>
        <v>0</v>
      </c>
      <c r="W429" s="6">
        <f>[1]Emissions!V846</f>
        <v>0</v>
      </c>
      <c r="X429" s="6">
        <f>[1]Emissions!W846</f>
        <v>0</v>
      </c>
      <c r="Y429" s="6">
        <f>[1]Emissions!X846</f>
        <v>0</v>
      </c>
      <c r="Z429" s="6">
        <f>[1]Emissions!Y846</f>
        <v>0</v>
      </c>
      <c r="AA429" s="6">
        <f>[1]Emissions!Z846</f>
        <v>0</v>
      </c>
      <c r="AB429" s="6">
        <f>[1]Emissions!AA846</f>
        <v>0</v>
      </c>
      <c r="AC429" s="6">
        <f>[1]Emissions!AB846</f>
        <v>0</v>
      </c>
      <c r="AD429" s="6">
        <f>[1]Emissions!AC846</f>
        <v>0</v>
      </c>
      <c r="AE429" s="6">
        <f>[1]Emissions!AD846</f>
        <v>0</v>
      </c>
      <c r="AF429" s="6">
        <f>[1]Emissions!AE846</f>
        <v>0</v>
      </c>
      <c r="AG429" s="6">
        <f>[1]Emissions!AF846</f>
        <v>0</v>
      </c>
      <c r="AH429" s="6">
        <f>[1]Emissions!AG846</f>
        <v>0</v>
      </c>
      <c r="AI429" s="6">
        <f>[1]Emissions!AH846</f>
        <v>0</v>
      </c>
      <c r="AJ429" s="6">
        <f>[1]Emissions!AI846</f>
        <v>0</v>
      </c>
      <c r="AK429" s="6">
        <f>[1]Emissions!AJ846</f>
        <v>0</v>
      </c>
      <c r="AL429" s="6">
        <f>[1]Emissions!AK846</f>
        <v>0</v>
      </c>
    </row>
    <row r="430" spans="2:38" x14ac:dyDescent="0.3">
      <c r="B430" s="6" t="str">
        <f>[1]Emissions!A847</f>
        <v>ems_mat_co2_spap_2</v>
      </c>
      <c r="C430" s="6">
        <f>[1]Emissions!B847</f>
        <v>0</v>
      </c>
      <c r="D430" s="6">
        <f>[1]Emissions!C847</f>
        <v>0</v>
      </c>
      <c r="E430" s="6">
        <f>[1]Emissions!D847</f>
        <v>0</v>
      </c>
      <c r="F430" s="6">
        <f>[1]Emissions!E847</f>
        <v>0</v>
      </c>
      <c r="G430" s="6">
        <f>[1]Emissions!F847</f>
        <v>0</v>
      </c>
      <c r="H430" s="6">
        <f>[1]Emissions!G847</f>
        <v>0</v>
      </c>
      <c r="I430" s="6">
        <f>[1]Emissions!H847</f>
        <v>0</v>
      </c>
      <c r="J430" s="6">
        <f>[1]Emissions!I847</f>
        <v>0</v>
      </c>
      <c r="K430" s="6">
        <f>[1]Emissions!J847</f>
        <v>0</v>
      </c>
      <c r="L430" s="6">
        <f>[1]Emissions!K847</f>
        <v>0</v>
      </c>
      <c r="M430" s="6">
        <f>[1]Emissions!L847</f>
        <v>0</v>
      </c>
      <c r="N430" s="6">
        <f>[1]Emissions!M847</f>
        <v>0</v>
      </c>
      <c r="O430" s="6">
        <f>[1]Emissions!N847</f>
        <v>0</v>
      </c>
      <c r="P430" s="6">
        <f>[1]Emissions!O847</f>
        <v>0</v>
      </c>
      <c r="Q430" s="6">
        <f>[1]Emissions!P847</f>
        <v>0</v>
      </c>
      <c r="R430" s="6">
        <f>[1]Emissions!Q847</f>
        <v>0</v>
      </c>
      <c r="S430" s="6">
        <f>[1]Emissions!R847</f>
        <v>0</v>
      </c>
      <c r="T430" s="6">
        <f>[1]Emissions!S847</f>
        <v>0</v>
      </c>
      <c r="U430" s="6">
        <f>[1]Emissions!T847</f>
        <v>0</v>
      </c>
      <c r="V430" s="6">
        <f>[1]Emissions!U847</f>
        <v>0</v>
      </c>
      <c r="W430" s="6">
        <f>[1]Emissions!V847</f>
        <v>0</v>
      </c>
      <c r="X430" s="6">
        <f>[1]Emissions!W847</f>
        <v>0</v>
      </c>
      <c r="Y430" s="6">
        <f>[1]Emissions!X847</f>
        <v>0</v>
      </c>
      <c r="Z430" s="6">
        <f>[1]Emissions!Y847</f>
        <v>0</v>
      </c>
      <c r="AA430" s="6">
        <f>[1]Emissions!Z847</f>
        <v>0</v>
      </c>
      <c r="AB430" s="6">
        <f>[1]Emissions!AA847</f>
        <v>0</v>
      </c>
      <c r="AC430" s="6">
        <f>[1]Emissions!AB847</f>
        <v>0</v>
      </c>
      <c r="AD430" s="6">
        <f>[1]Emissions!AC847</f>
        <v>0</v>
      </c>
      <c r="AE430" s="6">
        <f>[1]Emissions!AD847</f>
        <v>0</v>
      </c>
      <c r="AF430" s="6">
        <f>[1]Emissions!AE847</f>
        <v>0</v>
      </c>
      <c r="AG430" s="6">
        <f>[1]Emissions!AF847</f>
        <v>0</v>
      </c>
      <c r="AH430" s="6">
        <f>[1]Emissions!AG847</f>
        <v>0</v>
      </c>
      <c r="AI430" s="6">
        <f>[1]Emissions!AH847</f>
        <v>0</v>
      </c>
      <c r="AJ430" s="6">
        <f>[1]Emissions!AI847</f>
        <v>0</v>
      </c>
      <c r="AK430" s="6">
        <f>[1]Emissions!AJ847</f>
        <v>0</v>
      </c>
      <c r="AL430" s="6">
        <f>[1]Emissions!AK847</f>
        <v>0</v>
      </c>
    </row>
    <row r="431" spans="2:38" x14ac:dyDescent="0.3">
      <c r="B431" s="6" t="str">
        <f>[1]Emissions!A848</f>
        <v>ems_ci_co2_sche_2</v>
      </c>
      <c r="C431" s="6">
        <f>[1]Emissions!B848</f>
        <v>3.8354402749999998</v>
      </c>
      <c r="D431" s="6">
        <f>[1]Emissions!C848</f>
        <v>3.8343705880000001</v>
      </c>
      <c r="E431" s="6">
        <f>[1]Emissions!D848</f>
        <v>3.8474800400000002</v>
      </c>
      <c r="F431" s="6">
        <f>[1]Emissions!E848</f>
        <v>3.874537857</v>
      </c>
      <c r="G431" s="6">
        <f>[1]Emissions!F848</f>
        <v>3.9113455209999999</v>
      </c>
      <c r="H431" s="6">
        <f>[1]Emissions!G848</f>
        <v>3.9551223000000002</v>
      </c>
      <c r="I431" s="6">
        <f>[1]Emissions!H848</f>
        <v>4.0035041729999996</v>
      </c>
      <c r="J431" s="6">
        <f>[1]Emissions!I848</f>
        <v>4.0485430469999999</v>
      </c>
      <c r="K431" s="6">
        <f>[1]Emissions!J848</f>
        <v>4.0891873429999999</v>
      </c>
      <c r="L431" s="6">
        <f>[1]Emissions!K848</f>
        <v>4.1268980820000003</v>
      </c>
      <c r="M431" s="6">
        <f>[1]Emissions!L848</f>
        <v>4.1718400500000001</v>
      </c>
      <c r="N431" s="6">
        <f>[1]Emissions!M848</f>
        <v>4.215249536</v>
      </c>
      <c r="O431" s="6">
        <f>[1]Emissions!N848</f>
        <v>4.2639514070000004</v>
      </c>
      <c r="P431" s="6">
        <f>[1]Emissions!O848</f>
        <v>4.3188260219999997</v>
      </c>
      <c r="Q431" s="6">
        <f>[1]Emissions!P848</f>
        <v>4.3782704680000002</v>
      </c>
      <c r="R431" s="6">
        <f>[1]Emissions!Q848</f>
        <v>4.440245333</v>
      </c>
      <c r="S431" s="6">
        <f>[1]Emissions!R848</f>
        <v>4.5032194499999996</v>
      </c>
      <c r="T431" s="6">
        <f>[1]Emissions!S848</f>
        <v>4.5665274480000004</v>
      </c>
      <c r="U431" s="6">
        <f>[1]Emissions!T848</f>
        <v>4.6302929779999999</v>
      </c>
      <c r="V431" s="6">
        <f>[1]Emissions!U848</f>
        <v>4.6950918540000002</v>
      </c>
      <c r="W431" s="6">
        <f>[1]Emissions!V848</f>
        <v>4.7566251429999999</v>
      </c>
      <c r="X431" s="6">
        <f>[1]Emissions!W848</f>
        <v>4.8245234290000001</v>
      </c>
      <c r="Y431" s="6">
        <f>[1]Emissions!X848</f>
        <v>4.8955030480000001</v>
      </c>
      <c r="Z431" s="6">
        <f>[1]Emissions!Y848</f>
        <v>4.968502558</v>
      </c>
      <c r="AA431" s="6">
        <f>[1]Emissions!Z848</f>
        <v>5.043185019</v>
      </c>
      <c r="AB431" s="6">
        <f>[1]Emissions!AA848</f>
        <v>5.1044233659999998</v>
      </c>
      <c r="AC431" s="6">
        <f>[1]Emissions!AB848</f>
        <v>5.1737734250000003</v>
      </c>
      <c r="AD431" s="6">
        <f>[1]Emissions!AC848</f>
        <v>5.2457748549999996</v>
      </c>
      <c r="AE431" s="6">
        <f>[1]Emissions!AD848</f>
        <v>5.3190083230000003</v>
      </c>
      <c r="AF431" s="6">
        <f>[1]Emissions!AE848</f>
        <v>5.3936143510000001</v>
      </c>
      <c r="AG431" s="6">
        <f>[1]Emissions!AF848</f>
        <v>5.4698476249999999</v>
      </c>
      <c r="AH431" s="6">
        <f>[1]Emissions!AG848</f>
        <v>5.5477587670000004</v>
      </c>
      <c r="AI431" s="6">
        <f>[1]Emissions!AH848</f>
        <v>5.627223152</v>
      </c>
      <c r="AJ431" s="6">
        <f>[1]Emissions!AI848</f>
        <v>5.7080529469999997</v>
      </c>
      <c r="AK431" s="6">
        <f>[1]Emissions!AJ848</f>
        <v>5.7900962109999998</v>
      </c>
      <c r="AL431" s="6">
        <f>[1]Emissions!AK848</f>
        <v>5.8732855949999996</v>
      </c>
    </row>
    <row r="432" spans="2:38" x14ac:dyDescent="0.3">
      <c r="B432" s="6" t="str">
        <f>[1]Emissions!A849</f>
        <v>ems_y_co2_sche_2</v>
      </c>
      <c r="C432" s="6">
        <f>[1]Emissions!B849</f>
        <v>0</v>
      </c>
      <c r="D432" s="6">
        <f>[1]Emissions!C849</f>
        <v>0</v>
      </c>
      <c r="E432" s="6">
        <f>[1]Emissions!D849</f>
        <v>0</v>
      </c>
      <c r="F432" s="6">
        <f>[1]Emissions!E849</f>
        <v>0</v>
      </c>
      <c r="G432" s="6">
        <f>[1]Emissions!F849</f>
        <v>0</v>
      </c>
      <c r="H432" s="6">
        <f>[1]Emissions!G849</f>
        <v>0</v>
      </c>
      <c r="I432" s="6">
        <f>[1]Emissions!H849</f>
        <v>0</v>
      </c>
      <c r="J432" s="6">
        <f>[1]Emissions!I849</f>
        <v>0</v>
      </c>
      <c r="K432" s="6">
        <f>[1]Emissions!J849</f>
        <v>0</v>
      </c>
      <c r="L432" s="6">
        <f>[1]Emissions!K849</f>
        <v>0</v>
      </c>
      <c r="M432" s="6">
        <f>[1]Emissions!L849</f>
        <v>0</v>
      </c>
      <c r="N432" s="6">
        <f>[1]Emissions!M849</f>
        <v>0</v>
      </c>
      <c r="O432" s="6">
        <f>[1]Emissions!N849</f>
        <v>0</v>
      </c>
      <c r="P432" s="6">
        <f>[1]Emissions!O849</f>
        <v>0</v>
      </c>
      <c r="Q432" s="6">
        <f>[1]Emissions!P849</f>
        <v>0</v>
      </c>
      <c r="R432" s="6">
        <f>[1]Emissions!Q849</f>
        <v>0</v>
      </c>
      <c r="S432" s="6">
        <f>[1]Emissions!R849</f>
        <v>0</v>
      </c>
      <c r="T432" s="6">
        <f>[1]Emissions!S849</f>
        <v>0</v>
      </c>
      <c r="U432" s="6">
        <f>[1]Emissions!T849</f>
        <v>0</v>
      </c>
      <c r="V432" s="6">
        <f>[1]Emissions!U849</f>
        <v>0</v>
      </c>
      <c r="W432" s="6">
        <f>[1]Emissions!V849</f>
        <v>0</v>
      </c>
      <c r="X432" s="6">
        <f>[1]Emissions!W849</f>
        <v>0</v>
      </c>
      <c r="Y432" s="6">
        <f>[1]Emissions!X849</f>
        <v>0</v>
      </c>
      <c r="Z432" s="6">
        <f>[1]Emissions!Y849</f>
        <v>0</v>
      </c>
      <c r="AA432" s="6">
        <f>[1]Emissions!Z849</f>
        <v>0</v>
      </c>
      <c r="AB432" s="6">
        <f>[1]Emissions!AA849</f>
        <v>0</v>
      </c>
      <c r="AC432" s="6">
        <f>[1]Emissions!AB849</f>
        <v>0</v>
      </c>
      <c r="AD432" s="6">
        <f>[1]Emissions!AC849</f>
        <v>0</v>
      </c>
      <c r="AE432" s="6">
        <f>[1]Emissions!AD849</f>
        <v>0</v>
      </c>
      <c r="AF432" s="6">
        <f>[1]Emissions!AE849</f>
        <v>0</v>
      </c>
      <c r="AG432" s="6">
        <f>[1]Emissions!AF849</f>
        <v>0</v>
      </c>
      <c r="AH432" s="6">
        <f>[1]Emissions!AG849</f>
        <v>0</v>
      </c>
      <c r="AI432" s="6">
        <f>[1]Emissions!AH849</f>
        <v>0</v>
      </c>
      <c r="AJ432" s="6">
        <f>[1]Emissions!AI849</f>
        <v>0</v>
      </c>
      <c r="AK432" s="6">
        <f>[1]Emissions!AJ849</f>
        <v>0</v>
      </c>
      <c r="AL432" s="6">
        <f>[1]Emissions!AK849</f>
        <v>0</v>
      </c>
    </row>
    <row r="433" spans="2:38" x14ac:dyDescent="0.3">
      <c r="B433" s="6" t="str">
        <f>[1]Emissions!A850</f>
        <v>ems_mat_co2_sche_2</v>
      </c>
      <c r="C433" s="6">
        <f>[1]Emissions!B850</f>
        <v>2.594500424</v>
      </c>
      <c r="D433" s="6">
        <f>[1]Emissions!C850</f>
        <v>2.5971305629999999</v>
      </c>
      <c r="E433" s="6">
        <f>[1]Emissions!D850</f>
        <v>2.6115127299999998</v>
      </c>
      <c r="F433" s="6">
        <f>[1]Emissions!E850</f>
        <v>2.6364707360000001</v>
      </c>
      <c r="G433" s="6">
        <f>[1]Emissions!F850</f>
        <v>2.6683295839999999</v>
      </c>
      <c r="H433" s="6">
        <f>[1]Emissions!G850</f>
        <v>2.7046565390000001</v>
      </c>
      <c r="I433" s="6">
        <f>[1]Emissions!H850</f>
        <v>2.7435047049999999</v>
      </c>
      <c r="J433" s="6">
        <f>[1]Emissions!I850</f>
        <v>2.775256921</v>
      </c>
      <c r="K433" s="6">
        <f>[1]Emissions!J850</f>
        <v>2.8013978919999998</v>
      </c>
      <c r="L433" s="6">
        <f>[1]Emissions!K850</f>
        <v>2.8257708309999998</v>
      </c>
      <c r="M433" s="6">
        <f>[1]Emissions!L850</f>
        <v>2.8570910559999998</v>
      </c>
      <c r="N433" s="6">
        <f>[1]Emissions!M850</f>
        <v>2.88915605</v>
      </c>
      <c r="O433" s="6">
        <f>[1]Emissions!N850</f>
        <v>2.925686491</v>
      </c>
      <c r="P433" s="6">
        <f>[1]Emissions!O850</f>
        <v>2.9662215660000002</v>
      </c>
      <c r="Q433" s="6">
        <f>[1]Emissions!P850</f>
        <v>3.0089677840000002</v>
      </c>
      <c r="R433" s="6">
        <f>[1]Emissions!Q850</f>
        <v>3.052371532</v>
      </c>
      <c r="S433" s="6">
        <f>[1]Emissions!R850</f>
        <v>3.095681173</v>
      </c>
      <c r="T433" s="6">
        <f>[1]Emissions!S850</f>
        <v>3.1389645370000001</v>
      </c>
      <c r="U433" s="6">
        <f>[1]Emissions!T850</f>
        <v>3.182805208</v>
      </c>
      <c r="V433" s="6">
        <f>[1]Emissions!U850</f>
        <v>3.2279012159999998</v>
      </c>
      <c r="W433" s="6">
        <f>[1]Emissions!V850</f>
        <v>3.2712970540000001</v>
      </c>
      <c r="X433" s="6">
        <f>[1]Emissions!W850</f>
        <v>3.3195372490000001</v>
      </c>
      <c r="Y433" s="6">
        <f>[1]Emissions!X850</f>
        <v>3.3702002900000001</v>
      </c>
      <c r="Z433" s="6">
        <f>[1]Emissions!Y850</f>
        <v>3.422316092</v>
      </c>
      <c r="AA433" s="6">
        <f>[1]Emissions!Z850</f>
        <v>3.4754401769999999</v>
      </c>
      <c r="AB433" s="6">
        <f>[1]Emissions!AA850</f>
        <v>3.5188765169999998</v>
      </c>
      <c r="AC433" s="6">
        <f>[1]Emissions!AB850</f>
        <v>3.5675371490000001</v>
      </c>
      <c r="AD433" s="6">
        <f>[1]Emissions!AC850</f>
        <v>3.6178780960000001</v>
      </c>
      <c r="AE433" s="6">
        <f>[1]Emissions!AD850</f>
        <v>3.6690304459999998</v>
      </c>
      <c r="AF433" s="6">
        <f>[1]Emissions!AE850</f>
        <v>3.7210734250000002</v>
      </c>
      <c r="AG433" s="6">
        <f>[1]Emissions!AF850</f>
        <v>3.7740856960000002</v>
      </c>
      <c r="AH433" s="6">
        <f>[1]Emissions!AG850</f>
        <v>3.8279933540000002</v>
      </c>
      <c r="AI433" s="6">
        <f>[1]Emissions!AH850</f>
        <v>3.8826454180000001</v>
      </c>
      <c r="AJ433" s="6">
        <f>[1]Emissions!AI850</f>
        <v>3.9379149510000002</v>
      </c>
      <c r="AK433" s="6">
        <f>[1]Emissions!AJ850</f>
        <v>3.9937583590000001</v>
      </c>
      <c r="AL433" s="6">
        <f>[1]Emissions!AK850</f>
        <v>4.0502195280000004</v>
      </c>
    </row>
    <row r="434" spans="2:38" x14ac:dyDescent="0.3">
      <c r="B434" s="6" t="str">
        <f>[1]Emissions!A851</f>
        <v>ems_ci_co2_spla_2</v>
      </c>
      <c r="C434" s="6">
        <f>[1]Emissions!B851</f>
        <v>1.297756884</v>
      </c>
      <c r="D434" s="6">
        <f>[1]Emissions!C851</f>
        <v>1.2991557659999999</v>
      </c>
      <c r="E434" s="6">
        <f>[1]Emissions!D851</f>
        <v>1.3042119350000001</v>
      </c>
      <c r="F434" s="6">
        <f>[1]Emissions!E851</f>
        <v>1.3130087349999999</v>
      </c>
      <c r="G434" s="6">
        <f>[1]Emissions!F851</f>
        <v>1.3257670420000001</v>
      </c>
      <c r="H434" s="6">
        <f>[1]Emissions!G851</f>
        <v>1.3429780739999999</v>
      </c>
      <c r="I434" s="6">
        <f>[1]Emissions!H851</f>
        <v>1.3632510229999999</v>
      </c>
      <c r="J434" s="6">
        <f>[1]Emissions!I851</f>
        <v>1.392239142</v>
      </c>
      <c r="K434" s="6">
        <f>[1]Emissions!J851</f>
        <v>1.4244581089999999</v>
      </c>
      <c r="L434" s="6">
        <f>[1]Emissions!K851</f>
        <v>1.4541870020000001</v>
      </c>
      <c r="M434" s="6">
        <f>[1]Emissions!L851</f>
        <v>1.4822813100000001</v>
      </c>
      <c r="N434" s="6">
        <f>[1]Emissions!M851</f>
        <v>1.501678166</v>
      </c>
      <c r="O434" s="6">
        <f>[1]Emissions!N851</f>
        <v>1.5186776099999999</v>
      </c>
      <c r="P434" s="6">
        <f>[1]Emissions!O851</f>
        <v>1.5362438730000001</v>
      </c>
      <c r="Q434" s="6">
        <f>[1]Emissions!P851</f>
        <v>1.555673493</v>
      </c>
      <c r="R434" s="6">
        <f>[1]Emissions!Q851</f>
        <v>1.577177265</v>
      </c>
      <c r="S434" s="6">
        <f>[1]Emissions!R851</f>
        <v>1.6002443550000001</v>
      </c>
      <c r="T434" s="6">
        <f>[1]Emissions!S851</f>
        <v>1.624103759</v>
      </c>
      <c r="U434" s="6">
        <f>[1]Emissions!T851</f>
        <v>1.648144405</v>
      </c>
      <c r="V434" s="6">
        <f>[1]Emissions!U851</f>
        <v>1.6721438179999999</v>
      </c>
      <c r="W434" s="6">
        <f>[1]Emissions!V851</f>
        <v>1.6935113559999999</v>
      </c>
      <c r="X434" s="6">
        <f>[1]Emissions!W851</f>
        <v>1.718326271</v>
      </c>
      <c r="Y434" s="6">
        <f>[1]Emissions!X851</f>
        <v>1.74428925</v>
      </c>
      <c r="Z434" s="6">
        <f>[1]Emissions!Y851</f>
        <v>1.771168308</v>
      </c>
      <c r="AA434" s="6">
        <f>[1]Emissions!Z851</f>
        <v>1.79917781</v>
      </c>
      <c r="AB434" s="6">
        <f>[1]Emissions!AA851</f>
        <v>1.8200368629999999</v>
      </c>
      <c r="AC434" s="6">
        <f>[1]Emissions!AB851</f>
        <v>1.847348422</v>
      </c>
      <c r="AD434" s="6">
        <f>[1]Emissions!AC851</f>
        <v>1.87604053</v>
      </c>
      <c r="AE434" s="6">
        <f>[1]Emissions!AD851</f>
        <v>1.9046065480000001</v>
      </c>
      <c r="AF434" s="6">
        <f>[1]Emissions!AE851</f>
        <v>1.932976284</v>
      </c>
      <c r="AG434" s="6">
        <f>[1]Emissions!AF851</f>
        <v>1.961412873</v>
      </c>
      <c r="AH434" s="6">
        <f>[1]Emissions!AG851</f>
        <v>1.990174184</v>
      </c>
      <c r="AI434" s="6">
        <f>[1]Emissions!AH851</f>
        <v>2.0194014020000002</v>
      </c>
      <c r="AJ434" s="6">
        <f>[1]Emissions!AI851</f>
        <v>2.0491034479999999</v>
      </c>
      <c r="AK434" s="6">
        <f>[1]Emissions!AJ851</f>
        <v>2.0791982230000001</v>
      </c>
      <c r="AL434" s="6">
        <f>[1]Emissions!AK851</f>
        <v>2.1095775680000002</v>
      </c>
    </row>
    <row r="435" spans="2:38" x14ac:dyDescent="0.3">
      <c r="B435" s="6" t="str">
        <f>[1]Emissions!A852</f>
        <v>ems_y_co2_spla_2</v>
      </c>
      <c r="C435" s="6">
        <f>[1]Emissions!B852</f>
        <v>0</v>
      </c>
      <c r="D435" s="6">
        <f>[1]Emissions!C852</f>
        <v>0</v>
      </c>
      <c r="E435" s="6">
        <f>[1]Emissions!D852</f>
        <v>0</v>
      </c>
      <c r="F435" s="6">
        <f>[1]Emissions!E852</f>
        <v>0</v>
      </c>
      <c r="G435" s="6">
        <f>[1]Emissions!F852</f>
        <v>0</v>
      </c>
      <c r="H435" s="6">
        <f>[1]Emissions!G852</f>
        <v>0</v>
      </c>
      <c r="I435" s="6">
        <f>[1]Emissions!H852</f>
        <v>0</v>
      </c>
      <c r="J435" s="6">
        <f>[1]Emissions!I852</f>
        <v>0</v>
      </c>
      <c r="K435" s="6">
        <f>[1]Emissions!J852</f>
        <v>0</v>
      </c>
      <c r="L435" s="6">
        <f>[1]Emissions!K852</f>
        <v>0</v>
      </c>
      <c r="M435" s="6">
        <f>[1]Emissions!L852</f>
        <v>0</v>
      </c>
      <c r="N435" s="6">
        <f>[1]Emissions!M852</f>
        <v>0</v>
      </c>
      <c r="O435" s="6">
        <f>[1]Emissions!N852</f>
        <v>0</v>
      </c>
      <c r="P435" s="6">
        <f>[1]Emissions!O852</f>
        <v>0</v>
      </c>
      <c r="Q435" s="6">
        <f>[1]Emissions!P852</f>
        <v>0</v>
      </c>
      <c r="R435" s="6">
        <f>[1]Emissions!Q852</f>
        <v>0</v>
      </c>
      <c r="S435" s="6">
        <f>[1]Emissions!R852</f>
        <v>0</v>
      </c>
      <c r="T435" s="6">
        <f>[1]Emissions!S852</f>
        <v>0</v>
      </c>
      <c r="U435" s="6">
        <f>[1]Emissions!T852</f>
        <v>0</v>
      </c>
      <c r="V435" s="6">
        <f>[1]Emissions!U852</f>
        <v>0</v>
      </c>
      <c r="W435" s="6">
        <f>[1]Emissions!V852</f>
        <v>0</v>
      </c>
      <c r="X435" s="6">
        <f>[1]Emissions!W852</f>
        <v>0</v>
      </c>
      <c r="Y435" s="6">
        <f>[1]Emissions!X852</f>
        <v>0</v>
      </c>
      <c r="Z435" s="6">
        <f>[1]Emissions!Y852</f>
        <v>0</v>
      </c>
      <c r="AA435" s="6">
        <f>[1]Emissions!Z852</f>
        <v>0</v>
      </c>
      <c r="AB435" s="6">
        <f>[1]Emissions!AA852</f>
        <v>0</v>
      </c>
      <c r="AC435" s="6">
        <f>[1]Emissions!AB852</f>
        <v>0</v>
      </c>
      <c r="AD435" s="6">
        <f>[1]Emissions!AC852</f>
        <v>0</v>
      </c>
      <c r="AE435" s="6">
        <f>[1]Emissions!AD852</f>
        <v>0</v>
      </c>
      <c r="AF435" s="6">
        <f>[1]Emissions!AE852</f>
        <v>0</v>
      </c>
      <c r="AG435" s="6">
        <f>[1]Emissions!AF852</f>
        <v>0</v>
      </c>
      <c r="AH435" s="6">
        <f>[1]Emissions!AG852</f>
        <v>0</v>
      </c>
      <c r="AI435" s="6">
        <f>[1]Emissions!AH852</f>
        <v>0</v>
      </c>
      <c r="AJ435" s="6">
        <f>[1]Emissions!AI852</f>
        <v>0</v>
      </c>
      <c r="AK435" s="6">
        <f>[1]Emissions!AJ852</f>
        <v>0</v>
      </c>
      <c r="AL435" s="6">
        <f>[1]Emissions!AK852</f>
        <v>0</v>
      </c>
    </row>
    <row r="436" spans="2:38" x14ac:dyDescent="0.3">
      <c r="B436" s="6" t="str">
        <f>[1]Emissions!A853</f>
        <v>ems_mat_co2_spla_2</v>
      </c>
      <c r="C436" s="6">
        <f>[1]Emissions!B853</f>
        <v>0</v>
      </c>
      <c r="D436" s="6">
        <f>[1]Emissions!C853</f>
        <v>0</v>
      </c>
      <c r="E436" s="6">
        <f>[1]Emissions!D853</f>
        <v>0</v>
      </c>
      <c r="F436" s="6">
        <f>[1]Emissions!E853</f>
        <v>0</v>
      </c>
      <c r="G436" s="6">
        <f>[1]Emissions!F853</f>
        <v>0</v>
      </c>
      <c r="H436" s="6">
        <f>[1]Emissions!G853</f>
        <v>0</v>
      </c>
      <c r="I436" s="6">
        <f>[1]Emissions!H853</f>
        <v>0</v>
      </c>
      <c r="J436" s="6">
        <f>[1]Emissions!I853</f>
        <v>0</v>
      </c>
      <c r="K436" s="6">
        <f>[1]Emissions!J853</f>
        <v>0</v>
      </c>
      <c r="L436" s="6">
        <f>[1]Emissions!K853</f>
        <v>0</v>
      </c>
      <c r="M436" s="6">
        <f>[1]Emissions!L853</f>
        <v>0</v>
      </c>
      <c r="N436" s="6">
        <f>[1]Emissions!M853</f>
        <v>0</v>
      </c>
      <c r="O436" s="6">
        <f>[1]Emissions!N853</f>
        <v>0</v>
      </c>
      <c r="P436" s="6">
        <f>[1]Emissions!O853</f>
        <v>0</v>
      </c>
      <c r="Q436" s="6">
        <f>[1]Emissions!P853</f>
        <v>0</v>
      </c>
      <c r="R436" s="6">
        <f>[1]Emissions!Q853</f>
        <v>0</v>
      </c>
      <c r="S436" s="6">
        <f>[1]Emissions!R853</f>
        <v>0</v>
      </c>
      <c r="T436" s="6">
        <f>[1]Emissions!S853</f>
        <v>0</v>
      </c>
      <c r="U436" s="6">
        <f>[1]Emissions!T853</f>
        <v>0</v>
      </c>
      <c r="V436" s="6">
        <f>[1]Emissions!U853</f>
        <v>0</v>
      </c>
      <c r="W436" s="6">
        <f>[1]Emissions!V853</f>
        <v>0</v>
      </c>
      <c r="X436" s="6">
        <f>[1]Emissions!W853</f>
        <v>0</v>
      </c>
      <c r="Y436" s="6">
        <f>[1]Emissions!X853</f>
        <v>0</v>
      </c>
      <c r="Z436" s="6">
        <f>[1]Emissions!Y853</f>
        <v>0</v>
      </c>
      <c r="AA436" s="6">
        <f>[1]Emissions!Z853</f>
        <v>0</v>
      </c>
      <c r="AB436" s="6">
        <f>[1]Emissions!AA853</f>
        <v>0</v>
      </c>
      <c r="AC436" s="6">
        <f>[1]Emissions!AB853</f>
        <v>0</v>
      </c>
      <c r="AD436" s="6">
        <f>[1]Emissions!AC853</f>
        <v>0</v>
      </c>
      <c r="AE436" s="6">
        <f>[1]Emissions!AD853</f>
        <v>0</v>
      </c>
      <c r="AF436" s="6">
        <f>[1]Emissions!AE853</f>
        <v>0</v>
      </c>
      <c r="AG436" s="6">
        <f>[1]Emissions!AF853</f>
        <v>0</v>
      </c>
      <c r="AH436" s="6">
        <f>[1]Emissions!AG853</f>
        <v>0</v>
      </c>
      <c r="AI436" s="6">
        <f>[1]Emissions!AH853</f>
        <v>0</v>
      </c>
      <c r="AJ436" s="6">
        <f>[1]Emissions!AI853</f>
        <v>0</v>
      </c>
      <c r="AK436" s="6">
        <f>[1]Emissions!AJ853</f>
        <v>0</v>
      </c>
      <c r="AL436" s="6">
        <f>[1]Emissions!AK853</f>
        <v>0</v>
      </c>
    </row>
    <row r="437" spans="2:38" x14ac:dyDescent="0.3">
      <c r="B437" s="6" t="str">
        <f>[1]Emissions!A854</f>
        <v>ems_ci_co2_smet_2</v>
      </c>
      <c r="C437" s="6">
        <f>[1]Emissions!B854</f>
        <v>7.5657038569999999</v>
      </c>
      <c r="D437" s="6">
        <f>[1]Emissions!C854</f>
        <v>7.6690087739999999</v>
      </c>
      <c r="E437" s="6">
        <f>[1]Emissions!D854</f>
        <v>7.7889340660000004</v>
      </c>
      <c r="F437" s="6">
        <f>[1]Emissions!E854</f>
        <v>7.9062199729999998</v>
      </c>
      <c r="G437" s="6">
        <f>[1]Emissions!F854</f>
        <v>8.0161534910000007</v>
      </c>
      <c r="H437" s="6">
        <f>[1]Emissions!G854</f>
        <v>8.1193734119999998</v>
      </c>
      <c r="I437" s="6">
        <f>[1]Emissions!H854</f>
        <v>8.2039684449999992</v>
      </c>
      <c r="J437" s="6">
        <f>[1]Emissions!I854</f>
        <v>8.2779780209999991</v>
      </c>
      <c r="K437" s="6">
        <f>[1]Emissions!J854</f>
        <v>8.3402540460000001</v>
      </c>
      <c r="L437" s="6">
        <f>[1]Emissions!K854</f>
        <v>8.3975032350000003</v>
      </c>
      <c r="M437" s="6">
        <f>[1]Emissions!L854</f>
        <v>8.4838459020000005</v>
      </c>
      <c r="N437" s="6">
        <f>[1]Emissions!M854</f>
        <v>8.5589686670000003</v>
      </c>
      <c r="O437" s="6">
        <f>[1]Emissions!N854</f>
        <v>8.6507754499999994</v>
      </c>
      <c r="P437" s="6">
        <f>[1]Emissions!O854</f>
        <v>8.7605869629999997</v>
      </c>
      <c r="Q437" s="6">
        <f>[1]Emissions!P854</f>
        <v>8.8823730510000001</v>
      </c>
      <c r="R437" s="6">
        <f>[1]Emissions!Q854</f>
        <v>9.0096642080000002</v>
      </c>
      <c r="S437" s="6">
        <f>[1]Emissions!R854</f>
        <v>9.1379366090000005</v>
      </c>
      <c r="T437" s="6">
        <f>[1]Emissions!S854</f>
        <v>9.2652037580000002</v>
      </c>
      <c r="U437" s="6">
        <f>[1]Emissions!T854</f>
        <v>9.3915719529999997</v>
      </c>
      <c r="V437" s="6">
        <f>[1]Emissions!U854</f>
        <v>9.5182730370000002</v>
      </c>
      <c r="W437" s="6">
        <f>[1]Emissions!V854</f>
        <v>9.6300618450000002</v>
      </c>
      <c r="X437" s="6">
        <f>[1]Emissions!W854</f>
        <v>9.7625648340000009</v>
      </c>
      <c r="Y437" s="6">
        <f>[1]Emissions!X854</f>
        <v>9.8995904840000009</v>
      </c>
      <c r="Z437" s="6">
        <f>[1]Emissions!Y854</f>
        <v>10.03809803</v>
      </c>
      <c r="AA437" s="6">
        <f>[1]Emissions!Z854</f>
        <v>10.178032200000001</v>
      </c>
      <c r="AB437" s="6">
        <f>[1]Emissions!AA854</f>
        <v>10.27122252</v>
      </c>
      <c r="AC437" s="6">
        <f>[1]Emissions!AB854</f>
        <v>10.398372630000001</v>
      </c>
      <c r="AD437" s="6">
        <f>[1]Emissions!AC854</f>
        <v>10.5341241</v>
      </c>
      <c r="AE437" s="6">
        <f>[1]Emissions!AD854</f>
        <v>10.67324973</v>
      </c>
      <c r="AF437" s="6">
        <f>[1]Emissions!AE854</f>
        <v>10.81613845</v>
      </c>
      <c r="AG437" s="6">
        <f>[1]Emissions!AF854</f>
        <v>10.96356639</v>
      </c>
      <c r="AH437" s="6">
        <f>[1]Emissions!AG854</f>
        <v>11.11569989</v>
      </c>
      <c r="AI437" s="6">
        <f>[1]Emissions!AH854</f>
        <v>11.272200529999999</v>
      </c>
      <c r="AJ437" s="6">
        <f>[1]Emissions!AI854</f>
        <v>11.432542529999999</v>
      </c>
      <c r="AK437" s="6">
        <f>[1]Emissions!AJ854</f>
        <v>11.59627128</v>
      </c>
      <c r="AL437" s="6">
        <f>[1]Emissions!AK854</f>
        <v>11.763118820000001</v>
      </c>
    </row>
    <row r="438" spans="2:38" x14ac:dyDescent="0.3">
      <c r="B438" s="6" t="str">
        <f>[1]Emissions!A855</f>
        <v>ems_y_co2_smet_2</v>
      </c>
      <c r="C438" s="6">
        <f>[1]Emissions!B855</f>
        <v>0</v>
      </c>
      <c r="D438" s="6">
        <f>[1]Emissions!C855</f>
        <v>0</v>
      </c>
      <c r="E438" s="6">
        <f>[1]Emissions!D855</f>
        <v>0</v>
      </c>
      <c r="F438" s="6">
        <f>[1]Emissions!E855</f>
        <v>0</v>
      </c>
      <c r="G438" s="6">
        <f>[1]Emissions!F855</f>
        <v>0</v>
      </c>
      <c r="H438" s="6">
        <f>[1]Emissions!G855</f>
        <v>0</v>
      </c>
      <c r="I438" s="6">
        <f>[1]Emissions!H855</f>
        <v>0</v>
      </c>
      <c r="J438" s="6">
        <f>[1]Emissions!I855</f>
        <v>0</v>
      </c>
      <c r="K438" s="6">
        <f>[1]Emissions!J855</f>
        <v>0</v>
      </c>
      <c r="L438" s="6">
        <f>[1]Emissions!K855</f>
        <v>0</v>
      </c>
      <c r="M438" s="6">
        <f>[1]Emissions!L855</f>
        <v>0</v>
      </c>
      <c r="N438" s="6">
        <f>[1]Emissions!M855</f>
        <v>0</v>
      </c>
      <c r="O438" s="6">
        <f>[1]Emissions!N855</f>
        <v>0</v>
      </c>
      <c r="P438" s="6">
        <f>[1]Emissions!O855</f>
        <v>0</v>
      </c>
      <c r="Q438" s="6">
        <f>[1]Emissions!P855</f>
        <v>0</v>
      </c>
      <c r="R438" s="6">
        <f>[1]Emissions!Q855</f>
        <v>0</v>
      </c>
      <c r="S438" s="6">
        <f>[1]Emissions!R855</f>
        <v>0</v>
      </c>
      <c r="T438" s="6">
        <f>[1]Emissions!S855</f>
        <v>0</v>
      </c>
      <c r="U438" s="6">
        <f>[1]Emissions!T855</f>
        <v>0</v>
      </c>
      <c r="V438" s="6">
        <f>[1]Emissions!U855</f>
        <v>0</v>
      </c>
      <c r="W438" s="6">
        <f>[1]Emissions!V855</f>
        <v>0</v>
      </c>
      <c r="X438" s="6">
        <f>[1]Emissions!W855</f>
        <v>0</v>
      </c>
      <c r="Y438" s="6">
        <f>[1]Emissions!X855</f>
        <v>0</v>
      </c>
      <c r="Z438" s="6">
        <f>[1]Emissions!Y855</f>
        <v>0</v>
      </c>
      <c r="AA438" s="6">
        <f>[1]Emissions!Z855</f>
        <v>0</v>
      </c>
      <c r="AB438" s="6">
        <f>[1]Emissions!AA855</f>
        <v>0</v>
      </c>
      <c r="AC438" s="6">
        <f>[1]Emissions!AB855</f>
        <v>0</v>
      </c>
      <c r="AD438" s="6">
        <f>[1]Emissions!AC855</f>
        <v>0</v>
      </c>
      <c r="AE438" s="6">
        <f>[1]Emissions!AD855</f>
        <v>0</v>
      </c>
      <c r="AF438" s="6">
        <f>[1]Emissions!AE855</f>
        <v>0</v>
      </c>
      <c r="AG438" s="6">
        <f>[1]Emissions!AF855</f>
        <v>0</v>
      </c>
      <c r="AH438" s="6">
        <f>[1]Emissions!AG855</f>
        <v>0</v>
      </c>
      <c r="AI438" s="6">
        <f>[1]Emissions!AH855</f>
        <v>0</v>
      </c>
      <c r="AJ438" s="6">
        <f>[1]Emissions!AI855</f>
        <v>0</v>
      </c>
      <c r="AK438" s="6">
        <f>[1]Emissions!AJ855</f>
        <v>0</v>
      </c>
      <c r="AL438" s="6">
        <f>[1]Emissions!AK855</f>
        <v>0</v>
      </c>
    </row>
    <row r="439" spans="2:38" x14ac:dyDescent="0.3">
      <c r="B439" s="6" t="str">
        <f>[1]Emissions!A856</f>
        <v>ems_mat_co2_smet_2</v>
      </c>
      <c r="C439" s="6">
        <f>[1]Emissions!B856</f>
        <v>12.82056356</v>
      </c>
      <c r="D439" s="6">
        <f>[1]Emissions!C856</f>
        <v>13.0151199</v>
      </c>
      <c r="E439" s="6">
        <f>[1]Emissions!D856</f>
        <v>13.25731332</v>
      </c>
      <c r="F439" s="6">
        <f>[1]Emissions!E856</f>
        <v>13.51502696</v>
      </c>
      <c r="G439" s="6">
        <f>[1]Emissions!F856</f>
        <v>13.77917646</v>
      </c>
      <c r="H439" s="6">
        <f>[1]Emissions!G856</f>
        <v>14.048261500000001</v>
      </c>
      <c r="I439" s="6">
        <f>[1]Emissions!H856</f>
        <v>14.2971358</v>
      </c>
      <c r="J439" s="6">
        <f>[1]Emissions!I856</f>
        <v>14.52154127</v>
      </c>
      <c r="K439" s="6">
        <f>[1]Emissions!J856</f>
        <v>14.716544239999999</v>
      </c>
      <c r="L439" s="6">
        <f>[1]Emissions!K856</f>
        <v>14.892764039999999</v>
      </c>
      <c r="M439" s="6">
        <f>[1]Emissions!L856</f>
        <v>15.10963044</v>
      </c>
      <c r="N439" s="6">
        <f>[1]Emissions!M856</f>
        <v>15.29340028</v>
      </c>
      <c r="O439" s="6">
        <f>[1]Emissions!N856</f>
        <v>15.492566890000001</v>
      </c>
      <c r="P439" s="6">
        <f>[1]Emissions!O856</f>
        <v>15.710673079999999</v>
      </c>
      <c r="Q439" s="6">
        <f>[1]Emissions!P856</f>
        <v>15.9399181</v>
      </c>
      <c r="R439" s="6">
        <f>[1]Emissions!Q856</f>
        <v>16.172630120000001</v>
      </c>
      <c r="S439" s="6">
        <f>[1]Emissions!R856</f>
        <v>16.40467331</v>
      </c>
      <c r="T439" s="6">
        <f>[1]Emissions!S856</f>
        <v>16.635914719999999</v>
      </c>
      <c r="U439" s="6">
        <f>[1]Emissions!T856</f>
        <v>16.869058249999998</v>
      </c>
      <c r="V439" s="6">
        <f>[1]Emissions!U856</f>
        <v>17.107798129999999</v>
      </c>
      <c r="W439" s="6">
        <f>[1]Emissions!V856</f>
        <v>17.32506721</v>
      </c>
      <c r="X439" s="6">
        <f>[1]Emissions!W856</f>
        <v>17.584626709999998</v>
      </c>
      <c r="Y439" s="6">
        <f>[1]Emissions!X856</f>
        <v>17.85708249</v>
      </c>
      <c r="Z439" s="6">
        <f>[1]Emissions!Y856</f>
        <v>18.136002189999999</v>
      </c>
      <c r="AA439" s="6">
        <f>[1]Emissions!Z856</f>
        <v>18.419954539999999</v>
      </c>
      <c r="AB439" s="6">
        <f>[1]Emissions!AA856</f>
        <v>18.619635110000001</v>
      </c>
      <c r="AC439" s="6">
        <f>[1]Emissions!AB856</f>
        <v>18.879105370000001</v>
      </c>
      <c r="AD439" s="6">
        <f>[1]Emissions!AC856</f>
        <v>19.151722119999999</v>
      </c>
      <c r="AE439" s="6">
        <f>[1]Emissions!AD856</f>
        <v>19.42712324</v>
      </c>
      <c r="AF439" s="6">
        <f>[1]Emissions!AE856</f>
        <v>19.705233629999999</v>
      </c>
      <c r="AG439" s="6">
        <f>[1]Emissions!AF856</f>
        <v>19.986930189999999</v>
      </c>
      <c r="AH439" s="6">
        <f>[1]Emissions!AG856</f>
        <v>20.272296730000001</v>
      </c>
      <c r="AI439" s="6">
        <f>[1]Emissions!AH856</f>
        <v>20.56083215</v>
      </c>
      <c r="AJ439" s="6">
        <f>[1]Emissions!AI856</f>
        <v>20.851979440000001</v>
      </c>
      <c r="AK439" s="6">
        <f>[1]Emissions!AJ856</f>
        <v>21.145503139999999</v>
      </c>
      <c r="AL439" s="6">
        <f>[1]Emissions!AK856</f>
        <v>21.441597810000001</v>
      </c>
    </row>
    <row r="440" spans="2:38" x14ac:dyDescent="0.3">
      <c r="B440" s="6" t="str">
        <f>[1]Emissions!A857</f>
        <v>ems_ci_co2_sigo_2</v>
      </c>
      <c r="C440" s="6">
        <f>[1]Emissions!B857</f>
        <v>3.009518285</v>
      </c>
      <c r="D440" s="6">
        <f>[1]Emissions!C857</f>
        <v>3.0091603650000001</v>
      </c>
      <c r="E440" s="6">
        <f>[1]Emissions!D857</f>
        <v>3.0167586329999998</v>
      </c>
      <c r="F440" s="6">
        <f>[1]Emissions!E857</f>
        <v>3.0341847789999998</v>
      </c>
      <c r="G440" s="6">
        <f>[1]Emissions!F857</f>
        <v>3.0608701630000001</v>
      </c>
      <c r="H440" s="6">
        <f>[1]Emissions!G857</f>
        <v>3.0965126430000001</v>
      </c>
      <c r="I440" s="6">
        <f>[1]Emissions!H857</f>
        <v>3.139690624</v>
      </c>
      <c r="J440" s="6">
        <f>[1]Emissions!I857</f>
        <v>3.1939651570000001</v>
      </c>
      <c r="K440" s="6">
        <f>[1]Emissions!J857</f>
        <v>3.2514158759999998</v>
      </c>
      <c r="L440" s="6">
        <f>[1]Emissions!K857</f>
        <v>3.3035629219999998</v>
      </c>
      <c r="M440" s="6">
        <f>[1]Emissions!L857</f>
        <v>3.3532517820000001</v>
      </c>
      <c r="N440" s="6">
        <f>[1]Emissions!M857</f>
        <v>3.3912919829999999</v>
      </c>
      <c r="O440" s="6">
        <f>[1]Emissions!N857</f>
        <v>3.4276855560000001</v>
      </c>
      <c r="P440" s="6">
        <f>[1]Emissions!O857</f>
        <v>3.4672458580000001</v>
      </c>
      <c r="Q440" s="6">
        <f>[1]Emissions!P857</f>
        <v>3.5115251500000002</v>
      </c>
      <c r="R440" s="6">
        <f>[1]Emissions!Q857</f>
        <v>3.5600787829999998</v>
      </c>
      <c r="S440" s="6">
        <f>[1]Emissions!R857</f>
        <v>3.6114226039999999</v>
      </c>
      <c r="T440" s="6">
        <f>[1]Emissions!S857</f>
        <v>3.6639733269999999</v>
      </c>
      <c r="U440" s="6">
        <f>[1]Emissions!T857</f>
        <v>3.716733949</v>
      </c>
      <c r="V440" s="6">
        <f>[1]Emissions!U857</f>
        <v>3.7695439830000002</v>
      </c>
      <c r="W440" s="6">
        <f>[1]Emissions!V857</f>
        <v>3.81837742</v>
      </c>
      <c r="X440" s="6">
        <f>[1]Emissions!W857</f>
        <v>3.8728917580000002</v>
      </c>
      <c r="Y440" s="6">
        <f>[1]Emissions!X857</f>
        <v>3.930063488</v>
      </c>
      <c r="Z440" s="6">
        <f>[1]Emissions!Y857</f>
        <v>3.989435056</v>
      </c>
      <c r="AA440" s="6">
        <f>[1]Emissions!Z857</f>
        <v>4.0511723489999998</v>
      </c>
      <c r="AB440" s="6">
        <f>[1]Emissions!AA857</f>
        <v>4.1013712480000004</v>
      </c>
      <c r="AC440" s="6">
        <f>[1]Emissions!AB857</f>
        <v>4.1609892329999996</v>
      </c>
      <c r="AD440" s="6">
        <f>[1]Emissions!AC857</f>
        <v>4.2230303969999996</v>
      </c>
      <c r="AE440" s="6">
        <f>[1]Emissions!AD857</f>
        <v>4.2852601569999997</v>
      </c>
      <c r="AF440" s="6">
        <f>[1]Emissions!AE857</f>
        <v>4.34765157</v>
      </c>
      <c r="AG440" s="6">
        <f>[1]Emissions!AF857</f>
        <v>4.410671776</v>
      </c>
      <c r="AH440" s="6">
        <f>[1]Emissions!AG857</f>
        <v>4.4747175950000004</v>
      </c>
      <c r="AI440" s="6">
        <f>[1]Emissions!AH857</f>
        <v>4.5399477150000003</v>
      </c>
      <c r="AJ440" s="6">
        <f>[1]Emissions!AI857</f>
        <v>4.6062925740000003</v>
      </c>
      <c r="AK440" s="6">
        <f>[1]Emissions!AJ857</f>
        <v>4.673554963</v>
      </c>
      <c r="AL440" s="6">
        <f>[1]Emissions!AK857</f>
        <v>4.7415323980000004</v>
      </c>
    </row>
    <row r="441" spans="2:38" x14ac:dyDescent="0.3">
      <c r="B441" s="6" t="str">
        <f>[1]Emissions!A858</f>
        <v>ems_y_co2_sigo_2</v>
      </c>
      <c r="C441" s="6">
        <f>[1]Emissions!B858</f>
        <v>0</v>
      </c>
      <c r="D441" s="6">
        <f>[1]Emissions!C858</f>
        <v>0</v>
      </c>
      <c r="E441" s="6">
        <f>[1]Emissions!D858</f>
        <v>0</v>
      </c>
      <c r="F441" s="6">
        <f>[1]Emissions!E858</f>
        <v>0</v>
      </c>
      <c r="G441" s="6">
        <f>[1]Emissions!F858</f>
        <v>0</v>
      </c>
      <c r="H441" s="6">
        <f>[1]Emissions!G858</f>
        <v>0</v>
      </c>
      <c r="I441" s="6">
        <f>[1]Emissions!H858</f>
        <v>0</v>
      </c>
      <c r="J441" s="6">
        <f>[1]Emissions!I858</f>
        <v>0</v>
      </c>
      <c r="K441" s="6">
        <f>[1]Emissions!J858</f>
        <v>0</v>
      </c>
      <c r="L441" s="6">
        <f>[1]Emissions!K858</f>
        <v>0</v>
      </c>
      <c r="M441" s="6">
        <f>[1]Emissions!L858</f>
        <v>0</v>
      </c>
      <c r="N441" s="6">
        <f>[1]Emissions!M858</f>
        <v>0</v>
      </c>
      <c r="O441" s="6">
        <f>[1]Emissions!N858</f>
        <v>0</v>
      </c>
      <c r="P441" s="6">
        <f>[1]Emissions!O858</f>
        <v>0</v>
      </c>
      <c r="Q441" s="6">
        <f>[1]Emissions!P858</f>
        <v>0</v>
      </c>
      <c r="R441" s="6">
        <f>[1]Emissions!Q858</f>
        <v>0</v>
      </c>
      <c r="S441" s="6">
        <f>[1]Emissions!R858</f>
        <v>0</v>
      </c>
      <c r="T441" s="6">
        <f>[1]Emissions!S858</f>
        <v>0</v>
      </c>
      <c r="U441" s="6">
        <f>[1]Emissions!T858</f>
        <v>0</v>
      </c>
      <c r="V441" s="6">
        <f>[1]Emissions!U858</f>
        <v>0</v>
      </c>
      <c r="W441" s="6">
        <f>[1]Emissions!V858</f>
        <v>0</v>
      </c>
      <c r="X441" s="6">
        <f>[1]Emissions!W858</f>
        <v>0</v>
      </c>
      <c r="Y441" s="6">
        <f>[1]Emissions!X858</f>
        <v>0</v>
      </c>
      <c r="Z441" s="6">
        <f>[1]Emissions!Y858</f>
        <v>0</v>
      </c>
      <c r="AA441" s="6">
        <f>[1]Emissions!Z858</f>
        <v>0</v>
      </c>
      <c r="AB441" s="6">
        <f>[1]Emissions!AA858</f>
        <v>0</v>
      </c>
      <c r="AC441" s="6">
        <f>[1]Emissions!AB858</f>
        <v>0</v>
      </c>
      <c r="AD441" s="6">
        <f>[1]Emissions!AC858</f>
        <v>0</v>
      </c>
      <c r="AE441" s="6">
        <f>[1]Emissions!AD858</f>
        <v>0</v>
      </c>
      <c r="AF441" s="6">
        <f>[1]Emissions!AE858</f>
        <v>0</v>
      </c>
      <c r="AG441" s="6">
        <f>[1]Emissions!AF858</f>
        <v>0</v>
      </c>
      <c r="AH441" s="6">
        <f>[1]Emissions!AG858</f>
        <v>0</v>
      </c>
      <c r="AI441" s="6">
        <f>[1]Emissions!AH858</f>
        <v>0</v>
      </c>
      <c r="AJ441" s="6">
        <f>[1]Emissions!AI858</f>
        <v>0</v>
      </c>
      <c r="AK441" s="6">
        <f>[1]Emissions!AJ858</f>
        <v>0</v>
      </c>
      <c r="AL441" s="6">
        <f>[1]Emissions!AK858</f>
        <v>0</v>
      </c>
    </row>
    <row r="442" spans="2:38" x14ac:dyDescent="0.3">
      <c r="B442" s="6" t="str">
        <f>[1]Emissions!A859</f>
        <v>ems_mat_co2_sigo_2</v>
      </c>
      <c r="C442" s="6">
        <f>[1]Emissions!B859</f>
        <v>0.47317725830000001</v>
      </c>
      <c r="D442" s="6">
        <f>[1]Emissions!C859</f>
        <v>0.47488048049999998</v>
      </c>
      <c r="E442" s="6">
        <f>[1]Emissions!D859</f>
        <v>0.47869150669999999</v>
      </c>
      <c r="F442" s="6">
        <f>[1]Emissions!E859</f>
        <v>0.48412983949999999</v>
      </c>
      <c r="G442" s="6">
        <f>[1]Emissions!F859</f>
        <v>0.49053535590000003</v>
      </c>
      <c r="H442" s="6">
        <f>[1]Emissions!G859</f>
        <v>0.49755909100000001</v>
      </c>
      <c r="I442" s="6">
        <f>[1]Emissions!H859</f>
        <v>0.50497682570000002</v>
      </c>
      <c r="J442" s="6">
        <f>[1]Emissions!I859</f>
        <v>0.51083517570000003</v>
      </c>
      <c r="K442" s="6">
        <f>[1]Emissions!J859</f>
        <v>0.5155767805</v>
      </c>
      <c r="L442" s="6">
        <f>[1]Emissions!K859</f>
        <v>0.52000538439999999</v>
      </c>
      <c r="M442" s="6">
        <f>[1]Emissions!L859</f>
        <v>0.52592361769999996</v>
      </c>
      <c r="N442" s="6">
        <f>[1]Emissions!M859</f>
        <v>0.53180532970000005</v>
      </c>
      <c r="O442" s="6">
        <f>[1]Emissions!N859</f>
        <v>0.53853260889999999</v>
      </c>
      <c r="P442" s="6">
        <f>[1]Emissions!O859</f>
        <v>0.54602295180000004</v>
      </c>
      <c r="Q442" s="6">
        <f>[1]Emissions!P859</f>
        <v>0.55391029780000001</v>
      </c>
      <c r="R442" s="6">
        <f>[1]Emissions!Q859</f>
        <v>0.56189029170000004</v>
      </c>
      <c r="S442" s="6">
        <f>[1]Emissions!R859</f>
        <v>0.56982600959999996</v>
      </c>
      <c r="T442" s="6">
        <f>[1]Emissions!S859</f>
        <v>0.57774246110000005</v>
      </c>
      <c r="U442" s="6">
        <f>[1]Emissions!T859</f>
        <v>0.58576127870000005</v>
      </c>
      <c r="V442" s="6">
        <f>[1]Emissions!U859</f>
        <v>0.59402090159999998</v>
      </c>
      <c r="W442" s="6">
        <f>[1]Emissions!V859</f>
        <v>0.60186546299999999</v>
      </c>
      <c r="X442" s="6">
        <f>[1]Emissions!W859</f>
        <v>0.61076236009999996</v>
      </c>
      <c r="Y442" s="6">
        <f>[1]Emissions!X859</f>
        <v>0.62012206449999996</v>
      </c>
      <c r="Z442" s="6">
        <f>[1]Emissions!Y859</f>
        <v>0.62972930810000005</v>
      </c>
      <c r="AA442" s="6">
        <f>[1]Emissions!Z859</f>
        <v>0.63950465509999999</v>
      </c>
      <c r="AB442" s="6">
        <f>[1]Emissions!AA859</f>
        <v>0.64713372390000001</v>
      </c>
      <c r="AC442" s="6">
        <f>[1]Emissions!AB859</f>
        <v>0.65604519880000001</v>
      </c>
      <c r="AD442" s="6">
        <f>[1]Emissions!AC859</f>
        <v>0.66533157210000005</v>
      </c>
      <c r="AE442" s="6">
        <f>[1]Emissions!AD859</f>
        <v>0.67475398239999995</v>
      </c>
      <c r="AF442" s="6">
        <f>[1]Emissions!AE859</f>
        <v>0.68432179579999997</v>
      </c>
      <c r="AG442" s="6">
        <f>[1]Emissions!AF859</f>
        <v>0.69405442809999995</v>
      </c>
      <c r="AH442" s="6">
        <f>[1]Emissions!AG859</f>
        <v>0.70394110369999996</v>
      </c>
      <c r="AI442" s="6">
        <f>[1]Emissions!AH859</f>
        <v>0.71395517340000003</v>
      </c>
      <c r="AJ442" s="6">
        <f>[1]Emissions!AI859</f>
        <v>0.72407437470000002</v>
      </c>
      <c r="AK442" s="6">
        <f>[1]Emissions!AJ859</f>
        <v>0.7342923844</v>
      </c>
      <c r="AL442" s="6">
        <f>[1]Emissions!AK859</f>
        <v>0.74461931879999999</v>
      </c>
    </row>
    <row r="443" spans="2:38" x14ac:dyDescent="0.3">
      <c r="B443" s="6" t="str">
        <f>[1]Emissions!A860</f>
        <v>ems_ci_co2_scgo_2</v>
      </c>
      <c r="C443" s="6">
        <f>[1]Emissions!B860</f>
        <v>0.69727128699999996</v>
      </c>
      <c r="D443" s="6">
        <f>[1]Emissions!C860</f>
        <v>0.6817911727</v>
      </c>
      <c r="E443" s="6">
        <f>[1]Emissions!D860</f>
        <v>0.66944615399999996</v>
      </c>
      <c r="F443" s="6">
        <f>[1]Emissions!E860</f>
        <v>0.66338245549999997</v>
      </c>
      <c r="G443" s="6">
        <f>[1]Emissions!F860</f>
        <v>0.66167825339999997</v>
      </c>
      <c r="H443" s="6">
        <f>[1]Emissions!G860</f>
        <v>0.66280458350000004</v>
      </c>
      <c r="I443" s="6">
        <f>[1]Emissions!H860</f>
        <v>0.66716000099999995</v>
      </c>
      <c r="J443" s="6">
        <f>[1]Emissions!I860</f>
        <v>0.67201237049999996</v>
      </c>
      <c r="K443" s="6">
        <f>[1]Emissions!J860</f>
        <v>0.67694941789999996</v>
      </c>
      <c r="L443" s="6">
        <f>[1]Emissions!K860</f>
        <v>0.68213598249999996</v>
      </c>
      <c r="M443" s="6">
        <f>[1]Emissions!L860</f>
        <v>0.68614744539999994</v>
      </c>
      <c r="N443" s="6">
        <f>[1]Emissions!M860</f>
        <v>0.69472944599999997</v>
      </c>
      <c r="O443" s="6">
        <f>[1]Emissions!N860</f>
        <v>0.70430470950000001</v>
      </c>
      <c r="P443" s="6">
        <f>[1]Emissions!O860</f>
        <v>0.7147618187</v>
      </c>
      <c r="Q443" s="6">
        <f>[1]Emissions!P860</f>
        <v>0.72598775630000001</v>
      </c>
      <c r="R443" s="6">
        <f>[1]Emissions!Q860</f>
        <v>0.73771665669999997</v>
      </c>
      <c r="S443" s="6">
        <f>[1]Emissions!R860</f>
        <v>0.74968314619999998</v>
      </c>
      <c r="T443" s="6">
        <f>[1]Emissions!S860</f>
        <v>0.76171851970000004</v>
      </c>
      <c r="U443" s="6">
        <f>[1]Emissions!T860</f>
        <v>0.7737724426</v>
      </c>
      <c r="V443" s="6">
        <f>[1]Emissions!U860</f>
        <v>0.78588201120000001</v>
      </c>
      <c r="W443" s="6">
        <f>[1]Emissions!V860</f>
        <v>0.79928655739999999</v>
      </c>
      <c r="X443" s="6">
        <f>[1]Emissions!W860</f>
        <v>0.81073667140000005</v>
      </c>
      <c r="Y443" s="6">
        <f>[1]Emissions!X860</f>
        <v>0.82277265349999995</v>
      </c>
      <c r="Z443" s="6">
        <f>[1]Emissions!Y860</f>
        <v>0.83540262369999996</v>
      </c>
      <c r="AA443" s="6">
        <f>[1]Emissions!Z860</f>
        <v>0.84847746369999999</v>
      </c>
      <c r="AB443" s="6">
        <f>[1]Emissions!AA860</f>
        <v>0.86487764450000004</v>
      </c>
      <c r="AC443" s="6">
        <f>[1]Emissions!AB860</f>
        <v>0.87737332499999998</v>
      </c>
      <c r="AD443" s="6">
        <f>[1]Emissions!AC860</f>
        <v>0.8898890747</v>
      </c>
      <c r="AE443" s="6">
        <f>[1]Emissions!AD860</f>
        <v>0.90284258090000002</v>
      </c>
      <c r="AF443" s="6">
        <f>[1]Emissions!AE860</f>
        <v>0.91627943889999997</v>
      </c>
      <c r="AG443" s="6">
        <f>[1]Emissions!AF860</f>
        <v>0.93020009889999999</v>
      </c>
      <c r="AH443" s="6">
        <f>[1]Emissions!AG860</f>
        <v>0.94458440079999995</v>
      </c>
      <c r="AI443" s="6">
        <f>[1]Emissions!AH860</f>
        <v>0.95939523510000002</v>
      </c>
      <c r="AJ443" s="6">
        <f>[1]Emissions!AI860</f>
        <v>0.97458799269999996</v>
      </c>
      <c r="AK443" s="6">
        <f>[1]Emissions!AJ860</f>
        <v>0.99012161070000004</v>
      </c>
      <c r="AL443" s="6">
        <f>[1]Emissions!AK860</f>
        <v>1.0059655300000001</v>
      </c>
    </row>
    <row r="444" spans="2:38" x14ac:dyDescent="0.3">
      <c r="B444" s="6" t="str">
        <f>[1]Emissions!A861</f>
        <v>ems_y_co2_scgo_2</v>
      </c>
      <c r="C444" s="6">
        <f>[1]Emissions!B861</f>
        <v>0</v>
      </c>
      <c r="D444" s="6">
        <f>[1]Emissions!C861</f>
        <v>0</v>
      </c>
      <c r="E444" s="6">
        <f>[1]Emissions!D861</f>
        <v>0</v>
      </c>
      <c r="F444" s="6">
        <f>[1]Emissions!E861</f>
        <v>0</v>
      </c>
      <c r="G444" s="6">
        <f>[1]Emissions!F861</f>
        <v>0</v>
      </c>
      <c r="H444" s="6">
        <f>[1]Emissions!G861</f>
        <v>0</v>
      </c>
      <c r="I444" s="6">
        <f>[1]Emissions!H861</f>
        <v>0</v>
      </c>
      <c r="J444" s="6">
        <f>[1]Emissions!I861</f>
        <v>0</v>
      </c>
      <c r="K444" s="6">
        <f>[1]Emissions!J861</f>
        <v>0</v>
      </c>
      <c r="L444" s="6">
        <f>[1]Emissions!K861</f>
        <v>0</v>
      </c>
      <c r="M444" s="6">
        <f>[1]Emissions!L861</f>
        <v>0</v>
      </c>
      <c r="N444" s="6">
        <f>[1]Emissions!M861</f>
        <v>0</v>
      </c>
      <c r="O444" s="6">
        <f>[1]Emissions!N861</f>
        <v>0</v>
      </c>
      <c r="P444" s="6">
        <f>[1]Emissions!O861</f>
        <v>0</v>
      </c>
      <c r="Q444" s="6">
        <f>[1]Emissions!P861</f>
        <v>0</v>
      </c>
      <c r="R444" s="6">
        <f>[1]Emissions!Q861</f>
        <v>0</v>
      </c>
      <c r="S444" s="6">
        <f>[1]Emissions!R861</f>
        <v>0</v>
      </c>
      <c r="T444" s="6">
        <f>[1]Emissions!S861</f>
        <v>0</v>
      </c>
      <c r="U444" s="6">
        <f>[1]Emissions!T861</f>
        <v>0</v>
      </c>
      <c r="V444" s="6">
        <f>[1]Emissions!U861</f>
        <v>0</v>
      </c>
      <c r="W444" s="6">
        <f>[1]Emissions!V861</f>
        <v>0</v>
      </c>
      <c r="X444" s="6">
        <f>[1]Emissions!W861</f>
        <v>0</v>
      </c>
      <c r="Y444" s="6">
        <f>[1]Emissions!X861</f>
        <v>0</v>
      </c>
      <c r="Z444" s="6">
        <f>[1]Emissions!Y861</f>
        <v>0</v>
      </c>
      <c r="AA444" s="6">
        <f>[1]Emissions!Z861</f>
        <v>0</v>
      </c>
      <c r="AB444" s="6">
        <f>[1]Emissions!AA861</f>
        <v>0</v>
      </c>
      <c r="AC444" s="6">
        <f>[1]Emissions!AB861</f>
        <v>0</v>
      </c>
      <c r="AD444" s="6">
        <f>[1]Emissions!AC861</f>
        <v>0</v>
      </c>
      <c r="AE444" s="6">
        <f>[1]Emissions!AD861</f>
        <v>0</v>
      </c>
      <c r="AF444" s="6">
        <f>[1]Emissions!AE861</f>
        <v>0</v>
      </c>
      <c r="AG444" s="6">
        <f>[1]Emissions!AF861</f>
        <v>0</v>
      </c>
      <c r="AH444" s="6">
        <f>[1]Emissions!AG861</f>
        <v>0</v>
      </c>
      <c r="AI444" s="6">
        <f>[1]Emissions!AH861</f>
        <v>0</v>
      </c>
      <c r="AJ444" s="6">
        <f>[1]Emissions!AI861</f>
        <v>0</v>
      </c>
      <c r="AK444" s="6">
        <f>[1]Emissions!AJ861</f>
        <v>0</v>
      </c>
      <c r="AL444" s="6">
        <f>[1]Emissions!AK861</f>
        <v>0</v>
      </c>
    </row>
    <row r="445" spans="2:38" x14ac:dyDescent="0.3">
      <c r="B445" s="6" t="str">
        <f>[1]Emissions!A862</f>
        <v>ems_mat_co2_scgo_2</v>
      </c>
      <c r="C445" s="6">
        <f>[1]Emissions!B862</f>
        <v>0</v>
      </c>
      <c r="D445" s="6">
        <f>[1]Emissions!C862</f>
        <v>0</v>
      </c>
      <c r="E445" s="6">
        <f>[1]Emissions!D862</f>
        <v>0</v>
      </c>
      <c r="F445" s="6">
        <f>[1]Emissions!E862</f>
        <v>0</v>
      </c>
      <c r="G445" s="6">
        <f>[1]Emissions!F862</f>
        <v>0</v>
      </c>
      <c r="H445" s="6">
        <f>[1]Emissions!G862</f>
        <v>0</v>
      </c>
      <c r="I445" s="6">
        <f>[1]Emissions!H862</f>
        <v>0</v>
      </c>
      <c r="J445" s="6">
        <f>[1]Emissions!I862</f>
        <v>0</v>
      </c>
      <c r="K445" s="6">
        <f>[1]Emissions!J862</f>
        <v>0</v>
      </c>
      <c r="L445" s="6">
        <f>[1]Emissions!K862</f>
        <v>0</v>
      </c>
      <c r="M445" s="6">
        <f>[1]Emissions!L862</f>
        <v>0</v>
      </c>
      <c r="N445" s="6">
        <f>[1]Emissions!M862</f>
        <v>0</v>
      </c>
      <c r="O445" s="6">
        <f>[1]Emissions!N862</f>
        <v>0</v>
      </c>
      <c r="P445" s="6">
        <f>[1]Emissions!O862</f>
        <v>0</v>
      </c>
      <c r="Q445" s="6">
        <f>[1]Emissions!P862</f>
        <v>0</v>
      </c>
      <c r="R445" s="6">
        <f>[1]Emissions!Q862</f>
        <v>0</v>
      </c>
      <c r="S445" s="6">
        <f>[1]Emissions!R862</f>
        <v>0</v>
      </c>
      <c r="T445" s="6">
        <f>[1]Emissions!S862</f>
        <v>0</v>
      </c>
      <c r="U445" s="6">
        <f>[1]Emissions!T862</f>
        <v>0</v>
      </c>
      <c r="V445" s="6">
        <f>[1]Emissions!U862</f>
        <v>0</v>
      </c>
      <c r="W445" s="6">
        <f>[1]Emissions!V862</f>
        <v>0</v>
      </c>
      <c r="X445" s="6">
        <f>[1]Emissions!W862</f>
        <v>0</v>
      </c>
      <c r="Y445" s="6">
        <f>[1]Emissions!X862</f>
        <v>0</v>
      </c>
      <c r="Z445" s="6">
        <f>[1]Emissions!Y862</f>
        <v>0</v>
      </c>
      <c r="AA445" s="6">
        <f>[1]Emissions!Z862</f>
        <v>0</v>
      </c>
      <c r="AB445" s="6">
        <f>[1]Emissions!AA862</f>
        <v>0</v>
      </c>
      <c r="AC445" s="6">
        <f>[1]Emissions!AB862</f>
        <v>0</v>
      </c>
      <c r="AD445" s="6">
        <f>[1]Emissions!AC862</f>
        <v>0</v>
      </c>
      <c r="AE445" s="6">
        <f>[1]Emissions!AD862</f>
        <v>0</v>
      </c>
      <c r="AF445" s="6">
        <f>[1]Emissions!AE862</f>
        <v>0</v>
      </c>
      <c r="AG445" s="6">
        <f>[1]Emissions!AF862</f>
        <v>0</v>
      </c>
      <c r="AH445" s="6">
        <f>[1]Emissions!AG862</f>
        <v>0</v>
      </c>
      <c r="AI445" s="6">
        <f>[1]Emissions!AH862</f>
        <v>0</v>
      </c>
      <c r="AJ445" s="6">
        <f>[1]Emissions!AI862</f>
        <v>0</v>
      </c>
      <c r="AK445" s="6">
        <f>[1]Emissions!AJ862</f>
        <v>0</v>
      </c>
      <c r="AL445" s="6">
        <f>[1]Emissions!AK862</f>
        <v>0</v>
      </c>
    </row>
    <row r="446" spans="2:38" x14ac:dyDescent="0.3">
      <c r="B446" s="6" t="str">
        <f>[1]Emissions!A863</f>
        <v>ems_ci_co2_scon_2</v>
      </c>
      <c r="C446" s="6">
        <f>[1]Emissions!B863</f>
        <v>7.5407835150000002</v>
      </c>
      <c r="D446" s="6">
        <f>[1]Emissions!C863</f>
        <v>8.0005758749999991</v>
      </c>
      <c r="E446" s="6">
        <f>[1]Emissions!D863</f>
        <v>8.5022476739999995</v>
      </c>
      <c r="F446" s="6">
        <f>[1]Emissions!E863</f>
        <v>8.8274367560000009</v>
      </c>
      <c r="G446" s="6">
        <f>[1]Emissions!F863</f>
        <v>9.012323146</v>
      </c>
      <c r="H446" s="6">
        <f>[1]Emissions!G863</f>
        <v>9.1266662279999995</v>
      </c>
      <c r="I446" s="6">
        <f>[1]Emissions!H863</f>
        <v>9.0754912399999998</v>
      </c>
      <c r="J446" s="6">
        <f>[1]Emissions!I863</f>
        <v>9.0718536269999994</v>
      </c>
      <c r="K446" s="6">
        <f>[1]Emissions!J863</f>
        <v>9.0942851250000007</v>
      </c>
      <c r="L446" s="6">
        <f>[1]Emissions!K863</f>
        <v>9.1353781339999998</v>
      </c>
      <c r="M446" s="6">
        <f>[1]Emissions!L863</f>
        <v>9.4097788500000004</v>
      </c>
      <c r="N446" s="6">
        <f>[1]Emissions!M863</f>
        <v>9.4058469969999994</v>
      </c>
      <c r="O446" s="6">
        <f>[1]Emissions!N863</f>
        <v>9.4688725609999995</v>
      </c>
      <c r="P446" s="6">
        <f>[1]Emissions!O863</f>
        <v>9.5899019009999993</v>
      </c>
      <c r="Q446" s="6">
        <f>[1]Emissions!P863</f>
        <v>9.7402376470000007</v>
      </c>
      <c r="R446" s="6">
        <f>[1]Emissions!Q863</f>
        <v>9.9012968069999996</v>
      </c>
      <c r="S446" s="6">
        <f>[1]Emissions!R863</f>
        <v>10.06393563</v>
      </c>
      <c r="T446" s="6">
        <f>[1]Emissions!S863</f>
        <v>10.22562396</v>
      </c>
      <c r="U446" s="6">
        <f>[1]Emissions!T863</f>
        <v>10.38759735</v>
      </c>
      <c r="V446" s="6">
        <f>[1]Emissions!U863</f>
        <v>10.552340040000001</v>
      </c>
      <c r="W446" s="6">
        <f>[1]Emissions!V863</f>
        <v>10.57344672</v>
      </c>
      <c r="X446" s="6">
        <f>[1]Emissions!W863</f>
        <v>10.81213646</v>
      </c>
      <c r="Y446" s="6">
        <f>[1]Emissions!X863</f>
        <v>11.037580630000001</v>
      </c>
      <c r="Z446" s="6">
        <f>[1]Emissions!Y863</f>
        <v>11.242045450000001</v>
      </c>
      <c r="AA446" s="6">
        <f>[1]Emissions!Z863</f>
        <v>11.43590552</v>
      </c>
      <c r="AB446" s="6">
        <f>[1]Emissions!AA863</f>
        <v>11.19176124</v>
      </c>
      <c r="AC446" s="6">
        <f>[1]Emissions!AB863</f>
        <v>11.391032770000001</v>
      </c>
      <c r="AD446" s="6">
        <f>[1]Emissions!AC863</f>
        <v>11.61203076</v>
      </c>
      <c r="AE446" s="6">
        <f>[1]Emissions!AD863</f>
        <v>11.81838421</v>
      </c>
      <c r="AF446" s="6">
        <f>[1]Emissions!AE863</f>
        <v>12.01616729</v>
      </c>
      <c r="AG446" s="6">
        <f>[1]Emissions!AF863</f>
        <v>12.211607450000001</v>
      </c>
      <c r="AH446" s="6">
        <f>[1]Emissions!AG863</f>
        <v>12.40770129</v>
      </c>
      <c r="AI446" s="6">
        <f>[1]Emissions!AH863</f>
        <v>12.60543609</v>
      </c>
      <c r="AJ446" s="6">
        <f>[1]Emissions!AI863</f>
        <v>12.80502742</v>
      </c>
      <c r="AK446" s="6">
        <f>[1]Emissions!AJ863</f>
        <v>13.006626300000001</v>
      </c>
      <c r="AL446" s="6">
        <f>[1]Emissions!AK863</f>
        <v>13.210552440000001</v>
      </c>
    </row>
    <row r="447" spans="2:38" x14ac:dyDescent="0.3">
      <c r="B447" s="6" t="str">
        <f>[1]Emissions!A864</f>
        <v>ems_y_co2_scon_2</v>
      </c>
      <c r="C447" s="6">
        <f>[1]Emissions!B864</f>
        <v>0</v>
      </c>
      <c r="D447" s="6">
        <f>[1]Emissions!C864</f>
        <v>0</v>
      </c>
      <c r="E447" s="6">
        <f>[1]Emissions!D864</f>
        <v>0</v>
      </c>
      <c r="F447" s="6">
        <f>[1]Emissions!E864</f>
        <v>0</v>
      </c>
      <c r="G447" s="6">
        <f>[1]Emissions!F864</f>
        <v>0</v>
      </c>
      <c r="H447" s="6">
        <f>[1]Emissions!G864</f>
        <v>0</v>
      </c>
      <c r="I447" s="6">
        <f>[1]Emissions!H864</f>
        <v>0</v>
      </c>
      <c r="J447" s="6">
        <f>[1]Emissions!I864</f>
        <v>0</v>
      </c>
      <c r="K447" s="6">
        <f>[1]Emissions!J864</f>
        <v>0</v>
      </c>
      <c r="L447" s="6">
        <f>[1]Emissions!K864</f>
        <v>0</v>
      </c>
      <c r="M447" s="6">
        <f>[1]Emissions!L864</f>
        <v>0</v>
      </c>
      <c r="N447" s="6">
        <f>[1]Emissions!M864</f>
        <v>0</v>
      </c>
      <c r="O447" s="6">
        <f>[1]Emissions!N864</f>
        <v>0</v>
      </c>
      <c r="P447" s="6">
        <f>[1]Emissions!O864</f>
        <v>0</v>
      </c>
      <c r="Q447" s="6">
        <f>[1]Emissions!P864</f>
        <v>0</v>
      </c>
      <c r="R447" s="6">
        <f>[1]Emissions!Q864</f>
        <v>0</v>
      </c>
      <c r="S447" s="6">
        <f>[1]Emissions!R864</f>
        <v>0</v>
      </c>
      <c r="T447" s="6">
        <f>[1]Emissions!S864</f>
        <v>0</v>
      </c>
      <c r="U447" s="6">
        <f>[1]Emissions!T864</f>
        <v>0</v>
      </c>
      <c r="V447" s="6">
        <f>[1]Emissions!U864</f>
        <v>0</v>
      </c>
      <c r="W447" s="6">
        <f>[1]Emissions!V864</f>
        <v>0</v>
      </c>
      <c r="X447" s="6">
        <f>[1]Emissions!W864</f>
        <v>0</v>
      </c>
      <c r="Y447" s="6">
        <f>[1]Emissions!X864</f>
        <v>0</v>
      </c>
      <c r="Z447" s="6">
        <f>[1]Emissions!Y864</f>
        <v>0</v>
      </c>
      <c r="AA447" s="6">
        <f>[1]Emissions!Z864</f>
        <v>0</v>
      </c>
      <c r="AB447" s="6">
        <f>[1]Emissions!AA864</f>
        <v>0</v>
      </c>
      <c r="AC447" s="6">
        <f>[1]Emissions!AB864</f>
        <v>0</v>
      </c>
      <c r="AD447" s="6">
        <f>[1]Emissions!AC864</f>
        <v>0</v>
      </c>
      <c r="AE447" s="6">
        <f>[1]Emissions!AD864</f>
        <v>0</v>
      </c>
      <c r="AF447" s="6">
        <f>[1]Emissions!AE864</f>
        <v>0</v>
      </c>
      <c r="AG447" s="6">
        <f>[1]Emissions!AF864</f>
        <v>0</v>
      </c>
      <c r="AH447" s="6">
        <f>[1]Emissions!AG864</f>
        <v>0</v>
      </c>
      <c r="AI447" s="6">
        <f>[1]Emissions!AH864</f>
        <v>0</v>
      </c>
      <c r="AJ447" s="6">
        <f>[1]Emissions!AI864</f>
        <v>0</v>
      </c>
      <c r="AK447" s="6">
        <f>[1]Emissions!AJ864</f>
        <v>0</v>
      </c>
      <c r="AL447" s="6">
        <f>[1]Emissions!AK864</f>
        <v>0</v>
      </c>
    </row>
    <row r="448" spans="2:38" x14ac:dyDescent="0.3">
      <c r="B448" s="6" t="str">
        <f>[1]Emissions!A865</f>
        <v>ems_mat_co2_scon_2</v>
      </c>
      <c r="C448" s="6">
        <f>[1]Emissions!B865</f>
        <v>0</v>
      </c>
      <c r="D448" s="6">
        <f>[1]Emissions!C865</f>
        <v>0</v>
      </c>
      <c r="E448" s="6">
        <f>[1]Emissions!D865</f>
        <v>0</v>
      </c>
      <c r="F448" s="6">
        <f>[1]Emissions!E865</f>
        <v>0</v>
      </c>
      <c r="G448" s="6">
        <f>[1]Emissions!F865</f>
        <v>0</v>
      </c>
      <c r="H448" s="6">
        <f>[1]Emissions!G865</f>
        <v>0</v>
      </c>
      <c r="I448" s="6">
        <f>[1]Emissions!H865</f>
        <v>0</v>
      </c>
      <c r="J448" s="6">
        <f>[1]Emissions!I865</f>
        <v>0</v>
      </c>
      <c r="K448" s="6">
        <f>[1]Emissions!J865</f>
        <v>0</v>
      </c>
      <c r="L448" s="6">
        <f>[1]Emissions!K865</f>
        <v>0</v>
      </c>
      <c r="M448" s="6">
        <f>[1]Emissions!L865</f>
        <v>0</v>
      </c>
      <c r="N448" s="6">
        <f>[1]Emissions!M865</f>
        <v>0</v>
      </c>
      <c r="O448" s="6">
        <f>[1]Emissions!N865</f>
        <v>0</v>
      </c>
      <c r="P448" s="6">
        <f>[1]Emissions!O865</f>
        <v>0</v>
      </c>
      <c r="Q448" s="6">
        <f>[1]Emissions!P865</f>
        <v>0</v>
      </c>
      <c r="R448" s="6">
        <f>[1]Emissions!Q865</f>
        <v>0</v>
      </c>
      <c r="S448" s="6">
        <f>[1]Emissions!R865</f>
        <v>0</v>
      </c>
      <c r="T448" s="6">
        <f>[1]Emissions!S865</f>
        <v>0</v>
      </c>
      <c r="U448" s="6">
        <f>[1]Emissions!T865</f>
        <v>0</v>
      </c>
      <c r="V448" s="6">
        <f>[1]Emissions!U865</f>
        <v>0</v>
      </c>
      <c r="W448" s="6">
        <f>[1]Emissions!V865</f>
        <v>0</v>
      </c>
      <c r="X448" s="6">
        <f>[1]Emissions!W865</f>
        <v>0</v>
      </c>
      <c r="Y448" s="6">
        <f>[1]Emissions!X865</f>
        <v>0</v>
      </c>
      <c r="Z448" s="6">
        <f>[1]Emissions!Y865</f>
        <v>0</v>
      </c>
      <c r="AA448" s="6">
        <f>[1]Emissions!Z865</f>
        <v>0</v>
      </c>
      <c r="AB448" s="6">
        <f>[1]Emissions!AA865</f>
        <v>0</v>
      </c>
      <c r="AC448" s="6">
        <f>[1]Emissions!AB865</f>
        <v>0</v>
      </c>
      <c r="AD448" s="6">
        <f>[1]Emissions!AC865</f>
        <v>0</v>
      </c>
      <c r="AE448" s="6">
        <f>[1]Emissions!AD865</f>
        <v>0</v>
      </c>
      <c r="AF448" s="6">
        <f>[1]Emissions!AE865</f>
        <v>0</v>
      </c>
      <c r="AG448" s="6">
        <f>[1]Emissions!AF865</f>
        <v>0</v>
      </c>
      <c r="AH448" s="6">
        <f>[1]Emissions!AG865</f>
        <v>0</v>
      </c>
      <c r="AI448" s="6">
        <f>[1]Emissions!AH865</f>
        <v>0</v>
      </c>
      <c r="AJ448" s="6">
        <f>[1]Emissions!AI865</f>
        <v>0</v>
      </c>
      <c r="AK448" s="6">
        <f>[1]Emissions!AJ865</f>
        <v>0</v>
      </c>
      <c r="AL448" s="6">
        <f>[1]Emissions!AK865</f>
        <v>0</v>
      </c>
    </row>
    <row r="449" spans="2:38" x14ac:dyDescent="0.3">
      <c r="B449" s="6" t="str">
        <f>[1]Emissions!A866</f>
        <v>ems_ci_co2_srai_2</v>
      </c>
      <c r="C449" s="6">
        <f>[1]Emissions!B866</f>
        <v>5.5899141109999997</v>
      </c>
      <c r="D449" s="6">
        <f>[1]Emissions!C866</f>
        <v>5.5809845979999997</v>
      </c>
      <c r="E449" s="6">
        <f>[1]Emissions!D866</f>
        <v>5.5833536029999999</v>
      </c>
      <c r="F449" s="6">
        <f>[1]Emissions!E866</f>
        <v>5.6048000919999996</v>
      </c>
      <c r="G449" s="6">
        <f>[1]Emissions!F866</f>
        <v>5.6390513679999996</v>
      </c>
      <c r="H449" s="6">
        <f>[1]Emissions!G866</f>
        <v>5.6811222209999999</v>
      </c>
      <c r="I449" s="6">
        <f>[1]Emissions!H866</f>
        <v>5.7307396549999998</v>
      </c>
      <c r="J449" s="6">
        <f>[1]Emissions!I866</f>
        <v>5.7717462499999996</v>
      </c>
      <c r="K449" s="6">
        <f>[1]Emissions!J866</f>
        <v>5.8064952500000002</v>
      </c>
      <c r="L449" s="6">
        <f>[1]Emissions!K866</f>
        <v>5.8419240070000003</v>
      </c>
      <c r="M449" s="6">
        <f>[1]Emissions!L866</f>
        <v>5.8856676209999996</v>
      </c>
      <c r="N449" s="6">
        <f>[1]Emissions!M866</f>
        <v>5.9424413029999998</v>
      </c>
      <c r="O449" s="6">
        <f>[1]Emissions!N866</f>
        <v>6.0084048320000001</v>
      </c>
      <c r="P449" s="6">
        <f>[1]Emissions!O866</f>
        <v>6.0809590919999996</v>
      </c>
      <c r="Q449" s="6">
        <f>[1]Emissions!P866</f>
        <v>6.157220304</v>
      </c>
      <c r="R449" s="6">
        <f>[1]Emissions!Q866</f>
        <v>6.234808847</v>
      </c>
      <c r="S449" s="6">
        <f>[1]Emissions!R866</f>
        <v>6.3124742060000001</v>
      </c>
      <c r="T449" s="6">
        <f>[1]Emissions!S866</f>
        <v>6.3901056399999998</v>
      </c>
      <c r="U449" s="6">
        <f>[1]Emissions!T866</f>
        <v>6.468311291</v>
      </c>
      <c r="V449" s="6">
        <f>[1]Emissions!U866</f>
        <v>6.5478757219999997</v>
      </c>
      <c r="W449" s="6">
        <f>[1]Emissions!V866</f>
        <v>6.6280135759999999</v>
      </c>
      <c r="X449" s="6">
        <f>[1]Emissions!W866</f>
        <v>6.708809391</v>
      </c>
      <c r="Y449" s="6">
        <f>[1]Emissions!X866</f>
        <v>6.7925698609999996</v>
      </c>
      <c r="Z449" s="6">
        <f>[1]Emissions!Y866</f>
        <v>6.8788509539999998</v>
      </c>
      <c r="AA449" s="6">
        <f>[1]Emissions!Z866</f>
        <v>6.9669743930000001</v>
      </c>
      <c r="AB449" s="6">
        <f>[1]Emissions!AA866</f>
        <v>7.051465275</v>
      </c>
      <c r="AC449" s="6">
        <f>[1]Emissions!AB866</f>
        <v>7.1330523030000004</v>
      </c>
      <c r="AD449" s="6">
        <f>[1]Emissions!AC866</f>
        <v>7.2157078050000001</v>
      </c>
      <c r="AE449" s="6">
        <f>[1]Emissions!AD866</f>
        <v>7.3004717929999998</v>
      </c>
      <c r="AF449" s="6">
        <f>[1]Emissions!AE866</f>
        <v>7.387743446</v>
      </c>
      <c r="AG449" s="6">
        <f>[1]Emissions!AF866</f>
        <v>7.4775723200000002</v>
      </c>
      <c r="AH449" s="6">
        <f>[1]Emissions!AG866</f>
        <v>7.5697655299999997</v>
      </c>
      <c r="AI449" s="6">
        <f>[1]Emissions!AH866</f>
        <v>7.664032723</v>
      </c>
      <c r="AJ449" s="6">
        <f>[1]Emissions!AI866</f>
        <v>7.760118716</v>
      </c>
      <c r="AK449" s="6">
        <f>[1]Emissions!AJ866</f>
        <v>7.8578746109999997</v>
      </c>
      <c r="AL449" s="6">
        <f>[1]Emissions!AK866</f>
        <v>7.9572576289999999</v>
      </c>
    </row>
    <row r="450" spans="2:38" x14ac:dyDescent="0.3">
      <c r="B450" s="6" t="str">
        <f>[1]Emissions!A867</f>
        <v>ems_y_co2_srai_2</v>
      </c>
      <c r="C450" s="6">
        <f>[1]Emissions!B867</f>
        <v>0</v>
      </c>
      <c r="D450" s="6">
        <f>[1]Emissions!C867</f>
        <v>0</v>
      </c>
      <c r="E450" s="6">
        <f>[1]Emissions!D867</f>
        <v>0</v>
      </c>
      <c r="F450" s="6">
        <f>[1]Emissions!E867</f>
        <v>0</v>
      </c>
      <c r="G450" s="6">
        <f>[1]Emissions!F867</f>
        <v>0</v>
      </c>
      <c r="H450" s="6">
        <f>[1]Emissions!G867</f>
        <v>0</v>
      </c>
      <c r="I450" s="6">
        <f>[1]Emissions!H867</f>
        <v>0</v>
      </c>
      <c r="J450" s="6">
        <f>[1]Emissions!I867</f>
        <v>0</v>
      </c>
      <c r="K450" s="6">
        <f>[1]Emissions!J867</f>
        <v>0</v>
      </c>
      <c r="L450" s="6">
        <f>[1]Emissions!K867</f>
        <v>0</v>
      </c>
      <c r="M450" s="6">
        <f>[1]Emissions!L867</f>
        <v>0</v>
      </c>
      <c r="N450" s="6">
        <f>[1]Emissions!M867</f>
        <v>0</v>
      </c>
      <c r="O450" s="6">
        <f>[1]Emissions!N867</f>
        <v>0</v>
      </c>
      <c r="P450" s="6">
        <f>[1]Emissions!O867</f>
        <v>0</v>
      </c>
      <c r="Q450" s="6">
        <f>[1]Emissions!P867</f>
        <v>0</v>
      </c>
      <c r="R450" s="6">
        <f>[1]Emissions!Q867</f>
        <v>0</v>
      </c>
      <c r="S450" s="6">
        <f>[1]Emissions!R867</f>
        <v>0</v>
      </c>
      <c r="T450" s="6">
        <f>[1]Emissions!S867</f>
        <v>0</v>
      </c>
      <c r="U450" s="6">
        <f>[1]Emissions!T867</f>
        <v>0</v>
      </c>
      <c r="V450" s="6">
        <f>[1]Emissions!U867</f>
        <v>0</v>
      </c>
      <c r="W450" s="6">
        <f>[1]Emissions!V867</f>
        <v>0</v>
      </c>
      <c r="X450" s="6">
        <f>[1]Emissions!W867</f>
        <v>0</v>
      </c>
      <c r="Y450" s="6">
        <f>[1]Emissions!X867</f>
        <v>0</v>
      </c>
      <c r="Z450" s="6">
        <f>[1]Emissions!Y867</f>
        <v>0</v>
      </c>
      <c r="AA450" s="6">
        <f>[1]Emissions!Z867</f>
        <v>0</v>
      </c>
      <c r="AB450" s="6">
        <f>[1]Emissions!AA867</f>
        <v>0</v>
      </c>
      <c r="AC450" s="6">
        <f>[1]Emissions!AB867</f>
        <v>0</v>
      </c>
      <c r="AD450" s="6">
        <f>[1]Emissions!AC867</f>
        <v>0</v>
      </c>
      <c r="AE450" s="6">
        <f>[1]Emissions!AD867</f>
        <v>0</v>
      </c>
      <c r="AF450" s="6">
        <f>[1]Emissions!AE867</f>
        <v>0</v>
      </c>
      <c r="AG450" s="6">
        <f>[1]Emissions!AF867</f>
        <v>0</v>
      </c>
      <c r="AH450" s="6">
        <f>[1]Emissions!AG867</f>
        <v>0</v>
      </c>
      <c r="AI450" s="6">
        <f>[1]Emissions!AH867</f>
        <v>0</v>
      </c>
      <c r="AJ450" s="6">
        <f>[1]Emissions!AI867</f>
        <v>0</v>
      </c>
      <c r="AK450" s="6">
        <f>[1]Emissions!AJ867</f>
        <v>0</v>
      </c>
      <c r="AL450" s="6">
        <f>[1]Emissions!AK867</f>
        <v>0</v>
      </c>
    </row>
    <row r="451" spans="2:38" x14ac:dyDescent="0.3">
      <c r="B451" s="6" t="str">
        <f>[1]Emissions!A868</f>
        <v>ems_mat_co2_srai_2</v>
      </c>
      <c r="C451" s="6">
        <f>[1]Emissions!B868</f>
        <v>0</v>
      </c>
      <c r="D451" s="6">
        <f>[1]Emissions!C868</f>
        <v>0</v>
      </c>
      <c r="E451" s="6">
        <f>[1]Emissions!D868</f>
        <v>0</v>
      </c>
      <c r="F451" s="6">
        <f>[1]Emissions!E868</f>
        <v>0</v>
      </c>
      <c r="G451" s="6">
        <f>[1]Emissions!F868</f>
        <v>0</v>
      </c>
      <c r="H451" s="6">
        <f>[1]Emissions!G868</f>
        <v>0</v>
      </c>
      <c r="I451" s="6">
        <f>[1]Emissions!H868</f>
        <v>0</v>
      </c>
      <c r="J451" s="6">
        <f>[1]Emissions!I868</f>
        <v>0</v>
      </c>
      <c r="K451" s="6">
        <f>[1]Emissions!J868</f>
        <v>0</v>
      </c>
      <c r="L451" s="6">
        <f>[1]Emissions!K868</f>
        <v>0</v>
      </c>
      <c r="M451" s="6">
        <f>[1]Emissions!L868</f>
        <v>0</v>
      </c>
      <c r="N451" s="6">
        <f>[1]Emissions!M868</f>
        <v>0</v>
      </c>
      <c r="O451" s="6">
        <f>[1]Emissions!N868</f>
        <v>0</v>
      </c>
      <c r="P451" s="6">
        <f>[1]Emissions!O868</f>
        <v>0</v>
      </c>
      <c r="Q451" s="6">
        <f>[1]Emissions!P868</f>
        <v>0</v>
      </c>
      <c r="R451" s="6">
        <f>[1]Emissions!Q868</f>
        <v>0</v>
      </c>
      <c r="S451" s="6">
        <f>[1]Emissions!R868</f>
        <v>0</v>
      </c>
      <c r="T451" s="6">
        <f>[1]Emissions!S868</f>
        <v>0</v>
      </c>
      <c r="U451" s="6">
        <f>[1]Emissions!T868</f>
        <v>0</v>
      </c>
      <c r="V451" s="6">
        <f>[1]Emissions!U868</f>
        <v>0</v>
      </c>
      <c r="W451" s="6">
        <f>[1]Emissions!V868</f>
        <v>0</v>
      </c>
      <c r="X451" s="6">
        <f>[1]Emissions!W868</f>
        <v>0</v>
      </c>
      <c r="Y451" s="6">
        <f>[1]Emissions!X868</f>
        <v>0</v>
      </c>
      <c r="Z451" s="6">
        <f>[1]Emissions!Y868</f>
        <v>0</v>
      </c>
      <c r="AA451" s="6">
        <f>[1]Emissions!Z868</f>
        <v>0</v>
      </c>
      <c r="AB451" s="6">
        <f>[1]Emissions!AA868</f>
        <v>0</v>
      </c>
      <c r="AC451" s="6">
        <f>[1]Emissions!AB868</f>
        <v>0</v>
      </c>
      <c r="AD451" s="6">
        <f>[1]Emissions!AC868</f>
        <v>0</v>
      </c>
      <c r="AE451" s="6">
        <f>[1]Emissions!AD868</f>
        <v>0</v>
      </c>
      <c r="AF451" s="6">
        <f>[1]Emissions!AE868</f>
        <v>0</v>
      </c>
      <c r="AG451" s="6">
        <f>[1]Emissions!AF868</f>
        <v>0</v>
      </c>
      <c r="AH451" s="6">
        <f>[1]Emissions!AG868</f>
        <v>0</v>
      </c>
      <c r="AI451" s="6">
        <f>[1]Emissions!AH868</f>
        <v>0</v>
      </c>
      <c r="AJ451" s="6">
        <f>[1]Emissions!AI868</f>
        <v>0</v>
      </c>
      <c r="AK451" s="6">
        <f>[1]Emissions!AJ868</f>
        <v>0</v>
      </c>
      <c r="AL451" s="6">
        <f>[1]Emissions!AK868</f>
        <v>0</v>
      </c>
    </row>
    <row r="452" spans="2:38" x14ac:dyDescent="0.3">
      <c r="B452" s="6" t="str">
        <f>[1]Emissions!A869</f>
        <v>ems_ci_co2_sroa_2</v>
      </c>
      <c r="C452" s="6">
        <f>[1]Emissions!B869</f>
        <v>16.04429575</v>
      </c>
      <c r="D452" s="6">
        <f>[1]Emissions!C869</f>
        <v>15.995007040000001</v>
      </c>
      <c r="E452" s="6">
        <f>[1]Emissions!D869</f>
        <v>15.971830880000001</v>
      </c>
      <c r="F452" s="6">
        <f>[1]Emissions!E869</f>
        <v>16.00674248</v>
      </c>
      <c r="G452" s="6">
        <f>[1]Emissions!F869</f>
        <v>16.085288179999999</v>
      </c>
      <c r="H452" s="6">
        <f>[1]Emissions!G869</f>
        <v>16.193397600000001</v>
      </c>
      <c r="I452" s="6">
        <f>[1]Emissions!H869</f>
        <v>16.329698759999999</v>
      </c>
      <c r="J452" s="6">
        <f>[1]Emissions!I869</f>
        <v>16.45915222</v>
      </c>
      <c r="K452" s="6">
        <f>[1]Emissions!J869</f>
        <v>16.57704133</v>
      </c>
      <c r="L452" s="6">
        <f>[1]Emissions!K869</f>
        <v>16.692318440000001</v>
      </c>
      <c r="M452" s="6">
        <f>[1]Emissions!L869</f>
        <v>16.820886860000002</v>
      </c>
      <c r="N452" s="6">
        <f>[1]Emissions!M869</f>
        <v>16.978882609999999</v>
      </c>
      <c r="O452" s="6">
        <f>[1]Emissions!N869</f>
        <v>17.158803630000001</v>
      </c>
      <c r="P452" s="6">
        <f>[1]Emissions!O869</f>
        <v>17.35676814</v>
      </c>
      <c r="Q452" s="6">
        <f>[1]Emissions!P869</f>
        <v>17.566747100000001</v>
      </c>
      <c r="R452" s="6">
        <f>[1]Emissions!Q869</f>
        <v>17.782477060000002</v>
      </c>
      <c r="S452" s="6">
        <f>[1]Emissions!R869</f>
        <v>17.99967908</v>
      </c>
      <c r="T452" s="6">
        <f>[1]Emissions!S869</f>
        <v>18.216849530000001</v>
      </c>
      <c r="U452" s="6">
        <f>[1]Emissions!T869</f>
        <v>18.43475166</v>
      </c>
      <c r="V452" s="6">
        <f>[1]Emissions!U869</f>
        <v>18.65524156</v>
      </c>
      <c r="W452" s="6">
        <f>[1]Emissions!V869</f>
        <v>18.876888439999998</v>
      </c>
      <c r="X452" s="6">
        <f>[1]Emissions!W869</f>
        <v>19.099645630000001</v>
      </c>
      <c r="Y452" s="6">
        <f>[1]Emissions!X869</f>
        <v>19.330686320000002</v>
      </c>
      <c r="Z452" s="6">
        <f>[1]Emissions!Y869</f>
        <v>19.569338210000002</v>
      </c>
      <c r="AA452" s="6">
        <f>[1]Emissions!Z869</f>
        <v>19.814020370000001</v>
      </c>
      <c r="AB452" s="6">
        <f>[1]Emissions!AA869</f>
        <v>20.050802789999999</v>
      </c>
      <c r="AC452" s="6">
        <f>[1]Emissions!AB869</f>
        <v>20.279775879999999</v>
      </c>
      <c r="AD452" s="6">
        <f>[1]Emissions!AC869</f>
        <v>20.51137421</v>
      </c>
      <c r="AE452" s="6">
        <f>[1]Emissions!AD869</f>
        <v>20.748214539999999</v>
      </c>
      <c r="AF452" s="6">
        <f>[1]Emissions!AE869</f>
        <v>20.991521540000001</v>
      </c>
      <c r="AG452" s="6">
        <f>[1]Emissions!AF869</f>
        <v>21.241738470000001</v>
      </c>
      <c r="AH452" s="6">
        <f>[1]Emissions!AG869</f>
        <v>21.498620859999999</v>
      </c>
      <c r="AI452" s="6">
        <f>[1]Emissions!AH869</f>
        <v>21.761513610000002</v>
      </c>
      <c r="AJ452" s="6">
        <f>[1]Emissions!AI869</f>
        <v>22.029693229999999</v>
      </c>
      <c r="AK452" s="6">
        <f>[1]Emissions!AJ869</f>
        <v>22.30261844</v>
      </c>
      <c r="AL452" s="6">
        <f>[1]Emissions!AK869</f>
        <v>22.580017430000002</v>
      </c>
    </row>
    <row r="453" spans="2:38" x14ac:dyDescent="0.3">
      <c r="B453" s="6" t="str">
        <f>[1]Emissions!A870</f>
        <v>ems_y_co2_sroa_2</v>
      </c>
      <c r="C453" s="6">
        <f>[1]Emissions!B870</f>
        <v>0</v>
      </c>
      <c r="D453" s="6">
        <f>[1]Emissions!C870</f>
        <v>0</v>
      </c>
      <c r="E453" s="6">
        <f>[1]Emissions!D870</f>
        <v>0</v>
      </c>
      <c r="F453" s="6">
        <f>[1]Emissions!E870</f>
        <v>0</v>
      </c>
      <c r="G453" s="6">
        <f>[1]Emissions!F870</f>
        <v>0</v>
      </c>
      <c r="H453" s="6">
        <f>[1]Emissions!G870</f>
        <v>0</v>
      </c>
      <c r="I453" s="6">
        <f>[1]Emissions!H870</f>
        <v>0</v>
      </c>
      <c r="J453" s="6">
        <f>[1]Emissions!I870</f>
        <v>0</v>
      </c>
      <c r="K453" s="6">
        <f>[1]Emissions!J870</f>
        <v>0</v>
      </c>
      <c r="L453" s="6">
        <f>[1]Emissions!K870</f>
        <v>0</v>
      </c>
      <c r="M453" s="6">
        <f>[1]Emissions!L870</f>
        <v>0</v>
      </c>
      <c r="N453" s="6">
        <f>[1]Emissions!M870</f>
        <v>0</v>
      </c>
      <c r="O453" s="6">
        <f>[1]Emissions!N870</f>
        <v>0</v>
      </c>
      <c r="P453" s="6">
        <f>[1]Emissions!O870</f>
        <v>0</v>
      </c>
      <c r="Q453" s="6">
        <f>[1]Emissions!P870</f>
        <v>0</v>
      </c>
      <c r="R453" s="6">
        <f>[1]Emissions!Q870</f>
        <v>0</v>
      </c>
      <c r="S453" s="6">
        <f>[1]Emissions!R870</f>
        <v>0</v>
      </c>
      <c r="T453" s="6">
        <f>[1]Emissions!S870</f>
        <v>0</v>
      </c>
      <c r="U453" s="6">
        <f>[1]Emissions!T870</f>
        <v>0</v>
      </c>
      <c r="V453" s="6">
        <f>[1]Emissions!U870</f>
        <v>0</v>
      </c>
      <c r="W453" s="6">
        <f>[1]Emissions!V870</f>
        <v>0</v>
      </c>
      <c r="X453" s="6">
        <f>[1]Emissions!W870</f>
        <v>0</v>
      </c>
      <c r="Y453" s="6">
        <f>[1]Emissions!X870</f>
        <v>0</v>
      </c>
      <c r="Z453" s="6">
        <f>[1]Emissions!Y870</f>
        <v>0</v>
      </c>
      <c r="AA453" s="6">
        <f>[1]Emissions!Z870</f>
        <v>0</v>
      </c>
      <c r="AB453" s="6">
        <f>[1]Emissions!AA870</f>
        <v>0</v>
      </c>
      <c r="AC453" s="6">
        <f>[1]Emissions!AB870</f>
        <v>0</v>
      </c>
      <c r="AD453" s="6">
        <f>[1]Emissions!AC870</f>
        <v>0</v>
      </c>
      <c r="AE453" s="6">
        <f>[1]Emissions!AD870</f>
        <v>0</v>
      </c>
      <c r="AF453" s="6">
        <f>[1]Emissions!AE870</f>
        <v>0</v>
      </c>
      <c r="AG453" s="6">
        <f>[1]Emissions!AF870</f>
        <v>0</v>
      </c>
      <c r="AH453" s="6">
        <f>[1]Emissions!AG870</f>
        <v>0</v>
      </c>
      <c r="AI453" s="6">
        <f>[1]Emissions!AH870</f>
        <v>0</v>
      </c>
      <c r="AJ453" s="6">
        <f>[1]Emissions!AI870</f>
        <v>0</v>
      </c>
      <c r="AK453" s="6">
        <f>[1]Emissions!AJ870</f>
        <v>0</v>
      </c>
      <c r="AL453" s="6">
        <f>[1]Emissions!AK870</f>
        <v>0</v>
      </c>
    </row>
    <row r="454" spans="2:38" x14ac:dyDescent="0.3">
      <c r="B454" s="6" t="str">
        <f>[1]Emissions!A871</f>
        <v>ems_mat_co2_sroa_2</v>
      </c>
      <c r="C454" s="6">
        <f>[1]Emissions!B871</f>
        <v>0</v>
      </c>
      <c r="D454" s="6">
        <f>[1]Emissions!C871</f>
        <v>0</v>
      </c>
      <c r="E454" s="6">
        <f>[1]Emissions!D871</f>
        <v>0</v>
      </c>
      <c r="F454" s="6">
        <f>[1]Emissions!E871</f>
        <v>0</v>
      </c>
      <c r="G454" s="6">
        <f>[1]Emissions!F871</f>
        <v>0</v>
      </c>
      <c r="H454" s="6">
        <f>[1]Emissions!G871</f>
        <v>0</v>
      </c>
      <c r="I454" s="6">
        <f>[1]Emissions!H871</f>
        <v>0</v>
      </c>
      <c r="J454" s="6">
        <f>[1]Emissions!I871</f>
        <v>0</v>
      </c>
      <c r="K454" s="6">
        <f>[1]Emissions!J871</f>
        <v>0</v>
      </c>
      <c r="L454" s="6">
        <f>[1]Emissions!K871</f>
        <v>0</v>
      </c>
      <c r="M454" s="6">
        <f>[1]Emissions!L871</f>
        <v>0</v>
      </c>
      <c r="N454" s="6">
        <f>[1]Emissions!M871</f>
        <v>0</v>
      </c>
      <c r="O454" s="6">
        <f>[1]Emissions!N871</f>
        <v>0</v>
      </c>
      <c r="P454" s="6">
        <f>[1]Emissions!O871</f>
        <v>0</v>
      </c>
      <c r="Q454" s="6">
        <f>[1]Emissions!P871</f>
        <v>0</v>
      </c>
      <c r="R454" s="6">
        <f>[1]Emissions!Q871</f>
        <v>0</v>
      </c>
      <c r="S454" s="6">
        <f>[1]Emissions!R871</f>
        <v>0</v>
      </c>
      <c r="T454" s="6">
        <f>[1]Emissions!S871</f>
        <v>0</v>
      </c>
      <c r="U454" s="6">
        <f>[1]Emissions!T871</f>
        <v>0</v>
      </c>
      <c r="V454" s="6">
        <f>[1]Emissions!U871</f>
        <v>0</v>
      </c>
      <c r="W454" s="6">
        <f>[1]Emissions!V871</f>
        <v>0</v>
      </c>
      <c r="X454" s="6">
        <f>[1]Emissions!W871</f>
        <v>0</v>
      </c>
      <c r="Y454" s="6">
        <f>[1]Emissions!X871</f>
        <v>0</v>
      </c>
      <c r="Z454" s="6">
        <f>[1]Emissions!Y871</f>
        <v>0</v>
      </c>
      <c r="AA454" s="6">
        <f>[1]Emissions!Z871</f>
        <v>0</v>
      </c>
      <c r="AB454" s="6">
        <f>[1]Emissions!AA871</f>
        <v>0</v>
      </c>
      <c r="AC454" s="6">
        <f>[1]Emissions!AB871</f>
        <v>0</v>
      </c>
      <c r="AD454" s="6">
        <f>[1]Emissions!AC871</f>
        <v>0</v>
      </c>
      <c r="AE454" s="6">
        <f>[1]Emissions!AD871</f>
        <v>0</v>
      </c>
      <c r="AF454" s="6">
        <f>[1]Emissions!AE871</f>
        <v>0</v>
      </c>
      <c r="AG454" s="6">
        <f>[1]Emissions!AF871</f>
        <v>0</v>
      </c>
      <c r="AH454" s="6">
        <f>[1]Emissions!AG871</f>
        <v>0</v>
      </c>
      <c r="AI454" s="6">
        <f>[1]Emissions!AH871</f>
        <v>0</v>
      </c>
      <c r="AJ454" s="6">
        <f>[1]Emissions!AI871</f>
        <v>0</v>
      </c>
      <c r="AK454" s="6">
        <f>[1]Emissions!AJ871</f>
        <v>0</v>
      </c>
      <c r="AL454" s="6">
        <f>[1]Emissions!AK871</f>
        <v>0</v>
      </c>
    </row>
    <row r="455" spans="2:38" x14ac:dyDescent="0.3">
      <c r="B455" s="6" t="str">
        <f>[1]Emissions!A872</f>
        <v>ems_ci_co2_swat_2</v>
      </c>
      <c r="C455" s="6">
        <f>[1]Emissions!B872</f>
        <v>3.787208181</v>
      </c>
      <c r="D455" s="6">
        <f>[1]Emissions!C872</f>
        <v>3.8463197779999998</v>
      </c>
      <c r="E455" s="6">
        <f>[1]Emissions!D872</f>
        <v>3.9144253849999999</v>
      </c>
      <c r="F455" s="6">
        <f>[1]Emissions!E872</f>
        <v>3.9894521269999998</v>
      </c>
      <c r="G455" s="6">
        <f>[1]Emissions!F872</f>
        <v>4.0702330819999997</v>
      </c>
      <c r="H455" s="6">
        <f>[1]Emissions!G872</f>
        <v>4.1547008930000002</v>
      </c>
      <c r="I455" s="6">
        <f>[1]Emissions!H872</f>
        <v>4.2369234020000004</v>
      </c>
      <c r="J455" s="6">
        <f>[1]Emissions!I872</f>
        <v>4.3179159770000002</v>
      </c>
      <c r="K455" s="6">
        <f>[1]Emissions!J872</f>
        <v>4.3905011580000002</v>
      </c>
      <c r="L455" s="6">
        <f>[1]Emissions!K872</f>
        <v>4.4523107489999996</v>
      </c>
      <c r="M455" s="6">
        <f>[1]Emissions!L872</f>
        <v>4.5126113119999998</v>
      </c>
      <c r="N455" s="6">
        <f>[1]Emissions!M872</f>
        <v>4.5660422939999998</v>
      </c>
      <c r="O455" s="6">
        <f>[1]Emissions!N872</f>
        <v>4.6218872839999996</v>
      </c>
      <c r="P455" s="6">
        <f>[1]Emissions!O872</f>
        <v>4.6829967129999996</v>
      </c>
      <c r="Q455" s="6">
        <f>[1]Emissions!P872</f>
        <v>4.7492689610000003</v>
      </c>
      <c r="R455" s="6">
        <f>[1]Emissions!Q872</f>
        <v>4.819030165</v>
      </c>
      <c r="S455" s="6">
        <f>[1]Emissions!R872</f>
        <v>4.890298606</v>
      </c>
      <c r="T455" s="6">
        <f>[1]Emissions!S872</f>
        <v>4.9617146410000004</v>
      </c>
      <c r="U455" s="6">
        <f>[1]Emissions!T872</f>
        <v>5.0329182110000001</v>
      </c>
      <c r="V455" s="6">
        <f>[1]Emissions!U872</f>
        <v>5.1044042489999999</v>
      </c>
      <c r="W455" s="6">
        <f>[1]Emissions!V872</f>
        <v>5.1725744860000002</v>
      </c>
      <c r="X455" s="6">
        <f>[1]Emissions!W872</f>
        <v>5.2465546840000004</v>
      </c>
      <c r="Y455" s="6">
        <f>[1]Emissions!X872</f>
        <v>5.3235346730000002</v>
      </c>
      <c r="Z455" s="6">
        <f>[1]Emissions!Y872</f>
        <v>5.4032263550000001</v>
      </c>
      <c r="AA455" s="6">
        <f>[1]Emissions!Z872</f>
        <v>5.4852941150000003</v>
      </c>
      <c r="AB455" s="6">
        <f>[1]Emissions!AA872</f>
        <v>5.5561617559999998</v>
      </c>
      <c r="AC455" s="6">
        <f>[1]Emissions!AB872</f>
        <v>5.6331340900000004</v>
      </c>
      <c r="AD455" s="6">
        <f>[1]Emissions!AC872</f>
        <v>5.7114018199999999</v>
      </c>
      <c r="AE455" s="6">
        <f>[1]Emissions!AD872</f>
        <v>5.7905921170000001</v>
      </c>
      <c r="AF455" s="6">
        <f>[1]Emissions!AE872</f>
        <v>5.8710244109999996</v>
      </c>
      <c r="AG455" s="6">
        <f>[1]Emissions!AF872</f>
        <v>5.9530186479999996</v>
      </c>
      <c r="AH455" s="6">
        <f>[1]Emissions!AG872</f>
        <v>6.0366903430000001</v>
      </c>
      <c r="AI455" s="6">
        <f>[1]Emissions!AH872</f>
        <v>6.1219351289999997</v>
      </c>
      <c r="AJ455" s="6">
        <f>[1]Emissions!AI872</f>
        <v>6.2085221840000004</v>
      </c>
      <c r="AK455" s="6">
        <f>[1]Emissions!AJ872</f>
        <v>6.2962210379999997</v>
      </c>
      <c r="AL455" s="6">
        <f>[1]Emissions!AK872</f>
        <v>6.3848978279999997</v>
      </c>
    </row>
    <row r="456" spans="2:38" x14ac:dyDescent="0.3">
      <c r="B456" s="6" t="str">
        <f>[1]Emissions!A873</f>
        <v>ems_y_co2_swat_2</v>
      </c>
      <c r="C456" s="6">
        <f>[1]Emissions!B873</f>
        <v>0</v>
      </c>
      <c r="D456" s="6">
        <f>[1]Emissions!C873</f>
        <v>0</v>
      </c>
      <c r="E456" s="6">
        <f>[1]Emissions!D873</f>
        <v>0</v>
      </c>
      <c r="F456" s="6">
        <f>[1]Emissions!E873</f>
        <v>0</v>
      </c>
      <c r="G456" s="6">
        <f>[1]Emissions!F873</f>
        <v>0</v>
      </c>
      <c r="H456" s="6">
        <f>[1]Emissions!G873</f>
        <v>0</v>
      </c>
      <c r="I456" s="6">
        <f>[1]Emissions!H873</f>
        <v>0</v>
      </c>
      <c r="J456" s="6">
        <f>[1]Emissions!I873</f>
        <v>0</v>
      </c>
      <c r="K456" s="6">
        <f>[1]Emissions!J873</f>
        <v>0</v>
      </c>
      <c r="L456" s="6">
        <f>[1]Emissions!K873</f>
        <v>0</v>
      </c>
      <c r="M456" s="6">
        <f>[1]Emissions!L873</f>
        <v>0</v>
      </c>
      <c r="N456" s="6">
        <f>[1]Emissions!M873</f>
        <v>0</v>
      </c>
      <c r="O456" s="6">
        <f>[1]Emissions!N873</f>
        <v>0</v>
      </c>
      <c r="P456" s="6">
        <f>[1]Emissions!O873</f>
        <v>0</v>
      </c>
      <c r="Q456" s="6">
        <f>[1]Emissions!P873</f>
        <v>0</v>
      </c>
      <c r="R456" s="6">
        <f>[1]Emissions!Q873</f>
        <v>0</v>
      </c>
      <c r="S456" s="6">
        <f>[1]Emissions!R873</f>
        <v>0</v>
      </c>
      <c r="T456" s="6">
        <f>[1]Emissions!S873</f>
        <v>0</v>
      </c>
      <c r="U456" s="6">
        <f>[1]Emissions!T873</f>
        <v>0</v>
      </c>
      <c r="V456" s="6">
        <f>[1]Emissions!U873</f>
        <v>0</v>
      </c>
      <c r="W456" s="6">
        <f>[1]Emissions!V873</f>
        <v>0</v>
      </c>
      <c r="X456" s="6">
        <f>[1]Emissions!W873</f>
        <v>0</v>
      </c>
      <c r="Y456" s="6">
        <f>[1]Emissions!X873</f>
        <v>0</v>
      </c>
      <c r="Z456" s="6">
        <f>[1]Emissions!Y873</f>
        <v>0</v>
      </c>
      <c r="AA456" s="6">
        <f>[1]Emissions!Z873</f>
        <v>0</v>
      </c>
      <c r="AB456" s="6">
        <f>[1]Emissions!AA873</f>
        <v>0</v>
      </c>
      <c r="AC456" s="6">
        <f>[1]Emissions!AB873</f>
        <v>0</v>
      </c>
      <c r="AD456" s="6">
        <f>[1]Emissions!AC873</f>
        <v>0</v>
      </c>
      <c r="AE456" s="6">
        <f>[1]Emissions!AD873</f>
        <v>0</v>
      </c>
      <c r="AF456" s="6">
        <f>[1]Emissions!AE873</f>
        <v>0</v>
      </c>
      <c r="AG456" s="6">
        <f>[1]Emissions!AF873</f>
        <v>0</v>
      </c>
      <c r="AH456" s="6">
        <f>[1]Emissions!AG873</f>
        <v>0</v>
      </c>
      <c r="AI456" s="6">
        <f>[1]Emissions!AH873</f>
        <v>0</v>
      </c>
      <c r="AJ456" s="6">
        <f>[1]Emissions!AI873</f>
        <v>0</v>
      </c>
      <c r="AK456" s="6">
        <f>[1]Emissions!AJ873</f>
        <v>0</v>
      </c>
      <c r="AL456" s="6">
        <f>[1]Emissions!AK873</f>
        <v>0</v>
      </c>
    </row>
    <row r="457" spans="2:38" x14ac:dyDescent="0.3">
      <c r="B457" s="6" t="str">
        <f>[1]Emissions!A874</f>
        <v>ems_mat_co2_swat_2</v>
      </c>
      <c r="C457" s="6">
        <f>[1]Emissions!B874</f>
        <v>0</v>
      </c>
      <c r="D457" s="6">
        <f>[1]Emissions!C874</f>
        <v>0</v>
      </c>
      <c r="E457" s="6">
        <f>[1]Emissions!D874</f>
        <v>0</v>
      </c>
      <c r="F457" s="6">
        <f>[1]Emissions!E874</f>
        <v>0</v>
      </c>
      <c r="G457" s="6">
        <f>[1]Emissions!F874</f>
        <v>0</v>
      </c>
      <c r="H457" s="6">
        <f>[1]Emissions!G874</f>
        <v>0</v>
      </c>
      <c r="I457" s="6">
        <f>[1]Emissions!H874</f>
        <v>0</v>
      </c>
      <c r="J457" s="6">
        <f>[1]Emissions!I874</f>
        <v>0</v>
      </c>
      <c r="K457" s="6">
        <f>[1]Emissions!J874</f>
        <v>0</v>
      </c>
      <c r="L457" s="6">
        <f>[1]Emissions!K874</f>
        <v>0</v>
      </c>
      <c r="M457" s="6">
        <f>[1]Emissions!L874</f>
        <v>0</v>
      </c>
      <c r="N457" s="6">
        <f>[1]Emissions!M874</f>
        <v>0</v>
      </c>
      <c r="O457" s="6">
        <f>[1]Emissions!N874</f>
        <v>0</v>
      </c>
      <c r="P457" s="6">
        <f>[1]Emissions!O874</f>
        <v>0</v>
      </c>
      <c r="Q457" s="6">
        <f>[1]Emissions!P874</f>
        <v>0</v>
      </c>
      <c r="R457" s="6">
        <f>[1]Emissions!Q874</f>
        <v>0</v>
      </c>
      <c r="S457" s="6">
        <f>[1]Emissions!R874</f>
        <v>0</v>
      </c>
      <c r="T457" s="6">
        <f>[1]Emissions!S874</f>
        <v>0</v>
      </c>
      <c r="U457" s="6">
        <f>[1]Emissions!T874</f>
        <v>0</v>
      </c>
      <c r="V457" s="6">
        <f>[1]Emissions!U874</f>
        <v>0</v>
      </c>
      <c r="W457" s="6">
        <f>[1]Emissions!V874</f>
        <v>0</v>
      </c>
      <c r="X457" s="6">
        <f>[1]Emissions!W874</f>
        <v>0</v>
      </c>
      <c r="Y457" s="6">
        <f>[1]Emissions!X874</f>
        <v>0</v>
      </c>
      <c r="Z457" s="6">
        <f>[1]Emissions!Y874</f>
        <v>0</v>
      </c>
      <c r="AA457" s="6">
        <f>[1]Emissions!Z874</f>
        <v>0</v>
      </c>
      <c r="AB457" s="6">
        <f>[1]Emissions!AA874</f>
        <v>0</v>
      </c>
      <c r="AC457" s="6">
        <f>[1]Emissions!AB874</f>
        <v>0</v>
      </c>
      <c r="AD457" s="6">
        <f>[1]Emissions!AC874</f>
        <v>0</v>
      </c>
      <c r="AE457" s="6">
        <f>[1]Emissions!AD874</f>
        <v>0</v>
      </c>
      <c r="AF457" s="6">
        <f>[1]Emissions!AE874</f>
        <v>0</v>
      </c>
      <c r="AG457" s="6">
        <f>[1]Emissions!AF874</f>
        <v>0</v>
      </c>
      <c r="AH457" s="6">
        <f>[1]Emissions!AG874</f>
        <v>0</v>
      </c>
      <c r="AI457" s="6">
        <f>[1]Emissions!AH874</f>
        <v>0</v>
      </c>
      <c r="AJ457" s="6">
        <f>[1]Emissions!AI874</f>
        <v>0</v>
      </c>
      <c r="AK457" s="6">
        <f>[1]Emissions!AJ874</f>
        <v>0</v>
      </c>
      <c r="AL457" s="6">
        <f>[1]Emissions!AK874</f>
        <v>0</v>
      </c>
    </row>
    <row r="458" spans="2:38" x14ac:dyDescent="0.3">
      <c r="B458" s="6" t="str">
        <f>[1]Emissions!A875</f>
        <v>ems_ci_co2_sair_2</v>
      </c>
      <c r="C458" s="6">
        <f>[1]Emissions!B875</f>
        <v>19.865101190000001</v>
      </c>
      <c r="D458" s="6">
        <f>[1]Emissions!C875</f>
        <v>20.129117539999999</v>
      </c>
      <c r="E458" s="6">
        <f>[1]Emissions!D875</f>
        <v>20.44709349</v>
      </c>
      <c r="F458" s="6">
        <f>[1]Emissions!E875</f>
        <v>20.808698580000001</v>
      </c>
      <c r="G458" s="6">
        <f>[1]Emissions!F875</f>
        <v>21.198328249999999</v>
      </c>
      <c r="H458" s="6">
        <f>[1]Emissions!G875</f>
        <v>21.604163379999999</v>
      </c>
      <c r="I458" s="6">
        <f>[1]Emissions!H875</f>
        <v>22.00865246</v>
      </c>
      <c r="J458" s="6">
        <f>[1]Emissions!I875</f>
        <v>22.382178660000001</v>
      </c>
      <c r="K458" s="6">
        <f>[1]Emissions!J875</f>
        <v>22.7251029</v>
      </c>
      <c r="L458" s="6">
        <f>[1]Emissions!K875</f>
        <v>23.060979970000002</v>
      </c>
      <c r="M458" s="6">
        <f>[1]Emissions!L875</f>
        <v>23.437287420000001</v>
      </c>
      <c r="N458" s="6">
        <f>[1]Emissions!M875</f>
        <v>23.834637499999999</v>
      </c>
      <c r="O458" s="6">
        <f>[1]Emissions!N875</f>
        <v>24.25916123</v>
      </c>
      <c r="P458" s="6">
        <f>[1]Emissions!O875</f>
        <v>24.702286699999998</v>
      </c>
      <c r="Q458" s="6">
        <f>[1]Emissions!P875</f>
        <v>25.152722990000001</v>
      </c>
      <c r="R458" s="6">
        <f>[1]Emissions!Q875</f>
        <v>25.602144729999999</v>
      </c>
      <c r="S458" s="6">
        <f>[1]Emissions!R875</f>
        <v>26.047759899999999</v>
      </c>
      <c r="T458" s="6">
        <f>[1]Emissions!S875</f>
        <v>26.491918120000001</v>
      </c>
      <c r="U458" s="6">
        <f>[1]Emissions!T875</f>
        <v>26.939823059999998</v>
      </c>
      <c r="V458" s="6">
        <f>[1]Emissions!U875</f>
        <v>27.396848129999999</v>
      </c>
      <c r="W458" s="6">
        <f>[1]Emissions!V875</f>
        <v>27.84886878</v>
      </c>
      <c r="X458" s="6">
        <f>[1]Emissions!W875</f>
        <v>28.323292160000001</v>
      </c>
      <c r="Y458" s="6">
        <f>[1]Emissions!X875</f>
        <v>28.81498328</v>
      </c>
      <c r="Z458" s="6">
        <f>[1]Emissions!Y875</f>
        <v>29.321274769999999</v>
      </c>
      <c r="AA458" s="6">
        <f>[1]Emissions!Z875</f>
        <v>29.839469340000001</v>
      </c>
      <c r="AB458" s="6">
        <f>[1]Emissions!AA875</f>
        <v>30.31274136</v>
      </c>
      <c r="AC458" s="6">
        <f>[1]Emissions!AB875</f>
        <v>30.798273290000001</v>
      </c>
      <c r="AD458" s="6">
        <f>[1]Emissions!AC875</f>
        <v>31.292804669999999</v>
      </c>
      <c r="AE458" s="6">
        <f>[1]Emissions!AD875</f>
        <v>31.798223069999999</v>
      </c>
      <c r="AF458" s="6">
        <f>[1]Emissions!AE875</f>
        <v>32.31553787</v>
      </c>
      <c r="AG458" s="6">
        <f>[1]Emissions!AF875</f>
        <v>32.84450605</v>
      </c>
      <c r="AH458" s="6">
        <f>[1]Emissions!AG875</f>
        <v>33.384067909999999</v>
      </c>
      <c r="AI458" s="6">
        <f>[1]Emissions!AH875</f>
        <v>33.933031659999997</v>
      </c>
      <c r="AJ458" s="6">
        <f>[1]Emissions!AI875</f>
        <v>34.490639160000001</v>
      </c>
      <c r="AK458" s="6">
        <f>[1]Emissions!AJ875</f>
        <v>35.056801780000001</v>
      </c>
      <c r="AL458" s="6">
        <f>[1]Emissions!AK875</f>
        <v>35.63199307</v>
      </c>
    </row>
    <row r="459" spans="2:38" x14ac:dyDescent="0.3">
      <c r="B459" s="6" t="str">
        <f>[1]Emissions!A876</f>
        <v>ems_y_co2_sair_2</v>
      </c>
      <c r="C459" s="6">
        <f>[1]Emissions!B876</f>
        <v>0</v>
      </c>
      <c r="D459" s="6">
        <f>[1]Emissions!C876</f>
        <v>0</v>
      </c>
      <c r="E459" s="6">
        <f>[1]Emissions!D876</f>
        <v>0</v>
      </c>
      <c r="F459" s="6">
        <f>[1]Emissions!E876</f>
        <v>0</v>
      </c>
      <c r="G459" s="6">
        <f>[1]Emissions!F876</f>
        <v>0</v>
      </c>
      <c r="H459" s="6">
        <f>[1]Emissions!G876</f>
        <v>0</v>
      </c>
      <c r="I459" s="6">
        <f>[1]Emissions!H876</f>
        <v>0</v>
      </c>
      <c r="J459" s="6">
        <f>[1]Emissions!I876</f>
        <v>0</v>
      </c>
      <c r="K459" s="6">
        <f>[1]Emissions!J876</f>
        <v>0</v>
      </c>
      <c r="L459" s="6">
        <f>[1]Emissions!K876</f>
        <v>0</v>
      </c>
      <c r="M459" s="6">
        <f>[1]Emissions!L876</f>
        <v>0</v>
      </c>
      <c r="N459" s="6">
        <f>[1]Emissions!M876</f>
        <v>0</v>
      </c>
      <c r="O459" s="6">
        <f>[1]Emissions!N876</f>
        <v>0</v>
      </c>
      <c r="P459" s="6">
        <f>[1]Emissions!O876</f>
        <v>0</v>
      </c>
      <c r="Q459" s="6">
        <f>[1]Emissions!P876</f>
        <v>0</v>
      </c>
      <c r="R459" s="6">
        <f>[1]Emissions!Q876</f>
        <v>0</v>
      </c>
      <c r="S459" s="6">
        <f>[1]Emissions!R876</f>
        <v>0</v>
      </c>
      <c r="T459" s="6">
        <f>[1]Emissions!S876</f>
        <v>0</v>
      </c>
      <c r="U459" s="6">
        <f>[1]Emissions!T876</f>
        <v>0</v>
      </c>
      <c r="V459" s="6">
        <f>[1]Emissions!U876</f>
        <v>0</v>
      </c>
      <c r="W459" s="6">
        <f>[1]Emissions!V876</f>
        <v>0</v>
      </c>
      <c r="X459" s="6">
        <f>[1]Emissions!W876</f>
        <v>0</v>
      </c>
      <c r="Y459" s="6">
        <f>[1]Emissions!X876</f>
        <v>0</v>
      </c>
      <c r="Z459" s="6">
        <f>[1]Emissions!Y876</f>
        <v>0</v>
      </c>
      <c r="AA459" s="6">
        <f>[1]Emissions!Z876</f>
        <v>0</v>
      </c>
      <c r="AB459" s="6">
        <f>[1]Emissions!AA876</f>
        <v>0</v>
      </c>
      <c r="AC459" s="6">
        <f>[1]Emissions!AB876</f>
        <v>0</v>
      </c>
      <c r="AD459" s="6">
        <f>[1]Emissions!AC876</f>
        <v>0</v>
      </c>
      <c r="AE459" s="6">
        <f>[1]Emissions!AD876</f>
        <v>0</v>
      </c>
      <c r="AF459" s="6">
        <f>[1]Emissions!AE876</f>
        <v>0</v>
      </c>
      <c r="AG459" s="6">
        <f>[1]Emissions!AF876</f>
        <v>0</v>
      </c>
      <c r="AH459" s="6">
        <f>[1]Emissions!AG876</f>
        <v>0</v>
      </c>
      <c r="AI459" s="6">
        <f>[1]Emissions!AH876</f>
        <v>0</v>
      </c>
      <c r="AJ459" s="6">
        <f>[1]Emissions!AI876</f>
        <v>0</v>
      </c>
      <c r="AK459" s="6">
        <f>[1]Emissions!AJ876</f>
        <v>0</v>
      </c>
      <c r="AL459" s="6">
        <f>[1]Emissions!AK876</f>
        <v>0</v>
      </c>
    </row>
    <row r="460" spans="2:38" x14ac:dyDescent="0.3">
      <c r="B460" s="6" t="str">
        <f>[1]Emissions!A877</f>
        <v>ems_mat_co2_sair_2</v>
      </c>
      <c r="C460" s="6">
        <f>[1]Emissions!B877</f>
        <v>0</v>
      </c>
      <c r="D460" s="6">
        <f>[1]Emissions!C877</f>
        <v>0</v>
      </c>
      <c r="E460" s="6">
        <f>[1]Emissions!D877</f>
        <v>0</v>
      </c>
      <c r="F460" s="6">
        <f>[1]Emissions!E877</f>
        <v>0</v>
      </c>
      <c r="G460" s="6">
        <f>[1]Emissions!F877</f>
        <v>0</v>
      </c>
      <c r="H460" s="6">
        <f>[1]Emissions!G877</f>
        <v>0</v>
      </c>
      <c r="I460" s="6">
        <f>[1]Emissions!H877</f>
        <v>0</v>
      </c>
      <c r="J460" s="6">
        <f>[1]Emissions!I877</f>
        <v>0</v>
      </c>
      <c r="K460" s="6">
        <f>[1]Emissions!J877</f>
        <v>0</v>
      </c>
      <c r="L460" s="6">
        <f>[1]Emissions!K877</f>
        <v>0</v>
      </c>
      <c r="M460" s="6">
        <f>[1]Emissions!L877</f>
        <v>0</v>
      </c>
      <c r="N460" s="6">
        <f>[1]Emissions!M877</f>
        <v>0</v>
      </c>
      <c r="O460" s="6">
        <f>[1]Emissions!N877</f>
        <v>0</v>
      </c>
      <c r="P460" s="6">
        <f>[1]Emissions!O877</f>
        <v>0</v>
      </c>
      <c r="Q460" s="6">
        <f>[1]Emissions!P877</f>
        <v>0</v>
      </c>
      <c r="R460" s="6">
        <f>[1]Emissions!Q877</f>
        <v>0</v>
      </c>
      <c r="S460" s="6">
        <f>[1]Emissions!R877</f>
        <v>0</v>
      </c>
      <c r="T460" s="6">
        <f>[1]Emissions!S877</f>
        <v>0</v>
      </c>
      <c r="U460" s="6">
        <f>[1]Emissions!T877</f>
        <v>0</v>
      </c>
      <c r="V460" s="6">
        <f>[1]Emissions!U877</f>
        <v>0</v>
      </c>
      <c r="W460" s="6">
        <f>[1]Emissions!V877</f>
        <v>0</v>
      </c>
      <c r="X460" s="6">
        <f>[1]Emissions!W877</f>
        <v>0</v>
      </c>
      <c r="Y460" s="6">
        <f>[1]Emissions!X877</f>
        <v>0</v>
      </c>
      <c r="Z460" s="6">
        <f>[1]Emissions!Y877</f>
        <v>0</v>
      </c>
      <c r="AA460" s="6">
        <f>[1]Emissions!Z877</f>
        <v>0</v>
      </c>
      <c r="AB460" s="6">
        <f>[1]Emissions!AA877</f>
        <v>0</v>
      </c>
      <c r="AC460" s="6">
        <f>[1]Emissions!AB877</f>
        <v>0</v>
      </c>
      <c r="AD460" s="6">
        <f>[1]Emissions!AC877</f>
        <v>0</v>
      </c>
      <c r="AE460" s="6">
        <f>[1]Emissions!AD877</f>
        <v>0</v>
      </c>
      <c r="AF460" s="6">
        <f>[1]Emissions!AE877</f>
        <v>0</v>
      </c>
      <c r="AG460" s="6">
        <f>[1]Emissions!AF877</f>
        <v>0</v>
      </c>
      <c r="AH460" s="6">
        <f>[1]Emissions!AG877</f>
        <v>0</v>
      </c>
      <c r="AI460" s="6">
        <f>[1]Emissions!AH877</f>
        <v>0</v>
      </c>
      <c r="AJ460" s="6">
        <f>[1]Emissions!AI877</f>
        <v>0</v>
      </c>
      <c r="AK460" s="6">
        <f>[1]Emissions!AJ877</f>
        <v>0</v>
      </c>
      <c r="AL460" s="6">
        <f>[1]Emissions!AK877</f>
        <v>0</v>
      </c>
    </row>
    <row r="461" spans="2:38" x14ac:dyDescent="0.3">
      <c r="B461" s="6" t="str">
        <f>[1]Emissions!A878</f>
        <v>ems_ci_co2_spri_2</v>
      </c>
      <c r="C461" s="6">
        <f>[1]Emissions!B878</f>
        <v>31.015713460000001</v>
      </c>
      <c r="D461" s="6">
        <f>[1]Emissions!C878</f>
        <v>30.80749848</v>
      </c>
      <c r="E461" s="6">
        <f>[1]Emissions!D878</f>
        <v>30.53328385</v>
      </c>
      <c r="F461" s="6">
        <f>[1]Emissions!E878</f>
        <v>30.425656719999999</v>
      </c>
      <c r="G461" s="6">
        <f>[1]Emissions!F878</f>
        <v>30.552305059999998</v>
      </c>
      <c r="H461" s="6">
        <f>[1]Emissions!G878</f>
        <v>30.944800600000001</v>
      </c>
      <c r="I461" s="6">
        <f>[1]Emissions!H878</f>
        <v>31.669270409999999</v>
      </c>
      <c r="J461" s="6">
        <f>[1]Emissions!I878</f>
        <v>33.106746389999998</v>
      </c>
      <c r="K461" s="6">
        <f>[1]Emissions!J878</f>
        <v>34.930451490000003</v>
      </c>
      <c r="L461" s="6">
        <f>[1]Emissions!K878</f>
        <v>36.67341871</v>
      </c>
      <c r="M461" s="6">
        <f>[1]Emissions!L878</f>
        <v>37.91140506</v>
      </c>
      <c r="N461" s="6">
        <f>[1]Emissions!M878</f>
        <v>38.805341439999999</v>
      </c>
      <c r="O461" s="6">
        <f>[1]Emissions!N878</f>
        <v>39.350809269999999</v>
      </c>
      <c r="P461" s="6">
        <f>[1]Emissions!O878</f>
        <v>39.750828419999998</v>
      </c>
      <c r="Q461" s="6">
        <f>[1]Emissions!P878</f>
        <v>40.178452929999999</v>
      </c>
      <c r="R461" s="6">
        <f>[1]Emissions!Q878</f>
        <v>40.716640689999998</v>
      </c>
      <c r="S461" s="6">
        <f>[1]Emissions!R878</f>
        <v>41.364360699999999</v>
      </c>
      <c r="T461" s="6">
        <f>[1]Emissions!S878</f>
        <v>42.071557179999999</v>
      </c>
      <c r="U461" s="6">
        <f>[1]Emissions!T878</f>
        <v>42.779748990000002</v>
      </c>
      <c r="V461" s="6">
        <f>[1]Emissions!U878</f>
        <v>43.452107750000003</v>
      </c>
      <c r="W461" s="6">
        <f>[1]Emissions!V878</f>
        <v>44.131636039999997</v>
      </c>
      <c r="X461" s="6">
        <f>[1]Emissions!W878</f>
        <v>44.709936210000002</v>
      </c>
      <c r="Y461" s="6">
        <f>[1]Emissions!X878</f>
        <v>45.311821559999998</v>
      </c>
      <c r="Z461" s="6">
        <f>[1]Emissions!Y878</f>
        <v>45.971892760000003</v>
      </c>
      <c r="AA461" s="6">
        <f>[1]Emissions!Z878</f>
        <v>46.70996426</v>
      </c>
      <c r="AB461" s="6">
        <f>[1]Emissions!AA878</f>
        <v>47.642095920000003</v>
      </c>
      <c r="AC461" s="6">
        <f>[1]Emissions!AB878</f>
        <v>48.48245112</v>
      </c>
      <c r="AD461" s="6">
        <f>[1]Emissions!AC878</f>
        <v>49.327398410000001</v>
      </c>
      <c r="AE461" s="6">
        <f>[1]Emissions!AD878</f>
        <v>50.159844820000004</v>
      </c>
      <c r="AF461" s="6">
        <f>[1]Emissions!AE878</f>
        <v>50.973418410000001</v>
      </c>
      <c r="AG461" s="6">
        <f>[1]Emissions!AF878</f>
        <v>51.778595289999998</v>
      </c>
      <c r="AH461" s="6">
        <f>[1]Emissions!AG878</f>
        <v>52.592319639999999</v>
      </c>
      <c r="AI461" s="6">
        <f>[1]Emissions!AH878</f>
        <v>53.427766900000002</v>
      </c>
      <c r="AJ461" s="6">
        <f>[1]Emissions!AI878</f>
        <v>54.289018830000003</v>
      </c>
      <c r="AK461" s="6">
        <f>[1]Emissions!AJ878</f>
        <v>55.171364259999997</v>
      </c>
      <c r="AL461" s="6">
        <f>[1]Emissions!AK878</f>
        <v>56.065431719999999</v>
      </c>
    </row>
    <row r="462" spans="2:38" x14ac:dyDescent="0.3">
      <c r="B462" s="6" t="str">
        <f>[1]Emissions!A879</f>
        <v>ems_y_co2_spri_2</v>
      </c>
      <c r="C462" s="6">
        <f>[1]Emissions!B879</f>
        <v>0.40371614610000001</v>
      </c>
      <c r="D462" s="6">
        <f>[1]Emissions!C879</f>
        <v>0.40598527499999998</v>
      </c>
      <c r="E462" s="6">
        <f>[1]Emissions!D879</f>
        <v>0.41031793370000003</v>
      </c>
      <c r="F462" s="6">
        <f>[1]Emissions!E879</f>
        <v>0.41672731549999997</v>
      </c>
      <c r="G462" s="6">
        <f>[1]Emissions!F879</f>
        <v>0.42397885410000002</v>
      </c>
      <c r="H462" s="6">
        <f>[1]Emissions!G879</f>
        <v>0.43143206299999998</v>
      </c>
      <c r="I462" s="6">
        <f>[1]Emissions!H879</f>
        <v>0.43963794480000001</v>
      </c>
      <c r="J462" s="6">
        <f>[1]Emissions!I879</f>
        <v>0.44517457960000001</v>
      </c>
      <c r="K462" s="6">
        <f>[1]Emissions!J879</f>
        <v>0.44931668250000001</v>
      </c>
      <c r="L462" s="6">
        <f>[1]Emissions!K879</f>
        <v>0.45359293249999999</v>
      </c>
      <c r="M462" s="6">
        <f>[1]Emissions!L879</f>
        <v>0.45821809689999998</v>
      </c>
      <c r="N462" s="6">
        <f>[1]Emissions!M879</f>
        <v>0.46605317619999997</v>
      </c>
      <c r="O462" s="6">
        <f>[1]Emissions!N879</f>
        <v>0.47462308240000001</v>
      </c>
      <c r="P462" s="6">
        <f>[1]Emissions!O879</f>
        <v>0.48356197470000001</v>
      </c>
      <c r="Q462" s="6">
        <f>[1]Emissions!P879</f>
        <v>0.49245629019999998</v>
      </c>
      <c r="R462" s="6">
        <f>[1]Emissions!Q879</f>
        <v>0.50106151109999997</v>
      </c>
      <c r="S462" s="6">
        <f>[1]Emissions!R879</f>
        <v>0.50936556450000003</v>
      </c>
      <c r="T462" s="6">
        <f>[1]Emissions!S879</f>
        <v>0.51752983490000004</v>
      </c>
      <c r="U462" s="6">
        <f>[1]Emissions!T879</f>
        <v>0.52577451720000001</v>
      </c>
      <c r="V462" s="6">
        <f>[1]Emissions!U879</f>
        <v>0.53427533039999997</v>
      </c>
      <c r="W462" s="6">
        <f>[1]Emissions!V879</f>
        <v>0.54361045939999997</v>
      </c>
      <c r="X462" s="6">
        <f>[1]Emissions!W879</f>
        <v>0.55211631969999997</v>
      </c>
      <c r="Y462" s="6">
        <f>[1]Emissions!X879</f>
        <v>0.56119481839999996</v>
      </c>
      <c r="Z462" s="6">
        <f>[1]Emissions!Y879</f>
        <v>0.57059672679999995</v>
      </c>
      <c r="AA462" s="6">
        <f>[1]Emissions!Z879</f>
        <v>0.58015336080000002</v>
      </c>
      <c r="AB462" s="6">
        <f>[1]Emissions!AA879</f>
        <v>0.59097832240000003</v>
      </c>
      <c r="AC462" s="6">
        <f>[1]Emissions!AB879</f>
        <v>0.59955515329999998</v>
      </c>
      <c r="AD462" s="6">
        <f>[1]Emissions!AC879</f>
        <v>0.60832358490000005</v>
      </c>
      <c r="AE462" s="6">
        <f>[1]Emissions!AD879</f>
        <v>0.61732945169999998</v>
      </c>
      <c r="AF462" s="6">
        <f>[1]Emissions!AE879</f>
        <v>0.62658392200000002</v>
      </c>
      <c r="AG462" s="6">
        <f>[1]Emissions!AF879</f>
        <v>0.6360539382</v>
      </c>
      <c r="AH462" s="6">
        <f>[1]Emissions!AG879</f>
        <v>0.64568431159999995</v>
      </c>
      <c r="AI462" s="6">
        <f>[1]Emissions!AH879</f>
        <v>0.65542677530000004</v>
      </c>
      <c r="AJ462" s="6">
        <f>[1]Emissions!AI879</f>
        <v>0.66525900859999998</v>
      </c>
      <c r="AK462" s="6">
        <f>[1]Emissions!AJ879</f>
        <v>0.67518775210000004</v>
      </c>
      <c r="AL462" s="6">
        <f>[1]Emissions!AK879</f>
        <v>0.68523890779999996</v>
      </c>
    </row>
    <row r="463" spans="2:38" x14ac:dyDescent="0.3">
      <c r="B463" s="6" t="str">
        <f>[1]Emissions!A880</f>
        <v>ems_mat_co2_spri_2</v>
      </c>
      <c r="C463" s="6">
        <f>[1]Emissions!B880</f>
        <v>0.59198761389999999</v>
      </c>
      <c r="D463" s="6">
        <f>[1]Emissions!C880</f>
        <v>0.59566511509999998</v>
      </c>
      <c r="E463" s="6">
        <f>[1]Emissions!D880</f>
        <v>0.60172989850000003</v>
      </c>
      <c r="F463" s="6">
        <f>[1]Emissions!E880</f>
        <v>0.61086644810000001</v>
      </c>
      <c r="G463" s="6">
        <f>[1]Emissions!F880</f>
        <v>0.62145960519999999</v>
      </c>
      <c r="H463" s="6">
        <f>[1]Emissions!G880</f>
        <v>0.63245570959999997</v>
      </c>
      <c r="I463" s="6">
        <f>[1]Emissions!H880</f>
        <v>0.64448307530000004</v>
      </c>
      <c r="J463" s="6">
        <f>[1]Emissions!I880</f>
        <v>0.65299620629999999</v>
      </c>
      <c r="K463" s="6">
        <f>[1]Emissions!J880</f>
        <v>0.65923459480000002</v>
      </c>
      <c r="L463" s="6">
        <f>[1]Emissions!K880</f>
        <v>0.66542487640000003</v>
      </c>
      <c r="M463" s="6">
        <f>[1]Emissions!L880</f>
        <v>0.67210335629999995</v>
      </c>
      <c r="N463" s="6">
        <f>[1]Emissions!M880</f>
        <v>0.68317920659999998</v>
      </c>
      <c r="O463" s="6">
        <f>[1]Emissions!N880</f>
        <v>0.69571558649999998</v>
      </c>
      <c r="P463" s="6">
        <f>[1]Emissions!O880</f>
        <v>0.70887852159999998</v>
      </c>
      <c r="Q463" s="6">
        <f>[1]Emissions!P880</f>
        <v>0.72201909819999999</v>
      </c>
      <c r="R463" s="6">
        <f>[1]Emissions!Q880</f>
        <v>0.73474243309999998</v>
      </c>
      <c r="S463" s="6">
        <f>[1]Emissions!R880</f>
        <v>0.74699769279999995</v>
      </c>
      <c r="T463" s="6">
        <f>[1]Emissions!S880</f>
        <v>0.75900527390000005</v>
      </c>
      <c r="U463" s="6">
        <f>[1]Emissions!T880</f>
        <v>0.7710916109</v>
      </c>
      <c r="V463" s="6">
        <f>[1]Emissions!U880</f>
        <v>0.78353092859999995</v>
      </c>
      <c r="W463" s="6">
        <f>[1]Emissions!V880</f>
        <v>0.79713177189999995</v>
      </c>
      <c r="X463" s="6">
        <f>[1]Emissions!W880</f>
        <v>0.80973262950000002</v>
      </c>
      <c r="Y463" s="6">
        <f>[1]Emissions!X880</f>
        <v>0.82299021090000002</v>
      </c>
      <c r="Z463" s="6">
        <f>[1]Emissions!Y880</f>
        <v>0.83675262029999997</v>
      </c>
      <c r="AA463" s="6">
        <f>[1]Emissions!Z880</f>
        <v>0.85077180789999995</v>
      </c>
      <c r="AB463" s="6">
        <f>[1]Emissions!AA880</f>
        <v>0.86652182440000003</v>
      </c>
      <c r="AC463" s="6">
        <f>[1]Emissions!AB880</f>
        <v>0.87941389459999997</v>
      </c>
      <c r="AD463" s="6">
        <f>[1]Emissions!AC880</f>
        <v>0.89224647820000003</v>
      </c>
      <c r="AE463" s="6">
        <f>[1]Emissions!AD880</f>
        <v>0.90540114279999995</v>
      </c>
      <c r="AF463" s="6">
        <f>[1]Emissions!AE880</f>
        <v>0.91893116959999999</v>
      </c>
      <c r="AG463" s="6">
        <f>[1]Emissions!AF880</f>
        <v>0.93279352540000005</v>
      </c>
      <c r="AH463" s="6">
        <f>[1]Emissions!AG880</f>
        <v>0.94690597239999996</v>
      </c>
      <c r="AI463" s="6">
        <f>[1]Emissions!AH880</f>
        <v>0.96119272229999997</v>
      </c>
      <c r="AJ463" s="6">
        <f>[1]Emissions!AI880</f>
        <v>0.97561482759999996</v>
      </c>
      <c r="AK463" s="6">
        <f>[1]Emissions!AJ880</f>
        <v>0.99017720519999997</v>
      </c>
      <c r="AL463" s="6">
        <f>[1]Emissions!AK880</f>
        <v>1.0049155329999999</v>
      </c>
    </row>
    <row r="464" spans="2:38" x14ac:dyDescent="0.3">
      <c r="B464" s="6" t="str">
        <f>[1]Emissions!A881</f>
        <v>ems_ci_co2_spub_2</v>
      </c>
      <c r="C464" s="6">
        <f>[1]Emissions!B881</f>
        <v>15.129641940000001</v>
      </c>
      <c r="D464" s="6">
        <f>[1]Emissions!C881</f>
        <v>15.168315679999999</v>
      </c>
      <c r="E464" s="6">
        <f>[1]Emissions!D881</f>
        <v>15.17641955</v>
      </c>
      <c r="F464" s="6">
        <f>[1]Emissions!E881</f>
        <v>15.210818980000001</v>
      </c>
      <c r="G464" s="6">
        <f>[1]Emissions!F881</f>
        <v>15.29555667</v>
      </c>
      <c r="H464" s="6">
        <f>[1]Emissions!G881</f>
        <v>15.44435663</v>
      </c>
      <c r="I464" s="6">
        <f>[1]Emissions!H881</f>
        <v>15.667823719999999</v>
      </c>
      <c r="J464" s="6">
        <f>[1]Emissions!I881</f>
        <v>16.104518890000001</v>
      </c>
      <c r="K464" s="6">
        <f>[1]Emissions!J881</f>
        <v>16.657676800000001</v>
      </c>
      <c r="L464" s="6">
        <f>[1]Emissions!K881</f>
        <v>17.191450769999999</v>
      </c>
      <c r="M464" s="6">
        <f>[1]Emissions!L881</f>
        <v>17.604668419999999</v>
      </c>
      <c r="N464" s="6">
        <f>[1]Emissions!M881</f>
        <v>17.918531489999999</v>
      </c>
      <c r="O464" s="6">
        <f>[1]Emissions!N881</f>
        <v>18.148485999999998</v>
      </c>
      <c r="P464" s="6">
        <f>[1]Emissions!O881</f>
        <v>18.352226460000001</v>
      </c>
      <c r="Q464" s="6">
        <f>[1]Emissions!P881</f>
        <v>18.57515566</v>
      </c>
      <c r="R464" s="6">
        <f>[1]Emissions!Q881</f>
        <v>18.836788030000001</v>
      </c>
      <c r="S464" s="6">
        <f>[1]Emissions!R881</f>
        <v>19.133344829999999</v>
      </c>
      <c r="T464" s="6">
        <f>[1]Emissions!S881</f>
        <v>19.447779740000001</v>
      </c>
      <c r="U464" s="6">
        <f>[1]Emissions!T881</f>
        <v>19.7613597</v>
      </c>
      <c r="V464" s="6">
        <f>[1]Emissions!U881</f>
        <v>20.062195689999999</v>
      </c>
      <c r="W464" s="6">
        <f>[1]Emissions!V881</f>
        <v>20.351252720000002</v>
      </c>
      <c r="X464" s="6">
        <f>[1]Emissions!W881</f>
        <v>20.619464019999999</v>
      </c>
      <c r="Y464" s="6">
        <f>[1]Emissions!X881</f>
        <v>20.891545130000001</v>
      </c>
      <c r="Z464" s="6">
        <f>[1]Emissions!Y881</f>
        <v>21.176937989999999</v>
      </c>
      <c r="AA464" s="6">
        <f>[1]Emissions!Z881</f>
        <v>21.48245301</v>
      </c>
      <c r="AB464" s="6">
        <f>[1]Emissions!AA881</f>
        <v>21.8139015</v>
      </c>
      <c r="AC464" s="6">
        <f>[1]Emissions!AB881</f>
        <v>22.137330460000001</v>
      </c>
      <c r="AD464" s="6">
        <f>[1]Emissions!AC881</f>
        <v>22.467749739999999</v>
      </c>
      <c r="AE464" s="6">
        <f>[1]Emissions!AD881</f>
        <v>22.799924189999999</v>
      </c>
      <c r="AF464" s="6">
        <f>[1]Emissions!AE881</f>
        <v>23.13268102</v>
      </c>
      <c r="AG464" s="6">
        <f>[1]Emissions!AF881</f>
        <v>23.469345109999999</v>
      </c>
      <c r="AH464" s="6">
        <f>[1]Emissions!AG881</f>
        <v>23.81473703</v>
      </c>
      <c r="AI464" s="6">
        <f>[1]Emissions!AH881</f>
        <v>24.172357340000001</v>
      </c>
      <c r="AJ464" s="6">
        <f>[1]Emissions!AI881</f>
        <v>24.54298185</v>
      </c>
      <c r="AK464" s="6">
        <f>[1]Emissions!AJ881</f>
        <v>24.924826660000001</v>
      </c>
      <c r="AL464" s="6">
        <f>[1]Emissions!AK881</f>
        <v>25.3147585</v>
      </c>
    </row>
    <row r="465" spans="2:38" x14ac:dyDescent="0.3">
      <c r="B465" s="6" t="str">
        <f>[1]Emissions!A882</f>
        <v>ems_y_co2_spub_2</v>
      </c>
      <c r="C465" s="6">
        <f>[1]Emissions!B882</f>
        <v>0</v>
      </c>
      <c r="D465" s="6">
        <f>[1]Emissions!C882</f>
        <v>0</v>
      </c>
      <c r="E465" s="6">
        <f>[1]Emissions!D882</f>
        <v>0</v>
      </c>
      <c r="F465" s="6">
        <f>[1]Emissions!E882</f>
        <v>0</v>
      </c>
      <c r="G465" s="6">
        <f>[1]Emissions!F882</f>
        <v>0</v>
      </c>
      <c r="H465" s="6">
        <f>[1]Emissions!G882</f>
        <v>0</v>
      </c>
      <c r="I465" s="6">
        <f>[1]Emissions!H882</f>
        <v>0</v>
      </c>
      <c r="J465" s="6">
        <f>[1]Emissions!I882</f>
        <v>0</v>
      </c>
      <c r="K465" s="6">
        <f>[1]Emissions!J882</f>
        <v>0</v>
      </c>
      <c r="L465" s="6">
        <f>[1]Emissions!K882</f>
        <v>0</v>
      </c>
      <c r="M465" s="6">
        <f>[1]Emissions!L882</f>
        <v>0</v>
      </c>
      <c r="N465" s="6">
        <f>[1]Emissions!M882</f>
        <v>0</v>
      </c>
      <c r="O465" s="6">
        <f>[1]Emissions!N882</f>
        <v>0</v>
      </c>
      <c r="P465" s="6">
        <f>[1]Emissions!O882</f>
        <v>0</v>
      </c>
      <c r="Q465" s="6">
        <f>[1]Emissions!P882</f>
        <v>0</v>
      </c>
      <c r="R465" s="6">
        <f>[1]Emissions!Q882</f>
        <v>0</v>
      </c>
      <c r="S465" s="6">
        <f>[1]Emissions!R882</f>
        <v>0</v>
      </c>
      <c r="T465" s="6">
        <f>[1]Emissions!S882</f>
        <v>0</v>
      </c>
      <c r="U465" s="6">
        <f>[1]Emissions!T882</f>
        <v>0</v>
      </c>
      <c r="V465" s="6">
        <f>[1]Emissions!U882</f>
        <v>0</v>
      </c>
      <c r="W465" s="6">
        <f>[1]Emissions!V882</f>
        <v>0</v>
      </c>
      <c r="X465" s="6">
        <f>[1]Emissions!W882</f>
        <v>0</v>
      </c>
      <c r="Y465" s="6">
        <f>[1]Emissions!X882</f>
        <v>0</v>
      </c>
      <c r="Z465" s="6">
        <f>[1]Emissions!Y882</f>
        <v>0</v>
      </c>
      <c r="AA465" s="6">
        <f>[1]Emissions!Z882</f>
        <v>0</v>
      </c>
      <c r="AB465" s="6">
        <f>[1]Emissions!AA882</f>
        <v>0</v>
      </c>
      <c r="AC465" s="6">
        <f>[1]Emissions!AB882</f>
        <v>0</v>
      </c>
      <c r="AD465" s="6">
        <f>[1]Emissions!AC882</f>
        <v>0</v>
      </c>
      <c r="AE465" s="6">
        <f>[1]Emissions!AD882</f>
        <v>0</v>
      </c>
      <c r="AF465" s="6">
        <f>[1]Emissions!AE882</f>
        <v>0</v>
      </c>
      <c r="AG465" s="6">
        <f>[1]Emissions!AF882</f>
        <v>0</v>
      </c>
      <c r="AH465" s="6">
        <f>[1]Emissions!AG882</f>
        <v>0</v>
      </c>
      <c r="AI465" s="6">
        <f>[1]Emissions!AH882</f>
        <v>0</v>
      </c>
      <c r="AJ465" s="6">
        <f>[1]Emissions!AI882</f>
        <v>0</v>
      </c>
      <c r="AK465" s="6">
        <f>[1]Emissions!AJ882</f>
        <v>0</v>
      </c>
      <c r="AL465" s="6">
        <f>[1]Emissions!AK882</f>
        <v>0</v>
      </c>
    </row>
    <row r="466" spans="2:38" x14ac:dyDescent="0.3">
      <c r="B466" s="6" t="str">
        <f>[1]Emissions!A883</f>
        <v>ems_mat_co2_spub_2</v>
      </c>
      <c r="C466" s="6">
        <f>[1]Emissions!B883</f>
        <v>9.732131034</v>
      </c>
      <c r="D466" s="6">
        <f>[1]Emissions!C883</f>
        <v>9.8367873820000007</v>
      </c>
      <c r="E466" s="6">
        <f>[1]Emissions!D883</f>
        <v>9.9649042879999996</v>
      </c>
      <c r="F466" s="6">
        <f>[1]Emissions!E883</f>
        <v>10.11825962</v>
      </c>
      <c r="G466" s="6">
        <f>[1]Emissions!F883</f>
        <v>10.284865140000001</v>
      </c>
      <c r="H466" s="6">
        <f>[1]Emissions!G883</f>
        <v>10.45755479</v>
      </c>
      <c r="I466" s="6">
        <f>[1]Emissions!H883</f>
        <v>10.63625783</v>
      </c>
      <c r="J466" s="6">
        <f>[1]Emissions!I883</f>
        <v>10.797709230000001</v>
      </c>
      <c r="K466" s="6">
        <f>[1]Emissions!J883</f>
        <v>10.950766270000001</v>
      </c>
      <c r="L466" s="6">
        <f>[1]Emissions!K883</f>
        <v>11.10766155</v>
      </c>
      <c r="M466" s="6">
        <f>[1]Emissions!L883</f>
        <v>11.273972130000001</v>
      </c>
      <c r="N466" s="6">
        <f>[1]Emissions!M883</f>
        <v>11.46671171</v>
      </c>
      <c r="O466" s="6">
        <f>[1]Emissions!N883</f>
        <v>11.665902519999999</v>
      </c>
      <c r="P466" s="6">
        <f>[1]Emissions!O883</f>
        <v>11.867709189999999</v>
      </c>
      <c r="Q466" s="6">
        <f>[1]Emissions!P883</f>
        <v>12.06961755</v>
      </c>
      <c r="R466" s="6">
        <f>[1]Emissions!Q883</f>
        <v>12.27040914</v>
      </c>
      <c r="S466" s="6">
        <f>[1]Emissions!R883</f>
        <v>12.47049584</v>
      </c>
      <c r="T466" s="6">
        <f>[1]Emissions!S883</f>
        <v>12.67142765</v>
      </c>
      <c r="U466" s="6">
        <f>[1]Emissions!T883</f>
        <v>12.87502565</v>
      </c>
      <c r="V466" s="6">
        <f>[1]Emissions!U883</f>
        <v>13.08264406</v>
      </c>
      <c r="W466" s="6">
        <f>[1]Emissions!V883</f>
        <v>13.29508689</v>
      </c>
      <c r="X466" s="6">
        <f>[1]Emissions!W883</f>
        <v>13.50407227</v>
      </c>
      <c r="Y466" s="6">
        <f>[1]Emissions!X883</f>
        <v>13.720022670000001</v>
      </c>
      <c r="Z466" s="6">
        <f>[1]Emissions!Y883</f>
        <v>13.941536299999999</v>
      </c>
      <c r="AA466" s="6">
        <f>[1]Emissions!Z883</f>
        <v>14.167001839999999</v>
      </c>
      <c r="AB466" s="6">
        <f>[1]Emissions!AA883</f>
        <v>14.39370418</v>
      </c>
      <c r="AC466" s="6">
        <f>[1]Emissions!AB883</f>
        <v>14.60381469</v>
      </c>
      <c r="AD466" s="6">
        <f>[1]Emissions!AC883</f>
        <v>14.81618989</v>
      </c>
      <c r="AE466" s="6">
        <f>[1]Emissions!AD883</f>
        <v>15.032885439999999</v>
      </c>
      <c r="AF466" s="6">
        <f>[1]Emissions!AE883</f>
        <v>15.253936449999999</v>
      </c>
      <c r="AG466" s="6">
        <f>[1]Emissions!AF883</f>
        <v>15.47896164</v>
      </c>
      <c r="AH466" s="6">
        <f>[1]Emissions!AG883</f>
        <v>15.707489239999999</v>
      </c>
      <c r="AI466" s="6">
        <f>[1]Emissions!AH883</f>
        <v>15.93916274</v>
      </c>
      <c r="AJ466" s="6">
        <f>[1]Emissions!AI883</f>
        <v>16.173854339999998</v>
      </c>
      <c r="AK466" s="6">
        <f>[1]Emissions!AJ883</f>
        <v>16.411662310000001</v>
      </c>
      <c r="AL466" s="6">
        <f>[1]Emissions!AK883</f>
        <v>16.652819319999999</v>
      </c>
    </row>
    <row r="467" spans="2:38" x14ac:dyDescent="0.3">
      <c r="B467" s="6" t="str">
        <f>[1]Emissions!A884</f>
        <v>ems_ci_co2_smin_2</v>
      </c>
      <c r="C467" s="6">
        <f>[1]Emissions!B884</f>
        <v>1.7685137790000001</v>
      </c>
      <c r="D467" s="6">
        <f>[1]Emissions!C884</f>
        <v>1.963078672</v>
      </c>
      <c r="E467" s="6">
        <f>[1]Emissions!D884</f>
        <v>2.152864154</v>
      </c>
      <c r="F467" s="6">
        <f>[1]Emissions!E884</f>
        <v>2.3122788519999999</v>
      </c>
      <c r="G467" s="6">
        <f>[1]Emissions!F884</f>
        <v>2.4450423940000001</v>
      </c>
      <c r="H467" s="6">
        <f>[1]Emissions!G884</f>
        <v>2.5590725509999999</v>
      </c>
      <c r="I467" s="6">
        <f>[1]Emissions!H884</f>
        <v>2.6562811270000002</v>
      </c>
      <c r="J467" s="6">
        <f>[1]Emissions!I884</f>
        <v>2.7421690939999999</v>
      </c>
      <c r="K467" s="6">
        <f>[1]Emissions!J884</f>
        <v>2.8186306299999999</v>
      </c>
      <c r="L467" s="6">
        <f>[1]Emissions!K884</f>
        <v>2.8860528109999999</v>
      </c>
      <c r="M467" s="6">
        <f>[1]Emissions!L884</f>
        <v>2.9593889579999999</v>
      </c>
      <c r="N467" s="6">
        <f>[1]Emissions!M884</f>
        <v>3.0123498139999998</v>
      </c>
      <c r="O467" s="6">
        <f>[1]Emissions!N884</f>
        <v>3.0632432110000001</v>
      </c>
      <c r="P467" s="6">
        <f>[1]Emissions!O884</f>
        <v>3.1156390869999999</v>
      </c>
      <c r="Q467" s="6">
        <f>[1]Emissions!P884</f>
        <v>3.1692129769999999</v>
      </c>
      <c r="R467" s="6">
        <f>[1]Emissions!Q884</f>
        <v>3.2230403339999998</v>
      </c>
      <c r="S467" s="6">
        <f>[1]Emissions!R884</f>
        <v>3.276364858</v>
      </c>
      <c r="T467" s="6">
        <f>[1]Emissions!S884</f>
        <v>3.3289042910000002</v>
      </c>
      <c r="U467" s="6">
        <f>[1]Emissions!T884</f>
        <v>3.380880543</v>
      </c>
      <c r="V467" s="6">
        <f>[1]Emissions!U884</f>
        <v>3.4328609229999998</v>
      </c>
      <c r="W467" s="6">
        <f>[1]Emissions!V884</f>
        <v>3.4759775319999999</v>
      </c>
      <c r="X467" s="6">
        <f>[1]Emissions!W884</f>
        <v>3.5315469230000001</v>
      </c>
      <c r="Y467" s="6">
        <f>[1]Emissions!X884</f>
        <v>3.58930353</v>
      </c>
      <c r="Z467" s="6">
        <f>[1]Emissions!Y884</f>
        <v>3.6474582409999998</v>
      </c>
      <c r="AA467" s="6">
        <f>[1]Emissions!Z884</f>
        <v>3.7062243110000002</v>
      </c>
      <c r="AB467" s="6">
        <f>[1]Emissions!AA884</f>
        <v>3.7375887470000002</v>
      </c>
      <c r="AC467" s="6">
        <f>[1]Emissions!AB884</f>
        <v>3.791254833</v>
      </c>
      <c r="AD467" s="6">
        <f>[1]Emissions!AC884</f>
        <v>3.8492392770000001</v>
      </c>
      <c r="AE467" s="6">
        <f>[1]Emissions!AD884</f>
        <v>3.907042744</v>
      </c>
      <c r="AF467" s="6">
        <f>[1]Emissions!AE884</f>
        <v>3.9645110250000002</v>
      </c>
      <c r="AG467" s="6">
        <f>[1]Emissions!AF884</f>
        <v>4.0221269939999997</v>
      </c>
      <c r="AH467" s="6">
        <f>[1]Emissions!AG884</f>
        <v>4.0802158510000002</v>
      </c>
      <c r="AI467" s="6">
        <f>[1]Emissions!AH884</f>
        <v>4.1388917779999996</v>
      </c>
      <c r="AJ467" s="6">
        <f>[1]Emissions!AI884</f>
        <v>4.198146403</v>
      </c>
      <c r="AK467" s="6">
        <f>[1]Emissions!AJ884</f>
        <v>4.2579406669999997</v>
      </c>
      <c r="AL467" s="6">
        <f>[1]Emissions!AK884</f>
        <v>4.3182663410000002</v>
      </c>
    </row>
    <row r="468" spans="2:38" x14ac:dyDescent="0.3">
      <c r="B468" s="6" t="str">
        <f>[1]Emissions!A885</f>
        <v>ems_y_co2_smin_2</v>
      </c>
      <c r="C468" s="6">
        <f>[1]Emissions!B885</f>
        <v>0</v>
      </c>
      <c r="D468" s="6">
        <f>[1]Emissions!C885</f>
        <v>0</v>
      </c>
      <c r="E468" s="6">
        <f>[1]Emissions!D885</f>
        <v>0</v>
      </c>
      <c r="F468" s="6">
        <f>[1]Emissions!E885</f>
        <v>0</v>
      </c>
      <c r="G468" s="6">
        <f>[1]Emissions!F885</f>
        <v>0</v>
      </c>
      <c r="H468" s="6">
        <f>[1]Emissions!G885</f>
        <v>0</v>
      </c>
      <c r="I468" s="6">
        <f>[1]Emissions!H885</f>
        <v>0</v>
      </c>
      <c r="J468" s="6">
        <f>[1]Emissions!I885</f>
        <v>0</v>
      </c>
      <c r="K468" s="6">
        <f>[1]Emissions!J885</f>
        <v>0</v>
      </c>
      <c r="L468" s="6">
        <f>[1]Emissions!K885</f>
        <v>0</v>
      </c>
      <c r="M468" s="6">
        <f>[1]Emissions!L885</f>
        <v>0</v>
      </c>
      <c r="N468" s="6">
        <f>[1]Emissions!M885</f>
        <v>0</v>
      </c>
      <c r="O468" s="6">
        <f>[1]Emissions!N885</f>
        <v>0</v>
      </c>
      <c r="P468" s="6">
        <f>[1]Emissions!O885</f>
        <v>0</v>
      </c>
      <c r="Q468" s="6">
        <f>[1]Emissions!P885</f>
        <v>0</v>
      </c>
      <c r="R468" s="6">
        <f>[1]Emissions!Q885</f>
        <v>0</v>
      </c>
      <c r="S468" s="6">
        <f>[1]Emissions!R885</f>
        <v>0</v>
      </c>
      <c r="T468" s="6">
        <f>[1]Emissions!S885</f>
        <v>0</v>
      </c>
      <c r="U468" s="6">
        <f>[1]Emissions!T885</f>
        <v>0</v>
      </c>
      <c r="V468" s="6">
        <f>[1]Emissions!U885</f>
        <v>0</v>
      </c>
      <c r="W468" s="6">
        <f>[1]Emissions!V885</f>
        <v>0</v>
      </c>
      <c r="X468" s="6">
        <f>[1]Emissions!W885</f>
        <v>0</v>
      </c>
      <c r="Y468" s="6">
        <f>[1]Emissions!X885</f>
        <v>0</v>
      </c>
      <c r="Z468" s="6">
        <f>[1]Emissions!Y885</f>
        <v>0</v>
      </c>
      <c r="AA468" s="6">
        <f>[1]Emissions!Z885</f>
        <v>0</v>
      </c>
      <c r="AB468" s="6">
        <f>[1]Emissions!AA885</f>
        <v>0</v>
      </c>
      <c r="AC468" s="6">
        <f>[1]Emissions!AB885</f>
        <v>0</v>
      </c>
      <c r="AD468" s="6">
        <f>[1]Emissions!AC885</f>
        <v>0</v>
      </c>
      <c r="AE468" s="6">
        <f>[1]Emissions!AD885</f>
        <v>0</v>
      </c>
      <c r="AF468" s="6">
        <f>[1]Emissions!AE885</f>
        <v>0</v>
      </c>
      <c r="AG468" s="6">
        <f>[1]Emissions!AF885</f>
        <v>0</v>
      </c>
      <c r="AH468" s="6">
        <f>[1]Emissions!AG885</f>
        <v>0</v>
      </c>
      <c r="AI468" s="6">
        <f>[1]Emissions!AH885</f>
        <v>0</v>
      </c>
      <c r="AJ468" s="6">
        <f>[1]Emissions!AI885</f>
        <v>0</v>
      </c>
      <c r="AK468" s="6">
        <f>[1]Emissions!AJ885</f>
        <v>0</v>
      </c>
      <c r="AL468" s="6">
        <f>[1]Emissions!AK885</f>
        <v>0</v>
      </c>
    </row>
    <row r="469" spans="2:38" x14ac:dyDescent="0.3">
      <c r="B469" s="6" t="str">
        <f>[1]Emissions!A886</f>
        <v>ems_mat_co2_smin_2</v>
      </c>
      <c r="C469" s="6">
        <f>[1]Emissions!B886</f>
        <v>9.7379179600000004E-2</v>
      </c>
      <c r="D469" s="6">
        <f>[1]Emissions!C886</f>
        <v>0.1082170398</v>
      </c>
      <c r="E469" s="6">
        <f>[1]Emissions!D886</f>
        <v>0.1188828884</v>
      </c>
      <c r="F469" s="6">
        <f>[1]Emissions!E886</f>
        <v>0.1279021337</v>
      </c>
      <c r="G469" s="6">
        <f>[1]Emissions!F886</f>
        <v>0.13540989589999999</v>
      </c>
      <c r="H469" s="6">
        <f>[1]Emissions!G886</f>
        <v>0.1417936011</v>
      </c>
      <c r="I469" s="6">
        <f>[1]Emissions!H886</f>
        <v>0.14713376119999999</v>
      </c>
      <c r="J469" s="6">
        <f>[1]Emissions!I886</f>
        <v>0.15148021589999999</v>
      </c>
      <c r="K469" s="6">
        <f>[1]Emissions!J886</f>
        <v>0.1550922304</v>
      </c>
      <c r="L469" s="6">
        <f>[1]Emissions!K886</f>
        <v>0.15822722780000001</v>
      </c>
      <c r="M469" s="6">
        <f>[1]Emissions!L886</f>
        <v>0.16188047380000001</v>
      </c>
      <c r="N469" s="6">
        <f>[1]Emissions!M886</f>
        <v>0.16463858279999999</v>
      </c>
      <c r="O469" s="6">
        <f>[1]Emissions!N886</f>
        <v>0.16744725420000001</v>
      </c>
      <c r="P469" s="6">
        <f>[1]Emissions!O886</f>
        <v>0.17040833399999999</v>
      </c>
      <c r="Q469" s="6">
        <f>[1]Emissions!P886</f>
        <v>0.17342366200000001</v>
      </c>
      <c r="R469" s="6">
        <f>[1]Emissions!Q886</f>
        <v>0.17640086790000001</v>
      </c>
      <c r="S469" s="6">
        <f>[1]Emissions!R886</f>
        <v>0.17929754740000001</v>
      </c>
      <c r="T469" s="6">
        <f>[1]Emissions!S886</f>
        <v>0.1821238822</v>
      </c>
      <c r="U469" s="6">
        <f>[1]Emissions!T886</f>
        <v>0.1849242609</v>
      </c>
      <c r="V469" s="6">
        <f>[1]Emissions!U886</f>
        <v>0.18775233769999999</v>
      </c>
      <c r="W469" s="6">
        <f>[1]Emissions!V886</f>
        <v>0.19012513589999999</v>
      </c>
      <c r="X469" s="6">
        <f>[1]Emissions!W886</f>
        <v>0.19320442530000001</v>
      </c>
      <c r="Y469" s="6">
        <f>[1]Emissions!X886</f>
        <v>0.19641539699999999</v>
      </c>
      <c r="Z469" s="6">
        <f>[1]Emissions!Y886</f>
        <v>0.19964185139999999</v>
      </c>
      <c r="AA469" s="6">
        <f>[1]Emissions!Z886</f>
        <v>0.2028804082</v>
      </c>
      <c r="AB469" s="6">
        <f>[1]Emissions!AA886</f>
        <v>0.20458212179999999</v>
      </c>
      <c r="AC469" s="6">
        <f>[1]Emissions!AB886</f>
        <v>0.20748009319999999</v>
      </c>
      <c r="AD469" s="6">
        <f>[1]Emissions!AC886</f>
        <v>0.21061216429999999</v>
      </c>
      <c r="AE469" s="6">
        <f>[1]Emissions!AD886</f>
        <v>0.2137471272</v>
      </c>
      <c r="AF469" s="6">
        <f>[1]Emissions!AE886</f>
        <v>0.21688012609999999</v>
      </c>
      <c r="AG469" s="6">
        <f>[1]Emissions!AF886</f>
        <v>0.2200321985</v>
      </c>
      <c r="AH469" s="6">
        <f>[1]Emissions!AG886</f>
        <v>0.2232122322</v>
      </c>
      <c r="AI469" s="6">
        <f>[1]Emissions!AH886</f>
        <v>0.2264192585</v>
      </c>
      <c r="AJ469" s="6">
        <f>[1]Emissions!AI886</f>
        <v>0.22965019819999999</v>
      </c>
      <c r="AK469" s="6">
        <f>[1]Emissions!AJ886</f>
        <v>0.2329049718</v>
      </c>
      <c r="AL469" s="6">
        <f>[1]Emissions!AK886</f>
        <v>0.2361879053</v>
      </c>
    </row>
    <row r="470" spans="2:38" x14ac:dyDescent="0.3">
      <c r="B470" s="6" t="str">
        <f>[1]Emissions!A887</f>
        <v>ems_ci_co2_soil_2</v>
      </c>
      <c r="C470" s="6">
        <f>[1]Emissions!B887</f>
        <v>16.642009689999998</v>
      </c>
      <c r="D470" s="6">
        <f>[1]Emissions!C887</f>
        <v>16.866363700000001</v>
      </c>
      <c r="E470" s="6">
        <f>[1]Emissions!D887</f>
        <v>17.061879569999999</v>
      </c>
      <c r="F470" s="6">
        <f>[1]Emissions!E887</f>
        <v>17.250452920000001</v>
      </c>
      <c r="G470" s="6">
        <f>[1]Emissions!F887</f>
        <v>17.446429989999999</v>
      </c>
      <c r="H470" s="6">
        <f>[1]Emissions!G887</f>
        <v>17.655243970000001</v>
      </c>
      <c r="I470" s="6">
        <f>[1]Emissions!H887</f>
        <v>17.889876099999999</v>
      </c>
      <c r="J470" s="6">
        <f>[1]Emissions!I887</f>
        <v>18.135257889999998</v>
      </c>
      <c r="K470" s="6">
        <f>[1]Emissions!J887</f>
        <v>18.39132833</v>
      </c>
      <c r="L470" s="6">
        <f>[1]Emissions!K887</f>
        <v>18.644640290000002</v>
      </c>
      <c r="M470" s="6">
        <f>[1]Emissions!L887</f>
        <v>18.902260259999998</v>
      </c>
      <c r="N470" s="6">
        <f>[1]Emissions!M887</f>
        <v>19.129771340000001</v>
      </c>
      <c r="O470" s="6">
        <f>[1]Emissions!N887</f>
        <v>19.34483848</v>
      </c>
      <c r="P470" s="6">
        <f>[1]Emissions!O887</f>
        <v>19.555938579999999</v>
      </c>
      <c r="Q470" s="6">
        <f>[1]Emissions!P887</f>
        <v>19.768146909999999</v>
      </c>
      <c r="R470" s="6">
        <f>[1]Emissions!Q887</f>
        <v>19.983505560000001</v>
      </c>
      <c r="S470" s="6">
        <f>[1]Emissions!R887</f>
        <v>20.201574350000001</v>
      </c>
      <c r="T470" s="6">
        <f>[1]Emissions!S887</f>
        <v>20.420622989999998</v>
      </c>
      <c r="U470" s="6">
        <f>[1]Emissions!T887</f>
        <v>20.63886076</v>
      </c>
      <c r="V470" s="6">
        <f>[1]Emissions!U887</f>
        <v>20.855277319999999</v>
      </c>
      <c r="W470" s="6">
        <f>[1]Emissions!V887</f>
        <v>21.05618394</v>
      </c>
      <c r="X470" s="6">
        <f>[1]Emissions!W887</f>
        <v>21.267187010000001</v>
      </c>
      <c r="Y470" s="6">
        <f>[1]Emissions!X887</f>
        <v>21.47988131</v>
      </c>
      <c r="Z470" s="6">
        <f>[1]Emissions!Y887</f>
        <v>21.693625359999999</v>
      </c>
      <c r="AA470" s="6">
        <f>[1]Emissions!Z887</f>
        <v>21.908967560000001</v>
      </c>
      <c r="AB470" s="6">
        <f>[1]Emissions!AA887</f>
        <v>22.08537368</v>
      </c>
      <c r="AC470" s="6">
        <f>[1]Emissions!AB887</f>
        <v>22.278144000000001</v>
      </c>
      <c r="AD470" s="6">
        <f>[1]Emissions!AC887</f>
        <v>22.472154669999998</v>
      </c>
      <c r="AE470" s="6">
        <f>[1]Emissions!AD887</f>
        <v>22.663711500000002</v>
      </c>
      <c r="AF470" s="6">
        <f>[1]Emissions!AE887</f>
        <v>22.852382349999999</v>
      </c>
      <c r="AG470" s="6">
        <f>[1]Emissions!AF887</f>
        <v>23.03869486</v>
      </c>
      <c r="AH470" s="6">
        <f>[1]Emissions!AG887</f>
        <v>23.22334103</v>
      </c>
      <c r="AI470" s="6">
        <f>[1]Emissions!AH887</f>
        <v>23.406819280000001</v>
      </c>
      <c r="AJ470" s="6">
        <f>[1]Emissions!AI887</f>
        <v>23.589297739999999</v>
      </c>
      <c r="AK470" s="6">
        <f>[1]Emissions!AJ887</f>
        <v>23.770652389999999</v>
      </c>
      <c r="AL470" s="6">
        <f>[1]Emissions!AK887</f>
        <v>23.950618089999999</v>
      </c>
    </row>
    <row r="471" spans="2:38" x14ac:dyDescent="0.3">
      <c r="B471" s="6" t="str">
        <f>[1]Emissions!A888</f>
        <v>ems_y_co2_soil_2</v>
      </c>
      <c r="C471" s="6">
        <f>[1]Emissions!B888</f>
        <v>0</v>
      </c>
      <c r="D471" s="6">
        <f>[1]Emissions!C888</f>
        <v>0</v>
      </c>
      <c r="E471" s="6">
        <f>[1]Emissions!D888</f>
        <v>0</v>
      </c>
      <c r="F471" s="6">
        <f>[1]Emissions!E888</f>
        <v>0</v>
      </c>
      <c r="G471" s="6">
        <f>[1]Emissions!F888</f>
        <v>0</v>
      </c>
      <c r="H471" s="6">
        <f>[1]Emissions!G888</f>
        <v>0</v>
      </c>
      <c r="I471" s="6">
        <f>[1]Emissions!H888</f>
        <v>0</v>
      </c>
      <c r="J471" s="6">
        <f>[1]Emissions!I888</f>
        <v>0</v>
      </c>
      <c r="K471" s="6">
        <f>[1]Emissions!J888</f>
        <v>0</v>
      </c>
      <c r="L471" s="6">
        <f>[1]Emissions!K888</f>
        <v>0</v>
      </c>
      <c r="M471" s="6">
        <f>[1]Emissions!L888</f>
        <v>0</v>
      </c>
      <c r="N471" s="6">
        <f>[1]Emissions!M888</f>
        <v>0</v>
      </c>
      <c r="O471" s="6">
        <f>[1]Emissions!N888</f>
        <v>0</v>
      </c>
      <c r="P471" s="6">
        <f>[1]Emissions!O888</f>
        <v>0</v>
      </c>
      <c r="Q471" s="6">
        <f>[1]Emissions!P888</f>
        <v>0</v>
      </c>
      <c r="R471" s="6">
        <f>[1]Emissions!Q888</f>
        <v>0</v>
      </c>
      <c r="S471" s="6">
        <f>[1]Emissions!R888</f>
        <v>0</v>
      </c>
      <c r="T471" s="6">
        <f>[1]Emissions!S888</f>
        <v>0</v>
      </c>
      <c r="U471" s="6">
        <f>[1]Emissions!T888</f>
        <v>0</v>
      </c>
      <c r="V471" s="6">
        <f>[1]Emissions!U888</f>
        <v>0</v>
      </c>
      <c r="W471" s="6">
        <f>[1]Emissions!V888</f>
        <v>0</v>
      </c>
      <c r="X471" s="6">
        <f>[1]Emissions!W888</f>
        <v>0</v>
      </c>
      <c r="Y471" s="6">
        <f>[1]Emissions!X888</f>
        <v>0</v>
      </c>
      <c r="Z471" s="6">
        <f>[1]Emissions!Y888</f>
        <v>0</v>
      </c>
      <c r="AA471" s="6">
        <f>[1]Emissions!Z888</f>
        <v>0</v>
      </c>
      <c r="AB471" s="6">
        <f>[1]Emissions!AA888</f>
        <v>0</v>
      </c>
      <c r="AC471" s="6">
        <f>[1]Emissions!AB888</f>
        <v>0</v>
      </c>
      <c r="AD471" s="6">
        <f>[1]Emissions!AC888</f>
        <v>0</v>
      </c>
      <c r="AE471" s="6">
        <f>[1]Emissions!AD888</f>
        <v>0</v>
      </c>
      <c r="AF471" s="6">
        <f>[1]Emissions!AE888</f>
        <v>0</v>
      </c>
      <c r="AG471" s="6">
        <f>[1]Emissions!AF888</f>
        <v>0</v>
      </c>
      <c r="AH471" s="6">
        <f>[1]Emissions!AG888</f>
        <v>0</v>
      </c>
      <c r="AI471" s="6">
        <f>[1]Emissions!AH888</f>
        <v>0</v>
      </c>
      <c r="AJ471" s="6">
        <f>[1]Emissions!AI888</f>
        <v>0</v>
      </c>
      <c r="AK471" s="6">
        <f>[1]Emissions!AJ888</f>
        <v>0</v>
      </c>
      <c r="AL471" s="6">
        <f>[1]Emissions!AK888</f>
        <v>0</v>
      </c>
    </row>
    <row r="472" spans="2:38" x14ac:dyDescent="0.3">
      <c r="B472" s="6" t="str">
        <f>[1]Emissions!A889</f>
        <v>ems_mat_co2_soil_2</v>
      </c>
      <c r="C472" s="6">
        <f>[1]Emissions!B889</f>
        <v>4.7903270979999997</v>
      </c>
      <c r="D472" s="6">
        <f>[1]Emissions!C889</f>
        <v>4.8548669809999998</v>
      </c>
      <c r="E472" s="6">
        <f>[1]Emissions!D889</f>
        <v>4.9110569689999997</v>
      </c>
      <c r="F472" s="6">
        <f>[1]Emissions!E889</f>
        <v>4.9652053</v>
      </c>
      <c r="G472" s="6">
        <f>[1]Emissions!F889</f>
        <v>5.0214607490000001</v>
      </c>
      <c r="H472" s="6">
        <f>[1]Emissions!G889</f>
        <v>5.0814106939999997</v>
      </c>
      <c r="I472" s="6">
        <f>[1]Emissions!H889</f>
        <v>5.1488189489999998</v>
      </c>
      <c r="J472" s="6">
        <f>[1]Emissions!I889</f>
        <v>5.2194190689999997</v>
      </c>
      <c r="K472" s="6">
        <f>[1]Emissions!J889</f>
        <v>5.2932116090000001</v>
      </c>
      <c r="L472" s="6">
        <f>[1]Emissions!K889</f>
        <v>5.366293239</v>
      </c>
      <c r="M472" s="6">
        <f>[1]Emissions!L889</f>
        <v>5.4406395300000003</v>
      </c>
      <c r="N472" s="6">
        <f>[1]Emissions!M889</f>
        <v>5.5062974770000004</v>
      </c>
      <c r="O472" s="6">
        <f>[1]Emissions!N889</f>
        <v>5.5683284000000004</v>
      </c>
      <c r="P472" s="6">
        <f>[1]Emissions!O889</f>
        <v>5.6291740370000003</v>
      </c>
      <c r="Q472" s="6">
        <f>[1]Emissions!P889</f>
        <v>5.6903122460000004</v>
      </c>
      <c r="R472" s="6">
        <f>[1]Emissions!Q889</f>
        <v>5.7523509769999999</v>
      </c>
      <c r="S472" s="6">
        <f>[1]Emissions!R889</f>
        <v>5.8151777420000004</v>
      </c>
      <c r="T472" s="6">
        <f>[1]Emissions!S889</f>
        <v>5.8782990469999996</v>
      </c>
      <c r="U472" s="6">
        <f>[1]Emissions!T889</f>
        <v>5.9411956080000001</v>
      </c>
      <c r="V472" s="6">
        <f>[1]Emissions!U889</f>
        <v>6.0035685680000004</v>
      </c>
      <c r="W472" s="6">
        <f>[1]Emissions!V889</f>
        <v>6.0614701679999996</v>
      </c>
      <c r="X472" s="6">
        <f>[1]Emissions!W889</f>
        <v>6.1222667020000001</v>
      </c>
      <c r="Y472" s="6">
        <f>[1]Emissions!X889</f>
        <v>6.1835373269999998</v>
      </c>
      <c r="Z472" s="6">
        <f>[1]Emissions!Y889</f>
        <v>6.2450996959999996</v>
      </c>
      <c r="AA472" s="6">
        <f>[1]Emissions!Z889</f>
        <v>6.3071162740000002</v>
      </c>
      <c r="AB472" s="6">
        <f>[1]Emissions!AA889</f>
        <v>6.3579239479999998</v>
      </c>
      <c r="AC472" s="6">
        <f>[1]Emissions!AB889</f>
        <v>6.4134453440000003</v>
      </c>
      <c r="AD472" s="6">
        <f>[1]Emissions!AC889</f>
        <v>6.4693253899999998</v>
      </c>
      <c r="AE472" s="6">
        <f>[1]Emissions!AD889</f>
        <v>6.5244970430000002</v>
      </c>
      <c r="AF472" s="6">
        <f>[1]Emissions!AE889</f>
        <v>6.578832824</v>
      </c>
      <c r="AG472" s="6">
        <f>[1]Emissions!AF889</f>
        <v>6.632483562</v>
      </c>
      <c r="AH472" s="6">
        <f>[1]Emissions!AG889</f>
        <v>6.6856495139999996</v>
      </c>
      <c r="AI472" s="6">
        <f>[1]Emissions!AH889</f>
        <v>6.7384764559999999</v>
      </c>
      <c r="AJ472" s="6">
        <f>[1]Emissions!AI889</f>
        <v>6.7910151570000004</v>
      </c>
      <c r="AK472" s="6">
        <f>[1]Emissions!AJ889</f>
        <v>6.8432314659999998</v>
      </c>
      <c r="AL472" s="6">
        <f>[1]Emissions!AK889</f>
        <v>6.8950494649999996</v>
      </c>
    </row>
    <row r="473" spans="2:38" x14ac:dyDescent="0.3">
      <c r="B473" s="6" t="str">
        <f>[1]Emissions!A890</f>
        <v>ems_ci_co2_sbfu_2</v>
      </c>
      <c r="C473" s="6">
        <f>[1]Emissions!B890</f>
        <v>3.9559802529999999</v>
      </c>
      <c r="D473" s="6">
        <f>[1]Emissions!C890</f>
        <v>4.0470272490000001</v>
      </c>
      <c r="E473" s="6">
        <f>[1]Emissions!D890</f>
        <v>4.1283444530000004</v>
      </c>
      <c r="F473" s="6">
        <f>[1]Emissions!E890</f>
        <v>4.202279903</v>
      </c>
      <c r="G473" s="6">
        <f>[1]Emissions!F890</f>
        <v>4.2728948469999999</v>
      </c>
      <c r="H473" s="6">
        <f>[1]Emissions!G890</f>
        <v>4.3421467309999997</v>
      </c>
      <c r="I473" s="6">
        <f>[1]Emissions!H890</f>
        <v>4.4133102510000004</v>
      </c>
      <c r="J473" s="6">
        <f>[1]Emissions!I890</f>
        <v>4.4827496140000003</v>
      </c>
      <c r="K473" s="6">
        <f>[1]Emissions!J890</f>
        <v>4.5516782869999997</v>
      </c>
      <c r="L473" s="6">
        <f>[1]Emissions!K890</f>
        <v>4.618586949</v>
      </c>
      <c r="M473" s="6">
        <f>[1]Emissions!L890</f>
        <v>4.6867798780000003</v>
      </c>
      <c r="N473" s="6">
        <f>[1]Emissions!M890</f>
        <v>4.7480403280000001</v>
      </c>
      <c r="O473" s="6">
        <f>[1]Emissions!N890</f>
        <v>4.8066922109999997</v>
      </c>
      <c r="P473" s="6">
        <f>[1]Emissions!O890</f>
        <v>4.864287032</v>
      </c>
      <c r="Q473" s="6">
        <f>[1]Emissions!P890</f>
        <v>4.9215690600000004</v>
      </c>
      <c r="R473" s="6">
        <f>[1]Emissions!Q890</f>
        <v>4.9787856120000002</v>
      </c>
      <c r="S473" s="6">
        <f>[1]Emissions!R890</f>
        <v>5.0358380389999997</v>
      </c>
      <c r="T473" s="6">
        <f>[1]Emissions!S890</f>
        <v>5.0924803440000002</v>
      </c>
      <c r="U473" s="6">
        <f>[1]Emissions!T890</f>
        <v>5.1484931310000004</v>
      </c>
      <c r="V473" s="6">
        <f>[1]Emissions!U890</f>
        <v>5.2037873039999996</v>
      </c>
      <c r="W473" s="6">
        <f>[1]Emissions!V890</f>
        <v>5.2549833120000002</v>
      </c>
      <c r="X473" s="6">
        <f>[1]Emissions!W890</f>
        <v>5.3085142239999996</v>
      </c>
      <c r="Y473" s="6">
        <f>[1]Emissions!X890</f>
        <v>5.3621047930000003</v>
      </c>
      <c r="Z473" s="6">
        <f>[1]Emissions!Y890</f>
        <v>5.4155074839999999</v>
      </c>
      <c r="AA473" s="6">
        <f>[1]Emissions!Z890</f>
        <v>5.4687968160000002</v>
      </c>
      <c r="AB473" s="6">
        <f>[1]Emissions!AA890</f>
        <v>5.5118531209999997</v>
      </c>
      <c r="AC473" s="6">
        <f>[1]Emissions!AB890</f>
        <v>5.5586526269999998</v>
      </c>
      <c r="AD473" s="6">
        <f>[1]Emissions!AC890</f>
        <v>5.6054334800000003</v>
      </c>
      <c r="AE473" s="6">
        <f>[1]Emissions!AD890</f>
        <v>5.6513906760000001</v>
      </c>
      <c r="AF473" s="6">
        <f>[1]Emissions!AE890</f>
        <v>5.6964630669999998</v>
      </c>
      <c r="AG473" s="6">
        <f>[1]Emissions!AF890</f>
        <v>5.7407637410000003</v>
      </c>
      <c r="AH473" s="6">
        <f>[1]Emissions!AG890</f>
        <v>5.7844178929999996</v>
      </c>
      <c r="AI473" s="6">
        <f>[1]Emissions!AH890</f>
        <v>5.8275082290000002</v>
      </c>
      <c r="AJ473" s="6">
        <f>[1]Emissions!AI890</f>
        <v>5.8700604219999999</v>
      </c>
      <c r="AK473" s="6">
        <f>[1]Emissions!AJ890</f>
        <v>5.9120541639999997</v>
      </c>
      <c r="AL473" s="6">
        <f>[1]Emissions!AK890</f>
        <v>5.9534494889999996</v>
      </c>
    </row>
    <row r="474" spans="2:38" x14ac:dyDescent="0.3">
      <c r="B474" s="6" t="str">
        <f>[1]Emissions!A891</f>
        <v>ems_y_co2_sbfu_2</v>
      </c>
      <c r="C474" s="6">
        <f>[1]Emissions!B891</f>
        <v>0</v>
      </c>
      <c r="D474" s="6">
        <f>[1]Emissions!C891</f>
        <v>0</v>
      </c>
      <c r="E474" s="6">
        <f>[1]Emissions!D891</f>
        <v>0</v>
      </c>
      <c r="F474" s="6">
        <f>[1]Emissions!E891</f>
        <v>0</v>
      </c>
      <c r="G474" s="6">
        <f>[1]Emissions!F891</f>
        <v>0</v>
      </c>
      <c r="H474" s="6">
        <f>[1]Emissions!G891</f>
        <v>0</v>
      </c>
      <c r="I474" s="6">
        <f>[1]Emissions!H891</f>
        <v>0</v>
      </c>
      <c r="J474" s="6">
        <f>[1]Emissions!I891</f>
        <v>0</v>
      </c>
      <c r="K474" s="6">
        <f>[1]Emissions!J891</f>
        <v>0</v>
      </c>
      <c r="L474" s="6">
        <f>[1]Emissions!K891</f>
        <v>0</v>
      </c>
      <c r="M474" s="6">
        <f>[1]Emissions!L891</f>
        <v>0</v>
      </c>
      <c r="N474" s="6">
        <f>[1]Emissions!M891</f>
        <v>0</v>
      </c>
      <c r="O474" s="6">
        <f>[1]Emissions!N891</f>
        <v>0</v>
      </c>
      <c r="P474" s="6">
        <f>[1]Emissions!O891</f>
        <v>0</v>
      </c>
      <c r="Q474" s="6">
        <f>[1]Emissions!P891</f>
        <v>0</v>
      </c>
      <c r="R474" s="6">
        <f>[1]Emissions!Q891</f>
        <v>0</v>
      </c>
      <c r="S474" s="6">
        <f>[1]Emissions!R891</f>
        <v>0</v>
      </c>
      <c r="T474" s="6">
        <f>[1]Emissions!S891</f>
        <v>0</v>
      </c>
      <c r="U474" s="6">
        <f>[1]Emissions!T891</f>
        <v>0</v>
      </c>
      <c r="V474" s="6">
        <f>[1]Emissions!U891</f>
        <v>0</v>
      </c>
      <c r="W474" s="6">
        <f>[1]Emissions!V891</f>
        <v>0</v>
      </c>
      <c r="X474" s="6">
        <f>[1]Emissions!W891</f>
        <v>0</v>
      </c>
      <c r="Y474" s="6">
        <f>[1]Emissions!X891</f>
        <v>0</v>
      </c>
      <c r="Z474" s="6">
        <f>[1]Emissions!Y891</f>
        <v>0</v>
      </c>
      <c r="AA474" s="6">
        <f>[1]Emissions!Z891</f>
        <v>0</v>
      </c>
      <c r="AB474" s="6">
        <f>[1]Emissions!AA891</f>
        <v>0</v>
      </c>
      <c r="AC474" s="6">
        <f>[1]Emissions!AB891</f>
        <v>0</v>
      </c>
      <c r="AD474" s="6">
        <f>[1]Emissions!AC891</f>
        <v>0</v>
      </c>
      <c r="AE474" s="6">
        <f>[1]Emissions!AD891</f>
        <v>0</v>
      </c>
      <c r="AF474" s="6">
        <f>[1]Emissions!AE891</f>
        <v>0</v>
      </c>
      <c r="AG474" s="6">
        <f>[1]Emissions!AF891</f>
        <v>0</v>
      </c>
      <c r="AH474" s="6">
        <f>[1]Emissions!AG891</f>
        <v>0</v>
      </c>
      <c r="AI474" s="6">
        <f>[1]Emissions!AH891</f>
        <v>0</v>
      </c>
      <c r="AJ474" s="6">
        <f>[1]Emissions!AI891</f>
        <v>0</v>
      </c>
      <c r="AK474" s="6">
        <f>[1]Emissions!AJ891</f>
        <v>0</v>
      </c>
      <c r="AL474" s="6">
        <f>[1]Emissions!AK891</f>
        <v>0</v>
      </c>
    </row>
    <row r="475" spans="2:38" x14ac:dyDescent="0.3">
      <c r="B475" s="6" t="str">
        <f>[1]Emissions!A892</f>
        <v>ems_mat_co2_sbfu_2</v>
      </c>
      <c r="C475" s="6">
        <f>[1]Emissions!B892</f>
        <v>3.299571475</v>
      </c>
      <c r="D475" s="6">
        <f>[1]Emissions!C892</f>
        <v>3.3755112060000001</v>
      </c>
      <c r="E475" s="6">
        <f>[1]Emissions!D892</f>
        <v>3.4433355950000002</v>
      </c>
      <c r="F475" s="6">
        <f>[1]Emissions!E892</f>
        <v>3.5050030780000001</v>
      </c>
      <c r="G475" s="6">
        <f>[1]Emissions!F892</f>
        <v>3.5639010299999998</v>
      </c>
      <c r="H475" s="6">
        <f>[1]Emissions!G892</f>
        <v>3.6216621020000002</v>
      </c>
      <c r="I475" s="6">
        <f>[1]Emissions!H892</f>
        <v>3.6810176399999999</v>
      </c>
      <c r="J475" s="6">
        <f>[1]Emissions!I892</f>
        <v>3.7389351240000002</v>
      </c>
      <c r="K475" s="6">
        <f>[1]Emissions!J892</f>
        <v>3.7964266640000002</v>
      </c>
      <c r="L475" s="6">
        <f>[1]Emissions!K892</f>
        <v>3.8522333670000002</v>
      </c>
      <c r="M475" s="6">
        <f>[1]Emissions!L892</f>
        <v>3.9091112300000002</v>
      </c>
      <c r="N475" s="6">
        <f>[1]Emissions!M892</f>
        <v>3.960206892</v>
      </c>
      <c r="O475" s="6">
        <f>[1]Emissions!N892</f>
        <v>4.0091268060000003</v>
      </c>
      <c r="P475" s="6">
        <f>[1]Emissions!O892</f>
        <v>4.0571650430000004</v>
      </c>
      <c r="Q475" s="6">
        <f>[1]Emissions!P892</f>
        <v>4.1049423809999999</v>
      </c>
      <c r="R475" s="6">
        <f>[1]Emissions!Q892</f>
        <v>4.1526651040000004</v>
      </c>
      <c r="S475" s="6">
        <f>[1]Emissions!R892</f>
        <v>4.2002509349999997</v>
      </c>
      <c r="T475" s="6">
        <f>[1]Emissions!S892</f>
        <v>4.2474946960000004</v>
      </c>
      <c r="U475" s="6">
        <f>[1]Emissions!T892</f>
        <v>4.294213397</v>
      </c>
      <c r="V475" s="6">
        <f>[1]Emissions!U892</f>
        <v>4.3403327230000004</v>
      </c>
      <c r="W475" s="6">
        <f>[1]Emissions!V892</f>
        <v>4.3830338869999999</v>
      </c>
      <c r="X475" s="6">
        <f>[1]Emissions!W892</f>
        <v>4.4276825300000002</v>
      </c>
      <c r="Y475" s="6">
        <f>[1]Emissions!X892</f>
        <v>4.4723809320000001</v>
      </c>
      <c r="Z475" s="6">
        <f>[1]Emissions!Y892</f>
        <v>4.5169226309999999</v>
      </c>
      <c r="AA475" s="6">
        <f>[1]Emissions!Z892</f>
        <v>4.561369783</v>
      </c>
      <c r="AB475" s="6">
        <f>[1]Emissions!AA892</f>
        <v>4.5972818540000002</v>
      </c>
      <c r="AC475" s="6">
        <f>[1]Emissions!AB892</f>
        <v>4.6363160240000001</v>
      </c>
      <c r="AD475" s="6">
        <f>[1]Emissions!AC892</f>
        <v>4.6753346349999996</v>
      </c>
      <c r="AE475" s="6">
        <f>[1]Emissions!AD892</f>
        <v>4.7136662549999997</v>
      </c>
      <c r="AF475" s="6">
        <f>[1]Emissions!AE892</f>
        <v>4.7512598810000002</v>
      </c>
      <c r="AG475" s="6">
        <f>[1]Emissions!AF892</f>
        <v>4.7882098380000002</v>
      </c>
      <c r="AH475" s="6">
        <f>[1]Emissions!AG892</f>
        <v>4.8246205460000002</v>
      </c>
      <c r="AI475" s="6">
        <f>[1]Emissions!AH892</f>
        <v>4.8605609879999996</v>
      </c>
      <c r="AJ475" s="6">
        <f>[1]Emissions!AI892</f>
        <v>4.896052579</v>
      </c>
      <c r="AK475" s="6">
        <f>[1]Emissions!AJ892</f>
        <v>4.9310783809999998</v>
      </c>
      <c r="AL475" s="6">
        <f>[1]Emissions!AK892</f>
        <v>4.9656050589999996</v>
      </c>
    </row>
    <row r="476" spans="2:38" x14ac:dyDescent="0.3">
      <c r="B476" s="6" t="str">
        <f>[1]Emissions!A893</f>
        <v>ems_ci_co2_seoi_2</v>
      </c>
      <c r="C476" s="6">
        <f>[1]Emissions!B893</f>
        <v>1.7971549899999999</v>
      </c>
      <c r="D476" s="6">
        <f>[1]Emissions!C893</f>
        <v>1.8089274799999999</v>
      </c>
      <c r="E476" s="6">
        <f>[1]Emissions!D893</f>
        <v>1.8185121639999999</v>
      </c>
      <c r="F476" s="6">
        <f>[1]Emissions!E893</f>
        <v>1.8316608299999999</v>
      </c>
      <c r="G476" s="6">
        <f>[1]Emissions!F893</f>
        <v>1.851589902</v>
      </c>
      <c r="H476" s="6">
        <f>[1]Emissions!G893</f>
        <v>1.879999022</v>
      </c>
      <c r="I476" s="6">
        <f>[1]Emissions!H893</f>
        <v>1.918988989</v>
      </c>
      <c r="J476" s="6">
        <f>[1]Emissions!I893</f>
        <v>1.9716248139999999</v>
      </c>
      <c r="K476" s="6">
        <f>[1]Emissions!J893</f>
        <v>2.0334584439999999</v>
      </c>
      <c r="L476" s="6">
        <f>[1]Emissions!K893</f>
        <v>2.0951594189999998</v>
      </c>
      <c r="M476" s="6">
        <f>[1]Emissions!L893</f>
        <v>2.1493670890000001</v>
      </c>
      <c r="N476" s="6">
        <f>[1]Emissions!M893</f>
        <v>2.191358342</v>
      </c>
      <c r="O476" s="6">
        <f>[1]Emissions!N893</f>
        <v>2.222386432</v>
      </c>
      <c r="P476" s="6">
        <f>[1]Emissions!O893</f>
        <v>2.2463699620000002</v>
      </c>
      <c r="Q476" s="6">
        <f>[1]Emissions!P893</f>
        <v>2.2678007849999999</v>
      </c>
      <c r="R476" s="6">
        <f>[1]Emissions!Q893</f>
        <v>2.2898911160000002</v>
      </c>
      <c r="S476" s="6">
        <f>[1]Emissions!R893</f>
        <v>2.3139022630000001</v>
      </c>
      <c r="T476" s="6">
        <f>[1]Emissions!S893</f>
        <v>2.3398992000000001</v>
      </c>
      <c r="U476" s="6">
        <f>[1]Emissions!T893</f>
        <v>2.3674785840000001</v>
      </c>
      <c r="V476" s="6">
        <f>[1]Emissions!U893</f>
        <v>2.396371593</v>
      </c>
      <c r="W476" s="6">
        <f>[1]Emissions!V893</f>
        <v>2.4257403790000001</v>
      </c>
      <c r="X476" s="6">
        <f>[1]Emissions!W893</f>
        <v>2.457374663</v>
      </c>
      <c r="Y476" s="6">
        <f>[1]Emissions!X893</f>
        <v>2.4917152069999999</v>
      </c>
      <c r="Z476" s="6">
        <f>[1]Emissions!Y893</f>
        <v>2.5290810829999999</v>
      </c>
      <c r="AA476" s="6">
        <f>[1]Emissions!Z893</f>
        <v>2.5695998790000001</v>
      </c>
      <c r="AB476" s="6">
        <f>[1]Emissions!AA893</f>
        <v>2.609736474</v>
      </c>
      <c r="AC476" s="6">
        <f>[1]Emissions!AB893</f>
        <v>2.6519938179999998</v>
      </c>
      <c r="AD476" s="6">
        <f>[1]Emissions!AC893</f>
        <v>2.694852295</v>
      </c>
      <c r="AE476" s="6">
        <f>[1]Emissions!AD893</f>
        <v>2.737053076</v>
      </c>
      <c r="AF476" s="6">
        <f>[1]Emissions!AE893</f>
        <v>2.7780778270000002</v>
      </c>
      <c r="AG476" s="6">
        <f>[1]Emissions!AF893</f>
        <v>2.8179892070000001</v>
      </c>
      <c r="AH476" s="6">
        <f>[1]Emissions!AG893</f>
        <v>2.8571011749999999</v>
      </c>
      <c r="AI476" s="6">
        <f>[1]Emissions!AH893</f>
        <v>2.895806946</v>
      </c>
      <c r="AJ476" s="6">
        <f>[1]Emissions!AI893</f>
        <v>2.9344306910000002</v>
      </c>
      <c r="AK476" s="6">
        <f>[1]Emissions!AJ893</f>
        <v>2.9731532810000001</v>
      </c>
      <c r="AL476" s="6">
        <f>[1]Emissions!AK893</f>
        <v>3.0120481990000001</v>
      </c>
    </row>
    <row r="477" spans="2:38" x14ac:dyDescent="0.3">
      <c r="B477" s="6" t="str">
        <f>[1]Emissions!A894</f>
        <v>ems_y_co2_seoi_2</v>
      </c>
      <c r="C477" s="6">
        <f>[1]Emissions!B894</f>
        <v>0</v>
      </c>
      <c r="D477" s="6">
        <f>[1]Emissions!C894</f>
        <v>0</v>
      </c>
      <c r="E477" s="6">
        <f>[1]Emissions!D894</f>
        <v>0</v>
      </c>
      <c r="F477" s="6">
        <f>[1]Emissions!E894</f>
        <v>0</v>
      </c>
      <c r="G477" s="6">
        <f>[1]Emissions!F894</f>
        <v>0</v>
      </c>
      <c r="H477" s="6">
        <f>[1]Emissions!G894</f>
        <v>0</v>
      </c>
      <c r="I477" s="6">
        <f>[1]Emissions!H894</f>
        <v>0</v>
      </c>
      <c r="J477" s="6">
        <f>[1]Emissions!I894</f>
        <v>0</v>
      </c>
      <c r="K477" s="6">
        <f>[1]Emissions!J894</f>
        <v>0</v>
      </c>
      <c r="L477" s="6">
        <f>[1]Emissions!K894</f>
        <v>0</v>
      </c>
      <c r="M477" s="6">
        <f>[1]Emissions!L894</f>
        <v>0</v>
      </c>
      <c r="N477" s="6">
        <f>[1]Emissions!M894</f>
        <v>0</v>
      </c>
      <c r="O477" s="6">
        <f>[1]Emissions!N894</f>
        <v>0</v>
      </c>
      <c r="P477" s="6">
        <f>[1]Emissions!O894</f>
        <v>0</v>
      </c>
      <c r="Q477" s="6">
        <f>[1]Emissions!P894</f>
        <v>0</v>
      </c>
      <c r="R477" s="6">
        <f>[1]Emissions!Q894</f>
        <v>0</v>
      </c>
      <c r="S477" s="6">
        <f>[1]Emissions!R894</f>
        <v>0</v>
      </c>
      <c r="T477" s="6">
        <f>[1]Emissions!S894</f>
        <v>0</v>
      </c>
      <c r="U477" s="6">
        <f>[1]Emissions!T894</f>
        <v>0</v>
      </c>
      <c r="V477" s="6">
        <f>[1]Emissions!U894</f>
        <v>0</v>
      </c>
      <c r="W477" s="6">
        <f>[1]Emissions!V894</f>
        <v>0</v>
      </c>
      <c r="X477" s="6">
        <f>[1]Emissions!W894</f>
        <v>0</v>
      </c>
      <c r="Y477" s="6">
        <f>[1]Emissions!X894</f>
        <v>0</v>
      </c>
      <c r="Z477" s="6">
        <f>[1]Emissions!Y894</f>
        <v>0</v>
      </c>
      <c r="AA477" s="6">
        <f>[1]Emissions!Z894</f>
        <v>0</v>
      </c>
      <c r="AB477" s="6">
        <f>[1]Emissions!AA894</f>
        <v>0</v>
      </c>
      <c r="AC477" s="6">
        <f>[1]Emissions!AB894</f>
        <v>0</v>
      </c>
      <c r="AD477" s="6">
        <f>[1]Emissions!AC894</f>
        <v>0</v>
      </c>
      <c r="AE477" s="6">
        <f>[1]Emissions!AD894</f>
        <v>0</v>
      </c>
      <c r="AF477" s="6">
        <f>[1]Emissions!AE894</f>
        <v>0</v>
      </c>
      <c r="AG477" s="6">
        <f>[1]Emissions!AF894</f>
        <v>0</v>
      </c>
      <c r="AH477" s="6">
        <f>[1]Emissions!AG894</f>
        <v>0</v>
      </c>
      <c r="AI477" s="6">
        <f>[1]Emissions!AH894</f>
        <v>0</v>
      </c>
      <c r="AJ477" s="6">
        <f>[1]Emissions!AI894</f>
        <v>0</v>
      </c>
      <c r="AK477" s="6">
        <f>[1]Emissions!AJ894</f>
        <v>0</v>
      </c>
      <c r="AL477" s="6">
        <f>[1]Emissions!AK894</f>
        <v>0</v>
      </c>
    </row>
    <row r="478" spans="2:38" x14ac:dyDescent="0.3">
      <c r="B478" s="6" t="str">
        <f>[1]Emissions!A895</f>
        <v>ems_mat_co2_seoi_2</v>
      </c>
      <c r="C478" s="6">
        <f>[1]Emissions!B895</f>
        <v>0.1231719706</v>
      </c>
      <c r="D478" s="6">
        <f>[1]Emissions!C895</f>
        <v>0.1239788241</v>
      </c>
      <c r="E478" s="6">
        <f>[1]Emissions!D895</f>
        <v>0.1246357315</v>
      </c>
      <c r="F478" s="6">
        <f>[1]Emissions!E895</f>
        <v>0.12553690419999999</v>
      </c>
      <c r="G478" s="6">
        <f>[1]Emissions!F895</f>
        <v>0.1269027871</v>
      </c>
      <c r="H478" s="6">
        <f>[1]Emissions!G895</f>
        <v>0.1288498686</v>
      </c>
      <c r="I478" s="6">
        <f>[1]Emissions!H895</f>
        <v>0.1315221318</v>
      </c>
      <c r="J478" s="6">
        <f>[1]Emissions!I895</f>
        <v>0.1351296438</v>
      </c>
      <c r="K478" s="6">
        <f>[1]Emissions!J895</f>
        <v>0.13936754770000001</v>
      </c>
      <c r="L478" s="6">
        <f>[1]Emissions!K895</f>
        <v>0.14359635970000001</v>
      </c>
      <c r="M478" s="6">
        <f>[1]Emissions!L895</f>
        <v>0.14731160160000001</v>
      </c>
      <c r="N478" s="6">
        <f>[1]Emissions!M895</f>
        <v>0.15018956450000001</v>
      </c>
      <c r="O478" s="6">
        <f>[1]Emissions!N895</f>
        <v>0.15231614290000001</v>
      </c>
      <c r="P478" s="6">
        <f>[1]Emissions!O895</f>
        <v>0.1539599069</v>
      </c>
      <c r="Q478" s="6">
        <f>[1]Emissions!P895</f>
        <v>0.15542871550000001</v>
      </c>
      <c r="R478" s="6">
        <f>[1]Emissions!Q895</f>
        <v>0.1569427249</v>
      </c>
      <c r="S478" s="6">
        <f>[1]Emissions!R895</f>
        <v>0.1585883817</v>
      </c>
      <c r="T478" s="6">
        <f>[1]Emissions!S895</f>
        <v>0.16037013899999999</v>
      </c>
      <c r="U478" s="6">
        <f>[1]Emissions!T895</f>
        <v>0.1622603527</v>
      </c>
      <c r="V478" s="6">
        <f>[1]Emissions!U895</f>
        <v>0.16424059860000001</v>
      </c>
      <c r="W478" s="6">
        <f>[1]Emissions!V895</f>
        <v>0.166253453</v>
      </c>
      <c r="X478" s="6">
        <f>[1]Emissions!W895</f>
        <v>0.16842157820000001</v>
      </c>
      <c r="Y478" s="6">
        <f>[1]Emissions!X895</f>
        <v>0.170775183</v>
      </c>
      <c r="Z478" s="6">
        <f>[1]Emissions!Y895</f>
        <v>0.17333613549999999</v>
      </c>
      <c r="AA478" s="6">
        <f>[1]Emissions!Z895</f>
        <v>0.17611318030000001</v>
      </c>
      <c r="AB478" s="6">
        <f>[1]Emissions!AA895</f>
        <v>0.17886403009999999</v>
      </c>
      <c r="AC478" s="6">
        <f>[1]Emissions!AB895</f>
        <v>0.18176023020000001</v>
      </c>
      <c r="AD478" s="6">
        <f>[1]Emissions!AC895</f>
        <v>0.18469763019999999</v>
      </c>
      <c r="AE478" s="6">
        <f>[1]Emissions!AD895</f>
        <v>0.18758995349999999</v>
      </c>
      <c r="AF478" s="6">
        <f>[1]Emissions!AE895</f>
        <v>0.19040167499999999</v>
      </c>
      <c r="AG478" s="6">
        <f>[1]Emissions!AF895</f>
        <v>0.19313708930000001</v>
      </c>
      <c r="AH478" s="6">
        <f>[1]Emissions!AG895</f>
        <v>0.195817714</v>
      </c>
      <c r="AI478" s="6">
        <f>[1]Emissions!AH895</f>
        <v>0.19847049920000001</v>
      </c>
      <c r="AJ478" s="6">
        <f>[1]Emissions!AI895</f>
        <v>0.20111766249999999</v>
      </c>
      <c r="AK478" s="6">
        <f>[1]Emissions!AJ895</f>
        <v>0.2037716004</v>
      </c>
      <c r="AL478" s="6">
        <f>[1]Emissions!AK895</f>
        <v>0.20643734920000001</v>
      </c>
    </row>
    <row r="479" spans="2:38" x14ac:dyDescent="0.3">
      <c r="B479" s="6" t="str">
        <f>[1]Emissions!A896</f>
        <v>ems_ci_co2_sega_2</v>
      </c>
      <c r="C479" s="6">
        <f>[1]Emissions!B896</f>
        <v>4.553369902</v>
      </c>
      <c r="D479" s="6">
        <f>[1]Emissions!C896</f>
        <v>4.5831973250000004</v>
      </c>
      <c r="E479" s="6">
        <f>[1]Emissions!D896</f>
        <v>4.6074816040000002</v>
      </c>
      <c r="F479" s="6">
        <f>[1]Emissions!E896</f>
        <v>4.6407957819999996</v>
      </c>
      <c r="G479" s="6">
        <f>[1]Emissions!F896</f>
        <v>4.691289169</v>
      </c>
      <c r="H479" s="6">
        <f>[1]Emissions!G896</f>
        <v>4.763268064</v>
      </c>
      <c r="I479" s="6">
        <f>[1]Emissions!H896</f>
        <v>4.862055174</v>
      </c>
      <c r="J479" s="6">
        <f>[1]Emissions!I896</f>
        <v>4.9954161700000004</v>
      </c>
      <c r="K479" s="6">
        <f>[1]Emissions!J896</f>
        <v>5.1520812239999998</v>
      </c>
      <c r="L479" s="6">
        <f>[1]Emissions!K896</f>
        <v>5.3084101749999997</v>
      </c>
      <c r="M479" s="6">
        <f>[1]Emissions!L896</f>
        <v>5.445753678</v>
      </c>
      <c r="N479" s="6">
        <f>[1]Emissions!M896</f>
        <v>5.5521450049999999</v>
      </c>
      <c r="O479" s="6">
        <f>[1]Emissions!N896</f>
        <v>5.6307594630000004</v>
      </c>
      <c r="P479" s="6">
        <f>[1]Emissions!O896</f>
        <v>5.6915254429999997</v>
      </c>
      <c r="Q479" s="6">
        <f>[1]Emissions!P896</f>
        <v>5.7458237460000001</v>
      </c>
      <c r="R479" s="6">
        <f>[1]Emissions!Q896</f>
        <v>5.8017930140000002</v>
      </c>
      <c r="S479" s="6">
        <f>[1]Emissions!R896</f>
        <v>5.8626289649999999</v>
      </c>
      <c r="T479" s="6">
        <f>[1]Emissions!S896</f>
        <v>5.9284962229999998</v>
      </c>
      <c r="U479" s="6">
        <f>[1]Emissions!T896</f>
        <v>5.9983728550000004</v>
      </c>
      <c r="V479" s="6">
        <f>[1]Emissions!U896</f>
        <v>6.0715777590000002</v>
      </c>
      <c r="W479" s="6">
        <f>[1]Emissions!V896</f>
        <v>6.145988118</v>
      </c>
      <c r="X479" s="6">
        <f>[1]Emissions!W896</f>
        <v>6.2261384639999999</v>
      </c>
      <c r="Y479" s="6">
        <f>[1]Emissions!X896</f>
        <v>6.3131455409999999</v>
      </c>
      <c r="Z479" s="6">
        <f>[1]Emissions!Y896</f>
        <v>6.4078177639999998</v>
      </c>
      <c r="AA479" s="6">
        <f>[1]Emissions!Z896</f>
        <v>6.5104783949999998</v>
      </c>
      <c r="AB479" s="6">
        <f>[1]Emissions!AA896</f>
        <v>6.6121706619999996</v>
      </c>
      <c r="AC479" s="6">
        <f>[1]Emissions!AB896</f>
        <v>6.7192361739999997</v>
      </c>
      <c r="AD479" s="6">
        <f>[1]Emissions!AC896</f>
        <v>6.8278247500000004</v>
      </c>
      <c r="AE479" s="6">
        <f>[1]Emissions!AD896</f>
        <v>6.934746949</v>
      </c>
      <c r="AF479" s="6">
        <f>[1]Emissions!AE896</f>
        <v>7.0386894949999999</v>
      </c>
      <c r="AG479" s="6">
        <f>[1]Emissions!AF896</f>
        <v>7.1398111440000003</v>
      </c>
      <c r="AH479" s="6">
        <f>[1]Emissions!AG896</f>
        <v>7.2389073609999999</v>
      </c>
      <c r="AI479" s="6">
        <f>[1]Emissions!AH896</f>
        <v>7.3369744140000002</v>
      </c>
      <c r="AJ479" s="6">
        <f>[1]Emissions!AI896</f>
        <v>7.434833641</v>
      </c>
      <c r="AK479" s="6">
        <f>[1]Emissions!AJ896</f>
        <v>7.532943307</v>
      </c>
      <c r="AL479" s="6">
        <f>[1]Emissions!AK896</f>
        <v>7.6314895920000003</v>
      </c>
    </row>
    <row r="480" spans="2:38" x14ac:dyDescent="0.3">
      <c r="B480" s="6" t="str">
        <f>[1]Emissions!A897</f>
        <v>ems_y_co2_sega_2</v>
      </c>
      <c r="C480" s="6">
        <f>[1]Emissions!B897</f>
        <v>0</v>
      </c>
      <c r="D480" s="6">
        <f>[1]Emissions!C897</f>
        <v>0</v>
      </c>
      <c r="E480" s="6">
        <f>[1]Emissions!D897</f>
        <v>0</v>
      </c>
      <c r="F480" s="6">
        <f>[1]Emissions!E897</f>
        <v>0</v>
      </c>
      <c r="G480" s="6">
        <f>[1]Emissions!F897</f>
        <v>0</v>
      </c>
      <c r="H480" s="6">
        <f>[1]Emissions!G897</f>
        <v>0</v>
      </c>
      <c r="I480" s="6">
        <f>[1]Emissions!H897</f>
        <v>0</v>
      </c>
      <c r="J480" s="6">
        <f>[1]Emissions!I897</f>
        <v>0</v>
      </c>
      <c r="K480" s="6">
        <f>[1]Emissions!J897</f>
        <v>0</v>
      </c>
      <c r="L480" s="6">
        <f>[1]Emissions!K897</f>
        <v>0</v>
      </c>
      <c r="M480" s="6">
        <f>[1]Emissions!L897</f>
        <v>0</v>
      </c>
      <c r="N480" s="6">
        <f>[1]Emissions!M897</f>
        <v>0</v>
      </c>
      <c r="O480" s="6">
        <f>[1]Emissions!N897</f>
        <v>0</v>
      </c>
      <c r="P480" s="6">
        <f>[1]Emissions!O897</f>
        <v>0</v>
      </c>
      <c r="Q480" s="6">
        <f>[1]Emissions!P897</f>
        <v>0</v>
      </c>
      <c r="R480" s="6">
        <f>[1]Emissions!Q897</f>
        <v>0</v>
      </c>
      <c r="S480" s="6">
        <f>[1]Emissions!R897</f>
        <v>0</v>
      </c>
      <c r="T480" s="6">
        <f>[1]Emissions!S897</f>
        <v>0</v>
      </c>
      <c r="U480" s="6">
        <f>[1]Emissions!T897</f>
        <v>0</v>
      </c>
      <c r="V480" s="6">
        <f>[1]Emissions!U897</f>
        <v>0</v>
      </c>
      <c r="W480" s="6">
        <f>[1]Emissions!V897</f>
        <v>0</v>
      </c>
      <c r="X480" s="6">
        <f>[1]Emissions!W897</f>
        <v>0</v>
      </c>
      <c r="Y480" s="6">
        <f>[1]Emissions!X897</f>
        <v>0</v>
      </c>
      <c r="Z480" s="6">
        <f>[1]Emissions!Y897</f>
        <v>0</v>
      </c>
      <c r="AA480" s="6">
        <f>[1]Emissions!Z897</f>
        <v>0</v>
      </c>
      <c r="AB480" s="6">
        <f>[1]Emissions!AA897</f>
        <v>0</v>
      </c>
      <c r="AC480" s="6">
        <f>[1]Emissions!AB897</f>
        <v>0</v>
      </c>
      <c r="AD480" s="6">
        <f>[1]Emissions!AC897</f>
        <v>0</v>
      </c>
      <c r="AE480" s="6">
        <f>[1]Emissions!AD897</f>
        <v>0</v>
      </c>
      <c r="AF480" s="6">
        <f>[1]Emissions!AE897</f>
        <v>0</v>
      </c>
      <c r="AG480" s="6">
        <f>[1]Emissions!AF897</f>
        <v>0</v>
      </c>
      <c r="AH480" s="6">
        <f>[1]Emissions!AG897</f>
        <v>0</v>
      </c>
      <c r="AI480" s="6">
        <f>[1]Emissions!AH897</f>
        <v>0</v>
      </c>
      <c r="AJ480" s="6">
        <f>[1]Emissions!AI897</f>
        <v>0</v>
      </c>
      <c r="AK480" s="6">
        <f>[1]Emissions!AJ897</f>
        <v>0</v>
      </c>
      <c r="AL480" s="6">
        <f>[1]Emissions!AK897</f>
        <v>0</v>
      </c>
    </row>
    <row r="481" spans="2:38" x14ac:dyDescent="0.3">
      <c r="B481" s="6" t="str">
        <f>[1]Emissions!A898</f>
        <v>ems_mat_co2_sega_2</v>
      </c>
      <c r="C481" s="6">
        <f>[1]Emissions!B898</f>
        <v>0.31207522269999999</v>
      </c>
      <c r="D481" s="6">
        <f>[1]Emissions!C898</f>
        <v>0.31411951069999999</v>
      </c>
      <c r="E481" s="6">
        <f>[1]Emissions!D898</f>
        <v>0.31578388709999999</v>
      </c>
      <c r="F481" s="6">
        <f>[1]Emissions!E898</f>
        <v>0.31806714749999998</v>
      </c>
      <c r="G481" s="6">
        <f>[1]Emissions!F898</f>
        <v>0.32152782279999997</v>
      </c>
      <c r="H481" s="6">
        <f>[1]Emissions!G898</f>
        <v>0.32646105460000002</v>
      </c>
      <c r="I481" s="6">
        <f>[1]Emissions!H898</f>
        <v>0.33323164630000002</v>
      </c>
      <c r="J481" s="6">
        <f>[1]Emissions!I898</f>
        <v>0.34237183570000002</v>
      </c>
      <c r="K481" s="6">
        <f>[1]Emissions!J898</f>
        <v>0.35310922</v>
      </c>
      <c r="L481" s="6">
        <f>[1]Emissions!K898</f>
        <v>0.36382356890000001</v>
      </c>
      <c r="M481" s="6">
        <f>[1]Emissions!L898</f>
        <v>0.3732367083</v>
      </c>
      <c r="N481" s="6">
        <f>[1]Emissions!M898</f>
        <v>0.38052847220000002</v>
      </c>
      <c r="O481" s="6">
        <f>[1]Emissions!N898</f>
        <v>0.38591648709999998</v>
      </c>
      <c r="P481" s="6">
        <f>[1]Emissions!O898</f>
        <v>0.3900812173</v>
      </c>
      <c r="Q481" s="6">
        <f>[1]Emissions!P898</f>
        <v>0.39380267079999998</v>
      </c>
      <c r="R481" s="6">
        <f>[1]Emissions!Q898</f>
        <v>0.39763864770000001</v>
      </c>
      <c r="S481" s="6">
        <f>[1]Emissions!R898</f>
        <v>0.40180817340000002</v>
      </c>
      <c r="T481" s="6">
        <f>[1]Emissions!S898</f>
        <v>0.40632253080000003</v>
      </c>
      <c r="U481" s="6">
        <f>[1]Emissions!T898</f>
        <v>0.41111167949999999</v>
      </c>
      <c r="V481" s="6">
        <f>[1]Emissions!U898</f>
        <v>0.4161289386</v>
      </c>
      <c r="W481" s="6">
        <f>[1]Emissions!V898</f>
        <v>0.42122881620000002</v>
      </c>
      <c r="X481" s="6">
        <f>[1]Emissions!W898</f>
        <v>0.42672209649999998</v>
      </c>
      <c r="Y481" s="6">
        <f>[1]Emissions!X898</f>
        <v>0.43268531780000002</v>
      </c>
      <c r="Z481" s="6">
        <f>[1]Emissions!Y898</f>
        <v>0.43917388680000002</v>
      </c>
      <c r="AA481" s="6">
        <f>[1]Emissions!Z898</f>
        <v>0.44620995899999999</v>
      </c>
      <c r="AB481" s="6">
        <f>[1]Emissions!AA898</f>
        <v>0.4531796622</v>
      </c>
      <c r="AC481" s="6">
        <f>[1]Emissions!AB898</f>
        <v>0.4605176325</v>
      </c>
      <c r="AD481" s="6">
        <f>[1]Emissions!AC898</f>
        <v>0.4679599894</v>
      </c>
      <c r="AE481" s="6">
        <f>[1]Emissions!AD898</f>
        <v>0.47528813749999999</v>
      </c>
      <c r="AF481" s="6">
        <f>[1]Emissions!AE898</f>
        <v>0.48241206860000002</v>
      </c>
      <c r="AG481" s="6">
        <f>[1]Emissions!AF898</f>
        <v>0.48934266329999998</v>
      </c>
      <c r="AH481" s="6">
        <f>[1]Emissions!AG898</f>
        <v>0.49613444039999999</v>
      </c>
      <c r="AI481" s="6">
        <f>[1]Emissions!AH898</f>
        <v>0.50285568160000005</v>
      </c>
      <c r="AJ481" s="6">
        <f>[1]Emissions!AI898</f>
        <v>0.50956267899999996</v>
      </c>
      <c r="AK481" s="6">
        <f>[1]Emissions!AJ898</f>
        <v>0.51628684069999997</v>
      </c>
      <c r="AL481" s="6">
        <f>[1]Emissions!AK898</f>
        <v>0.52304092719999995</v>
      </c>
    </row>
    <row r="482" spans="2:38" x14ac:dyDescent="0.3">
      <c r="B482" s="6" t="str">
        <f>[1]Emissions!A899</f>
        <v>ems_ci_co2_seco_2</v>
      </c>
      <c r="C482" s="6">
        <f>[1]Emissions!B899</f>
        <v>4.5420397100000001</v>
      </c>
      <c r="D482" s="6">
        <f>[1]Emissions!C899</f>
        <v>4.5717929120000003</v>
      </c>
      <c r="E482" s="6">
        <f>[1]Emissions!D899</f>
        <v>4.5960167590000003</v>
      </c>
      <c r="F482" s="6">
        <f>[1]Emissions!E899</f>
        <v>4.6292480349999998</v>
      </c>
      <c r="G482" s="6">
        <f>[1]Emissions!F899</f>
        <v>4.6796157709999999</v>
      </c>
      <c r="H482" s="6">
        <f>[1]Emissions!G899</f>
        <v>4.7514155530000002</v>
      </c>
      <c r="I482" s="6">
        <f>[1]Emissions!H899</f>
        <v>4.8499568430000002</v>
      </c>
      <c r="J482" s="6">
        <f>[1]Emissions!I899</f>
        <v>4.9829859939999999</v>
      </c>
      <c r="K482" s="6">
        <f>[1]Emissions!J899</f>
        <v>5.1392612199999999</v>
      </c>
      <c r="L482" s="6">
        <f>[1]Emissions!K899</f>
        <v>5.2952011829999996</v>
      </c>
      <c r="M482" s="6">
        <f>[1]Emissions!L899</f>
        <v>5.4322029409999999</v>
      </c>
      <c r="N482" s="6">
        <f>[1]Emissions!M899</f>
        <v>5.5383295400000003</v>
      </c>
      <c r="O482" s="6">
        <f>[1]Emissions!N899</f>
        <v>5.6167483860000003</v>
      </c>
      <c r="P482" s="6">
        <f>[1]Emissions!O899</f>
        <v>5.6773631629999999</v>
      </c>
      <c r="Q482" s="6">
        <f>[1]Emissions!P899</f>
        <v>5.7315263549999997</v>
      </c>
      <c r="R482" s="6">
        <f>[1]Emissions!Q899</f>
        <v>5.787356355</v>
      </c>
      <c r="S482" s="6">
        <f>[1]Emissions!R899</f>
        <v>5.8480409270000004</v>
      </c>
      <c r="T482" s="6">
        <f>[1]Emissions!S899</f>
        <v>5.9137442880000002</v>
      </c>
      <c r="U482" s="6">
        <f>[1]Emissions!T899</f>
        <v>5.9834470470000003</v>
      </c>
      <c r="V482" s="6">
        <f>[1]Emissions!U899</f>
        <v>6.056469796</v>
      </c>
      <c r="W482" s="6">
        <f>[1]Emissions!V899</f>
        <v>6.1306950010000003</v>
      </c>
      <c r="X482" s="6">
        <f>[1]Emissions!W899</f>
        <v>6.2106459090000001</v>
      </c>
      <c r="Y482" s="6">
        <f>[1]Emissions!X899</f>
        <v>6.2974364850000004</v>
      </c>
      <c r="Z482" s="6">
        <f>[1]Emissions!Y899</f>
        <v>6.3918731339999999</v>
      </c>
      <c r="AA482" s="6">
        <f>[1]Emissions!Z899</f>
        <v>6.4942783129999997</v>
      </c>
      <c r="AB482" s="6">
        <f>[1]Emissions!AA899</f>
        <v>6.5957175379999997</v>
      </c>
      <c r="AC482" s="6">
        <f>[1]Emissions!AB899</f>
        <v>6.7025166370000004</v>
      </c>
      <c r="AD482" s="6">
        <f>[1]Emissions!AC899</f>
        <v>6.8108350120000001</v>
      </c>
      <c r="AE482" s="6">
        <f>[1]Emissions!AD899</f>
        <v>6.9174911559999996</v>
      </c>
      <c r="AF482" s="6">
        <f>[1]Emissions!AE899</f>
        <v>7.0211750610000001</v>
      </c>
      <c r="AG482" s="6">
        <f>[1]Emissions!AF899</f>
        <v>7.1220450880000001</v>
      </c>
      <c r="AH482" s="6">
        <f>[1]Emissions!AG899</f>
        <v>7.2208947219999997</v>
      </c>
      <c r="AI482" s="6">
        <f>[1]Emissions!AH899</f>
        <v>7.3187177539999997</v>
      </c>
      <c r="AJ482" s="6">
        <f>[1]Emissions!AI899</f>
        <v>7.4163334770000002</v>
      </c>
      <c r="AK482" s="6">
        <f>[1]Emissions!AJ899</f>
        <v>7.5141990160000001</v>
      </c>
      <c r="AL482" s="6">
        <f>[1]Emissions!AK899</f>
        <v>7.612500088</v>
      </c>
    </row>
    <row r="483" spans="2:38" x14ac:dyDescent="0.3">
      <c r="B483" s="6" t="str">
        <f>[1]Emissions!A900</f>
        <v>ems_y_co2_seco_2</v>
      </c>
      <c r="C483" s="6">
        <f>[1]Emissions!B900</f>
        <v>0</v>
      </c>
      <c r="D483" s="6">
        <f>[1]Emissions!C900</f>
        <v>0</v>
      </c>
      <c r="E483" s="6">
        <f>[1]Emissions!D900</f>
        <v>0</v>
      </c>
      <c r="F483" s="6">
        <f>[1]Emissions!E900</f>
        <v>0</v>
      </c>
      <c r="G483" s="6">
        <f>[1]Emissions!F900</f>
        <v>0</v>
      </c>
      <c r="H483" s="6">
        <f>[1]Emissions!G900</f>
        <v>0</v>
      </c>
      <c r="I483" s="6">
        <f>[1]Emissions!H900</f>
        <v>0</v>
      </c>
      <c r="J483" s="6">
        <f>[1]Emissions!I900</f>
        <v>0</v>
      </c>
      <c r="K483" s="6">
        <f>[1]Emissions!J900</f>
        <v>0</v>
      </c>
      <c r="L483" s="6">
        <f>[1]Emissions!K900</f>
        <v>0</v>
      </c>
      <c r="M483" s="6">
        <f>[1]Emissions!L900</f>
        <v>0</v>
      </c>
      <c r="N483" s="6">
        <f>[1]Emissions!M900</f>
        <v>0</v>
      </c>
      <c r="O483" s="6">
        <f>[1]Emissions!N900</f>
        <v>0</v>
      </c>
      <c r="P483" s="6">
        <f>[1]Emissions!O900</f>
        <v>0</v>
      </c>
      <c r="Q483" s="6">
        <f>[1]Emissions!P900</f>
        <v>0</v>
      </c>
      <c r="R483" s="6">
        <f>[1]Emissions!Q900</f>
        <v>0</v>
      </c>
      <c r="S483" s="6">
        <f>[1]Emissions!R900</f>
        <v>0</v>
      </c>
      <c r="T483" s="6">
        <f>[1]Emissions!S900</f>
        <v>0</v>
      </c>
      <c r="U483" s="6">
        <f>[1]Emissions!T900</f>
        <v>0</v>
      </c>
      <c r="V483" s="6">
        <f>[1]Emissions!U900</f>
        <v>0</v>
      </c>
      <c r="W483" s="6">
        <f>[1]Emissions!V900</f>
        <v>0</v>
      </c>
      <c r="X483" s="6">
        <f>[1]Emissions!W900</f>
        <v>0</v>
      </c>
      <c r="Y483" s="6">
        <f>[1]Emissions!X900</f>
        <v>0</v>
      </c>
      <c r="Z483" s="6">
        <f>[1]Emissions!Y900</f>
        <v>0</v>
      </c>
      <c r="AA483" s="6">
        <f>[1]Emissions!Z900</f>
        <v>0</v>
      </c>
      <c r="AB483" s="6">
        <f>[1]Emissions!AA900</f>
        <v>0</v>
      </c>
      <c r="AC483" s="6">
        <f>[1]Emissions!AB900</f>
        <v>0</v>
      </c>
      <c r="AD483" s="6">
        <f>[1]Emissions!AC900</f>
        <v>0</v>
      </c>
      <c r="AE483" s="6">
        <f>[1]Emissions!AD900</f>
        <v>0</v>
      </c>
      <c r="AF483" s="6">
        <f>[1]Emissions!AE900</f>
        <v>0</v>
      </c>
      <c r="AG483" s="6">
        <f>[1]Emissions!AF900</f>
        <v>0</v>
      </c>
      <c r="AH483" s="6">
        <f>[1]Emissions!AG900</f>
        <v>0</v>
      </c>
      <c r="AI483" s="6">
        <f>[1]Emissions!AH900</f>
        <v>0</v>
      </c>
      <c r="AJ483" s="6">
        <f>[1]Emissions!AI900</f>
        <v>0</v>
      </c>
      <c r="AK483" s="6">
        <f>[1]Emissions!AJ900</f>
        <v>0</v>
      </c>
      <c r="AL483" s="6">
        <f>[1]Emissions!AK900</f>
        <v>0</v>
      </c>
    </row>
    <row r="484" spans="2:38" x14ac:dyDescent="0.3">
      <c r="B484" s="6" t="str">
        <f>[1]Emissions!A901</f>
        <v>ems_mat_co2_seco_2</v>
      </c>
      <c r="C484" s="6">
        <f>[1]Emissions!B901</f>
        <v>0.31129868309999997</v>
      </c>
      <c r="D484" s="6">
        <f>[1]Emissions!C901</f>
        <v>0.31333788429999998</v>
      </c>
      <c r="E484" s="6">
        <f>[1]Emissions!D901</f>
        <v>0.31499811919999998</v>
      </c>
      <c r="F484" s="6">
        <f>[1]Emissions!E901</f>
        <v>0.3172756981</v>
      </c>
      <c r="G484" s="6">
        <f>[1]Emissions!F901</f>
        <v>0.32072776219999999</v>
      </c>
      <c r="H484" s="6">
        <f>[1]Emissions!G901</f>
        <v>0.3256487186</v>
      </c>
      <c r="I484" s="6">
        <f>[1]Emissions!H901</f>
        <v>0.33240246299999998</v>
      </c>
      <c r="J484" s="6">
        <f>[1]Emissions!I901</f>
        <v>0.34151990869999999</v>
      </c>
      <c r="K484" s="6">
        <f>[1]Emissions!J901</f>
        <v>0.3522305751</v>
      </c>
      <c r="L484" s="6">
        <f>[1]Emissions!K901</f>
        <v>0.3629182634</v>
      </c>
      <c r="M484" s="6">
        <f>[1]Emissions!L901</f>
        <v>0.37230797999999998</v>
      </c>
      <c r="N484" s="6">
        <f>[1]Emissions!M901</f>
        <v>0.37958159969999999</v>
      </c>
      <c r="O484" s="6">
        <f>[1]Emissions!N901</f>
        <v>0.3849562077</v>
      </c>
      <c r="P484" s="6">
        <f>[1]Emissions!O901</f>
        <v>0.38911057459999998</v>
      </c>
      <c r="Q484" s="6">
        <f>[1]Emissions!P901</f>
        <v>0.3928227681</v>
      </c>
      <c r="R484" s="6">
        <f>[1]Emissions!Q901</f>
        <v>0.39664919990000003</v>
      </c>
      <c r="S484" s="6">
        <f>[1]Emissions!R901</f>
        <v>0.40080835050000002</v>
      </c>
      <c r="T484" s="6">
        <f>[1]Emissions!S901</f>
        <v>0.40531147480000002</v>
      </c>
      <c r="U484" s="6">
        <f>[1]Emissions!T901</f>
        <v>0.41008870660000002</v>
      </c>
      <c r="V484" s="6">
        <f>[1]Emissions!U901</f>
        <v>0.4150934812</v>
      </c>
      <c r="W484" s="6">
        <f>[1]Emissions!V901</f>
        <v>0.42018066879999999</v>
      </c>
      <c r="X484" s="6">
        <f>[1]Emissions!W901</f>
        <v>0.42566028</v>
      </c>
      <c r="Y484" s="6">
        <f>[1]Emissions!X901</f>
        <v>0.431608663</v>
      </c>
      <c r="Z484" s="6">
        <f>[1]Emissions!Y901</f>
        <v>0.43808108649999999</v>
      </c>
      <c r="AA484" s="6">
        <f>[1]Emissions!Z901</f>
        <v>0.44509965070000002</v>
      </c>
      <c r="AB484" s="6">
        <f>[1]Emissions!AA901</f>
        <v>0.45205201109999998</v>
      </c>
      <c r="AC484" s="6">
        <f>[1]Emissions!AB901</f>
        <v>0.45937172230000001</v>
      </c>
      <c r="AD484" s="6">
        <f>[1]Emissions!AC901</f>
        <v>0.46679556039999998</v>
      </c>
      <c r="AE484" s="6">
        <f>[1]Emissions!AD901</f>
        <v>0.47410547380000001</v>
      </c>
      <c r="AF484" s="6">
        <f>[1]Emissions!AE901</f>
        <v>0.4812116783</v>
      </c>
      <c r="AG484" s="6">
        <f>[1]Emissions!AF901</f>
        <v>0.48812502749999997</v>
      </c>
      <c r="AH484" s="6">
        <f>[1]Emissions!AG901</f>
        <v>0.4948999046</v>
      </c>
      <c r="AI484" s="6">
        <f>[1]Emissions!AH901</f>
        <v>0.50160442130000005</v>
      </c>
      <c r="AJ484" s="6">
        <f>[1]Emissions!AI901</f>
        <v>0.50829472959999999</v>
      </c>
      <c r="AK484" s="6">
        <f>[1]Emissions!AJ901</f>
        <v>0.51500215949999995</v>
      </c>
      <c r="AL484" s="6">
        <f>[1]Emissions!AK901</f>
        <v>0.52173943970000003</v>
      </c>
    </row>
    <row r="485" spans="2:38" x14ac:dyDescent="0.3">
      <c r="B485" s="6" t="str">
        <f>[1]Emissions!A902</f>
        <v>ems_ci_co2_sech_2</v>
      </c>
      <c r="C485" s="6">
        <f>[1]Emissions!B902</f>
        <v>2.6056617270000002</v>
      </c>
      <c r="D485" s="6">
        <f>[1]Emissions!C902</f>
        <v>2.630545074</v>
      </c>
      <c r="E485" s="6">
        <f>[1]Emissions!D902</f>
        <v>2.6557626760000002</v>
      </c>
      <c r="F485" s="6">
        <f>[1]Emissions!E902</f>
        <v>2.6858470919999999</v>
      </c>
      <c r="G485" s="6">
        <f>[1]Emissions!F902</f>
        <v>2.723039789</v>
      </c>
      <c r="H485" s="6">
        <f>[1]Emissions!G902</f>
        <v>2.768383085</v>
      </c>
      <c r="I485" s="6">
        <f>[1]Emissions!H902</f>
        <v>2.822298741</v>
      </c>
      <c r="J485" s="6">
        <f>[1]Emissions!I902</f>
        <v>2.889040557</v>
      </c>
      <c r="K485" s="6">
        <f>[1]Emissions!J902</f>
        <v>2.9636931729999998</v>
      </c>
      <c r="L485" s="6">
        <f>[1]Emissions!K902</f>
        <v>3.036389453</v>
      </c>
      <c r="M485" s="6">
        <f>[1]Emissions!L902</f>
        <v>3.101001804</v>
      </c>
      <c r="N485" s="6">
        <f>[1]Emissions!M902</f>
        <v>3.1520953999999999</v>
      </c>
      <c r="O485" s="6">
        <f>[1]Emissions!N902</f>
        <v>3.1917534779999999</v>
      </c>
      <c r="P485" s="6">
        <f>[1]Emissions!O902</f>
        <v>3.2247801850000002</v>
      </c>
      <c r="Q485" s="6">
        <f>[1]Emissions!P902</f>
        <v>3.2562975879999998</v>
      </c>
      <c r="R485" s="6">
        <f>[1]Emissions!Q902</f>
        <v>3.2896560149999998</v>
      </c>
      <c r="S485" s="6">
        <f>[1]Emissions!R902</f>
        <v>3.3257050399999999</v>
      </c>
      <c r="T485" s="6">
        <f>[1]Emissions!S902</f>
        <v>3.3640360380000001</v>
      </c>
      <c r="U485" s="6">
        <f>[1]Emissions!T902</f>
        <v>3.4038588409999999</v>
      </c>
      <c r="V485" s="6">
        <f>[1]Emissions!U902</f>
        <v>3.444660533</v>
      </c>
      <c r="W485" s="6">
        <f>[1]Emissions!V902</f>
        <v>3.4847003650000001</v>
      </c>
      <c r="X485" s="6">
        <f>[1]Emissions!W902</f>
        <v>3.5268024229999999</v>
      </c>
      <c r="Y485" s="6">
        <f>[1]Emissions!X902</f>
        <v>3.5715162820000002</v>
      </c>
      <c r="Z485" s="6">
        <f>[1]Emissions!Y902</f>
        <v>3.6190498820000001</v>
      </c>
      <c r="AA485" s="6">
        <f>[1]Emissions!Z902</f>
        <v>3.6694931529999999</v>
      </c>
      <c r="AB485" s="6">
        <f>[1]Emissions!AA902</f>
        <v>3.717056564</v>
      </c>
      <c r="AC485" s="6">
        <f>[1]Emissions!AB902</f>
        <v>3.7662743700000001</v>
      </c>
      <c r="AD485" s="6">
        <f>[1]Emissions!AC902</f>
        <v>3.8161007279999999</v>
      </c>
      <c r="AE485" s="6">
        <f>[1]Emissions!AD902</f>
        <v>3.865271431</v>
      </c>
      <c r="AF485" s="6">
        <f>[1]Emissions!AE902</f>
        <v>3.9133130619999998</v>
      </c>
      <c r="AG485" s="6">
        <f>[1]Emissions!AF902</f>
        <v>3.9603659219999998</v>
      </c>
      <c r="AH485" s="6">
        <f>[1]Emissions!AG902</f>
        <v>4.0067393329999996</v>
      </c>
      <c r="AI485" s="6">
        <f>[1]Emissions!AH902</f>
        <v>4.0528048190000003</v>
      </c>
      <c r="AJ485" s="6">
        <f>[1]Emissions!AI902</f>
        <v>4.0988645669999997</v>
      </c>
      <c r="AK485" s="6">
        <f>[1]Emissions!AJ902</f>
        <v>4.1450603890000002</v>
      </c>
      <c r="AL485" s="6">
        <f>[1]Emissions!AK902</f>
        <v>4.1914157889999997</v>
      </c>
    </row>
    <row r="486" spans="2:38" x14ac:dyDescent="0.3">
      <c r="B486" s="6" t="str">
        <f>[1]Emissions!A903</f>
        <v>ems_y_co2_sech_2</v>
      </c>
      <c r="C486" s="6">
        <f>[1]Emissions!B903</f>
        <v>0</v>
      </c>
      <c r="D486" s="6">
        <f>[1]Emissions!C903</f>
        <v>0</v>
      </c>
      <c r="E486" s="6">
        <f>[1]Emissions!D903</f>
        <v>0</v>
      </c>
      <c r="F486" s="6">
        <f>[1]Emissions!E903</f>
        <v>0</v>
      </c>
      <c r="G486" s="6">
        <f>[1]Emissions!F903</f>
        <v>0</v>
      </c>
      <c r="H486" s="6">
        <f>[1]Emissions!G903</f>
        <v>0</v>
      </c>
      <c r="I486" s="6">
        <f>[1]Emissions!H903</f>
        <v>0</v>
      </c>
      <c r="J486" s="6">
        <f>[1]Emissions!I903</f>
        <v>0</v>
      </c>
      <c r="K486" s="6">
        <f>[1]Emissions!J903</f>
        <v>0</v>
      </c>
      <c r="L486" s="6">
        <f>[1]Emissions!K903</f>
        <v>0</v>
      </c>
      <c r="M486" s="6">
        <f>[1]Emissions!L903</f>
        <v>0</v>
      </c>
      <c r="N486" s="6">
        <f>[1]Emissions!M903</f>
        <v>0</v>
      </c>
      <c r="O486" s="6">
        <f>[1]Emissions!N903</f>
        <v>0</v>
      </c>
      <c r="P486" s="6">
        <f>[1]Emissions!O903</f>
        <v>0</v>
      </c>
      <c r="Q486" s="6">
        <f>[1]Emissions!P903</f>
        <v>0</v>
      </c>
      <c r="R486" s="6">
        <f>[1]Emissions!Q903</f>
        <v>0</v>
      </c>
      <c r="S486" s="6">
        <f>[1]Emissions!R903</f>
        <v>0</v>
      </c>
      <c r="T486" s="6">
        <f>[1]Emissions!S903</f>
        <v>0</v>
      </c>
      <c r="U486" s="6">
        <f>[1]Emissions!T903</f>
        <v>0</v>
      </c>
      <c r="V486" s="6">
        <f>[1]Emissions!U903</f>
        <v>0</v>
      </c>
      <c r="W486" s="6">
        <f>[1]Emissions!V903</f>
        <v>0</v>
      </c>
      <c r="X486" s="6">
        <f>[1]Emissions!W903</f>
        <v>0</v>
      </c>
      <c r="Y486" s="6">
        <f>[1]Emissions!X903</f>
        <v>0</v>
      </c>
      <c r="Z486" s="6">
        <f>[1]Emissions!Y903</f>
        <v>0</v>
      </c>
      <c r="AA486" s="6">
        <f>[1]Emissions!Z903</f>
        <v>0</v>
      </c>
      <c r="AB486" s="6">
        <f>[1]Emissions!AA903</f>
        <v>0</v>
      </c>
      <c r="AC486" s="6">
        <f>[1]Emissions!AB903</f>
        <v>0</v>
      </c>
      <c r="AD486" s="6">
        <f>[1]Emissions!AC903</f>
        <v>0</v>
      </c>
      <c r="AE486" s="6">
        <f>[1]Emissions!AD903</f>
        <v>0</v>
      </c>
      <c r="AF486" s="6">
        <f>[1]Emissions!AE903</f>
        <v>0</v>
      </c>
      <c r="AG486" s="6">
        <f>[1]Emissions!AF903</f>
        <v>0</v>
      </c>
      <c r="AH486" s="6">
        <f>[1]Emissions!AG903</f>
        <v>0</v>
      </c>
      <c r="AI486" s="6">
        <f>[1]Emissions!AH903</f>
        <v>0</v>
      </c>
      <c r="AJ486" s="6">
        <f>[1]Emissions!AI903</f>
        <v>0</v>
      </c>
      <c r="AK486" s="6">
        <f>[1]Emissions!AJ903</f>
        <v>0</v>
      </c>
      <c r="AL486" s="6">
        <f>[1]Emissions!AK903</f>
        <v>0</v>
      </c>
    </row>
    <row r="487" spans="2:38" x14ac:dyDescent="0.3">
      <c r="B487" s="6" t="str">
        <f>[1]Emissions!A904</f>
        <v>ems_mat_co2_sech_2</v>
      </c>
      <c r="C487" s="6">
        <f>[1]Emissions!B904</f>
        <v>0.17858292410000001</v>
      </c>
      <c r="D487" s="6">
        <f>[1]Emissions!C904</f>
        <v>0.18027428209999999</v>
      </c>
      <c r="E487" s="6">
        <f>[1]Emissions!D904</f>
        <v>0.181976583</v>
      </c>
      <c r="F487" s="6">
        <f>[1]Emissions!E904</f>
        <v>0.1840092696</v>
      </c>
      <c r="G487" s="6">
        <f>[1]Emissions!F904</f>
        <v>0.18653498390000001</v>
      </c>
      <c r="H487" s="6">
        <f>[1]Emissions!G904</f>
        <v>0.18963116599999999</v>
      </c>
      <c r="I487" s="6">
        <f>[1]Emissions!H904</f>
        <v>0.19340030450000001</v>
      </c>
      <c r="J487" s="6">
        <f>[1]Emissions!I904</f>
        <v>0.19809640170000001</v>
      </c>
      <c r="K487" s="6">
        <f>[1]Emissions!J904</f>
        <v>0.20335234320000001</v>
      </c>
      <c r="L487" s="6">
        <f>[1]Emissions!K904</f>
        <v>0.20846816030000001</v>
      </c>
      <c r="M487" s="6">
        <f>[1]Emissions!L904</f>
        <v>0.2130085102</v>
      </c>
      <c r="N487" s="6">
        <f>[1]Emissions!M904</f>
        <v>0.2165951056</v>
      </c>
      <c r="O487" s="6">
        <f>[1]Emissions!N904</f>
        <v>0.2193728465</v>
      </c>
      <c r="P487" s="6">
        <f>[1]Emissions!O904</f>
        <v>0.2216782092</v>
      </c>
      <c r="Q487" s="6">
        <f>[1]Emissions!P904</f>
        <v>0.2238707925</v>
      </c>
      <c r="R487" s="6">
        <f>[1]Emissions!Q904</f>
        <v>0.22618722259999999</v>
      </c>
      <c r="S487" s="6">
        <f>[1]Emissions!R904</f>
        <v>0.2286899111</v>
      </c>
      <c r="T487" s="6">
        <f>[1]Emissions!S904</f>
        <v>0.23135252619999999</v>
      </c>
      <c r="U487" s="6">
        <f>[1]Emissions!T904</f>
        <v>0.23412093619999999</v>
      </c>
      <c r="V487" s="6">
        <f>[1]Emissions!U904</f>
        <v>0.2369593257</v>
      </c>
      <c r="W487" s="6">
        <f>[1]Emissions!V904</f>
        <v>0.23974719620000001</v>
      </c>
      <c r="X487" s="6">
        <f>[1]Emissions!W904</f>
        <v>0.2426782129</v>
      </c>
      <c r="Y487" s="6">
        <f>[1]Emissions!X904</f>
        <v>0.24579010200000001</v>
      </c>
      <c r="Z487" s="6">
        <f>[1]Emissions!Y904</f>
        <v>0.24909708110000001</v>
      </c>
      <c r="AA487" s="6">
        <f>[1]Emissions!Z904</f>
        <v>0.2526051654</v>
      </c>
      <c r="AB487" s="6">
        <f>[1]Emissions!AA904</f>
        <v>0.25591503110000002</v>
      </c>
      <c r="AC487" s="6">
        <f>[1]Emissions!AB904</f>
        <v>0.25933780789999999</v>
      </c>
      <c r="AD487" s="6">
        <f>[1]Emissions!AC904</f>
        <v>0.26280076299999999</v>
      </c>
      <c r="AE487" s="6">
        <f>[1]Emissions!AD904</f>
        <v>0.26621596650000001</v>
      </c>
      <c r="AF487" s="6">
        <f>[1]Emissions!AE904</f>
        <v>0.26955017590000002</v>
      </c>
      <c r="AG487" s="6">
        <f>[1]Emissions!AF904</f>
        <v>0.27281283099999998</v>
      </c>
      <c r="AH487" s="6">
        <f>[1]Emissions!AG904</f>
        <v>0.27602539189999997</v>
      </c>
      <c r="AI487" s="6">
        <f>[1]Emissions!AH904</f>
        <v>0.2792138314</v>
      </c>
      <c r="AJ487" s="6">
        <f>[1]Emissions!AI904</f>
        <v>0.28239940679999997</v>
      </c>
      <c r="AK487" s="6">
        <f>[1]Emissions!AJ904</f>
        <v>0.28559227459999997</v>
      </c>
      <c r="AL487" s="6">
        <f>[1]Emissions!AK904</f>
        <v>0.2887943543</v>
      </c>
    </row>
    <row r="488" spans="2:38" x14ac:dyDescent="0.3">
      <c r="B488" s="6" t="str">
        <f>[1]Emissions!A905</f>
        <v>ems_ci_co2_seot_2</v>
      </c>
      <c r="C488" s="6">
        <f>[1]Emissions!B905</f>
        <v>1.7911663689999999</v>
      </c>
      <c r="D488" s="6">
        <f>[1]Emissions!C905</f>
        <v>1.8030142730000001</v>
      </c>
      <c r="E488" s="6">
        <f>[1]Emissions!D905</f>
        <v>1.8127593070000001</v>
      </c>
      <c r="F488" s="6">
        <f>[1]Emissions!E905</f>
        <v>1.8260224410000001</v>
      </c>
      <c r="G488" s="6">
        <f>[1]Emissions!F905</f>
        <v>1.84594452</v>
      </c>
      <c r="H488" s="6">
        <f>[1]Emissions!G905</f>
        <v>1.874216602</v>
      </c>
      <c r="I488" s="6">
        <f>[1]Emissions!H905</f>
        <v>1.9121158570000001</v>
      </c>
      <c r="J488" s="6">
        <f>[1]Emissions!I905</f>
        <v>1.9634633990000001</v>
      </c>
      <c r="K488" s="6">
        <f>[1]Emissions!J905</f>
        <v>2.0242327069999999</v>
      </c>
      <c r="L488" s="6">
        <f>[1]Emissions!K905</f>
        <v>2.0852129690000001</v>
      </c>
      <c r="M488" s="6">
        <f>[1]Emissions!L905</f>
        <v>2.138946808</v>
      </c>
      <c r="N488" s="6">
        <f>[1]Emissions!M905</f>
        <v>2.1805594529999999</v>
      </c>
      <c r="O488" s="6">
        <f>[1]Emissions!N905</f>
        <v>2.21118258</v>
      </c>
      <c r="P488" s="6">
        <f>[1]Emissions!O905</f>
        <v>2.2346863140000002</v>
      </c>
      <c r="Q488" s="6">
        <f>[1]Emissions!P905</f>
        <v>2.2555741899999999</v>
      </c>
      <c r="R488" s="6">
        <f>[1]Emissions!Q905</f>
        <v>2.2770957410000001</v>
      </c>
      <c r="S488" s="6">
        <f>[1]Emissions!R905</f>
        <v>2.3005438620000001</v>
      </c>
      <c r="T488" s="6">
        <f>[1]Emissions!S905</f>
        <v>2.3259909749999998</v>
      </c>
      <c r="U488" s="6">
        <f>[1]Emissions!T905</f>
        <v>2.3530177750000001</v>
      </c>
      <c r="V488" s="6">
        <f>[1]Emissions!U905</f>
        <v>2.3813278750000002</v>
      </c>
      <c r="W488" s="6">
        <f>[1]Emissions!V905</f>
        <v>2.4100681800000001</v>
      </c>
      <c r="X488" s="6">
        <f>[1]Emissions!W905</f>
        <v>2.4410077100000001</v>
      </c>
      <c r="Y488" s="6">
        <f>[1]Emissions!X905</f>
        <v>2.4745868560000002</v>
      </c>
      <c r="Z488" s="6">
        <f>[1]Emissions!Y905</f>
        <v>2.5111407560000001</v>
      </c>
      <c r="AA488" s="6">
        <f>[1]Emissions!Z905</f>
        <v>2.550822675</v>
      </c>
      <c r="AB488" s="6">
        <f>[1]Emissions!AA905</f>
        <v>2.590158293</v>
      </c>
      <c r="AC488" s="6">
        <f>[1]Emissions!AB905</f>
        <v>2.6316511839999999</v>
      </c>
      <c r="AD488" s="6">
        <f>[1]Emissions!AC905</f>
        <v>2.6737872060000001</v>
      </c>
      <c r="AE488" s="6">
        <f>[1]Emissions!AD905</f>
        <v>2.7153037310000001</v>
      </c>
      <c r="AF488" s="6">
        <f>[1]Emissions!AE905</f>
        <v>2.75567502</v>
      </c>
      <c r="AG488" s="6">
        <f>[1]Emissions!AF905</f>
        <v>2.794959183</v>
      </c>
      <c r="AH488" s="6">
        <f>[1]Emissions!AG905</f>
        <v>2.833471173</v>
      </c>
      <c r="AI488" s="6">
        <f>[1]Emissions!AH905</f>
        <v>2.8716083970000001</v>
      </c>
      <c r="AJ488" s="6">
        <f>[1]Emissions!AI905</f>
        <v>2.909698932</v>
      </c>
      <c r="AK488" s="6">
        <f>[1]Emissions!AJ905</f>
        <v>2.9479245430000001</v>
      </c>
      <c r="AL488" s="6">
        <f>[1]Emissions!AK905</f>
        <v>2.986355402</v>
      </c>
    </row>
    <row r="489" spans="2:38" x14ac:dyDescent="0.3">
      <c r="B489" s="6" t="str">
        <f>[1]Emissions!A906</f>
        <v>ems_y_co2_seot_2</v>
      </c>
      <c r="C489" s="6">
        <f>[1]Emissions!B906</f>
        <v>0</v>
      </c>
      <c r="D489" s="6">
        <f>[1]Emissions!C906</f>
        <v>0</v>
      </c>
      <c r="E489" s="6">
        <f>[1]Emissions!D906</f>
        <v>0</v>
      </c>
      <c r="F489" s="6">
        <f>[1]Emissions!E906</f>
        <v>0</v>
      </c>
      <c r="G489" s="6">
        <f>[1]Emissions!F906</f>
        <v>0</v>
      </c>
      <c r="H489" s="6">
        <f>[1]Emissions!G906</f>
        <v>0</v>
      </c>
      <c r="I489" s="6">
        <f>[1]Emissions!H906</f>
        <v>0</v>
      </c>
      <c r="J489" s="6">
        <f>[1]Emissions!I906</f>
        <v>0</v>
      </c>
      <c r="K489" s="6">
        <f>[1]Emissions!J906</f>
        <v>0</v>
      </c>
      <c r="L489" s="6">
        <f>[1]Emissions!K906</f>
        <v>0</v>
      </c>
      <c r="M489" s="6">
        <f>[1]Emissions!L906</f>
        <v>0</v>
      </c>
      <c r="N489" s="6">
        <f>[1]Emissions!M906</f>
        <v>0</v>
      </c>
      <c r="O489" s="6">
        <f>[1]Emissions!N906</f>
        <v>0</v>
      </c>
      <c r="P489" s="6">
        <f>[1]Emissions!O906</f>
        <v>0</v>
      </c>
      <c r="Q489" s="6">
        <f>[1]Emissions!P906</f>
        <v>0</v>
      </c>
      <c r="R489" s="6">
        <f>[1]Emissions!Q906</f>
        <v>0</v>
      </c>
      <c r="S489" s="6">
        <f>[1]Emissions!R906</f>
        <v>0</v>
      </c>
      <c r="T489" s="6">
        <f>[1]Emissions!S906</f>
        <v>0</v>
      </c>
      <c r="U489" s="6">
        <f>[1]Emissions!T906</f>
        <v>0</v>
      </c>
      <c r="V489" s="6">
        <f>[1]Emissions!U906</f>
        <v>0</v>
      </c>
      <c r="W489" s="6">
        <f>[1]Emissions!V906</f>
        <v>0</v>
      </c>
      <c r="X489" s="6">
        <f>[1]Emissions!W906</f>
        <v>0</v>
      </c>
      <c r="Y489" s="6">
        <f>[1]Emissions!X906</f>
        <v>0</v>
      </c>
      <c r="Z489" s="6">
        <f>[1]Emissions!Y906</f>
        <v>0</v>
      </c>
      <c r="AA489" s="6">
        <f>[1]Emissions!Z906</f>
        <v>0</v>
      </c>
      <c r="AB489" s="6">
        <f>[1]Emissions!AA906</f>
        <v>0</v>
      </c>
      <c r="AC489" s="6">
        <f>[1]Emissions!AB906</f>
        <v>0</v>
      </c>
      <c r="AD489" s="6">
        <f>[1]Emissions!AC906</f>
        <v>0</v>
      </c>
      <c r="AE489" s="6">
        <f>[1]Emissions!AD906</f>
        <v>0</v>
      </c>
      <c r="AF489" s="6">
        <f>[1]Emissions!AE906</f>
        <v>0</v>
      </c>
      <c r="AG489" s="6">
        <f>[1]Emissions!AF906</f>
        <v>0</v>
      </c>
      <c r="AH489" s="6">
        <f>[1]Emissions!AG906</f>
        <v>0</v>
      </c>
      <c r="AI489" s="6">
        <f>[1]Emissions!AH906</f>
        <v>0</v>
      </c>
      <c r="AJ489" s="6">
        <f>[1]Emissions!AI906</f>
        <v>0</v>
      </c>
      <c r="AK489" s="6">
        <f>[1]Emissions!AJ906</f>
        <v>0</v>
      </c>
      <c r="AL489" s="6">
        <f>[1]Emissions!AK906</f>
        <v>0</v>
      </c>
    </row>
    <row r="490" spans="2:38" x14ac:dyDescent="0.3">
      <c r="B490" s="6" t="str">
        <f>[1]Emissions!A907</f>
        <v>ems_mat_co2_seot_2</v>
      </c>
      <c r="C490" s="6">
        <f>[1]Emissions!B907</f>
        <v>0.1227619965</v>
      </c>
      <c r="D490" s="6">
        <f>[1]Emissions!C907</f>
        <v>0.12356616450000001</v>
      </c>
      <c r="E490" s="6">
        <f>[1]Emissions!D907</f>
        <v>0.1242208853</v>
      </c>
      <c r="F490" s="6">
        <f>[1]Emissions!E907</f>
        <v>0.12511905849999999</v>
      </c>
      <c r="G490" s="6">
        <f>[1]Emissions!F907</f>
        <v>0.1264803951</v>
      </c>
      <c r="H490" s="6">
        <f>[1]Emissions!G907</f>
        <v>0.12842099579999999</v>
      </c>
      <c r="I490" s="6">
        <f>[1]Emissions!H907</f>
        <v>0.13108436439999999</v>
      </c>
      <c r="J490" s="6">
        <f>[1]Emissions!I907</f>
        <v>0.13467986900000001</v>
      </c>
      <c r="K490" s="6">
        <f>[1]Emissions!J907</f>
        <v>0.13890366709999999</v>
      </c>
      <c r="L490" s="6">
        <f>[1]Emissions!K907</f>
        <v>0.14311840370000001</v>
      </c>
      <c r="M490" s="6">
        <f>[1]Emissions!L907</f>
        <v>0.14682127950000001</v>
      </c>
      <c r="N490" s="6">
        <f>[1]Emissions!M907</f>
        <v>0.14968966319999999</v>
      </c>
      <c r="O490" s="6">
        <f>[1]Emissions!N907</f>
        <v>0.15180916329999999</v>
      </c>
      <c r="P490" s="6">
        <f>[1]Emissions!O907</f>
        <v>0.15344745609999999</v>
      </c>
      <c r="Q490" s="6">
        <f>[1]Emissions!P907</f>
        <v>0.1549113758</v>
      </c>
      <c r="R490" s="6">
        <f>[1]Emissions!Q907</f>
        <v>0.15642034590000001</v>
      </c>
      <c r="S490" s="6">
        <f>[1]Emissions!R907</f>
        <v>0.1580605252</v>
      </c>
      <c r="T490" s="6">
        <f>[1]Emissions!S907</f>
        <v>0.15983635190000001</v>
      </c>
      <c r="U490" s="6">
        <f>[1]Emissions!T907</f>
        <v>0.16172027410000001</v>
      </c>
      <c r="V490" s="6">
        <f>[1]Emissions!U907</f>
        <v>0.16369392890000001</v>
      </c>
      <c r="W490" s="6">
        <f>[1]Emissions!V907</f>
        <v>0.16570008359999999</v>
      </c>
      <c r="X490" s="6">
        <f>[1]Emissions!W907</f>
        <v>0.1678609922</v>
      </c>
      <c r="Y490" s="6">
        <f>[1]Emissions!X907</f>
        <v>0.17020676309999999</v>
      </c>
      <c r="Z490" s="6">
        <f>[1]Emissions!Y907</f>
        <v>0.17275919149999999</v>
      </c>
      <c r="AA490" s="6">
        <f>[1]Emissions!Z907</f>
        <v>0.17552699299999999</v>
      </c>
      <c r="AB490" s="6">
        <f>[1]Emissions!AA907</f>
        <v>0.17826868670000001</v>
      </c>
      <c r="AC490" s="6">
        <f>[1]Emissions!AB907</f>
        <v>0.18115524690000001</v>
      </c>
      <c r="AD490" s="6">
        <f>[1]Emissions!AC907</f>
        <v>0.18408286979999999</v>
      </c>
      <c r="AE490" s="6">
        <f>[1]Emissions!AD907</f>
        <v>0.18696556610000001</v>
      </c>
      <c r="AF490" s="6">
        <f>[1]Emissions!AE907</f>
        <v>0.189767929</v>
      </c>
      <c r="AG490" s="6">
        <f>[1]Emissions!AF907</f>
        <v>0.19249423839999999</v>
      </c>
      <c r="AH490" s="6">
        <f>[1]Emissions!AG907</f>
        <v>0.19516594079999999</v>
      </c>
      <c r="AI490" s="6">
        <f>[1]Emissions!AH907</f>
        <v>0.19780989630000001</v>
      </c>
      <c r="AJ490" s="6">
        <f>[1]Emissions!AI907</f>
        <v>0.20044824859999999</v>
      </c>
      <c r="AK490" s="6">
        <f>[1]Emissions!AJ907</f>
        <v>0.203093353</v>
      </c>
      <c r="AL490" s="6">
        <f>[1]Emissions!AK907</f>
        <v>0.20575022879999999</v>
      </c>
    </row>
    <row r="491" spans="2:38" x14ac:dyDescent="0.3"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</row>
    <row r="492" spans="2:38" hidden="1" x14ac:dyDescent="0.3">
      <c r="B492" s="16" t="str">
        <f>[1]Emissions!A908</f>
        <v>ems_ci_co2_sagr_0</v>
      </c>
      <c r="C492" s="6">
        <f>[1]Emissions!B908</f>
        <v>11.91229208</v>
      </c>
      <c r="D492" s="6">
        <f>[1]Emissions!C908</f>
        <v>11.766586050000001</v>
      </c>
      <c r="E492" s="6">
        <f>[1]Emissions!D908</f>
        <v>11.58078179</v>
      </c>
      <c r="F492" s="6">
        <f>[1]Emissions!E908</f>
        <v>11.43452162</v>
      </c>
      <c r="G492" s="6">
        <f>[1]Emissions!F908</f>
        <v>11.36323118</v>
      </c>
      <c r="H492" s="6">
        <f>[1]Emissions!G908</f>
        <v>11.376561239999999</v>
      </c>
      <c r="I492" s="6">
        <f>[1]Emissions!H908</f>
        <v>11.45929099</v>
      </c>
      <c r="J492" s="6">
        <f>[1]Emissions!I908</f>
        <v>11.596165559999999</v>
      </c>
      <c r="K492" s="6">
        <f>[1]Emissions!J908</f>
        <v>11.76296623</v>
      </c>
      <c r="L492" s="6">
        <f>[1]Emissions!K908</f>
        <v>11.936225930000001</v>
      </c>
      <c r="M492" s="6">
        <f>[1]Emissions!L908</f>
        <v>12.10686125</v>
      </c>
      <c r="N492" s="6">
        <f>[1]Emissions!M908</f>
        <v>12.257308869999999</v>
      </c>
      <c r="O492" s="6">
        <f>[1]Emissions!N908</f>
        <v>12.391696120000001</v>
      </c>
      <c r="P492" s="6">
        <f>[1]Emissions!O908</f>
        <v>12.51224785</v>
      </c>
      <c r="Q492" s="6">
        <f>[1]Emissions!P908</f>
        <v>12.61874766</v>
      </c>
      <c r="R492" s="6">
        <f>[1]Emissions!Q908</f>
        <v>12.70936373</v>
      </c>
      <c r="S492" s="6">
        <f>[1]Emissions!R908</f>
        <v>12.78227759</v>
      </c>
      <c r="T492" s="6">
        <f>[1]Emissions!S908</f>
        <v>12.837146779999999</v>
      </c>
      <c r="U492" s="6">
        <f>[1]Emissions!T908</f>
        <v>12.87571204</v>
      </c>
      <c r="V492" s="6">
        <f>[1]Emissions!U908</f>
        <v>12.901474520000001</v>
      </c>
      <c r="W492" s="6">
        <f>[1]Emissions!V908</f>
        <v>12.912949660000001</v>
      </c>
      <c r="X492" s="6">
        <f>[1]Emissions!W908</f>
        <v>12.92226088</v>
      </c>
      <c r="Y492" s="6">
        <f>[1]Emissions!X908</f>
        <v>12.930111009999999</v>
      </c>
      <c r="Z492" s="6">
        <f>[1]Emissions!Y908</f>
        <v>12.939261719999999</v>
      </c>
      <c r="AA492" s="6">
        <f>[1]Emissions!Z908</f>
        <v>12.952257019999999</v>
      </c>
      <c r="AB492" s="6">
        <f>[1]Emissions!AA908</f>
        <v>12.95258589</v>
      </c>
      <c r="AC492" s="6">
        <f>[1]Emissions!AB908</f>
        <v>12.957753950000001</v>
      </c>
      <c r="AD492" s="6">
        <f>[1]Emissions!AC908</f>
        <v>12.962259680000001</v>
      </c>
      <c r="AE492" s="6">
        <f>[1]Emissions!AD908</f>
        <v>12.96522506</v>
      </c>
      <c r="AF492" s="6">
        <f>[1]Emissions!AE908</f>
        <v>12.96845334</v>
      </c>
      <c r="AG492" s="6">
        <f>[1]Emissions!AF908</f>
        <v>12.974827019999999</v>
      </c>
      <c r="AH492" s="6">
        <f>[1]Emissions!AG908</f>
        <v>12.986756700000001</v>
      </c>
      <c r="AI492" s="6">
        <f>[1]Emissions!AH908</f>
        <v>13.005221280000001</v>
      </c>
      <c r="AJ492" s="6">
        <f>[1]Emissions!AI908</f>
        <v>13.029612869999999</v>
      </c>
      <c r="AK492" s="6">
        <f>[1]Emissions!AJ908</f>
        <v>13.058229450000001</v>
      </c>
      <c r="AL492" s="6">
        <f>[1]Emissions!AK908</f>
        <v>13.08906324</v>
      </c>
    </row>
    <row r="493" spans="2:38" hidden="1" x14ac:dyDescent="0.3">
      <c r="B493" s="16" t="str">
        <f>[1]Emissions!A909</f>
        <v>ems_y_co2_sagr_0</v>
      </c>
      <c r="C493" s="6">
        <f>[1]Emissions!B909</f>
        <v>2.3494161770000002</v>
      </c>
      <c r="D493" s="6">
        <f>[1]Emissions!C909</f>
        <v>2.332651281</v>
      </c>
      <c r="E493" s="6">
        <f>[1]Emissions!D909</f>
        <v>2.320756571</v>
      </c>
      <c r="F493" s="6">
        <f>[1]Emissions!E909</f>
        <v>2.3177076919999999</v>
      </c>
      <c r="G493" s="6">
        <f>[1]Emissions!F909</f>
        <v>2.3245017369999998</v>
      </c>
      <c r="H493" s="6">
        <f>[1]Emissions!G909</f>
        <v>2.340057125</v>
      </c>
      <c r="I493" s="6">
        <f>[1]Emissions!H909</f>
        <v>2.3608723340000002</v>
      </c>
      <c r="J493" s="6">
        <f>[1]Emissions!I909</f>
        <v>2.3850237569999999</v>
      </c>
      <c r="K493" s="6">
        <f>[1]Emissions!J909</f>
        <v>2.4103729280000001</v>
      </c>
      <c r="L493" s="6">
        <f>[1]Emissions!K909</f>
        <v>2.4352113590000002</v>
      </c>
      <c r="M493" s="6">
        <f>[1]Emissions!L909</f>
        <v>2.4606105550000001</v>
      </c>
      <c r="N493" s="6">
        <f>[1]Emissions!M909</f>
        <v>2.4825036819999999</v>
      </c>
      <c r="O493" s="6">
        <f>[1]Emissions!N909</f>
        <v>2.5011281790000002</v>
      </c>
      <c r="P493" s="6">
        <f>[1]Emissions!O909</f>
        <v>2.5164015970000002</v>
      </c>
      <c r="Q493" s="6">
        <f>[1]Emissions!P909</f>
        <v>2.5285931129999999</v>
      </c>
      <c r="R493" s="6">
        <f>[1]Emissions!Q909</f>
        <v>2.5382282680000001</v>
      </c>
      <c r="S493" s="6">
        <f>[1]Emissions!R909</f>
        <v>2.5459714349999998</v>
      </c>
      <c r="T493" s="6">
        <f>[1]Emissions!S909</f>
        <v>2.5525128119999998</v>
      </c>
      <c r="U493" s="6">
        <f>[1]Emissions!T909</f>
        <v>2.5584789720000001</v>
      </c>
      <c r="V493" s="6">
        <f>[1]Emissions!U909</f>
        <v>2.5643774810000002</v>
      </c>
      <c r="W493" s="6">
        <f>[1]Emissions!V909</f>
        <v>2.5688964360000002</v>
      </c>
      <c r="X493" s="6">
        <f>[1]Emissions!W909</f>
        <v>2.574795113</v>
      </c>
      <c r="Y493" s="6">
        <f>[1]Emissions!X909</f>
        <v>2.5816300449999998</v>
      </c>
      <c r="Z493" s="6">
        <f>[1]Emissions!Y909</f>
        <v>2.5894247680000002</v>
      </c>
      <c r="AA493" s="6">
        <f>[1]Emissions!Z909</f>
        <v>2.5980959330000002</v>
      </c>
      <c r="AB493" s="6">
        <f>[1]Emissions!AA909</f>
        <v>2.6027306330000002</v>
      </c>
      <c r="AC493" s="6">
        <f>[1]Emissions!AB909</f>
        <v>2.6082993050000001</v>
      </c>
      <c r="AD493" s="6">
        <f>[1]Emissions!AC909</f>
        <v>2.6140686280000001</v>
      </c>
      <c r="AE493" s="6">
        <f>[1]Emissions!AD909</f>
        <v>2.6202014010000001</v>
      </c>
      <c r="AF493" s="6">
        <f>[1]Emissions!AE909</f>
        <v>2.6267521020000002</v>
      </c>
      <c r="AG493" s="6">
        <f>[1]Emissions!AF909</f>
        <v>2.6336862860000001</v>
      </c>
      <c r="AH493" s="6">
        <f>[1]Emissions!AG909</f>
        <v>2.640915423</v>
      </c>
      <c r="AI493" s="6">
        <f>[1]Emissions!AH909</f>
        <v>2.6483335549999998</v>
      </c>
      <c r="AJ493" s="6">
        <f>[1]Emissions!AI909</f>
        <v>2.6558448349999999</v>
      </c>
      <c r="AK493" s="6">
        <f>[1]Emissions!AJ909</f>
        <v>2.6633768679999998</v>
      </c>
      <c r="AL493" s="6">
        <f>[1]Emissions!AK909</f>
        <v>2.6708810000000001</v>
      </c>
    </row>
    <row r="494" spans="2:38" hidden="1" x14ac:dyDescent="0.3">
      <c r="B494" s="16" t="str">
        <f>[1]Emissions!A910</f>
        <v>ems_mat_co2_sagr_0</v>
      </c>
      <c r="C494" s="6">
        <f>[1]Emissions!B910</f>
        <v>0</v>
      </c>
      <c r="D494" s="6">
        <f>[1]Emissions!C910</f>
        <v>0</v>
      </c>
      <c r="E494" s="6">
        <f>[1]Emissions!D910</f>
        <v>0</v>
      </c>
      <c r="F494" s="6">
        <f>[1]Emissions!E910</f>
        <v>0</v>
      </c>
      <c r="G494" s="6">
        <f>[1]Emissions!F910</f>
        <v>0</v>
      </c>
      <c r="H494" s="6">
        <f>[1]Emissions!G910</f>
        <v>0</v>
      </c>
      <c r="I494" s="6">
        <f>[1]Emissions!H910</f>
        <v>0</v>
      </c>
      <c r="J494" s="6">
        <f>[1]Emissions!I910</f>
        <v>0</v>
      </c>
      <c r="K494" s="6">
        <f>[1]Emissions!J910</f>
        <v>0</v>
      </c>
      <c r="L494" s="6">
        <f>[1]Emissions!K910</f>
        <v>0</v>
      </c>
      <c r="M494" s="6">
        <f>[1]Emissions!L910</f>
        <v>0</v>
      </c>
      <c r="N494" s="6">
        <f>[1]Emissions!M910</f>
        <v>0</v>
      </c>
      <c r="O494" s="6">
        <f>[1]Emissions!N910</f>
        <v>0</v>
      </c>
      <c r="P494" s="6">
        <f>[1]Emissions!O910</f>
        <v>0</v>
      </c>
      <c r="Q494" s="6">
        <f>[1]Emissions!P910</f>
        <v>0</v>
      </c>
      <c r="R494" s="6">
        <f>[1]Emissions!Q910</f>
        <v>0</v>
      </c>
      <c r="S494" s="6">
        <f>[1]Emissions!R910</f>
        <v>0</v>
      </c>
      <c r="T494" s="6">
        <f>[1]Emissions!S910</f>
        <v>0</v>
      </c>
      <c r="U494" s="6">
        <f>[1]Emissions!T910</f>
        <v>0</v>
      </c>
      <c r="V494" s="6">
        <f>[1]Emissions!U910</f>
        <v>0</v>
      </c>
      <c r="W494" s="6">
        <f>[1]Emissions!V910</f>
        <v>0</v>
      </c>
      <c r="X494" s="6">
        <f>[1]Emissions!W910</f>
        <v>0</v>
      </c>
      <c r="Y494" s="6">
        <f>[1]Emissions!X910</f>
        <v>0</v>
      </c>
      <c r="Z494" s="6">
        <f>[1]Emissions!Y910</f>
        <v>0</v>
      </c>
      <c r="AA494" s="6">
        <f>[1]Emissions!Z910</f>
        <v>0</v>
      </c>
      <c r="AB494" s="6">
        <f>[1]Emissions!AA910</f>
        <v>0</v>
      </c>
      <c r="AC494" s="6">
        <f>[1]Emissions!AB910</f>
        <v>0</v>
      </c>
      <c r="AD494" s="6">
        <f>[1]Emissions!AC910</f>
        <v>0</v>
      </c>
      <c r="AE494" s="6">
        <f>[1]Emissions!AD910</f>
        <v>0</v>
      </c>
      <c r="AF494" s="6">
        <f>[1]Emissions!AE910</f>
        <v>0</v>
      </c>
      <c r="AG494" s="6">
        <f>[1]Emissions!AF910</f>
        <v>0</v>
      </c>
      <c r="AH494" s="6">
        <f>[1]Emissions!AG910</f>
        <v>0</v>
      </c>
      <c r="AI494" s="6">
        <f>[1]Emissions!AH910</f>
        <v>0</v>
      </c>
      <c r="AJ494" s="6">
        <f>[1]Emissions!AI910</f>
        <v>0</v>
      </c>
      <c r="AK494" s="6">
        <f>[1]Emissions!AJ910</f>
        <v>0</v>
      </c>
      <c r="AL494" s="6">
        <f>[1]Emissions!AK910</f>
        <v>0</v>
      </c>
    </row>
    <row r="495" spans="2:38" hidden="1" x14ac:dyDescent="0.3">
      <c r="B495" s="16" t="str">
        <f>[1]Emissions!A911</f>
        <v>ems_ci_co2_sfor_0</v>
      </c>
      <c r="C495" s="6">
        <f>[1]Emissions!B911</f>
        <v>0.52096150529999996</v>
      </c>
      <c r="D495" s="6">
        <f>[1]Emissions!C911</f>
        <v>0.50699637990000002</v>
      </c>
      <c r="E495" s="6">
        <f>[1]Emissions!D911</f>
        <v>0.49206658749999999</v>
      </c>
      <c r="F495" s="6">
        <f>[1]Emissions!E911</f>
        <v>0.47962980999999999</v>
      </c>
      <c r="G495" s="6">
        <f>[1]Emissions!F911</f>
        <v>0.47064221350000002</v>
      </c>
      <c r="H495" s="6">
        <f>[1]Emissions!G911</f>
        <v>0.46535881429999998</v>
      </c>
      <c r="I495" s="6">
        <f>[1]Emissions!H911</f>
        <v>0.46287194450000002</v>
      </c>
      <c r="J495" s="6">
        <f>[1]Emissions!I911</f>
        <v>0.46323889930000001</v>
      </c>
      <c r="K495" s="6">
        <f>[1]Emissions!J911</f>
        <v>0.4656527338</v>
      </c>
      <c r="L495" s="6">
        <f>[1]Emissions!K911</f>
        <v>0.4692316835</v>
      </c>
      <c r="M495" s="6">
        <f>[1]Emissions!L911</f>
        <v>0.47413855919999998</v>
      </c>
      <c r="N495" s="6">
        <f>[1]Emissions!M911</f>
        <v>0.4784539304</v>
      </c>
      <c r="O495" s="6">
        <f>[1]Emissions!N911</f>
        <v>0.48301420249999999</v>
      </c>
      <c r="P495" s="6">
        <f>[1]Emissions!O911</f>
        <v>0.48798637049999999</v>
      </c>
      <c r="Q495" s="6">
        <f>[1]Emissions!P911</f>
        <v>0.49320868829999998</v>
      </c>
      <c r="R495" s="6">
        <f>[1]Emissions!Q911</f>
        <v>0.49842166399999999</v>
      </c>
      <c r="S495" s="6">
        <f>[1]Emissions!R911</f>
        <v>0.50338815879999999</v>
      </c>
      <c r="T495" s="6">
        <f>[1]Emissions!S911</f>
        <v>0.50796077350000002</v>
      </c>
      <c r="U495" s="6">
        <f>[1]Emissions!T911</f>
        <v>0.51210662110000005</v>
      </c>
      <c r="V495" s="6">
        <f>[1]Emissions!U911</f>
        <v>0.51589299209999995</v>
      </c>
      <c r="W495" s="6">
        <f>[1]Emissions!V911</f>
        <v>0.5188545094</v>
      </c>
      <c r="X495" s="6">
        <f>[1]Emissions!W911</f>
        <v>0.52232538380000004</v>
      </c>
      <c r="Y495" s="6">
        <f>[1]Emissions!X911</f>
        <v>0.52585764680000002</v>
      </c>
      <c r="Z495" s="6">
        <f>[1]Emissions!Y911</f>
        <v>0.52942205070000004</v>
      </c>
      <c r="AA495" s="6">
        <f>[1]Emissions!Z911</f>
        <v>0.53314183159999995</v>
      </c>
      <c r="AB495" s="6">
        <f>[1]Emissions!AA911</f>
        <v>0.53532003750000001</v>
      </c>
      <c r="AC495" s="6">
        <f>[1]Emissions!AB911</f>
        <v>0.53889236870000001</v>
      </c>
      <c r="AD495" s="6">
        <f>[1]Emissions!AC911</f>
        <v>0.54287290860000004</v>
      </c>
      <c r="AE495" s="6">
        <f>[1]Emissions!AD911</f>
        <v>0.5468908844</v>
      </c>
      <c r="AF495" s="6">
        <f>[1]Emissions!AE911</f>
        <v>0.55095851760000003</v>
      </c>
      <c r="AG495" s="6">
        <f>[1]Emissions!AF911</f>
        <v>0.55520345159999995</v>
      </c>
      <c r="AH495" s="6">
        <f>[1]Emissions!AG911</f>
        <v>0.55974211740000002</v>
      </c>
      <c r="AI495" s="6">
        <f>[1]Emissions!AH911</f>
        <v>0.56462684060000001</v>
      </c>
      <c r="AJ495" s="6">
        <f>[1]Emissions!AI911</f>
        <v>0.56983867659999998</v>
      </c>
      <c r="AK495" s="6">
        <f>[1]Emissions!AJ911</f>
        <v>0.57530992560000005</v>
      </c>
      <c r="AL495" s="6">
        <f>[1]Emissions!AK911</f>
        <v>0.58095735459999998</v>
      </c>
    </row>
    <row r="496" spans="2:38" hidden="1" x14ac:dyDescent="0.3">
      <c r="B496" s="16" t="str">
        <f>[1]Emissions!A912</f>
        <v>ems_y_co2_sfor_0</v>
      </c>
      <c r="C496" s="6">
        <f>[1]Emissions!B912</f>
        <v>0</v>
      </c>
      <c r="D496" s="6">
        <f>[1]Emissions!C912</f>
        <v>0</v>
      </c>
      <c r="E496" s="6">
        <f>[1]Emissions!D912</f>
        <v>0</v>
      </c>
      <c r="F496" s="6">
        <f>[1]Emissions!E912</f>
        <v>0</v>
      </c>
      <c r="G496" s="6">
        <f>[1]Emissions!F912</f>
        <v>0</v>
      </c>
      <c r="H496" s="6">
        <f>[1]Emissions!G912</f>
        <v>0</v>
      </c>
      <c r="I496" s="6">
        <f>[1]Emissions!H912</f>
        <v>0</v>
      </c>
      <c r="J496" s="6">
        <f>[1]Emissions!I912</f>
        <v>0</v>
      </c>
      <c r="K496" s="6">
        <f>[1]Emissions!J912</f>
        <v>0</v>
      </c>
      <c r="L496" s="6">
        <f>[1]Emissions!K912</f>
        <v>0</v>
      </c>
      <c r="M496" s="6">
        <f>[1]Emissions!L912</f>
        <v>0</v>
      </c>
      <c r="N496" s="6">
        <f>[1]Emissions!M912</f>
        <v>0</v>
      </c>
      <c r="O496" s="6">
        <f>[1]Emissions!N912</f>
        <v>0</v>
      </c>
      <c r="P496" s="6">
        <f>[1]Emissions!O912</f>
        <v>0</v>
      </c>
      <c r="Q496" s="6">
        <f>[1]Emissions!P912</f>
        <v>0</v>
      </c>
      <c r="R496" s="6">
        <f>[1]Emissions!Q912</f>
        <v>0</v>
      </c>
      <c r="S496" s="6">
        <f>[1]Emissions!R912</f>
        <v>0</v>
      </c>
      <c r="T496" s="6">
        <f>[1]Emissions!S912</f>
        <v>0</v>
      </c>
      <c r="U496" s="6">
        <f>[1]Emissions!T912</f>
        <v>0</v>
      </c>
      <c r="V496" s="6">
        <f>[1]Emissions!U912</f>
        <v>0</v>
      </c>
      <c r="W496" s="6">
        <f>[1]Emissions!V912</f>
        <v>0</v>
      </c>
      <c r="X496" s="6">
        <f>[1]Emissions!W912</f>
        <v>0</v>
      </c>
      <c r="Y496" s="6">
        <f>[1]Emissions!X912</f>
        <v>0</v>
      </c>
      <c r="Z496" s="6">
        <f>[1]Emissions!Y912</f>
        <v>0</v>
      </c>
      <c r="AA496" s="6">
        <f>[1]Emissions!Z912</f>
        <v>0</v>
      </c>
      <c r="AB496" s="6">
        <f>[1]Emissions!AA912</f>
        <v>0</v>
      </c>
      <c r="AC496" s="6">
        <f>[1]Emissions!AB912</f>
        <v>0</v>
      </c>
      <c r="AD496" s="6">
        <f>[1]Emissions!AC912</f>
        <v>0</v>
      </c>
      <c r="AE496" s="6">
        <f>[1]Emissions!AD912</f>
        <v>0</v>
      </c>
      <c r="AF496" s="6">
        <f>[1]Emissions!AE912</f>
        <v>0</v>
      </c>
      <c r="AG496" s="6">
        <f>[1]Emissions!AF912</f>
        <v>0</v>
      </c>
      <c r="AH496" s="6">
        <f>[1]Emissions!AG912</f>
        <v>0</v>
      </c>
      <c r="AI496" s="6">
        <f>[1]Emissions!AH912</f>
        <v>0</v>
      </c>
      <c r="AJ496" s="6">
        <f>[1]Emissions!AI912</f>
        <v>0</v>
      </c>
      <c r="AK496" s="6">
        <f>[1]Emissions!AJ912</f>
        <v>0</v>
      </c>
      <c r="AL496" s="6">
        <f>[1]Emissions!AK912</f>
        <v>0</v>
      </c>
    </row>
    <row r="497" spans="2:38" hidden="1" x14ac:dyDescent="0.3">
      <c r="B497" s="16" t="str">
        <f>[1]Emissions!A913</f>
        <v>ems_mat_co2_sfor_0</v>
      </c>
      <c r="C497" s="6">
        <f>[1]Emissions!B913</f>
        <v>0</v>
      </c>
      <c r="D497" s="6">
        <f>[1]Emissions!C913</f>
        <v>0</v>
      </c>
      <c r="E497" s="6">
        <f>[1]Emissions!D913</f>
        <v>0</v>
      </c>
      <c r="F497" s="6">
        <f>[1]Emissions!E913</f>
        <v>0</v>
      </c>
      <c r="G497" s="6">
        <f>[1]Emissions!F913</f>
        <v>0</v>
      </c>
      <c r="H497" s="6">
        <f>[1]Emissions!G913</f>
        <v>0</v>
      </c>
      <c r="I497" s="6">
        <f>[1]Emissions!H913</f>
        <v>0</v>
      </c>
      <c r="J497" s="6">
        <f>[1]Emissions!I913</f>
        <v>0</v>
      </c>
      <c r="K497" s="6">
        <f>[1]Emissions!J913</f>
        <v>0</v>
      </c>
      <c r="L497" s="6">
        <f>[1]Emissions!K913</f>
        <v>0</v>
      </c>
      <c r="M497" s="6">
        <f>[1]Emissions!L913</f>
        <v>0</v>
      </c>
      <c r="N497" s="6">
        <f>[1]Emissions!M913</f>
        <v>0</v>
      </c>
      <c r="O497" s="6">
        <f>[1]Emissions!N913</f>
        <v>0</v>
      </c>
      <c r="P497" s="6">
        <f>[1]Emissions!O913</f>
        <v>0</v>
      </c>
      <c r="Q497" s="6">
        <f>[1]Emissions!P913</f>
        <v>0</v>
      </c>
      <c r="R497" s="6">
        <f>[1]Emissions!Q913</f>
        <v>0</v>
      </c>
      <c r="S497" s="6">
        <f>[1]Emissions!R913</f>
        <v>0</v>
      </c>
      <c r="T497" s="6">
        <f>[1]Emissions!S913</f>
        <v>0</v>
      </c>
      <c r="U497" s="6">
        <f>[1]Emissions!T913</f>
        <v>0</v>
      </c>
      <c r="V497" s="6">
        <f>[1]Emissions!U913</f>
        <v>0</v>
      </c>
      <c r="W497" s="6">
        <f>[1]Emissions!V913</f>
        <v>0</v>
      </c>
      <c r="X497" s="6">
        <f>[1]Emissions!W913</f>
        <v>0</v>
      </c>
      <c r="Y497" s="6">
        <f>[1]Emissions!X913</f>
        <v>0</v>
      </c>
      <c r="Z497" s="6">
        <f>[1]Emissions!Y913</f>
        <v>0</v>
      </c>
      <c r="AA497" s="6">
        <f>[1]Emissions!Z913</f>
        <v>0</v>
      </c>
      <c r="AB497" s="6">
        <f>[1]Emissions!AA913</f>
        <v>0</v>
      </c>
      <c r="AC497" s="6">
        <f>[1]Emissions!AB913</f>
        <v>0</v>
      </c>
      <c r="AD497" s="6">
        <f>[1]Emissions!AC913</f>
        <v>0</v>
      </c>
      <c r="AE497" s="6">
        <f>[1]Emissions!AD913</f>
        <v>0</v>
      </c>
      <c r="AF497" s="6">
        <f>[1]Emissions!AE913</f>
        <v>0</v>
      </c>
      <c r="AG497" s="6">
        <f>[1]Emissions!AF913</f>
        <v>0</v>
      </c>
      <c r="AH497" s="6">
        <f>[1]Emissions!AG913</f>
        <v>0</v>
      </c>
      <c r="AI497" s="6">
        <f>[1]Emissions!AH913</f>
        <v>0</v>
      </c>
      <c r="AJ497" s="6">
        <f>[1]Emissions!AI913</f>
        <v>0</v>
      </c>
      <c r="AK497" s="6">
        <f>[1]Emissions!AJ913</f>
        <v>0</v>
      </c>
      <c r="AL497" s="6">
        <f>[1]Emissions!AK913</f>
        <v>0</v>
      </c>
    </row>
    <row r="498" spans="2:38" hidden="1" x14ac:dyDescent="0.3">
      <c r="B498" s="16" t="str">
        <f>[1]Emissions!A914</f>
        <v>ems_ci_co2_sfoo_0</v>
      </c>
      <c r="C498" s="6">
        <f>[1]Emissions!B914</f>
        <v>9.8937547279999993</v>
      </c>
      <c r="D498" s="6">
        <f>[1]Emissions!C914</f>
        <v>9.8970310369999996</v>
      </c>
      <c r="E498" s="6">
        <f>[1]Emissions!D914</f>
        <v>9.8740654859999992</v>
      </c>
      <c r="F498" s="6">
        <f>[1]Emissions!E914</f>
        <v>9.860966028</v>
      </c>
      <c r="G498" s="6">
        <f>[1]Emissions!F914</f>
        <v>9.8727860740000004</v>
      </c>
      <c r="H498" s="6">
        <f>[1]Emissions!G914</f>
        <v>9.9127603149999999</v>
      </c>
      <c r="I498" s="6">
        <f>[1]Emissions!H914</f>
        <v>9.9713912209999993</v>
      </c>
      <c r="J498" s="6">
        <f>[1]Emissions!I914</f>
        <v>10.04401142</v>
      </c>
      <c r="K498" s="6">
        <f>[1]Emissions!J914</f>
        <v>10.12284169</v>
      </c>
      <c r="L498" s="6">
        <f>[1]Emissions!K914</f>
        <v>10.200839820000001</v>
      </c>
      <c r="M498" s="6">
        <f>[1]Emissions!L914</f>
        <v>10.28125938</v>
      </c>
      <c r="N498" s="6">
        <f>[1]Emissions!M914</f>
        <v>10.35256313</v>
      </c>
      <c r="O498" s="6">
        <f>[1]Emissions!N914</f>
        <v>10.417487550000001</v>
      </c>
      <c r="P498" s="6">
        <f>[1]Emissions!O914</f>
        <v>10.47721773</v>
      </c>
      <c r="Q498" s="6">
        <f>[1]Emissions!P914</f>
        <v>10.531910829999999</v>
      </c>
      <c r="R498" s="6">
        <f>[1]Emissions!Q914</f>
        <v>10.581182030000001</v>
      </c>
      <c r="S498" s="6">
        <f>[1]Emissions!R914</f>
        <v>10.62469866</v>
      </c>
      <c r="T498" s="6">
        <f>[1]Emissions!S914</f>
        <v>10.66262506</v>
      </c>
      <c r="U498" s="6">
        <f>[1]Emissions!T914</f>
        <v>10.695738710000001</v>
      </c>
      <c r="V498" s="6">
        <f>[1]Emissions!U914</f>
        <v>10.725258930000001</v>
      </c>
      <c r="W498" s="6">
        <f>[1]Emissions!V914</f>
        <v>10.74697273</v>
      </c>
      <c r="X498" s="6">
        <f>[1]Emissions!W914</f>
        <v>10.76956268</v>
      </c>
      <c r="Y498" s="6">
        <f>[1]Emissions!X914</f>
        <v>10.792702500000001</v>
      </c>
      <c r="Z498" s="6">
        <f>[1]Emissions!Y914</f>
        <v>10.816980989999999</v>
      </c>
      <c r="AA498" s="6">
        <f>[1]Emissions!Z914</f>
        <v>10.842913749999999</v>
      </c>
      <c r="AB498" s="6">
        <f>[1]Emissions!AA914</f>
        <v>10.85439087</v>
      </c>
      <c r="AC498" s="6">
        <f>[1]Emissions!AB914</f>
        <v>10.86663094</v>
      </c>
      <c r="AD498" s="6">
        <f>[1]Emissions!AC914</f>
        <v>10.878238720000001</v>
      </c>
      <c r="AE498" s="6">
        <f>[1]Emissions!AD914</f>
        <v>10.889585840000001</v>
      </c>
      <c r="AF498" s="6">
        <f>[1]Emissions!AE914</f>
        <v>10.90173742</v>
      </c>
      <c r="AG498" s="6">
        <f>[1]Emissions!AF914</f>
        <v>10.9158911</v>
      </c>
      <c r="AH498" s="6">
        <f>[1]Emissions!AG914</f>
        <v>10.93289828</v>
      </c>
      <c r="AI498" s="6">
        <f>[1]Emissions!AH914</f>
        <v>10.95301566</v>
      </c>
      <c r="AJ498" s="6">
        <f>[1]Emissions!AI914</f>
        <v>10.975930419999999</v>
      </c>
      <c r="AK498" s="6">
        <f>[1]Emissions!AJ914</f>
        <v>11.00098081</v>
      </c>
      <c r="AL498" s="6">
        <f>[1]Emissions!AK914</f>
        <v>11.027441680000001</v>
      </c>
    </row>
    <row r="499" spans="2:38" hidden="1" x14ac:dyDescent="0.3">
      <c r="B499" s="16" t="str">
        <f>[1]Emissions!A915</f>
        <v>ems_y_co2_sfoo_0</v>
      </c>
      <c r="C499" s="6">
        <f>[1]Emissions!B915</f>
        <v>0</v>
      </c>
      <c r="D499" s="6">
        <f>[1]Emissions!C915</f>
        <v>0</v>
      </c>
      <c r="E499" s="6">
        <f>[1]Emissions!D915</f>
        <v>0</v>
      </c>
      <c r="F499" s="6">
        <f>[1]Emissions!E915</f>
        <v>0</v>
      </c>
      <c r="G499" s="6">
        <f>[1]Emissions!F915</f>
        <v>0</v>
      </c>
      <c r="H499" s="6">
        <f>[1]Emissions!G915</f>
        <v>0</v>
      </c>
      <c r="I499" s="6">
        <f>[1]Emissions!H915</f>
        <v>0</v>
      </c>
      <c r="J499" s="6">
        <f>[1]Emissions!I915</f>
        <v>0</v>
      </c>
      <c r="K499" s="6">
        <f>[1]Emissions!J915</f>
        <v>0</v>
      </c>
      <c r="L499" s="6">
        <f>[1]Emissions!K915</f>
        <v>0</v>
      </c>
      <c r="M499" s="6">
        <f>[1]Emissions!L915</f>
        <v>0</v>
      </c>
      <c r="N499" s="6">
        <f>[1]Emissions!M915</f>
        <v>0</v>
      </c>
      <c r="O499" s="6">
        <f>[1]Emissions!N915</f>
        <v>0</v>
      </c>
      <c r="P499" s="6">
        <f>[1]Emissions!O915</f>
        <v>0</v>
      </c>
      <c r="Q499" s="6">
        <f>[1]Emissions!P915</f>
        <v>0</v>
      </c>
      <c r="R499" s="6">
        <f>[1]Emissions!Q915</f>
        <v>0</v>
      </c>
      <c r="S499" s="6">
        <f>[1]Emissions!R915</f>
        <v>0</v>
      </c>
      <c r="T499" s="6">
        <f>[1]Emissions!S915</f>
        <v>0</v>
      </c>
      <c r="U499" s="6">
        <f>[1]Emissions!T915</f>
        <v>0</v>
      </c>
      <c r="V499" s="6">
        <f>[1]Emissions!U915</f>
        <v>0</v>
      </c>
      <c r="W499" s="6">
        <f>[1]Emissions!V915</f>
        <v>0</v>
      </c>
      <c r="X499" s="6">
        <f>[1]Emissions!W915</f>
        <v>0</v>
      </c>
      <c r="Y499" s="6">
        <f>[1]Emissions!X915</f>
        <v>0</v>
      </c>
      <c r="Z499" s="6">
        <f>[1]Emissions!Y915</f>
        <v>0</v>
      </c>
      <c r="AA499" s="6">
        <f>[1]Emissions!Z915</f>
        <v>0</v>
      </c>
      <c r="AB499" s="6">
        <f>[1]Emissions!AA915</f>
        <v>0</v>
      </c>
      <c r="AC499" s="6">
        <f>[1]Emissions!AB915</f>
        <v>0</v>
      </c>
      <c r="AD499" s="6">
        <f>[1]Emissions!AC915</f>
        <v>0</v>
      </c>
      <c r="AE499" s="6">
        <f>[1]Emissions!AD915</f>
        <v>0</v>
      </c>
      <c r="AF499" s="6">
        <f>[1]Emissions!AE915</f>
        <v>0</v>
      </c>
      <c r="AG499" s="6">
        <f>[1]Emissions!AF915</f>
        <v>0</v>
      </c>
      <c r="AH499" s="6">
        <f>[1]Emissions!AG915</f>
        <v>0</v>
      </c>
      <c r="AI499" s="6">
        <f>[1]Emissions!AH915</f>
        <v>0</v>
      </c>
      <c r="AJ499" s="6">
        <f>[1]Emissions!AI915</f>
        <v>0</v>
      </c>
      <c r="AK499" s="6">
        <f>[1]Emissions!AJ915</f>
        <v>0</v>
      </c>
      <c r="AL499" s="6">
        <f>[1]Emissions!AK915</f>
        <v>0</v>
      </c>
    </row>
    <row r="500" spans="2:38" hidden="1" x14ac:dyDescent="0.3">
      <c r="B500" s="16" t="str">
        <f>[1]Emissions!A916</f>
        <v>ems_mat_co2_sfoo_0</v>
      </c>
      <c r="C500" s="6">
        <f>[1]Emissions!B916</f>
        <v>0</v>
      </c>
      <c r="D500" s="6">
        <f>[1]Emissions!C916</f>
        <v>0</v>
      </c>
      <c r="E500" s="6">
        <f>[1]Emissions!D916</f>
        <v>0</v>
      </c>
      <c r="F500" s="6">
        <f>[1]Emissions!E916</f>
        <v>0</v>
      </c>
      <c r="G500" s="6">
        <f>[1]Emissions!F916</f>
        <v>0</v>
      </c>
      <c r="H500" s="6">
        <f>[1]Emissions!G916</f>
        <v>0</v>
      </c>
      <c r="I500" s="6">
        <f>[1]Emissions!H916</f>
        <v>0</v>
      </c>
      <c r="J500" s="6">
        <f>[1]Emissions!I916</f>
        <v>0</v>
      </c>
      <c r="K500" s="6">
        <f>[1]Emissions!J916</f>
        <v>0</v>
      </c>
      <c r="L500" s="6">
        <f>[1]Emissions!K916</f>
        <v>0</v>
      </c>
      <c r="M500" s="6">
        <f>[1]Emissions!L916</f>
        <v>0</v>
      </c>
      <c r="N500" s="6">
        <f>[1]Emissions!M916</f>
        <v>0</v>
      </c>
      <c r="O500" s="6">
        <f>[1]Emissions!N916</f>
        <v>0</v>
      </c>
      <c r="P500" s="6">
        <f>[1]Emissions!O916</f>
        <v>0</v>
      </c>
      <c r="Q500" s="6">
        <f>[1]Emissions!P916</f>
        <v>0</v>
      </c>
      <c r="R500" s="6">
        <f>[1]Emissions!Q916</f>
        <v>0</v>
      </c>
      <c r="S500" s="6">
        <f>[1]Emissions!R916</f>
        <v>0</v>
      </c>
      <c r="T500" s="6">
        <f>[1]Emissions!S916</f>
        <v>0</v>
      </c>
      <c r="U500" s="6">
        <f>[1]Emissions!T916</f>
        <v>0</v>
      </c>
      <c r="V500" s="6">
        <f>[1]Emissions!U916</f>
        <v>0</v>
      </c>
      <c r="W500" s="6">
        <f>[1]Emissions!V916</f>
        <v>0</v>
      </c>
      <c r="X500" s="6">
        <f>[1]Emissions!W916</f>
        <v>0</v>
      </c>
      <c r="Y500" s="6">
        <f>[1]Emissions!X916</f>
        <v>0</v>
      </c>
      <c r="Z500" s="6">
        <f>[1]Emissions!Y916</f>
        <v>0</v>
      </c>
      <c r="AA500" s="6">
        <f>[1]Emissions!Z916</f>
        <v>0</v>
      </c>
      <c r="AB500" s="6">
        <f>[1]Emissions!AA916</f>
        <v>0</v>
      </c>
      <c r="AC500" s="6">
        <f>[1]Emissions!AB916</f>
        <v>0</v>
      </c>
      <c r="AD500" s="6">
        <f>[1]Emissions!AC916</f>
        <v>0</v>
      </c>
      <c r="AE500" s="6">
        <f>[1]Emissions!AD916</f>
        <v>0</v>
      </c>
      <c r="AF500" s="6">
        <f>[1]Emissions!AE916</f>
        <v>0</v>
      </c>
      <c r="AG500" s="6">
        <f>[1]Emissions!AF916</f>
        <v>0</v>
      </c>
      <c r="AH500" s="6">
        <f>[1]Emissions!AG916</f>
        <v>0</v>
      </c>
      <c r="AI500" s="6">
        <f>[1]Emissions!AH916</f>
        <v>0</v>
      </c>
      <c r="AJ500" s="6">
        <f>[1]Emissions!AI916</f>
        <v>0</v>
      </c>
      <c r="AK500" s="6">
        <f>[1]Emissions!AJ916</f>
        <v>0</v>
      </c>
      <c r="AL500" s="6">
        <f>[1]Emissions!AK916</f>
        <v>0</v>
      </c>
    </row>
    <row r="501" spans="2:38" hidden="1" x14ac:dyDescent="0.3">
      <c r="B501" s="16" t="str">
        <f>[1]Emissions!A917</f>
        <v>ems_ci_co2_sveh_0</v>
      </c>
      <c r="C501" s="6">
        <f>[1]Emissions!B917</f>
        <v>1.236831963</v>
      </c>
      <c r="D501" s="6">
        <f>[1]Emissions!C917</f>
        <v>1.2346705069999999</v>
      </c>
      <c r="E501" s="6">
        <f>[1]Emissions!D917</f>
        <v>1.2334287370000001</v>
      </c>
      <c r="F501" s="6">
        <f>[1]Emissions!E917</f>
        <v>1.237508405</v>
      </c>
      <c r="G501" s="6">
        <f>[1]Emissions!F917</f>
        <v>1.2502621970000001</v>
      </c>
      <c r="H501" s="6">
        <f>[1]Emissions!G917</f>
        <v>1.2735663129999999</v>
      </c>
      <c r="I501" s="6">
        <f>[1]Emissions!H917</f>
        <v>1.3062282030000001</v>
      </c>
      <c r="J501" s="6">
        <f>[1]Emissions!I917</f>
        <v>1.3475547000000001</v>
      </c>
      <c r="K501" s="6">
        <f>[1]Emissions!J917</f>
        <v>1.3944816040000001</v>
      </c>
      <c r="L501" s="6">
        <f>[1]Emissions!K917</f>
        <v>1.443410394</v>
      </c>
      <c r="M501" s="6">
        <f>[1]Emissions!L917</f>
        <v>1.4927250910000001</v>
      </c>
      <c r="N501" s="6">
        <f>[1]Emissions!M917</f>
        <v>1.5382808450000001</v>
      </c>
      <c r="O501" s="6">
        <f>[1]Emissions!N917</f>
        <v>1.58126155</v>
      </c>
      <c r="P501" s="6">
        <f>[1]Emissions!O917</f>
        <v>1.6218347559999999</v>
      </c>
      <c r="Q501" s="6">
        <f>[1]Emissions!P917</f>
        <v>1.6596776419999999</v>
      </c>
      <c r="R501" s="6">
        <f>[1]Emissions!Q917</f>
        <v>1.6942467489999999</v>
      </c>
      <c r="S501" s="6">
        <f>[1]Emissions!R917</f>
        <v>1.7251451209999999</v>
      </c>
      <c r="T501" s="6">
        <f>[1]Emissions!S917</f>
        <v>1.7524311269999999</v>
      </c>
      <c r="U501" s="6">
        <f>[1]Emissions!T917</f>
        <v>1.776727079</v>
      </c>
      <c r="V501" s="6">
        <f>[1]Emissions!U917</f>
        <v>1.799107096</v>
      </c>
      <c r="W501" s="6">
        <f>[1]Emissions!V917</f>
        <v>1.819752987</v>
      </c>
      <c r="X501" s="6">
        <f>[1]Emissions!W917</f>
        <v>1.8418072009999999</v>
      </c>
      <c r="Y501" s="6">
        <f>[1]Emissions!X917</f>
        <v>1.865091198</v>
      </c>
      <c r="Z501" s="6">
        <f>[1]Emissions!Y917</f>
        <v>1.8902419079999999</v>
      </c>
      <c r="AA501" s="6">
        <f>[1]Emissions!Z917</f>
        <v>1.9178329000000001</v>
      </c>
      <c r="AB501" s="6">
        <f>[1]Emissions!AA917</f>
        <v>1.9446136190000001</v>
      </c>
      <c r="AC501" s="6">
        <f>[1]Emissions!AB917</f>
        <v>1.9751338899999999</v>
      </c>
      <c r="AD501" s="6">
        <f>[1]Emissions!AC917</f>
        <v>2.0068113580000002</v>
      </c>
      <c r="AE501" s="6">
        <f>[1]Emissions!AD917</f>
        <v>2.0386783149999999</v>
      </c>
      <c r="AF501" s="6">
        <f>[1]Emissions!AE917</f>
        <v>2.0705877410000002</v>
      </c>
      <c r="AG501" s="6">
        <f>[1]Emissions!AF917</f>
        <v>2.1028006929999998</v>
      </c>
      <c r="AH501" s="6">
        <f>[1]Emissions!AG917</f>
        <v>2.1355927100000001</v>
      </c>
      <c r="AI501" s="6">
        <f>[1]Emissions!AH917</f>
        <v>2.1689915040000001</v>
      </c>
      <c r="AJ501" s="6">
        <f>[1]Emissions!AI917</f>
        <v>2.2027122669999999</v>
      </c>
      <c r="AK501" s="6">
        <f>[1]Emissions!AJ917</f>
        <v>2.2362649530000001</v>
      </c>
      <c r="AL501" s="6">
        <f>[1]Emissions!AK917</f>
        <v>2.269149305</v>
      </c>
    </row>
    <row r="502" spans="2:38" hidden="1" x14ac:dyDescent="0.3">
      <c r="B502" s="16" t="str">
        <f>[1]Emissions!A918</f>
        <v>ems_y_co2_sveh_0</v>
      </c>
      <c r="C502" s="6">
        <f>[1]Emissions!B918</f>
        <v>0</v>
      </c>
      <c r="D502" s="6">
        <f>[1]Emissions!C918</f>
        <v>0</v>
      </c>
      <c r="E502" s="6">
        <f>[1]Emissions!D918</f>
        <v>0</v>
      </c>
      <c r="F502" s="6">
        <f>[1]Emissions!E918</f>
        <v>0</v>
      </c>
      <c r="G502" s="6">
        <f>[1]Emissions!F918</f>
        <v>0</v>
      </c>
      <c r="H502" s="6">
        <f>[1]Emissions!G918</f>
        <v>0</v>
      </c>
      <c r="I502" s="6">
        <f>[1]Emissions!H918</f>
        <v>0</v>
      </c>
      <c r="J502" s="6">
        <f>[1]Emissions!I918</f>
        <v>0</v>
      </c>
      <c r="K502" s="6">
        <f>[1]Emissions!J918</f>
        <v>0</v>
      </c>
      <c r="L502" s="6">
        <f>[1]Emissions!K918</f>
        <v>0</v>
      </c>
      <c r="M502" s="6">
        <f>[1]Emissions!L918</f>
        <v>0</v>
      </c>
      <c r="N502" s="6">
        <f>[1]Emissions!M918</f>
        <v>0</v>
      </c>
      <c r="O502" s="6">
        <f>[1]Emissions!N918</f>
        <v>0</v>
      </c>
      <c r="P502" s="6">
        <f>[1]Emissions!O918</f>
        <v>0</v>
      </c>
      <c r="Q502" s="6">
        <f>[1]Emissions!P918</f>
        <v>0</v>
      </c>
      <c r="R502" s="6">
        <f>[1]Emissions!Q918</f>
        <v>0</v>
      </c>
      <c r="S502" s="6">
        <f>[1]Emissions!R918</f>
        <v>0</v>
      </c>
      <c r="T502" s="6">
        <f>[1]Emissions!S918</f>
        <v>0</v>
      </c>
      <c r="U502" s="6">
        <f>[1]Emissions!T918</f>
        <v>0</v>
      </c>
      <c r="V502" s="6">
        <f>[1]Emissions!U918</f>
        <v>0</v>
      </c>
      <c r="W502" s="6">
        <f>[1]Emissions!V918</f>
        <v>0</v>
      </c>
      <c r="X502" s="6">
        <f>[1]Emissions!W918</f>
        <v>0</v>
      </c>
      <c r="Y502" s="6">
        <f>[1]Emissions!X918</f>
        <v>0</v>
      </c>
      <c r="Z502" s="6">
        <f>[1]Emissions!Y918</f>
        <v>0</v>
      </c>
      <c r="AA502" s="6">
        <f>[1]Emissions!Z918</f>
        <v>0</v>
      </c>
      <c r="AB502" s="6">
        <f>[1]Emissions!AA918</f>
        <v>0</v>
      </c>
      <c r="AC502" s="6">
        <f>[1]Emissions!AB918</f>
        <v>0</v>
      </c>
      <c r="AD502" s="6">
        <f>[1]Emissions!AC918</f>
        <v>0</v>
      </c>
      <c r="AE502" s="6">
        <f>[1]Emissions!AD918</f>
        <v>0</v>
      </c>
      <c r="AF502" s="6">
        <f>[1]Emissions!AE918</f>
        <v>0</v>
      </c>
      <c r="AG502" s="6">
        <f>[1]Emissions!AF918</f>
        <v>0</v>
      </c>
      <c r="AH502" s="6">
        <f>[1]Emissions!AG918</f>
        <v>0</v>
      </c>
      <c r="AI502" s="6">
        <f>[1]Emissions!AH918</f>
        <v>0</v>
      </c>
      <c r="AJ502" s="6">
        <f>[1]Emissions!AI918</f>
        <v>0</v>
      </c>
      <c r="AK502" s="6">
        <f>[1]Emissions!AJ918</f>
        <v>0</v>
      </c>
      <c r="AL502" s="6">
        <f>[1]Emissions!AK918</f>
        <v>0</v>
      </c>
    </row>
    <row r="503" spans="2:38" hidden="1" x14ac:dyDescent="0.3">
      <c r="B503" s="16" t="str">
        <f>[1]Emissions!A919</f>
        <v>ems_mat_co2_sveh_0</v>
      </c>
      <c r="C503" s="6">
        <f>[1]Emissions!B919</f>
        <v>0</v>
      </c>
      <c r="D503" s="6">
        <f>[1]Emissions!C919</f>
        <v>0</v>
      </c>
      <c r="E503" s="6">
        <f>[1]Emissions!D919</f>
        <v>0</v>
      </c>
      <c r="F503" s="6">
        <f>[1]Emissions!E919</f>
        <v>0</v>
      </c>
      <c r="G503" s="6">
        <f>[1]Emissions!F919</f>
        <v>0</v>
      </c>
      <c r="H503" s="6">
        <f>[1]Emissions!G919</f>
        <v>0</v>
      </c>
      <c r="I503" s="6">
        <f>[1]Emissions!H919</f>
        <v>0</v>
      </c>
      <c r="J503" s="6">
        <f>[1]Emissions!I919</f>
        <v>0</v>
      </c>
      <c r="K503" s="6">
        <f>[1]Emissions!J919</f>
        <v>0</v>
      </c>
      <c r="L503" s="6">
        <f>[1]Emissions!K919</f>
        <v>0</v>
      </c>
      <c r="M503" s="6">
        <f>[1]Emissions!L919</f>
        <v>0</v>
      </c>
      <c r="N503" s="6">
        <f>[1]Emissions!M919</f>
        <v>0</v>
      </c>
      <c r="O503" s="6">
        <f>[1]Emissions!N919</f>
        <v>0</v>
      </c>
      <c r="P503" s="6">
        <f>[1]Emissions!O919</f>
        <v>0</v>
      </c>
      <c r="Q503" s="6">
        <f>[1]Emissions!P919</f>
        <v>0</v>
      </c>
      <c r="R503" s="6">
        <f>[1]Emissions!Q919</f>
        <v>0</v>
      </c>
      <c r="S503" s="6">
        <f>[1]Emissions!R919</f>
        <v>0</v>
      </c>
      <c r="T503" s="6">
        <f>[1]Emissions!S919</f>
        <v>0</v>
      </c>
      <c r="U503" s="6">
        <f>[1]Emissions!T919</f>
        <v>0</v>
      </c>
      <c r="V503" s="6">
        <f>[1]Emissions!U919</f>
        <v>0</v>
      </c>
      <c r="W503" s="6">
        <f>[1]Emissions!V919</f>
        <v>0</v>
      </c>
      <c r="X503" s="6">
        <f>[1]Emissions!W919</f>
        <v>0</v>
      </c>
      <c r="Y503" s="6">
        <f>[1]Emissions!X919</f>
        <v>0</v>
      </c>
      <c r="Z503" s="6">
        <f>[1]Emissions!Y919</f>
        <v>0</v>
      </c>
      <c r="AA503" s="6">
        <f>[1]Emissions!Z919</f>
        <v>0</v>
      </c>
      <c r="AB503" s="6">
        <f>[1]Emissions!AA919</f>
        <v>0</v>
      </c>
      <c r="AC503" s="6">
        <f>[1]Emissions!AB919</f>
        <v>0</v>
      </c>
      <c r="AD503" s="6">
        <f>[1]Emissions!AC919</f>
        <v>0</v>
      </c>
      <c r="AE503" s="6">
        <f>[1]Emissions!AD919</f>
        <v>0</v>
      </c>
      <c r="AF503" s="6">
        <f>[1]Emissions!AE919</f>
        <v>0</v>
      </c>
      <c r="AG503" s="6">
        <f>[1]Emissions!AF919</f>
        <v>0</v>
      </c>
      <c r="AH503" s="6">
        <f>[1]Emissions!AG919</f>
        <v>0</v>
      </c>
      <c r="AI503" s="6">
        <f>[1]Emissions!AH919</f>
        <v>0</v>
      </c>
      <c r="AJ503" s="6">
        <f>[1]Emissions!AI919</f>
        <v>0</v>
      </c>
      <c r="AK503" s="6">
        <f>[1]Emissions!AJ919</f>
        <v>0</v>
      </c>
      <c r="AL503" s="6">
        <f>[1]Emissions!AK919</f>
        <v>0</v>
      </c>
    </row>
    <row r="504" spans="2:38" hidden="1" x14ac:dyDescent="0.3">
      <c r="B504" s="16" t="str">
        <f>[1]Emissions!A920</f>
        <v>ems_ci_co2_sgla_0</v>
      </c>
      <c r="C504" s="6">
        <f>[1]Emissions!B920</f>
        <v>5.7358959430000001</v>
      </c>
      <c r="D504" s="6">
        <f>[1]Emissions!C920</f>
        <v>5.9164102520000004</v>
      </c>
      <c r="E504" s="6">
        <f>[1]Emissions!D920</f>
        <v>6.1343918090000003</v>
      </c>
      <c r="F504" s="6">
        <f>[1]Emissions!E920</f>
        <v>6.3062461540000001</v>
      </c>
      <c r="G504" s="6">
        <f>[1]Emissions!F920</f>
        <v>6.4308318670000002</v>
      </c>
      <c r="H504" s="6">
        <f>[1]Emissions!G920</f>
        <v>6.530188806</v>
      </c>
      <c r="I504" s="6">
        <f>[1]Emissions!H920</f>
        <v>6.5714172739999999</v>
      </c>
      <c r="J504" s="6">
        <f>[1]Emissions!I920</f>
        <v>6.6294790079999997</v>
      </c>
      <c r="K504" s="6">
        <f>[1]Emissions!J920</f>
        <v>6.7058976499999998</v>
      </c>
      <c r="L504" s="6">
        <f>[1]Emissions!K920</f>
        <v>6.7934174030000003</v>
      </c>
      <c r="M504" s="6">
        <f>[1]Emissions!L920</f>
        <v>6.958974231</v>
      </c>
      <c r="N504" s="6">
        <f>[1]Emissions!M920</f>
        <v>7.0366344239999998</v>
      </c>
      <c r="O504" s="6">
        <f>[1]Emissions!N920</f>
        <v>7.1194907179999998</v>
      </c>
      <c r="P504" s="6">
        <f>[1]Emissions!O920</f>
        <v>7.218073682</v>
      </c>
      <c r="Q504" s="6">
        <f>[1]Emissions!P920</f>
        <v>7.3263142019999998</v>
      </c>
      <c r="R504" s="6">
        <f>[1]Emissions!Q920</f>
        <v>7.439527064</v>
      </c>
      <c r="S504" s="6">
        <f>[1]Emissions!R920</f>
        <v>7.5556031089999998</v>
      </c>
      <c r="T504" s="6">
        <f>[1]Emissions!S920</f>
        <v>7.6739225580000001</v>
      </c>
      <c r="U504" s="6">
        <f>[1]Emissions!T920</f>
        <v>7.7944632069999997</v>
      </c>
      <c r="V504" s="6">
        <f>[1]Emissions!U920</f>
        <v>7.9172952179999996</v>
      </c>
      <c r="W504" s="6">
        <f>[1]Emissions!V920</f>
        <v>7.9911227709999997</v>
      </c>
      <c r="X504" s="6">
        <f>[1]Emissions!W920</f>
        <v>8.1323334250000006</v>
      </c>
      <c r="Y504" s="6">
        <f>[1]Emissions!X920</f>
        <v>8.2780899879999996</v>
      </c>
      <c r="Z504" s="6">
        <f>[1]Emissions!Y920</f>
        <v>8.4176815690000009</v>
      </c>
      <c r="AA504" s="6">
        <f>[1]Emissions!Z920</f>
        <v>8.5537213179999991</v>
      </c>
      <c r="AB504" s="6">
        <f>[1]Emissions!AA920</f>
        <v>8.5379593790000001</v>
      </c>
      <c r="AC504" s="6">
        <f>[1]Emissions!AB920</f>
        <v>8.6549577670000009</v>
      </c>
      <c r="AD504" s="6">
        <f>[1]Emissions!AC920</f>
        <v>8.7967820670000005</v>
      </c>
      <c r="AE504" s="6">
        <f>[1]Emissions!AD920</f>
        <v>8.9369796380000004</v>
      </c>
      <c r="AF504" s="6">
        <f>[1]Emissions!AE920</f>
        <v>9.0746064620000002</v>
      </c>
      <c r="AG504" s="6">
        <f>[1]Emissions!AF920</f>
        <v>9.2119271860000005</v>
      </c>
      <c r="AH504" s="6">
        <f>[1]Emissions!AG920</f>
        <v>9.3503473820000007</v>
      </c>
      <c r="AI504" s="6">
        <f>[1]Emissions!AH920</f>
        <v>9.4903959090000001</v>
      </c>
      <c r="AJ504" s="6">
        <f>[1]Emissions!AI920</f>
        <v>9.6322178859999994</v>
      </c>
      <c r="AK504" s="6">
        <f>[1]Emissions!AJ920</f>
        <v>9.7759106469999999</v>
      </c>
      <c r="AL504" s="6">
        <f>[1]Emissions!AK920</f>
        <v>9.9216400189999998</v>
      </c>
    </row>
    <row r="505" spans="2:38" hidden="1" x14ac:dyDescent="0.3">
      <c r="B505" s="16" t="str">
        <f>[1]Emissions!A921</f>
        <v>ems_y_co2_sgla_0</v>
      </c>
      <c r="C505" s="6">
        <f>[1]Emissions!B921</f>
        <v>0</v>
      </c>
      <c r="D505" s="6">
        <f>[1]Emissions!C921</f>
        <v>0</v>
      </c>
      <c r="E505" s="6">
        <f>[1]Emissions!D921</f>
        <v>0</v>
      </c>
      <c r="F505" s="6">
        <f>[1]Emissions!E921</f>
        <v>0</v>
      </c>
      <c r="G505" s="6">
        <f>[1]Emissions!F921</f>
        <v>0</v>
      </c>
      <c r="H505" s="6">
        <f>[1]Emissions!G921</f>
        <v>0</v>
      </c>
      <c r="I505" s="6">
        <f>[1]Emissions!H921</f>
        <v>0</v>
      </c>
      <c r="J505" s="6">
        <f>[1]Emissions!I921</f>
        <v>0</v>
      </c>
      <c r="K505" s="6">
        <f>[1]Emissions!J921</f>
        <v>0</v>
      </c>
      <c r="L505" s="6">
        <f>[1]Emissions!K921</f>
        <v>0</v>
      </c>
      <c r="M505" s="6">
        <f>[1]Emissions!L921</f>
        <v>0</v>
      </c>
      <c r="N505" s="6">
        <f>[1]Emissions!M921</f>
        <v>0</v>
      </c>
      <c r="O505" s="6">
        <f>[1]Emissions!N921</f>
        <v>0</v>
      </c>
      <c r="P505" s="6">
        <f>[1]Emissions!O921</f>
        <v>0</v>
      </c>
      <c r="Q505" s="6">
        <f>[1]Emissions!P921</f>
        <v>0</v>
      </c>
      <c r="R505" s="6">
        <f>[1]Emissions!Q921</f>
        <v>0</v>
      </c>
      <c r="S505" s="6">
        <f>[1]Emissions!R921</f>
        <v>0</v>
      </c>
      <c r="T505" s="6">
        <f>[1]Emissions!S921</f>
        <v>0</v>
      </c>
      <c r="U505" s="6">
        <f>[1]Emissions!T921</f>
        <v>0</v>
      </c>
      <c r="V505" s="6">
        <f>[1]Emissions!U921</f>
        <v>0</v>
      </c>
      <c r="W505" s="6">
        <f>[1]Emissions!V921</f>
        <v>0</v>
      </c>
      <c r="X505" s="6">
        <f>[1]Emissions!W921</f>
        <v>0</v>
      </c>
      <c r="Y505" s="6">
        <f>[1]Emissions!X921</f>
        <v>0</v>
      </c>
      <c r="Z505" s="6">
        <f>[1]Emissions!Y921</f>
        <v>0</v>
      </c>
      <c r="AA505" s="6">
        <f>[1]Emissions!Z921</f>
        <v>0</v>
      </c>
      <c r="AB505" s="6">
        <f>[1]Emissions!AA921</f>
        <v>0</v>
      </c>
      <c r="AC505" s="6">
        <f>[1]Emissions!AB921</f>
        <v>0</v>
      </c>
      <c r="AD505" s="6">
        <f>[1]Emissions!AC921</f>
        <v>0</v>
      </c>
      <c r="AE505" s="6">
        <f>[1]Emissions!AD921</f>
        <v>0</v>
      </c>
      <c r="AF505" s="6">
        <f>[1]Emissions!AE921</f>
        <v>0</v>
      </c>
      <c r="AG505" s="6">
        <f>[1]Emissions!AF921</f>
        <v>0</v>
      </c>
      <c r="AH505" s="6">
        <f>[1]Emissions!AG921</f>
        <v>0</v>
      </c>
      <c r="AI505" s="6">
        <f>[1]Emissions!AH921</f>
        <v>0</v>
      </c>
      <c r="AJ505" s="6">
        <f>[1]Emissions!AI921</f>
        <v>0</v>
      </c>
      <c r="AK505" s="6">
        <f>[1]Emissions!AJ921</f>
        <v>0</v>
      </c>
      <c r="AL505" s="6">
        <f>[1]Emissions!AK921</f>
        <v>0</v>
      </c>
    </row>
    <row r="506" spans="2:38" hidden="1" x14ac:dyDescent="0.3">
      <c r="B506" s="16" t="str">
        <f>[1]Emissions!A922</f>
        <v>ems_mat_co2_sgla_0</v>
      </c>
      <c r="C506" s="6">
        <f>[1]Emissions!B922</f>
        <v>13.79124712</v>
      </c>
      <c r="D506" s="6">
        <f>[1]Emissions!C922</f>
        <v>14.25018208</v>
      </c>
      <c r="E506" s="6">
        <f>[1]Emissions!D922</f>
        <v>14.81580364</v>
      </c>
      <c r="F506" s="6">
        <f>[1]Emissions!E922</f>
        <v>15.27789716</v>
      </c>
      <c r="G506" s="6">
        <f>[1]Emissions!F922</f>
        <v>15.62534774</v>
      </c>
      <c r="H506" s="6">
        <f>[1]Emissions!G922</f>
        <v>15.90612458</v>
      </c>
      <c r="I506" s="6">
        <f>[1]Emissions!H922</f>
        <v>16.038039650000002</v>
      </c>
      <c r="J506" s="6">
        <f>[1]Emissions!I922</f>
        <v>16.203480679999998</v>
      </c>
      <c r="K506" s="6">
        <f>[1]Emissions!J922</f>
        <v>16.40854393</v>
      </c>
      <c r="L506" s="6">
        <f>[1]Emissions!K922</f>
        <v>16.637805459999999</v>
      </c>
      <c r="M506" s="6">
        <f>[1]Emissions!L922</f>
        <v>17.057124309999999</v>
      </c>
      <c r="N506" s="6">
        <f>[1]Emissions!M922</f>
        <v>17.258271830000002</v>
      </c>
      <c r="O506" s="6">
        <f>[1]Emissions!N922</f>
        <v>17.466787320000002</v>
      </c>
      <c r="P506" s="6">
        <f>[1]Emissions!O922</f>
        <v>17.707430389999999</v>
      </c>
      <c r="Q506" s="6">
        <f>[1]Emissions!P922</f>
        <v>17.965844189999999</v>
      </c>
      <c r="R506" s="6">
        <f>[1]Emissions!Q922</f>
        <v>18.23222732</v>
      </c>
      <c r="S506" s="6">
        <f>[1]Emissions!R922</f>
        <v>18.503600469999999</v>
      </c>
      <c r="T506" s="6">
        <f>[1]Emissions!S922</f>
        <v>18.780507790000001</v>
      </c>
      <c r="U506" s="6">
        <f>[1]Emissions!T922</f>
        <v>19.0644466</v>
      </c>
      <c r="V506" s="6">
        <f>[1]Emissions!U922</f>
        <v>19.356529599999998</v>
      </c>
      <c r="W506" s="6">
        <f>[1]Emissions!V922</f>
        <v>19.531228599999999</v>
      </c>
      <c r="X506" s="6">
        <f>[1]Emissions!W922</f>
        <v>19.87396141</v>
      </c>
      <c r="Y506" s="6">
        <f>[1]Emissions!X922</f>
        <v>20.231475830000001</v>
      </c>
      <c r="Z506" s="6">
        <f>[1]Emissions!Y922</f>
        <v>20.577227749999999</v>
      </c>
      <c r="AA506" s="6">
        <f>[1]Emissions!Z922</f>
        <v>20.916865390000002</v>
      </c>
      <c r="AB506" s="6">
        <f>[1]Emissions!AA922</f>
        <v>20.885709630000001</v>
      </c>
      <c r="AC506" s="6">
        <f>[1]Emissions!AB922</f>
        <v>21.180195090000002</v>
      </c>
      <c r="AD506" s="6">
        <f>[1]Emissions!AC922</f>
        <v>21.537477339999999</v>
      </c>
      <c r="AE506" s="6">
        <f>[1]Emissions!AD922</f>
        <v>21.892767370000001</v>
      </c>
      <c r="AF506" s="6">
        <f>[1]Emissions!AE922</f>
        <v>22.242676159999998</v>
      </c>
      <c r="AG506" s="6">
        <f>[1]Emissions!AF922</f>
        <v>22.591221109999999</v>
      </c>
      <c r="AH506" s="6">
        <f>[1]Emissions!AG922</f>
        <v>22.940457819999999</v>
      </c>
      <c r="AI506" s="6">
        <f>[1]Emissions!AH922</f>
        <v>23.290830199999998</v>
      </c>
      <c r="AJ506" s="6">
        <f>[1]Emissions!AI922</f>
        <v>23.642486680000001</v>
      </c>
      <c r="AK506" s="6">
        <f>[1]Emissions!AJ922</f>
        <v>23.9959639</v>
      </c>
      <c r="AL506" s="6">
        <f>[1]Emissions!AK922</f>
        <v>24.35219966</v>
      </c>
    </row>
    <row r="507" spans="2:38" hidden="1" x14ac:dyDescent="0.3">
      <c r="B507" s="16" t="str">
        <f>[1]Emissions!A923</f>
        <v>ems_ci_co2_spap_0</v>
      </c>
      <c r="C507" s="6">
        <f>[1]Emissions!B923</f>
        <v>3.0195576750000002</v>
      </c>
      <c r="D507" s="6">
        <f>[1]Emissions!C923</f>
        <v>3.0389702120000002</v>
      </c>
      <c r="E507" s="6">
        <f>[1]Emissions!D923</f>
        <v>3.0675809909999998</v>
      </c>
      <c r="F507" s="6">
        <f>[1]Emissions!E923</f>
        <v>3.1091992070000001</v>
      </c>
      <c r="G507" s="6">
        <f>[1]Emissions!F923</f>
        <v>3.1578563040000001</v>
      </c>
      <c r="H507" s="6">
        <f>[1]Emissions!G923</f>
        <v>3.208958414</v>
      </c>
      <c r="I507" s="6">
        <f>[1]Emissions!H923</f>
        <v>3.2616034030000001</v>
      </c>
      <c r="J507" s="6">
        <f>[1]Emissions!I923</f>
        <v>3.3114185410000001</v>
      </c>
      <c r="K507" s="6">
        <f>[1]Emissions!J923</f>
        <v>3.359475545</v>
      </c>
      <c r="L507" s="6">
        <f>[1]Emissions!K923</f>
        <v>3.40757647</v>
      </c>
      <c r="M507" s="6">
        <f>[1]Emissions!L923</f>
        <v>3.4545771630000002</v>
      </c>
      <c r="N507" s="6">
        <f>[1]Emissions!M923</f>
        <v>3.5104089809999999</v>
      </c>
      <c r="O507" s="6">
        <f>[1]Emissions!N923</f>
        <v>3.5675552960000001</v>
      </c>
      <c r="P507" s="6">
        <f>[1]Emissions!O923</f>
        <v>3.625252224</v>
      </c>
      <c r="Q507" s="6">
        <f>[1]Emissions!P923</f>
        <v>3.6836127859999999</v>
      </c>
      <c r="R507" s="6">
        <f>[1]Emissions!Q923</f>
        <v>3.7428154230000001</v>
      </c>
      <c r="S507" s="6">
        <f>[1]Emissions!R923</f>
        <v>3.8030528110000001</v>
      </c>
      <c r="T507" s="6">
        <f>[1]Emissions!S923</f>
        <v>3.8644894010000002</v>
      </c>
      <c r="U507" s="6">
        <f>[1]Emissions!T923</f>
        <v>3.9271955940000001</v>
      </c>
      <c r="V507" s="6">
        <f>[1]Emissions!U923</f>
        <v>3.9911130680000002</v>
      </c>
      <c r="W507" s="6">
        <f>[1]Emissions!V923</f>
        <v>4.0572926579999997</v>
      </c>
      <c r="X507" s="6">
        <f>[1]Emissions!W923</f>
        <v>4.1202857570000004</v>
      </c>
      <c r="Y507" s="6">
        <f>[1]Emissions!X923</f>
        <v>4.1848748560000004</v>
      </c>
      <c r="Z507" s="6">
        <f>[1]Emissions!Y923</f>
        <v>4.2510551330000004</v>
      </c>
      <c r="AA507" s="6">
        <f>[1]Emissions!Z923</f>
        <v>4.3183249559999997</v>
      </c>
      <c r="AB507" s="6">
        <f>[1]Emissions!AA923</f>
        <v>4.3887627040000003</v>
      </c>
      <c r="AC507" s="6">
        <f>[1]Emissions!AB923</f>
        <v>4.4513156690000004</v>
      </c>
      <c r="AD507" s="6">
        <f>[1]Emissions!AC923</f>
        <v>4.5137450159999997</v>
      </c>
      <c r="AE507" s="6">
        <f>[1]Emissions!AD923</f>
        <v>4.5775573789999999</v>
      </c>
      <c r="AF507" s="6">
        <f>[1]Emissions!AE923</f>
        <v>4.64305039</v>
      </c>
      <c r="AG507" s="6">
        <f>[1]Emissions!AF923</f>
        <v>4.7101911279999999</v>
      </c>
      <c r="AH507" s="6">
        <f>[1]Emissions!AG923</f>
        <v>4.7788133339999996</v>
      </c>
      <c r="AI507" s="6">
        <f>[1]Emissions!AH923</f>
        <v>4.8487469770000002</v>
      </c>
      <c r="AJ507" s="6">
        <f>[1]Emissions!AI923</f>
        <v>4.9199072230000001</v>
      </c>
      <c r="AK507" s="6">
        <f>[1]Emissions!AJ923</f>
        <v>4.9923194950000003</v>
      </c>
      <c r="AL507" s="6">
        <f>[1]Emissions!AK923</f>
        <v>5.0660855529999997</v>
      </c>
    </row>
    <row r="508" spans="2:38" hidden="1" x14ac:dyDescent="0.3">
      <c r="B508" s="16" t="str">
        <f>[1]Emissions!A924</f>
        <v>ems_y_co2_spap_0</v>
      </c>
      <c r="C508" s="6">
        <f>[1]Emissions!B924</f>
        <v>0</v>
      </c>
      <c r="D508" s="6">
        <f>[1]Emissions!C924</f>
        <v>0</v>
      </c>
      <c r="E508" s="6">
        <f>[1]Emissions!D924</f>
        <v>0</v>
      </c>
      <c r="F508" s="6">
        <f>[1]Emissions!E924</f>
        <v>0</v>
      </c>
      <c r="G508" s="6">
        <f>[1]Emissions!F924</f>
        <v>0</v>
      </c>
      <c r="H508" s="6">
        <f>[1]Emissions!G924</f>
        <v>0</v>
      </c>
      <c r="I508" s="6">
        <f>[1]Emissions!H924</f>
        <v>0</v>
      </c>
      <c r="J508" s="6">
        <f>[1]Emissions!I924</f>
        <v>0</v>
      </c>
      <c r="K508" s="6">
        <f>[1]Emissions!J924</f>
        <v>0</v>
      </c>
      <c r="L508" s="6">
        <f>[1]Emissions!K924</f>
        <v>0</v>
      </c>
      <c r="M508" s="6">
        <f>[1]Emissions!L924</f>
        <v>0</v>
      </c>
      <c r="N508" s="6">
        <f>[1]Emissions!M924</f>
        <v>0</v>
      </c>
      <c r="O508" s="6">
        <f>[1]Emissions!N924</f>
        <v>0</v>
      </c>
      <c r="P508" s="6">
        <f>[1]Emissions!O924</f>
        <v>0</v>
      </c>
      <c r="Q508" s="6">
        <f>[1]Emissions!P924</f>
        <v>0</v>
      </c>
      <c r="R508" s="6">
        <f>[1]Emissions!Q924</f>
        <v>0</v>
      </c>
      <c r="S508" s="6">
        <f>[1]Emissions!R924</f>
        <v>0</v>
      </c>
      <c r="T508" s="6">
        <f>[1]Emissions!S924</f>
        <v>0</v>
      </c>
      <c r="U508" s="6">
        <f>[1]Emissions!T924</f>
        <v>0</v>
      </c>
      <c r="V508" s="6">
        <f>[1]Emissions!U924</f>
        <v>0</v>
      </c>
      <c r="W508" s="6">
        <f>[1]Emissions!V924</f>
        <v>0</v>
      </c>
      <c r="X508" s="6">
        <f>[1]Emissions!W924</f>
        <v>0</v>
      </c>
      <c r="Y508" s="6">
        <f>[1]Emissions!X924</f>
        <v>0</v>
      </c>
      <c r="Z508" s="6">
        <f>[1]Emissions!Y924</f>
        <v>0</v>
      </c>
      <c r="AA508" s="6">
        <f>[1]Emissions!Z924</f>
        <v>0</v>
      </c>
      <c r="AB508" s="6">
        <f>[1]Emissions!AA924</f>
        <v>0</v>
      </c>
      <c r="AC508" s="6">
        <f>[1]Emissions!AB924</f>
        <v>0</v>
      </c>
      <c r="AD508" s="6">
        <f>[1]Emissions!AC924</f>
        <v>0</v>
      </c>
      <c r="AE508" s="6">
        <f>[1]Emissions!AD924</f>
        <v>0</v>
      </c>
      <c r="AF508" s="6">
        <f>[1]Emissions!AE924</f>
        <v>0</v>
      </c>
      <c r="AG508" s="6">
        <f>[1]Emissions!AF924</f>
        <v>0</v>
      </c>
      <c r="AH508" s="6">
        <f>[1]Emissions!AG924</f>
        <v>0</v>
      </c>
      <c r="AI508" s="6">
        <f>[1]Emissions!AH924</f>
        <v>0</v>
      </c>
      <c r="AJ508" s="6">
        <f>[1]Emissions!AI924</f>
        <v>0</v>
      </c>
      <c r="AK508" s="6">
        <f>[1]Emissions!AJ924</f>
        <v>0</v>
      </c>
      <c r="AL508" s="6">
        <f>[1]Emissions!AK924</f>
        <v>0</v>
      </c>
    </row>
    <row r="509" spans="2:38" hidden="1" x14ac:dyDescent="0.3">
      <c r="B509" s="16" t="str">
        <f>[1]Emissions!A925</f>
        <v>ems_mat_co2_spap_0</v>
      </c>
      <c r="C509" s="6">
        <f>[1]Emissions!B925</f>
        <v>0</v>
      </c>
      <c r="D509" s="6">
        <f>[1]Emissions!C925</f>
        <v>0</v>
      </c>
      <c r="E509" s="6">
        <f>[1]Emissions!D925</f>
        <v>0</v>
      </c>
      <c r="F509" s="6">
        <f>[1]Emissions!E925</f>
        <v>0</v>
      </c>
      <c r="G509" s="6">
        <f>[1]Emissions!F925</f>
        <v>0</v>
      </c>
      <c r="H509" s="6">
        <f>[1]Emissions!G925</f>
        <v>0</v>
      </c>
      <c r="I509" s="6">
        <f>[1]Emissions!H925</f>
        <v>0</v>
      </c>
      <c r="J509" s="6">
        <f>[1]Emissions!I925</f>
        <v>0</v>
      </c>
      <c r="K509" s="6">
        <f>[1]Emissions!J925</f>
        <v>0</v>
      </c>
      <c r="L509" s="6">
        <f>[1]Emissions!K925</f>
        <v>0</v>
      </c>
      <c r="M509" s="6">
        <f>[1]Emissions!L925</f>
        <v>0</v>
      </c>
      <c r="N509" s="6">
        <f>[1]Emissions!M925</f>
        <v>0</v>
      </c>
      <c r="O509" s="6">
        <f>[1]Emissions!N925</f>
        <v>0</v>
      </c>
      <c r="P509" s="6">
        <f>[1]Emissions!O925</f>
        <v>0</v>
      </c>
      <c r="Q509" s="6">
        <f>[1]Emissions!P925</f>
        <v>0</v>
      </c>
      <c r="R509" s="6">
        <f>[1]Emissions!Q925</f>
        <v>0</v>
      </c>
      <c r="S509" s="6">
        <f>[1]Emissions!R925</f>
        <v>0</v>
      </c>
      <c r="T509" s="6">
        <f>[1]Emissions!S925</f>
        <v>0</v>
      </c>
      <c r="U509" s="6">
        <f>[1]Emissions!T925</f>
        <v>0</v>
      </c>
      <c r="V509" s="6">
        <f>[1]Emissions!U925</f>
        <v>0</v>
      </c>
      <c r="W509" s="6">
        <f>[1]Emissions!V925</f>
        <v>0</v>
      </c>
      <c r="X509" s="6">
        <f>[1]Emissions!W925</f>
        <v>0</v>
      </c>
      <c r="Y509" s="6">
        <f>[1]Emissions!X925</f>
        <v>0</v>
      </c>
      <c r="Z509" s="6">
        <f>[1]Emissions!Y925</f>
        <v>0</v>
      </c>
      <c r="AA509" s="6">
        <f>[1]Emissions!Z925</f>
        <v>0</v>
      </c>
      <c r="AB509" s="6">
        <f>[1]Emissions!AA925</f>
        <v>0</v>
      </c>
      <c r="AC509" s="6">
        <f>[1]Emissions!AB925</f>
        <v>0</v>
      </c>
      <c r="AD509" s="6">
        <f>[1]Emissions!AC925</f>
        <v>0</v>
      </c>
      <c r="AE509" s="6">
        <f>[1]Emissions!AD925</f>
        <v>0</v>
      </c>
      <c r="AF509" s="6">
        <f>[1]Emissions!AE925</f>
        <v>0</v>
      </c>
      <c r="AG509" s="6">
        <f>[1]Emissions!AF925</f>
        <v>0</v>
      </c>
      <c r="AH509" s="6">
        <f>[1]Emissions!AG925</f>
        <v>0</v>
      </c>
      <c r="AI509" s="6">
        <f>[1]Emissions!AH925</f>
        <v>0</v>
      </c>
      <c r="AJ509" s="6">
        <f>[1]Emissions!AI925</f>
        <v>0</v>
      </c>
      <c r="AK509" s="6">
        <f>[1]Emissions!AJ925</f>
        <v>0</v>
      </c>
      <c r="AL509" s="6">
        <f>[1]Emissions!AK925</f>
        <v>0</v>
      </c>
    </row>
    <row r="510" spans="2:38" hidden="1" x14ac:dyDescent="0.3">
      <c r="B510" s="16" t="str">
        <f>[1]Emissions!A926</f>
        <v>ems_ci_co2_sche_0</v>
      </c>
      <c r="C510" s="6">
        <f>[1]Emissions!B926</f>
        <v>3.8354402749999998</v>
      </c>
      <c r="D510" s="6">
        <f>[1]Emissions!C926</f>
        <v>3.8343705880000001</v>
      </c>
      <c r="E510" s="6">
        <f>[1]Emissions!D926</f>
        <v>3.8474800400000002</v>
      </c>
      <c r="F510" s="6">
        <f>[1]Emissions!E926</f>
        <v>3.874537857</v>
      </c>
      <c r="G510" s="6">
        <f>[1]Emissions!F926</f>
        <v>3.9113455209999999</v>
      </c>
      <c r="H510" s="6">
        <f>[1]Emissions!G926</f>
        <v>3.9551223000000002</v>
      </c>
      <c r="I510" s="6">
        <f>[1]Emissions!H926</f>
        <v>3.9994923290000002</v>
      </c>
      <c r="J510" s="6">
        <f>[1]Emissions!I926</f>
        <v>4.0470737889999997</v>
      </c>
      <c r="K510" s="6">
        <f>[1]Emissions!J926</f>
        <v>4.0974409510000003</v>
      </c>
      <c r="L510" s="6">
        <f>[1]Emissions!K926</f>
        <v>4.1501311300000001</v>
      </c>
      <c r="M510" s="6">
        <f>[1]Emissions!L926</f>
        <v>4.2116886060000001</v>
      </c>
      <c r="N510" s="6">
        <f>[1]Emissions!M926</f>
        <v>4.269864578</v>
      </c>
      <c r="O510" s="6">
        <f>[1]Emissions!N926</f>
        <v>4.3294246709999999</v>
      </c>
      <c r="P510" s="6">
        <f>[1]Emissions!O926</f>
        <v>4.3909774009999998</v>
      </c>
      <c r="Q510" s="6">
        <f>[1]Emissions!P926</f>
        <v>4.4539765889999998</v>
      </c>
      <c r="R510" s="6">
        <f>[1]Emissions!Q926</f>
        <v>4.5179665580000004</v>
      </c>
      <c r="S510" s="6">
        <f>[1]Emissions!R926</f>
        <v>4.5827699969999998</v>
      </c>
      <c r="T510" s="6">
        <f>[1]Emissions!S926</f>
        <v>4.6484199090000002</v>
      </c>
      <c r="U510" s="6">
        <f>[1]Emissions!T926</f>
        <v>4.715042231</v>
      </c>
      <c r="V510" s="6">
        <f>[1]Emissions!U926</f>
        <v>4.7827582130000001</v>
      </c>
      <c r="W510" s="6">
        <f>[1]Emissions!V926</f>
        <v>4.8466002609999999</v>
      </c>
      <c r="X510" s="6">
        <f>[1]Emissions!W926</f>
        <v>4.9159462610000002</v>
      </c>
      <c r="Y510" s="6">
        <f>[1]Emissions!X926</f>
        <v>4.9873490650000001</v>
      </c>
      <c r="Z510" s="6">
        <f>[1]Emissions!Y926</f>
        <v>5.0598967110000004</v>
      </c>
      <c r="AA510" s="6">
        <f>[1]Emissions!Z926</f>
        <v>5.1335650739999998</v>
      </c>
      <c r="AB510" s="6">
        <f>[1]Emissions!AA926</f>
        <v>5.1933150369999996</v>
      </c>
      <c r="AC510" s="6">
        <f>[1]Emissions!AB926</f>
        <v>5.2612955960000001</v>
      </c>
      <c r="AD510" s="6">
        <f>[1]Emissions!AC926</f>
        <v>5.33209891</v>
      </c>
      <c r="AE510" s="6">
        <f>[1]Emissions!AD926</f>
        <v>5.4043221189999997</v>
      </c>
      <c r="AF510" s="6">
        <f>[1]Emissions!AE926</f>
        <v>5.4780692379999998</v>
      </c>
      <c r="AG510" s="6">
        <f>[1]Emissions!AF926</f>
        <v>5.5535450869999998</v>
      </c>
      <c r="AH510" s="6">
        <f>[1]Emissions!AG926</f>
        <v>5.6307768669999998</v>
      </c>
      <c r="AI510" s="6">
        <f>[1]Emissions!AH926</f>
        <v>5.7096592519999998</v>
      </c>
      <c r="AJ510" s="6">
        <f>[1]Emissions!AI926</f>
        <v>5.7900562359999999</v>
      </c>
      <c r="AK510" s="6">
        <f>[1]Emissions!AJ926</f>
        <v>5.8718753469999996</v>
      </c>
      <c r="AL510" s="6">
        <f>[1]Emissions!AK926</f>
        <v>5.955090266</v>
      </c>
    </row>
    <row r="511" spans="2:38" hidden="1" x14ac:dyDescent="0.3">
      <c r="B511" s="16" t="str">
        <f>[1]Emissions!A927</f>
        <v>ems_y_co2_sche_0</v>
      </c>
      <c r="C511" s="6">
        <f>[1]Emissions!B927</f>
        <v>0</v>
      </c>
      <c r="D511" s="6">
        <f>[1]Emissions!C927</f>
        <v>0</v>
      </c>
      <c r="E511" s="6">
        <f>[1]Emissions!D927</f>
        <v>0</v>
      </c>
      <c r="F511" s="6">
        <f>[1]Emissions!E927</f>
        <v>0</v>
      </c>
      <c r="G511" s="6">
        <f>[1]Emissions!F927</f>
        <v>0</v>
      </c>
      <c r="H511" s="6">
        <f>[1]Emissions!G927</f>
        <v>0</v>
      </c>
      <c r="I511" s="6">
        <f>[1]Emissions!H927</f>
        <v>0</v>
      </c>
      <c r="J511" s="6">
        <f>[1]Emissions!I927</f>
        <v>0</v>
      </c>
      <c r="K511" s="6">
        <f>[1]Emissions!J927</f>
        <v>0</v>
      </c>
      <c r="L511" s="6">
        <f>[1]Emissions!K927</f>
        <v>0</v>
      </c>
      <c r="M511" s="6">
        <f>[1]Emissions!L927</f>
        <v>0</v>
      </c>
      <c r="N511" s="6">
        <f>[1]Emissions!M927</f>
        <v>0</v>
      </c>
      <c r="O511" s="6">
        <f>[1]Emissions!N927</f>
        <v>0</v>
      </c>
      <c r="P511" s="6">
        <f>[1]Emissions!O927</f>
        <v>0</v>
      </c>
      <c r="Q511" s="6">
        <f>[1]Emissions!P927</f>
        <v>0</v>
      </c>
      <c r="R511" s="6">
        <f>[1]Emissions!Q927</f>
        <v>0</v>
      </c>
      <c r="S511" s="6">
        <f>[1]Emissions!R927</f>
        <v>0</v>
      </c>
      <c r="T511" s="6">
        <f>[1]Emissions!S927</f>
        <v>0</v>
      </c>
      <c r="U511" s="6">
        <f>[1]Emissions!T927</f>
        <v>0</v>
      </c>
      <c r="V511" s="6">
        <f>[1]Emissions!U927</f>
        <v>0</v>
      </c>
      <c r="W511" s="6">
        <f>[1]Emissions!V927</f>
        <v>0</v>
      </c>
      <c r="X511" s="6">
        <f>[1]Emissions!W927</f>
        <v>0</v>
      </c>
      <c r="Y511" s="6">
        <f>[1]Emissions!X927</f>
        <v>0</v>
      </c>
      <c r="Z511" s="6">
        <f>[1]Emissions!Y927</f>
        <v>0</v>
      </c>
      <c r="AA511" s="6">
        <f>[1]Emissions!Z927</f>
        <v>0</v>
      </c>
      <c r="AB511" s="6">
        <f>[1]Emissions!AA927</f>
        <v>0</v>
      </c>
      <c r="AC511" s="6">
        <f>[1]Emissions!AB927</f>
        <v>0</v>
      </c>
      <c r="AD511" s="6">
        <f>[1]Emissions!AC927</f>
        <v>0</v>
      </c>
      <c r="AE511" s="6">
        <f>[1]Emissions!AD927</f>
        <v>0</v>
      </c>
      <c r="AF511" s="6">
        <f>[1]Emissions!AE927</f>
        <v>0</v>
      </c>
      <c r="AG511" s="6">
        <f>[1]Emissions!AF927</f>
        <v>0</v>
      </c>
      <c r="AH511" s="6">
        <f>[1]Emissions!AG927</f>
        <v>0</v>
      </c>
      <c r="AI511" s="6">
        <f>[1]Emissions!AH927</f>
        <v>0</v>
      </c>
      <c r="AJ511" s="6">
        <f>[1]Emissions!AI927</f>
        <v>0</v>
      </c>
      <c r="AK511" s="6">
        <f>[1]Emissions!AJ927</f>
        <v>0</v>
      </c>
      <c r="AL511" s="6">
        <f>[1]Emissions!AK927</f>
        <v>0</v>
      </c>
    </row>
    <row r="512" spans="2:38" hidden="1" x14ac:dyDescent="0.3">
      <c r="B512" s="16" t="str">
        <f>[1]Emissions!A928</f>
        <v>ems_mat_co2_sche_0</v>
      </c>
      <c r="C512" s="6">
        <f>[1]Emissions!B928</f>
        <v>2.594500424</v>
      </c>
      <c r="D512" s="6">
        <f>[1]Emissions!C928</f>
        <v>2.5971305629999999</v>
      </c>
      <c r="E512" s="6">
        <f>[1]Emissions!D928</f>
        <v>2.6115127299999998</v>
      </c>
      <c r="F512" s="6">
        <f>[1]Emissions!E928</f>
        <v>2.6364707360000001</v>
      </c>
      <c r="G512" s="6">
        <f>[1]Emissions!F928</f>
        <v>2.6683295839999999</v>
      </c>
      <c r="H512" s="6">
        <f>[1]Emissions!G928</f>
        <v>2.7046565390000001</v>
      </c>
      <c r="I512" s="6">
        <f>[1]Emissions!H928</f>
        <v>2.7408574259999998</v>
      </c>
      <c r="J512" s="6">
        <f>[1]Emissions!I928</f>
        <v>2.778579181</v>
      </c>
      <c r="K512" s="6">
        <f>[1]Emissions!J928</f>
        <v>2.8176273140000001</v>
      </c>
      <c r="L512" s="6">
        <f>[1]Emissions!K928</f>
        <v>2.8577939849999998</v>
      </c>
      <c r="M512" s="6">
        <f>[1]Emissions!L928</f>
        <v>2.9036913339999999</v>
      </c>
      <c r="N512" s="6">
        <f>[1]Emissions!M928</f>
        <v>2.9466283309999999</v>
      </c>
      <c r="O512" s="6">
        <f>[1]Emissions!N928</f>
        <v>2.989559291</v>
      </c>
      <c r="P512" s="6">
        <f>[1]Emissions!O928</f>
        <v>3.032770239</v>
      </c>
      <c r="Q512" s="6">
        <f>[1]Emissions!P928</f>
        <v>3.075961758</v>
      </c>
      <c r="R512" s="6">
        <f>[1]Emissions!Q928</f>
        <v>3.1190496240000001</v>
      </c>
      <c r="S512" s="6">
        <f>[1]Emissions!R928</f>
        <v>3.1622135349999998</v>
      </c>
      <c r="T512" s="6">
        <f>[1]Emissions!S928</f>
        <v>3.2057739340000002</v>
      </c>
      <c r="U512" s="6">
        <f>[1]Emissions!T928</f>
        <v>3.2500625150000002</v>
      </c>
      <c r="V512" s="6">
        <f>[1]Emissions!U928</f>
        <v>3.2953374599999998</v>
      </c>
      <c r="W512" s="6">
        <f>[1]Emissions!V928</f>
        <v>3.338208844</v>
      </c>
      <c r="X512" s="6">
        <f>[1]Emissions!W928</f>
        <v>3.3852941410000001</v>
      </c>
      <c r="Y512" s="6">
        <f>[1]Emissions!X928</f>
        <v>3.4343038620000002</v>
      </c>
      <c r="Z512" s="6">
        <f>[1]Emissions!Y928</f>
        <v>3.4845913259999999</v>
      </c>
      <c r="AA512" s="6">
        <f>[1]Emissions!Z928</f>
        <v>3.5360633720000001</v>
      </c>
      <c r="AB512" s="6">
        <f>[1]Emissions!AA928</f>
        <v>3.578090386</v>
      </c>
      <c r="AC512" s="6">
        <f>[1]Emissions!AB928</f>
        <v>3.625958222</v>
      </c>
      <c r="AD512" s="6">
        <f>[1]Emissions!AC928</f>
        <v>3.6760506999999998</v>
      </c>
      <c r="AE512" s="6">
        <f>[1]Emissions!AD928</f>
        <v>3.727376934</v>
      </c>
      <c r="AF512" s="6">
        <f>[1]Emissions!AE928</f>
        <v>3.779868977</v>
      </c>
      <c r="AG512" s="6">
        <f>[1]Emissions!AF928</f>
        <v>3.8334769309999999</v>
      </c>
      <c r="AH512" s="6">
        <f>[1]Emissions!AG928</f>
        <v>3.8880444409999999</v>
      </c>
      <c r="AI512" s="6">
        <f>[1]Emissions!AH928</f>
        <v>3.9433850719999999</v>
      </c>
      <c r="AJ512" s="6">
        <f>[1]Emissions!AI928</f>
        <v>3.9993658750000001</v>
      </c>
      <c r="AK512" s="6">
        <f>[1]Emissions!AJ928</f>
        <v>4.0559443169999998</v>
      </c>
      <c r="AL512" s="6">
        <f>[1]Emissions!AK928</f>
        <v>4.1131547189999997</v>
      </c>
    </row>
    <row r="513" spans="2:38" hidden="1" x14ac:dyDescent="0.3">
      <c r="B513" s="16" t="str">
        <f>[1]Emissions!A929</f>
        <v>ems_ci_co2_spla_0</v>
      </c>
      <c r="C513" s="6">
        <f>[1]Emissions!B929</f>
        <v>1.297756884</v>
      </c>
      <c r="D513" s="6">
        <f>[1]Emissions!C929</f>
        <v>1.2991557659999999</v>
      </c>
      <c r="E513" s="6">
        <f>[1]Emissions!D929</f>
        <v>1.3042119350000001</v>
      </c>
      <c r="F513" s="6">
        <f>[1]Emissions!E929</f>
        <v>1.3130087349999999</v>
      </c>
      <c r="G513" s="6">
        <f>[1]Emissions!F929</f>
        <v>1.3257670420000001</v>
      </c>
      <c r="H513" s="6">
        <f>[1]Emissions!G929</f>
        <v>1.3429780739999999</v>
      </c>
      <c r="I513" s="6">
        <f>[1]Emissions!H929</f>
        <v>1.3618869259999999</v>
      </c>
      <c r="J513" s="6">
        <f>[1]Emissions!I929</f>
        <v>1.38467304</v>
      </c>
      <c r="K513" s="6">
        <f>[1]Emissions!J929</f>
        <v>1.410212665</v>
      </c>
      <c r="L513" s="6">
        <f>[1]Emissions!K929</f>
        <v>1.4370835129999999</v>
      </c>
      <c r="M513" s="6">
        <f>[1]Emissions!L929</f>
        <v>1.4679768520000001</v>
      </c>
      <c r="N513" s="6">
        <f>[1]Emissions!M929</f>
        <v>1.4948791290000001</v>
      </c>
      <c r="O513" s="6">
        <f>[1]Emissions!N929</f>
        <v>1.521726449</v>
      </c>
      <c r="P513" s="6">
        <f>[1]Emissions!O929</f>
        <v>1.5490524720000001</v>
      </c>
      <c r="Q513" s="6">
        <f>[1]Emissions!P929</f>
        <v>1.5764701510000001</v>
      </c>
      <c r="R513" s="6">
        <f>[1]Emissions!Q929</f>
        <v>1.60354383</v>
      </c>
      <c r="S513" s="6">
        <f>[1]Emissions!R929</f>
        <v>1.6299868159999999</v>
      </c>
      <c r="T513" s="6">
        <f>[1]Emissions!S929</f>
        <v>1.655717449</v>
      </c>
      <c r="U513" s="6">
        <f>[1]Emissions!T929</f>
        <v>1.680851002</v>
      </c>
      <c r="V513" s="6">
        <f>[1]Emissions!U929</f>
        <v>1.7056425580000001</v>
      </c>
      <c r="W513" s="6">
        <f>[1]Emissions!V929</f>
        <v>1.7276441149999999</v>
      </c>
      <c r="X513" s="6">
        <f>[1]Emissions!W929</f>
        <v>1.7528395459999999</v>
      </c>
      <c r="Y513" s="6">
        <f>[1]Emissions!X929</f>
        <v>1.778739147</v>
      </c>
      <c r="Z513" s="6">
        <f>[1]Emissions!Y929</f>
        <v>1.805006879</v>
      </c>
      <c r="AA513" s="6">
        <f>[1]Emissions!Z929</f>
        <v>1.8318930550000001</v>
      </c>
      <c r="AB513" s="6">
        <f>[1]Emissions!AA929</f>
        <v>1.851237617</v>
      </c>
      <c r="AC513" s="6">
        <f>[1]Emissions!AB929</f>
        <v>1.8769702589999999</v>
      </c>
      <c r="AD513" s="6">
        <f>[1]Emissions!AC929</f>
        <v>1.904211857</v>
      </c>
      <c r="AE513" s="6">
        <f>[1]Emissions!AD929</f>
        <v>1.931636379</v>
      </c>
      <c r="AF513" s="6">
        <f>[1]Emissions!AE929</f>
        <v>1.959267477</v>
      </c>
      <c r="AG513" s="6">
        <f>[1]Emissions!AF929</f>
        <v>1.9873655990000001</v>
      </c>
      <c r="AH513" s="6">
        <f>[1]Emissions!AG929</f>
        <v>2.0161171019999999</v>
      </c>
      <c r="AI513" s="6">
        <f>[1]Emissions!AH929</f>
        <v>2.0455635999999999</v>
      </c>
      <c r="AJ513" s="6">
        <f>[1]Emissions!AI929</f>
        <v>2.0756208350000001</v>
      </c>
      <c r="AK513" s="6">
        <f>[1]Emissions!AJ929</f>
        <v>2.1061386820000001</v>
      </c>
      <c r="AL513" s="6">
        <f>[1]Emissions!AK929</f>
        <v>2.1369694290000001</v>
      </c>
    </row>
    <row r="514" spans="2:38" hidden="1" x14ac:dyDescent="0.3">
      <c r="B514" s="16" t="str">
        <f>[1]Emissions!A930</f>
        <v>ems_y_co2_spla_0</v>
      </c>
      <c r="C514" s="6">
        <f>[1]Emissions!B930</f>
        <v>0</v>
      </c>
      <c r="D514" s="6">
        <f>[1]Emissions!C930</f>
        <v>0</v>
      </c>
      <c r="E514" s="6">
        <f>[1]Emissions!D930</f>
        <v>0</v>
      </c>
      <c r="F514" s="6">
        <f>[1]Emissions!E930</f>
        <v>0</v>
      </c>
      <c r="G514" s="6">
        <f>[1]Emissions!F930</f>
        <v>0</v>
      </c>
      <c r="H514" s="6">
        <f>[1]Emissions!G930</f>
        <v>0</v>
      </c>
      <c r="I514" s="6">
        <f>[1]Emissions!H930</f>
        <v>0</v>
      </c>
      <c r="J514" s="6">
        <f>[1]Emissions!I930</f>
        <v>0</v>
      </c>
      <c r="K514" s="6">
        <f>[1]Emissions!J930</f>
        <v>0</v>
      </c>
      <c r="L514" s="6">
        <f>[1]Emissions!K930</f>
        <v>0</v>
      </c>
      <c r="M514" s="6">
        <f>[1]Emissions!L930</f>
        <v>0</v>
      </c>
      <c r="N514" s="6">
        <f>[1]Emissions!M930</f>
        <v>0</v>
      </c>
      <c r="O514" s="6">
        <f>[1]Emissions!N930</f>
        <v>0</v>
      </c>
      <c r="P514" s="6">
        <f>[1]Emissions!O930</f>
        <v>0</v>
      </c>
      <c r="Q514" s="6">
        <f>[1]Emissions!P930</f>
        <v>0</v>
      </c>
      <c r="R514" s="6">
        <f>[1]Emissions!Q930</f>
        <v>0</v>
      </c>
      <c r="S514" s="6">
        <f>[1]Emissions!R930</f>
        <v>0</v>
      </c>
      <c r="T514" s="6">
        <f>[1]Emissions!S930</f>
        <v>0</v>
      </c>
      <c r="U514" s="6">
        <f>[1]Emissions!T930</f>
        <v>0</v>
      </c>
      <c r="V514" s="6">
        <f>[1]Emissions!U930</f>
        <v>0</v>
      </c>
      <c r="W514" s="6">
        <f>[1]Emissions!V930</f>
        <v>0</v>
      </c>
      <c r="X514" s="6">
        <f>[1]Emissions!W930</f>
        <v>0</v>
      </c>
      <c r="Y514" s="6">
        <f>[1]Emissions!X930</f>
        <v>0</v>
      </c>
      <c r="Z514" s="6">
        <f>[1]Emissions!Y930</f>
        <v>0</v>
      </c>
      <c r="AA514" s="6">
        <f>[1]Emissions!Z930</f>
        <v>0</v>
      </c>
      <c r="AB514" s="6">
        <f>[1]Emissions!AA930</f>
        <v>0</v>
      </c>
      <c r="AC514" s="6">
        <f>[1]Emissions!AB930</f>
        <v>0</v>
      </c>
      <c r="AD514" s="6">
        <f>[1]Emissions!AC930</f>
        <v>0</v>
      </c>
      <c r="AE514" s="6">
        <f>[1]Emissions!AD930</f>
        <v>0</v>
      </c>
      <c r="AF514" s="6">
        <f>[1]Emissions!AE930</f>
        <v>0</v>
      </c>
      <c r="AG514" s="6">
        <f>[1]Emissions!AF930</f>
        <v>0</v>
      </c>
      <c r="AH514" s="6">
        <f>[1]Emissions!AG930</f>
        <v>0</v>
      </c>
      <c r="AI514" s="6">
        <f>[1]Emissions!AH930</f>
        <v>0</v>
      </c>
      <c r="AJ514" s="6">
        <f>[1]Emissions!AI930</f>
        <v>0</v>
      </c>
      <c r="AK514" s="6">
        <f>[1]Emissions!AJ930</f>
        <v>0</v>
      </c>
      <c r="AL514" s="6">
        <f>[1]Emissions!AK930</f>
        <v>0</v>
      </c>
    </row>
    <row r="515" spans="2:38" hidden="1" x14ac:dyDescent="0.3">
      <c r="B515" s="16" t="str">
        <f>[1]Emissions!A931</f>
        <v>ems_mat_co2_spla_0</v>
      </c>
      <c r="C515" s="6">
        <f>[1]Emissions!B931</f>
        <v>0</v>
      </c>
      <c r="D515" s="6">
        <f>[1]Emissions!C931</f>
        <v>0</v>
      </c>
      <c r="E515" s="6">
        <f>[1]Emissions!D931</f>
        <v>0</v>
      </c>
      <c r="F515" s="6">
        <f>[1]Emissions!E931</f>
        <v>0</v>
      </c>
      <c r="G515" s="6">
        <f>[1]Emissions!F931</f>
        <v>0</v>
      </c>
      <c r="H515" s="6">
        <f>[1]Emissions!G931</f>
        <v>0</v>
      </c>
      <c r="I515" s="6">
        <f>[1]Emissions!H931</f>
        <v>0</v>
      </c>
      <c r="J515" s="6">
        <f>[1]Emissions!I931</f>
        <v>0</v>
      </c>
      <c r="K515" s="6">
        <f>[1]Emissions!J931</f>
        <v>0</v>
      </c>
      <c r="L515" s="6">
        <f>[1]Emissions!K931</f>
        <v>0</v>
      </c>
      <c r="M515" s="6">
        <f>[1]Emissions!L931</f>
        <v>0</v>
      </c>
      <c r="N515" s="6">
        <f>[1]Emissions!M931</f>
        <v>0</v>
      </c>
      <c r="O515" s="6">
        <f>[1]Emissions!N931</f>
        <v>0</v>
      </c>
      <c r="P515" s="6">
        <f>[1]Emissions!O931</f>
        <v>0</v>
      </c>
      <c r="Q515" s="6">
        <f>[1]Emissions!P931</f>
        <v>0</v>
      </c>
      <c r="R515" s="6">
        <f>[1]Emissions!Q931</f>
        <v>0</v>
      </c>
      <c r="S515" s="6">
        <f>[1]Emissions!R931</f>
        <v>0</v>
      </c>
      <c r="T515" s="6">
        <f>[1]Emissions!S931</f>
        <v>0</v>
      </c>
      <c r="U515" s="6">
        <f>[1]Emissions!T931</f>
        <v>0</v>
      </c>
      <c r="V515" s="6">
        <f>[1]Emissions!U931</f>
        <v>0</v>
      </c>
      <c r="W515" s="6">
        <f>[1]Emissions!V931</f>
        <v>0</v>
      </c>
      <c r="X515" s="6">
        <f>[1]Emissions!W931</f>
        <v>0</v>
      </c>
      <c r="Y515" s="6">
        <f>[1]Emissions!X931</f>
        <v>0</v>
      </c>
      <c r="Z515" s="6">
        <f>[1]Emissions!Y931</f>
        <v>0</v>
      </c>
      <c r="AA515" s="6">
        <f>[1]Emissions!Z931</f>
        <v>0</v>
      </c>
      <c r="AB515" s="6">
        <f>[1]Emissions!AA931</f>
        <v>0</v>
      </c>
      <c r="AC515" s="6">
        <f>[1]Emissions!AB931</f>
        <v>0</v>
      </c>
      <c r="AD515" s="6">
        <f>[1]Emissions!AC931</f>
        <v>0</v>
      </c>
      <c r="AE515" s="6">
        <f>[1]Emissions!AD931</f>
        <v>0</v>
      </c>
      <c r="AF515" s="6">
        <f>[1]Emissions!AE931</f>
        <v>0</v>
      </c>
      <c r="AG515" s="6">
        <f>[1]Emissions!AF931</f>
        <v>0</v>
      </c>
      <c r="AH515" s="6">
        <f>[1]Emissions!AG931</f>
        <v>0</v>
      </c>
      <c r="AI515" s="6">
        <f>[1]Emissions!AH931</f>
        <v>0</v>
      </c>
      <c r="AJ515" s="6">
        <f>[1]Emissions!AI931</f>
        <v>0</v>
      </c>
      <c r="AK515" s="6">
        <f>[1]Emissions!AJ931</f>
        <v>0</v>
      </c>
      <c r="AL515" s="6">
        <f>[1]Emissions!AK931</f>
        <v>0</v>
      </c>
    </row>
    <row r="516" spans="2:38" hidden="1" x14ac:dyDescent="0.3">
      <c r="B516" s="16" t="str">
        <f>[1]Emissions!A932</f>
        <v>ems_ci_co2_smet_0</v>
      </c>
      <c r="C516" s="6">
        <f>[1]Emissions!B932</f>
        <v>7.5657038569999999</v>
      </c>
      <c r="D516" s="6">
        <f>[1]Emissions!C932</f>
        <v>7.6690087739999999</v>
      </c>
      <c r="E516" s="6">
        <f>[1]Emissions!D932</f>
        <v>7.7889340660000004</v>
      </c>
      <c r="F516" s="6">
        <f>[1]Emissions!E932</f>
        <v>7.9062199729999998</v>
      </c>
      <c r="G516" s="6">
        <f>[1]Emissions!F932</f>
        <v>8.0161534910000007</v>
      </c>
      <c r="H516" s="6">
        <f>[1]Emissions!G932</f>
        <v>8.1193734119999998</v>
      </c>
      <c r="I516" s="6">
        <f>[1]Emissions!H932</f>
        <v>8.2019449039999994</v>
      </c>
      <c r="J516" s="6">
        <f>[1]Emissions!I932</f>
        <v>8.2831670039999992</v>
      </c>
      <c r="K516" s="6">
        <f>[1]Emissions!J932</f>
        <v>8.3658937059999996</v>
      </c>
      <c r="L516" s="6">
        <f>[1]Emissions!K932</f>
        <v>8.4516425240000004</v>
      </c>
      <c r="M516" s="6">
        <f>[1]Emissions!L932</f>
        <v>8.5658844649999999</v>
      </c>
      <c r="N516" s="6">
        <f>[1]Emissions!M932</f>
        <v>8.6614143699999993</v>
      </c>
      <c r="O516" s="6">
        <f>[1]Emissions!N932</f>
        <v>8.7635423249999995</v>
      </c>
      <c r="P516" s="6">
        <f>[1]Emissions!O932</f>
        <v>8.8752473219999999</v>
      </c>
      <c r="Q516" s="6">
        <f>[1]Emissions!P932</f>
        <v>8.9948100780000004</v>
      </c>
      <c r="R516" s="6">
        <f>[1]Emissions!Q932</f>
        <v>9.1205058520000009</v>
      </c>
      <c r="S516" s="6">
        <f>[1]Emissions!R932</f>
        <v>9.2511424919999996</v>
      </c>
      <c r="T516" s="6">
        <f>[1]Emissions!S932</f>
        <v>9.3858512449999996</v>
      </c>
      <c r="U516" s="6">
        <f>[1]Emissions!T932</f>
        <v>9.5238384570000001</v>
      </c>
      <c r="V516" s="6">
        <f>[1]Emissions!U932</f>
        <v>9.6642558859999994</v>
      </c>
      <c r="W516" s="6">
        <f>[1]Emissions!V932</f>
        <v>9.7893744859999998</v>
      </c>
      <c r="X516" s="6">
        <f>[1]Emissions!W932</f>
        <v>9.9334445500000008</v>
      </c>
      <c r="Y516" s="6">
        <f>[1]Emissions!X932</f>
        <v>10.07931799</v>
      </c>
      <c r="Z516" s="6">
        <f>[1]Emissions!Y932</f>
        <v>10.22379192</v>
      </c>
      <c r="AA516" s="6">
        <f>[1]Emissions!Z932</f>
        <v>10.36713381</v>
      </c>
      <c r="AB516" s="6">
        <f>[1]Emissions!AA932</f>
        <v>10.460930729999999</v>
      </c>
      <c r="AC516" s="6">
        <f>[1]Emissions!AB932</f>
        <v>10.5873562</v>
      </c>
      <c r="AD516" s="6">
        <f>[1]Emissions!AC932</f>
        <v>10.72103328</v>
      </c>
      <c r="AE516" s="6">
        <f>[1]Emissions!AD932</f>
        <v>10.856822169999999</v>
      </c>
      <c r="AF516" s="6">
        <f>[1]Emissions!AE932</f>
        <v>10.99524564</v>
      </c>
      <c r="AG516" s="6">
        <f>[1]Emissions!AF932</f>
        <v>11.137305570000001</v>
      </c>
      <c r="AH516" s="6">
        <f>[1]Emissions!AG932</f>
        <v>11.28352825</v>
      </c>
      <c r="AI516" s="6">
        <f>[1]Emissions!AH932</f>
        <v>11.434058869999999</v>
      </c>
      <c r="AJ516" s="6">
        <f>[1]Emissions!AI932</f>
        <v>11.588905670000001</v>
      </c>
      <c r="AK516" s="6">
        <f>[1]Emissions!AJ932</f>
        <v>11.74809891</v>
      </c>
      <c r="AL516" s="6">
        <f>[1]Emissions!AK932</f>
        <v>11.911721229999999</v>
      </c>
    </row>
    <row r="517" spans="2:38" hidden="1" x14ac:dyDescent="0.3">
      <c r="B517" s="16" t="str">
        <f>[1]Emissions!A933</f>
        <v>ems_y_co2_smet_0</v>
      </c>
      <c r="C517" s="6">
        <f>[1]Emissions!B933</f>
        <v>0</v>
      </c>
      <c r="D517" s="6">
        <f>[1]Emissions!C933</f>
        <v>0</v>
      </c>
      <c r="E517" s="6">
        <f>[1]Emissions!D933</f>
        <v>0</v>
      </c>
      <c r="F517" s="6">
        <f>[1]Emissions!E933</f>
        <v>0</v>
      </c>
      <c r="G517" s="6">
        <f>[1]Emissions!F933</f>
        <v>0</v>
      </c>
      <c r="H517" s="6">
        <f>[1]Emissions!G933</f>
        <v>0</v>
      </c>
      <c r="I517" s="6">
        <f>[1]Emissions!H933</f>
        <v>0</v>
      </c>
      <c r="J517" s="6">
        <f>[1]Emissions!I933</f>
        <v>0</v>
      </c>
      <c r="K517" s="6">
        <f>[1]Emissions!J933</f>
        <v>0</v>
      </c>
      <c r="L517" s="6">
        <f>[1]Emissions!K933</f>
        <v>0</v>
      </c>
      <c r="M517" s="6">
        <f>[1]Emissions!L933</f>
        <v>0</v>
      </c>
      <c r="N517" s="6">
        <f>[1]Emissions!M933</f>
        <v>0</v>
      </c>
      <c r="O517" s="6">
        <f>[1]Emissions!N933</f>
        <v>0</v>
      </c>
      <c r="P517" s="6">
        <f>[1]Emissions!O933</f>
        <v>0</v>
      </c>
      <c r="Q517" s="6">
        <f>[1]Emissions!P933</f>
        <v>0</v>
      </c>
      <c r="R517" s="6">
        <f>[1]Emissions!Q933</f>
        <v>0</v>
      </c>
      <c r="S517" s="6">
        <f>[1]Emissions!R933</f>
        <v>0</v>
      </c>
      <c r="T517" s="6">
        <f>[1]Emissions!S933</f>
        <v>0</v>
      </c>
      <c r="U517" s="6">
        <f>[1]Emissions!T933</f>
        <v>0</v>
      </c>
      <c r="V517" s="6">
        <f>[1]Emissions!U933</f>
        <v>0</v>
      </c>
      <c r="W517" s="6">
        <f>[1]Emissions!V933</f>
        <v>0</v>
      </c>
      <c r="X517" s="6">
        <f>[1]Emissions!W933</f>
        <v>0</v>
      </c>
      <c r="Y517" s="6">
        <f>[1]Emissions!X933</f>
        <v>0</v>
      </c>
      <c r="Z517" s="6">
        <f>[1]Emissions!Y933</f>
        <v>0</v>
      </c>
      <c r="AA517" s="6">
        <f>[1]Emissions!Z933</f>
        <v>0</v>
      </c>
      <c r="AB517" s="6">
        <f>[1]Emissions!AA933</f>
        <v>0</v>
      </c>
      <c r="AC517" s="6">
        <f>[1]Emissions!AB933</f>
        <v>0</v>
      </c>
      <c r="AD517" s="6">
        <f>[1]Emissions!AC933</f>
        <v>0</v>
      </c>
      <c r="AE517" s="6">
        <f>[1]Emissions!AD933</f>
        <v>0</v>
      </c>
      <c r="AF517" s="6">
        <f>[1]Emissions!AE933</f>
        <v>0</v>
      </c>
      <c r="AG517" s="6">
        <f>[1]Emissions!AF933</f>
        <v>0</v>
      </c>
      <c r="AH517" s="6">
        <f>[1]Emissions!AG933</f>
        <v>0</v>
      </c>
      <c r="AI517" s="6">
        <f>[1]Emissions!AH933</f>
        <v>0</v>
      </c>
      <c r="AJ517" s="6">
        <f>[1]Emissions!AI933</f>
        <v>0</v>
      </c>
      <c r="AK517" s="6">
        <f>[1]Emissions!AJ933</f>
        <v>0</v>
      </c>
      <c r="AL517" s="6">
        <f>[1]Emissions!AK933</f>
        <v>0</v>
      </c>
    </row>
    <row r="518" spans="2:38" hidden="1" x14ac:dyDescent="0.3">
      <c r="B518" s="16" t="str">
        <f>[1]Emissions!A934</f>
        <v>ems_mat_co2_smet_0</v>
      </c>
      <c r="C518" s="6">
        <f>[1]Emissions!B934</f>
        <v>12.82056356</v>
      </c>
      <c r="D518" s="6">
        <f>[1]Emissions!C934</f>
        <v>13.0151199</v>
      </c>
      <c r="E518" s="6">
        <f>[1]Emissions!D934</f>
        <v>13.25731332</v>
      </c>
      <c r="F518" s="6">
        <f>[1]Emissions!E934</f>
        <v>13.51502696</v>
      </c>
      <c r="G518" s="6">
        <f>[1]Emissions!F934</f>
        <v>13.77917646</v>
      </c>
      <c r="H518" s="6">
        <f>[1]Emissions!G934</f>
        <v>14.048261500000001</v>
      </c>
      <c r="I518" s="6">
        <f>[1]Emissions!H934</f>
        <v>14.294042940000001</v>
      </c>
      <c r="J518" s="6">
        <f>[1]Emissions!I934</f>
        <v>14.54414629</v>
      </c>
      <c r="K518" s="6">
        <f>[1]Emissions!J934</f>
        <v>14.79774795</v>
      </c>
      <c r="L518" s="6">
        <f>[1]Emissions!K934</f>
        <v>15.05170036</v>
      </c>
      <c r="M518" s="6">
        <f>[1]Emissions!L934</f>
        <v>15.34666457</v>
      </c>
      <c r="N518" s="6">
        <f>[1]Emissions!M934</f>
        <v>15.59425091</v>
      </c>
      <c r="O518" s="6">
        <f>[1]Emissions!N934</f>
        <v>15.83637697</v>
      </c>
      <c r="P518" s="6">
        <f>[1]Emissions!O934</f>
        <v>16.077449819999998</v>
      </c>
      <c r="Q518" s="6">
        <f>[1]Emissions!P934</f>
        <v>16.31519874</v>
      </c>
      <c r="R518" s="6">
        <f>[1]Emissions!Q934</f>
        <v>16.548675459999998</v>
      </c>
      <c r="S518" s="6">
        <f>[1]Emissions!R934</f>
        <v>16.778876759999999</v>
      </c>
      <c r="T518" s="6">
        <f>[1]Emissions!S934</f>
        <v>17.007982720000001</v>
      </c>
      <c r="U518" s="6">
        <f>[1]Emissions!T934</f>
        <v>17.23852802</v>
      </c>
      <c r="V518" s="6">
        <f>[1]Emissions!U934</f>
        <v>17.472805099999999</v>
      </c>
      <c r="W518" s="6">
        <f>[1]Emissions!V934</f>
        <v>17.681900800000001</v>
      </c>
      <c r="X518" s="6">
        <f>[1]Emissions!W934</f>
        <v>17.930304379999999</v>
      </c>
      <c r="Y518" s="6">
        <f>[1]Emissions!X934</f>
        <v>18.189216779999999</v>
      </c>
      <c r="Z518" s="6">
        <f>[1]Emissions!Y934</f>
        <v>18.453914999999999</v>
      </c>
      <c r="AA518" s="6">
        <f>[1]Emissions!Z934</f>
        <v>18.724965189999999</v>
      </c>
      <c r="AB518" s="6">
        <f>[1]Emissions!AA934</f>
        <v>18.91354922</v>
      </c>
      <c r="AC518" s="6">
        <f>[1]Emissions!AB934</f>
        <v>19.166281720000001</v>
      </c>
      <c r="AD518" s="6">
        <f>[1]Emissions!AC934</f>
        <v>19.436231620000001</v>
      </c>
      <c r="AE518" s="6">
        <f>[1]Emissions!AD934</f>
        <v>19.712467879999998</v>
      </c>
      <c r="AF518" s="6">
        <f>[1]Emissions!AE934</f>
        <v>19.994091000000001</v>
      </c>
      <c r="AG518" s="6">
        <f>[1]Emissions!AF934</f>
        <v>20.281109189999999</v>
      </c>
      <c r="AH518" s="6">
        <f>[1]Emissions!AG934</f>
        <v>20.572879069999999</v>
      </c>
      <c r="AI518" s="6">
        <f>[1]Emissions!AH934</f>
        <v>20.868381459999998</v>
      </c>
      <c r="AJ518" s="6">
        <f>[1]Emissions!AI934</f>
        <v>21.166715190000001</v>
      </c>
      <c r="AK518" s="6">
        <f>[1]Emissions!AJ934</f>
        <v>21.46739406</v>
      </c>
      <c r="AL518" s="6">
        <f>[1]Emissions!AK934</f>
        <v>21.770378749999999</v>
      </c>
    </row>
    <row r="519" spans="2:38" hidden="1" x14ac:dyDescent="0.3">
      <c r="B519" s="16" t="str">
        <f>[1]Emissions!A935</f>
        <v>ems_ci_co2_sigo_0</v>
      </c>
      <c r="C519" s="6">
        <f>[1]Emissions!B935</f>
        <v>3.009518285</v>
      </c>
      <c r="D519" s="6">
        <f>[1]Emissions!C935</f>
        <v>3.0091603650000001</v>
      </c>
      <c r="E519" s="6">
        <f>[1]Emissions!D935</f>
        <v>3.0167586329999998</v>
      </c>
      <c r="F519" s="6">
        <f>[1]Emissions!E935</f>
        <v>3.0341847789999998</v>
      </c>
      <c r="G519" s="6">
        <f>[1]Emissions!F935</f>
        <v>3.0608701630000001</v>
      </c>
      <c r="H519" s="6">
        <f>[1]Emissions!G935</f>
        <v>3.0965126430000001</v>
      </c>
      <c r="I519" s="6">
        <f>[1]Emissions!H935</f>
        <v>3.1357923140000001</v>
      </c>
      <c r="J519" s="6">
        <f>[1]Emissions!I935</f>
        <v>3.1813958320000002</v>
      </c>
      <c r="K519" s="6">
        <f>[1]Emissions!J935</f>
        <v>3.231535745</v>
      </c>
      <c r="L519" s="6">
        <f>[1]Emissions!K935</f>
        <v>3.284118248</v>
      </c>
      <c r="M519" s="6">
        <f>[1]Emissions!L935</f>
        <v>3.3438137050000001</v>
      </c>
      <c r="N519" s="6">
        <f>[1]Emissions!M935</f>
        <v>3.3984556430000001</v>
      </c>
      <c r="O519" s="6">
        <f>[1]Emissions!N935</f>
        <v>3.4535207130000001</v>
      </c>
      <c r="P519" s="6">
        <f>[1]Emissions!O935</f>
        <v>3.5098324719999998</v>
      </c>
      <c r="Q519" s="6">
        <f>[1]Emissions!P935</f>
        <v>3.566706183</v>
      </c>
      <c r="R519" s="6">
        <f>[1]Emissions!Q935</f>
        <v>3.6233696210000002</v>
      </c>
      <c r="S519" s="6">
        <f>[1]Emissions!R935</f>
        <v>3.6793352860000001</v>
      </c>
      <c r="T519" s="6">
        <f>[1]Emissions!S935</f>
        <v>3.7344937059999999</v>
      </c>
      <c r="U519" s="6">
        <f>[1]Emissions!T935</f>
        <v>3.789071168</v>
      </c>
      <c r="V519" s="6">
        <f>[1]Emissions!U935</f>
        <v>3.8435058390000001</v>
      </c>
      <c r="W519" s="6">
        <f>[1]Emissions!V935</f>
        <v>3.8937349540000001</v>
      </c>
      <c r="X519" s="6">
        <f>[1]Emissions!W935</f>
        <v>3.949070705</v>
      </c>
      <c r="Y519" s="6">
        <f>[1]Emissions!X935</f>
        <v>4.0060838079999996</v>
      </c>
      <c r="Z519" s="6">
        <f>[1]Emissions!Y935</f>
        <v>4.0641656160000004</v>
      </c>
      <c r="AA519" s="6">
        <f>[1]Emissions!Z935</f>
        <v>4.1236261389999997</v>
      </c>
      <c r="AB519" s="6">
        <f>[1]Emissions!AA935</f>
        <v>4.1708208339999997</v>
      </c>
      <c r="AC519" s="6">
        <f>[1]Emissions!AB935</f>
        <v>4.2273609519999997</v>
      </c>
      <c r="AD519" s="6">
        <f>[1]Emissions!AC935</f>
        <v>4.2865977659999999</v>
      </c>
      <c r="AE519" s="6">
        <f>[1]Emissions!AD935</f>
        <v>4.3465913069999997</v>
      </c>
      <c r="AF519" s="6">
        <f>[1]Emissions!AE935</f>
        <v>4.4074438850000002</v>
      </c>
      <c r="AG519" s="6">
        <f>[1]Emissions!AF935</f>
        <v>4.4695911869999998</v>
      </c>
      <c r="AH519" s="6">
        <f>[1]Emissions!AG935</f>
        <v>4.533300305</v>
      </c>
      <c r="AI519" s="6">
        <f>[1]Emissions!AH935</f>
        <v>4.5985745380000003</v>
      </c>
      <c r="AJ519" s="6">
        <f>[1]Emissions!AI935</f>
        <v>4.6652142059999999</v>
      </c>
      <c r="AK519" s="6">
        <f>[1]Emissions!AJ935</f>
        <v>4.7329370099999997</v>
      </c>
      <c r="AL519" s="6">
        <f>[1]Emissions!AK935</f>
        <v>4.8014943370000003</v>
      </c>
    </row>
    <row r="520" spans="2:38" hidden="1" x14ac:dyDescent="0.3">
      <c r="B520" s="16" t="str">
        <f>[1]Emissions!A936</f>
        <v>ems_y_co2_sigo_0</v>
      </c>
      <c r="C520" s="6">
        <f>[1]Emissions!B936</f>
        <v>0</v>
      </c>
      <c r="D520" s="6">
        <f>[1]Emissions!C936</f>
        <v>0</v>
      </c>
      <c r="E520" s="6">
        <f>[1]Emissions!D936</f>
        <v>0</v>
      </c>
      <c r="F520" s="6">
        <f>[1]Emissions!E936</f>
        <v>0</v>
      </c>
      <c r="G520" s="6">
        <f>[1]Emissions!F936</f>
        <v>0</v>
      </c>
      <c r="H520" s="6">
        <f>[1]Emissions!G936</f>
        <v>0</v>
      </c>
      <c r="I520" s="6">
        <f>[1]Emissions!H936</f>
        <v>0</v>
      </c>
      <c r="J520" s="6">
        <f>[1]Emissions!I936</f>
        <v>0</v>
      </c>
      <c r="K520" s="6">
        <f>[1]Emissions!J936</f>
        <v>0</v>
      </c>
      <c r="L520" s="6">
        <f>[1]Emissions!K936</f>
        <v>0</v>
      </c>
      <c r="M520" s="6">
        <f>[1]Emissions!L936</f>
        <v>0</v>
      </c>
      <c r="N520" s="6">
        <f>[1]Emissions!M936</f>
        <v>0</v>
      </c>
      <c r="O520" s="6">
        <f>[1]Emissions!N936</f>
        <v>0</v>
      </c>
      <c r="P520" s="6">
        <f>[1]Emissions!O936</f>
        <v>0</v>
      </c>
      <c r="Q520" s="6">
        <f>[1]Emissions!P936</f>
        <v>0</v>
      </c>
      <c r="R520" s="6">
        <f>[1]Emissions!Q936</f>
        <v>0</v>
      </c>
      <c r="S520" s="6">
        <f>[1]Emissions!R936</f>
        <v>0</v>
      </c>
      <c r="T520" s="6">
        <f>[1]Emissions!S936</f>
        <v>0</v>
      </c>
      <c r="U520" s="6">
        <f>[1]Emissions!T936</f>
        <v>0</v>
      </c>
      <c r="V520" s="6">
        <f>[1]Emissions!U936</f>
        <v>0</v>
      </c>
      <c r="W520" s="6">
        <f>[1]Emissions!V936</f>
        <v>0</v>
      </c>
      <c r="X520" s="6">
        <f>[1]Emissions!W936</f>
        <v>0</v>
      </c>
      <c r="Y520" s="6">
        <f>[1]Emissions!X936</f>
        <v>0</v>
      </c>
      <c r="Z520" s="6">
        <f>[1]Emissions!Y936</f>
        <v>0</v>
      </c>
      <c r="AA520" s="6">
        <f>[1]Emissions!Z936</f>
        <v>0</v>
      </c>
      <c r="AB520" s="6">
        <f>[1]Emissions!AA936</f>
        <v>0</v>
      </c>
      <c r="AC520" s="6">
        <f>[1]Emissions!AB936</f>
        <v>0</v>
      </c>
      <c r="AD520" s="6">
        <f>[1]Emissions!AC936</f>
        <v>0</v>
      </c>
      <c r="AE520" s="6">
        <f>[1]Emissions!AD936</f>
        <v>0</v>
      </c>
      <c r="AF520" s="6">
        <f>[1]Emissions!AE936</f>
        <v>0</v>
      </c>
      <c r="AG520" s="6">
        <f>[1]Emissions!AF936</f>
        <v>0</v>
      </c>
      <c r="AH520" s="6">
        <f>[1]Emissions!AG936</f>
        <v>0</v>
      </c>
      <c r="AI520" s="6">
        <f>[1]Emissions!AH936</f>
        <v>0</v>
      </c>
      <c r="AJ520" s="6">
        <f>[1]Emissions!AI936</f>
        <v>0</v>
      </c>
      <c r="AK520" s="6">
        <f>[1]Emissions!AJ936</f>
        <v>0</v>
      </c>
      <c r="AL520" s="6">
        <f>[1]Emissions!AK936</f>
        <v>0</v>
      </c>
    </row>
    <row r="521" spans="2:38" hidden="1" x14ac:dyDescent="0.3">
      <c r="B521" s="16" t="str">
        <f>[1]Emissions!A937</f>
        <v>ems_mat_co2_sigo_0</v>
      </c>
      <c r="C521" s="6">
        <f>[1]Emissions!B937</f>
        <v>0.47317725830000001</v>
      </c>
      <c r="D521" s="6">
        <f>[1]Emissions!C937</f>
        <v>0.47488048049999998</v>
      </c>
      <c r="E521" s="6">
        <f>[1]Emissions!D937</f>
        <v>0.47869150669999999</v>
      </c>
      <c r="F521" s="6">
        <f>[1]Emissions!E937</f>
        <v>0.48412983949999999</v>
      </c>
      <c r="G521" s="6">
        <f>[1]Emissions!F937</f>
        <v>0.49053535590000003</v>
      </c>
      <c r="H521" s="6">
        <f>[1]Emissions!G937</f>
        <v>0.49755909100000001</v>
      </c>
      <c r="I521" s="6">
        <f>[1]Emissions!H937</f>
        <v>0.50432024310000001</v>
      </c>
      <c r="J521" s="6">
        <f>[1]Emissions!I937</f>
        <v>0.51134868509999998</v>
      </c>
      <c r="K521" s="6">
        <f>[1]Emissions!J937</f>
        <v>0.51863731840000005</v>
      </c>
      <c r="L521" s="6">
        <f>[1]Emissions!K937</f>
        <v>0.52613994450000001</v>
      </c>
      <c r="M521" s="6">
        <f>[1]Emissions!L937</f>
        <v>0.53485628090000004</v>
      </c>
      <c r="N521" s="6">
        <f>[1]Emissions!M937</f>
        <v>0.5428017409</v>
      </c>
      <c r="O521" s="6">
        <f>[1]Emissions!N937</f>
        <v>0.55073198150000002</v>
      </c>
      <c r="P521" s="6">
        <f>[1]Emissions!O937</f>
        <v>0.55872535990000005</v>
      </c>
      <c r="Q521" s="6">
        <f>[1]Emissions!P937</f>
        <v>0.56670961590000002</v>
      </c>
      <c r="R521" s="6">
        <f>[1]Emissions!Q937</f>
        <v>0.57465873430000003</v>
      </c>
      <c r="S521" s="6">
        <f>[1]Emissions!R937</f>
        <v>0.58260427960000005</v>
      </c>
      <c r="T521" s="6">
        <f>[1]Emissions!S937</f>
        <v>0.59060812009999997</v>
      </c>
      <c r="U521" s="6">
        <f>[1]Emissions!T937</f>
        <v>0.59873523360000003</v>
      </c>
      <c r="V521" s="6">
        <f>[1]Emissions!U937</f>
        <v>0.60703656930000005</v>
      </c>
      <c r="W521" s="6">
        <f>[1]Emissions!V937</f>
        <v>0.61477393120000001</v>
      </c>
      <c r="X521" s="6">
        <f>[1]Emissions!W937</f>
        <v>0.62343445239999995</v>
      </c>
      <c r="Y521" s="6">
        <f>[1]Emissions!X937</f>
        <v>0.63245866689999997</v>
      </c>
      <c r="Z521" s="6">
        <f>[1]Emissions!Y937</f>
        <v>0.64169702179999999</v>
      </c>
      <c r="AA521" s="6">
        <f>[1]Emissions!Z937</f>
        <v>0.65113964420000003</v>
      </c>
      <c r="AB521" s="6">
        <f>[1]Emissions!AA937</f>
        <v>0.65848371699999997</v>
      </c>
      <c r="AC521" s="6">
        <f>[1]Emissions!AB937</f>
        <v>0.6672317794</v>
      </c>
      <c r="AD521" s="6">
        <f>[1]Emissions!AC937</f>
        <v>0.67646065499999997</v>
      </c>
      <c r="AE521" s="6">
        <f>[1]Emissions!AD937</f>
        <v>0.68590679190000003</v>
      </c>
      <c r="AF521" s="6">
        <f>[1]Emissions!AE937</f>
        <v>0.69555094299999998</v>
      </c>
      <c r="AG521" s="6">
        <f>[1]Emissions!AF937</f>
        <v>0.70538800030000004</v>
      </c>
      <c r="AH521" s="6">
        <f>[1]Emissions!AG937</f>
        <v>0.71539178059999997</v>
      </c>
      <c r="AI521" s="6">
        <f>[1]Emissions!AH937</f>
        <v>0.72552915230000004</v>
      </c>
      <c r="AJ521" s="6">
        <f>[1]Emissions!AI937</f>
        <v>0.73577669950000002</v>
      </c>
      <c r="AK521" s="6">
        <f>[1]Emissions!AJ937</f>
        <v>0.74612796459999997</v>
      </c>
      <c r="AL521" s="6">
        <f>[1]Emissions!AK937</f>
        <v>0.75659056229999999</v>
      </c>
    </row>
    <row r="522" spans="2:38" hidden="1" x14ac:dyDescent="0.3">
      <c r="B522" s="16" t="str">
        <f>[1]Emissions!A938</f>
        <v>ems_ci_co2_scgo_0</v>
      </c>
      <c r="C522" s="6">
        <f>[1]Emissions!B938</f>
        <v>0.69727128699999996</v>
      </c>
      <c r="D522" s="6">
        <f>[1]Emissions!C938</f>
        <v>0.6817911727</v>
      </c>
      <c r="E522" s="6">
        <f>[1]Emissions!D938</f>
        <v>0.66944615399999996</v>
      </c>
      <c r="F522" s="6">
        <f>[1]Emissions!E938</f>
        <v>0.66338245549999997</v>
      </c>
      <c r="G522" s="6">
        <f>[1]Emissions!F938</f>
        <v>0.66167825339999997</v>
      </c>
      <c r="H522" s="6">
        <f>[1]Emissions!G938</f>
        <v>0.66280458350000004</v>
      </c>
      <c r="I522" s="6">
        <f>[1]Emissions!H938</f>
        <v>0.66695518580000002</v>
      </c>
      <c r="J522" s="6">
        <f>[1]Emissions!I938</f>
        <v>0.67165857659999995</v>
      </c>
      <c r="K522" s="6">
        <f>[1]Emissions!J938</f>
        <v>0.67699351249999995</v>
      </c>
      <c r="L522" s="6">
        <f>[1]Emissions!K938</f>
        <v>0.68318859890000005</v>
      </c>
      <c r="M522" s="6">
        <f>[1]Emissions!L938</f>
        <v>0.68851467030000002</v>
      </c>
      <c r="N522" s="6">
        <f>[1]Emissions!M938</f>
        <v>0.69827357649999999</v>
      </c>
      <c r="O522" s="6">
        <f>[1]Emissions!N938</f>
        <v>0.70867009430000005</v>
      </c>
      <c r="P522" s="6">
        <f>[1]Emissions!O938</f>
        <v>0.71959985999999998</v>
      </c>
      <c r="Q522" s="6">
        <f>[1]Emissions!P938</f>
        <v>0.73113196749999998</v>
      </c>
      <c r="R522" s="6">
        <f>[1]Emissions!Q938</f>
        <v>0.74324389830000004</v>
      </c>
      <c r="S522" s="6">
        <f>[1]Emissions!R938</f>
        <v>0.75585922699999997</v>
      </c>
      <c r="T522" s="6">
        <f>[1]Emissions!S938</f>
        <v>0.76888343039999996</v>
      </c>
      <c r="U522" s="6">
        <f>[1]Emissions!T938</f>
        <v>0.78221890949999995</v>
      </c>
      <c r="V522" s="6">
        <f>[1]Emissions!U938</f>
        <v>0.79577075809999998</v>
      </c>
      <c r="W522" s="6">
        <f>[1]Emissions!V938</f>
        <v>0.81061190520000004</v>
      </c>
      <c r="X522" s="6">
        <f>[1]Emissions!W938</f>
        <v>0.82336048880000001</v>
      </c>
      <c r="Y522" s="6">
        <f>[1]Emissions!X938</f>
        <v>0.83646060470000005</v>
      </c>
      <c r="Z522" s="6">
        <f>[1]Emissions!Y938</f>
        <v>0.84988196859999998</v>
      </c>
      <c r="AA522" s="6">
        <f>[1]Emissions!Z938</f>
        <v>0.86347489860000004</v>
      </c>
      <c r="AB522" s="6">
        <f>[1]Emissions!AA938</f>
        <v>0.88014367859999998</v>
      </c>
      <c r="AC522" s="6">
        <f>[1]Emissions!AB938</f>
        <v>0.89266574229999995</v>
      </c>
      <c r="AD522" s="6">
        <f>[1]Emissions!AC938</f>
        <v>0.90501519289999999</v>
      </c>
      <c r="AE522" s="6">
        <f>[1]Emissions!AD938</f>
        <v>0.91764382349999996</v>
      </c>
      <c r="AF522" s="6">
        <f>[1]Emissions!AE938</f>
        <v>0.93062952710000002</v>
      </c>
      <c r="AG522" s="6">
        <f>[1]Emissions!AF938</f>
        <v>0.94400790739999996</v>
      </c>
      <c r="AH522" s="6">
        <f>[1]Emissions!AG938</f>
        <v>0.95779863050000003</v>
      </c>
      <c r="AI522" s="6">
        <f>[1]Emissions!AH938</f>
        <v>0.97200921309999999</v>
      </c>
      <c r="AJ522" s="6">
        <f>[1]Emissions!AI938</f>
        <v>0.98664082149999999</v>
      </c>
      <c r="AK522" s="6">
        <f>[1]Emissions!AJ938</f>
        <v>1.001693468</v>
      </c>
      <c r="AL522" s="6">
        <f>[1]Emissions!AK938</f>
        <v>1.0171683570000001</v>
      </c>
    </row>
    <row r="523" spans="2:38" hidden="1" x14ac:dyDescent="0.3">
      <c r="B523" s="16" t="str">
        <f>[1]Emissions!A939</f>
        <v>ems_y_co2_scgo_0</v>
      </c>
      <c r="C523" s="6">
        <f>[1]Emissions!B939</f>
        <v>0</v>
      </c>
      <c r="D523" s="6">
        <f>[1]Emissions!C939</f>
        <v>0</v>
      </c>
      <c r="E523" s="6">
        <f>[1]Emissions!D939</f>
        <v>0</v>
      </c>
      <c r="F523" s="6">
        <f>[1]Emissions!E939</f>
        <v>0</v>
      </c>
      <c r="G523" s="6">
        <f>[1]Emissions!F939</f>
        <v>0</v>
      </c>
      <c r="H523" s="6">
        <f>[1]Emissions!G939</f>
        <v>0</v>
      </c>
      <c r="I523" s="6">
        <f>[1]Emissions!H939</f>
        <v>0</v>
      </c>
      <c r="J523" s="6">
        <f>[1]Emissions!I939</f>
        <v>0</v>
      </c>
      <c r="K523" s="6">
        <f>[1]Emissions!J939</f>
        <v>0</v>
      </c>
      <c r="L523" s="6">
        <f>[1]Emissions!K939</f>
        <v>0</v>
      </c>
      <c r="M523" s="6">
        <f>[1]Emissions!L939</f>
        <v>0</v>
      </c>
      <c r="N523" s="6">
        <f>[1]Emissions!M939</f>
        <v>0</v>
      </c>
      <c r="O523" s="6">
        <f>[1]Emissions!N939</f>
        <v>0</v>
      </c>
      <c r="P523" s="6">
        <f>[1]Emissions!O939</f>
        <v>0</v>
      </c>
      <c r="Q523" s="6">
        <f>[1]Emissions!P939</f>
        <v>0</v>
      </c>
      <c r="R523" s="6">
        <f>[1]Emissions!Q939</f>
        <v>0</v>
      </c>
      <c r="S523" s="6">
        <f>[1]Emissions!R939</f>
        <v>0</v>
      </c>
      <c r="T523" s="6">
        <f>[1]Emissions!S939</f>
        <v>0</v>
      </c>
      <c r="U523" s="6">
        <f>[1]Emissions!T939</f>
        <v>0</v>
      </c>
      <c r="V523" s="6">
        <f>[1]Emissions!U939</f>
        <v>0</v>
      </c>
      <c r="W523" s="6">
        <f>[1]Emissions!V939</f>
        <v>0</v>
      </c>
      <c r="X523" s="6">
        <f>[1]Emissions!W939</f>
        <v>0</v>
      </c>
      <c r="Y523" s="6">
        <f>[1]Emissions!X939</f>
        <v>0</v>
      </c>
      <c r="Z523" s="6">
        <f>[1]Emissions!Y939</f>
        <v>0</v>
      </c>
      <c r="AA523" s="6">
        <f>[1]Emissions!Z939</f>
        <v>0</v>
      </c>
      <c r="AB523" s="6">
        <f>[1]Emissions!AA939</f>
        <v>0</v>
      </c>
      <c r="AC523" s="6">
        <f>[1]Emissions!AB939</f>
        <v>0</v>
      </c>
      <c r="AD523" s="6">
        <f>[1]Emissions!AC939</f>
        <v>0</v>
      </c>
      <c r="AE523" s="6">
        <f>[1]Emissions!AD939</f>
        <v>0</v>
      </c>
      <c r="AF523" s="6">
        <f>[1]Emissions!AE939</f>
        <v>0</v>
      </c>
      <c r="AG523" s="6">
        <f>[1]Emissions!AF939</f>
        <v>0</v>
      </c>
      <c r="AH523" s="6">
        <f>[1]Emissions!AG939</f>
        <v>0</v>
      </c>
      <c r="AI523" s="6">
        <f>[1]Emissions!AH939</f>
        <v>0</v>
      </c>
      <c r="AJ523" s="6">
        <f>[1]Emissions!AI939</f>
        <v>0</v>
      </c>
      <c r="AK523" s="6">
        <f>[1]Emissions!AJ939</f>
        <v>0</v>
      </c>
      <c r="AL523" s="6">
        <f>[1]Emissions!AK939</f>
        <v>0</v>
      </c>
    </row>
    <row r="524" spans="2:38" hidden="1" x14ac:dyDescent="0.3">
      <c r="B524" s="16" t="str">
        <f>[1]Emissions!A940</f>
        <v>ems_mat_co2_scgo_0</v>
      </c>
      <c r="C524" s="6">
        <f>[1]Emissions!B940</f>
        <v>0</v>
      </c>
      <c r="D524" s="6">
        <f>[1]Emissions!C940</f>
        <v>0</v>
      </c>
      <c r="E524" s="6">
        <f>[1]Emissions!D940</f>
        <v>0</v>
      </c>
      <c r="F524" s="6">
        <f>[1]Emissions!E940</f>
        <v>0</v>
      </c>
      <c r="G524" s="6">
        <f>[1]Emissions!F940</f>
        <v>0</v>
      </c>
      <c r="H524" s="6">
        <f>[1]Emissions!G940</f>
        <v>0</v>
      </c>
      <c r="I524" s="6">
        <f>[1]Emissions!H940</f>
        <v>0</v>
      </c>
      <c r="J524" s="6">
        <f>[1]Emissions!I940</f>
        <v>0</v>
      </c>
      <c r="K524" s="6">
        <f>[1]Emissions!J940</f>
        <v>0</v>
      </c>
      <c r="L524" s="6">
        <f>[1]Emissions!K940</f>
        <v>0</v>
      </c>
      <c r="M524" s="6">
        <f>[1]Emissions!L940</f>
        <v>0</v>
      </c>
      <c r="N524" s="6">
        <f>[1]Emissions!M940</f>
        <v>0</v>
      </c>
      <c r="O524" s="6">
        <f>[1]Emissions!N940</f>
        <v>0</v>
      </c>
      <c r="P524" s="6">
        <f>[1]Emissions!O940</f>
        <v>0</v>
      </c>
      <c r="Q524" s="6">
        <f>[1]Emissions!P940</f>
        <v>0</v>
      </c>
      <c r="R524" s="6">
        <f>[1]Emissions!Q940</f>
        <v>0</v>
      </c>
      <c r="S524" s="6">
        <f>[1]Emissions!R940</f>
        <v>0</v>
      </c>
      <c r="T524" s="6">
        <f>[1]Emissions!S940</f>
        <v>0</v>
      </c>
      <c r="U524" s="6">
        <f>[1]Emissions!T940</f>
        <v>0</v>
      </c>
      <c r="V524" s="6">
        <f>[1]Emissions!U940</f>
        <v>0</v>
      </c>
      <c r="W524" s="6">
        <f>[1]Emissions!V940</f>
        <v>0</v>
      </c>
      <c r="X524" s="6">
        <f>[1]Emissions!W940</f>
        <v>0</v>
      </c>
      <c r="Y524" s="6">
        <f>[1]Emissions!X940</f>
        <v>0</v>
      </c>
      <c r="Z524" s="6">
        <f>[1]Emissions!Y940</f>
        <v>0</v>
      </c>
      <c r="AA524" s="6">
        <f>[1]Emissions!Z940</f>
        <v>0</v>
      </c>
      <c r="AB524" s="6">
        <f>[1]Emissions!AA940</f>
        <v>0</v>
      </c>
      <c r="AC524" s="6">
        <f>[1]Emissions!AB940</f>
        <v>0</v>
      </c>
      <c r="AD524" s="6">
        <f>[1]Emissions!AC940</f>
        <v>0</v>
      </c>
      <c r="AE524" s="6">
        <f>[1]Emissions!AD940</f>
        <v>0</v>
      </c>
      <c r="AF524" s="6">
        <f>[1]Emissions!AE940</f>
        <v>0</v>
      </c>
      <c r="AG524" s="6">
        <f>[1]Emissions!AF940</f>
        <v>0</v>
      </c>
      <c r="AH524" s="6">
        <f>[1]Emissions!AG940</f>
        <v>0</v>
      </c>
      <c r="AI524" s="6">
        <f>[1]Emissions!AH940</f>
        <v>0</v>
      </c>
      <c r="AJ524" s="6">
        <f>[1]Emissions!AI940</f>
        <v>0</v>
      </c>
      <c r="AK524" s="6">
        <f>[1]Emissions!AJ940</f>
        <v>0</v>
      </c>
      <c r="AL524" s="6">
        <f>[1]Emissions!AK940</f>
        <v>0</v>
      </c>
    </row>
    <row r="525" spans="2:38" hidden="1" x14ac:dyDescent="0.3">
      <c r="B525" s="16" t="str">
        <f>[1]Emissions!A941</f>
        <v>ems_ci_co2_scon_0</v>
      </c>
      <c r="C525" s="6">
        <f>[1]Emissions!B941</f>
        <v>7.5407835150000002</v>
      </c>
      <c r="D525" s="6">
        <f>[1]Emissions!C941</f>
        <v>8.0005758749999991</v>
      </c>
      <c r="E525" s="6">
        <f>[1]Emissions!D941</f>
        <v>8.5022476739999995</v>
      </c>
      <c r="F525" s="6">
        <f>[1]Emissions!E941</f>
        <v>8.8274367560000009</v>
      </c>
      <c r="G525" s="6">
        <f>[1]Emissions!F941</f>
        <v>9.012323146</v>
      </c>
      <c r="H525" s="6">
        <f>[1]Emissions!G941</f>
        <v>9.1266662279999995</v>
      </c>
      <c r="I525" s="6">
        <f>[1]Emissions!H941</f>
        <v>9.0714191890000002</v>
      </c>
      <c r="J525" s="6">
        <f>[1]Emissions!I941</f>
        <v>9.0837451940000005</v>
      </c>
      <c r="K525" s="6">
        <f>[1]Emissions!J941</f>
        <v>9.1427554640000004</v>
      </c>
      <c r="L525" s="6">
        <f>[1]Emissions!K941</f>
        <v>9.2278189620000006</v>
      </c>
      <c r="M525" s="6">
        <f>[1]Emissions!L941</f>
        <v>9.5364505919999996</v>
      </c>
      <c r="N525" s="6">
        <f>[1]Emissions!M941</f>
        <v>9.5542702449999997</v>
      </c>
      <c r="O525" s="6">
        <f>[1]Emissions!N941</f>
        <v>9.6205376079999994</v>
      </c>
      <c r="P525" s="6">
        <f>[1]Emissions!O941</f>
        <v>9.7309702419999997</v>
      </c>
      <c r="Q525" s="6">
        <f>[1]Emissions!P941</f>
        <v>9.8651496069999993</v>
      </c>
      <c r="R525" s="6">
        <f>[1]Emissions!Q941</f>
        <v>10.01219156</v>
      </c>
      <c r="S525" s="6">
        <f>[1]Emissions!R941</f>
        <v>10.16743647</v>
      </c>
      <c r="T525" s="6">
        <f>[1]Emissions!S941</f>
        <v>10.329094400000001</v>
      </c>
      <c r="U525" s="6">
        <f>[1]Emissions!T941</f>
        <v>10.496380439999999</v>
      </c>
      <c r="V525" s="6">
        <f>[1]Emissions!U941</f>
        <v>10.66863654</v>
      </c>
      <c r="W525" s="6">
        <f>[1]Emissions!V941</f>
        <v>10.6970888</v>
      </c>
      <c r="X525" s="6">
        <f>[1]Emissions!W941</f>
        <v>10.94012146</v>
      </c>
      <c r="Y525" s="6">
        <f>[1]Emissions!X941</f>
        <v>11.16779202</v>
      </c>
      <c r="Z525" s="6">
        <f>[1]Emissions!Y941</f>
        <v>11.37294808</v>
      </c>
      <c r="AA525" s="6">
        <f>[1]Emissions!Z941</f>
        <v>11.566829589999999</v>
      </c>
      <c r="AB525" s="6">
        <f>[1]Emissions!AA941</f>
        <v>11.32268343</v>
      </c>
      <c r="AC525" s="6">
        <f>[1]Emissions!AB941</f>
        <v>11.521954900000001</v>
      </c>
      <c r="AD525" s="6">
        <f>[1]Emissions!AC941</f>
        <v>11.742953760000001</v>
      </c>
      <c r="AE525" s="6">
        <f>[1]Emissions!AD941</f>
        <v>11.94890603</v>
      </c>
      <c r="AF525" s="6">
        <f>[1]Emissions!AE941</f>
        <v>12.14544587</v>
      </c>
      <c r="AG525" s="6">
        <f>[1]Emissions!AF941</f>
        <v>12.33855172</v>
      </c>
      <c r="AH525" s="6">
        <f>[1]Emissions!AG941</f>
        <v>12.53126717</v>
      </c>
      <c r="AI525" s="6">
        <f>[1]Emissions!AH941</f>
        <v>12.724892479999999</v>
      </c>
      <c r="AJ525" s="6">
        <f>[1]Emissions!AI941</f>
        <v>12.92008731</v>
      </c>
      <c r="AK525" s="6">
        <f>[1]Emissions!AJ941</f>
        <v>13.117425799999999</v>
      </c>
      <c r="AL525" s="6">
        <f>[1]Emissions!AK941</f>
        <v>13.317517840000001</v>
      </c>
    </row>
    <row r="526" spans="2:38" hidden="1" x14ac:dyDescent="0.3">
      <c r="B526" s="16" t="str">
        <f>[1]Emissions!A942</f>
        <v>ems_y_co2_scon_0</v>
      </c>
      <c r="C526" s="6">
        <f>[1]Emissions!B942</f>
        <v>0</v>
      </c>
      <c r="D526" s="6">
        <f>[1]Emissions!C942</f>
        <v>0</v>
      </c>
      <c r="E526" s="6">
        <f>[1]Emissions!D942</f>
        <v>0</v>
      </c>
      <c r="F526" s="6">
        <f>[1]Emissions!E942</f>
        <v>0</v>
      </c>
      <c r="G526" s="6">
        <f>[1]Emissions!F942</f>
        <v>0</v>
      </c>
      <c r="H526" s="6">
        <f>[1]Emissions!G942</f>
        <v>0</v>
      </c>
      <c r="I526" s="6">
        <f>[1]Emissions!H942</f>
        <v>0</v>
      </c>
      <c r="J526" s="6">
        <f>[1]Emissions!I942</f>
        <v>0</v>
      </c>
      <c r="K526" s="6">
        <f>[1]Emissions!J942</f>
        <v>0</v>
      </c>
      <c r="L526" s="6">
        <f>[1]Emissions!K942</f>
        <v>0</v>
      </c>
      <c r="M526" s="6">
        <f>[1]Emissions!L942</f>
        <v>0</v>
      </c>
      <c r="N526" s="6">
        <f>[1]Emissions!M942</f>
        <v>0</v>
      </c>
      <c r="O526" s="6">
        <f>[1]Emissions!N942</f>
        <v>0</v>
      </c>
      <c r="P526" s="6">
        <f>[1]Emissions!O942</f>
        <v>0</v>
      </c>
      <c r="Q526" s="6">
        <f>[1]Emissions!P942</f>
        <v>0</v>
      </c>
      <c r="R526" s="6">
        <f>[1]Emissions!Q942</f>
        <v>0</v>
      </c>
      <c r="S526" s="6">
        <f>[1]Emissions!R942</f>
        <v>0</v>
      </c>
      <c r="T526" s="6">
        <f>[1]Emissions!S942</f>
        <v>0</v>
      </c>
      <c r="U526" s="6">
        <f>[1]Emissions!T942</f>
        <v>0</v>
      </c>
      <c r="V526" s="6">
        <f>[1]Emissions!U942</f>
        <v>0</v>
      </c>
      <c r="W526" s="6">
        <f>[1]Emissions!V942</f>
        <v>0</v>
      </c>
      <c r="X526" s="6">
        <f>[1]Emissions!W942</f>
        <v>0</v>
      </c>
      <c r="Y526" s="6">
        <f>[1]Emissions!X942</f>
        <v>0</v>
      </c>
      <c r="Z526" s="6">
        <f>[1]Emissions!Y942</f>
        <v>0</v>
      </c>
      <c r="AA526" s="6">
        <f>[1]Emissions!Z942</f>
        <v>0</v>
      </c>
      <c r="AB526" s="6">
        <f>[1]Emissions!AA942</f>
        <v>0</v>
      </c>
      <c r="AC526" s="6">
        <f>[1]Emissions!AB942</f>
        <v>0</v>
      </c>
      <c r="AD526" s="6">
        <f>[1]Emissions!AC942</f>
        <v>0</v>
      </c>
      <c r="AE526" s="6">
        <f>[1]Emissions!AD942</f>
        <v>0</v>
      </c>
      <c r="AF526" s="6">
        <f>[1]Emissions!AE942</f>
        <v>0</v>
      </c>
      <c r="AG526" s="6">
        <f>[1]Emissions!AF942</f>
        <v>0</v>
      </c>
      <c r="AH526" s="6">
        <f>[1]Emissions!AG942</f>
        <v>0</v>
      </c>
      <c r="AI526" s="6">
        <f>[1]Emissions!AH942</f>
        <v>0</v>
      </c>
      <c r="AJ526" s="6">
        <f>[1]Emissions!AI942</f>
        <v>0</v>
      </c>
      <c r="AK526" s="6">
        <f>[1]Emissions!AJ942</f>
        <v>0</v>
      </c>
      <c r="AL526" s="6">
        <f>[1]Emissions!AK942</f>
        <v>0</v>
      </c>
    </row>
    <row r="527" spans="2:38" hidden="1" x14ac:dyDescent="0.3">
      <c r="B527" s="16" t="str">
        <f>[1]Emissions!A943</f>
        <v>ems_mat_co2_scon_0</v>
      </c>
      <c r="C527" s="6">
        <f>[1]Emissions!B943</f>
        <v>0</v>
      </c>
      <c r="D527" s="6">
        <f>[1]Emissions!C943</f>
        <v>0</v>
      </c>
      <c r="E527" s="6">
        <f>[1]Emissions!D943</f>
        <v>0</v>
      </c>
      <c r="F527" s="6">
        <f>[1]Emissions!E943</f>
        <v>0</v>
      </c>
      <c r="G527" s="6">
        <f>[1]Emissions!F943</f>
        <v>0</v>
      </c>
      <c r="H527" s="6">
        <f>[1]Emissions!G943</f>
        <v>0</v>
      </c>
      <c r="I527" s="6">
        <f>[1]Emissions!H943</f>
        <v>0</v>
      </c>
      <c r="J527" s="6">
        <f>[1]Emissions!I943</f>
        <v>0</v>
      </c>
      <c r="K527" s="6">
        <f>[1]Emissions!J943</f>
        <v>0</v>
      </c>
      <c r="L527" s="6">
        <f>[1]Emissions!K943</f>
        <v>0</v>
      </c>
      <c r="M527" s="6">
        <f>[1]Emissions!L943</f>
        <v>0</v>
      </c>
      <c r="N527" s="6">
        <f>[1]Emissions!M943</f>
        <v>0</v>
      </c>
      <c r="O527" s="6">
        <f>[1]Emissions!N943</f>
        <v>0</v>
      </c>
      <c r="P527" s="6">
        <f>[1]Emissions!O943</f>
        <v>0</v>
      </c>
      <c r="Q527" s="6">
        <f>[1]Emissions!P943</f>
        <v>0</v>
      </c>
      <c r="R527" s="6">
        <f>[1]Emissions!Q943</f>
        <v>0</v>
      </c>
      <c r="S527" s="6">
        <f>[1]Emissions!R943</f>
        <v>0</v>
      </c>
      <c r="T527" s="6">
        <f>[1]Emissions!S943</f>
        <v>0</v>
      </c>
      <c r="U527" s="6">
        <f>[1]Emissions!T943</f>
        <v>0</v>
      </c>
      <c r="V527" s="6">
        <f>[1]Emissions!U943</f>
        <v>0</v>
      </c>
      <c r="W527" s="6">
        <f>[1]Emissions!V943</f>
        <v>0</v>
      </c>
      <c r="X527" s="6">
        <f>[1]Emissions!W943</f>
        <v>0</v>
      </c>
      <c r="Y527" s="6">
        <f>[1]Emissions!X943</f>
        <v>0</v>
      </c>
      <c r="Z527" s="6">
        <f>[1]Emissions!Y943</f>
        <v>0</v>
      </c>
      <c r="AA527" s="6">
        <f>[1]Emissions!Z943</f>
        <v>0</v>
      </c>
      <c r="AB527" s="6">
        <f>[1]Emissions!AA943</f>
        <v>0</v>
      </c>
      <c r="AC527" s="6">
        <f>[1]Emissions!AB943</f>
        <v>0</v>
      </c>
      <c r="AD527" s="6">
        <f>[1]Emissions!AC943</f>
        <v>0</v>
      </c>
      <c r="AE527" s="6">
        <f>[1]Emissions!AD943</f>
        <v>0</v>
      </c>
      <c r="AF527" s="6">
        <f>[1]Emissions!AE943</f>
        <v>0</v>
      </c>
      <c r="AG527" s="6">
        <f>[1]Emissions!AF943</f>
        <v>0</v>
      </c>
      <c r="AH527" s="6">
        <f>[1]Emissions!AG943</f>
        <v>0</v>
      </c>
      <c r="AI527" s="6">
        <f>[1]Emissions!AH943</f>
        <v>0</v>
      </c>
      <c r="AJ527" s="6">
        <f>[1]Emissions!AI943</f>
        <v>0</v>
      </c>
      <c r="AK527" s="6">
        <f>[1]Emissions!AJ943</f>
        <v>0</v>
      </c>
      <c r="AL527" s="6">
        <f>[1]Emissions!AK943</f>
        <v>0</v>
      </c>
    </row>
    <row r="528" spans="2:38" hidden="1" x14ac:dyDescent="0.3">
      <c r="B528" s="16" t="str">
        <f>[1]Emissions!A944</f>
        <v>ems_ci_co2_srai_0</v>
      </c>
      <c r="C528" s="6">
        <f>[1]Emissions!B944</f>
        <v>5.5899141109999997</v>
      </c>
      <c r="D528" s="6">
        <f>[1]Emissions!C944</f>
        <v>5.5809845979999997</v>
      </c>
      <c r="E528" s="6">
        <f>[1]Emissions!D944</f>
        <v>5.5833536029999999</v>
      </c>
      <c r="F528" s="6">
        <f>[1]Emissions!E944</f>
        <v>5.6048000919999996</v>
      </c>
      <c r="G528" s="6">
        <f>[1]Emissions!F944</f>
        <v>5.6390513679999996</v>
      </c>
      <c r="H528" s="6">
        <f>[1]Emissions!G944</f>
        <v>5.6811222209999999</v>
      </c>
      <c r="I528" s="6">
        <f>[1]Emissions!H944</f>
        <v>5.7273688419999997</v>
      </c>
      <c r="J528" s="6">
        <f>[1]Emissions!I944</f>
        <v>5.7756059789999998</v>
      </c>
      <c r="K528" s="6">
        <f>[1]Emissions!J944</f>
        <v>5.8265414209999999</v>
      </c>
      <c r="L528" s="6">
        <f>[1]Emissions!K944</f>
        <v>5.8814036840000004</v>
      </c>
      <c r="M528" s="6">
        <f>[1]Emissions!L944</f>
        <v>5.9422497669999998</v>
      </c>
      <c r="N528" s="6">
        <f>[1]Emissions!M944</f>
        <v>6.0110375530000004</v>
      </c>
      <c r="O528" s="6">
        <f>[1]Emissions!N944</f>
        <v>6.0836027819999998</v>
      </c>
      <c r="P528" s="6">
        <f>[1]Emissions!O944</f>
        <v>6.1590342639999998</v>
      </c>
      <c r="Q528" s="6">
        <f>[1]Emissions!P944</f>
        <v>6.2369150429999998</v>
      </c>
      <c r="R528" s="6">
        <f>[1]Emissions!Q944</f>
        <v>6.3169663810000003</v>
      </c>
      <c r="S528" s="6">
        <f>[1]Emissions!R944</f>
        <v>6.3989980160000002</v>
      </c>
      <c r="T528" s="6">
        <f>[1]Emissions!S944</f>
        <v>6.482836839</v>
      </c>
      <c r="U528" s="6">
        <f>[1]Emissions!T944</f>
        <v>6.5682550390000003</v>
      </c>
      <c r="V528" s="6">
        <f>[1]Emissions!U944</f>
        <v>6.6549462899999998</v>
      </c>
      <c r="W528" s="6">
        <f>[1]Emissions!V944</f>
        <v>6.7411219019999997</v>
      </c>
      <c r="X528" s="6">
        <f>[1]Emissions!W944</f>
        <v>6.8265402799999997</v>
      </c>
      <c r="Y528" s="6">
        <f>[1]Emissions!X944</f>
        <v>6.913431171</v>
      </c>
      <c r="Z528" s="6">
        <f>[1]Emissions!Y944</f>
        <v>7.0015644930000001</v>
      </c>
      <c r="AA528" s="6">
        <f>[1]Emissions!Z944</f>
        <v>7.0905684390000001</v>
      </c>
      <c r="AB528" s="6">
        <f>[1]Emissions!AA944</f>
        <v>7.174989139</v>
      </c>
      <c r="AC528" s="6">
        <f>[1]Emissions!AB944</f>
        <v>7.2559562379999996</v>
      </c>
      <c r="AD528" s="6">
        <f>[1]Emissions!AC944</f>
        <v>7.3374851879999996</v>
      </c>
      <c r="AE528" s="6">
        <f>[1]Emissions!AD944</f>
        <v>7.4206280089999996</v>
      </c>
      <c r="AF528" s="6">
        <f>[1]Emissions!AE944</f>
        <v>7.5058158119999998</v>
      </c>
      <c r="AG528" s="6">
        <f>[1]Emissions!AF944</f>
        <v>7.5931944859999998</v>
      </c>
      <c r="AH528" s="6">
        <f>[1]Emissions!AG944</f>
        <v>7.6827424530000004</v>
      </c>
      <c r="AI528" s="6">
        <f>[1]Emissions!AH944</f>
        <v>7.774393527</v>
      </c>
      <c r="AJ528" s="6">
        <f>[1]Emissions!AI944</f>
        <v>7.868124999</v>
      </c>
      <c r="AK528" s="6">
        <f>[1]Emissions!AJ944</f>
        <v>7.9639822980000003</v>
      </c>
      <c r="AL528" s="6">
        <f>[1]Emissions!AK944</f>
        <v>8.0620468459999994</v>
      </c>
    </row>
    <row r="529" spans="2:38" hidden="1" x14ac:dyDescent="0.3">
      <c r="B529" s="16" t="str">
        <f>[1]Emissions!A945</f>
        <v>ems_y_co2_srai_0</v>
      </c>
      <c r="C529" s="6">
        <f>[1]Emissions!B945</f>
        <v>0</v>
      </c>
      <c r="D529" s="6">
        <f>[1]Emissions!C945</f>
        <v>0</v>
      </c>
      <c r="E529" s="6">
        <f>[1]Emissions!D945</f>
        <v>0</v>
      </c>
      <c r="F529" s="6">
        <f>[1]Emissions!E945</f>
        <v>0</v>
      </c>
      <c r="G529" s="6">
        <f>[1]Emissions!F945</f>
        <v>0</v>
      </c>
      <c r="H529" s="6">
        <f>[1]Emissions!G945</f>
        <v>0</v>
      </c>
      <c r="I529" s="6">
        <f>[1]Emissions!H945</f>
        <v>0</v>
      </c>
      <c r="J529" s="6">
        <f>[1]Emissions!I945</f>
        <v>0</v>
      </c>
      <c r="K529" s="6">
        <f>[1]Emissions!J945</f>
        <v>0</v>
      </c>
      <c r="L529" s="6">
        <f>[1]Emissions!K945</f>
        <v>0</v>
      </c>
      <c r="M529" s="6">
        <f>[1]Emissions!L945</f>
        <v>0</v>
      </c>
      <c r="N529" s="6">
        <f>[1]Emissions!M945</f>
        <v>0</v>
      </c>
      <c r="O529" s="6">
        <f>[1]Emissions!N945</f>
        <v>0</v>
      </c>
      <c r="P529" s="6">
        <f>[1]Emissions!O945</f>
        <v>0</v>
      </c>
      <c r="Q529" s="6">
        <f>[1]Emissions!P945</f>
        <v>0</v>
      </c>
      <c r="R529" s="6">
        <f>[1]Emissions!Q945</f>
        <v>0</v>
      </c>
      <c r="S529" s="6">
        <f>[1]Emissions!R945</f>
        <v>0</v>
      </c>
      <c r="T529" s="6">
        <f>[1]Emissions!S945</f>
        <v>0</v>
      </c>
      <c r="U529" s="6">
        <f>[1]Emissions!T945</f>
        <v>0</v>
      </c>
      <c r="V529" s="6">
        <f>[1]Emissions!U945</f>
        <v>0</v>
      </c>
      <c r="W529" s="6">
        <f>[1]Emissions!V945</f>
        <v>0</v>
      </c>
      <c r="X529" s="6">
        <f>[1]Emissions!W945</f>
        <v>0</v>
      </c>
      <c r="Y529" s="6">
        <f>[1]Emissions!X945</f>
        <v>0</v>
      </c>
      <c r="Z529" s="6">
        <f>[1]Emissions!Y945</f>
        <v>0</v>
      </c>
      <c r="AA529" s="6">
        <f>[1]Emissions!Z945</f>
        <v>0</v>
      </c>
      <c r="AB529" s="6">
        <f>[1]Emissions!AA945</f>
        <v>0</v>
      </c>
      <c r="AC529" s="6">
        <f>[1]Emissions!AB945</f>
        <v>0</v>
      </c>
      <c r="AD529" s="6">
        <f>[1]Emissions!AC945</f>
        <v>0</v>
      </c>
      <c r="AE529" s="6">
        <f>[1]Emissions!AD945</f>
        <v>0</v>
      </c>
      <c r="AF529" s="6">
        <f>[1]Emissions!AE945</f>
        <v>0</v>
      </c>
      <c r="AG529" s="6">
        <f>[1]Emissions!AF945</f>
        <v>0</v>
      </c>
      <c r="AH529" s="6">
        <f>[1]Emissions!AG945</f>
        <v>0</v>
      </c>
      <c r="AI529" s="6">
        <f>[1]Emissions!AH945</f>
        <v>0</v>
      </c>
      <c r="AJ529" s="6">
        <f>[1]Emissions!AI945</f>
        <v>0</v>
      </c>
      <c r="AK529" s="6">
        <f>[1]Emissions!AJ945</f>
        <v>0</v>
      </c>
      <c r="AL529" s="6">
        <f>[1]Emissions!AK945</f>
        <v>0</v>
      </c>
    </row>
    <row r="530" spans="2:38" hidden="1" x14ac:dyDescent="0.3">
      <c r="B530" s="16" t="str">
        <f>[1]Emissions!A946</f>
        <v>ems_mat_co2_srai_0</v>
      </c>
      <c r="C530" s="6">
        <f>[1]Emissions!B946</f>
        <v>0</v>
      </c>
      <c r="D530" s="6">
        <f>[1]Emissions!C946</f>
        <v>0</v>
      </c>
      <c r="E530" s="6">
        <f>[1]Emissions!D946</f>
        <v>0</v>
      </c>
      <c r="F530" s="6">
        <f>[1]Emissions!E946</f>
        <v>0</v>
      </c>
      <c r="G530" s="6">
        <f>[1]Emissions!F946</f>
        <v>0</v>
      </c>
      <c r="H530" s="6">
        <f>[1]Emissions!G946</f>
        <v>0</v>
      </c>
      <c r="I530" s="6">
        <f>[1]Emissions!H946</f>
        <v>0</v>
      </c>
      <c r="J530" s="6">
        <f>[1]Emissions!I946</f>
        <v>0</v>
      </c>
      <c r="K530" s="6">
        <f>[1]Emissions!J946</f>
        <v>0</v>
      </c>
      <c r="L530" s="6">
        <f>[1]Emissions!K946</f>
        <v>0</v>
      </c>
      <c r="M530" s="6">
        <f>[1]Emissions!L946</f>
        <v>0</v>
      </c>
      <c r="N530" s="6">
        <f>[1]Emissions!M946</f>
        <v>0</v>
      </c>
      <c r="O530" s="6">
        <f>[1]Emissions!N946</f>
        <v>0</v>
      </c>
      <c r="P530" s="6">
        <f>[1]Emissions!O946</f>
        <v>0</v>
      </c>
      <c r="Q530" s="6">
        <f>[1]Emissions!P946</f>
        <v>0</v>
      </c>
      <c r="R530" s="6">
        <f>[1]Emissions!Q946</f>
        <v>0</v>
      </c>
      <c r="S530" s="6">
        <f>[1]Emissions!R946</f>
        <v>0</v>
      </c>
      <c r="T530" s="6">
        <f>[1]Emissions!S946</f>
        <v>0</v>
      </c>
      <c r="U530" s="6">
        <f>[1]Emissions!T946</f>
        <v>0</v>
      </c>
      <c r="V530" s="6">
        <f>[1]Emissions!U946</f>
        <v>0</v>
      </c>
      <c r="W530" s="6">
        <f>[1]Emissions!V946</f>
        <v>0</v>
      </c>
      <c r="X530" s="6">
        <f>[1]Emissions!W946</f>
        <v>0</v>
      </c>
      <c r="Y530" s="6">
        <f>[1]Emissions!X946</f>
        <v>0</v>
      </c>
      <c r="Z530" s="6">
        <f>[1]Emissions!Y946</f>
        <v>0</v>
      </c>
      <c r="AA530" s="6">
        <f>[1]Emissions!Z946</f>
        <v>0</v>
      </c>
      <c r="AB530" s="6">
        <f>[1]Emissions!AA946</f>
        <v>0</v>
      </c>
      <c r="AC530" s="6">
        <f>[1]Emissions!AB946</f>
        <v>0</v>
      </c>
      <c r="AD530" s="6">
        <f>[1]Emissions!AC946</f>
        <v>0</v>
      </c>
      <c r="AE530" s="6">
        <f>[1]Emissions!AD946</f>
        <v>0</v>
      </c>
      <c r="AF530" s="6">
        <f>[1]Emissions!AE946</f>
        <v>0</v>
      </c>
      <c r="AG530" s="6">
        <f>[1]Emissions!AF946</f>
        <v>0</v>
      </c>
      <c r="AH530" s="6">
        <f>[1]Emissions!AG946</f>
        <v>0</v>
      </c>
      <c r="AI530" s="6">
        <f>[1]Emissions!AH946</f>
        <v>0</v>
      </c>
      <c r="AJ530" s="6">
        <f>[1]Emissions!AI946</f>
        <v>0</v>
      </c>
      <c r="AK530" s="6">
        <f>[1]Emissions!AJ946</f>
        <v>0</v>
      </c>
      <c r="AL530" s="6">
        <f>[1]Emissions!AK946</f>
        <v>0</v>
      </c>
    </row>
    <row r="531" spans="2:38" hidden="1" x14ac:dyDescent="0.3">
      <c r="B531" s="16" t="str">
        <f>[1]Emissions!A947</f>
        <v>ems_ci_co2_sroa_0</v>
      </c>
      <c r="C531" s="6">
        <f>[1]Emissions!B947</f>
        <v>16.04429575</v>
      </c>
      <c r="D531" s="6">
        <f>[1]Emissions!C947</f>
        <v>15.995007040000001</v>
      </c>
      <c r="E531" s="6">
        <f>[1]Emissions!D947</f>
        <v>15.971830880000001</v>
      </c>
      <c r="F531" s="6">
        <f>[1]Emissions!E947</f>
        <v>16.00674248</v>
      </c>
      <c r="G531" s="6">
        <f>[1]Emissions!F947</f>
        <v>16.085288179999999</v>
      </c>
      <c r="H531" s="6">
        <f>[1]Emissions!G947</f>
        <v>16.193397600000001</v>
      </c>
      <c r="I531" s="6">
        <f>[1]Emissions!H947</f>
        <v>16.31952759</v>
      </c>
      <c r="J531" s="6">
        <f>[1]Emissions!I947</f>
        <v>16.455448690000001</v>
      </c>
      <c r="K531" s="6">
        <f>[1]Emissions!J947</f>
        <v>16.600859289999999</v>
      </c>
      <c r="L531" s="6">
        <f>[1]Emissions!K947</f>
        <v>16.757466019999999</v>
      </c>
      <c r="M531" s="6">
        <f>[1]Emissions!L947</f>
        <v>16.929288249999999</v>
      </c>
      <c r="N531" s="6">
        <f>[1]Emissions!M947</f>
        <v>17.12312331</v>
      </c>
      <c r="O531" s="6">
        <f>[1]Emissions!N947</f>
        <v>17.327587040000001</v>
      </c>
      <c r="P531" s="6">
        <f>[1]Emissions!O947</f>
        <v>17.540268019999999</v>
      </c>
      <c r="Q531" s="6">
        <f>[1]Emissions!P947</f>
        <v>17.759812360000002</v>
      </c>
      <c r="R531" s="6">
        <f>[1]Emissions!Q947</f>
        <v>17.985072729999999</v>
      </c>
      <c r="S531" s="6">
        <f>[1]Emissions!R947</f>
        <v>18.215177480000001</v>
      </c>
      <c r="T531" s="6">
        <f>[1]Emissions!S947</f>
        <v>18.449478079999999</v>
      </c>
      <c r="U531" s="6">
        <f>[1]Emissions!T947</f>
        <v>18.687388840000001</v>
      </c>
      <c r="V531" s="6">
        <f>[1]Emissions!U947</f>
        <v>18.92827037</v>
      </c>
      <c r="W531" s="6">
        <f>[1]Emissions!V947</f>
        <v>19.16799293</v>
      </c>
      <c r="X531" s="6">
        <f>[1]Emissions!W947</f>
        <v>19.405144270000001</v>
      </c>
      <c r="Y531" s="6">
        <f>[1]Emissions!X947</f>
        <v>19.646260089999998</v>
      </c>
      <c r="Z531" s="6">
        <f>[1]Emissions!Y947</f>
        <v>19.890956979999999</v>
      </c>
      <c r="AA531" s="6">
        <f>[1]Emissions!Z947</f>
        <v>20.1384069</v>
      </c>
      <c r="AB531" s="6">
        <f>[1]Emissions!AA947</f>
        <v>20.374942610000002</v>
      </c>
      <c r="AC531" s="6">
        <f>[1]Emissions!AB947</f>
        <v>20.601887300000001</v>
      </c>
      <c r="AD531" s="6">
        <f>[1]Emissions!AC947</f>
        <v>20.830020940000001</v>
      </c>
      <c r="AE531" s="6">
        <f>[1]Emissions!AD947</f>
        <v>21.062188509999999</v>
      </c>
      <c r="AF531" s="6">
        <f>[1]Emissions!AE947</f>
        <v>21.29979286</v>
      </c>
      <c r="AG531" s="6">
        <f>[1]Emissions!AF947</f>
        <v>21.54352446</v>
      </c>
      <c r="AH531" s="6">
        <f>[1]Emissions!AG947</f>
        <v>21.793520730000001</v>
      </c>
      <c r="AI531" s="6">
        <f>[1]Emissions!AH947</f>
        <v>22.049632989999999</v>
      </c>
      <c r="AJ531" s="6">
        <f>[1]Emissions!AI947</f>
        <v>22.311687679999999</v>
      </c>
      <c r="AK531" s="6">
        <f>[1]Emissions!AJ947</f>
        <v>22.57962925</v>
      </c>
      <c r="AL531" s="6">
        <f>[1]Emissions!AK947</f>
        <v>22.85352005</v>
      </c>
    </row>
    <row r="532" spans="2:38" hidden="1" x14ac:dyDescent="0.3">
      <c r="B532" s="16" t="str">
        <f>[1]Emissions!A948</f>
        <v>ems_y_co2_sroa_0</v>
      </c>
      <c r="C532" s="6">
        <f>[1]Emissions!B948</f>
        <v>0</v>
      </c>
      <c r="D532" s="6">
        <f>[1]Emissions!C948</f>
        <v>0</v>
      </c>
      <c r="E532" s="6">
        <f>[1]Emissions!D948</f>
        <v>0</v>
      </c>
      <c r="F532" s="6">
        <f>[1]Emissions!E948</f>
        <v>0</v>
      </c>
      <c r="G532" s="6">
        <f>[1]Emissions!F948</f>
        <v>0</v>
      </c>
      <c r="H532" s="6">
        <f>[1]Emissions!G948</f>
        <v>0</v>
      </c>
      <c r="I532" s="6">
        <f>[1]Emissions!H948</f>
        <v>0</v>
      </c>
      <c r="J532" s="6">
        <f>[1]Emissions!I948</f>
        <v>0</v>
      </c>
      <c r="K532" s="6">
        <f>[1]Emissions!J948</f>
        <v>0</v>
      </c>
      <c r="L532" s="6">
        <f>[1]Emissions!K948</f>
        <v>0</v>
      </c>
      <c r="M532" s="6">
        <f>[1]Emissions!L948</f>
        <v>0</v>
      </c>
      <c r="N532" s="6">
        <f>[1]Emissions!M948</f>
        <v>0</v>
      </c>
      <c r="O532" s="6">
        <f>[1]Emissions!N948</f>
        <v>0</v>
      </c>
      <c r="P532" s="6">
        <f>[1]Emissions!O948</f>
        <v>0</v>
      </c>
      <c r="Q532" s="6">
        <f>[1]Emissions!P948</f>
        <v>0</v>
      </c>
      <c r="R532" s="6">
        <f>[1]Emissions!Q948</f>
        <v>0</v>
      </c>
      <c r="S532" s="6">
        <f>[1]Emissions!R948</f>
        <v>0</v>
      </c>
      <c r="T532" s="6">
        <f>[1]Emissions!S948</f>
        <v>0</v>
      </c>
      <c r="U532" s="6">
        <f>[1]Emissions!T948</f>
        <v>0</v>
      </c>
      <c r="V532" s="6">
        <f>[1]Emissions!U948</f>
        <v>0</v>
      </c>
      <c r="W532" s="6">
        <f>[1]Emissions!V948</f>
        <v>0</v>
      </c>
      <c r="X532" s="6">
        <f>[1]Emissions!W948</f>
        <v>0</v>
      </c>
      <c r="Y532" s="6">
        <f>[1]Emissions!X948</f>
        <v>0</v>
      </c>
      <c r="Z532" s="6">
        <f>[1]Emissions!Y948</f>
        <v>0</v>
      </c>
      <c r="AA532" s="6">
        <f>[1]Emissions!Z948</f>
        <v>0</v>
      </c>
      <c r="AB532" s="6">
        <f>[1]Emissions!AA948</f>
        <v>0</v>
      </c>
      <c r="AC532" s="6">
        <f>[1]Emissions!AB948</f>
        <v>0</v>
      </c>
      <c r="AD532" s="6">
        <f>[1]Emissions!AC948</f>
        <v>0</v>
      </c>
      <c r="AE532" s="6">
        <f>[1]Emissions!AD948</f>
        <v>0</v>
      </c>
      <c r="AF532" s="6">
        <f>[1]Emissions!AE948</f>
        <v>0</v>
      </c>
      <c r="AG532" s="6">
        <f>[1]Emissions!AF948</f>
        <v>0</v>
      </c>
      <c r="AH532" s="6">
        <f>[1]Emissions!AG948</f>
        <v>0</v>
      </c>
      <c r="AI532" s="6">
        <f>[1]Emissions!AH948</f>
        <v>0</v>
      </c>
      <c r="AJ532" s="6">
        <f>[1]Emissions!AI948</f>
        <v>0</v>
      </c>
      <c r="AK532" s="6">
        <f>[1]Emissions!AJ948</f>
        <v>0</v>
      </c>
      <c r="AL532" s="6">
        <f>[1]Emissions!AK948</f>
        <v>0</v>
      </c>
    </row>
    <row r="533" spans="2:38" hidden="1" x14ac:dyDescent="0.3">
      <c r="B533" s="16" t="str">
        <f>[1]Emissions!A949</f>
        <v>ems_mat_co2_sroa_0</v>
      </c>
      <c r="C533" s="6">
        <f>[1]Emissions!B949</f>
        <v>0</v>
      </c>
      <c r="D533" s="6">
        <f>[1]Emissions!C949</f>
        <v>0</v>
      </c>
      <c r="E533" s="6">
        <f>[1]Emissions!D949</f>
        <v>0</v>
      </c>
      <c r="F533" s="6">
        <f>[1]Emissions!E949</f>
        <v>0</v>
      </c>
      <c r="G533" s="6">
        <f>[1]Emissions!F949</f>
        <v>0</v>
      </c>
      <c r="H533" s="6">
        <f>[1]Emissions!G949</f>
        <v>0</v>
      </c>
      <c r="I533" s="6">
        <f>[1]Emissions!H949</f>
        <v>0</v>
      </c>
      <c r="J533" s="6">
        <f>[1]Emissions!I949</f>
        <v>0</v>
      </c>
      <c r="K533" s="6">
        <f>[1]Emissions!J949</f>
        <v>0</v>
      </c>
      <c r="L533" s="6">
        <f>[1]Emissions!K949</f>
        <v>0</v>
      </c>
      <c r="M533" s="6">
        <f>[1]Emissions!L949</f>
        <v>0</v>
      </c>
      <c r="N533" s="6">
        <f>[1]Emissions!M949</f>
        <v>0</v>
      </c>
      <c r="O533" s="6">
        <f>[1]Emissions!N949</f>
        <v>0</v>
      </c>
      <c r="P533" s="6">
        <f>[1]Emissions!O949</f>
        <v>0</v>
      </c>
      <c r="Q533" s="6">
        <f>[1]Emissions!P949</f>
        <v>0</v>
      </c>
      <c r="R533" s="6">
        <f>[1]Emissions!Q949</f>
        <v>0</v>
      </c>
      <c r="S533" s="6">
        <f>[1]Emissions!R949</f>
        <v>0</v>
      </c>
      <c r="T533" s="6">
        <f>[1]Emissions!S949</f>
        <v>0</v>
      </c>
      <c r="U533" s="6">
        <f>[1]Emissions!T949</f>
        <v>0</v>
      </c>
      <c r="V533" s="6">
        <f>[1]Emissions!U949</f>
        <v>0</v>
      </c>
      <c r="W533" s="6">
        <f>[1]Emissions!V949</f>
        <v>0</v>
      </c>
      <c r="X533" s="6">
        <f>[1]Emissions!W949</f>
        <v>0</v>
      </c>
      <c r="Y533" s="6">
        <f>[1]Emissions!X949</f>
        <v>0</v>
      </c>
      <c r="Z533" s="6">
        <f>[1]Emissions!Y949</f>
        <v>0</v>
      </c>
      <c r="AA533" s="6">
        <f>[1]Emissions!Z949</f>
        <v>0</v>
      </c>
      <c r="AB533" s="6">
        <f>[1]Emissions!AA949</f>
        <v>0</v>
      </c>
      <c r="AC533" s="6">
        <f>[1]Emissions!AB949</f>
        <v>0</v>
      </c>
      <c r="AD533" s="6">
        <f>[1]Emissions!AC949</f>
        <v>0</v>
      </c>
      <c r="AE533" s="6">
        <f>[1]Emissions!AD949</f>
        <v>0</v>
      </c>
      <c r="AF533" s="6">
        <f>[1]Emissions!AE949</f>
        <v>0</v>
      </c>
      <c r="AG533" s="6">
        <f>[1]Emissions!AF949</f>
        <v>0</v>
      </c>
      <c r="AH533" s="6">
        <f>[1]Emissions!AG949</f>
        <v>0</v>
      </c>
      <c r="AI533" s="6">
        <f>[1]Emissions!AH949</f>
        <v>0</v>
      </c>
      <c r="AJ533" s="6">
        <f>[1]Emissions!AI949</f>
        <v>0</v>
      </c>
      <c r="AK533" s="6">
        <f>[1]Emissions!AJ949</f>
        <v>0</v>
      </c>
      <c r="AL533" s="6">
        <f>[1]Emissions!AK949</f>
        <v>0</v>
      </c>
    </row>
    <row r="534" spans="2:38" hidden="1" x14ac:dyDescent="0.3">
      <c r="B534" s="16" t="str">
        <f>[1]Emissions!A950</f>
        <v>ems_ci_co2_swat_0</v>
      </c>
      <c r="C534" s="6">
        <f>[1]Emissions!B950</f>
        <v>3.787208181</v>
      </c>
      <c r="D534" s="6">
        <f>[1]Emissions!C950</f>
        <v>3.8463197779999998</v>
      </c>
      <c r="E534" s="6">
        <f>[1]Emissions!D950</f>
        <v>3.9144253849999999</v>
      </c>
      <c r="F534" s="6">
        <f>[1]Emissions!E950</f>
        <v>3.9894521269999998</v>
      </c>
      <c r="G534" s="6">
        <f>[1]Emissions!F950</f>
        <v>4.0702330819999997</v>
      </c>
      <c r="H534" s="6">
        <f>[1]Emissions!G950</f>
        <v>4.1547008930000002</v>
      </c>
      <c r="I534" s="6">
        <f>[1]Emissions!H950</f>
        <v>4.2369294100000001</v>
      </c>
      <c r="J534" s="6">
        <f>[1]Emissions!I950</f>
        <v>4.3178118110000003</v>
      </c>
      <c r="K534" s="6">
        <f>[1]Emissions!J950</f>
        <v>4.3964308799999996</v>
      </c>
      <c r="L534" s="6">
        <f>[1]Emissions!K950</f>
        <v>4.472512966</v>
      </c>
      <c r="M534" s="6">
        <f>[1]Emissions!L950</f>
        <v>4.5526872359999997</v>
      </c>
      <c r="N534" s="6">
        <f>[1]Emissions!M950</f>
        <v>4.6264818129999998</v>
      </c>
      <c r="O534" s="6">
        <f>[1]Emissions!N950</f>
        <v>4.6990184309999998</v>
      </c>
      <c r="P534" s="6">
        <f>[1]Emissions!O950</f>
        <v>4.7709795379999997</v>
      </c>
      <c r="Q534" s="6">
        <f>[1]Emissions!P950</f>
        <v>4.842318133</v>
      </c>
      <c r="R534" s="6">
        <f>[1]Emissions!Q950</f>
        <v>4.9129671899999998</v>
      </c>
      <c r="S534" s="6">
        <f>[1]Emissions!R950</f>
        <v>4.9830667719999999</v>
      </c>
      <c r="T534" s="6">
        <f>[1]Emissions!S950</f>
        <v>5.052995729</v>
      </c>
      <c r="U534" s="6">
        <f>[1]Emissions!T950</f>
        <v>5.1232832239999997</v>
      </c>
      <c r="V534" s="6">
        <f>[1]Emissions!U950</f>
        <v>5.1944754700000004</v>
      </c>
      <c r="W534" s="6">
        <f>[1]Emissions!V950</f>
        <v>5.262441999</v>
      </c>
      <c r="X534" s="6">
        <f>[1]Emissions!W950</f>
        <v>5.3358786609999997</v>
      </c>
      <c r="Y534" s="6">
        <f>[1]Emissions!X950</f>
        <v>5.4116181059999997</v>
      </c>
      <c r="Z534" s="6">
        <f>[1]Emissions!Y950</f>
        <v>5.4894083900000004</v>
      </c>
      <c r="AA534" s="6">
        <f>[1]Emissions!Z950</f>
        <v>5.569231415</v>
      </c>
      <c r="AB534" s="6">
        <f>[1]Emissions!AA950</f>
        <v>5.6377609489999996</v>
      </c>
      <c r="AC534" s="6">
        <f>[1]Emissions!AB950</f>
        <v>5.7129382770000001</v>
      </c>
      <c r="AD534" s="6">
        <f>[1]Emissions!AC950</f>
        <v>5.7901226240000003</v>
      </c>
      <c r="AE534" s="6">
        <f>[1]Emissions!AD950</f>
        <v>5.8689948420000002</v>
      </c>
      <c r="AF534" s="6">
        <f>[1]Emissions!AE950</f>
        <v>5.9497728319999998</v>
      </c>
      <c r="AG534" s="6">
        <f>[1]Emissions!AF950</f>
        <v>6.0325859389999996</v>
      </c>
      <c r="AH534" s="6">
        <f>[1]Emissions!AG950</f>
        <v>6.11734958</v>
      </c>
      <c r="AI534" s="6">
        <f>[1]Emissions!AH950</f>
        <v>6.2038069199999999</v>
      </c>
      <c r="AJ534" s="6">
        <f>[1]Emissions!AI950</f>
        <v>6.2916426449999996</v>
      </c>
      <c r="AK534" s="6">
        <f>[1]Emissions!AJ950</f>
        <v>6.3805981230000004</v>
      </c>
      <c r="AL534" s="6">
        <f>[1]Emissions!AK950</f>
        <v>6.4705398199999999</v>
      </c>
    </row>
    <row r="535" spans="2:38" hidden="1" x14ac:dyDescent="0.3">
      <c r="B535" s="16" t="str">
        <f>[1]Emissions!A951</f>
        <v>ems_y_co2_swat_0</v>
      </c>
      <c r="C535" s="6">
        <f>[1]Emissions!B951</f>
        <v>0</v>
      </c>
      <c r="D535" s="6">
        <f>[1]Emissions!C951</f>
        <v>0</v>
      </c>
      <c r="E535" s="6">
        <f>[1]Emissions!D951</f>
        <v>0</v>
      </c>
      <c r="F535" s="6">
        <f>[1]Emissions!E951</f>
        <v>0</v>
      </c>
      <c r="G535" s="6">
        <f>[1]Emissions!F951</f>
        <v>0</v>
      </c>
      <c r="H535" s="6">
        <f>[1]Emissions!G951</f>
        <v>0</v>
      </c>
      <c r="I535" s="6">
        <f>[1]Emissions!H951</f>
        <v>0</v>
      </c>
      <c r="J535" s="6">
        <f>[1]Emissions!I951</f>
        <v>0</v>
      </c>
      <c r="K535" s="6">
        <f>[1]Emissions!J951</f>
        <v>0</v>
      </c>
      <c r="L535" s="6">
        <f>[1]Emissions!K951</f>
        <v>0</v>
      </c>
      <c r="M535" s="6">
        <f>[1]Emissions!L951</f>
        <v>0</v>
      </c>
      <c r="N535" s="6">
        <f>[1]Emissions!M951</f>
        <v>0</v>
      </c>
      <c r="O535" s="6">
        <f>[1]Emissions!N951</f>
        <v>0</v>
      </c>
      <c r="P535" s="6">
        <f>[1]Emissions!O951</f>
        <v>0</v>
      </c>
      <c r="Q535" s="6">
        <f>[1]Emissions!P951</f>
        <v>0</v>
      </c>
      <c r="R535" s="6">
        <f>[1]Emissions!Q951</f>
        <v>0</v>
      </c>
      <c r="S535" s="6">
        <f>[1]Emissions!R951</f>
        <v>0</v>
      </c>
      <c r="T535" s="6">
        <f>[1]Emissions!S951</f>
        <v>0</v>
      </c>
      <c r="U535" s="6">
        <f>[1]Emissions!T951</f>
        <v>0</v>
      </c>
      <c r="V535" s="6">
        <f>[1]Emissions!U951</f>
        <v>0</v>
      </c>
      <c r="W535" s="6">
        <f>[1]Emissions!V951</f>
        <v>0</v>
      </c>
      <c r="X535" s="6">
        <f>[1]Emissions!W951</f>
        <v>0</v>
      </c>
      <c r="Y535" s="6">
        <f>[1]Emissions!X951</f>
        <v>0</v>
      </c>
      <c r="Z535" s="6">
        <f>[1]Emissions!Y951</f>
        <v>0</v>
      </c>
      <c r="AA535" s="6">
        <f>[1]Emissions!Z951</f>
        <v>0</v>
      </c>
      <c r="AB535" s="6">
        <f>[1]Emissions!AA951</f>
        <v>0</v>
      </c>
      <c r="AC535" s="6">
        <f>[1]Emissions!AB951</f>
        <v>0</v>
      </c>
      <c r="AD535" s="6">
        <f>[1]Emissions!AC951</f>
        <v>0</v>
      </c>
      <c r="AE535" s="6">
        <f>[1]Emissions!AD951</f>
        <v>0</v>
      </c>
      <c r="AF535" s="6">
        <f>[1]Emissions!AE951</f>
        <v>0</v>
      </c>
      <c r="AG535" s="6">
        <f>[1]Emissions!AF951</f>
        <v>0</v>
      </c>
      <c r="AH535" s="6">
        <f>[1]Emissions!AG951</f>
        <v>0</v>
      </c>
      <c r="AI535" s="6">
        <f>[1]Emissions!AH951</f>
        <v>0</v>
      </c>
      <c r="AJ535" s="6">
        <f>[1]Emissions!AI951</f>
        <v>0</v>
      </c>
      <c r="AK535" s="6">
        <f>[1]Emissions!AJ951</f>
        <v>0</v>
      </c>
      <c r="AL535" s="6">
        <f>[1]Emissions!AK951</f>
        <v>0</v>
      </c>
    </row>
    <row r="536" spans="2:38" hidden="1" x14ac:dyDescent="0.3">
      <c r="B536" s="16" t="str">
        <f>[1]Emissions!A952</f>
        <v>ems_mat_co2_swat_0</v>
      </c>
      <c r="C536" s="6">
        <f>[1]Emissions!B952</f>
        <v>0</v>
      </c>
      <c r="D536" s="6">
        <f>[1]Emissions!C952</f>
        <v>0</v>
      </c>
      <c r="E536" s="6">
        <f>[1]Emissions!D952</f>
        <v>0</v>
      </c>
      <c r="F536" s="6">
        <f>[1]Emissions!E952</f>
        <v>0</v>
      </c>
      <c r="G536" s="6">
        <f>[1]Emissions!F952</f>
        <v>0</v>
      </c>
      <c r="H536" s="6">
        <f>[1]Emissions!G952</f>
        <v>0</v>
      </c>
      <c r="I536" s="6">
        <f>[1]Emissions!H952</f>
        <v>0</v>
      </c>
      <c r="J536" s="6">
        <f>[1]Emissions!I952</f>
        <v>0</v>
      </c>
      <c r="K536" s="6">
        <f>[1]Emissions!J952</f>
        <v>0</v>
      </c>
      <c r="L536" s="6">
        <f>[1]Emissions!K952</f>
        <v>0</v>
      </c>
      <c r="M536" s="6">
        <f>[1]Emissions!L952</f>
        <v>0</v>
      </c>
      <c r="N536" s="6">
        <f>[1]Emissions!M952</f>
        <v>0</v>
      </c>
      <c r="O536" s="6">
        <f>[1]Emissions!N952</f>
        <v>0</v>
      </c>
      <c r="P536" s="6">
        <f>[1]Emissions!O952</f>
        <v>0</v>
      </c>
      <c r="Q536" s="6">
        <f>[1]Emissions!P952</f>
        <v>0</v>
      </c>
      <c r="R536" s="6">
        <f>[1]Emissions!Q952</f>
        <v>0</v>
      </c>
      <c r="S536" s="6">
        <f>[1]Emissions!R952</f>
        <v>0</v>
      </c>
      <c r="T536" s="6">
        <f>[1]Emissions!S952</f>
        <v>0</v>
      </c>
      <c r="U536" s="6">
        <f>[1]Emissions!T952</f>
        <v>0</v>
      </c>
      <c r="V536" s="6">
        <f>[1]Emissions!U952</f>
        <v>0</v>
      </c>
      <c r="W536" s="6">
        <f>[1]Emissions!V952</f>
        <v>0</v>
      </c>
      <c r="X536" s="6">
        <f>[1]Emissions!W952</f>
        <v>0</v>
      </c>
      <c r="Y536" s="6">
        <f>[1]Emissions!X952</f>
        <v>0</v>
      </c>
      <c r="Z536" s="6">
        <f>[1]Emissions!Y952</f>
        <v>0</v>
      </c>
      <c r="AA536" s="6">
        <f>[1]Emissions!Z952</f>
        <v>0</v>
      </c>
      <c r="AB536" s="6">
        <f>[1]Emissions!AA952</f>
        <v>0</v>
      </c>
      <c r="AC536" s="6">
        <f>[1]Emissions!AB952</f>
        <v>0</v>
      </c>
      <c r="AD536" s="6">
        <f>[1]Emissions!AC952</f>
        <v>0</v>
      </c>
      <c r="AE536" s="6">
        <f>[1]Emissions!AD952</f>
        <v>0</v>
      </c>
      <c r="AF536" s="6">
        <f>[1]Emissions!AE952</f>
        <v>0</v>
      </c>
      <c r="AG536" s="6">
        <f>[1]Emissions!AF952</f>
        <v>0</v>
      </c>
      <c r="AH536" s="6">
        <f>[1]Emissions!AG952</f>
        <v>0</v>
      </c>
      <c r="AI536" s="6">
        <f>[1]Emissions!AH952</f>
        <v>0</v>
      </c>
      <c r="AJ536" s="6">
        <f>[1]Emissions!AI952</f>
        <v>0</v>
      </c>
      <c r="AK536" s="6">
        <f>[1]Emissions!AJ952</f>
        <v>0</v>
      </c>
      <c r="AL536" s="6">
        <f>[1]Emissions!AK952</f>
        <v>0</v>
      </c>
    </row>
    <row r="537" spans="2:38" hidden="1" x14ac:dyDescent="0.3">
      <c r="B537" s="16" t="str">
        <f>[1]Emissions!A953</f>
        <v>ems_ci_co2_sair_0</v>
      </c>
      <c r="C537" s="6">
        <f>[1]Emissions!B953</f>
        <v>19.865101190000001</v>
      </c>
      <c r="D537" s="6">
        <f>[1]Emissions!C953</f>
        <v>20.129117539999999</v>
      </c>
      <c r="E537" s="6">
        <f>[1]Emissions!D953</f>
        <v>20.44709349</v>
      </c>
      <c r="F537" s="6">
        <f>[1]Emissions!E953</f>
        <v>20.808698580000001</v>
      </c>
      <c r="G537" s="6">
        <f>[1]Emissions!F953</f>
        <v>21.198328249999999</v>
      </c>
      <c r="H537" s="6">
        <f>[1]Emissions!G953</f>
        <v>21.604163379999999</v>
      </c>
      <c r="I537" s="6">
        <f>[1]Emissions!H953</f>
        <v>22.00621829</v>
      </c>
      <c r="J537" s="6">
        <f>[1]Emissions!I953</f>
        <v>22.40858154</v>
      </c>
      <c r="K537" s="6">
        <f>[1]Emissions!J953</f>
        <v>22.814245320000001</v>
      </c>
      <c r="L537" s="6">
        <f>[1]Emissions!K953</f>
        <v>23.226791160000001</v>
      </c>
      <c r="M537" s="6">
        <f>[1]Emissions!L953</f>
        <v>23.670959459999999</v>
      </c>
      <c r="N537" s="6">
        <f>[1]Emissions!M953</f>
        <v>24.11504261</v>
      </c>
      <c r="O537" s="6">
        <f>[1]Emissions!N953</f>
        <v>24.563772090000001</v>
      </c>
      <c r="P537" s="6">
        <f>[1]Emissions!O953</f>
        <v>25.015438979999999</v>
      </c>
      <c r="Q537" s="6">
        <f>[1]Emissions!P953</f>
        <v>25.468728850000002</v>
      </c>
      <c r="R537" s="6">
        <f>[1]Emissions!Q953</f>
        <v>25.9236085</v>
      </c>
      <c r="S537" s="6">
        <f>[1]Emissions!R953</f>
        <v>26.381186799999998</v>
      </c>
      <c r="T537" s="6">
        <f>[1]Emissions!S953</f>
        <v>26.84312461</v>
      </c>
      <c r="U537" s="6">
        <f>[1]Emissions!T953</f>
        <v>27.311019900000002</v>
      </c>
      <c r="V537" s="6">
        <f>[1]Emissions!U953</f>
        <v>27.786036930000002</v>
      </c>
      <c r="W537" s="6">
        <f>[1]Emissions!V953</f>
        <v>28.250636020000002</v>
      </c>
      <c r="X537" s="6">
        <f>[1]Emissions!W953</f>
        <v>28.73199928</v>
      </c>
      <c r="Y537" s="6">
        <f>[1]Emissions!X953</f>
        <v>29.225762799999998</v>
      </c>
      <c r="Z537" s="6">
        <f>[1]Emissions!Y953</f>
        <v>29.731151059999998</v>
      </c>
      <c r="AA537" s="6">
        <f>[1]Emissions!Z953</f>
        <v>30.247459989999999</v>
      </c>
      <c r="AB537" s="6">
        <f>[1]Emissions!AA953</f>
        <v>30.71826544</v>
      </c>
      <c r="AC537" s="6">
        <f>[1]Emissions!AB953</f>
        <v>31.202529819999999</v>
      </c>
      <c r="AD537" s="6">
        <f>[1]Emissions!AC953</f>
        <v>31.696728619999998</v>
      </c>
      <c r="AE537" s="6">
        <f>[1]Emissions!AD953</f>
        <v>32.20224803</v>
      </c>
      <c r="AF537" s="6">
        <f>[1]Emissions!AE953</f>
        <v>32.719589669999998</v>
      </c>
      <c r="AG537" s="6">
        <f>[1]Emissions!AF953</f>
        <v>33.248250689999999</v>
      </c>
      <c r="AH537" s="6">
        <f>[1]Emissions!AG953</f>
        <v>33.787240969999999</v>
      </c>
      <c r="AI537" s="6">
        <f>[1]Emissions!AH953</f>
        <v>34.335679579999997</v>
      </c>
      <c r="AJ537" s="6">
        <f>[1]Emissions!AI953</f>
        <v>34.893186880000002</v>
      </c>
      <c r="AK537" s="6">
        <f>[1]Emissions!AJ953</f>
        <v>35.459956740000003</v>
      </c>
      <c r="AL537" s="6">
        <f>[1]Emissions!AK953</f>
        <v>36.036553670000004</v>
      </c>
    </row>
    <row r="538" spans="2:38" hidden="1" x14ac:dyDescent="0.3">
      <c r="B538" s="16" t="str">
        <f>[1]Emissions!A954</f>
        <v>ems_y_co2_sair_0</v>
      </c>
      <c r="C538" s="6">
        <f>[1]Emissions!B954</f>
        <v>0</v>
      </c>
      <c r="D538" s="6">
        <f>[1]Emissions!C954</f>
        <v>0</v>
      </c>
      <c r="E538" s="6">
        <f>[1]Emissions!D954</f>
        <v>0</v>
      </c>
      <c r="F538" s="6">
        <f>[1]Emissions!E954</f>
        <v>0</v>
      </c>
      <c r="G538" s="6">
        <f>[1]Emissions!F954</f>
        <v>0</v>
      </c>
      <c r="H538" s="6">
        <f>[1]Emissions!G954</f>
        <v>0</v>
      </c>
      <c r="I538" s="6">
        <f>[1]Emissions!H954</f>
        <v>0</v>
      </c>
      <c r="J538" s="6">
        <f>[1]Emissions!I954</f>
        <v>0</v>
      </c>
      <c r="K538" s="6">
        <f>[1]Emissions!J954</f>
        <v>0</v>
      </c>
      <c r="L538" s="6">
        <f>[1]Emissions!K954</f>
        <v>0</v>
      </c>
      <c r="M538" s="6">
        <f>[1]Emissions!L954</f>
        <v>0</v>
      </c>
      <c r="N538" s="6">
        <f>[1]Emissions!M954</f>
        <v>0</v>
      </c>
      <c r="O538" s="6">
        <f>[1]Emissions!N954</f>
        <v>0</v>
      </c>
      <c r="P538" s="6">
        <f>[1]Emissions!O954</f>
        <v>0</v>
      </c>
      <c r="Q538" s="6">
        <f>[1]Emissions!P954</f>
        <v>0</v>
      </c>
      <c r="R538" s="6">
        <f>[1]Emissions!Q954</f>
        <v>0</v>
      </c>
      <c r="S538" s="6">
        <f>[1]Emissions!R954</f>
        <v>0</v>
      </c>
      <c r="T538" s="6">
        <f>[1]Emissions!S954</f>
        <v>0</v>
      </c>
      <c r="U538" s="6">
        <f>[1]Emissions!T954</f>
        <v>0</v>
      </c>
      <c r="V538" s="6">
        <f>[1]Emissions!U954</f>
        <v>0</v>
      </c>
      <c r="W538" s="6">
        <f>[1]Emissions!V954</f>
        <v>0</v>
      </c>
      <c r="X538" s="6">
        <f>[1]Emissions!W954</f>
        <v>0</v>
      </c>
      <c r="Y538" s="6">
        <f>[1]Emissions!X954</f>
        <v>0</v>
      </c>
      <c r="Z538" s="6">
        <f>[1]Emissions!Y954</f>
        <v>0</v>
      </c>
      <c r="AA538" s="6">
        <f>[1]Emissions!Z954</f>
        <v>0</v>
      </c>
      <c r="AB538" s="6">
        <f>[1]Emissions!AA954</f>
        <v>0</v>
      </c>
      <c r="AC538" s="6">
        <f>[1]Emissions!AB954</f>
        <v>0</v>
      </c>
      <c r="AD538" s="6">
        <f>[1]Emissions!AC954</f>
        <v>0</v>
      </c>
      <c r="AE538" s="6">
        <f>[1]Emissions!AD954</f>
        <v>0</v>
      </c>
      <c r="AF538" s="6">
        <f>[1]Emissions!AE954</f>
        <v>0</v>
      </c>
      <c r="AG538" s="6">
        <f>[1]Emissions!AF954</f>
        <v>0</v>
      </c>
      <c r="AH538" s="6">
        <f>[1]Emissions!AG954</f>
        <v>0</v>
      </c>
      <c r="AI538" s="6">
        <f>[1]Emissions!AH954</f>
        <v>0</v>
      </c>
      <c r="AJ538" s="6">
        <f>[1]Emissions!AI954</f>
        <v>0</v>
      </c>
      <c r="AK538" s="6">
        <f>[1]Emissions!AJ954</f>
        <v>0</v>
      </c>
      <c r="AL538" s="6">
        <f>[1]Emissions!AK954</f>
        <v>0</v>
      </c>
    </row>
    <row r="539" spans="2:38" hidden="1" x14ac:dyDescent="0.3">
      <c r="B539" s="16" t="str">
        <f>[1]Emissions!A955</f>
        <v>ems_mat_co2_sair_0</v>
      </c>
      <c r="C539" s="6">
        <f>[1]Emissions!B955</f>
        <v>0</v>
      </c>
      <c r="D539" s="6">
        <f>[1]Emissions!C955</f>
        <v>0</v>
      </c>
      <c r="E539" s="6">
        <f>[1]Emissions!D955</f>
        <v>0</v>
      </c>
      <c r="F539" s="6">
        <f>[1]Emissions!E955</f>
        <v>0</v>
      </c>
      <c r="G539" s="6">
        <f>[1]Emissions!F955</f>
        <v>0</v>
      </c>
      <c r="H539" s="6">
        <f>[1]Emissions!G955</f>
        <v>0</v>
      </c>
      <c r="I539" s="6">
        <f>[1]Emissions!H955</f>
        <v>0</v>
      </c>
      <c r="J539" s="6">
        <f>[1]Emissions!I955</f>
        <v>0</v>
      </c>
      <c r="K539" s="6">
        <f>[1]Emissions!J955</f>
        <v>0</v>
      </c>
      <c r="L539" s="6">
        <f>[1]Emissions!K955</f>
        <v>0</v>
      </c>
      <c r="M539" s="6">
        <f>[1]Emissions!L955</f>
        <v>0</v>
      </c>
      <c r="N539" s="6">
        <f>[1]Emissions!M955</f>
        <v>0</v>
      </c>
      <c r="O539" s="6">
        <f>[1]Emissions!N955</f>
        <v>0</v>
      </c>
      <c r="P539" s="6">
        <f>[1]Emissions!O955</f>
        <v>0</v>
      </c>
      <c r="Q539" s="6">
        <f>[1]Emissions!P955</f>
        <v>0</v>
      </c>
      <c r="R539" s="6">
        <f>[1]Emissions!Q955</f>
        <v>0</v>
      </c>
      <c r="S539" s="6">
        <f>[1]Emissions!R955</f>
        <v>0</v>
      </c>
      <c r="T539" s="6">
        <f>[1]Emissions!S955</f>
        <v>0</v>
      </c>
      <c r="U539" s="6">
        <f>[1]Emissions!T955</f>
        <v>0</v>
      </c>
      <c r="V539" s="6">
        <f>[1]Emissions!U955</f>
        <v>0</v>
      </c>
      <c r="W539" s="6">
        <f>[1]Emissions!V955</f>
        <v>0</v>
      </c>
      <c r="X539" s="6">
        <f>[1]Emissions!W955</f>
        <v>0</v>
      </c>
      <c r="Y539" s="6">
        <f>[1]Emissions!X955</f>
        <v>0</v>
      </c>
      <c r="Z539" s="6">
        <f>[1]Emissions!Y955</f>
        <v>0</v>
      </c>
      <c r="AA539" s="6">
        <f>[1]Emissions!Z955</f>
        <v>0</v>
      </c>
      <c r="AB539" s="6">
        <f>[1]Emissions!AA955</f>
        <v>0</v>
      </c>
      <c r="AC539" s="6">
        <f>[1]Emissions!AB955</f>
        <v>0</v>
      </c>
      <c r="AD539" s="6">
        <f>[1]Emissions!AC955</f>
        <v>0</v>
      </c>
      <c r="AE539" s="6">
        <f>[1]Emissions!AD955</f>
        <v>0</v>
      </c>
      <c r="AF539" s="6">
        <f>[1]Emissions!AE955</f>
        <v>0</v>
      </c>
      <c r="AG539" s="6">
        <f>[1]Emissions!AF955</f>
        <v>0</v>
      </c>
      <c r="AH539" s="6">
        <f>[1]Emissions!AG955</f>
        <v>0</v>
      </c>
      <c r="AI539" s="6">
        <f>[1]Emissions!AH955</f>
        <v>0</v>
      </c>
      <c r="AJ539" s="6">
        <f>[1]Emissions!AI955</f>
        <v>0</v>
      </c>
      <c r="AK539" s="6">
        <f>[1]Emissions!AJ955</f>
        <v>0</v>
      </c>
      <c r="AL539" s="6">
        <f>[1]Emissions!AK955</f>
        <v>0</v>
      </c>
    </row>
    <row r="540" spans="2:38" hidden="1" x14ac:dyDescent="0.3">
      <c r="B540" s="16" t="str">
        <f>[1]Emissions!A956</f>
        <v>ems_ci_co2_spri_0</v>
      </c>
      <c r="C540" s="6">
        <f>[1]Emissions!B956</f>
        <v>31.015713460000001</v>
      </c>
      <c r="D540" s="6">
        <f>[1]Emissions!C956</f>
        <v>30.80749848</v>
      </c>
      <c r="E540" s="6">
        <f>[1]Emissions!D956</f>
        <v>30.53328385</v>
      </c>
      <c r="F540" s="6">
        <f>[1]Emissions!E956</f>
        <v>30.425656719999999</v>
      </c>
      <c r="G540" s="6">
        <f>[1]Emissions!F956</f>
        <v>30.552305059999998</v>
      </c>
      <c r="H540" s="6">
        <f>[1]Emissions!G956</f>
        <v>30.944800600000001</v>
      </c>
      <c r="I540" s="6">
        <f>[1]Emissions!H956</f>
        <v>31.625310129999999</v>
      </c>
      <c r="J540" s="6">
        <f>[1]Emissions!I956</f>
        <v>32.4988721</v>
      </c>
      <c r="K540" s="6">
        <f>[1]Emissions!J956</f>
        <v>33.502939429999998</v>
      </c>
      <c r="L540" s="6">
        <f>[1]Emissions!K956</f>
        <v>34.567564900000001</v>
      </c>
      <c r="M540" s="6">
        <f>[1]Emissions!L956</f>
        <v>35.56054846</v>
      </c>
      <c r="N540" s="6">
        <f>[1]Emissions!M956</f>
        <v>36.657551040000001</v>
      </c>
      <c r="O540" s="6">
        <f>[1]Emissions!N956</f>
        <v>37.73830298</v>
      </c>
      <c r="P540" s="6">
        <f>[1]Emissions!O956</f>
        <v>38.80559118</v>
      </c>
      <c r="Q540" s="6">
        <f>[1]Emissions!P956</f>
        <v>39.855211660000002</v>
      </c>
      <c r="R540" s="6">
        <f>[1]Emissions!Q956</f>
        <v>40.869135540000002</v>
      </c>
      <c r="S540" s="6">
        <f>[1]Emissions!R956</f>
        <v>41.826033549999998</v>
      </c>
      <c r="T540" s="6">
        <f>[1]Emissions!S956</f>
        <v>42.711963849999997</v>
      </c>
      <c r="U540" s="6">
        <f>[1]Emissions!T956</f>
        <v>43.52602443</v>
      </c>
      <c r="V540" s="6">
        <f>[1]Emissions!U956</f>
        <v>44.280013109999999</v>
      </c>
      <c r="W540" s="6">
        <f>[1]Emissions!V956</f>
        <v>45.043468750000002</v>
      </c>
      <c r="X540" s="6">
        <f>[1]Emissions!W956</f>
        <v>45.699785050000003</v>
      </c>
      <c r="Y540" s="6">
        <f>[1]Emissions!X956</f>
        <v>46.358065330000002</v>
      </c>
      <c r="Z540" s="6">
        <f>[1]Emissions!Y956</f>
        <v>47.036521329999999</v>
      </c>
      <c r="AA540" s="6">
        <f>[1]Emissions!Z956</f>
        <v>47.747102689999998</v>
      </c>
      <c r="AB540" s="6">
        <f>[1]Emissions!AA956</f>
        <v>48.614398180000002</v>
      </c>
      <c r="AC540" s="6">
        <f>[1]Emissions!AB956</f>
        <v>49.36026236</v>
      </c>
      <c r="AD540" s="6">
        <f>[1]Emissions!AC956</f>
        <v>50.099940799999999</v>
      </c>
      <c r="AE540" s="6">
        <f>[1]Emissions!AD956</f>
        <v>50.834549330000002</v>
      </c>
      <c r="AF540" s="6">
        <f>[1]Emissions!AE956</f>
        <v>51.570426750000003</v>
      </c>
      <c r="AG540" s="6">
        <f>[1]Emissions!AF956</f>
        <v>52.322994029999997</v>
      </c>
      <c r="AH540" s="6">
        <f>[1]Emissions!AG956</f>
        <v>53.107251210000001</v>
      </c>
      <c r="AI540" s="6">
        <f>[1]Emissions!AH956</f>
        <v>53.930421629999998</v>
      </c>
      <c r="AJ540" s="6">
        <f>[1]Emissions!AI956</f>
        <v>54.789787339999997</v>
      </c>
      <c r="AK540" s="6">
        <f>[1]Emissions!AJ956</f>
        <v>55.67522323</v>
      </c>
      <c r="AL540" s="6">
        <f>[1]Emissions!AK956</f>
        <v>56.57430008</v>
      </c>
    </row>
    <row r="541" spans="2:38" hidden="1" x14ac:dyDescent="0.3">
      <c r="B541" s="16" t="str">
        <f>[1]Emissions!A957</f>
        <v>ems_y_co2_spri_0</v>
      </c>
      <c r="C541" s="6">
        <f>[1]Emissions!B957</f>
        <v>0.40371614610000001</v>
      </c>
      <c r="D541" s="6">
        <f>[1]Emissions!C957</f>
        <v>0.40598527499999998</v>
      </c>
      <c r="E541" s="6">
        <f>[1]Emissions!D957</f>
        <v>0.41031793370000003</v>
      </c>
      <c r="F541" s="6">
        <f>[1]Emissions!E957</f>
        <v>0.41672731549999997</v>
      </c>
      <c r="G541" s="6">
        <f>[1]Emissions!F957</f>
        <v>0.42397885410000002</v>
      </c>
      <c r="H541" s="6">
        <f>[1]Emissions!G957</f>
        <v>0.43143206299999998</v>
      </c>
      <c r="I541" s="6">
        <f>[1]Emissions!H957</f>
        <v>0.43932740999999997</v>
      </c>
      <c r="J541" s="6">
        <f>[1]Emissions!I957</f>
        <v>0.44660459400000002</v>
      </c>
      <c r="K541" s="6">
        <f>[1]Emissions!J957</f>
        <v>0.45363669159999997</v>
      </c>
      <c r="L541" s="6">
        <f>[1]Emissions!K957</f>
        <v>0.4607147821</v>
      </c>
      <c r="M541" s="6">
        <f>[1]Emissions!L957</f>
        <v>0.46715066649999998</v>
      </c>
      <c r="N541" s="6">
        <f>[1]Emissions!M957</f>
        <v>0.47564489920000003</v>
      </c>
      <c r="O541" s="6">
        <f>[1]Emissions!N957</f>
        <v>0.48388125450000002</v>
      </c>
      <c r="P541" s="6">
        <f>[1]Emissions!O957</f>
        <v>0.49196588070000002</v>
      </c>
      <c r="Q541" s="6">
        <f>[1]Emissions!P957</f>
        <v>0.49997181819999997</v>
      </c>
      <c r="R541" s="6">
        <f>[1]Emissions!Q957</f>
        <v>0.50797861379999998</v>
      </c>
      <c r="S541" s="6">
        <f>[1]Emissions!R957</f>
        <v>0.51607161930000001</v>
      </c>
      <c r="T541" s="6">
        <f>[1]Emissions!S957</f>
        <v>0.5243244091</v>
      </c>
      <c r="U541" s="6">
        <f>[1]Emissions!T957</f>
        <v>0.53278357139999999</v>
      </c>
      <c r="V541" s="6">
        <f>[1]Emissions!U957</f>
        <v>0.54146448400000002</v>
      </c>
      <c r="W541" s="6">
        <f>[1]Emissions!V957</f>
        <v>0.55084354749999997</v>
      </c>
      <c r="X541" s="6">
        <f>[1]Emissions!W957</f>
        <v>0.55928383069999998</v>
      </c>
      <c r="Y541" s="6">
        <f>[1]Emissions!X957</f>
        <v>0.56823808229999995</v>
      </c>
      <c r="Z541" s="6">
        <f>[1]Emissions!Y957</f>
        <v>0.57753415969999999</v>
      </c>
      <c r="AA541" s="6">
        <f>[1]Emissions!Z957</f>
        <v>0.58706345920000003</v>
      </c>
      <c r="AB541" s="6">
        <f>[1]Emissions!AA957</f>
        <v>0.59793571239999999</v>
      </c>
      <c r="AC541" s="6">
        <f>[1]Emissions!AB957</f>
        <v>0.60665840650000002</v>
      </c>
      <c r="AD541" s="6">
        <f>[1]Emissions!AC957</f>
        <v>0.61562679890000005</v>
      </c>
      <c r="AE541" s="6">
        <f>[1]Emissions!AD957</f>
        <v>0.62484302780000001</v>
      </c>
      <c r="AF541" s="6">
        <f>[1]Emissions!AE957</f>
        <v>0.63428328580000004</v>
      </c>
      <c r="AG541" s="6">
        <f>[1]Emissions!AF957</f>
        <v>0.64389669630000002</v>
      </c>
      <c r="AH541" s="6">
        <f>[1]Emissions!AG957</f>
        <v>0.65362764600000001</v>
      </c>
      <c r="AI541" s="6">
        <f>[1]Emissions!AH957</f>
        <v>0.66343882040000002</v>
      </c>
      <c r="AJ541" s="6">
        <f>[1]Emissions!AI957</f>
        <v>0.67332205739999995</v>
      </c>
      <c r="AK541" s="6">
        <f>[1]Emissions!AJ957</f>
        <v>0.68329490579999996</v>
      </c>
      <c r="AL541" s="6">
        <f>[1]Emissions!AK957</f>
        <v>0.69338759210000001</v>
      </c>
    </row>
    <row r="542" spans="2:38" hidden="1" x14ac:dyDescent="0.3">
      <c r="B542" s="16" t="str">
        <f>[1]Emissions!A958</f>
        <v>ems_mat_co2_spri_0</v>
      </c>
      <c r="C542" s="6">
        <f>[1]Emissions!B958</f>
        <v>0.59198761389999999</v>
      </c>
      <c r="D542" s="6">
        <f>[1]Emissions!C958</f>
        <v>0.59566511509999998</v>
      </c>
      <c r="E542" s="6">
        <f>[1]Emissions!D958</f>
        <v>0.60172989850000003</v>
      </c>
      <c r="F542" s="6">
        <f>[1]Emissions!E958</f>
        <v>0.61086644810000001</v>
      </c>
      <c r="G542" s="6">
        <f>[1]Emissions!F958</f>
        <v>0.62145960519999999</v>
      </c>
      <c r="H542" s="6">
        <f>[1]Emissions!G958</f>
        <v>0.63245570959999997</v>
      </c>
      <c r="I542" s="6">
        <f>[1]Emissions!H958</f>
        <v>0.64406425609999995</v>
      </c>
      <c r="J542" s="6">
        <f>[1]Emissions!I958</f>
        <v>0.65488168820000003</v>
      </c>
      <c r="K542" s="6">
        <f>[1]Emissions!J958</f>
        <v>0.66526502180000002</v>
      </c>
      <c r="L542" s="6">
        <f>[1]Emissions!K958</f>
        <v>0.67565594549999997</v>
      </c>
      <c r="M542" s="6">
        <f>[1]Emissions!L958</f>
        <v>0.68517790960000002</v>
      </c>
      <c r="N542" s="6">
        <f>[1]Emissions!M958</f>
        <v>0.69738326500000003</v>
      </c>
      <c r="O542" s="6">
        <f>[1]Emissions!N958</f>
        <v>0.70952741389999996</v>
      </c>
      <c r="P542" s="6">
        <f>[1]Emissions!O958</f>
        <v>0.72144453990000001</v>
      </c>
      <c r="Q542" s="6">
        <f>[1]Emissions!P958</f>
        <v>0.73322061920000003</v>
      </c>
      <c r="R542" s="6">
        <f>[1]Emissions!Q958</f>
        <v>0.74497675019999998</v>
      </c>
      <c r="S542" s="6">
        <f>[1]Emissions!R958</f>
        <v>0.75684361010000001</v>
      </c>
      <c r="T542" s="6">
        <f>[1]Emissions!S958</f>
        <v>0.76893533469999997</v>
      </c>
      <c r="U542" s="6">
        <f>[1]Emissions!T958</f>
        <v>0.78132665479999996</v>
      </c>
      <c r="V542" s="6">
        <f>[1]Emissions!U958</f>
        <v>0.79404527300000005</v>
      </c>
      <c r="W542" s="6">
        <f>[1]Emissions!V958</f>
        <v>0.80773563739999998</v>
      </c>
      <c r="X542" s="6">
        <f>[1]Emissions!W958</f>
        <v>0.82025605749999997</v>
      </c>
      <c r="Y542" s="6">
        <f>[1]Emissions!X958</f>
        <v>0.83333595400000005</v>
      </c>
      <c r="Z542" s="6">
        <f>[1]Emissions!Y958</f>
        <v>0.84693631609999998</v>
      </c>
      <c r="AA542" s="6">
        <f>[1]Emissions!Z958</f>
        <v>0.86090241869999995</v>
      </c>
      <c r="AB542" s="6">
        <f>[1]Emissions!AA958</f>
        <v>0.8767123872</v>
      </c>
      <c r="AC542" s="6">
        <f>[1]Emissions!AB958</f>
        <v>0.88980922409999996</v>
      </c>
      <c r="AD542" s="6">
        <f>[1]Emissions!AC958</f>
        <v>0.90293390920000005</v>
      </c>
      <c r="AE542" s="6">
        <f>[1]Emissions!AD958</f>
        <v>0.9164021846</v>
      </c>
      <c r="AF542" s="6">
        <f>[1]Emissions!AE958</f>
        <v>0.93021309610000003</v>
      </c>
      <c r="AG542" s="6">
        <f>[1]Emissions!AF958</f>
        <v>0.94429424360000003</v>
      </c>
      <c r="AH542" s="6">
        <f>[1]Emissions!AG958</f>
        <v>0.9585603775</v>
      </c>
      <c r="AI542" s="6">
        <f>[1]Emissions!AH958</f>
        <v>0.9729508402</v>
      </c>
      <c r="AJ542" s="6">
        <f>[1]Emissions!AI958</f>
        <v>0.98744787940000001</v>
      </c>
      <c r="AK542" s="6">
        <f>[1]Emissions!AJ958</f>
        <v>1.002073475</v>
      </c>
      <c r="AL542" s="6">
        <f>[1]Emissions!AK958</f>
        <v>1.0168709629999999</v>
      </c>
    </row>
    <row r="543" spans="2:38" hidden="1" x14ac:dyDescent="0.3">
      <c r="B543" s="16" t="str">
        <f>[1]Emissions!A959</f>
        <v>ems_ci_co2_spub_0</v>
      </c>
      <c r="C543" s="6">
        <f>[1]Emissions!B959</f>
        <v>15.129641940000001</v>
      </c>
      <c r="D543" s="6">
        <f>[1]Emissions!C959</f>
        <v>15.168315679999999</v>
      </c>
      <c r="E543" s="6">
        <f>[1]Emissions!D959</f>
        <v>15.17641955</v>
      </c>
      <c r="F543" s="6">
        <f>[1]Emissions!E959</f>
        <v>15.210818980000001</v>
      </c>
      <c r="G543" s="6">
        <f>[1]Emissions!F959</f>
        <v>15.29555667</v>
      </c>
      <c r="H543" s="6">
        <f>[1]Emissions!G959</f>
        <v>15.44435663</v>
      </c>
      <c r="I543" s="6">
        <f>[1]Emissions!H959</f>
        <v>15.660063940000001</v>
      </c>
      <c r="J543" s="6">
        <f>[1]Emissions!I959</f>
        <v>15.925079500000001</v>
      </c>
      <c r="K543" s="6">
        <f>[1]Emissions!J959</f>
        <v>16.2254863</v>
      </c>
      <c r="L543" s="6">
        <f>[1]Emissions!K959</f>
        <v>16.545170280000001</v>
      </c>
      <c r="M543" s="6">
        <f>[1]Emissions!L959</f>
        <v>16.86444754</v>
      </c>
      <c r="N543" s="6">
        <f>[1]Emissions!M959</f>
        <v>17.209733190000001</v>
      </c>
      <c r="O543" s="6">
        <f>[1]Emissions!N959</f>
        <v>17.562871090000002</v>
      </c>
      <c r="P543" s="6">
        <f>[1]Emissions!O959</f>
        <v>17.928280669999999</v>
      </c>
      <c r="Q543" s="6">
        <f>[1]Emissions!P959</f>
        <v>18.305238249999999</v>
      </c>
      <c r="R543" s="6">
        <f>[1]Emissions!Q959</f>
        <v>18.687678900000002</v>
      </c>
      <c r="S543" s="6">
        <f>[1]Emissions!R959</f>
        <v>19.067581830000002</v>
      </c>
      <c r="T543" s="6">
        <f>[1]Emissions!S959</f>
        <v>19.438203489999999</v>
      </c>
      <c r="U543" s="6">
        <f>[1]Emissions!T959</f>
        <v>19.795911920000002</v>
      </c>
      <c r="V543" s="6">
        <f>[1]Emissions!U959</f>
        <v>20.14043633</v>
      </c>
      <c r="W543" s="6">
        <f>[1]Emissions!V959</f>
        <v>20.47764012</v>
      </c>
      <c r="X543" s="6">
        <f>[1]Emissions!W959</f>
        <v>20.793590729999998</v>
      </c>
      <c r="Y543" s="6">
        <f>[1]Emissions!X959</f>
        <v>21.106210969999999</v>
      </c>
      <c r="Z543" s="6">
        <f>[1]Emissions!Y959</f>
        <v>21.41832857</v>
      </c>
      <c r="AA543" s="6">
        <f>[1]Emissions!Z959</f>
        <v>21.733026930000001</v>
      </c>
      <c r="AB543" s="6">
        <f>[1]Emissions!AA959</f>
        <v>22.057511949999999</v>
      </c>
      <c r="AC543" s="6">
        <f>[1]Emissions!AB959</f>
        <v>22.359777749999999</v>
      </c>
      <c r="AD543" s="6">
        <f>[1]Emissions!AC959</f>
        <v>22.660257040000001</v>
      </c>
      <c r="AE543" s="6">
        <f>[1]Emissions!AD959</f>
        <v>22.959323000000001</v>
      </c>
      <c r="AF543" s="6">
        <f>[1]Emissions!AE959</f>
        <v>23.260148789999999</v>
      </c>
      <c r="AG543" s="6">
        <f>[1]Emissions!AF959</f>
        <v>23.56848922</v>
      </c>
      <c r="AH543" s="6">
        <f>[1]Emissions!AG959</f>
        <v>23.889853559999999</v>
      </c>
      <c r="AI543" s="6">
        <f>[1]Emissions!AH959</f>
        <v>24.22740228</v>
      </c>
      <c r="AJ543" s="6">
        <f>[1]Emissions!AI959</f>
        <v>24.581305069999999</v>
      </c>
      <c r="AK543" s="6">
        <f>[1]Emissions!AJ959</f>
        <v>24.949407619999999</v>
      </c>
      <c r="AL543" s="6">
        <f>[1]Emissions!AK959</f>
        <v>25.32861977</v>
      </c>
    </row>
    <row r="544" spans="2:38" hidden="1" x14ac:dyDescent="0.3">
      <c r="B544" s="16" t="str">
        <f>[1]Emissions!A960</f>
        <v>ems_y_co2_spub_0</v>
      </c>
      <c r="C544" s="6">
        <f>[1]Emissions!B960</f>
        <v>0</v>
      </c>
      <c r="D544" s="6">
        <f>[1]Emissions!C960</f>
        <v>0</v>
      </c>
      <c r="E544" s="6">
        <f>[1]Emissions!D960</f>
        <v>0</v>
      </c>
      <c r="F544" s="6">
        <f>[1]Emissions!E960</f>
        <v>0</v>
      </c>
      <c r="G544" s="6">
        <f>[1]Emissions!F960</f>
        <v>0</v>
      </c>
      <c r="H544" s="6">
        <f>[1]Emissions!G960</f>
        <v>0</v>
      </c>
      <c r="I544" s="6">
        <f>[1]Emissions!H960</f>
        <v>0</v>
      </c>
      <c r="J544" s="6">
        <f>[1]Emissions!I960</f>
        <v>0</v>
      </c>
      <c r="K544" s="6">
        <f>[1]Emissions!J960</f>
        <v>0</v>
      </c>
      <c r="L544" s="6">
        <f>[1]Emissions!K960</f>
        <v>0</v>
      </c>
      <c r="M544" s="6">
        <f>[1]Emissions!L960</f>
        <v>0</v>
      </c>
      <c r="N544" s="6">
        <f>[1]Emissions!M960</f>
        <v>0</v>
      </c>
      <c r="O544" s="6">
        <f>[1]Emissions!N960</f>
        <v>0</v>
      </c>
      <c r="P544" s="6">
        <f>[1]Emissions!O960</f>
        <v>0</v>
      </c>
      <c r="Q544" s="6">
        <f>[1]Emissions!P960</f>
        <v>0</v>
      </c>
      <c r="R544" s="6">
        <f>[1]Emissions!Q960</f>
        <v>0</v>
      </c>
      <c r="S544" s="6">
        <f>[1]Emissions!R960</f>
        <v>0</v>
      </c>
      <c r="T544" s="6">
        <f>[1]Emissions!S960</f>
        <v>0</v>
      </c>
      <c r="U544" s="6">
        <f>[1]Emissions!T960</f>
        <v>0</v>
      </c>
      <c r="V544" s="6">
        <f>[1]Emissions!U960</f>
        <v>0</v>
      </c>
      <c r="W544" s="6">
        <f>[1]Emissions!V960</f>
        <v>0</v>
      </c>
      <c r="X544" s="6">
        <f>[1]Emissions!W960</f>
        <v>0</v>
      </c>
      <c r="Y544" s="6">
        <f>[1]Emissions!X960</f>
        <v>0</v>
      </c>
      <c r="Z544" s="6">
        <f>[1]Emissions!Y960</f>
        <v>0</v>
      </c>
      <c r="AA544" s="6">
        <f>[1]Emissions!Z960</f>
        <v>0</v>
      </c>
      <c r="AB544" s="6">
        <f>[1]Emissions!AA960</f>
        <v>0</v>
      </c>
      <c r="AC544" s="6">
        <f>[1]Emissions!AB960</f>
        <v>0</v>
      </c>
      <c r="AD544" s="6">
        <f>[1]Emissions!AC960</f>
        <v>0</v>
      </c>
      <c r="AE544" s="6">
        <f>[1]Emissions!AD960</f>
        <v>0</v>
      </c>
      <c r="AF544" s="6">
        <f>[1]Emissions!AE960</f>
        <v>0</v>
      </c>
      <c r="AG544" s="6">
        <f>[1]Emissions!AF960</f>
        <v>0</v>
      </c>
      <c r="AH544" s="6">
        <f>[1]Emissions!AG960</f>
        <v>0</v>
      </c>
      <c r="AI544" s="6">
        <f>[1]Emissions!AH960</f>
        <v>0</v>
      </c>
      <c r="AJ544" s="6">
        <f>[1]Emissions!AI960</f>
        <v>0</v>
      </c>
      <c r="AK544" s="6">
        <f>[1]Emissions!AJ960</f>
        <v>0</v>
      </c>
      <c r="AL544" s="6">
        <f>[1]Emissions!AK960</f>
        <v>0</v>
      </c>
    </row>
    <row r="545" spans="2:38" hidden="1" x14ac:dyDescent="0.3">
      <c r="B545" s="16" t="str">
        <f>[1]Emissions!A961</f>
        <v>ems_mat_co2_spub_0</v>
      </c>
      <c r="C545" s="6">
        <f>[1]Emissions!B961</f>
        <v>9.732131034</v>
      </c>
      <c r="D545" s="6">
        <f>[1]Emissions!C961</f>
        <v>9.8367873820000007</v>
      </c>
      <c r="E545" s="6">
        <f>[1]Emissions!D961</f>
        <v>9.9649042879999996</v>
      </c>
      <c r="F545" s="6">
        <f>[1]Emissions!E961</f>
        <v>10.11825962</v>
      </c>
      <c r="G545" s="6">
        <f>[1]Emissions!F961</f>
        <v>10.284865140000001</v>
      </c>
      <c r="H545" s="6">
        <f>[1]Emissions!G961</f>
        <v>10.45755479</v>
      </c>
      <c r="I545" s="6">
        <f>[1]Emissions!H961</f>
        <v>10.635030690000001</v>
      </c>
      <c r="J545" s="6">
        <f>[1]Emissions!I961</f>
        <v>10.808562589999999</v>
      </c>
      <c r="K545" s="6">
        <f>[1]Emissions!J961</f>
        <v>10.981321189999999</v>
      </c>
      <c r="L545" s="6">
        <f>[1]Emissions!K961</f>
        <v>11.156305420000001</v>
      </c>
      <c r="M545" s="6">
        <f>[1]Emissions!L961</f>
        <v>11.33260782</v>
      </c>
      <c r="N545" s="6">
        <f>[1]Emissions!M961</f>
        <v>11.52669483</v>
      </c>
      <c r="O545" s="6">
        <f>[1]Emissions!N961</f>
        <v>11.720453089999999</v>
      </c>
      <c r="P545" s="6">
        <f>[1]Emissions!O961</f>
        <v>11.91397244</v>
      </c>
      <c r="Q545" s="6">
        <f>[1]Emissions!P961</f>
        <v>12.10844829</v>
      </c>
      <c r="R545" s="6">
        <f>[1]Emissions!Q961</f>
        <v>12.304875839999999</v>
      </c>
      <c r="S545" s="6">
        <f>[1]Emissions!R961</f>
        <v>12.504054399999999</v>
      </c>
      <c r="T545" s="6">
        <f>[1]Emissions!S961</f>
        <v>12.70656071</v>
      </c>
      <c r="U545" s="6">
        <f>[1]Emissions!T961</f>
        <v>12.912708090000001</v>
      </c>
      <c r="V545" s="6">
        <f>[1]Emissions!U961</f>
        <v>13.12256266</v>
      </c>
      <c r="W545" s="6">
        <f>[1]Emissions!V961</f>
        <v>13.336200310000001</v>
      </c>
      <c r="X545" s="6">
        <f>[1]Emissions!W961</f>
        <v>13.54549222</v>
      </c>
      <c r="Y545" s="6">
        <f>[1]Emissions!X961</f>
        <v>13.76130665</v>
      </c>
      <c r="Z545" s="6">
        <f>[1]Emissions!Y961</f>
        <v>13.982792460000001</v>
      </c>
      <c r="AA545" s="6">
        <f>[1]Emissions!Z961</f>
        <v>14.208731719999999</v>
      </c>
      <c r="AB545" s="6">
        <f>[1]Emissions!AA961</f>
        <v>14.436391820000001</v>
      </c>
      <c r="AC545" s="6">
        <f>[1]Emissions!AB961</f>
        <v>14.647936400000001</v>
      </c>
      <c r="AD545" s="6">
        <f>[1]Emissions!AC961</f>
        <v>14.86193437</v>
      </c>
      <c r="AE545" s="6">
        <f>[1]Emissions!AD961</f>
        <v>15.08012532</v>
      </c>
      <c r="AF545" s="6">
        <f>[1]Emissions!AE961</f>
        <v>15.302321190000001</v>
      </c>
      <c r="AG545" s="6">
        <f>[1]Emissions!AF961</f>
        <v>15.52806202</v>
      </c>
      <c r="AH545" s="6">
        <f>[1]Emissions!AG961</f>
        <v>15.75692695</v>
      </c>
      <c r="AI545" s="6">
        <f>[1]Emissions!AH961</f>
        <v>15.98868555</v>
      </c>
      <c r="AJ545" s="6">
        <f>[1]Emissions!AI961</f>
        <v>16.223346020000001</v>
      </c>
      <c r="AK545" s="6">
        <f>[1]Emissions!AJ961</f>
        <v>16.461104150000001</v>
      </c>
      <c r="AL545" s="6">
        <f>[1]Emissions!AK961</f>
        <v>16.702235179999999</v>
      </c>
    </row>
    <row r="546" spans="2:38" hidden="1" x14ac:dyDescent="0.3">
      <c r="B546" s="16" t="str">
        <f>[1]Emissions!A962</f>
        <v>ems_ci_co2_smin_0</v>
      </c>
      <c r="C546" s="6">
        <f>[1]Emissions!B962</f>
        <v>1.7685137790000001</v>
      </c>
      <c r="D546" s="6">
        <f>[1]Emissions!C962</f>
        <v>1.963078672</v>
      </c>
      <c r="E546" s="6">
        <f>[1]Emissions!D962</f>
        <v>2.152864154</v>
      </c>
      <c r="F546" s="6">
        <f>[1]Emissions!E962</f>
        <v>2.3122788519999999</v>
      </c>
      <c r="G546" s="6">
        <f>[1]Emissions!F962</f>
        <v>2.4450423940000001</v>
      </c>
      <c r="H546" s="6">
        <f>[1]Emissions!G962</f>
        <v>2.5590725509999999</v>
      </c>
      <c r="I546" s="6">
        <f>[1]Emissions!H962</f>
        <v>2.6514118230000001</v>
      </c>
      <c r="J546" s="6">
        <f>[1]Emissions!I962</f>
        <v>2.7367448529999998</v>
      </c>
      <c r="K546" s="6">
        <f>[1]Emissions!J962</f>
        <v>2.8171595250000001</v>
      </c>
      <c r="L546" s="6">
        <f>[1]Emissions!K962</f>
        <v>2.8927594230000002</v>
      </c>
      <c r="M546" s="6">
        <f>[1]Emissions!L962</f>
        <v>2.9769787600000002</v>
      </c>
      <c r="N546" s="6">
        <f>[1]Emissions!M962</f>
        <v>3.0414327710000002</v>
      </c>
      <c r="O546" s="6">
        <f>[1]Emissions!N962</f>
        <v>3.1023396820000002</v>
      </c>
      <c r="P546" s="6">
        <f>[1]Emissions!O962</f>
        <v>3.1621262720000001</v>
      </c>
      <c r="Q546" s="6">
        <f>[1]Emissions!P962</f>
        <v>3.2202922209999998</v>
      </c>
      <c r="R546" s="6">
        <f>[1]Emissions!Q962</f>
        <v>3.2764603160000001</v>
      </c>
      <c r="S546" s="6">
        <f>[1]Emissions!R962</f>
        <v>3.3307328840000001</v>
      </c>
      <c r="T546" s="6">
        <f>[1]Emissions!S962</f>
        <v>3.3835526969999998</v>
      </c>
      <c r="U546" s="6">
        <f>[1]Emissions!T962</f>
        <v>3.435528267</v>
      </c>
      <c r="V546" s="6">
        <f>[1]Emissions!U962</f>
        <v>3.4872901189999999</v>
      </c>
      <c r="W546" s="6">
        <f>[1]Emissions!V962</f>
        <v>3.5298128360000001</v>
      </c>
      <c r="X546" s="6">
        <f>[1]Emissions!W962</f>
        <v>3.584323532</v>
      </c>
      <c r="Y546" s="6">
        <f>[1]Emissions!X962</f>
        <v>3.6405215549999999</v>
      </c>
      <c r="Z546" s="6">
        <f>[1]Emissions!Y962</f>
        <v>3.6967661039999999</v>
      </c>
      <c r="AA546" s="6">
        <f>[1]Emissions!Z962</f>
        <v>3.7535414789999999</v>
      </c>
      <c r="AB546" s="6">
        <f>[1]Emissions!AA962</f>
        <v>3.7830121249999999</v>
      </c>
      <c r="AC546" s="6">
        <f>[1]Emissions!AB962</f>
        <v>3.8353029080000001</v>
      </c>
      <c r="AD546" s="6">
        <f>[1]Emissions!AC962</f>
        <v>3.892503901</v>
      </c>
      <c r="AE546" s="6">
        <f>[1]Emissions!AD962</f>
        <v>3.9501283219999999</v>
      </c>
      <c r="AF546" s="6">
        <f>[1]Emissions!AE962</f>
        <v>4.0079471020000002</v>
      </c>
      <c r="AG546" s="6">
        <f>[1]Emissions!AF962</f>
        <v>4.0663093259999998</v>
      </c>
      <c r="AH546" s="6">
        <f>[1]Emissions!AG962</f>
        <v>4.1253974390000003</v>
      </c>
      <c r="AI546" s="6">
        <f>[1]Emissions!AH962</f>
        <v>4.1851994619999999</v>
      </c>
      <c r="AJ546" s="6">
        <f>[1]Emissions!AI962</f>
        <v>4.2456094909999997</v>
      </c>
      <c r="AK546" s="6">
        <f>[1]Emissions!AJ962</f>
        <v>4.3065209180000004</v>
      </c>
      <c r="AL546" s="6">
        <f>[1]Emissions!AK962</f>
        <v>4.3678690939999996</v>
      </c>
    </row>
    <row r="547" spans="2:38" hidden="1" x14ac:dyDescent="0.3">
      <c r="B547" s="16" t="str">
        <f>[1]Emissions!A963</f>
        <v>ems_y_co2_smin_0</v>
      </c>
      <c r="C547" s="6">
        <f>[1]Emissions!B963</f>
        <v>0</v>
      </c>
      <c r="D547" s="6">
        <f>[1]Emissions!C963</f>
        <v>0</v>
      </c>
      <c r="E547" s="6">
        <f>[1]Emissions!D963</f>
        <v>0</v>
      </c>
      <c r="F547" s="6">
        <f>[1]Emissions!E963</f>
        <v>0</v>
      </c>
      <c r="G547" s="6">
        <f>[1]Emissions!F963</f>
        <v>0</v>
      </c>
      <c r="H547" s="6">
        <f>[1]Emissions!G963</f>
        <v>0</v>
      </c>
      <c r="I547" s="6">
        <f>[1]Emissions!H963</f>
        <v>0</v>
      </c>
      <c r="J547" s="6">
        <f>[1]Emissions!I963</f>
        <v>0</v>
      </c>
      <c r="K547" s="6">
        <f>[1]Emissions!J963</f>
        <v>0</v>
      </c>
      <c r="L547" s="6">
        <f>[1]Emissions!K963</f>
        <v>0</v>
      </c>
      <c r="M547" s="6">
        <f>[1]Emissions!L963</f>
        <v>0</v>
      </c>
      <c r="N547" s="6">
        <f>[1]Emissions!M963</f>
        <v>0</v>
      </c>
      <c r="O547" s="6">
        <f>[1]Emissions!N963</f>
        <v>0</v>
      </c>
      <c r="P547" s="6">
        <f>[1]Emissions!O963</f>
        <v>0</v>
      </c>
      <c r="Q547" s="6">
        <f>[1]Emissions!P963</f>
        <v>0</v>
      </c>
      <c r="R547" s="6">
        <f>[1]Emissions!Q963</f>
        <v>0</v>
      </c>
      <c r="S547" s="6">
        <f>[1]Emissions!R963</f>
        <v>0</v>
      </c>
      <c r="T547" s="6">
        <f>[1]Emissions!S963</f>
        <v>0</v>
      </c>
      <c r="U547" s="6">
        <f>[1]Emissions!T963</f>
        <v>0</v>
      </c>
      <c r="V547" s="6">
        <f>[1]Emissions!U963</f>
        <v>0</v>
      </c>
      <c r="W547" s="6">
        <f>[1]Emissions!V963</f>
        <v>0</v>
      </c>
      <c r="X547" s="6">
        <f>[1]Emissions!W963</f>
        <v>0</v>
      </c>
      <c r="Y547" s="6">
        <f>[1]Emissions!X963</f>
        <v>0</v>
      </c>
      <c r="Z547" s="6">
        <f>[1]Emissions!Y963</f>
        <v>0</v>
      </c>
      <c r="AA547" s="6">
        <f>[1]Emissions!Z963</f>
        <v>0</v>
      </c>
      <c r="AB547" s="6">
        <f>[1]Emissions!AA963</f>
        <v>0</v>
      </c>
      <c r="AC547" s="6">
        <f>[1]Emissions!AB963</f>
        <v>0</v>
      </c>
      <c r="AD547" s="6">
        <f>[1]Emissions!AC963</f>
        <v>0</v>
      </c>
      <c r="AE547" s="6">
        <f>[1]Emissions!AD963</f>
        <v>0</v>
      </c>
      <c r="AF547" s="6">
        <f>[1]Emissions!AE963</f>
        <v>0</v>
      </c>
      <c r="AG547" s="6">
        <f>[1]Emissions!AF963</f>
        <v>0</v>
      </c>
      <c r="AH547" s="6">
        <f>[1]Emissions!AG963</f>
        <v>0</v>
      </c>
      <c r="AI547" s="6">
        <f>[1]Emissions!AH963</f>
        <v>0</v>
      </c>
      <c r="AJ547" s="6">
        <f>[1]Emissions!AI963</f>
        <v>0</v>
      </c>
      <c r="AK547" s="6">
        <f>[1]Emissions!AJ963</f>
        <v>0</v>
      </c>
      <c r="AL547" s="6">
        <f>[1]Emissions!AK963</f>
        <v>0</v>
      </c>
    </row>
    <row r="548" spans="2:38" hidden="1" x14ac:dyDescent="0.3">
      <c r="B548" s="16" t="str">
        <f>[1]Emissions!A964</f>
        <v>ems_mat_co2_smin_0</v>
      </c>
      <c r="C548" s="6">
        <f>[1]Emissions!B964</f>
        <v>9.7379179600000004E-2</v>
      </c>
      <c r="D548" s="6">
        <f>[1]Emissions!C964</f>
        <v>0.1082170398</v>
      </c>
      <c r="E548" s="6">
        <f>[1]Emissions!D964</f>
        <v>0.1188828884</v>
      </c>
      <c r="F548" s="6">
        <f>[1]Emissions!E964</f>
        <v>0.1279021337</v>
      </c>
      <c r="G548" s="6">
        <f>[1]Emissions!F964</f>
        <v>0.13540989589999999</v>
      </c>
      <c r="H548" s="6">
        <f>[1]Emissions!G964</f>
        <v>0.1417936011</v>
      </c>
      <c r="I548" s="6">
        <f>[1]Emissions!H964</f>
        <v>0.14687147440000001</v>
      </c>
      <c r="J548" s="6">
        <f>[1]Emissions!I964</f>
        <v>0.151461401</v>
      </c>
      <c r="K548" s="6">
        <f>[1]Emissions!J964</f>
        <v>0.1557093511</v>
      </c>
      <c r="L548" s="6">
        <f>[1]Emissions!K964</f>
        <v>0.15965831920000001</v>
      </c>
      <c r="M548" s="6">
        <f>[1]Emissions!L964</f>
        <v>0.1640843266</v>
      </c>
      <c r="N548" s="6">
        <f>[1]Emissions!M964</f>
        <v>0.16742590020000001</v>
      </c>
      <c r="O548" s="6">
        <f>[1]Emissions!N964</f>
        <v>0.17056936889999999</v>
      </c>
      <c r="P548" s="6">
        <f>[1]Emissions!O964</f>
        <v>0.1736433889</v>
      </c>
      <c r="Q548" s="6">
        <f>[1]Emissions!P964</f>
        <v>0.17662460199999999</v>
      </c>
      <c r="R548" s="6">
        <f>[1]Emissions!Q964</f>
        <v>0.1795037605</v>
      </c>
      <c r="S548" s="6">
        <f>[1]Emissions!R964</f>
        <v>0.18230018279999999</v>
      </c>
      <c r="T548" s="6">
        <f>[1]Emissions!S964</f>
        <v>0.18504892149999999</v>
      </c>
      <c r="U548" s="6">
        <f>[1]Emissions!T964</f>
        <v>0.18778812480000001</v>
      </c>
      <c r="V548" s="6">
        <f>[1]Emissions!U964</f>
        <v>0.190550835</v>
      </c>
      <c r="W548" s="6">
        <f>[1]Emissions!V964</f>
        <v>0.192832804</v>
      </c>
      <c r="X548" s="6">
        <f>[1]Emissions!W964</f>
        <v>0.1957940021</v>
      </c>
      <c r="Y548" s="6">
        <f>[1]Emissions!X964</f>
        <v>0.1988676419</v>
      </c>
      <c r="Z548" s="6">
        <f>[1]Emissions!Y964</f>
        <v>0.2019564012</v>
      </c>
      <c r="AA548" s="6">
        <f>[1]Emissions!Z964</f>
        <v>0.20507824450000001</v>
      </c>
      <c r="AB548" s="6">
        <f>[1]Emissions!AA964</f>
        <v>0.20669449440000001</v>
      </c>
      <c r="AC548" s="6">
        <f>[1]Emissions!AB964</f>
        <v>0.20955267059999999</v>
      </c>
      <c r="AD548" s="6">
        <f>[1]Emissions!AC964</f>
        <v>0.2126878972</v>
      </c>
      <c r="AE548" s="6">
        <f>[1]Emissions!AD964</f>
        <v>0.21586068650000001</v>
      </c>
      <c r="AF548" s="6">
        <f>[1]Emissions!AE964</f>
        <v>0.21905493249999999</v>
      </c>
      <c r="AG548" s="6">
        <f>[1]Emissions!AF964</f>
        <v>0.22228071420000001</v>
      </c>
      <c r="AH548" s="6">
        <f>[1]Emissions!AG964</f>
        <v>0.2255388096</v>
      </c>
      <c r="AI548" s="6">
        <f>[1]Emissions!AH964</f>
        <v>0.22882312599999999</v>
      </c>
      <c r="AJ548" s="6">
        <f>[1]Emissions!AI964</f>
        <v>0.2321276206</v>
      </c>
      <c r="AK548" s="6">
        <f>[1]Emissions!AJ964</f>
        <v>0.2354503932</v>
      </c>
      <c r="AL548" s="6">
        <f>[1]Emissions!AK964</f>
        <v>0.23879357649999999</v>
      </c>
    </row>
    <row r="549" spans="2:38" hidden="1" x14ac:dyDescent="0.3">
      <c r="B549" s="16" t="str">
        <f>[1]Emissions!A965</f>
        <v>ems_ci_co2_soil_0</v>
      </c>
      <c r="C549" s="6">
        <f>[1]Emissions!B965</f>
        <v>16.642009689999998</v>
      </c>
      <c r="D549" s="6">
        <f>[1]Emissions!C965</f>
        <v>16.866363700000001</v>
      </c>
      <c r="E549" s="6">
        <f>[1]Emissions!D965</f>
        <v>17.061879569999999</v>
      </c>
      <c r="F549" s="6">
        <f>[1]Emissions!E965</f>
        <v>17.250452920000001</v>
      </c>
      <c r="G549" s="6">
        <f>[1]Emissions!F965</f>
        <v>17.446429989999999</v>
      </c>
      <c r="H549" s="6">
        <f>[1]Emissions!G965</f>
        <v>17.655243970000001</v>
      </c>
      <c r="I549" s="6">
        <f>[1]Emissions!H965</f>
        <v>17.865533460000002</v>
      </c>
      <c r="J549" s="6">
        <f>[1]Emissions!I965</f>
        <v>18.085432789999999</v>
      </c>
      <c r="K549" s="6">
        <f>[1]Emissions!J965</f>
        <v>18.312906760000001</v>
      </c>
      <c r="L549" s="6">
        <f>[1]Emissions!K965</f>
        <v>18.544505520000001</v>
      </c>
      <c r="M549" s="6">
        <f>[1]Emissions!L965</f>
        <v>18.795655979999999</v>
      </c>
      <c r="N549" s="6">
        <f>[1]Emissions!M965</f>
        <v>19.031940219999999</v>
      </c>
      <c r="O549" s="6">
        <f>[1]Emissions!N965</f>
        <v>19.266556569999999</v>
      </c>
      <c r="P549" s="6">
        <f>[1]Emissions!O965</f>
        <v>19.501292029999998</v>
      </c>
      <c r="Q549" s="6">
        <f>[1]Emissions!P965</f>
        <v>19.735497609999999</v>
      </c>
      <c r="R549" s="6">
        <f>[1]Emissions!Q965</f>
        <v>19.96807961</v>
      </c>
      <c r="S549" s="6">
        <f>[1]Emissions!R965</f>
        <v>20.19810068</v>
      </c>
      <c r="T549" s="6">
        <f>[1]Emissions!S965</f>
        <v>20.42504963</v>
      </c>
      <c r="U549" s="6">
        <f>[1]Emissions!T965</f>
        <v>20.648930450000002</v>
      </c>
      <c r="V549" s="6">
        <f>[1]Emissions!U965</f>
        <v>20.870185159999998</v>
      </c>
      <c r="W549" s="6">
        <f>[1]Emissions!V965</f>
        <v>21.075877200000001</v>
      </c>
      <c r="X549" s="6">
        <f>[1]Emissions!W965</f>
        <v>21.291302309999999</v>
      </c>
      <c r="Y549" s="6">
        <f>[1]Emissions!X965</f>
        <v>21.507571930000001</v>
      </c>
      <c r="Z549" s="6">
        <f>[1]Emissions!Y965</f>
        <v>21.72357736</v>
      </c>
      <c r="AA549" s="6">
        <f>[1]Emissions!Z965</f>
        <v>21.939691419999999</v>
      </c>
      <c r="AB549" s="6">
        <f>[1]Emissions!AA965</f>
        <v>22.115676539999999</v>
      </c>
      <c r="AC549" s="6">
        <f>[1]Emissions!AB965</f>
        <v>22.307245420000001</v>
      </c>
      <c r="AD549" s="6">
        <f>[1]Emissions!AC965</f>
        <v>22.499853569999999</v>
      </c>
      <c r="AE549" s="6">
        <f>[1]Emissions!AD965</f>
        <v>22.69037084</v>
      </c>
      <c r="AF549" s="6">
        <f>[1]Emissions!AE965</f>
        <v>22.878740499999999</v>
      </c>
      <c r="AG549" s="6">
        <f>[1]Emissions!AF965</f>
        <v>23.065611390000001</v>
      </c>
      <c r="AH549" s="6">
        <f>[1]Emissions!AG965</f>
        <v>23.251586199999998</v>
      </c>
      <c r="AI549" s="6">
        <f>[1]Emissions!AH965</f>
        <v>23.436953689999999</v>
      </c>
      <c r="AJ549" s="6">
        <f>[1]Emissions!AI965</f>
        <v>23.62165177</v>
      </c>
      <c r="AK549" s="6">
        <f>[1]Emissions!AJ965</f>
        <v>23.805377310000001</v>
      </c>
      <c r="AL549" s="6">
        <f>[1]Emissions!AK965</f>
        <v>23.987755750000002</v>
      </c>
    </row>
    <row r="550" spans="2:38" hidden="1" x14ac:dyDescent="0.3">
      <c r="B550" s="16" t="str">
        <f>[1]Emissions!A966</f>
        <v>ems_y_co2_soil_0</v>
      </c>
      <c r="C550" s="6">
        <f>[1]Emissions!B966</f>
        <v>0</v>
      </c>
      <c r="D550" s="6">
        <f>[1]Emissions!C966</f>
        <v>0</v>
      </c>
      <c r="E550" s="6">
        <f>[1]Emissions!D966</f>
        <v>0</v>
      </c>
      <c r="F550" s="6">
        <f>[1]Emissions!E966</f>
        <v>0</v>
      </c>
      <c r="G550" s="6">
        <f>[1]Emissions!F966</f>
        <v>0</v>
      </c>
      <c r="H550" s="6">
        <f>[1]Emissions!G966</f>
        <v>0</v>
      </c>
      <c r="I550" s="6">
        <f>[1]Emissions!H966</f>
        <v>0</v>
      </c>
      <c r="J550" s="6">
        <f>[1]Emissions!I966</f>
        <v>0</v>
      </c>
      <c r="K550" s="6">
        <f>[1]Emissions!J966</f>
        <v>0</v>
      </c>
      <c r="L550" s="6">
        <f>[1]Emissions!K966</f>
        <v>0</v>
      </c>
      <c r="M550" s="6">
        <f>[1]Emissions!L966</f>
        <v>0</v>
      </c>
      <c r="N550" s="6">
        <f>[1]Emissions!M966</f>
        <v>0</v>
      </c>
      <c r="O550" s="6">
        <f>[1]Emissions!N966</f>
        <v>0</v>
      </c>
      <c r="P550" s="6">
        <f>[1]Emissions!O966</f>
        <v>0</v>
      </c>
      <c r="Q550" s="6">
        <f>[1]Emissions!P966</f>
        <v>0</v>
      </c>
      <c r="R550" s="6">
        <f>[1]Emissions!Q966</f>
        <v>0</v>
      </c>
      <c r="S550" s="6">
        <f>[1]Emissions!R966</f>
        <v>0</v>
      </c>
      <c r="T550" s="6">
        <f>[1]Emissions!S966</f>
        <v>0</v>
      </c>
      <c r="U550" s="6">
        <f>[1]Emissions!T966</f>
        <v>0</v>
      </c>
      <c r="V550" s="6">
        <f>[1]Emissions!U966</f>
        <v>0</v>
      </c>
      <c r="W550" s="6">
        <f>[1]Emissions!V966</f>
        <v>0</v>
      </c>
      <c r="X550" s="6">
        <f>[1]Emissions!W966</f>
        <v>0</v>
      </c>
      <c r="Y550" s="6">
        <f>[1]Emissions!X966</f>
        <v>0</v>
      </c>
      <c r="Z550" s="6">
        <f>[1]Emissions!Y966</f>
        <v>0</v>
      </c>
      <c r="AA550" s="6">
        <f>[1]Emissions!Z966</f>
        <v>0</v>
      </c>
      <c r="AB550" s="6">
        <f>[1]Emissions!AA966</f>
        <v>0</v>
      </c>
      <c r="AC550" s="6">
        <f>[1]Emissions!AB966</f>
        <v>0</v>
      </c>
      <c r="AD550" s="6">
        <f>[1]Emissions!AC966</f>
        <v>0</v>
      </c>
      <c r="AE550" s="6">
        <f>[1]Emissions!AD966</f>
        <v>0</v>
      </c>
      <c r="AF550" s="6">
        <f>[1]Emissions!AE966</f>
        <v>0</v>
      </c>
      <c r="AG550" s="6">
        <f>[1]Emissions!AF966</f>
        <v>0</v>
      </c>
      <c r="AH550" s="6">
        <f>[1]Emissions!AG966</f>
        <v>0</v>
      </c>
      <c r="AI550" s="6">
        <f>[1]Emissions!AH966</f>
        <v>0</v>
      </c>
      <c r="AJ550" s="6">
        <f>[1]Emissions!AI966</f>
        <v>0</v>
      </c>
      <c r="AK550" s="6">
        <f>[1]Emissions!AJ966</f>
        <v>0</v>
      </c>
      <c r="AL550" s="6">
        <f>[1]Emissions!AK966</f>
        <v>0</v>
      </c>
    </row>
    <row r="551" spans="2:38" hidden="1" x14ac:dyDescent="0.3">
      <c r="B551" s="16" t="str">
        <f>[1]Emissions!A967</f>
        <v>ems_mat_co2_soil_0</v>
      </c>
      <c r="C551" s="6">
        <f>[1]Emissions!B967</f>
        <v>4.7903270979999997</v>
      </c>
      <c r="D551" s="6">
        <f>[1]Emissions!C967</f>
        <v>4.8548669809999998</v>
      </c>
      <c r="E551" s="6">
        <f>[1]Emissions!D967</f>
        <v>4.9110569689999997</v>
      </c>
      <c r="F551" s="6">
        <f>[1]Emissions!E967</f>
        <v>4.9652053</v>
      </c>
      <c r="G551" s="6">
        <f>[1]Emissions!F967</f>
        <v>5.0214607490000001</v>
      </c>
      <c r="H551" s="6">
        <f>[1]Emissions!G967</f>
        <v>5.0814106939999997</v>
      </c>
      <c r="I551" s="6">
        <f>[1]Emissions!H967</f>
        <v>5.1418047280000003</v>
      </c>
      <c r="J551" s="6">
        <f>[1]Emissions!I967</f>
        <v>5.2049966449999996</v>
      </c>
      <c r="K551" s="6">
        <f>[1]Emissions!J967</f>
        <v>5.270403655</v>
      </c>
      <c r="L551" s="6">
        <f>[1]Emissions!K967</f>
        <v>5.3370281689999999</v>
      </c>
      <c r="M551" s="6">
        <f>[1]Emissions!L967</f>
        <v>5.4093005529999996</v>
      </c>
      <c r="N551" s="6">
        <f>[1]Emissions!M967</f>
        <v>5.477309569</v>
      </c>
      <c r="O551" s="6">
        <f>[1]Emissions!N967</f>
        <v>5.5448522840000001</v>
      </c>
      <c r="P551" s="6">
        <f>[1]Emissions!O967</f>
        <v>5.6124443209999999</v>
      </c>
      <c r="Q551" s="6">
        <f>[1]Emissions!P967</f>
        <v>5.6798999800000001</v>
      </c>
      <c r="R551" s="6">
        <f>[1]Emissions!Q967</f>
        <v>5.7469036200000003</v>
      </c>
      <c r="S551" s="6">
        <f>[1]Emissions!R967</f>
        <v>5.8131824290000003</v>
      </c>
      <c r="T551" s="6">
        <f>[1]Emissions!S967</f>
        <v>5.8785848789999999</v>
      </c>
      <c r="U551" s="6">
        <f>[1]Emissions!T967</f>
        <v>5.9431075839999998</v>
      </c>
      <c r="V551" s="6">
        <f>[1]Emissions!U967</f>
        <v>6.006874067</v>
      </c>
      <c r="W551" s="6">
        <f>[1]Emissions!V967</f>
        <v>6.066159335</v>
      </c>
      <c r="X551" s="6">
        <f>[1]Emissions!W967</f>
        <v>6.128242083</v>
      </c>
      <c r="Y551" s="6">
        <f>[1]Emissions!X967</f>
        <v>6.1905626549999999</v>
      </c>
      <c r="Z551" s="6">
        <f>[1]Emissions!Y967</f>
        <v>6.2528014570000003</v>
      </c>
      <c r="AA551" s="6">
        <f>[1]Emissions!Z967</f>
        <v>6.3150663160000002</v>
      </c>
      <c r="AB551" s="6">
        <f>[1]Emissions!AA967</f>
        <v>6.3657776439999996</v>
      </c>
      <c r="AC551" s="6">
        <f>[1]Emissions!AB967</f>
        <v>6.4209719090000004</v>
      </c>
      <c r="AD551" s="6">
        <f>[1]Emissions!AC967</f>
        <v>6.4764605829999997</v>
      </c>
      <c r="AE551" s="6">
        <f>[1]Emissions!AD967</f>
        <v>6.5313397780000004</v>
      </c>
      <c r="AF551" s="6">
        <f>[1]Emissions!AE967</f>
        <v>6.5855915490000001</v>
      </c>
      <c r="AG551" s="6">
        <f>[1]Emissions!AF967</f>
        <v>6.6394031399999998</v>
      </c>
      <c r="AH551" s="6">
        <f>[1]Emissions!AG967</f>
        <v>6.6929501990000002</v>
      </c>
      <c r="AI551" s="6">
        <f>[1]Emissions!AH967</f>
        <v>6.7463186759999996</v>
      </c>
      <c r="AJ551" s="6">
        <f>[1]Emissions!AI967</f>
        <v>6.7994931449999996</v>
      </c>
      <c r="AK551" s="6">
        <f>[1]Emissions!AJ967</f>
        <v>6.8523878089999997</v>
      </c>
      <c r="AL551" s="6">
        <f>[1]Emissions!AK967</f>
        <v>6.9048952589999999</v>
      </c>
    </row>
    <row r="552" spans="2:38" hidden="1" x14ac:dyDescent="0.3">
      <c r="B552" s="16" t="str">
        <f>[1]Emissions!A968</f>
        <v>ems_ci_co2_sbfu_0</v>
      </c>
      <c r="C552" s="6">
        <f>[1]Emissions!B968</f>
        <v>3.9559802529999999</v>
      </c>
      <c r="D552" s="6">
        <f>[1]Emissions!C968</f>
        <v>4.0470272490000001</v>
      </c>
      <c r="E552" s="6">
        <f>[1]Emissions!D968</f>
        <v>4.1283444530000004</v>
      </c>
      <c r="F552" s="6">
        <f>[1]Emissions!E968</f>
        <v>4.202279903</v>
      </c>
      <c r="G552" s="6">
        <f>[1]Emissions!F968</f>
        <v>4.2728948469999999</v>
      </c>
      <c r="H552" s="6">
        <f>[1]Emissions!G968</f>
        <v>4.3421467309999997</v>
      </c>
      <c r="I552" s="6">
        <f>[1]Emissions!H968</f>
        <v>4.407846256</v>
      </c>
      <c r="J552" s="6">
        <f>[1]Emissions!I968</f>
        <v>4.4726802450000003</v>
      </c>
      <c r="K552" s="6">
        <f>[1]Emissions!J968</f>
        <v>4.5368497379999999</v>
      </c>
      <c r="L552" s="6">
        <f>[1]Emissions!K968</f>
        <v>4.6001891800000001</v>
      </c>
      <c r="M552" s="6">
        <f>[1]Emissions!L968</f>
        <v>4.6671660089999998</v>
      </c>
      <c r="N552" s="6">
        <f>[1]Emissions!M968</f>
        <v>4.729442841</v>
      </c>
      <c r="O552" s="6">
        <f>[1]Emissions!N968</f>
        <v>4.7906388980000001</v>
      </c>
      <c r="P552" s="6">
        <f>[1]Emissions!O968</f>
        <v>4.851347283</v>
      </c>
      <c r="Q552" s="6">
        <f>[1]Emissions!P968</f>
        <v>4.9115432370000001</v>
      </c>
      <c r="R552" s="6">
        <f>[1]Emissions!Q968</f>
        <v>4.9710971869999998</v>
      </c>
      <c r="S552" s="6">
        <f>[1]Emissions!R968</f>
        <v>5.0299019549999997</v>
      </c>
      <c r="T552" s="6">
        <f>[1]Emissions!S968</f>
        <v>5.0879117110000003</v>
      </c>
      <c r="U552" s="6">
        <f>[1]Emissions!T968</f>
        <v>5.1451490340000001</v>
      </c>
      <c r="V552" s="6">
        <f>[1]Emissions!U968</f>
        <v>5.2016894010000003</v>
      </c>
      <c r="W552" s="6">
        <f>[1]Emissions!V968</f>
        <v>5.2542100349999998</v>
      </c>
      <c r="X552" s="6">
        <f>[1]Emissions!W968</f>
        <v>5.3090400600000001</v>
      </c>
      <c r="Y552" s="6">
        <f>[1]Emissions!X968</f>
        <v>5.3637949870000003</v>
      </c>
      <c r="Z552" s="6">
        <f>[1]Emissions!Y968</f>
        <v>5.4181397630000001</v>
      </c>
      <c r="AA552" s="6">
        <f>[1]Emissions!Z968</f>
        <v>5.4721158389999998</v>
      </c>
      <c r="AB552" s="6">
        <f>[1]Emissions!AA968</f>
        <v>5.5156411969999999</v>
      </c>
      <c r="AC552" s="6">
        <f>[1]Emissions!AB968</f>
        <v>5.562750415</v>
      </c>
      <c r="AD552" s="6">
        <f>[1]Emissions!AC968</f>
        <v>5.6097636460000002</v>
      </c>
      <c r="AE552" s="6">
        <f>[1]Emissions!AD968</f>
        <v>5.6559575649999996</v>
      </c>
      <c r="AF552" s="6">
        <f>[1]Emissions!AE968</f>
        <v>5.7013268720000001</v>
      </c>
      <c r="AG552" s="6">
        <f>[1]Emissions!AF968</f>
        <v>5.7460055480000003</v>
      </c>
      <c r="AH552" s="6">
        <f>[1]Emissions!AG968</f>
        <v>5.7901125479999997</v>
      </c>
      <c r="AI552" s="6">
        <f>[1]Emissions!AH968</f>
        <v>5.8337095059999999</v>
      </c>
      <c r="AJ552" s="6">
        <f>[1]Emissions!AI968</f>
        <v>5.8767996599999996</v>
      </c>
      <c r="AK552" s="6">
        <f>[1]Emissions!AJ968</f>
        <v>5.9193482959999999</v>
      </c>
      <c r="AL552" s="6">
        <f>[1]Emissions!AK968</f>
        <v>5.9613090140000002</v>
      </c>
    </row>
    <row r="553" spans="2:38" hidden="1" x14ac:dyDescent="0.3">
      <c r="B553" s="16" t="str">
        <f>[1]Emissions!A969</f>
        <v>ems_y_co2_sbfu_0</v>
      </c>
      <c r="C553" s="6">
        <f>[1]Emissions!B969</f>
        <v>0</v>
      </c>
      <c r="D553" s="6">
        <f>[1]Emissions!C969</f>
        <v>0</v>
      </c>
      <c r="E553" s="6">
        <f>[1]Emissions!D969</f>
        <v>0</v>
      </c>
      <c r="F553" s="6">
        <f>[1]Emissions!E969</f>
        <v>0</v>
      </c>
      <c r="G553" s="6">
        <f>[1]Emissions!F969</f>
        <v>0</v>
      </c>
      <c r="H553" s="6">
        <f>[1]Emissions!G969</f>
        <v>0</v>
      </c>
      <c r="I553" s="6">
        <f>[1]Emissions!H969</f>
        <v>0</v>
      </c>
      <c r="J553" s="6">
        <f>[1]Emissions!I969</f>
        <v>0</v>
      </c>
      <c r="K553" s="6">
        <f>[1]Emissions!J969</f>
        <v>0</v>
      </c>
      <c r="L553" s="6">
        <f>[1]Emissions!K969</f>
        <v>0</v>
      </c>
      <c r="M553" s="6">
        <f>[1]Emissions!L969</f>
        <v>0</v>
      </c>
      <c r="N553" s="6">
        <f>[1]Emissions!M969</f>
        <v>0</v>
      </c>
      <c r="O553" s="6">
        <f>[1]Emissions!N969</f>
        <v>0</v>
      </c>
      <c r="P553" s="6">
        <f>[1]Emissions!O969</f>
        <v>0</v>
      </c>
      <c r="Q553" s="6">
        <f>[1]Emissions!P969</f>
        <v>0</v>
      </c>
      <c r="R553" s="6">
        <f>[1]Emissions!Q969</f>
        <v>0</v>
      </c>
      <c r="S553" s="6">
        <f>[1]Emissions!R969</f>
        <v>0</v>
      </c>
      <c r="T553" s="6">
        <f>[1]Emissions!S969</f>
        <v>0</v>
      </c>
      <c r="U553" s="6">
        <f>[1]Emissions!T969</f>
        <v>0</v>
      </c>
      <c r="V553" s="6">
        <f>[1]Emissions!U969</f>
        <v>0</v>
      </c>
      <c r="W553" s="6">
        <f>[1]Emissions!V969</f>
        <v>0</v>
      </c>
      <c r="X553" s="6">
        <f>[1]Emissions!W969</f>
        <v>0</v>
      </c>
      <c r="Y553" s="6">
        <f>[1]Emissions!X969</f>
        <v>0</v>
      </c>
      <c r="Z553" s="6">
        <f>[1]Emissions!Y969</f>
        <v>0</v>
      </c>
      <c r="AA553" s="6">
        <f>[1]Emissions!Z969</f>
        <v>0</v>
      </c>
      <c r="AB553" s="6">
        <f>[1]Emissions!AA969</f>
        <v>0</v>
      </c>
      <c r="AC553" s="6">
        <f>[1]Emissions!AB969</f>
        <v>0</v>
      </c>
      <c r="AD553" s="6">
        <f>[1]Emissions!AC969</f>
        <v>0</v>
      </c>
      <c r="AE553" s="6">
        <f>[1]Emissions!AD969</f>
        <v>0</v>
      </c>
      <c r="AF553" s="6">
        <f>[1]Emissions!AE969</f>
        <v>0</v>
      </c>
      <c r="AG553" s="6">
        <f>[1]Emissions!AF969</f>
        <v>0</v>
      </c>
      <c r="AH553" s="6">
        <f>[1]Emissions!AG969</f>
        <v>0</v>
      </c>
      <c r="AI553" s="6">
        <f>[1]Emissions!AH969</f>
        <v>0</v>
      </c>
      <c r="AJ553" s="6">
        <f>[1]Emissions!AI969</f>
        <v>0</v>
      </c>
      <c r="AK553" s="6">
        <f>[1]Emissions!AJ969</f>
        <v>0</v>
      </c>
      <c r="AL553" s="6">
        <f>[1]Emissions!AK969</f>
        <v>0</v>
      </c>
    </row>
    <row r="554" spans="2:38" hidden="1" x14ac:dyDescent="0.3">
      <c r="B554" s="16" t="str">
        <f>[1]Emissions!A970</f>
        <v>ems_mat_co2_sbfu_0</v>
      </c>
      <c r="C554" s="6">
        <f>[1]Emissions!B970</f>
        <v>3.299571475</v>
      </c>
      <c r="D554" s="6">
        <f>[1]Emissions!C970</f>
        <v>3.3755112060000001</v>
      </c>
      <c r="E554" s="6">
        <f>[1]Emissions!D970</f>
        <v>3.4433355950000002</v>
      </c>
      <c r="F554" s="6">
        <f>[1]Emissions!E970</f>
        <v>3.5050030780000001</v>
      </c>
      <c r="G554" s="6">
        <f>[1]Emissions!F970</f>
        <v>3.5639010299999998</v>
      </c>
      <c r="H554" s="6">
        <f>[1]Emissions!G970</f>
        <v>3.6216621020000002</v>
      </c>
      <c r="I554" s="6">
        <f>[1]Emissions!H970</f>
        <v>3.676460262</v>
      </c>
      <c r="J554" s="6">
        <f>[1]Emissions!I970</f>
        <v>3.7305365109999999</v>
      </c>
      <c r="K554" s="6">
        <f>[1]Emissions!J970</f>
        <v>3.7840585249999998</v>
      </c>
      <c r="L554" s="6">
        <f>[1]Emissions!K970</f>
        <v>3.8368882179999999</v>
      </c>
      <c r="M554" s="6">
        <f>[1]Emissions!L970</f>
        <v>3.89275175</v>
      </c>
      <c r="N554" s="6">
        <f>[1]Emissions!M970</f>
        <v>3.9446951399999999</v>
      </c>
      <c r="O554" s="6">
        <f>[1]Emissions!N970</f>
        <v>3.9957370800000001</v>
      </c>
      <c r="P554" s="6">
        <f>[1]Emissions!O970</f>
        <v>4.0463722579999999</v>
      </c>
      <c r="Q554" s="6">
        <f>[1]Emissions!P970</f>
        <v>4.0965800249999997</v>
      </c>
      <c r="R554" s="6">
        <f>[1]Emissions!Q970</f>
        <v>4.1462523100000004</v>
      </c>
      <c r="S554" s="6">
        <f>[1]Emissions!R970</f>
        <v>4.1952997170000002</v>
      </c>
      <c r="T554" s="6">
        <f>[1]Emissions!S970</f>
        <v>4.2436840250000003</v>
      </c>
      <c r="U554" s="6">
        <f>[1]Emissions!T970</f>
        <v>4.2914240650000002</v>
      </c>
      <c r="V554" s="6">
        <f>[1]Emissions!U970</f>
        <v>4.3385827929999996</v>
      </c>
      <c r="W554" s="6">
        <f>[1]Emissions!V970</f>
        <v>4.382388776</v>
      </c>
      <c r="X554" s="6">
        <f>[1]Emissions!W970</f>
        <v>4.4281209590000001</v>
      </c>
      <c r="Y554" s="6">
        <f>[1]Emissions!X970</f>
        <v>4.4737905080000004</v>
      </c>
      <c r="Z554" s="6">
        <f>[1]Emissions!Y970</f>
        <v>4.5191179640000003</v>
      </c>
      <c r="AA554" s="6">
        <f>[1]Emissions!Z970</f>
        <v>4.5641379029999998</v>
      </c>
      <c r="AB554" s="6">
        <f>[1]Emissions!AA970</f>
        <v>4.6004411940000001</v>
      </c>
      <c r="AC554" s="6">
        <f>[1]Emissions!AB970</f>
        <v>4.6397336840000003</v>
      </c>
      <c r="AD554" s="6">
        <f>[1]Emissions!AC970</f>
        <v>4.6789461149999996</v>
      </c>
      <c r="AE554" s="6">
        <f>[1]Emissions!AD970</f>
        <v>4.7174751820000003</v>
      </c>
      <c r="AF554" s="6">
        <f>[1]Emissions!AE970</f>
        <v>4.7553164619999997</v>
      </c>
      <c r="AG554" s="6">
        <f>[1]Emissions!AF970</f>
        <v>4.7925817049999999</v>
      </c>
      <c r="AH554" s="6">
        <f>[1]Emissions!AG970</f>
        <v>4.8293701269999998</v>
      </c>
      <c r="AI554" s="6">
        <f>[1]Emissions!AH970</f>
        <v>4.8657331360000002</v>
      </c>
      <c r="AJ554" s="6">
        <f>[1]Emissions!AI970</f>
        <v>4.9016734309999999</v>
      </c>
      <c r="AK554" s="6">
        <f>[1]Emissions!AJ970</f>
        <v>4.9371620600000004</v>
      </c>
      <c r="AL554" s="6">
        <f>[1]Emissions!AK970</f>
        <v>4.9721603200000004</v>
      </c>
    </row>
    <row r="555" spans="2:38" hidden="1" x14ac:dyDescent="0.3">
      <c r="B555" s="16" t="str">
        <f>[1]Emissions!A971</f>
        <v>ems_ci_co2_seoi_0</v>
      </c>
      <c r="C555" s="6">
        <f>[1]Emissions!B971</f>
        <v>1.7971549899999999</v>
      </c>
      <c r="D555" s="6">
        <f>[1]Emissions!C971</f>
        <v>1.8089274799999999</v>
      </c>
      <c r="E555" s="6">
        <f>[1]Emissions!D971</f>
        <v>1.8185121639999999</v>
      </c>
      <c r="F555" s="6">
        <f>[1]Emissions!E971</f>
        <v>1.8316608299999999</v>
      </c>
      <c r="G555" s="6">
        <f>[1]Emissions!F971</f>
        <v>1.851589902</v>
      </c>
      <c r="H555" s="6">
        <f>[1]Emissions!G971</f>
        <v>1.879999022</v>
      </c>
      <c r="I555" s="6">
        <f>[1]Emissions!H971</f>
        <v>1.9162240589999999</v>
      </c>
      <c r="J555" s="6">
        <f>[1]Emissions!I971</f>
        <v>1.959821061</v>
      </c>
      <c r="K555" s="6">
        <f>[1]Emissions!J971</f>
        <v>2.0089734400000001</v>
      </c>
      <c r="L555" s="6">
        <f>[1]Emissions!K971</f>
        <v>2.0611225540000002</v>
      </c>
      <c r="M555" s="6">
        <f>[1]Emissions!L971</f>
        <v>2.1147248030000001</v>
      </c>
      <c r="N555" s="6">
        <f>[1]Emissions!M971</f>
        <v>2.1660838469999999</v>
      </c>
      <c r="O555" s="6">
        <f>[1]Emissions!N971</f>
        <v>2.2139952940000001</v>
      </c>
      <c r="P555" s="6">
        <f>[1]Emissions!O971</f>
        <v>2.2576607929999999</v>
      </c>
      <c r="Q555" s="6">
        <f>[1]Emissions!P971</f>
        <v>2.296406266</v>
      </c>
      <c r="R555" s="6">
        <f>[1]Emissions!Q971</f>
        <v>2.3298143100000002</v>
      </c>
      <c r="S555" s="6">
        <f>[1]Emissions!R971</f>
        <v>2.3581768219999999</v>
      </c>
      <c r="T555" s="6">
        <f>[1]Emissions!S971</f>
        <v>2.3824458690000001</v>
      </c>
      <c r="U555" s="6">
        <f>[1]Emissions!T971</f>
        <v>2.4040812300000001</v>
      </c>
      <c r="V555" s="6">
        <f>[1]Emissions!U971</f>
        <v>2.424816823</v>
      </c>
      <c r="W555" s="6">
        <f>[1]Emissions!V971</f>
        <v>2.445447234</v>
      </c>
      <c r="X555" s="6">
        <f>[1]Emissions!W971</f>
        <v>2.4684139040000002</v>
      </c>
      <c r="Y555" s="6">
        <f>[1]Emissions!X971</f>
        <v>2.4944815729999998</v>
      </c>
      <c r="Z555" s="6">
        <f>[1]Emissions!Y971</f>
        <v>2.5241721739999998</v>
      </c>
      <c r="AA555" s="6">
        <f>[1]Emissions!Z971</f>
        <v>2.5578325959999999</v>
      </c>
      <c r="AB555" s="6">
        <f>[1]Emissions!AA971</f>
        <v>2.5923287049999999</v>
      </c>
      <c r="AC555" s="6">
        <f>[1]Emissions!AB971</f>
        <v>2.6304280000000002</v>
      </c>
      <c r="AD555" s="6">
        <f>[1]Emissions!AC971</f>
        <v>2.6709313790000002</v>
      </c>
      <c r="AE555" s="6">
        <f>[1]Emissions!AD971</f>
        <v>2.7127794160000001</v>
      </c>
      <c r="AF555" s="6">
        <f>[1]Emissions!AE971</f>
        <v>2.755422963</v>
      </c>
      <c r="AG555" s="6">
        <f>[1]Emissions!AF971</f>
        <v>2.798638993</v>
      </c>
      <c r="AH555" s="6">
        <f>[1]Emissions!AG971</f>
        <v>2.842308869</v>
      </c>
      <c r="AI555" s="6">
        <f>[1]Emissions!AH971</f>
        <v>2.886263225</v>
      </c>
      <c r="AJ555" s="6">
        <f>[1]Emissions!AI971</f>
        <v>2.9302273099999998</v>
      </c>
      <c r="AK555" s="6">
        <f>[1]Emissions!AJ971</f>
        <v>2.9738625700000001</v>
      </c>
      <c r="AL555" s="6">
        <f>[1]Emissions!AK971</f>
        <v>3.0167722100000001</v>
      </c>
    </row>
    <row r="556" spans="2:38" hidden="1" x14ac:dyDescent="0.3">
      <c r="B556" s="16" t="str">
        <f>[1]Emissions!A972</f>
        <v>ems_y_co2_seoi_0</v>
      </c>
      <c r="C556" s="6">
        <f>[1]Emissions!B972</f>
        <v>0</v>
      </c>
      <c r="D556" s="6">
        <f>[1]Emissions!C972</f>
        <v>0</v>
      </c>
      <c r="E556" s="6">
        <f>[1]Emissions!D972</f>
        <v>0</v>
      </c>
      <c r="F556" s="6">
        <f>[1]Emissions!E972</f>
        <v>0</v>
      </c>
      <c r="G556" s="6">
        <f>[1]Emissions!F972</f>
        <v>0</v>
      </c>
      <c r="H556" s="6">
        <f>[1]Emissions!G972</f>
        <v>0</v>
      </c>
      <c r="I556" s="6">
        <f>[1]Emissions!H972</f>
        <v>0</v>
      </c>
      <c r="J556" s="6">
        <f>[1]Emissions!I972</f>
        <v>0</v>
      </c>
      <c r="K556" s="6">
        <f>[1]Emissions!J972</f>
        <v>0</v>
      </c>
      <c r="L556" s="6">
        <f>[1]Emissions!K972</f>
        <v>0</v>
      </c>
      <c r="M556" s="6">
        <f>[1]Emissions!L972</f>
        <v>0</v>
      </c>
      <c r="N556" s="6">
        <f>[1]Emissions!M972</f>
        <v>0</v>
      </c>
      <c r="O556" s="6">
        <f>[1]Emissions!N972</f>
        <v>0</v>
      </c>
      <c r="P556" s="6">
        <f>[1]Emissions!O972</f>
        <v>0</v>
      </c>
      <c r="Q556" s="6">
        <f>[1]Emissions!P972</f>
        <v>0</v>
      </c>
      <c r="R556" s="6">
        <f>[1]Emissions!Q972</f>
        <v>0</v>
      </c>
      <c r="S556" s="6">
        <f>[1]Emissions!R972</f>
        <v>0</v>
      </c>
      <c r="T556" s="6">
        <f>[1]Emissions!S972</f>
        <v>0</v>
      </c>
      <c r="U556" s="6">
        <f>[1]Emissions!T972</f>
        <v>0</v>
      </c>
      <c r="V556" s="6">
        <f>[1]Emissions!U972</f>
        <v>0</v>
      </c>
      <c r="W556" s="6">
        <f>[1]Emissions!V972</f>
        <v>0</v>
      </c>
      <c r="X556" s="6">
        <f>[1]Emissions!W972</f>
        <v>0</v>
      </c>
      <c r="Y556" s="6">
        <f>[1]Emissions!X972</f>
        <v>0</v>
      </c>
      <c r="Z556" s="6">
        <f>[1]Emissions!Y972</f>
        <v>0</v>
      </c>
      <c r="AA556" s="6">
        <f>[1]Emissions!Z972</f>
        <v>0</v>
      </c>
      <c r="AB556" s="6">
        <f>[1]Emissions!AA972</f>
        <v>0</v>
      </c>
      <c r="AC556" s="6">
        <f>[1]Emissions!AB972</f>
        <v>0</v>
      </c>
      <c r="AD556" s="6">
        <f>[1]Emissions!AC972</f>
        <v>0</v>
      </c>
      <c r="AE556" s="6">
        <f>[1]Emissions!AD972</f>
        <v>0</v>
      </c>
      <c r="AF556" s="6">
        <f>[1]Emissions!AE972</f>
        <v>0</v>
      </c>
      <c r="AG556" s="6">
        <f>[1]Emissions!AF972</f>
        <v>0</v>
      </c>
      <c r="AH556" s="6">
        <f>[1]Emissions!AG972</f>
        <v>0</v>
      </c>
      <c r="AI556" s="6">
        <f>[1]Emissions!AH972</f>
        <v>0</v>
      </c>
      <c r="AJ556" s="6">
        <f>[1]Emissions!AI972</f>
        <v>0</v>
      </c>
      <c r="AK556" s="6">
        <f>[1]Emissions!AJ972</f>
        <v>0</v>
      </c>
      <c r="AL556" s="6">
        <f>[1]Emissions!AK972</f>
        <v>0</v>
      </c>
    </row>
    <row r="557" spans="2:38" hidden="1" x14ac:dyDescent="0.3">
      <c r="B557" s="16" t="str">
        <f>[1]Emissions!A973</f>
        <v>ems_mat_co2_seoi_0</v>
      </c>
      <c r="C557" s="6">
        <f>[1]Emissions!B973</f>
        <v>0.1231719706</v>
      </c>
      <c r="D557" s="6">
        <f>[1]Emissions!C973</f>
        <v>0.1239788241</v>
      </c>
      <c r="E557" s="6">
        <f>[1]Emissions!D973</f>
        <v>0.1246357315</v>
      </c>
      <c r="F557" s="6">
        <f>[1]Emissions!E973</f>
        <v>0.12553690419999999</v>
      </c>
      <c r="G557" s="6">
        <f>[1]Emissions!F973</f>
        <v>0.1269027871</v>
      </c>
      <c r="H557" s="6">
        <f>[1]Emissions!G973</f>
        <v>0.1288498686</v>
      </c>
      <c r="I557" s="6">
        <f>[1]Emissions!H973</f>
        <v>0.13133263119999999</v>
      </c>
      <c r="J557" s="6">
        <f>[1]Emissions!I973</f>
        <v>0.13432064760000001</v>
      </c>
      <c r="K557" s="6">
        <f>[1]Emissions!J973</f>
        <v>0.13768941400000001</v>
      </c>
      <c r="L557" s="6">
        <f>[1]Emissions!K973</f>
        <v>0.1412635683</v>
      </c>
      <c r="M557" s="6">
        <f>[1]Emissions!L973</f>
        <v>0.14493731630000001</v>
      </c>
      <c r="N557" s="6">
        <f>[1]Emissions!M973</f>
        <v>0.14845732140000001</v>
      </c>
      <c r="O557" s="6">
        <f>[1]Emissions!N973</f>
        <v>0.15174103780000001</v>
      </c>
      <c r="P557" s="6">
        <f>[1]Emissions!O973</f>
        <v>0.15473374879999999</v>
      </c>
      <c r="Q557" s="6">
        <f>[1]Emissions!P973</f>
        <v>0.15738925500000001</v>
      </c>
      <c r="R557" s="6">
        <f>[1]Emissions!Q973</f>
        <v>0.1596789488</v>
      </c>
      <c r="S557" s="6">
        <f>[1]Emissions!R973</f>
        <v>0.16162283599999999</v>
      </c>
      <c r="T557" s="6">
        <f>[1]Emissions!S973</f>
        <v>0.1632861685</v>
      </c>
      <c r="U557" s="6">
        <f>[1]Emissions!T973</f>
        <v>0.1647689956</v>
      </c>
      <c r="V557" s="6">
        <f>[1]Emissions!U973</f>
        <v>0.16619015500000001</v>
      </c>
      <c r="W557" s="6">
        <f>[1]Emissions!V973</f>
        <v>0.1676041056</v>
      </c>
      <c r="X557" s="6">
        <f>[1]Emissions!W973</f>
        <v>0.1691781769</v>
      </c>
      <c r="Y557" s="6">
        <f>[1]Emissions!X973</f>
        <v>0.1709647819</v>
      </c>
      <c r="Z557" s="6">
        <f>[1]Emissions!Y973</f>
        <v>0.1729996926</v>
      </c>
      <c r="AA557" s="6">
        <f>[1]Emissions!Z973</f>
        <v>0.17530668369999999</v>
      </c>
      <c r="AB557" s="6">
        <f>[1]Emissions!AA973</f>
        <v>0.1776709504</v>
      </c>
      <c r="AC557" s="6">
        <f>[1]Emissions!AB973</f>
        <v>0.1802821694</v>
      </c>
      <c r="AD557" s="6">
        <f>[1]Emissions!AC973</f>
        <v>0.18305815759999999</v>
      </c>
      <c r="AE557" s="6">
        <f>[1]Emissions!AD973</f>
        <v>0.1859263048</v>
      </c>
      <c r="AF557" s="6">
        <f>[1]Emissions!AE973</f>
        <v>0.18884897410000001</v>
      </c>
      <c r="AG557" s="6">
        <f>[1]Emissions!AF973</f>
        <v>0.1918108798</v>
      </c>
      <c r="AH557" s="6">
        <f>[1]Emissions!AG973</f>
        <v>0.1948038909</v>
      </c>
      <c r="AI557" s="6">
        <f>[1]Emissions!AH973</f>
        <v>0.1978163993</v>
      </c>
      <c r="AJ557" s="6">
        <f>[1]Emissions!AI973</f>
        <v>0.2008295746</v>
      </c>
      <c r="AK557" s="6">
        <f>[1]Emissions!AJ973</f>
        <v>0.20382021319999999</v>
      </c>
      <c r="AL557" s="6">
        <f>[1]Emissions!AK973</f>
        <v>0.2067611197</v>
      </c>
    </row>
    <row r="558" spans="2:38" hidden="1" x14ac:dyDescent="0.3">
      <c r="B558" s="16" t="str">
        <f>[1]Emissions!A974</f>
        <v>ems_ci_co2_sega_0</v>
      </c>
      <c r="C558" s="6">
        <f>[1]Emissions!B974</f>
        <v>4.553369902</v>
      </c>
      <c r="D558" s="6">
        <f>[1]Emissions!C974</f>
        <v>4.5831973250000004</v>
      </c>
      <c r="E558" s="6">
        <f>[1]Emissions!D974</f>
        <v>4.6074816040000002</v>
      </c>
      <c r="F558" s="6">
        <f>[1]Emissions!E974</f>
        <v>4.6407957819999996</v>
      </c>
      <c r="G558" s="6">
        <f>[1]Emissions!F974</f>
        <v>4.691289169</v>
      </c>
      <c r="H558" s="6">
        <f>[1]Emissions!G974</f>
        <v>4.763268064</v>
      </c>
      <c r="I558" s="6">
        <f>[1]Emissions!H974</f>
        <v>4.8550497970000004</v>
      </c>
      <c r="J558" s="6">
        <f>[1]Emissions!I974</f>
        <v>4.9655095390000001</v>
      </c>
      <c r="K558" s="6">
        <f>[1]Emissions!J974</f>
        <v>5.0900446869999998</v>
      </c>
      <c r="L558" s="6">
        <f>[1]Emissions!K974</f>
        <v>5.2221725250000004</v>
      </c>
      <c r="M558" s="6">
        <f>[1]Emissions!L974</f>
        <v>5.3579821069999998</v>
      </c>
      <c r="N558" s="6">
        <f>[1]Emissions!M974</f>
        <v>5.4881081829999996</v>
      </c>
      <c r="O558" s="6">
        <f>[1]Emissions!N974</f>
        <v>5.6094992369999996</v>
      </c>
      <c r="P558" s="6">
        <f>[1]Emissions!O974</f>
        <v>5.7201325250000004</v>
      </c>
      <c r="Q558" s="6">
        <f>[1]Emissions!P974</f>
        <v>5.8183001670000003</v>
      </c>
      <c r="R558" s="6">
        <f>[1]Emissions!Q974</f>
        <v>5.9029446099999996</v>
      </c>
      <c r="S558" s="6">
        <f>[1]Emissions!R974</f>
        <v>5.9748054149999996</v>
      </c>
      <c r="T558" s="6">
        <f>[1]Emissions!S974</f>
        <v>6.036294797</v>
      </c>
      <c r="U558" s="6">
        <f>[1]Emissions!T974</f>
        <v>6.0911113270000001</v>
      </c>
      <c r="V558" s="6">
        <f>[1]Emissions!U974</f>
        <v>6.1436481550000002</v>
      </c>
      <c r="W558" s="6">
        <f>[1]Emissions!V974</f>
        <v>6.1959184890000003</v>
      </c>
      <c r="X558" s="6">
        <f>[1]Emissions!W974</f>
        <v>6.2541080979999997</v>
      </c>
      <c r="Y558" s="6">
        <f>[1]Emissions!X974</f>
        <v>6.3201545660000003</v>
      </c>
      <c r="Z558" s="6">
        <f>[1]Emissions!Y974</f>
        <v>6.3953802929999997</v>
      </c>
      <c r="AA558" s="6">
        <f>[1]Emissions!Z974</f>
        <v>6.4806641740000002</v>
      </c>
      <c r="AB558" s="6">
        <f>[1]Emissions!AA974</f>
        <v>6.5680653979999999</v>
      </c>
      <c r="AC558" s="6">
        <f>[1]Emissions!AB974</f>
        <v>6.6645958509999996</v>
      </c>
      <c r="AD558" s="6">
        <f>[1]Emissions!AC974</f>
        <v>6.7672174209999998</v>
      </c>
      <c r="AE558" s="6">
        <f>[1]Emissions!AD974</f>
        <v>6.8732458899999997</v>
      </c>
      <c r="AF558" s="6">
        <f>[1]Emissions!AE974</f>
        <v>6.9812899069999999</v>
      </c>
      <c r="AG558" s="6">
        <f>[1]Emissions!AF974</f>
        <v>7.0907843980000003</v>
      </c>
      <c r="AH558" s="6">
        <f>[1]Emissions!AG974</f>
        <v>7.2014287799999996</v>
      </c>
      <c r="AI558" s="6">
        <f>[1]Emissions!AH974</f>
        <v>7.3127939340000001</v>
      </c>
      <c r="AJ558" s="6">
        <f>[1]Emissions!AI974</f>
        <v>7.424183738</v>
      </c>
      <c r="AK558" s="6">
        <f>[1]Emissions!AJ974</f>
        <v>7.5347404129999997</v>
      </c>
      <c r="AL558" s="6">
        <f>[1]Emissions!AK974</f>
        <v>7.6434586160000002</v>
      </c>
    </row>
    <row r="559" spans="2:38" hidden="1" x14ac:dyDescent="0.3">
      <c r="B559" s="16" t="str">
        <f>[1]Emissions!A975</f>
        <v>ems_y_co2_sega_0</v>
      </c>
      <c r="C559" s="6">
        <f>[1]Emissions!B975</f>
        <v>0</v>
      </c>
      <c r="D559" s="6">
        <f>[1]Emissions!C975</f>
        <v>0</v>
      </c>
      <c r="E559" s="6">
        <f>[1]Emissions!D975</f>
        <v>0</v>
      </c>
      <c r="F559" s="6">
        <f>[1]Emissions!E975</f>
        <v>0</v>
      </c>
      <c r="G559" s="6">
        <f>[1]Emissions!F975</f>
        <v>0</v>
      </c>
      <c r="H559" s="6">
        <f>[1]Emissions!G975</f>
        <v>0</v>
      </c>
      <c r="I559" s="6">
        <f>[1]Emissions!H975</f>
        <v>0</v>
      </c>
      <c r="J559" s="6">
        <f>[1]Emissions!I975</f>
        <v>0</v>
      </c>
      <c r="K559" s="6">
        <f>[1]Emissions!J975</f>
        <v>0</v>
      </c>
      <c r="L559" s="6">
        <f>[1]Emissions!K975</f>
        <v>0</v>
      </c>
      <c r="M559" s="6">
        <f>[1]Emissions!L975</f>
        <v>0</v>
      </c>
      <c r="N559" s="6">
        <f>[1]Emissions!M975</f>
        <v>0</v>
      </c>
      <c r="O559" s="6">
        <f>[1]Emissions!N975</f>
        <v>0</v>
      </c>
      <c r="P559" s="6">
        <f>[1]Emissions!O975</f>
        <v>0</v>
      </c>
      <c r="Q559" s="6">
        <f>[1]Emissions!P975</f>
        <v>0</v>
      </c>
      <c r="R559" s="6">
        <f>[1]Emissions!Q975</f>
        <v>0</v>
      </c>
      <c r="S559" s="6">
        <f>[1]Emissions!R975</f>
        <v>0</v>
      </c>
      <c r="T559" s="6">
        <f>[1]Emissions!S975</f>
        <v>0</v>
      </c>
      <c r="U559" s="6">
        <f>[1]Emissions!T975</f>
        <v>0</v>
      </c>
      <c r="V559" s="6">
        <f>[1]Emissions!U975</f>
        <v>0</v>
      </c>
      <c r="W559" s="6">
        <f>[1]Emissions!V975</f>
        <v>0</v>
      </c>
      <c r="X559" s="6">
        <f>[1]Emissions!W975</f>
        <v>0</v>
      </c>
      <c r="Y559" s="6">
        <f>[1]Emissions!X975</f>
        <v>0</v>
      </c>
      <c r="Z559" s="6">
        <f>[1]Emissions!Y975</f>
        <v>0</v>
      </c>
      <c r="AA559" s="6">
        <f>[1]Emissions!Z975</f>
        <v>0</v>
      </c>
      <c r="AB559" s="6">
        <f>[1]Emissions!AA975</f>
        <v>0</v>
      </c>
      <c r="AC559" s="6">
        <f>[1]Emissions!AB975</f>
        <v>0</v>
      </c>
      <c r="AD559" s="6">
        <f>[1]Emissions!AC975</f>
        <v>0</v>
      </c>
      <c r="AE559" s="6">
        <f>[1]Emissions!AD975</f>
        <v>0</v>
      </c>
      <c r="AF559" s="6">
        <f>[1]Emissions!AE975</f>
        <v>0</v>
      </c>
      <c r="AG559" s="6">
        <f>[1]Emissions!AF975</f>
        <v>0</v>
      </c>
      <c r="AH559" s="6">
        <f>[1]Emissions!AG975</f>
        <v>0</v>
      </c>
      <c r="AI559" s="6">
        <f>[1]Emissions!AH975</f>
        <v>0</v>
      </c>
      <c r="AJ559" s="6">
        <f>[1]Emissions!AI975</f>
        <v>0</v>
      </c>
      <c r="AK559" s="6">
        <f>[1]Emissions!AJ975</f>
        <v>0</v>
      </c>
      <c r="AL559" s="6">
        <f>[1]Emissions!AK975</f>
        <v>0</v>
      </c>
    </row>
    <row r="560" spans="2:38" hidden="1" x14ac:dyDescent="0.3">
      <c r="B560" s="16" t="str">
        <f>[1]Emissions!A976</f>
        <v>ems_mat_co2_sega_0</v>
      </c>
      <c r="C560" s="6">
        <f>[1]Emissions!B976</f>
        <v>0.31207522269999999</v>
      </c>
      <c r="D560" s="6">
        <f>[1]Emissions!C976</f>
        <v>0.31411951069999999</v>
      </c>
      <c r="E560" s="6">
        <f>[1]Emissions!D976</f>
        <v>0.31578388709999999</v>
      </c>
      <c r="F560" s="6">
        <f>[1]Emissions!E976</f>
        <v>0.31806714749999998</v>
      </c>
      <c r="G560" s="6">
        <f>[1]Emissions!F976</f>
        <v>0.32152782279999997</v>
      </c>
      <c r="H560" s="6">
        <f>[1]Emissions!G976</f>
        <v>0.32646105460000002</v>
      </c>
      <c r="I560" s="6">
        <f>[1]Emissions!H976</f>
        <v>0.33275151739999997</v>
      </c>
      <c r="J560" s="6">
        <f>[1]Emissions!I976</f>
        <v>0.34032211880000002</v>
      </c>
      <c r="K560" s="6">
        <f>[1]Emissions!J976</f>
        <v>0.34885740910000002</v>
      </c>
      <c r="L560" s="6">
        <f>[1]Emissions!K976</f>
        <v>0.35791308119999998</v>
      </c>
      <c r="M560" s="6">
        <f>[1]Emissions!L976</f>
        <v>0.36722108959999999</v>
      </c>
      <c r="N560" s="6">
        <f>[1]Emissions!M976</f>
        <v>0.37613956659999997</v>
      </c>
      <c r="O560" s="6">
        <f>[1]Emissions!N976</f>
        <v>0.38445936949999998</v>
      </c>
      <c r="P560" s="6">
        <f>[1]Emissions!O976</f>
        <v>0.39204186540000002</v>
      </c>
      <c r="Q560" s="6">
        <f>[1]Emissions!P976</f>
        <v>0.39877000070000002</v>
      </c>
      <c r="R560" s="6">
        <f>[1]Emissions!Q976</f>
        <v>0.40457129380000001</v>
      </c>
      <c r="S560" s="6">
        <f>[1]Emissions!R976</f>
        <v>0.40949643229999999</v>
      </c>
      <c r="T560" s="6">
        <f>[1]Emissions!S976</f>
        <v>0.4137107424</v>
      </c>
      <c r="U560" s="6">
        <f>[1]Emissions!T976</f>
        <v>0.41746771389999998</v>
      </c>
      <c r="V560" s="6">
        <f>[1]Emissions!U976</f>
        <v>0.42106844100000002</v>
      </c>
      <c r="W560" s="6">
        <f>[1]Emissions!V976</f>
        <v>0.4246509034</v>
      </c>
      <c r="X560" s="6">
        <f>[1]Emissions!W976</f>
        <v>0.42863905619999998</v>
      </c>
      <c r="Y560" s="6">
        <f>[1]Emissions!X976</f>
        <v>0.4331656961</v>
      </c>
      <c r="Z560" s="6">
        <f>[1]Emissions!Y976</f>
        <v>0.43832145680000001</v>
      </c>
      <c r="AA560" s="6">
        <f>[1]Emissions!Z976</f>
        <v>0.44416657510000002</v>
      </c>
      <c r="AB560" s="6">
        <f>[1]Emissions!AA976</f>
        <v>0.45015681029999999</v>
      </c>
      <c r="AC560" s="6">
        <f>[1]Emissions!AB976</f>
        <v>0.4567727372</v>
      </c>
      <c r="AD560" s="6">
        <f>[1]Emissions!AC976</f>
        <v>0.4638061322</v>
      </c>
      <c r="AE560" s="6">
        <f>[1]Emissions!AD976</f>
        <v>0.47107302649999999</v>
      </c>
      <c r="AF560" s="6">
        <f>[1]Emissions!AE976</f>
        <v>0.47847806079999999</v>
      </c>
      <c r="AG560" s="6">
        <f>[1]Emissions!AF976</f>
        <v>0.48598250659999997</v>
      </c>
      <c r="AH560" s="6">
        <f>[1]Emissions!AG976</f>
        <v>0.49356576270000002</v>
      </c>
      <c r="AI560" s="6">
        <f>[1]Emissions!AH976</f>
        <v>0.50119841840000001</v>
      </c>
      <c r="AJ560" s="6">
        <f>[1]Emissions!AI976</f>
        <v>0.50883276359999996</v>
      </c>
      <c r="AK560" s="6">
        <f>[1]Emissions!AJ976</f>
        <v>0.51641000859999997</v>
      </c>
      <c r="AL560" s="6">
        <f>[1]Emissions!AK976</f>
        <v>0.52386124970000003</v>
      </c>
    </row>
    <row r="561" spans="1:38" hidden="1" x14ac:dyDescent="0.3">
      <c r="B561" s="16" t="str">
        <f>[1]Emissions!A977</f>
        <v>ems_ci_co2_seco_0</v>
      </c>
      <c r="C561" s="6">
        <f>[1]Emissions!B977</f>
        <v>4.5420397100000001</v>
      </c>
      <c r="D561" s="6">
        <f>[1]Emissions!C977</f>
        <v>4.5717929120000003</v>
      </c>
      <c r="E561" s="6">
        <f>[1]Emissions!D977</f>
        <v>4.5960167590000003</v>
      </c>
      <c r="F561" s="6">
        <f>[1]Emissions!E977</f>
        <v>4.6292480349999998</v>
      </c>
      <c r="G561" s="6">
        <f>[1]Emissions!F977</f>
        <v>4.6796157709999999</v>
      </c>
      <c r="H561" s="6">
        <f>[1]Emissions!G977</f>
        <v>4.7514155530000002</v>
      </c>
      <c r="I561" s="6">
        <f>[1]Emissions!H977</f>
        <v>4.8429688970000004</v>
      </c>
      <c r="J561" s="6">
        <f>[1]Emissions!I977</f>
        <v>4.9531537749999996</v>
      </c>
      <c r="K561" s="6">
        <f>[1]Emissions!J977</f>
        <v>5.077379037</v>
      </c>
      <c r="L561" s="6">
        <f>[1]Emissions!K977</f>
        <v>5.2091780969999997</v>
      </c>
      <c r="M561" s="6">
        <f>[1]Emissions!L977</f>
        <v>5.3446497400000004</v>
      </c>
      <c r="N561" s="6">
        <f>[1]Emissions!M977</f>
        <v>5.4744520210000003</v>
      </c>
      <c r="O561" s="6">
        <f>[1]Emissions!N977</f>
        <v>5.5955410160000003</v>
      </c>
      <c r="P561" s="6">
        <f>[1]Emissions!O977</f>
        <v>5.7058990139999999</v>
      </c>
      <c r="Q561" s="6">
        <f>[1]Emissions!P977</f>
        <v>5.8038223860000002</v>
      </c>
      <c r="R561" s="6">
        <f>[1]Emissions!Q977</f>
        <v>5.8882562089999997</v>
      </c>
      <c r="S561" s="6">
        <f>[1]Emissions!R977</f>
        <v>5.9599382050000003</v>
      </c>
      <c r="T561" s="6">
        <f>[1]Emissions!S977</f>
        <v>6.0212745859999997</v>
      </c>
      <c r="U561" s="6">
        <f>[1]Emissions!T977</f>
        <v>6.0759547180000002</v>
      </c>
      <c r="V561" s="6">
        <f>[1]Emissions!U977</f>
        <v>6.1283608210000002</v>
      </c>
      <c r="W561" s="6">
        <f>[1]Emissions!V977</f>
        <v>6.1805010930000002</v>
      </c>
      <c r="X561" s="6">
        <f>[1]Emissions!W977</f>
        <v>6.23854591</v>
      </c>
      <c r="Y561" s="6">
        <f>[1]Emissions!X977</f>
        <v>6.3044280349999999</v>
      </c>
      <c r="Z561" s="6">
        <f>[1]Emissions!Y977</f>
        <v>6.3794665779999997</v>
      </c>
      <c r="AA561" s="6">
        <f>[1]Emissions!Z977</f>
        <v>6.4645382470000001</v>
      </c>
      <c r="AB561" s="6">
        <f>[1]Emissions!AA977</f>
        <v>6.5517219899999999</v>
      </c>
      <c r="AC561" s="6">
        <f>[1]Emissions!AB977</f>
        <v>6.6480122460000004</v>
      </c>
      <c r="AD561" s="6">
        <f>[1]Emissions!AC977</f>
        <v>6.7503784610000004</v>
      </c>
      <c r="AE561" s="6">
        <f>[1]Emissions!AD977</f>
        <v>6.8561430989999996</v>
      </c>
      <c r="AF561" s="6">
        <f>[1]Emissions!AE977</f>
        <v>6.9639182679999996</v>
      </c>
      <c r="AG561" s="6">
        <f>[1]Emissions!AF977</f>
        <v>7.0731403019999997</v>
      </c>
      <c r="AH561" s="6">
        <f>[1]Emissions!AG977</f>
        <v>7.1835093649999999</v>
      </c>
      <c r="AI561" s="6">
        <f>[1]Emissions!AH977</f>
        <v>7.2945974070000004</v>
      </c>
      <c r="AJ561" s="6">
        <f>[1]Emissions!AI977</f>
        <v>7.4057100379999996</v>
      </c>
      <c r="AK561" s="6">
        <f>[1]Emissions!AJ977</f>
        <v>7.5159916139999998</v>
      </c>
      <c r="AL561" s="6">
        <f>[1]Emissions!AK977</f>
        <v>7.6244392909999998</v>
      </c>
    </row>
    <row r="562" spans="1:38" hidden="1" x14ac:dyDescent="0.3">
      <c r="B562" s="16" t="str">
        <f>[1]Emissions!A978</f>
        <v>ems_y_co2_seco_0</v>
      </c>
      <c r="C562" s="6">
        <f>[1]Emissions!B978</f>
        <v>0</v>
      </c>
      <c r="D562" s="6">
        <f>[1]Emissions!C978</f>
        <v>0</v>
      </c>
      <c r="E562" s="6">
        <f>[1]Emissions!D978</f>
        <v>0</v>
      </c>
      <c r="F562" s="6">
        <f>[1]Emissions!E978</f>
        <v>0</v>
      </c>
      <c r="G562" s="6">
        <f>[1]Emissions!F978</f>
        <v>0</v>
      </c>
      <c r="H562" s="6">
        <f>[1]Emissions!G978</f>
        <v>0</v>
      </c>
      <c r="I562" s="6">
        <f>[1]Emissions!H978</f>
        <v>0</v>
      </c>
      <c r="J562" s="6">
        <f>[1]Emissions!I978</f>
        <v>0</v>
      </c>
      <c r="K562" s="6">
        <f>[1]Emissions!J978</f>
        <v>0</v>
      </c>
      <c r="L562" s="6">
        <f>[1]Emissions!K978</f>
        <v>0</v>
      </c>
      <c r="M562" s="6">
        <f>[1]Emissions!L978</f>
        <v>0</v>
      </c>
      <c r="N562" s="6">
        <f>[1]Emissions!M978</f>
        <v>0</v>
      </c>
      <c r="O562" s="6">
        <f>[1]Emissions!N978</f>
        <v>0</v>
      </c>
      <c r="P562" s="6">
        <f>[1]Emissions!O978</f>
        <v>0</v>
      </c>
      <c r="Q562" s="6">
        <f>[1]Emissions!P978</f>
        <v>0</v>
      </c>
      <c r="R562" s="6">
        <f>[1]Emissions!Q978</f>
        <v>0</v>
      </c>
      <c r="S562" s="6">
        <f>[1]Emissions!R978</f>
        <v>0</v>
      </c>
      <c r="T562" s="6">
        <f>[1]Emissions!S978</f>
        <v>0</v>
      </c>
      <c r="U562" s="6">
        <f>[1]Emissions!T978</f>
        <v>0</v>
      </c>
      <c r="V562" s="6">
        <f>[1]Emissions!U978</f>
        <v>0</v>
      </c>
      <c r="W562" s="6">
        <f>[1]Emissions!V978</f>
        <v>0</v>
      </c>
      <c r="X562" s="6">
        <f>[1]Emissions!W978</f>
        <v>0</v>
      </c>
      <c r="Y562" s="6">
        <f>[1]Emissions!X978</f>
        <v>0</v>
      </c>
      <c r="Z562" s="6">
        <f>[1]Emissions!Y978</f>
        <v>0</v>
      </c>
      <c r="AA562" s="6">
        <f>[1]Emissions!Z978</f>
        <v>0</v>
      </c>
      <c r="AB562" s="6">
        <f>[1]Emissions!AA978</f>
        <v>0</v>
      </c>
      <c r="AC562" s="6">
        <f>[1]Emissions!AB978</f>
        <v>0</v>
      </c>
      <c r="AD562" s="6">
        <f>[1]Emissions!AC978</f>
        <v>0</v>
      </c>
      <c r="AE562" s="6">
        <f>[1]Emissions!AD978</f>
        <v>0</v>
      </c>
      <c r="AF562" s="6">
        <f>[1]Emissions!AE978</f>
        <v>0</v>
      </c>
      <c r="AG562" s="6">
        <f>[1]Emissions!AF978</f>
        <v>0</v>
      </c>
      <c r="AH562" s="6">
        <f>[1]Emissions!AG978</f>
        <v>0</v>
      </c>
      <c r="AI562" s="6">
        <f>[1]Emissions!AH978</f>
        <v>0</v>
      </c>
      <c r="AJ562" s="6">
        <f>[1]Emissions!AI978</f>
        <v>0</v>
      </c>
      <c r="AK562" s="6">
        <f>[1]Emissions!AJ978</f>
        <v>0</v>
      </c>
      <c r="AL562" s="6">
        <f>[1]Emissions!AK978</f>
        <v>0</v>
      </c>
    </row>
    <row r="563" spans="1:38" hidden="1" x14ac:dyDescent="0.3">
      <c r="B563" s="16" t="str">
        <f>[1]Emissions!A979</f>
        <v>ems_mat_co2_seco_0</v>
      </c>
      <c r="C563" s="6">
        <f>[1]Emissions!B979</f>
        <v>0.31129868309999997</v>
      </c>
      <c r="D563" s="6">
        <f>[1]Emissions!C979</f>
        <v>0.31333788429999998</v>
      </c>
      <c r="E563" s="6">
        <f>[1]Emissions!D979</f>
        <v>0.31499811919999998</v>
      </c>
      <c r="F563" s="6">
        <f>[1]Emissions!E979</f>
        <v>0.3172756981</v>
      </c>
      <c r="G563" s="6">
        <f>[1]Emissions!F979</f>
        <v>0.32072776219999999</v>
      </c>
      <c r="H563" s="6">
        <f>[1]Emissions!G979</f>
        <v>0.3256487186</v>
      </c>
      <c r="I563" s="6">
        <f>[1]Emissions!H979</f>
        <v>0.33192352879999998</v>
      </c>
      <c r="J563" s="6">
        <f>[1]Emissions!I979</f>
        <v>0.3394752922</v>
      </c>
      <c r="K563" s="6">
        <f>[1]Emissions!J979</f>
        <v>0.34798934409999999</v>
      </c>
      <c r="L563" s="6">
        <f>[1]Emissions!K979</f>
        <v>0.35702248279999999</v>
      </c>
      <c r="M563" s="6">
        <f>[1]Emissions!L979</f>
        <v>0.36630733009999999</v>
      </c>
      <c r="N563" s="6">
        <f>[1]Emissions!M979</f>
        <v>0.3752036151</v>
      </c>
      <c r="O563" s="6">
        <f>[1]Emissions!N979</f>
        <v>0.3835027158</v>
      </c>
      <c r="P563" s="6">
        <f>[1]Emissions!O979</f>
        <v>0.39106634400000001</v>
      </c>
      <c r="Q563" s="6">
        <f>[1]Emissions!P979</f>
        <v>0.39777773770000002</v>
      </c>
      <c r="R563" s="6">
        <f>[1]Emissions!Q979</f>
        <v>0.4035645954</v>
      </c>
      <c r="S563" s="6">
        <f>[1]Emissions!R979</f>
        <v>0.4084774786</v>
      </c>
      <c r="T563" s="6">
        <f>[1]Emissions!S979</f>
        <v>0.41268130219999999</v>
      </c>
      <c r="U563" s="6">
        <f>[1]Emissions!T979</f>
        <v>0.41642892520000002</v>
      </c>
      <c r="V563" s="6">
        <f>[1]Emissions!U979</f>
        <v>0.42002069260000002</v>
      </c>
      <c r="W563" s="6">
        <f>[1]Emissions!V979</f>
        <v>0.42359424070000001</v>
      </c>
      <c r="X563" s="6">
        <f>[1]Emissions!W979</f>
        <v>0.42757246980000002</v>
      </c>
      <c r="Y563" s="6">
        <f>[1]Emissions!X979</f>
        <v>0.432087846</v>
      </c>
      <c r="Z563" s="6">
        <f>[1]Emissions!Y979</f>
        <v>0.4372307775</v>
      </c>
      <c r="AA563" s="6">
        <f>[1]Emissions!Z979</f>
        <v>0.44306135140000003</v>
      </c>
      <c r="AB563" s="6">
        <f>[1]Emissions!AA979</f>
        <v>0.44903668099999999</v>
      </c>
      <c r="AC563" s="6">
        <f>[1]Emissions!AB979</f>
        <v>0.45563614549999998</v>
      </c>
      <c r="AD563" s="6">
        <f>[1]Emissions!AC979</f>
        <v>0.46265203919999998</v>
      </c>
      <c r="AE563" s="6">
        <f>[1]Emissions!AD979</f>
        <v>0.46990085129999998</v>
      </c>
      <c r="AF563" s="6">
        <f>[1]Emissions!AE979</f>
        <v>0.47728745960000002</v>
      </c>
      <c r="AG563" s="6">
        <f>[1]Emissions!AF979</f>
        <v>0.484773232</v>
      </c>
      <c r="AH563" s="6">
        <f>[1]Emissions!AG979</f>
        <v>0.49233761850000002</v>
      </c>
      <c r="AI563" s="6">
        <f>[1]Emissions!AH979</f>
        <v>0.49995128189999999</v>
      </c>
      <c r="AJ563" s="6">
        <f>[1]Emissions!AI979</f>
        <v>0.50756663049999995</v>
      </c>
      <c r="AK563" s="6">
        <f>[1]Emissions!AJ979</f>
        <v>0.51512502090000001</v>
      </c>
      <c r="AL563" s="6">
        <f>[1]Emissions!AK979</f>
        <v>0.52255772099999998</v>
      </c>
    </row>
    <row r="564" spans="1:38" hidden="1" x14ac:dyDescent="0.3">
      <c r="B564" s="16" t="str">
        <f>[1]Emissions!A980</f>
        <v>ems_ci_co2_sech_0</v>
      </c>
      <c r="C564" s="6">
        <f>[1]Emissions!B980</f>
        <v>2.6056617270000002</v>
      </c>
      <c r="D564" s="6">
        <f>[1]Emissions!C980</f>
        <v>2.630545074</v>
      </c>
      <c r="E564" s="6">
        <f>[1]Emissions!D980</f>
        <v>2.6557626760000002</v>
      </c>
      <c r="F564" s="6">
        <f>[1]Emissions!E980</f>
        <v>2.6858470919999999</v>
      </c>
      <c r="G564" s="6">
        <f>[1]Emissions!F980</f>
        <v>2.723039789</v>
      </c>
      <c r="H564" s="6">
        <f>[1]Emissions!G980</f>
        <v>2.768383085</v>
      </c>
      <c r="I564" s="6">
        <f>[1]Emissions!H980</f>
        <v>2.819990319</v>
      </c>
      <c r="J564" s="6">
        <f>[1]Emissions!I980</f>
        <v>2.8774400180000002</v>
      </c>
      <c r="K564" s="6">
        <f>[1]Emissions!J980</f>
        <v>2.9390495159999999</v>
      </c>
      <c r="L564" s="6">
        <f>[1]Emissions!K980</f>
        <v>3.0024222279999999</v>
      </c>
      <c r="M564" s="6">
        <f>[1]Emissions!L980</f>
        <v>3.0674850380000001</v>
      </c>
      <c r="N564" s="6">
        <f>[1]Emissions!M980</f>
        <v>3.129462346</v>
      </c>
      <c r="O564" s="6">
        <f>[1]Emissions!N980</f>
        <v>3.187585855</v>
      </c>
      <c r="P564" s="6">
        <f>[1]Emissions!O980</f>
        <v>3.2416979719999999</v>
      </c>
      <c r="Q564" s="6">
        <f>[1]Emissions!P980</f>
        <v>3.2913944759999998</v>
      </c>
      <c r="R564" s="6">
        <f>[1]Emissions!Q980</f>
        <v>3.336198692</v>
      </c>
      <c r="S564" s="6">
        <f>[1]Emissions!R980</f>
        <v>3.376380916</v>
      </c>
      <c r="T564" s="6">
        <f>[1]Emissions!S980</f>
        <v>3.412892952</v>
      </c>
      <c r="U564" s="6">
        <f>[1]Emissions!T980</f>
        <v>3.447186458</v>
      </c>
      <c r="V564" s="6">
        <f>[1]Emissions!U980</f>
        <v>3.4809590689999999</v>
      </c>
      <c r="W564" s="6">
        <f>[1]Emissions!V980</f>
        <v>3.5141496569999999</v>
      </c>
      <c r="X564" s="6">
        <f>[1]Emissions!W980</f>
        <v>3.5498684749999998</v>
      </c>
      <c r="Y564" s="6">
        <f>[1]Emissions!X980</f>
        <v>3.5886534179999998</v>
      </c>
      <c r="Z564" s="6">
        <f>[1]Emissions!Y980</f>
        <v>3.630668386</v>
      </c>
      <c r="AA564" s="6">
        <f>[1]Emissions!Z980</f>
        <v>3.6760654119999998</v>
      </c>
      <c r="AB564" s="6">
        <f>[1]Emissions!AA980</f>
        <v>3.7193647159999998</v>
      </c>
      <c r="AC564" s="6">
        <f>[1]Emissions!AB980</f>
        <v>3.76535485</v>
      </c>
      <c r="AD564" s="6">
        <f>[1]Emissions!AC980</f>
        <v>3.8133152689999998</v>
      </c>
      <c r="AE564" s="6">
        <f>[1]Emissions!AD980</f>
        <v>3.862217308</v>
      </c>
      <c r="AF564" s="6">
        <f>[1]Emissions!AE980</f>
        <v>3.911611637</v>
      </c>
      <c r="AG564" s="6">
        <f>[1]Emissions!AF980</f>
        <v>3.9614180210000001</v>
      </c>
      <c r="AH564" s="6">
        <f>[1]Emissions!AG980</f>
        <v>4.0116493330000003</v>
      </c>
      <c r="AI564" s="6">
        <f>[1]Emissions!AH980</f>
        <v>4.0622315650000003</v>
      </c>
      <c r="AJ564" s="6">
        <f>[1]Emissions!AI980</f>
        <v>4.1129469319999998</v>
      </c>
      <c r="AK564" s="6">
        <f>[1]Emissions!AJ980</f>
        <v>4.1634847380000002</v>
      </c>
      <c r="AL564" s="6">
        <f>[1]Emissions!AK980</f>
        <v>4.2133421770000004</v>
      </c>
    </row>
    <row r="565" spans="1:38" hidden="1" x14ac:dyDescent="0.3">
      <c r="B565" s="16" t="str">
        <f>[1]Emissions!A981</f>
        <v>ems_y_co2_sech_0</v>
      </c>
      <c r="C565" s="6">
        <f>[1]Emissions!B981</f>
        <v>0</v>
      </c>
      <c r="D565" s="6">
        <f>[1]Emissions!C981</f>
        <v>0</v>
      </c>
      <c r="E565" s="6">
        <f>[1]Emissions!D981</f>
        <v>0</v>
      </c>
      <c r="F565" s="6">
        <f>[1]Emissions!E981</f>
        <v>0</v>
      </c>
      <c r="G565" s="6">
        <f>[1]Emissions!F981</f>
        <v>0</v>
      </c>
      <c r="H565" s="6">
        <f>[1]Emissions!G981</f>
        <v>0</v>
      </c>
      <c r="I565" s="6">
        <f>[1]Emissions!H981</f>
        <v>0</v>
      </c>
      <c r="J565" s="6">
        <f>[1]Emissions!I981</f>
        <v>0</v>
      </c>
      <c r="K565" s="6">
        <f>[1]Emissions!J981</f>
        <v>0</v>
      </c>
      <c r="L565" s="6">
        <f>[1]Emissions!K981</f>
        <v>0</v>
      </c>
      <c r="M565" s="6">
        <f>[1]Emissions!L981</f>
        <v>0</v>
      </c>
      <c r="N565" s="6">
        <f>[1]Emissions!M981</f>
        <v>0</v>
      </c>
      <c r="O565" s="6">
        <f>[1]Emissions!N981</f>
        <v>0</v>
      </c>
      <c r="P565" s="6">
        <f>[1]Emissions!O981</f>
        <v>0</v>
      </c>
      <c r="Q565" s="6">
        <f>[1]Emissions!P981</f>
        <v>0</v>
      </c>
      <c r="R565" s="6">
        <f>[1]Emissions!Q981</f>
        <v>0</v>
      </c>
      <c r="S565" s="6">
        <f>[1]Emissions!R981</f>
        <v>0</v>
      </c>
      <c r="T565" s="6">
        <f>[1]Emissions!S981</f>
        <v>0</v>
      </c>
      <c r="U565" s="6">
        <f>[1]Emissions!T981</f>
        <v>0</v>
      </c>
      <c r="V565" s="6">
        <f>[1]Emissions!U981</f>
        <v>0</v>
      </c>
      <c r="W565" s="6">
        <f>[1]Emissions!V981</f>
        <v>0</v>
      </c>
      <c r="X565" s="6">
        <f>[1]Emissions!W981</f>
        <v>0</v>
      </c>
      <c r="Y565" s="6">
        <f>[1]Emissions!X981</f>
        <v>0</v>
      </c>
      <c r="Z565" s="6">
        <f>[1]Emissions!Y981</f>
        <v>0</v>
      </c>
      <c r="AA565" s="6">
        <f>[1]Emissions!Z981</f>
        <v>0</v>
      </c>
      <c r="AB565" s="6">
        <f>[1]Emissions!AA981</f>
        <v>0</v>
      </c>
      <c r="AC565" s="6">
        <f>[1]Emissions!AB981</f>
        <v>0</v>
      </c>
      <c r="AD565" s="6">
        <f>[1]Emissions!AC981</f>
        <v>0</v>
      </c>
      <c r="AE565" s="6">
        <f>[1]Emissions!AD981</f>
        <v>0</v>
      </c>
      <c r="AF565" s="6">
        <f>[1]Emissions!AE981</f>
        <v>0</v>
      </c>
      <c r="AG565" s="6">
        <f>[1]Emissions!AF981</f>
        <v>0</v>
      </c>
      <c r="AH565" s="6">
        <f>[1]Emissions!AG981</f>
        <v>0</v>
      </c>
      <c r="AI565" s="6">
        <f>[1]Emissions!AH981</f>
        <v>0</v>
      </c>
      <c r="AJ565" s="6">
        <f>[1]Emissions!AI981</f>
        <v>0</v>
      </c>
      <c r="AK565" s="6">
        <f>[1]Emissions!AJ981</f>
        <v>0</v>
      </c>
      <c r="AL565" s="6">
        <f>[1]Emissions!AK981</f>
        <v>0</v>
      </c>
    </row>
    <row r="566" spans="1:38" hidden="1" x14ac:dyDescent="0.3">
      <c r="B566" s="16" t="str">
        <f>[1]Emissions!A982</f>
        <v>ems_mat_co2_sech_0</v>
      </c>
      <c r="C566" s="6">
        <f>[1]Emissions!B982</f>
        <v>0.17858292410000001</v>
      </c>
      <c r="D566" s="6">
        <f>[1]Emissions!C982</f>
        <v>0.18027428209999999</v>
      </c>
      <c r="E566" s="6">
        <f>[1]Emissions!D982</f>
        <v>0.181976583</v>
      </c>
      <c r="F566" s="6">
        <f>[1]Emissions!E982</f>
        <v>0.1840092696</v>
      </c>
      <c r="G566" s="6">
        <f>[1]Emissions!F982</f>
        <v>0.18653498390000001</v>
      </c>
      <c r="H566" s="6">
        <f>[1]Emissions!G982</f>
        <v>0.18963116599999999</v>
      </c>
      <c r="I566" s="6">
        <f>[1]Emissions!H982</f>
        <v>0.19317059019999999</v>
      </c>
      <c r="J566" s="6">
        <f>[1]Emissions!I982</f>
        <v>0.1971232118</v>
      </c>
      <c r="K566" s="6">
        <f>[1]Emissions!J982</f>
        <v>0.20137031629999999</v>
      </c>
      <c r="L566" s="6">
        <f>[1]Emissions!K982</f>
        <v>0.2057432559</v>
      </c>
      <c r="M566" s="6">
        <f>[1]Emissions!L982</f>
        <v>0.21023287709999999</v>
      </c>
      <c r="N566" s="6">
        <f>[1]Emissions!M982</f>
        <v>0.21450933629999999</v>
      </c>
      <c r="O566" s="6">
        <f>[1]Emissions!N982</f>
        <v>0.21851856580000001</v>
      </c>
      <c r="P566" s="6">
        <f>[1]Emissions!O982</f>
        <v>0.22224964580000001</v>
      </c>
      <c r="Q566" s="6">
        <f>[1]Emissions!P982</f>
        <v>0.22567536160000001</v>
      </c>
      <c r="R566" s="6">
        <f>[1]Emissions!Q982</f>
        <v>0.2287637468</v>
      </c>
      <c r="S566" s="6">
        <f>[1]Emissions!R982</f>
        <v>0.2315341692</v>
      </c>
      <c r="T566" s="6">
        <f>[1]Emissions!S982</f>
        <v>0.2340528566</v>
      </c>
      <c r="U566" s="6">
        <f>[1]Emissions!T982</f>
        <v>0.2364204436</v>
      </c>
      <c r="V566" s="6">
        <f>[1]Emissions!U982</f>
        <v>0.23875449030000001</v>
      </c>
      <c r="W566" s="6">
        <f>[1]Emissions!V982</f>
        <v>0.2410518005</v>
      </c>
      <c r="X566" s="6">
        <f>[1]Emissions!W982</f>
        <v>0.24352627469999999</v>
      </c>
      <c r="Y566" s="6">
        <f>[1]Emissions!X982</f>
        <v>0.24621539379999999</v>
      </c>
      <c r="Z566" s="6">
        <f>[1]Emissions!Y982</f>
        <v>0.2491305392</v>
      </c>
      <c r="AA566" s="6">
        <f>[1]Emissions!Z982</f>
        <v>0.25228191189999999</v>
      </c>
      <c r="AB566" s="6">
        <f>[1]Emissions!AA982</f>
        <v>0.25529253790000001</v>
      </c>
      <c r="AC566" s="6">
        <f>[1]Emissions!AB982</f>
        <v>0.25848971520000003</v>
      </c>
      <c r="AD566" s="6">
        <f>[1]Emissions!AC982</f>
        <v>0.26182294979999998</v>
      </c>
      <c r="AE566" s="6">
        <f>[1]Emissions!AD982</f>
        <v>0.265220395</v>
      </c>
      <c r="AF566" s="6">
        <f>[1]Emissions!AE982</f>
        <v>0.26865011360000002</v>
      </c>
      <c r="AG566" s="6">
        <f>[1]Emissions!AF982</f>
        <v>0.27210580620000002</v>
      </c>
      <c r="AH566" s="6">
        <f>[1]Emissions!AG982</f>
        <v>0.2755878477</v>
      </c>
      <c r="AI566" s="6">
        <f>[1]Emissions!AH982</f>
        <v>0.2790908339</v>
      </c>
      <c r="AJ566" s="6">
        <f>[1]Emissions!AI982</f>
        <v>0.28259959039999999</v>
      </c>
      <c r="AK566" s="6">
        <f>[1]Emissions!AJ982</f>
        <v>0.28609263569999999</v>
      </c>
      <c r="AL566" s="6">
        <f>[1]Emissions!AK982</f>
        <v>0.2895353859</v>
      </c>
    </row>
    <row r="567" spans="1:38" hidden="1" x14ac:dyDescent="0.3">
      <c r="B567" s="16" t="str">
        <f>[1]Emissions!A983</f>
        <v>ems_ci_co2_seot_0</v>
      </c>
      <c r="C567" s="6">
        <f>[1]Emissions!B983</f>
        <v>1.7911663689999999</v>
      </c>
      <c r="D567" s="6">
        <f>[1]Emissions!C983</f>
        <v>1.8030142730000001</v>
      </c>
      <c r="E567" s="6">
        <f>[1]Emissions!D983</f>
        <v>1.8127593070000001</v>
      </c>
      <c r="F567" s="6">
        <f>[1]Emissions!E983</f>
        <v>1.8260224410000001</v>
      </c>
      <c r="G567" s="6">
        <f>[1]Emissions!F983</f>
        <v>1.84594452</v>
      </c>
      <c r="H567" s="6">
        <f>[1]Emissions!G983</f>
        <v>1.874216602</v>
      </c>
      <c r="I567" s="6">
        <f>[1]Emissions!H983</f>
        <v>1.910210639</v>
      </c>
      <c r="J567" s="6">
        <f>[1]Emissions!I983</f>
        <v>1.953532311</v>
      </c>
      <c r="K567" s="6">
        <f>[1]Emissions!J983</f>
        <v>2.0024057750000002</v>
      </c>
      <c r="L567" s="6">
        <f>[1]Emissions!K983</f>
        <v>2.054294998</v>
      </c>
      <c r="M567" s="6">
        <f>[1]Emissions!L983</f>
        <v>2.10765438</v>
      </c>
      <c r="N567" s="6">
        <f>[1]Emissions!M983</f>
        <v>2.1587921269999999</v>
      </c>
      <c r="O567" s="6">
        <f>[1]Emissions!N983</f>
        <v>2.2065116890000001</v>
      </c>
      <c r="P567" s="6">
        <f>[1]Emissions!O983</f>
        <v>2.2500213910000002</v>
      </c>
      <c r="Q567" s="6">
        <f>[1]Emissions!P983</f>
        <v>2.2886470710000002</v>
      </c>
      <c r="R567" s="6">
        <f>[1]Emissions!Q983</f>
        <v>2.3219604060000001</v>
      </c>
      <c r="S567" s="6">
        <f>[1]Emissions!R983</f>
        <v>2.3502310039999998</v>
      </c>
      <c r="T567" s="6">
        <f>[1]Emissions!S983</f>
        <v>2.374382577</v>
      </c>
      <c r="U567" s="6">
        <f>[1]Emissions!T983</f>
        <v>2.3958473179999999</v>
      </c>
      <c r="V567" s="6">
        <f>[1]Emissions!U983</f>
        <v>2.416337961</v>
      </c>
      <c r="W567" s="6">
        <f>[1]Emissions!V983</f>
        <v>2.4366446700000002</v>
      </c>
      <c r="X567" s="6">
        <f>[1]Emissions!W983</f>
        <v>2.4592009510000001</v>
      </c>
      <c r="Y567" s="6">
        <f>[1]Emissions!X983</f>
        <v>2.4847705430000002</v>
      </c>
      <c r="Z567" s="6">
        <f>[1]Emissions!Y983</f>
        <v>2.513882459</v>
      </c>
      <c r="AA567" s="6">
        <f>[1]Emissions!Z983</f>
        <v>2.5468969349999999</v>
      </c>
      <c r="AB567" s="6">
        <f>[1]Emissions!AA983</f>
        <v>2.5807207480000001</v>
      </c>
      <c r="AC567" s="6">
        <f>[1]Emissions!AB983</f>
        <v>2.6181266750000001</v>
      </c>
      <c r="AD567" s="6">
        <f>[1]Emissions!AC983</f>
        <v>2.657920963</v>
      </c>
      <c r="AE567" s="6">
        <f>[1]Emissions!AD983</f>
        <v>2.6990480489999999</v>
      </c>
      <c r="AF567" s="6">
        <f>[1]Emissions!AE983</f>
        <v>2.7409654649999999</v>
      </c>
      <c r="AG567" s="6">
        <f>[1]Emissions!AF983</f>
        <v>2.7834622690000002</v>
      </c>
      <c r="AH567" s="6">
        <f>[1]Emissions!AG983</f>
        <v>2.8264360509999999</v>
      </c>
      <c r="AI567" s="6">
        <f>[1]Emissions!AH983</f>
        <v>2.8697340589999998</v>
      </c>
      <c r="AJ567" s="6">
        <f>[1]Emissions!AI983</f>
        <v>2.9130944859999999</v>
      </c>
      <c r="AK567" s="6">
        <f>[1]Emissions!AJ983</f>
        <v>2.9561853839999999</v>
      </c>
      <c r="AL567" s="6">
        <f>[1]Emissions!AK983</f>
        <v>2.9986102479999999</v>
      </c>
    </row>
    <row r="568" spans="1:38" hidden="1" x14ac:dyDescent="0.3">
      <c r="B568" s="16" t="str">
        <f>[1]Emissions!A984</f>
        <v>ems_y_co2_seot_0</v>
      </c>
      <c r="C568" s="6">
        <f>[1]Emissions!B984</f>
        <v>0</v>
      </c>
      <c r="D568" s="6">
        <f>[1]Emissions!C984</f>
        <v>0</v>
      </c>
      <c r="E568" s="6">
        <f>[1]Emissions!D984</f>
        <v>0</v>
      </c>
      <c r="F568" s="6">
        <f>[1]Emissions!E984</f>
        <v>0</v>
      </c>
      <c r="G568" s="6">
        <f>[1]Emissions!F984</f>
        <v>0</v>
      </c>
      <c r="H568" s="6">
        <f>[1]Emissions!G984</f>
        <v>0</v>
      </c>
      <c r="I568" s="6">
        <f>[1]Emissions!H984</f>
        <v>0</v>
      </c>
      <c r="J568" s="6">
        <f>[1]Emissions!I984</f>
        <v>0</v>
      </c>
      <c r="K568" s="6">
        <f>[1]Emissions!J984</f>
        <v>0</v>
      </c>
      <c r="L568" s="6">
        <f>[1]Emissions!K984</f>
        <v>0</v>
      </c>
      <c r="M568" s="6">
        <f>[1]Emissions!L984</f>
        <v>0</v>
      </c>
      <c r="N568" s="6">
        <f>[1]Emissions!M984</f>
        <v>0</v>
      </c>
      <c r="O568" s="6">
        <f>[1]Emissions!N984</f>
        <v>0</v>
      </c>
      <c r="P568" s="6">
        <f>[1]Emissions!O984</f>
        <v>0</v>
      </c>
      <c r="Q568" s="6">
        <f>[1]Emissions!P984</f>
        <v>0</v>
      </c>
      <c r="R568" s="6">
        <f>[1]Emissions!Q984</f>
        <v>0</v>
      </c>
      <c r="S568" s="6">
        <f>[1]Emissions!R984</f>
        <v>0</v>
      </c>
      <c r="T568" s="6">
        <f>[1]Emissions!S984</f>
        <v>0</v>
      </c>
      <c r="U568" s="6">
        <f>[1]Emissions!T984</f>
        <v>0</v>
      </c>
      <c r="V568" s="6">
        <f>[1]Emissions!U984</f>
        <v>0</v>
      </c>
      <c r="W568" s="6">
        <f>[1]Emissions!V984</f>
        <v>0</v>
      </c>
      <c r="X568" s="6">
        <f>[1]Emissions!W984</f>
        <v>0</v>
      </c>
      <c r="Y568" s="6">
        <f>[1]Emissions!X984</f>
        <v>0</v>
      </c>
      <c r="Z568" s="6">
        <f>[1]Emissions!Y984</f>
        <v>0</v>
      </c>
      <c r="AA568" s="6">
        <f>[1]Emissions!Z984</f>
        <v>0</v>
      </c>
      <c r="AB568" s="6">
        <f>[1]Emissions!AA984</f>
        <v>0</v>
      </c>
      <c r="AC568" s="6">
        <f>[1]Emissions!AB984</f>
        <v>0</v>
      </c>
      <c r="AD568" s="6">
        <f>[1]Emissions!AC984</f>
        <v>0</v>
      </c>
      <c r="AE568" s="6">
        <f>[1]Emissions!AD984</f>
        <v>0</v>
      </c>
      <c r="AF568" s="6">
        <f>[1]Emissions!AE984</f>
        <v>0</v>
      </c>
      <c r="AG568" s="6">
        <f>[1]Emissions!AF984</f>
        <v>0</v>
      </c>
      <c r="AH568" s="6">
        <f>[1]Emissions!AG984</f>
        <v>0</v>
      </c>
      <c r="AI568" s="6">
        <f>[1]Emissions!AH984</f>
        <v>0</v>
      </c>
      <c r="AJ568" s="6">
        <f>[1]Emissions!AI984</f>
        <v>0</v>
      </c>
      <c r="AK568" s="6">
        <f>[1]Emissions!AJ984</f>
        <v>0</v>
      </c>
      <c r="AL568" s="6">
        <f>[1]Emissions!AK984</f>
        <v>0</v>
      </c>
    </row>
    <row r="569" spans="1:38" hidden="1" x14ac:dyDescent="0.3">
      <c r="B569" s="16" t="str">
        <f>[1]Emissions!A985</f>
        <v>ems_mat_co2_seot_0</v>
      </c>
      <c r="C569" s="6">
        <f>[1]Emissions!B985</f>
        <v>0.1227619965</v>
      </c>
      <c r="D569" s="6">
        <f>[1]Emissions!C985</f>
        <v>0.12356616450000001</v>
      </c>
      <c r="E569" s="6">
        <f>[1]Emissions!D985</f>
        <v>0.1242208853</v>
      </c>
      <c r="F569" s="6">
        <f>[1]Emissions!E985</f>
        <v>0.12511905849999999</v>
      </c>
      <c r="G569" s="6">
        <f>[1]Emissions!F985</f>
        <v>0.1264803951</v>
      </c>
      <c r="H569" s="6">
        <f>[1]Emissions!G985</f>
        <v>0.12842099579999999</v>
      </c>
      <c r="I569" s="6">
        <f>[1]Emissions!H985</f>
        <v>0.1308954946</v>
      </c>
      <c r="J569" s="6">
        <f>[1]Emissions!I985</f>
        <v>0.13387356550000001</v>
      </c>
      <c r="K569" s="6">
        <f>[1]Emissions!J985</f>
        <v>0.13723111909999999</v>
      </c>
      <c r="L569" s="6">
        <f>[1]Emissions!K985</f>
        <v>0.14079337680000001</v>
      </c>
      <c r="M569" s="6">
        <f>[1]Emissions!L985</f>
        <v>0.14445489689999999</v>
      </c>
      <c r="N569" s="6">
        <f>[1]Emissions!M985</f>
        <v>0.14796318580000001</v>
      </c>
      <c r="O569" s="6">
        <f>[1]Emissions!N985</f>
        <v>0.15123597250000001</v>
      </c>
      <c r="P569" s="6">
        <f>[1]Emissions!O985</f>
        <v>0.1542187223</v>
      </c>
      <c r="Q569" s="6">
        <f>[1]Emissions!P985</f>
        <v>0.1568653898</v>
      </c>
      <c r="R569" s="6">
        <f>[1]Emissions!Q985</f>
        <v>0.15914746239999999</v>
      </c>
      <c r="S569" s="6">
        <f>[1]Emissions!R985</f>
        <v>0.16108487939999999</v>
      </c>
      <c r="T569" s="6">
        <f>[1]Emissions!S985</f>
        <v>0.1627426756</v>
      </c>
      <c r="U569" s="6">
        <f>[1]Emissions!T985</f>
        <v>0.16422056709999999</v>
      </c>
      <c r="V569" s="6">
        <f>[1]Emissions!U985</f>
        <v>0.16563699630000001</v>
      </c>
      <c r="W569" s="6">
        <f>[1]Emissions!V985</f>
        <v>0.16704624060000001</v>
      </c>
      <c r="X569" s="6">
        <f>[1]Emissions!W985</f>
        <v>0.1686150726</v>
      </c>
      <c r="Y569" s="6">
        <f>[1]Emissions!X985</f>
        <v>0.17039573089999999</v>
      </c>
      <c r="Z569" s="6">
        <f>[1]Emissions!Y985</f>
        <v>0.17242386849999999</v>
      </c>
      <c r="AA569" s="6">
        <f>[1]Emissions!Z985</f>
        <v>0.17472318079999999</v>
      </c>
      <c r="AB569" s="6">
        <f>[1]Emissions!AA985</f>
        <v>0.1770795781</v>
      </c>
      <c r="AC569" s="6">
        <f>[1]Emissions!AB985</f>
        <v>0.17968210579999999</v>
      </c>
      <c r="AD569" s="6">
        <f>[1]Emissions!AC985</f>
        <v>0.1824488541</v>
      </c>
      <c r="AE569" s="6">
        <f>[1]Emissions!AD985</f>
        <v>0.1853074549</v>
      </c>
      <c r="AF569" s="6">
        <f>[1]Emissions!AE985</f>
        <v>0.1882203962</v>
      </c>
      <c r="AG569" s="6">
        <f>[1]Emissions!AF985</f>
        <v>0.19117244319999999</v>
      </c>
      <c r="AH569" s="6">
        <f>[1]Emissions!AG985</f>
        <v>0.19415549209999999</v>
      </c>
      <c r="AI569" s="6">
        <f>[1]Emissions!AH985</f>
        <v>0.19715797360000001</v>
      </c>
      <c r="AJ569" s="6">
        <f>[1]Emissions!AI985</f>
        <v>0.20016111959999999</v>
      </c>
      <c r="AK569" s="6">
        <f>[1]Emissions!AJ985</f>
        <v>0.2031418039</v>
      </c>
      <c r="AL569" s="6">
        <f>[1]Emissions!AK985</f>
        <v>0.20607292169999999</v>
      </c>
    </row>
    <row r="570" spans="1:38" hidden="1" x14ac:dyDescent="0.3">
      <c r="B570" s="1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</row>
    <row r="571" spans="1:38" x14ac:dyDescent="0.3">
      <c r="B571" s="17" t="s">
        <v>100</v>
      </c>
      <c r="C571" s="6">
        <f>[1]Emissions!B825-[1]Emissions!B829</f>
        <v>237.4131778</v>
      </c>
      <c r="D571" s="6">
        <f>[1]Emissions!C825-[1]Emissions!C829</f>
        <v>239.62901050000002</v>
      </c>
      <c r="E571" s="6">
        <f>[1]Emissions!D825-[1]Emissions!D829</f>
        <v>242.04085979999999</v>
      </c>
      <c r="F571" s="6">
        <f>[1]Emissions!E825-[1]Emissions!E829</f>
        <v>244.59258399999999</v>
      </c>
      <c r="G571" s="6">
        <f>[1]Emissions!F825-[1]Emissions!F829</f>
        <v>247.42927299999999</v>
      </c>
      <c r="H571" s="6">
        <f>[1]Emissions!G825-[1]Emissions!G829</f>
        <v>250.72874960000001</v>
      </c>
      <c r="I571" s="6">
        <f>[1]Emissions!H825-[1]Emissions!H829</f>
        <v>254.98061859999999</v>
      </c>
      <c r="J571" s="6">
        <f>[1]Emissions!I825-[1]Emissions!I829</f>
        <v>259.79303479999999</v>
      </c>
      <c r="K571" s="6">
        <f>[1]Emissions!J825-[1]Emissions!J829</f>
        <v>265.056692</v>
      </c>
      <c r="L571" s="6">
        <f>[1]Emissions!K825-[1]Emissions!K829</f>
        <v>270.06984879999999</v>
      </c>
      <c r="M571" s="6">
        <f>[1]Emissions!L825-[1]Emissions!L829</f>
        <v>274.92324310000004</v>
      </c>
      <c r="N571" s="6">
        <f>[1]Emissions!M825-[1]Emissions!M829</f>
        <v>278.48838239999998</v>
      </c>
      <c r="O571" s="6">
        <f>[1]Emissions!N825-[1]Emissions!N829</f>
        <v>281.65191149999998</v>
      </c>
      <c r="P571" s="6">
        <f>[1]Emissions!O825-[1]Emissions!O829</f>
        <v>284.81036019999999</v>
      </c>
      <c r="Q571" s="6">
        <f>[1]Emissions!P825-[1]Emissions!P829</f>
        <v>288.17386540000001</v>
      </c>
      <c r="R571" s="6">
        <f>[1]Emissions!Q825-[1]Emissions!Q829</f>
        <v>291.8061452</v>
      </c>
      <c r="S571" s="6">
        <f>[1]Emissions!R825-[1]Emissions!R829</f>
        <v>295.65949739999996</v>
      </c>
      <c r="T571" s="6">
        <f>[1]Emissions!S825-[1]Emissions!S829</f>
        <v>299.63860679999999</v>
      </c>
      <c r="U571" s="6">
        <f>[1]Emissions!T825-[1]Emissions!T829</f>
        <v>303.65917079999997</v>
      </c>
      <c r="V571" s="6">
        <f>[1]Emissions!U825-[1]Emissions!U829</f>
        <v>307.68337989999998</v>
      </c>
      <c r="W571" s="6">
        <f>[1]Emissions!V825-[1]Emissions!V829</f>
        <v>311.30589469999995</v>
      </c>
      <c r="X571" s="6">
        <f>[1]Emissions!W825-[1]Emissions!W829</f>
        <v>315.42939940000002</v>
      </c>
      <c r="Y571" s="6">
        <f>[1]Emissions!X825-[1]Emissions!X829</f>
        <v>319.69820459999994</v>
      </c>
      <c r="Z571" s="6">
        <f>[1]Emissions!Y825-[1]Emissions!Y829</f>
        <v>324.09364799999997</v>
      </c>
      <c r="AA571" s="6">
        <f>[1]Emissions!Z825-[1]Emissions!Z829</f>
        <v>328.65205530000003</v>
      </c>
      <c r="AB571" s="6">
        <f>[1]Emissions!AA825-[1]Emissions!AA829</f>
        <v>332.10345219999999</v>
      </c>
      <c r="AC571" s="6">
        <f>[1]Emissions!AB825-[1]Emissions!AB829</f>
        <v>336.52923960000004</v>
      </c>
      <c r="AD571" s="6">
        <f>[1]Emissions!AC825-[1]Emissions!AC829</f>
        <v>341.12514010000001</v>
      </c>
      <c r="AE571" s="6">
        <f>[1]Emissions!AD825-[1]Emissions!AD829</f>
        <v>345.70357309999997</v>
      </c>
      <c r="AF571" s="6">
        <f>[1]Emissions!AE825-[1]Emissions!AE829</f>
        <v>350.26010040000006</v>
      </c>
      <c r="AG571" s="6">
        <f>[1]Emissions!AF825-[1]Emissions!AF829</f>
        <v>354.83189970000001</v>
      </c>
      <c r="AH571" s="6">
        <f>[1]Emissions!AG825-[1]Emissions!AG829</f>
        <v>359.4560141</v>
      </c>
      <c r="AI571" s="6">
        <f>[1]Emissions!AH825-[1]Emissions!AH829</f>
        <v>364.15517160000002</v>
      </c>
      <c r="AJ571" s="6">
        <f>[1]Emissions!AI825-[1]Emissions!AI829</f>
        <v>368.93453280000006</v>
      </c>
      <c r="AK571" s="6">
        <f>[1]Emissions!AJ825-[1]Emissions!AJ829</f>
        <v>373.78580030000001</v>
      </c>
      <c r="AL571" s="6">
        <f>[1]Emissions!AK825-[1]Emissions!AK829</f>
        <v>378.69537460000004</v>
      </c>
    </row>
    <row r="572" spans="1:38" x14ac:dyDescent="0.3">
      <c r="A572" s="12" t="s">
        <v>66</v>
      </c>
      <c r="B572" t="s">
        <v>7</v>
      </c>
      <c r="C572" s="6">
        <f>SUM(C413:C418)</f>
        <v>14.782669762300001</v>
      </c>
      <c r="D572" s="6">
        <f t="shared" ref="D572:AL572" si="96">SUM(D413:D418)</f>
        <v>14.606233710900002</v>
      </c>
      <c r="E572" s="6">
        <f t="shared" si="96"/>
        <v>14.3936049485</v>
      </c>
      <c r="F572" s="6">
        <f t="shared" si="96"/>
        <v>14.231859122000001</v>
      </c>
      <c r="G572" s="6">
        <f t="shared" si="96"/>
        <v>14.1583751305</v>
      </c>
      <c r="H572" s="6">
        <f t="shared" si="96"/>
        <v>14.181977179299999</v>
      </c>
      <c r="I572" s="6">
        <f t="shared" si="96"/>
        <v>14.9334007171</v>
      </c>
      <c r="J572" s="6">
        <f t="shared" si="96"/>
        <v>15.258179155300001</v>
      </c>
      <c r="K572" s="6">
        <f t="shared" si="96"/>
        <v>15.548760308</v>
      </c>
      <c r="L572" s="6">
        <f t="shared" si="96"/>
        <v>15.7649010424</v>
      </c>
      <c r="M572" s="6">
        <f t="shared" si="96"/>
        <v>15.868606144600001</v>
      </c>
      <c r="N572" s="6">
        <f t="shared" si="96"/>
        <v>15.855023256500001</v>
      </c>
      <c r="O572" s="6">
        <f t="shared" si="96"/>
        <v>15.772558311900001</v>
      </c>
      <c r="P572" s="6">
        <f t="shared" si="96"/>
        <v>15.673766608699999</v>
      </c>
      <c r="Q572" s="6">
        <f t="shared" si="96"/>
        <v>15.596931153599998</v>
      </c>
      <c r="R572" s="6">
        <f t="shared" si="96"/>
        <v>15.559063695700001</v>
      </c>
      <c r="S572" s="6">
        <f t="shared" si="96"/>
        <v>15.558958157900001</v>
      </c>
      <c r="T572" s="6">
        <f t="shared" si="96"/>
        <v>15.585129817</v>
      </c>
      <c r="U572" s="6">
        <f t="shared" si="96"/>
        <v>15.6241689531</v>
      </c>
      <c r="V572" s="6">
        <f t="shared" si="96"/>
        <v>15.666510755499999</v>
      </c>
      <c r="W572" s="6">
        <f t="shared" si="96"/>
        <v>15.6999950022</v>
      </c>
      <c r="X572" s="6">
        <f t="shared" si="96"/>
        <v>15.738079339999999</v>
      </c>
      <c r="Y572" s="6">
        <f t="shared" si="96"/>
        <v>15.7802523959</v>
      </c>
      <c r="Z572" s="6">
        <f t="shared" si="96"/>
        <v>15.829500212199999</v>
      </c>
      <c r="AA572" s="6">
        <f t="shared" si="96"/>
        <v>15.887818170399999</v>
      </c>
      <c r="AB572" s="6">
        <f t="shared" si="96"/>
        <v>15.929786482399999</v>
      </c>
      <c r="AC572" s="6">
        <f t="shared" si="96"/>
        <v>15.9781360283</v>
      </c>
      <c r="AD572" s="6">
        <f t="shared" si="96"/>
        <v>16.0229450667</v>
      </c>
      <c r="AE572" s="6">
        <f t="shared" si="96"/>
        <v>16.060743134799999</v>
      </c>
      <c r="AF572" s="6">
        <f t="shared" si="96"/>
        <v>16.092271093099999</v>
      </c>
      <c r="AG572" s="6">
        <f t="shared" si="96"/>
        <v>16.120745855100001</v>
      </c>
      <c r="AH572" s="6">
        <f t="shared" si="96"/>
        <v>16.149857555699999</v>
      </c>
      <c r="AI572" s="6">
        <f t="shared" si="96"/>
        <v>16.182209737299999</v>
      </c>
      <c r="AJ572" s="6">
        <f t="shared" si="96"/>
        <v>16.218654823800001</v>
      </c>
      <c r="AK572" s="6">
        <f t="shared" si="96"/>
        <v>16.258509031999999</v>
      </c>
      <c r="AL572" s="6">
        <f t="shared" si="96"/>
        <v>16.3002939197</v>
      </c>
    </row>
    <row r="573" spans="1:38" x14ac:dyDescent="0.3">
      <c r="A573" t="s">
        <v>27</v>
      </c>
      <c r="B573" t="s">
        <v>84</v>
      </c>
      <c r="C573" s="6">
        <f>SUM(C419:C421)</f>
        <v>9.8937547279999993</v>
      </c>
      <c r="D573" s="6">
        <f t="shared" ref="D573:AL573" si="97">SUM(D419:D421)</f>
        <v>9.8970310369999996</v>
      </c>
      <c r="E573" s="6">
        <f t="shared" si="97"/>
        <v>9.8740654859999992</v>
      </c>
      <c r="F573" s="6">
        <f t="shared" si="97"/>
        <v>9.860966028</v>
      </c>
      <c r="G573" s="6">
        <f t="shared" si="97"/>
        <v>9.8727860740000004</v>
      </c>
      <c r="H573" s="6">
        <f t="shared" si="97"/>
        <v>9.9127603149999999</v>
      </c>
      <c r="I573" s="6">
        <f t="shared" si="97"/>
        <v>9.9827152699999999</v>
      </c>
      <c r="J573" s="6">
        <f t="shared" si="97"/>
        <v>10.055755700000001</v>
      </c>
      <c r="K573" s="6">
        <f t="shared" si="97"/>
        <v>10.123339079999999</v>
      </c>
      <c r="L573" s="6">
        <f t="shared" si="97"/>
        <v>10.162700149999999</v>
      </c>
      <c r="M573" s="6">
        <f t="shared" si="97"/>
        <v>10.171563920000001</v>
      </c>
      <c r="N573" s="6">
        <f t="shared" si="97"/>
        <v>10.149095300000001</v>
      </c>
      <c r="O573" s="6">
        <f t="shared" si="97"/>
        <v>10.112472889999999</v>
      </c>
      <c r="P573" s="6">
        <f t="shared" si="97"/>
        <v>10.07741029</v>
      </c>
      <c r="Q573" s="6">
        <f t="shared" si="97"/>
        <v>10.05398108</v>
      </c>
      <c r="R573" s="6">
        <f t="shared" si="97"/>
        <v>10.045637429999999</v>
      </c>
      <c r="S573" s="6">
        <f t="shared" si="97"/>
        <v>10.05078672</v>
      </c>
      <c r="T573" s="6">
        <f t="shared" si="97"/>
        <v>10.06540307</v>
      </c>
      <c r="U573" s="6">
        <f t="shared" si="97"/>
        <v>10.08545018</v>
      </c>
      <c r="V573" s="6">
        <f t="shared" si="97"/>
        <v>10.108313320000001</v>
      </c>
      <c r="W573" s="6">
        <f t="shared" si="97"/>
        <v>10.12767066</v>
      </c>
      <c r="X573" s="6">
        <f t="shared" si="97"/>
        <v>10.151114809999999</v>
      </c>
      <c r="Y573" s="6">
        <f t="shared" si="97"/>
        <v>10.178155009999999</v>
      </c>
      <c r="Z573" s="6">
        <f t="shared" si="97"/>
        <v>10.20909136</v>
      </c>
      <c r="AA573" s="6">
        <f t="shared" si="97"/>
        <v>10.243814649999999</v>
      </c>
      <c r="AB573" s="6">
        <f t="shared" si="97"/>
        <v>10.265964070000001</v>
      </c>
      <c r="AC573" s="6">
        <f t="shared" si="97"/>
        <v>10.28884704</v>
      </c>
      <c r="AD573" s="6">
        <f t="shared" si="97"/>
        <v>10.31034017</v>
      </c>
      <c r="AE573" s="6">
        <f t="shared" si="97"/>
        <v>10.330112209999999</v>
      </c>
      <c r="AF573" s="6">
        <f t="shared" si="97"/>
        <v>10.348860760000001</v>
      </c>
      <c r="AG573" s="6">
        <f t="shared" si="97"/>
        <v>10.367782289999999</v>
      </c>
      <c r="AH573" s="6">
        <f t="shared" si="97"/>
        <v>10.387995500000001</v>
      </c>
      <c r="AI573" s="6">
        <f t="shared" si="97"/>
        <v>10.410133760000001</v>
      </c>
      <c r="AJ573" s="6">
        <f t="shared" si="97"/>
        <v>10.43423018</v>
      </c>
      <c r="AK573" s="6">
        <f t="shared" si="97"/>
        <v>10.459858629999999</v>
      </c>
      <c r="AL573" s="6">
        <f t="shared" si="97"/>
        <v>10.48640103</v>
      </c>
    </row>
    <row r="574" spans="1:38" x14ac:dyDescent="0.3">
      <c r="B574" t="s">
        <v>85</v>
      </c>
      <c r="C574" s="6">
        <f>SUM(C425:C427)</f>
        <v>19.527143063</v>
      </c>
      <c r="D574" s="6">
        <f t="shared" ref="D574:AL574" si="98">SUM(D425:D427)</f>
        <v>20.166592332</v>
      </c>
      <c r="E574" s="6">
        <f t="shared" si="98"/>
        <v>20.950195448999999</v>
      </c>
      <c r="F574" s="6">
        <f t="shared" si="98"/>
        <v>21.584143314000002</v>
      </c>
      <c r="G574" s="6">
        <f t="shared" si="98"/>
        <v>22.056179607000001</v>
      </c>
      <c r="H574" s="6">
        <f t="shared" si="98"/>
        <v>22.436313386000002</v>
      </c>
      <c r="I574" s="6">
        <f t="shared" si="98"/>
        <v>22.627775661999998</v>
      </c>
      <c r="J574" s="6">
        <f t="shared" si="98"/>
        <v>22.794961365999999</v>
      </c>
      <c r="K574" s="6">
        <f t="shared" si="98"/>
        <v>22.953003037999999</v>
      </c>
      <c r="L574" s="6">
        <f t="shared" si="98"/>
        <v>23.122999236000002</v>
      </c>
      <c r="M574" s="6">
        <f t="shared" si="98"/>
        <v>23.582823392000002</v>
      </c>
      <c r="N574" s="6">
        <f t="shared" si="98"/>
        <v>23.781524163999997</v>
      </c>
      <c r="O574" s="6">
        <f t="shared" si="98"/>
        <v>24.043543736</v>
      </c>
      <c r="P574" s="6">
        <f t="shared" si="98"/>
        <v>24.391546531000003</v>
      </c>
      <c r="Q574" s="6">
        <f t="shared" si="98"/>
        <v>24.784948957000001</v>
      </c>
      <c r="R574" s="6">
        <f t="shared" si="98"/>
        <v>25.190863217</v>
      </c>
      <c r="S574" s="6">
        <f t="shared" si="98"/>
        <v>25.593594245999999</v>
      </c>
      <c r="T574" s="6">
        <f t="shared" si="98"/>
        <v>25.991436726</v>
      </c>
      <c r="U574" s="6">
        <f t="shared" si="98"/>
        <v>26.390574350999998</v>
      </c>
      <c r="V574" s="6">
        <f t="shared" si="98"/>
        <v>26.799049873000001</v>
      </c>
      <c r="W574" s="6">
        <f t="shared" si="98"/>
        <v>27.046456861999999</v>
      </c>
      <c r="X574" s="6">
        <f t="shared" si="98"/>
        <v>27.534895302999999</v>
      </c>
      <c r="Y574" s="6">
        <f t="shared" si="98"/>
        <v>28.047601024999999</v>
      </c>
      <c r="Z574" s="6">
        <f t="shared" si="98"/>
        <v>28.544345733</v>
      </c>
      <c r="AA574" s="6">
        <f t="shared" si="98"/>
        <v>29.029975075000003</v>
      </c>
      <c r="AB574" s="6">
        <f t="shared" si="98"/>
        <v>28.991644965999999</v>
      </c>
      <c r="AC574" s="6">
        <f t="shared" si="98"/>
        <v>29.405632339</v>
      </c>
      <c r="AD574" s="6">
        <f t="shared" si="98"/>
        <v>29.903062604999999</v>
      </c>
      <c r="AE574" s="6">
        <f t="shared" si="98"/>
        <v>30.394436083000002</v>
      </c>
      <c r="AF574" s="6">
        <f t="shared" si="98"/>
        <v>30.877092616000002</v>
      </c>
      <c r="AG574" s="6">
        <f t="shared" si="98"/>
        <v>31.358561091999999</v>
      </c>
      <c r="AH574" s="6">
        <f t="shared" si="98"/>
        <v>31.842868512000003</v>
      </c>
      <c r="AI574" s="6">
        <f t="shared" si="98"/>
        <v>32.330924488000001</v>
      </c>
      <c r="AJ574" s="6">
        <f t="shared" si="98"/>
        <v>32.822611223999999</v>
      </c>
      <c r="AK574" s="6">
        <f t="shared" si="98"/>
        <v>33.318125529</v>
      </c>
      <c r="AL574" s="6">
        <f t="shared" si="98"/>
        <v>33.818343216000002</v>
      </c>
    </row>
    <row r="575" spans="1:38" x14ac:dyDescent="0.3">
      <c r="B575" t="s">
        <v>86</v>
      </c>
      <c r="C575" s="6">
        <f>SUM(C431:C433)</f>
        <v>6.4299406989999994</v>
      </c>
      <c r="D575" s="6">
        <f t="shared" ref="D575:AL575" si="99">SUM(D431:D433)</f>
        <v>6.431501151</v>
      </c>
      <c r="E575" s="6">
        <f t="shared" si="99"/>
        <v>6.45899277</v>
      </c>
      <c r="F575" s="6">
        <f t="shared" si="99"/>
        <v>6.5110085929999997</v>
      </c>
      <c r="G575" s="6">
        <f t="shared" si="99"/>
        <v>6.5796751049999997</v>
      </c>
      <c r="H575" s="6">
        <f t="shared" si="99"/>
        <v>6.6597788390000003</v>
      </c>
      <c r="I575" s="6">
        <f t="shared" si="99"/>
        <v>6.747008877999999</v>
      </c>
      <c r="J575" s="6">
        <f t="shared" si="99"/>
        <v>6.8237999679999994</v>
      </c>
      <c r="K575" s="6">
        <f t="shared" si="99"/>
        <v>6.8905852349999996</v>
      </c>
      <c r="L575" s="6">
        <f t="shared" si="99"/>
        <v>6.9526689130000001</v>
      </c>
      <c r="M575" s="6">
        <f t="shared" si="99"/>
        <v>7.0289311059999999</v>
      </c>
      <c r="N575" s="6">
        <f t="shared" si="99"/>
        <v>7.1044055860000004</v>
      </c>
      <c r="O575" s="6">
        <f t="shared" si="99"/>
        <v>7.1896378980000009</v>
      </c>
      <c r="P575" s="6">
        <f t="shared" si="99"/>
        <v>7.2850475879999994</v>
      </c>
      <c r="Q575" s="6">
        <f t="shared" si="99"/>
        <v>7.3872382520000004</v>
      </c>
      <c r="R575" s="6">
        <f t="shared" si="99"/>
        <v>7.4926168650000005</v>
      </c>
      <c r="S575" s="6">
        <f t="shared" si="99"/>
        <v>7.5989006229999996</v>
      </c>
      <c r="T575" s="6">
        <f t="shared" si="99"/>
        <v>7.7054919850000001</v>
      </c>
      <c r="U575" s="6">
        <f t="shared" si="99"/>
        <v>7.8130981859999995</v>
      </c>
      <c r="V575" s="6">
        <f t="shared" si="99"/>
        <v>7.9229930700000004</v>
      </c>
      <c r="W575" s="6">
        <f t="shared" si="99"/>
        <v>8.0279221970000005</v>
      </c>
      <c r="X575" s="6">
        <f t="shared" si="99"/>
        <v>8.1440606780000007</v>
      </c>
      <c r="Y575" s="6">
        <f t="shared" si="99"/>
        <v>8.2657033379999998</v>
      </c>
      <c r="Z575" s="6">
        <f t="shared" si="99"/>
        <v>8.3908186499999999</v>
      </c>
      <c r="AA575" s="6">
        <f t="shared" si="99"/>
        <v>8.5186251960000003</v>
      </c>
      <c r="AB575" s="6">
        <f t="shared" si="99"/>
        <v>8.6232998829999996</v>
      </c>
      <c r="AC575" s="6">
        <f t="shared" si="99"/>
        <v>8.7413105739999999</v>
      </c>
      <c r="AD575" s="6">
        <f t="shared" si="99"/>
        <v>8.8636529509999988</v>
      </c>
      <c r="AE575" s="6">
        <f t="shared" si="99"/>
        <v>8.9880387689999992</v>
      </c>
      <c r="AF575" s="6">
        <f t="shared" si="99"/>
        <v>9.1146877760000002</v>
      </c>
      <c r="AG575" s="6">
        <f t="shared" si="99"/>
        <v>9.2439333210000001</v>
      </c>
      <c r="AH575" s="6">
        <f t="shared" si="99"/>
        <v>9.3757521210000014</v>
      </c>
      <c r="AI575" s="6">
        <f t="shared" si="99"/>
        <v>9.5098685700000001</v>
      </c>
      <c r="AJ575" s="6">
        <f t="shared" si="99"/>
        <v>9.6459678980000003</v>
      </c>
      <c r="AK575" s="6">
        <f t="shared" si="99"/>
        <v>9.783854569999999</v>
      </c>
      <c r="AL575" s="6">
        <f t="shared" si="99"/>
        <v>9.923505123</v>
      </c>
    </row>
    <row r="576" spans="1:38" x14ac:dyDescent="0.3">
      <c r="B576" t="s">
        <v>87</v>
      </c>
      <c r="C576" s="6">
        <f>SUM(C437:C439)</f>
        <v>20.386267416999999</v>
      </c>
      <c r="D576" s="6">
        <f t="shared" ref="D576:AL576" si="100">SUM(D437:D439)</f>
        <v>20.684128674</v>
      </c>
      <c r="E576" s="6">
        <f t="shared" si="100"/>
        <v>21.046247386000001</v>
      </c>
      <c r="F576" s="6">
        <f t="shared" si="100"/>
        <v>21.421246932999999</v>
      </c>
      <c r="G576" s="6">
        <f t="shared" si="100"/>
        <v>21.795329950999999</v>
      </c>
      <c r="H576" s="6">
        <f t="shared" si="100"/>
        <v>22.167634912</v>
      </c>
      <c r="I576" s="6">
        <f t="shared" si="100"/>
        <v>22.501104245000001</v>
      </c>
      <c r="J576" s="6">
        <f t="shared" si="100"/>
        <v>22.799519290999999</v>
      </c>
      <c r="K576" s="6">
        <f t="shared" si="100"/>
        <v>23.056798285999999</v>
      </c>
      <c r="L576" s="6">
        <f t="shared" si="100"/>
        <v>23.290267274999998</v>
      </c>
      <c r="M576" s="6">
        <f t="shared" si="100"/>
        <v>23.593476342000002</v>
      </c>
      <c r="N576" s="6">
        <f t="shared" si="100"/>
        <v>23.852368947000002</v>
      </c>
      <c r="O576" s="6">
        <f t="shared" si="100"/>
        <v>24.14334234</v>
      </c>
      <c r="P576" s="6">
        <f t="shared" si="100"/>
        <v>24.471260043000001</v>
      </c>
      <c r="Q576" s="6">
        <f t="shared" si="100"/>
        <v>24.822291151000002</v>
      </c>
      <c r="R576" s="6">
        <f t="shared" si="100"/>
        <v>25.182294328000001</v>
      </c>
      <c r="S576" s="6">
        <f t="shared" si="100"/>
        <v>25.542609919</v>
      </c>
      <c r="T576" s="6">
        <f t="shared" si="100"/>
        <v>25.901118478000001</v>
      </c>
      <c r="U576" s="6">
        <f t="shared" si="100"/>
        <v>26.260630202999998</v>
      </c>
      <c r="V576" s="6">
        <f t="shared" si="100"/>
        <v>26.626071166999999</v>
      </c>
      <c r="W576" s="6">
        <f t="shared" si="100"/>
        <v>26.955129055</v>
      </c>
      <c r="X576" s="6">
        <f t="shared" si="100"/>
        <v>27.347191543999998</v>
      </c>
      <c r="Y576" s="6">
        <f t="shared" si="100"/>
        <v>27.756672974000001</v>
      </c>
      <c r="Z576" s="6">
        <f t="shared" si="100"/>
        <v>28.17410022</v>
      </c>
      <c r="AA576" s="6">
        <f t="shared" si="100"/>
        <v>28.59798674</v>
      </c>
      <c r="AB576" s="6">
        <f t="shared" si="100"/>
        <v>28.890857629999999</v>
      </c>
      <c r="AC576" s="6">
        <f t="shared" si="100"/>
        <v>29.277478000000002</v>
      </c>
      <c r="AD576" s="6">
        <f t="shared" si="100"/>
        <v>29.685846219999998</v>
      </c>
      <c r="AE576" s="6">
        <f t="shared" si="100"/>
        <v>30.100372970000002</v>
      </c>
      <c r="AF576" s="6">
        <f t="shared" si="100"/>
        <v>30.521372079999999</v>
      </c>
      <c r="AG576" s="6">
        <f t="shared" si="100"/>
        <v>30.950496579999999</v>
      </c>
      <c r="AH576" s="6">
        <f t="shared" si="100"/>
        <v>31.387996620000003</v>
      </c>
      <c r="AI576" s="6">
        <f t="shared" si="100"/>
        <v>31.833032679999999</v>
      </c>
      <c r="AJ576" s="6">
        <f t="shared" si="100"/>
        <v>32.28452197</v>
      </c>
      <c r="AK576" s="6">
        <f t="shared" si="100"/>
        <v>32.741774419999999</v>
      </c>
      <c r="AL576" s="6">
        <f t="shared" si="100"/>
        <v>33.20471663</v>
      </c>
    </row>
    <row r="577" spans="1:38" x14ac:dyDescent="0.3">
      <c r="B577" t="s">
        <v>88</v>
      </c>
      <c r="C577" s="6">
        <f>SUM(C422:C424,C428:C430,C434:C436,C440:C442,C443:C445,C446:C448)</f>
        <v>17.274896867300001</v>
      </c>
      <c r="D577" s="6">
        <f t="shared" ref="D577:AL577" si="101">SUM(D422:D424,D428:D430,D434:D436,D440:D442,D443:D445,D446:D448)</f>
        <v>17.7392043782</v>
      </c>
      <c r="E577" s="6">
        <f t="shared" si="101"/>
        <v>18.272365630700001</v>
      </c>
      <c r="F577" s="6">
        <f t="shared" si="101"/>
        <v>18.668850177000003</v>
      </c>
      <c r="G577" s="6">
        <f t="shared" si="101"/>
        <v>18.959292461300002</v>
      </c>
      <c r="H577" s="6">
        <f t="shared" si="101"/>
        <v>19.209045346499998</v>
      </c>
      <c r="I577" s="6">
        <f t="shared" si="101"/>
        <v>19.3201598317</v>
      </c>
      <c r="J577" s="6">
        <f t="shared" si="101"/>
        <v>19.514833372200002</v>
      </c>
      <c r="K577" s="6">
        <f t="shared" si="101"/>
        <v>19.7459525304</v>
      </c>
      <c r="L577" s="6">
        <f t="shared" si="101"/>
        <v>19.9813787199</v>
      </c>
      <c r="M577" s="6">
        <f t="shared" si="101"/>
        <v>20.4318762041</v>
      </c>
      <c r="N577" s="6">
        <f t="shared" si="101"/>
        <v>20.581433899700002</v>
      </c>
      <c r="O577" s="6">
        <f t="shared" si="101"/>
        <v>20.788418660400001</v>
      </c>
      <c r="P577" s="6">
        <f t="shared" si="101"/>
        <v>21.057415857499997</v>
      </c>
      <c r="Q577" s="6">
        <f t="shared" si="101"/>
        <v>21.366444460100002</v>
      </c>
      <c r="R577" s="6">
        <f t="shared" si="101"/>
        <v>21.697405747399998</v>
      </c>
      <c r="S577" s="6">
        <f t="shared" si="101"/>
        <v>22.037869901800001</v>
      </c>
      <c r="T577" s="6">
        <f t="shared" si="101"/>
        <v>22.381162626799998</v>
      </c>
      <c r="U577" s="6">
        <f t="shared" si="101"/>
        <v>22.725739500300001</v>
      </c>
      <c r="V577" s="6">
        <f t="shared" si="101"/>
        <v>23.073606137799999</v>
      </c>
      <c r="W577" s="6">
        <f t="shared" si="101"/>
        <v>23.273091493400003</v>
      </c>
      <c r="X577" s="6">
        <f t="shared" si="101"/>
        <v>23.697322673500004</v>
      </c>
      <c r="Y577" s="6">
        <f t="shared" si="101"/>
        <v>24.117037883999998</v>
      </c>
      <c r="Z577" s="6">
        <f t="shared" si="101"/>
        <v>24.524382516800003</v>
      </c>
      <c r="AA577" s="6">
        <f t="shared" si="101"/>
        <v>24.929761774799999</v>
      </c>
      <c r="AB577" s="6">
        <f t="shared" si="101"/>
        <v>24.882467294400001</v>
      </c>
      <c r="AC577" s="6">
        <f t="shared" si="101"/>
        <v>25.2875695858</v>
      </c>
      <c r="AD577" s="6">
        <f t="shared" si="101"/>
        <v>25.718846931799998</v>
      </c>
      <c r="AE577" s="6">
        <f t="shared" si="101"/>
        <v>26.136428104300002</v>
      </c>
      <c r="AF577" s="6">
        <f t="shared" si="101"/>
        <v>26.5463184977</v>
      </c>
      <c r="AG577" s="6">
        <f t="shared" si="101"/>
        <v>26.955838259</v>
      </c>
      <c r="AH577" s="6">
        <f t="shared" si="101"/>
        <v>27.369025680500002</v>
      </c>
      <c r="AI577" s="6">
        <f t="shared" si="101"/>
        <v>27.787337087499999</v>
      </c>
      <c r="AJ577" s="6">
        <f t="shared" si="101"/>
        <v>28.2108317864</v>
      </c>
      <c r="AK577" s="6">
        <f t="shared" si="101"/>
        <v>28.639124713100003</v>
      </c>
      <c r="AL577" s="6">
        <f t="shared" si="101"/>
        <v>29.071966438800001</v>
      </c>
    </row>
    <row r="578" spans="1:38" x14ac:dyDescent="0.3">
      <c r="B578" t="s">
        <v>89</v>
      </c>
      <c r="C578" s="6">
        <f>SUM(C452:C454)</f>
        <v>16.04429575</v>
      </c>
      <c r="D578" s="6">
        <f t="shared" ref="D578:AL578" si="102">SUM(D452:D454)</f>
        <v>15.995007040000001</v>
      </c>
      <c r="E578" s="6">
        <f t="shared" si="102"/>
        <v>15.971830880000001</v>
      </c>
      <c r="F578" s="6">
        <f t="shared" si="102"/>
        <v>16.00674248</v>
      </c>
      <c r="G578" s="6">
        <f t="shared" si="102"/>
        <v>16.085288179999999</v>
      </c>
      <c r="H578" s="6">
        <f t="shared" si="102"/>
        <v>16.193397600000001</v>
      </c>
      <c r="I578" s="6">
        <f t="shared" si="102"/>
        <v>16.329698759999999</v>
      </c>
      <c r="J578" s="6">
        <f t="shared" si="102"/>
        <v>16.45915222</v>
      </c>
      <c r="K578" s="6">
        <f t="shared" si="102"/>
        <v>16.57704133</v>
      </c>
      <c r="L578" s="6">
        <f t="shared" si="102"/>
        <v>16.692318440000001</v>
      </c>
      <c r="M578" s="6">
        <f t="shared" si="102"/>
        <v>16.820886860000002</v>
      </c>
      <c r="N578" s="6">
        <f t="shared" si="102"/>
        <v>16.978882609999999</v>
      </c>
      <c r="O578" s="6">
        <f t="shared" si="102"/>
        <v>17.158803630000001</v>
      </c>
      <c r="P578" s="6">
        <f t="shared" si="102"/>
        <v>17.35676814</v>
      </c>
      <c r="Q578" s="6">
        <f t="shared" si="102"/>
        <v>17.566747100000001</v>
      </c>
      <c r="R578" s="6">
        <f t="shared" si="102"/>
        <v>17.782477060000002</v>
      </c>
      <c r="S578" s="6">
        <f t="shared" si="102"/>
        <v>17.99967908</v>
      </c>
      <c r="T578" s="6">
        <f t="shared" si="102"/>
        <v>18.216849530000001</v>
      </c>
      <c r="U578" s="6">
        <f t="shared" si="102"/>
        <v>18.43475166</v>
      </c>
      <c r="V578" s="6">
        <f t="shared" si="102"/>
        <v>18.65524156</v>
      </c>
      <c r="W578" s="6">
        <f t="shared" si="102"/>
        <v>18.876888439999998</v>
      </c>
      <c r="X578" s="6">
        <f t="shared" si="102"/>
        <v>19.099645630000001</v>
      </c>
      <c r="Y578" s="6">
        <f t="shared" si="102"/>
        <v>19.330686320000002</v>
      </c>
      <c r="Z578" s="6">
        <f t="shared" si="102"/>
        <v>19.569338210000002</v>
      </c>
      <c r="AA578" s="6">
        <f t="shared" si="102"/>
        <v>19.814020370000001</v>
      </c>
      <c r="AB578" s="6">
        <f t="shared" si="102"/>
        <v>20.050802789999999</v>
      </c>
      <c r="AC578" s="6">
        <f t="shared" si="102"/>
        <v>20.279775879999999</v>
      </c>
      <c r="AD578" s="6">
        <f t="shared" si="102"/>
        <v>20.51137421</v>
      </c>
      <c r="AE578" s="6">
        <f t="shared" si="102"/>
        <v>20.748214539999999</v>
      </c>
      <c r="AF578" s="6">
        <f t="shared" si="102"/>
        <v>20.991521540000001</v>
      </c>
      <c r="AG578" s="6">
        <f t="shared" si="102"/>
        <v>21.241738470000001</v>
      </c>
      <c r="AH578" s="6">
        <f t="shared" si="102"/>
        <v>21.498620859999999</v>
      </c>
      <c r="AI578" s="6">
        <f t="shared" si="102"/>
        <v>21.761513610000002</v>
      </c>
      <c r="AJ578" s="6">
        <f t="shared" si="102"/>
        <v>22.029693229999999</v>
      </c>
      <c r="AK578" s="6">
        <f t="shared" si="102"/>
        <v>22.30261844</v>
      </c>
      <c r="AL578" s="6">
        <f t="shared" si="102"/>
        <v>22.580017430000002</v>
      </c>
    </row>
    <row r="579" spans="1:38" x14ac:dyDescent="0.3">
      <c r="B579" t="s">
        <v>90</v>
      </c>
      <c r="C579" s="6">
        <f>SUM(C458:C460)</f>
        <v>19.865101190000001</v>
      </c>
      <c r="D579" s="6">
        <f t="shared" ref="D579:AL579" si="103">SUM(D458:D460)</f>
        <v>20.129117539999999</v>
      </c>
      <c r="E579" s="6">
        <f t="shared" si="103"/>
        <v>20.44709349</v>
      </c>
      <c r="F579" s="6">
        <f t="shared" si="103"/>
        <v>20.808698580000001</v>
      </c>
      <c r="G579" s="6">
        <f t="shared" si="103"/>
        <v>21.198328249999999</v>
      </c>
      <c r="H579" s="6">
        <f t="shared" si="103"/>
        <v>21.604163379999999</v>
      </c>
      <c r="I579" s="6">
        <f t="shared" si="103"/>
        <v>22.00865246</v>
      </c>
      <c r="J579" s="6">
        <f t="shared" si="103"/>
        <v>22.382178660000001</v>
      </c>
      <c r="K579" s="6">
        <f t="shared" si="103"/>
        <v>22.7251029</v>
      </c>
      <c r="L579" s="6">
        <f t="shared" si="103"/>
        <v>23.060979970000002</v>
      </c>
      <c r="M579" s="6">
        <f t="shared" si="103"/>
        <v>23.437287420000001</v>
      </c>
      <c r="N579" s="6">
        <f t="shared" si="103"/>
        <v>23.834637499999999</v>
      </c>
      <c r="O579" s="6">
        <f t="shared" si="103"/>
        <v>24.25916123</v>
      </c>
      <c r="P579" s="6">
        <f t="shared" si="103"/>
        <v>24.702286699999998</v>
      </c>
      <c r="Q579" s="6">
        <f t="shared" si="103"/>
        <v>25.152722990000001</v>
      </c>
      <c r="R579" s="6">
        <f t="shared" si="103"/>
        <v>25.602144729999999</v>
      </c>
      <c r="S579" s="6">
        <f t="shared" si="103"/>
        <v>26.047759899999999</v>
      </c>
      <c r="T579" s="6">
        <f t="shared" si="103"/>
        <v>26.491918120000001</v>
      </c>
      <c r="U579" s="6">
        <f t="shared" si="103"/>
        <v>26.939823059999998</v>
      </c>
      <c r="V579" s="6">
        <f t="shared" si="103"/>
        <v>27.396848129999999</v>
      </c>
      <c r="W579" s="6">
        <f t="shared" si="103"/>
        <v>27.84886878</v>
      </c>
      <c r="X579" s="6">
        <f t="shared" si="103"/>
        <v>28.323292160000001</v>
      </c>
      <c r="Y579" s="6">
        <f t="shared" si="103"/>
        <v>28.81498328</v>
      </c>
      <c r="Z579" s="6">
        <f t="shared" si="103"/>
        <v>29.321274769999999</v>
      </c>
      <c r="AA579" s="6">
        <f t="shared" si="103"/>
        <v>29.839469340000001</v>
      </c>
      <c r="AB579" s="6">
        <f t="shared" si="103"/>
        <v>30.31274136</v>
      </c>
      <c r="AC579" s="6">
        <f t="shared" si="103"/>
        <v>30.798273290000001</v>
      </c>
      <c r="AD579" s="6">
        <f t="shared" si="103"/>
        <v>31.292804669999999</v>
      </c>
      <c r="AE579" s="6">
        <f t="shared" si="103"/>
        <v>31.798223069999999</v>
      </c>
      <c r="AF579" s="6">
        <f t="shared" si="103"/>
        <v>32.31553787</v>
      </c>
      <c r="AG579" s="6">
        <f t="shared" si="103"/>
        <v>32.84450605</v>
      </c>
      <c r="AH579" s="6">
        <f t="shared" si="103"/>
        <v>33.384067909999999</v>
      </c>
      <c r="AI579" s="6">
        <f t="shared" si="103"/>
        <v>33.933031659999997</v>
      </c>
      <c r="AJ579" s="6">
        <f t="shared" si="103"/>
        <v>34.490639160000001</v>
      </c>
      <c r="AK579" s="6">
        <f t="shared" si="103"/>
        <v>35.056801780000001</v>
      </c>
      <c r="AL579" s="6">
        <f t="shared" si="103"/>
        <v>35.63199307</v>
      </c>
    </row>
    <row r="580" spans="1:38" x14ac:dyDescent="0.3">
      <c r="B580" t="s">
        <v>91</v>
      </c>
      <c r="C580" s="6">
        <f>SUM(C449:C451,C455:C457)</f>
        <v>9.3771222919999992</v>
      </c>
      <c r="D580" s="6">
        <f t="shared" ref="D580:AL580" si="104">SUM(D449:D451,D455:D457)</f>
        <v>9.4273043759999986</v>
      </c>
      <c r="E580" s="6">
        <f t="shared" si="104"/>
        <v>9.4977789880000003</v>
      </c>
      <c r="F580" s="6">
        <f t="shared" si="104"/>
        <v>9.5942522189999995</v>
      </c>
      <c r="G580" s="6">
        <f t="shared" si="104"/>
        <v>9.7092844499999984</v>
      </c>
      <c r="H580" s="6">
        <f t="shared" si="104"/>
        <v>9.8358231140000001</v>
      </c>
      <c r="I580" s="6">
        <f t="shared" si="104"/>
        <v>9.9676630569999993</v>
      </c>
      <c r="J580" s="6">
        <f t="shared" si="104"/>
        <v>10.089662227</v>
      </c>
      <c r="K580" s="6">
        <f t="shared" si="104"/>
        <v>10.196996408</v>
      </c>
      <c r="L580" s="6">
        <f t="shared" si="104"/>
        <v>10.294234756</v>
      </c>
      <c r="M580" s="6">
        <f t="shared" si="104"/>
        <v>10.398278933</v>
      </c>
      <c r="N580" s="6">
        <f t="shared" si="104"/>
        <v>10.508483597</v>
      </c>
      <c r="O580" s="6">
        <f t="shared" si="104"/>
        <v>10.630292116</v>
      </c>
      <c r="P580" s="6">
        <f t="shared" si="104"/>
        <v>10.763955804999998</v>
      </c>
      <c r="Q580" s="6">
        <f t="shared" si="104"/>
        <v>10.906489265000001</v>
      </c>
      <c r="R580" s="6">
        <f t="shared" si="104"/>
        <v>11.053839012000001</v>
      </c>
      <c r="S580" s="6">
        <f t="shared" si="104"/>
        <v>11.202772811999999</v>
      </c>
      <c r="T580" s="6">
        <f t="shared" si="104"/>
        <v>11.351820281</v>
      </c>
      <c r="U580" s="6">
        <f t="shared" si="104"/>
        <v>11.501229502000001</v>
      </c>
      <c r="V580" s="6">
        <f t="shared" si="104"/>
        <v>11.652279970999999</v>
      </c>
      <c r="W580" s="6">
        <f t="shared" si="104"/>
        <v>11.800588061999999</v>
      </c>
      <c r="X580" s="6">
        <f t="shared" si="104"/>
        <v>11.955364075</v>
      </c>
      <c r="Y580" s="6">
        <f t="shared" si="104"/>
        <v>12.116104534</v>
      </c>
      <c r="Z580" s="6">
        <f t="shared" si="104"/>
        <v>12.282077309</v>
      </c>
      <c r="AA580" s="6">
        <f t="shared" si="104"/>
        <v>12.452268508</v>
      </c>
      <c r="AB580" s="6">
        <f t="shared" si="104"/>
        <v>12.607627031</v>
      </c>
      <c r="AC580" s="6">
        <f t="shared" si="104"/>
        <v>12.766186393000002</v>
      </c>
      <c r="AD580" s="6">
        <f t="shared" si="104"/>
        <v>12.927109625</v>
      </c>
      <c r="AE580" s="6">
        <f t="shared" si="104"/>
        <v>13.091063909999999</v>
      </c>
      <c r="AF580" s="6">
        <f t="shared" si="104"/>
        <v>13.258767856999999</v>
      </c>
      <c r="AG580" s="6">
        <f t="shared" si="104"/>
        <v>13.430590968000001</v>
      </c>
      <c r="AH580" s="6">
        <f t="shared" si="104"/>
        <v>13.606455873</v>
      </c>
      <c r="AI580" s="6">
        <f t="shared" si="104"/>
        <v>13.785967851999999</v>
      </c>
      <c r="AJ580" s="6">
        <f t="shared" si="104"/>
        <v>13.9686409</v>
      </c>
      <c r="AK580" s="6">
        <f t="shared" si="104"/>
        <v>14.154095648999999</v>
      </c>
      <c r="AL580" s="6">
        <f t="shared" si="104"/>
        <v>14.342155457</v>
      </c>
    </row>
    <row r="581" spans="1:38" x14ac:dyDescent="0.3">
      <c r="B581" t="s">
        <v>10</v>
      </c>
      <c r="C581" s="6">
        <f>SUM(C461:C466)</f>
        <v>56.873190193999996</v>
      </c>
      <c r="D581" s="6">
        <f t="shared" ref="D581:AL581" si="105">SUM(D461:D466)</f>
        <v>56.814251932099992</v>
      </c>
      <c r="E581" s="6">
        <f t="shared" si="105"/>
        <v>56.686655520199999</v>
      </c>
      <c r="F581" s="6">
        <f t="shared" si="105"/>
        <v>56.782329083600004</v>
      </c>
      <c r="G581" s="6">
        <f t="shared" si="105"/>
        <v>57.178165329299993</v>
      </c>
      <c r="H581" s="6">
        <f t="shared" si="105"/>
        <v>57.910599792599996</v>
      </c>
      <c r="I581" s="6">
        <f t="shared" si="105"/>
        <v>59.057472980100002</v>
      </c>
      <c r="J581" s="6">
        <f t="shared" si="105"/>
        <v>61.107145295900004</v>
      </c>
      <c r="K581" s="6">
        <f t="shared" si="105"/>
        <v>63.647445837299998</v>
      </c>
      <c r="L581" s="6">
        <f t="shared" si="105"/>
        <v>66.09154883890001</v>
      </c>
      <c r="M581" s="6">
        <f t="shared" si="105"/>
        <v>67.920367063200004</v>
      </c>
      <c r="N581" s="6">
        <f t="shared" si="105"/>
        <v>69.339817022800005</v>
      </c>
      <c r="O581" s="6">
        <f t="shared" si="105"/>
        <v>70.335536458899995</v>
      </c>
      <c r="P581" s="6">
        <f t="shared" si="105"/>
        <v>71.163204566299996</v>
      </c>
      <c r="Q581" s="6">
        <f t="shared" si="105"/>
        <v>72.037701528400007</v>
      </c>
      <c r="R581" s="6">
        <f t="shared" si="105"/>
        <v>73.059641804199998</v>
      </c>
      <c r="S581" s="6">
        <f t="shared" si="105"/>
        <v>74.224564627299998</v>
      </c>
      <c r="T581" s="6">
        <f t="shared" si="105"/>
        <v>75.467299678800003</v>
      </c>
      <c r="U581" s="6">
        <f t="shared" si="105"/>
        <v>76.713000468100006</v>
      </c>
      <c r="V581" s="6">
        <f t="shared" si="105"/>
        <v>77.914753759000007</v>
      </c>
      <c r="W581" s="6">
        <f t="shared" si="105"/>
        <v>79.1187178813</v>
      </c>
      <c r="X581" s="6">
        <f t="shared" si="105"/>
        <v>80.195321449199994</v>
      </c>
      <c r="Y581" s="6">
        <f t="shared" si="105"/>
        <v>81.307574389300001</v>
      </c>
      <c r="Z581" s="6">
        <f t="shared" si="105"/>
        <v>82.497716397099992</v>
      </c>
      <c r="AA581" s="6">
        <f t="shared" si="105"/>
        <v>83.790344278700005</v>
      </c>
      <c r="AB581" s="6">
        <f t="shared" si="105"/>
        <v>85.307201746800004</v>
      </c>
      <c r="AC581" s="6">
        <f t="shared" si="105"/>
        <v>86.702565317899996</v>
      </c>
      <c r="AD581" s="6">
        <f t="shared" si="105"/>
        <v>88.111908103100006</v>
      </c>
      <c r="AE581" s="6">
        <f t="shared" si="105"/>
        <v>89.515385044500007</v>
      </c>
      <c r="AF581" s="6">
        <f t="shared" si="105"/>
        <v>90.905550971600007</v>
      </c>
      <c r="AG581" s="6">
        <f t="shared" si="105"/>
        <v>92.295749503599993</v>
      </c>
      <c r="AH581" s="6">
        <f t="shared" si="105"/>
        <v>93.707136194</v>
      </c>
      <c r="AI581" s="6">
        <f t="shared" si="105"/>
        <v>95.155906477599999</v>
      </c>
      <c r="AJ581" s="6">
        <f t="shared" si="105"/>
        <v>96.646728856200014</v>
      </c>
      <c r="AK581" s="6">
        <f t="shared" si="105"/>
        <v>98.173218187299994</v>
      </c>
      <c r="AL581" s="6">
        <f t="shared" si="105"/>
        <v>99.723163980799995</v>
      </c>
    </row>
    <row r="582" spans="1:38" x14ac:dyDescent="0.3">
      <c r="B582" t="s">
        <v>24</v>
      </c>
      <c r="C582" s="6">
        <f>SUM(C467:C481)</f>
        <v>37.339553559899997</v>
      </c>
      <c r="D582" s="6">
        <f t="shared" ref="D582:AL582" si="106">SUM(D467:D481)</f>
        <v>38.045287987600005</v>
      </c>
      <c r="E582" s="6">
        <f t="shared" si="106"/>
        <v>38.682777015999996</v>
      </c>
      <c r="F582" s="6">
        <f t="shared" si="106"/>
        <v>39.279182850399998</v>
      </c>
      <c r="G582" s="6">
        <f t="shared" si="106"/>
        <v>39.876448586800002</v>
      </c>
      <c r="H582" s="6">
        <f t="shared" si="106"/>
        <v>40.499907658300003</v>
      </c>
      <c r="I582" s="6">
        <f t="shared" si="106"/>
        <v>41.182235769299993</v>
      </c>
      <c r="J582" s="6">
        <f t="shared" si="106"/>
        <v>41.914553470399994</v>
      </c>
      <c r="K582" s="6">
        <f t="shared" si="106"/>
        <v>42.684384186099997</v>
      </c>
      <c r="L582" s="6">
        <f t="shared" si="106"/>
        <v>43.437023406400002</v>
      </c>
      <c r="M582" s="6">
        <f t="shared" si="106"/>
        <v>44.175729406700007</v>
      </c>
      <c r="N582" s="6">
        <f t="shared" si="106"/>
        <v>44.795525817500007</v>
      </c>
      <c r="O582" s="6">
        <f t="shared" si="106"/>
        <v>45.351054887199986</v>
      </c>
      <c r="P582" s="6">
        <f t="shared" si="106"/>
        <v>45.874548642200004</v>
      </c>
      <c r="Q582" s="6">
        <f t="shared" si="106"/>
        <v>46.390463153299997</v>
      </c>
      <c r="R582" s="6">
        <f t="shared" si="106"/>
        <v>46.913013957499999</v>
      </c>
      <c r="S582" s="6">
        <f t="shared" si="106"/>
        <v>47.445431254500001</v>
      </c>
      <c r="T582" s="6">
        <f t="shared" si="106"/>
        <v>47.985013342999991</v>
      </c>
      <c r="U582" s="6">
        <f t="shared" si="106"/>
        <v>48.527791171100006</v>
      </c>
      <c r="V582" s="6">
        <f t="shared" si="106"/>
        <v>49.071898064900012</v>
      </c>
      <c r="W582" s="6">
        <f t="shared" si="106"/>
        <v>49.580984741099989</v>
      </c>
      <c r="X582" s="6">
        <f t="shared" si="106"/>
        <v>50.129058616000002</v>
      </c>
      <c r="Y582" s="6">
        <f t="shared" si="106"/>
        <v>50.691944537799998</v>
      </c>
      <c r="Z582" s="6">
        <f t="shared" si="106"/>
        <v>51.267664132699998</v>
      </c>
      <c r="AA582" s="6">
        <f t="shared" si="106"/>
        <v>51.857756565500004</v>
      </c>
      <c r="AB582" s="6">
        <f t="shared" si="106"/>
        <v>52.348554300100005</v>
      </c>
      <c r="AC582" s="6">
        <f t="shared" si="106"/>
        <v>52.898800775900007</v>
      </c>
      <c r="AD582" s="6">
        <f t="shared" si="106"/>
        <v>53.457434280899996</v>
      </c>
      <c r="AE582" s="6">
        <f t="shared" si="106"/>
        <v>54.008733461200009</v>
      </c>
      <c r="AF582" s="6">
        <f t="shared" si="106"/>
        <v>54.549910338699995</v>
      </c>
      <c r="AG582" s="6">
        <f t="shared" si="106"/>
        <v>55.082591297100002</v>
      </c>
      <c r="AH582" s="6">
        <f t="shared" si="106"/>
        <v>55.609417756599996</v>
      </c>
      <c r="AI582" s="6">
        <f t="shared" si="106"/>
        <v>56.13278353030001</v>
      </c>
      <c r="AJ582" s="6">
        <f t="shared" si="106"/>
        <v>56.654167172699999</v>
      </c>
      <c r="AK582" s="6">
        <f t="shared" si="106"/>
        <v>57.174017068899992</v>
      </c>
      <c r="AL582" s="6">
        <f t="shared" si="106"/>
        <v>57.692192416700003</v>
      </c>
    </row>
    <row r="583" spans="1:38" x14ac:dyDescent="0.3">
      <c r="B583" t="s">
        <v>11</v>
      </c>
      <c r="C583" s="6">
        <f>SUM(C482:C490)</f>
        <v>9.551511409699998</v>
      </c>
      <c r="D583" s="6">
        <f t="shared" ref="D583:AL583" si="107">SUM(D482:D490)</f>
        <v>9.6225305899000002</v>
      </c>
      <c r="E583" s="6">
        <f t="shared" si="107"/>
        <v>9.6857343295000007</v>
      </c>
      <c r="F583" s="6">
        <f t="shared" si="107"/>
        <v>9.767521594199998</v>
      </c>
      <c r="G583" s="6">
        <f t="shared" si="107"/>
        <v>9.8823432211999993</v>
      </c>
      <c r="H583" s="6">
        <f t="shared" si="107"/>
        <v>10.037716120400002</v>
      </c>
      <c r="I583" s="6">
        <f t="shared" si="107"/>
        <v>10.2412585729</v>
      </c>
      <c r="J583" s="6">
        <f t="shared" si="107"/>
        <v>10.5097861294</v>
      </c>
      <c r="K583" s="6">
        <f t="shared" si="107"/>
        <v>10.821673685399999</v>
      </c>
      <c r="L583" s="6">
        <f t="shared" si="107"/>
        <v>11.131308432400001</v>
      </c>
      <c r="M583" s="6">
        <f t="shared" si="107"/>
        <v>11.4042893227</v>
      </c>
      <c r="N583" s="6">
        <f t="shared" si="107"/>
        <v>11.6168507615</v>
      </c>
      <c r="O583" s="6">
        <f t="shared" si="107"/>
        <v>11.775822661499999</v>
      </c>
      <c r="P583" s="6">
        <f t="shared" si="107"/>
        <v>11.901065901900001</v>
      </c>
      <c r="Q583" s="6">
        <f t="shared" si="107"/>
        <v>12.015003069399997</v>
      </c>
      <c r="R583" s="6">
        <f t="shared" si="107"/>
        <v>12.1333648794</v>
      </c>
      <c r="S583" s="6">
        <f t="shared" si="107"/>
        <v>12.2618486158</v>
      </c>
      <c r="T583" s="6">
        <f t="shared" si="107"/>
        <v>12.400271653899999</v>
      </c>
      <c r="U583" s="6">
        <f t="shared" si="107"/>
        <v>12.5462535799</v>
      </c>
      <c r="V583" s="6">
        <f t="shared" si="107"/>
        <v>12.698204939800002</v>
      </c>
      <c r="W583" s="6">
        <f t="shared" si="107"/>
        <v>12.851091494599999</v>
      </c>
      <c r="X583" s="6">
        <f t="shared" si="107"/>
        <v>13.014655527099999</v>
      </c>
      <c r="Y583" s="6">
        <f t="shared" si="107"/>
        <v>13.191145151100002</v>
      </c>
      <c r="Z583" s="6">
        <f t="shared" si="107"/>
        <v>13.382001131100001</v>
      </c>
      <c r="AA583" s="6">
        <f t="shared" si="107"/>
        <v>13.587825950099999</v>
      </c>
      <c r="AB583" s="6">
        <f t="shared" si="107"/>
        <v>13.7891681239</v>
      </c>
      <c r="AC583" s="6">
        <f t="shared" si="107"/>
        <v>14.0003069681</v>
      </c>
      <c r="AD583" s="6">
        <f t="shared" si="107"/>
        <v>14.214402139199999</v>
      </c>
      <c r="AE583" s="6">
        <f t="shared" si="107"/>
        <v>14.4253533244</v>
      </c>
      <c r="AF583" s="6">
        <f t="shared" si="107"/>
        <v>14.6306929262</v>
      </c>
      <c r="AG583" s="6">
        <f t="shared" si="107"/>
        <v>14.830802289899999</v>
      </c>
      <c r="AH583" s="6">
        <f t="shared" si="107"/>
        <v>15.027196465299999</v>
      </c>
      <c r="AI583" s="6">
        <f t="shared" si="107"/>
        <v>15.221759119000001</v>
      </c>
      <c r="AJ583" s="6">
        <f t="shared" si="107"/>
        <v>15.416039361000001</v>
      </c>
      <c r="AK583" s="6">
        <f t="shared" si="107"/>
        <v>15.610871735100002</v>
      </c>
      <c r="AL583" s="6">
        <f t="shared" si="107"/>
        <v>15.8065553018</v>
      </c>
    </row>
    <row r="585" spans="1:38" x14ac:dyDescent="0.3">
      <c r="A585" s="12" t="s">
        <v>66</v>
      </c>
      <c r="C585" s="7" t="s">
        <v>46</v>
      </c>
      <c r="D585" s="7" t="s">
        <v>14</v>
      </c>
      <c r="E585" s="7" t="s">
        <v>15</v>
      </c>
      <c r="F585" s="7" t="s">
        <v>16</v>
      </c>
    </row>
    <row r="586" spans="1:38" x14ac:dyDescent="0.3">
      <c r="A586" t="s">
        <v>27</v>
      </c>
      <c r="B586" t="s">
        <v>7</v>
      </c>
      <c r="C586" s="6">
        <f>H572</f>
        <v>14.181977179299999</v>
      </c>
      <c r="D586" s="6">
        <f>R572</f>
        <v>15.559063695700001</v>
      </c>
      <c r="E586" s="6">
        <f>AB572</f>
        <v>15.929786482399999</v>
      </c>
      <c r="F586" s="6">
        <f>AL572</f>
        <v>16.3002939197</v>
      </c>
    </row>
    <row r="587" spans="1:38" x14ac:dyDescent="0.3">
      <c r="B587" t="s">
        <v>84</v>
      </c>
      <c r="C587" s="6">
        <f t="shared" ref="C587:C597" si="108">H573</f>
        <v>9.9127603149999999</v>
      </c>
      <c r="D587" s="6">
        <f t="shared" ref="D587:D597" si="109">R573</f>
        <v>10.045637429999999</v>
      </c>
      <c r="E587" s="6">
        <f t="shared" ref="E587:E597" si="110">AB573</f>
        <v>10.265964070000001</v>
      </c>
      <c r="F587" s="6">
        <f t="shared" ref="F587:F597" si="111">AL573</f>
        <v>10.48640103</v>
      </c>
    </row>
    <row r="588" spans="1:38" x14ac:dyDescent="0.3">
      <c r="B588" t="s">
        <v>85</v>
      </c>
      <c r="C588" s="6">
        <f t="shared" si="108"/>
        <v>22.436313386000002</v>
      </c>
      <c r="D588" s="6">
        <f t="shared" si="109"/>
        <v>25.190863217</v>
      </c>
      <c r="E588" s="6">
        <f t="shared" si="110"/>
        <v>28.991644965999999</v>
      </c>
      <c r="F588" s="6">
        <f t="shared" si="111"/>
        <v>33.818343216000002</v>
      </c>
    </row>
    <row r="589" spans="1:38" x14ac:dyDescent="0.3">
      <c r="B589" t="s">
        <v>86</v>
      </c>
      <c r="C589" s="6">
        <f t="shared" si="108"/>
        <v>6.6597788390000003</v>
      </c>
      <c r="D589" s="6">
        <f t="shared" si="109"/>
        <v>7.4926168650000005</v>
      </c>
      <c r="E589" s="6">
        <f t="shared" si="110"/>
        <v>8.6232998829999996</v>
      </c>
      <c r="F589" s="6">
        <f t="shared" si="111"/>
        <v>9.923505123</v>
      </c>
    </row>
    <row r="590" spans="1:38" x14ac:dyDescent="0.3">
      <c r="B590" t="s">
        <v>87</v>
      </c>
      <c r="C590" s="6">
        <f t="shared" si="108"/>
        <v>22.167634912</v>
      </c>
      <c r="D590" s="6">
        <f t="shared" si="109"/>
        <v>25.182294328000001</v>
      </c>
      <c r="E590" s="6">
        <f t="shared" si="110"/>
        <v>28.890857629999999</v>
      </c>
      <c r="F590" s="6">
        <f t="shared" si="111"/>
        <v>33.20471663</v>
      </c>
    </row>
    <row r="591" spans="1:38" x14ac:dyDescent="0.3">
      <c r="B591" t="s">
        <v>88</v>
      </c>
      <c r="C591" s="6">
        <f t="shared" si="108"/>
        <v>19.209045346499998</v>
      </c>
      <c r="D591" s="6">
        <f t="shared" si="109"/>
        <v>21.697405747399998</v>
      </c>
      <c r="E591" s="6">
        <f t="shared" si="110"/>
        <v>24.882467294400001</v>
      </c>
      <c r="F591" s="6">
        <f t="shared" si="111"/>
        <v>29.071966438800001</v>
      </c>
    </row>
    <row r="592" spans="1:38" x14ac:dyDescent="0.3">
      <c r="B592" t="s">
        <v>89</v>
      </c>
      <c r="C592" s="6">
        <f t="shared" si="108"/>
        <v>16.193397600000001</v>
      </c>
      <c r="D592" s="6">
        <f t="shared" si="109"/>
        <v>17.782477060000002</v>
      </c>
      <c r="E592" s="6">
        <f t="shared" si="110"/>
        <v>20.050802789999999</v>
      </c>
      <c r="F592" s="6">
        <f t="shared" si="111"/>
        <v>22.580017430000002</v>
      </c>
    </row>
    <row r="593" spans="1:38" x14ac:dyDescent="0.3">
      <c r="B593" t="s">
        <v>90</v>
      </c>
      <c r="C593" s="6">
        <f t="shared" si="108"/>
        <v>21.604163379999999</v>
      </c>
      <c r="D593" s="6">
        <f t="shared" si="109"/>
        <v>25.602144729999999</v>
      </c>
      <c r="E593" s="6">
        <f t="shared" si="110"/>
        <v>30.31274136</v>
      </c>
      <c r="F593" s="6">
        <f t="shared" si="111"/>
        <v>35.63199307</v>
      </c>
    </row>
    <row r="594" spans="1:38" x14ac:dyDescent="0.3">
      <c r="B594" t="s">
        <v>91</v>
      </c>
      <c r="C594" s="6">
        <f t="shared" si="108"/>
        <v>9.8358231140000001</v>
      </c>
      <c r="D594" s="6">
        <f t="shared" si="109"/>
        <v>11.053839012000001</v>
      </c>
      <c r="E594" s="6">
        <f t="shared" si="110"/>
        <v>12.607627031</v>
      </c>
      <c r="F594" s="6">
        <f t="shared" si="111"/>
        <v>14.342155457</v>
      </c>
    </row>
    <row r="595" spans="1:38" x14ac:dyDescent="0.3">
      <c r="B595" t="s">
        <v>10</v>
      </c>
      <c r="C595" s="6">
        <f t="shared" si="108"/>
        <v>57.910599792599996</v>
      </c>
      <c r="D595" s="6">
        <f t="shared" si="109"/>
        <v>73.059641804199998</v>
      </c>
      <c r="E595" s="6">
        <f t="shared" si="110"/>
        <v>85.307201746800004</v>
      </c>
      <c r="F595" s="6">
        <f t="shared" si="111"/>
        <v>99.723163980799995</v>
      </c>
    </row>
    <row r="596" spans="1:38" x14ac:dyDescent="0.3">
      <c r="B596" t="s">
        <v>24</v>
      </c>
      <c r="C596" s="6">
        <f t="shared" si="108"/>
        <v>40.499907658300003</v>
      </c>
      <c r="D596" s="6">
        <f t="shared" si="109"/>
        <v>46.913013957499999</v>
      </c>
      <c r="E596" s="6">
        <f t="shared" si="110"/>
        <v>52.348554300100005</v>
      </c>
      <c r="F596" s="6">
        <f t="shared" si="111"/>
        <v>57.692192416700003</v>
      </c>
    </row>
    <row r="597" spans="1:38" x14ac:dyDescent="0.3">
      <c r="B597" t="s">
        <v>11</v>
      </c>
      <c r="C597" s="6">
        <f t="shared" si="108"/>
        <v>10.037716120400002</v>
      </c>
      <c r="D597" s="6">
        <f t="shared" si="109"/>
        <v>12.1333648794</v>
      </c>
      <c r="E597" s="6">
        <f t="shared" si="110"/>
        <v>13.7891681239</v>
      </c>
      <c r="F597" s="6">
        <f t="shared" si="111"/>
        <v>15.8065553018</v>
      </c>
    </row>
    <row r="599" spans="1:38" x14ac:dyDescent="0.3">
      <c r="A599" s="12" t="s">
        <v>67</v>
      </c>
      <c r="B599" t="s">
        <v>47</v>
      </c>
      <c r="C599" s="6">
        <f>[1]Results!F281</f>
        <v>150.77321449999999</v>
      </c>
      <c r="D599" s="6">
        <f>[1]Results!G281</f>
        <v>151.2336043</v>
      </c>
      <c r="E599" s="6">
        <f>[1]Results!H281</f>
        <v>151.5248004</v>
      </c>
      <c r="F599" s="6">
        <f>[1]Results!I281</f>
        <v>152.00206460000001</v>
      </c>
      <c r="G599" s="6">
        <f>[1]Results!J281</f>
        <v>152.8286712</v>
      </c>
      <c r="H599" s="6">
        <f>[1]Results!K281</f>
        <v>154.0876782</v>
      </c>
      <c r="I599" s="6">
        <f>[1]Results!L281</f>
        <v>156.00600639999999</v>
      </c>
      <c r="J599" s="6">
        <f>[1]Results!M281</f>
        <v>158.5434042</v>
      </c>
      <c r="K599" s="6">
        <f>[1]Results!N281</f>
        <v>161.4874724</v>
      </c>
      <c r="L599" s="6">
        <f>[1]Results!O281</f>
        <v>164.32356680000001</v>
      </c>
      <c r="M599" s="6">
        <f>[1]Results!P281</f>
        <v>166.81437729999999</v>
      </c>
      <c r="N599" s="6">
        <f>[1]Results!Q281</f>
        <v>168.6438163</v>
      </c>
      <c r="O599" s="6">
        <f>[1]Results!R281</f>
        <v>170.06290709999999</v>
      </c>
      <c r="P599" s="6">
        <f>[1]Results!S281</f>
        <v>171.31487530000001</v>
      </c>
      <c r="Q599" s="6">
        <f>[1]Results!T281</f>
        <v>172.5883336</v>
      </c>
      <c r="R599" s="6">
        <f>[1]Results!U281</f>
        <v>173.97707840000001</v>
      </c>
      <c r="S599" s="6">
        <f>[1]Results!V281</f>
        <v>175.4832059</v>
      </c>
      <c r="T599" s="6">
        <f>[1]Results!W281</f>
        <v>177.06166379999999</v>
      </c>
      <c r="U599" s="6">
        <f>[1]Results!X281</f>
        <v>178.66055059999999</v>
      </c>
      <c r="V599" s="6">
        <f>[1]Results!Y281</f>
        <v>180.25039369999999</v>
      </c>
      <c r="W599" s="6">
        <f>[1]Results!Z281</f>
        <v>181.72040920000001</v>
      </c>
      <c r="X599" s="6">
        <f>[1]Results!AA281</f>
        <v>183.29715469999999</v>
      </c>
      <c r="Y599" s="6">
        <f>[1]Results!AB281</f>
        <v>184.94029399999999</v>
      </c>
      <c r="Z599" s="6">
        <f>[1]Results!AC281</f>
        <v>186.66024039999999</v>
      </c>
      <c r="AA599" s="6">
        <f>[1]Results!AD281</f>
        <v>188.47434720000001</v>
      </c>
      <c r="AB599" s="6">
        <f>[1]Results!AE281</f>
        <v>190.02584540000001</v>
      </c>
      <c r="AC599" s="6">
        <f>[1]Results!AF281</f>
        <v>191.7932424</v>
      </c>
      <c r="AD599" s="6">
        <f>[1]Results!AG281</f>
        <v>193.58649550000001</v>
      </c>
      <c r="AE599" s="6">
        <f>[1]Results!AH281</f>
        <v>195.33235239999999</v>
      </c>
      <c r="AF599" s="6">
        <f>[1]Results!AI281</f>
        <v>197.02009409999999</v>
      </c>
      <c r="AG599" s="6">
        <f>[1]Results!AJ281</f>
        <v>198.6641142</v>
      </c>
      <c r="AH599" s="6">
        <f>[1]Results!AK281</f>
        <v>200.28413259999999</v>
      </c>
      <c r="AI599" s="6">
        <f>[1]Results!AL281</f>
        <v>201.89597889999999</v>
      </c>
      <c r="AJ599" s="6">
        <f>[1]Results!AM281</f>
        <v>203.5067014</v>
      </c>
      <c r="AK599" s="6">
        <f>[1]Results!AN281</f>
        <v>205.11469210000001</v>
      </c>
      <c r="AL599" s="6">
        <f>[1]Results!AO281</f>
        <v>206.7140296</v>
      </c>
    </row>
    <row r="600" spans="1:38" x14ac:dyDescent="0.3">
      <c r="A600" t="s">
        <v>27</v>
      </c>
      <c r="B600" s="6" t="str">
        <f>[1]Results!E282</f>
        <v>CF_toe_ccoa_2</v>
      </c>
      <c r="C600" s="6">
        <f>[1]Results!F282</f>
        <v>7.5758440929999997</v>
      </c>
      <c r="D600" s="6">
        <f>[1]Results!G282</f>
        <v>7.9218975909999996</v>
      </c>
      <c r="E600" s="6">
        <f>[1]Results!H282</f>
        <v>8.2698668029999993</v>
      </c>
      <c r="F600" s="6">
        <f>[1]Results!I282</f>
        <v>8.5706847550000003</v>
      </c>
      <c r="G600" s="6">
        <f>[1]Results!J282</f>
        <v>8.8282209559999991</v>
      </c>
      <c r="H600" s="6">
        <f>[1]Results!K282</f>
        <v>9.0558886750000003</v>
      </c>
      <c r="I600" s="6">
        <f>[1]Results!L282</f>
        <v>9.2501204850000001</v>
      </c>
      <c r="J600" s="6">
        <f>[1]Results!M282</f>
        <v>9.4259036429999998</v>
      </c>
      <c r="K600" s="6">
        <f>[1]Results!N282</f>
        <v>9.583704633</v>
      </c>
      <c r="L600" s="6">
        <f>[1]Results!O282</f>
        <v>9.7246367060000001</v>
      </c>
      <c r="M600" s="6">
        <f>[1]Results!P282</f>
        <v>9.8909723239999998</v>
      </c>
      <c r="N600" s="6">
        <f>[1]Results!Q282</f>
        <v>10.01502835</v>
      </c>
      <c r="O600" s="6">
        <f>[1]Results!R282</f>
        <v>10.144247979999999</v>
      </c>
      <c r="P600" s="6">
        <f>[1]Results!S282</f>
        <v>10.286381950000001</v>
      </c>
      <c r="Q600" s="6">
        <f>[1]Results!T282</f>
        <v>10.4381892</v>
      </c>
      <c r="R600" s="6">
        <f>[1]Results!U282</f>
        <v>10.59475662</v>
      </c>
      <c r="S600" s="6">
        <f>[1]Results!V282</f>
        <v>10.75215105</v>
      </c>
      <c r="T600" s="6">
        <f>[1]Results!W282</f>
        <v>10.90840347</v>
      </c>
      <c r="U600" s="6">
        <f>[1]Results!X282</f>
        <v>11.06350918</v>
      </c>
      <c r="V600" s="6">
        <f>[1]Results!Y282</f>
        <v>11.21878248</v>
      </c>
      <c r="W600" s="6">
        <f>[1]Results!Z282</f>
        <v>11.35039428</v>
      </c>
      <c r="X600" s="6">
        <f>[1]Results!AA282</f>
        <v>11.51466954</v>
      </c>
      <c r="Y600" s="6">
        <f>[1]Results!AB282</f>
        <v>11.68509474</v>
      </c>
      <c r="Z600" s="6">
        <f>[1]Results!AC282</f>
        <v>11.857028550000001</v>
      </c>
      <c r="AA600" s="6">
        <f>[1]Results!AD282</f>
        <v>12.030961250000001</v>
      </c>
      <c r="AB600" s="6">
        <f>[1]Results!AE282</f>
        <v>12.13205067</v>
      </c>
      <c r="AC600" s="6">
        <f>[1]Results!AF282</f>
        <v>12.29076674</v>
      </c>
      <c r="AD600" s="6">
        <f>[1]Results!AG282</f>
        <v>12.461731690000001</v>
      </c>
      <c r="AE600" s="6">
        <f>[1]Results!AH282</f>
        <v>12.63414452</v>
      </c>
      <c r="AF600" s="6">
        <f>[1]Results!AI282</f>
        <v>12.80797679</v>
      </c>
      <c r="AG600" s="6">
        <f>[1]Results!AJ282</f>
        <v>12.98457806</v>
      </c>
      <c r="AH600" s="6">
        <f>[1]Results!AK282</f>
        <v>13.16470172</v>
      </c>
      <c r="AI600" s="6">
        <f>[1]Results!AL282</f>
        <v>13.348428480000001</v>
      </c>
      <c r="AJ600" s="6">
        <f>[1]Results!AM282</f>
        <v>13.53547187</v>
      </c>
      <c r="AK600" s="6">
        <f>[1]Results!AN282</f>
        <v>13.72548132</v>
      </c>
      <c r="AL600" s="6">
        <f>[1]Results!AO282</f>
        <v>13.918231049999999</v>
      </c>
    </row>
    <row r="601" spans="1:38" x14ac:dyDescent="0.3">
      <c r="B601" s="6" t="s">
        <v>48</v>
      </c>
      <c r="C601" s="6">
        <f>C602+C603+C604</f>
        <v>61.423617686</v>
      </c>
      <c r="D601" s="6">
        <f t="shared" ref="D601:AL601" si="112">D602+D603+D604</f>
        <v>61.316710970000003</v>
      </c>
      <c r="E601" s="6">
        <f t="shared" si="112"/>
        <v>61.100149053999999</v>
      </c>
      <c r="F601" s="6">
        <f t="shared" si="112"/>
        <v>60.963666395000004</v>
      </c>
      <c r="G601" s="6">
        <f t="shared" si="112"/>
        <v>60.958500642000004</v>
      </c>
      <c r="H601" s="6">
        <f t="shared" si="112"/>
        <v>61.090028724999996</v>
      </c>
      <c r="I601" s="6">
        <f t="shared" si="112"/>
        <v>61.505211971999998</v>
      </c>
      <c r="J601" s="6">
        <f t="shared" si="112"/>
        <v>61.961170690000003</v>
      </c>
      <c r="K601" s="6">
        <f t="shared" si="112"/>
        <v>62.495703066000004</v>
      </c>
      <c r="L601" s="6">
        <f t="shared" si="112"/>
        <v>63.029965773999997</v>
      </c>
      <c r="M601" s="6">
        <f t="shared" si="112"/>
        <v>63.553911061999997</v>
      </c>
      <c r="N601" s="6">
        <f t="shared" si="112"/>
        <v>63.97663661</v>
      </c>
      <c r="O601" s="6">
        <f t="shared" si="112"/>
        <v>64.363997260999994</v>
      </c>
      <c r="P601" s="6">
        <f t="shared" si="112"/>
        <v>64.746604259999998</v>
      </c>
      <c r="Q601" s="6">
        <f t="shared" si="112"/>
        <v>65.140864364999999</v>
      </c>
      <c r="R601" s="6">
        <f t="shared" si="112"/>
        <v>65.549497184000003</v>
      </c>
      <c r="S601" s="6">
        <f t="shared" si="112"/>
        <v>65.964912600999995</v>
      </c>
      <c r="T601" s="6">
        <f t="shared" si="112"/>
        <v>66.37513292700001</v>
      </c>
      <c r="U601" s="6">
        <f t="shared" si="112"/>
        <v>66.769492040000003</v>
      </c>
      <c r="V601" s="6">
        <f t="shared" si="112"/>
        <v>67.142157255000001</v>
      </c>
      <c r="W601" s="6">
        <f t="shared" si="112"/>
        <v>67.457634863999999</v>
      </c>
      <c r="X601" s="6">
        <f t="shared" si="112"/>
        <v>67.785330822999995</v>
      </c>
      <c r="Y601" s="6">
        <f t="shared" si="112"/>
        <v>68.100422824999995</v>
      </c>
      <c r="Z601" s="6">
        <f t="shared" si="112"/>
        <v>68.403971471999995</v>
      </c>
      <c r="AA601" s="6">
        <f t="shared" si="112"/>
        <v>68.699566148999992</v>
      </c>
      <c r="AB601" s="6">
        <f t="shared" si="112"/>
        <v>68.880508777000003</v>
      </c>
      <c r="AC601" s="6">
        <f t="shared" si="112"/>
        <v>69.105727948999998</v>
      </c>
      <c r="AD601" s="6">
        <f t="shared" si="112"/>
        <v>69.313767726999998</v>
      </c>
      <c r="AE601" s="6">
        <f t="shared" si="112"/>
        <v>69.493261283999999</v>
      </c>
      <c r="AF601" s="6">
        <f t="shared" si="112"/>
        <v>69.644842710000006</v>
      </c>
      <c r="AG601" s="6">
        <f t="shared" si="112"/>
        <v>69.771974817</v>
      </c>
      <c r="AH601" s="6">
        <f t="shared" si="112"/>
        <v>69.878040107000004</v>
      </c>
      <c r="AI601" s="6">
        <f t="shared" si="112"/>
        <v>69.965003374999995</v>
      </c>
      <c r="AJ601" s="6">
        <f t="shared" si="112"/>
        <v>70.033029271000004</v>
      </c>
      <c r="AK601" s="6">
        <f t="shared" si="112"/>
        <v>70.080881388999998</v>
      </c>
      <c r="AL601" s="6">
        <f t="shared" si="112"/>
        <v>70.106760339000004</v>
      </c>
    </row>
    <row r="602" spans="1:38" x14ac:dyDescent="0.3">
      <c r="B602" s="6" t="str">
        <f>[1]Results!E285</f>
        <v>CF_toe_ccoi_2</v>
      </c>
      <c r="C602" s="6">
        <f>[1]Results!F285</f>
        <v>0</v>
      </c>
      <c r="D602" s="6">
        <f>[1]Results!G285</f>
        <v>0</v>
      </c>
      <c r="E602" s="6">
        <f>[1]Results!H285</f>
        <v>0</v>
      </c>
      <c r="F602" s="6">
        <f>[1]Results!I285</f>
        <v>0</v>
      </c>
      <c r="G602" s="6">
        <f>[1]Results!J285</f>
        <v>0</v>
      </c>
      <c r="H602" s="6">
        <f>[1]Results!K285</f>
        <v>0</v>
      </c>
      <c r="I602" s="6">
        <f>[1]Results!L285</f>
        <v>0</v>
      </c>
      <c r="J602" s="6">
        <f>[1]Results!M285</f>
        <v>0</v>
      </c>
      <c r="K602" s="6">
        <f>[1]Results!N285</f>
        <v>0</v>
      </c>
      <c r="L602" s="6">
        <f>[1]Results!O285</f>
        <v>0</v>
      </c>
      <c r="M602" s="6">
        <f>[1]Results!P285</f>
        <v>0</v>
      </c>
      <c r="N602" s="6">
        <f>[1]Results!Q285</f>
        <v>0</v>
      </c>
      <c r="O602" s="6">
        <f>[1]Results!R285</f>
        <v>0</v>
      </c>
      <c r="P602" s="6">
        <f>[1]Results!S285</f>
        <v>0</v>
      </c>
      <c r="Q602" s="6">
        <f>[1]Results!T285</f>
        <v>0</v>
      </c>
      <c r="R602" s="6">
        <f>[1]Results!U285</f>
        <v>0</v>
      </c>
      <c r="S602" s="6">
        <f>[1]Results!V285</f>
        <v>0</v>
      </c>
      <c r="T602" s="6">
        <f>[1]Results!W285</f>
        <v>0</v>
      </c>
      <c r="U602" s="6">
        <f>[1]Results!X285</f>
        <v>0</v>
      </c>
      <c r="V602" s="6">
        <f>[1]Results!Y285</f>
        <v>0</v>
      </c>
      <c r="W602" s="6">
        <f>[1]Results!Z285</f>
        <v>0</v>
      </c>
      <c r="X602" s="6">
        <f>[1]Results!AA285</f>
        <v>0</v>
      </c>
      <c r="Y602" s="6">
        <f>[1]Results!AB285</f>
        <v>0</v>
      </c>
      <c r="Z602" s="6">
        <f>[1]Results!AC285</f>
        <v>0</v>
      </c>
      <c r="AA602" s="6">
        <f>[1]Results!AD285</f>
        <v>0</v>
      </c>
      <c r="AB602" s="6">
        <f>[1]Results!AE285</f>
        <v>0</v>
      </c>
      <c r="AC602" s="6">
        <f>[1]Results!AF285</f>
        <v>0</v>
      </c>
      <c r="AD602" s="6">
        <f>[1]Results!AG285</f>
        <v>0</v>
      </c>
      <c r="AE602" s="6">
        <f>[1]Results!AH285</f>
        <v>0</v>
      </c>
      <c r="AF602" s="6">
        <f>[1]Results!AI285</f>
        <v>0</v>
      </c>
      <c r="AG602" s="6">
        <f>[1]Results!AJ285</f>
        <v>0</v>
      </c>
      <c r="AH602" s="6">
        <f>[1]Results!AK285</f>
        <v>0</v>
      </c>
      <c r="AI602" s="6">
        <f>[1]Results!AL285</f>
        <v>0</v>
      </c>
      <c r="AJ602" s="6">
        <f>[1]Results!AM285</f>
        <v>0</v>
      </c>
      <c r="AK602" s="6">
        <f>[1]Results!AN285</f>
        <v>0</v>
      </c>
      <c r="AL602" s="6">
        <f>[1]Results!AO285</f>
        <v>0</v>
      </c>
    </row>
    <row r="603" spans="1:38" x14ac:dyDescent="0.3">
      <c r="B603" s="6" t="str">
        <f>[1]Results!E288</f>
        <v>CF_toe_cfut_2</v>
      </c>
      <c r="C603" s="6">
        <f>[1]Results!F288</f>
        <v>51.75528259</v>
      </c>
      <c r="D603" s="6">
        <f>[1]Results!G288</f>
        <v>51.650926740000003</v>
      </c>
      <c r="E603" s="6">
        <f>[1]Results!H288</f>
        <v>51.473230970000003</v>
      </c>
      <c r="F603" s="6">
        <f>[1]Results!I288</f>
        <v>51.386586600000001</v>
      </c>
      <c r="G603" s="6">
        <f>[1]Results!J288</f>
        <v>51.426825700000002</v>
      </c>
      <c r="H603" s="6">
        <f>[1]Results!K288</f>
        <v>51.590233120000001</v>
      </c>
      <c r="I603" s="6">
        <f>[1]Results!L288</f>
        <v>51.984415200000001</v>
      </c>
      <c r="J603" s="6">
        <f>[1]Results!M288</f>
        <v>52.416129130000002</v>
      </c>
      <c r="K603" s="6">
        <f>[1]Results!N288</f>
        <v>52.913476260000003</v>
      </c>
      <c r="L603" s="6">
        <f>[1]Results!O288</f>
        <v>53.411870039999997</v>
      </c>
      <c r="M603" s="6">
        <f>[1]Results!P288</f>
        <v>53.903366759999997</v>
      </c>
      <c r="N603" s="6">
        <f>[1]Results!Q288</f>
        <v>54.316323369999999</v>
      </c>
      <c r="O603" s="6">
        <f>[1]Results!R288</f>
        <v>54.703887299999998</v>
      </c>
      <c r="P603" s="6">
        <f>[1]Results!S288</f>
        <v>55.089664839999998</v>
      </c>
      <c r="Q603" s="6">
        <f>[1]Results!T288</f>
        <v>55.484996189999997</v>
      </c>
      <c r="R603" s="6">
        <f>[1]Results!U288</f>
        <v>55.890188639999998</v>
      </c>
      <c r="S603" s="6">
        <f>[1]Results!V288</f>
        <v>56.297721060000001</v>
      </c>
      <c r="T603" s="6">
        <f>[1]Results!W288</f>
        <v>56.697169090000003</v>
      </c>
      <c r="U603" s="6">
        <f>[1]Results!X288</f>
        <v>57.079702910000002</v>
      </c>
      <c r="V603" s="6">
        <f>[1]Results!Y288</f>
        <v>57.44068935</v>
      </c>
      <c r="W603" s="6">
        <f>[1]Results!Z288</f>
        <v>57.751471119999998</v>
      </c>
      <c r="X603" s="6">
        <f>[1]Results!AA288</f>
        <v>58.068049459999997</v>
      </c>
      <c r="Y603" s="6">
        <f>[1]Results!AB288</f>
        <v>58.370392189999997</v>
      </c>
      <c r="Z603" s="6">
        <f>[1]Results!AC288</f>
        <v>58.659058979999998</v>
      </c>
      <c r="AA603" s="6">
        <f>[1]Results!AD288</f>
        <v>58.936724769999998</v>
      </c>
      <c r="AB603" s="6">
        <f>[1]Results!AE288</f>
        <v>59.11606948</v>
      </c>
      <c r="AC603" s="6">
        <f>[1]Results!AF288</f>
        <v>59.326556859999997</v>
      </c>
      <c r="AD603" s="6">
        <f>[1]Results!AG288</f>
        <v>59.517589020000003</v>
      </c>
      <c r="AE603" s="6">
        <f>[1]Results!AH288</f>
        <v>59.679770670000003</v>
      </c>
      <c r="AF603" s="6">
        <f>[1]Results!AI288</f>
        <v>59.813941890000002</v>
      </c>
      <c r="AG603" s="6">
        <f>[1]Results!AJ288</f>
        <v>59.923223059999998</v>
      </c>
      <c r="AH603" s="6">
        <f>[1]Results!AK288</f>
        <v>60.010526779999999</v>
      </c>
      <c r="AI603" s="6">
        <f>[1]Results!AL288</f>
        <v>60.0774793</v>
      </c>
      <c r="AJ603" s="6">
        <f>[1]Results!AM288</f>
        <v>60.124161659999999</v>
      </c>
      <c r="AK603" s="6">
        <f>[1]Results!AN288</f>
        <v>60.149490980000003</v>
      </c>
      <c r="AL603" s="6">
        <f>[1]Results!AO288</f>
        <v>60.151943430000003</v>
      </c>
    </row>
    <row r="604" spans="1:38" x14ac:dyDescent="0.3">
      <c r="B604" s="6" t="str">
        <f>[1]Results!E291</f>
        <v>CF_toe_cfuh_2</v>
      </c>
      <c r="C604" s="6">
        <f>[1]Results!F291</f>
        <v>9.6683350959999999</v>
      </c>
      <c r="D604" s="6">
        <f>[1]Results!G291</f>
        <v>9.6657842299999999</v>
      </c>
      <c r="E604" s="6">
        <f>[1]Results!H291</f>
        <v>9.6269180839999997</v>
      </c>
      <c r="F604" s="6">
        <f>[1]Results!I291</f>
        <v>9.5770797949999995</v>
      </c>
      <c r="G604" s="6">
        <f>[1]Results!J291</f>
        <v>9.5316749420000004</v>
      </c>
      <c r="H604" s="6">
        <f>[1]Results!K291</f>
        <v>9.4997956049999992</v>
      </c>
      <c r="I604" s="6">
        <f>[1]Results!L291</f>
        <v>9.5207967720000006</v>
      </c>
      <c r="J604" s="6">
        <f>[1]Results!M291</f>
        <v>9.5450415599999996</v>
      </c>
      <c r="K604" s="6">
        <f>[1]Results!N291</f>
        <v>9.5822268059999995</v>
      </c>
      <c r="L604" s="6">
        <f>[1]Results!O291</f>
        <v>9.6180957340000006</v>
      </c>
      <c r="M604" s="6">
        <f>[1]Results!P291</f>
        <v>9.6505443020000001</v>
      </c>
      <c r="N604" s="6">
        <f>[1]Results!Q291</f>
        <v>9.6603132400000007</v>
      </c>
      <c r="O604" s="6">
        <f>[1]Results!R291</f>
        <v>9.6601099609999999</v>
      </c>
      <c r="P604" s="6">
        <f>[1]Results!S291</f>
        <v>9.6569394200000005</v>
      </c>
      <c r="Q604" s="6">
        <f>[1]Results!T291</f>
        <v>9.6558681750000002</v>
      </c>
      <c r="R604" s="6">
        <f>[1]Results!U291</f>
        <v>9.6593085439999999</v>
      </c>
      <c r="S604" s="6">
        <f>[1]Results!V291</f>
        <v>9.6671915409999993</v>
      </c>
      <c r="T604" s="6">
        <f>[1]Results!W291</f>
        <v>9.6779638370000001</v>
      </c>
      <c r="U604" s="6">
        <f>[1]Results!X291</f>
        <v>9.6897891299999994</v>
      </c>
      <c r="V604" s="6">
        <f>[1]Results!Y291</f>
        <v>9.7014679049999994</v>
      </c>
      <c r="W604" s="6">
        <f>[1]Results!Z291</f>
        <v>9.7061637439999995</v>
      </c>
      <c r="X604" s="6">
        <f>[1]Results!AA291</f>
        <v>9.7172813629999997</v>
      </c>
      <c r="Y604" s="6">
        <f>[1]Results!AB291</f>
        <v>9.7300306350000003</v>
      </c>
      <c r="Z604" s="6">
        <f>[1]Results!AC291</f>
        <v>9.7449124919999992</v>
      </c>
      <c r="AA604" s="6">
        <f>[1]Results!AD291</f>
        <v>9.7628413789999993</v>
      </c>
      <c r="AB604" s="6">
        <f>[1]Results!AE291</f>
        <v>9.7644392969999991</v>
      </c>
      <c r="AC604" s="6">
        <f>[1]Results!AF291</f>
        <v>9.7791710890000001</v>
      </c>
      <c r="AD604" s="6">
        <f>[1]Results!AG291</f>
        <v>9.7961787069999993</v>
      </c>
      <c r="AE604" s="6">
        <f>[1]Results!AH291</f>
        <v>9.8134906139999991</v>
      </c>
      <c r="AF604" s="6">
        <f>[1]Results!AI291</f>
        <v>9.8309008200000001</v>
      </c>
      <c r="AG604" s="6">
        <f>[1]Results!AJ291</f>
        <v>9.8487517570000005</v>
      </c>
      <c r="AH604" s="6">
        <f>[1]Results!AK291</f>
        <v>9.8675133269999993</v>
      </c>
      <c r="AI604" s="6">
        <f>[1]Results!AL291</f>
        <v>9.887524075</v>
      </c>
      <c r="AJ604" s="6">
        <f>[1]Results!AM291</f>
        <v>9.9088676109999998</v>
      </c>
      <c r="AK604" s="6">
        <f>[1]Results!AN291</f>
        <v>9.9313904090000005</v>
      </c>
      <c r="AL604" s="6">
        <f>[1]Results!AO291</f>
        <v>9.9548169089999998</v>
      </c>
    </row>
    <row r="605" spans="1:38" x14ac:dyDescent="0.3">
      <c r="B605" s="6" t="str">
        <f>[1]Results!E293</f>
        <v>CF_toe_cgas_2</v>
      </c>
      <c r="C605" s="6">
        <f>[1]Results!F293</f>
        <v>28.033094800000001</v>
      </c>
      <c r="D605" s="6">
        <f>[1]Results!G293</f>
        <v>28.136281700000001</v>
      </c>
      <c r="E605" s="6">
        <f>[1]Results!H293</f>
        <v>28.203385220000001</v>
      </c>
      <c r="F605" s="6">
        <f>[1]Results!I293</f>
        <v>28.279739599999999</v>
      </c>
      <c r="G605" s="6">
        <f>[1]Results!J293</f>
        <v>28.389398880000002</v>
      </c>
      <c r="H605" s="6">
        <f>[1]Results!K293</f>
        <v>28.54837362</v>
      </c>
      <c r="I605" s="6">
        <f>[1]Results!L293</f>
        <v>28.771587759999999</v>
      </c>
      <c r="J605" s="6">
        <f>[1]Results!M293</f>
        <v>29.1172243</v>
      </c>
      <c r="K605" s="6">
        <f>[1]Results!N293</f>
        <v>29.517825590000001</v>
      </c>
      <c r="L605" s="6">
        <f>[1]Results!O293</f>
        <v>29.884210199999998</v>
      </c>
      <c r="M605" s="6">
        <f>[1]Results!P293</f>
        <v>30.198208130000001</v>
      </c>
      <c r="N605" s="6">
        <f>[1]Results!Q293</f>
        <v>30.410910940000001</v>
      </c>
      <c r="O605" s="6">
        <f>[1]Results!R293</f>
        <v>30.580336280000001</v>
      </c>
      <c r="P605" s="6">
        <f>[1]Results!S293</f>
        <v>30.751987029999999</v>
      </c>
      <c r="Q605" s="6">
        <f>[1]Results!T293</f>
        <v>30.951341370000002</v>
      </c>
      <c r="R605" s="6">
        <f>[1]Results!U293</f>
        <v>31.184471309999999</v>
      </c>
      <c r="S605" s="6">
        <f>[1]Results!V293</f>
        <v>31.44342219</v>
      </c>
      <c r="T605" s="6">
        <f>[1]Results!W293</f>
        <v>31.71435301</v>
      </c>
      <c r="U605" s="6">
        <f>[1]Results!X293</f>
        <v>31.985116000000001</v>
      </c>
      <c r="V605" s="6">
        <f>[1]Results!Y293</f>
        <v>32.249799420000002</v>
      </c>
      <c r="W605" s="6">
        <f>[1]Results!Z293</f>
        <v>32.485090139999997</v>
      </c>
      <c r="X605" s="6">
        <f>[1]Results!AA293</f>
        <v>32.74016623</v>
      </c>
      <c r="Y605" s="6">
        <f>[1]Results!AB293</f>
        <v>33.0067989</v>
      </c>
      <c r="Z605" s="6">
        <f>[1]Results!AC293</f>
        <v>33.286004759999997</v>
      </c>
      <c r="AA605" s="6">
        <f>[1]Results!AD293</f>
        <v>33.581349850000002</v>
      </c>
      <c r="AB605" s="6">
        <f>[1]Results!AE293</f>
        <v>33.818665709999998</v>
      </c>
      <c r="AC605" s="6">
        <f>[1]Results!AF293</f>
        <v>34.102505579999999</v>
      </c>
      <c r="AD605" s="6">
        <f>[1]Results!AG293</f>
        <v>34.399582649999999</v>
      </c>
      <c r="AE605" s="6">
        <f>[1]Results!AH293</f>
        <v>34.69722239</v>
      </c>
      <c r="AF605" s="6">
        <f>[1]Results!AI293</f>
        <v>34.995116869999997</v>
      </c>
      <c r="AG605" s="6">
        <f>[1]Results!AJ293</f>
        <v>35.296845040000001</v>
      </c>
      <c r="AH605" s="6">
        <f>[1]Results!AK293</f>
        <v>35.606152430000002</v>
      </c>
      <c r="AI605" s="6">
        <f>[1]Results!AL293</f>
        <v>35.925150019999997</v>
      </c>
      <c r="AJ605" s="6">
        <f>[1]Results!AM293</f>
        <v>36.253817159999997</v>
      </c>
      <c r="AK605" s="6">
        <f>[1]Results!AN293</f>
        <v>36.590504750000001</v>
      </c>
      <c r="AL605" s="6">
        <f>[1]Results!AO293</f>
        <v>36.932950390000002</v>
      </c>
    </row>
    <row r="606" spans="1:38" x14ac:dyDescent="0.3">
      <c r="B606" s="6" t="str">
        <f>[1]Results!E299</f>
        <v>CF_toe_cele_2</v>
      </c>
      <c r="C606" s="6">
        <f>[1]Results!F299</f>
        <v>36.380602070000002</v>
      </c>
      <c r="D606" s="6">
        <f>[1]Results!G299</f>
        <v>36.460156789999999</v>
      </c>
      <c r="E606" s="6">
        <f>[1]Results!H299</f>
        <v>36.532820309999998</v>
      </c>
      <c r="F606" s="6">
        <f>[1]Results!I299</f>
        <v>36.727624659999996</v>
      </c>
      <c r="G606" s="6">
        <f>[1]Results!J299</f>
        <v>37.109243229999997</v>
      </c>
      <c r="H606" s="6">
        <f>[1]Results!K299</f>
        <v>37.713382150000001</v>
      </c>
      <c r="I606" s="6">
        <f>[1]Results!L299</f>
        <v>38.60079795</v>
      </c>
      <c r="J606" s="6">
        <f>[1]Results!M299</f>
        <v>39.857776610000002</v>
      </c>
      <c r="K606" s="6">
        <f>[1]Results!N299</f>
        <v>41.339884060000003</v>
      </c>
      <c r="L606" s="6">
        <f>[1]Results!O299</f>
        <v>42.778410260000001</v>
      </c>
      <c r="M606" s="6">
        <f>[1]Results!P299</f>
        <v>43.966740430000002</v>
      </c>
      <c r="N606" s="6">
        <f>[1]Results!Q299</f>
        <v>44.828277069999999</v>
      </c>
      <c r="O606" s="6">
        <f>[1]Results!R299</f>
        <v>45.41377602</v>
      </c>
      <c r="P606" s="6">
        <f>[1]Results!S299</f>
        <v>45.845374630000002</v>
      </c>
      <c r="Q606" s="6">
        <f>[1]Results!T299</f>
        <v>46.243817270000001</v>
      </c>
      <c r="R606" s="6">
        <f>[1]Results!U299</f>
        <v>46.684817330000001</v>
      </c>
      <c r="S606" s="6">
        <f>[1]Results!V299</f>
        <v>47.1899765</v>
      </c>
      <c r="T606" s="6">
        <f>[1]Results!W299</f>
        <v>47.749716300000003</v>
      </c>
      <c r="U606" s="6">
        <f>[1]Results!X299</f>
        <v>48.343953089999999</v>
      </c>
      <c r="V606" s="6">
        <f>[1]Results!Y299</f>
        <v>48.958843459999997</v>
      </c>
      <c r="W606" s="6">
        <f>[1]Results!Z299</f>
        <v>49.577761610000003</v>
      </c>
      <c r="X606" s="6">
        <f>[1]Results!AA299</f>
        <v>50.229665249999996</v>
      </c>
      <c r="Y606" s="6">
        <f>[1]Results!AB299</f>
        <v>50.932770550000001</v>
      </c>
      <c r="Z606" s="6">
        <f>[1]Results!AC299</f>
        <v>51.697393550000001</v>
      </c>
      <c r="AA606" s="6">
        <f>[1]Results!AD299</f>
        <v>52.53028089</v>
      </c>
      <c r="AB606" s="6">
        <f>[1]Results!AE299</f>
        <v>53.368132989999999</v>
      </c>
      <c r="AC606" s="6">
        <f>[1]Results!AF299</f>
        <v>54.249867879999996</v>
      </c>
      <c r="AD606" s="6">
        <f>[1]Results!AG299</f>
        <v>55.14310965</v>
      </c>
      <c r="AE606" s="6">
        <f>[1]Results!AH299</f>
        <v>56.018586990000003</v>
      </c>
      <c r="AF606" s="6">
        <f>[1]Results!AI299</f>
        <v>56.866708850000002</v>
      </c>
      <c r="AG606" s="6">
        <f>[1]Results!AJ299</f>
        <v>57.691328140000003</v>
      </c>
      <c r="AH606" s="6">
        <f>[1]Results!AK299</f>
        <v>58.501322860000002</v>
      </c>
      <c r="AI606" s="6">
        <f>[1]Results!AL299</f>
        <v>59.306090849999997</v>
      </c>
      <c r="AJ606" s="6">
        <f>[1]Results!AM299</f>
        <v>60.111997389999999</v>
      </c>
      <c r="AK606" s="6">
        <f>[1]Results!AN299</f>
        <v>60.921240920000002</v>
      </c>
      <c r="AL606" s="6">
        <f>[1]Results!AO299</f>
        <v>61.733455509999999</v>
      </c>
    </row>
    <row r="607" spans="1:38" x14ac:dyDescent="0.3">
      <c r="B607" s="6" t="s">
        <v>49</v>
      </c>
      <c r="C607" s="6">
        <f>SUM(C608:C610)</f>
        <v>17.360055803000002</v>
      </c>
      <c r="D607" s="6">
        <f t="shared" ref="D607:AL607" si="113">SUM(D608:D610)</f>
        <v>17.398557257</v>
      </c>
      <c r="E607" s="6">
        <f t="shared" si="113"/>
        <v>17.418578975000003</v>
      </c>
      <c r="F607" s="6">
        <f t="shared" si="113"/>
        <v>17.460349186000002</v>
      </c>
      <c r="G607" s="6">
        <f t="shared" si="113"/>
        <v>17.543307439000003</v>
      </c>
      <c r="H607" s="6">
        <f t="shared" si="113"/>
        <v>17.680005002999998</v>
      </c>
      <c r="I607" s="6">
        <f t="shared" si="113"/>
        <v>17.878288195</v>
      </c>
      <c r="J607" s="6">
        <f t="shared" si="113"/>
        <v>18.181328946000001</v>
      </c>
      <c r="K607" s="6">
        <f t="shared" si="113"/>
        <v>18.550355085</v>
      </c>
      <c r="L607" s="6">
        <f t="shared" si="113"/>
        <v>18.906343859</v>
      </c>
      <c r="M607" s="6">
        <f t="shared" si="113"/>
        <v>19.204545308</v>
      </c>
      <c r="N607" s="6">
        <f t="shared" si="113"/>
        <v>19.412963283</v>
      </c>
      <c r="O607" s="6">
        <f t="shared" si="113"/>
        <v>19.560549589000001</v>
      </c>
      <c r="P607" s="6">
        <f t="shared" si="113"/>
        <v>19.684527477</v>
      </c>
      <c r="Q607" s="6">
        <f t="shared" si="113"/>
        <v>19.814121360000001</v>
      </c>
      <c r="R607" s="6">
        <f t="shared" si="113"/>
        <v>19.963535918999998</v>
      </c>
      <c r="S607" s="6">
        <f t="shared" si="113"/>
        <v>20.132743601000001</v>
      </c>
      <c r="T607" s="6">
        <f t="shared" si="113"/>
        <v>20.314058118999998</v>
      </c>
      <c r="U607" s="6">
        <f t="shared" si="113"/>
        <v>20.498480274000002</v>
      </c>
      <c r="V607" s="6">
        <f t="shared" si="113"/>
        <v>20.680811101</v>
      </c>
      <c r="W607" s="6">
        <f t="shared" si="113"/>
        <v>20.849528323999998</v>
      </c>
      <c r="X607" s="6">
        <f t="shared" si="113"/>
        <v>21.027322886</v>
      </c>
      <c r="Y607" s="6">
        <f t="shared" si="113"/>
        <v>21.215206999999999</v>
      </c>
      <c r="Z607" s="6">
        <f t="shared" si="113"/>
        <v>21.415842048999998</v>
      </c>
      <c r="AA607" s="6">
        <f t="shared" si="113"/>
        <v>21.632189019999998</v>
      </c>
      <c r="AB607" s="6">
        <f t="shared" si="113"/>
        <v>21.826487211</v>
      </c>
      <c r="AC607" s="6">
        <f t="shared" si="113"/>
        <v>22.044374210000001</v>
      </c>
      <c r="AD607" s="6">
        <f t="shared" si="113"/>
        <v>22.268303792000001</v>
      </c>
      <c r="AE607" s="6">
        <f t="shared" si="113"/>
        <v>22.489137239999998</v>
      </c>
      <c r="AF607" s="6">
        <f t="shared" si="113"/>
        <v>22.705448867999998</v>
      </c>
      <c r="AG607" s="6">
        <f t="shared" si="113"/>
        <v>22.919388169000001</v>
      </c>
      <c r="AH607" s="6">
        <f t="shared" si="113"/>
        <v>23.133915471000002</v>
      </c>
      <c r="AI607" s="6">
        <f t="shared" si="113"/>
        <v>23.351306221999998</v>
      </c>
      <c r="AJ607" s="6">
        <f t="shared" si="113"/>
        <v>23.572385754999999</v>
      </c>
      <c r="AK607" s="6">
        <f t="shared" si="113"/>
        <v>23.796583695999999</v>
      </c>
      <c r="AL607" s="6">
        <f t="shared" si="113"/>
        <v>24.022632278</v>
      </c>
    </row>
    <row r="608" spans="1:38" x14ac:dyDescent="0.3">
      <c r="B608" s="6" t="str">
        <f>[1]Results!E309</f>
        <v>CF_toe_chea_2</v>
      </c>
      <c r="C608" s="6">
        <f>[1]Results!F309</f>
        <v>2.763125901</v>
      </c>
      <c r="D608" s="6">
        <f>[1]Results!G309</f>
        <v>2.7804084929999999</v>
      </c>
      <c r="E608" s="6">
        <f>[1]Results!H309</f>
        <v>2.8020371759999998</v>
      </c>
      <c r="F608" s="6">
        <f>[1]Results!I309</f>
        <v>2.8325627020000002</v>
      </c>
      <c r="G608" s="6">
        <f>[1]Results!J309</f>
        <v>2.8723268499999999</v>
      </c>
      <c r="H608" s="6">
        <f>[1]Results!K309</f>
        <v>2.9209586569999999</v>
      </c>
      <c r="I608" s="6">
        <f>[1]Results!L309</f>
        <v>2.9789092680000002</v>
      </c>
      <c r="J608" s="6">
        <f>[1]Results!M309</f>
        <v>3.051627898</v>
      </c>
      <c r="K608" s="6">
        <f>[1]Results!N309</f>
        <v>3.1310053689999999</v>
      </c>
      <c r="L608" s="6">
        <f>[1]Results!O309</f>
        <v>3.2056207259999998</v>
      </c>
      <c r="M608" s="6">
        <f>[1]Results!P309</f>
        <v>3.2690919030000001</v>
      </c>
      <c r="N608" s="6">
        <f>[1]Results!Q309</f>
        <v>3.3199023969999999</v>
      </c>
      <c r="O608" s="6">
        <f>[1]Results!R309</f>
        <v>3.3600412319999999</v>
      </c>
      <c r="P608" s="6">
        <f>[1]Results!S309</f>
        <v>3.3953475970000002</v>
      </c>
      <c r="Q608" s="6">
        <f>[1]Results!T309</f>
        <v>3.431245836</v>
      </c>
      <c r="R608" s="6">
        <f>[1]Results!U309</f>
        <v>3.4706173040000001</v>
      </c>
      <c r="S608" s="6">
        <f>[1]Results!V309</f>
        <v>3.5134613319999999</v>
      </c>
      <c r="T608" s="6">
        <f>[1]Results!W309</f>
        <v>3.5586145500000002</v>
      </c>
      <c r="U608" s="6">
        <f>[1]Results!X309</f>
        <v>3.6047248380000001</v>
      </c>
      <c r="V608" s="6">
        <f>[1]Results!Y309</f>
        <v>3.6509557969999999</v>
      </c>
      <c r="W608" s="6">
        <f>[1]Results!Z309</f>
        <v>3.6958601459999998</v>
      </c>
      <c r="X608" s="6">
        <f>[1]Results!AA309</f>
        <v>3.7408728550000001</v>
      </c>
      <c r="Y608" s="6">
        <f>[1]Results!AB309</f>
        <v>3.7878081130000001</v>
      </c>
      <c r="Z608" s="6">
        <f>[1]Results!AC309</f>
        <v>3.8369599810000001</v>
      </c>
      <c r="AA608" s="6">
        <f>[1]Results!AD309</f>
        <v>3.8884564519999998</v>
      </c>
      <c r="AB608" s="6">
        <f>[1]Results!AE309</f>
        <v>3.9377052460000002</v>
      </c>
      <c r="AC608" s="6">
        <f>[1]Results!AF309</f>
        <v>3.986078531</v>
      </c>
      <c r="AD608" s="6">
        <f>[1]Results!AG309</f>
        <v>4.0346143679999997</v>
      </c>
      <c r="AE608" s="6">
        <f>[1]Results!AH309</f>
        <v>4.0824949679999998</v>
      </c>
      <c r="AF608" s="6">
        <f>[1]Results!AI309</f>
        <v>4.1294865820000002</v>
      </c>
      <c r="AG608" s="6">
        <f>[1]Results!AJ309</f>
        <v>4.1758692310000001</v>
      </c>
      <c r="AH608" s="6">
        <f>[1]Results!AK309</f>
        <v>4.2219654650000003</v>
      </c>
      <c r="AI608" s="6">
        <f>[1]Results!AL309</f>
        <v>4.268094434</v>
      </c>
      <c r="AJ608" s="6">
        <f>[1]Results!AM309</f>
        <v>4.3144512649999998</v>
      </c>
      <c r="AK608" s="6">
        <f>[1]Results!AN309</f>
        <v>4.3610363960000003</v>
      </c>
      <c r="AL608" s="6">
        <f>[1]Results!AO309</f>
        <v>4.4077344800000002</v>
      </c>
    </row>
    <row r="609" spans="1:38" x14ac:dyDescent="0.3">
      <c r="B609" s="6" t="str">
        <f>[1]Results!E311</f>
        <v>CF_toe_cbio_2</v>
      </c>
      <c r="C609" s="6">
        <f>[1]Results!F311</f>
        <v>8.0997826370000006</v>
      </c>
      <c r="D609" s="6">
        <f>[1]Results!G311</f>
        <v>8.1069285919999992</v>
      </c>
      <c r="E609" s="6">
        <f>[1]Results!H311</f>
        <v>8.0880865400000008</v>
      </c>
      <c r="F609" s="6">
        <f>[1]Results!I311</f>
        <v>8.0633621190000007</v>
      </c>
      <c r="G609" s="6">
        <f>[1]Results!J311</f>
        <v>8.0421830360000008</v>
      </c>
      <c r="H609" s="6">
        <f>[1]Results!K311</f>
        <v>8.0296068199999997</v>
      </c>
      <c r="I609" s="6">
        <f>[1]Results!L311</f>
        <v>8.017414402</v>
      </c>
      <c r="J609" s="6">
        <f>[1]Results!M311</f>
        <v>8.0134109470000006</v>
      </c>
      <c r="K609" s="6">
        <f>[1]Results!N311</f>
        <v>8.0201728600000006</v>
      </c>
      <c r="L609" s="6">
        <f>[1]Results!O311</f>
        <v>8.0312194790000007</v>
      </c>
      <c r="M609" s="6">
        <f>[1]Results!P311</f>
        <v>8.0461234360000002</v>
      </c>
      <c r="N609" s="6">
        <f>[1]Results!Q311</f>
        <v>8.0534869170000007</v>
      </c>
      <c r="O609" s="6">
        <f>[1]Results!R311</f>
        <v>8.0560752749999995</v>
      </c>
      <c r="P609" s="6">
        <f>[1]Results!S311</f>
        <v>8.0567002789999993</v>
      </c>
      <c r="Q609" s="6">
        <f>[1]Results!T311</f>
        <v>8.0573155169999993</v>
      </c>
      <c r="R609" s="6">
        <f>[1]Results!U311</f>
        <v>8.0589264529999998</v>
      </c>
      <c r="S609" s="6">
        <f>[1]Results!V311</f>
        <v>8.0617207149999999</v>
      </c>
      <c r="T609" s="6">
        <f>[1]Results!W311</f>
        <v>8.0654388679999993</v>
      </c>
      <c r="U609" s="6">
        <f>[1]Results!X311</f>
        <v>8.0695937910000008</v>
      </c>
      <c r="V609" s="6">
        <f>[1]Results!Y311</f>
        <v>8.0741409409999996</v>
      </c>
      <c r="W609" s="6">
        <f>[1]Results!Z311</f>
        <v>8.0756168020000008</v>
      </c>
      <c r="X609" s="6">
        <f>[1]Results!AA311</f>
        <v>8.0809135340000005</v>
      </c>
      <c r="Y609" s="6">
        <f>[1]Results!AB311</f>
        <v>8.0890824299999995</v>
      </c>
      <c r="Z609" s="6">
        <f>[1]Results!AC311</f>
        <v>8.0998286180000001</v>
      </c>
      <c r="AA609" s="6">
        <f>[1]Results!AD311</f>
        <v>8.1131720640000005</v>
      </c>
      <c r="AB609" s="6">
        <f>[1]Results!AE311</f>
        <v>8.1175647649999991</v>
      </c>
      <c r="AC609" s="6">
        <f>[1]Results!AF311</f>
        <v>8.126665397</v>
      </c>
      <c r="AD609" s="6">
        <f>[1]Results!AG311</f>
        <v>8.1376954940000008</v>
      </c>
      <c r="AE609" s="6">
        <f>[1]Results!AH311</f>
        <v>8.1492271519999999</v>
      </c>
      <c r="AF609" s="6">
        <f>[1]Results!AI311</f>
        <v>8.1609558559999993</v>
      </c>
      <c r="AG609" s="6">
        <f>[1]Results!AJ311</f>
        <v>8.1729427280000007</v>
      </c>
      <c r="AH609" s="6">
        <f>[1]Results!AK311</f>
        <v>8.1853135259999998</v>
      </c>
      <c r="AI609" s="6">
        <f>[1]Results!AL311</f>
        <v>8.1981405879999993</v>
      </c>
      <c r="AJ609" s="6">
        <f>[1]Results!AM311</f>
        <v>8.2114107599999997</v>
      </c>
      <c r="AK609" s="6">
        <f>[1]Results!AN311</f>
        <v>8.2250505599999997</v>
      </c>
      <c r="AL609" s="6">
        <f>[1]Results!AO311</f>
        <v>8.2389805979999995</v>
      </c>
    </row>
    <row r="610" spans="1:38" x14ac:dyDescent="0.3">
      <c r="B610" s="6" t="str">
        <f>[1]Results!E314</f>
        <v>CF_toe_cote_2</v>
      </c>
      <c r="C610" s="6">
        <f>[1]Results!F314</f>
        <v>6.4971472649999997</v>
      </c>
      <c r="D610" s="6">
        <f>[1]Results!G314</f>
        <v>6.5112201719999998</v>
      </c>
      <c r="E610" s="6">
        <f>[1]Results!H314</f>
        <v>6.5284552590000002</v>
      </c>
      <c r="F610" s="6">
        <f>[1]Results!I314</f>
        <v>6.5644243649999998</v>
      </c>
      <c r="G610" s="6">
        <f>[1]Results!J314</f>
        <v>6.6287975530000001</v>
      </c>
      <c r="H610" s="6">
        <f>[1]Results!K314</f>
        <v>6.7294395260000002</v>
      </c>
      <c r="I610" s="6">
        <f>[1]Results!L314</f>
        <v>6.8819645249999999</v>
      </c>
      <c r="J610" s="6">
        <f>[1]Results!M314</f>
        <v>7.1162901009999997</v>
      </c>
      <c r="K610" s="6">
        <f>[1]Results!N314</f>
        <v>7.3991768560000004</v>
      </c>
      <c r="L610" s="6">
        <f>[1]Results!O314</f>
        <v>7.6695036539999997</v>
      </c>
      <c r="M610" s="6">
        <f>[1]Results!P314</f>
        <v>7.8893299690000003</v>
      </c>
      <c r="N610" s="6">
        <f>[1]Results!Q314</f>
        <v>8.0395739689999992</v>
      </c>
      <c r="O610" s="6">
        <f>[1]Results!R314</f>
        <v>8.1444330820000008</v>
      </c>
      <c r="P610" s="6">
        <f>[1]Results!S314</f>
        <v>8.2324796009999996</v>
      </c>
      <c r="Q610" s="6">
        <f>[1]Results!T314</f>
        <v>8.325560007</v>
      </c>
      <c r="R610" s="6">
        <f>[1]Results!U314</f>
        <v>8.4339921619999991</v>
      </c>
      <c r="S610" s="6">
        <f>[1]Results!V314</f>
        <v>8.5575615539999994</v>
      </c>
      <c r="T610" s="6">
        <f>[1]Results!W314</f>
        <v>8.6900047009999994</v>
      </c>
      <c r="U610" s="6">
        <f>[1]Results!X314</f>
        <v>8.8241616450000002</v>
      </c>
      <c r="V610" s="6">
        <f>[1]Results!Y314</f>
        <v>8.9557143630000002</v>
      </c>
      <c r="W610" s="6">
        <f>[1]Results!Z314</f>
        <v>9.0780513759999995</v>
      </c>
      <c r="X610" s="6">
        <f>[1]Results!AA314</f>
        <v>9.2055364970000007</v>
      </c>
      <c r="Y610" s="6">
        <f>[1]Results!AB314</f>
        <v>9.3383164569999995</v>
      </c>
      <c r="Z610" s="6">
        <f>[1]Results!AC314</f>
        <v>9.4790534500000003</v>
      </c>
      <c r="AA610" s="6">
        <f>[1]Results!AD314</f>
        <v>9.630560504</v>
      </c>
      <c r="AB610" s="6">
        <f>[1]Results!AE314</f>
        <v>9.7712172000000006</v>
      </c>
      <c r="AC610" s="6">
        <f>[1]Results!AF314</f>
        <v>9.9316302820000004</v>
      </c>
      <c r="AD610" s="6">
        <f>[1]Results!AG314</f>
        <v>10.095993930000001</v>
      </c>
      <c r="AE610" s="6">
        <f>[1]Results!AH314</f>
        <v>10.257415119999999</v>
      </c>
      <c r="AF610" s="6">
        <f>[1]Results!AI314</f>
        <v>10.41500643</v>
      </c>
      <c r="AG610" s="6">
        <f>[1]Results!AJ314</f>
        <v>10.57057621</v>
      </c>
      <c r="AH610" s="6">
        <f>[1]Results!AK314</f>
        <v>10.72663648</v>
      </c>
      <c r="AI610" s="6">
        <f>[1]Results!AL314</f>
        <v>10.885071200000001</v>
      </c>
      <c r="AJ610" s="6">
        <f>[1]Results!AM314</f>
        <v>11.046523730000001</v>
      </c>
      <c r="AK610" s="6">
        <f>[1]Results!AN314</f>
        <v>11.21049674</v>
      </c>
      <c r="AL610" s="6">
        <f>[1]Results!AO314</f>
        <v>11.3759172</v>
      </c>
    </row>
    <row r="611" spans="1:38" x14ac:dyDescent="0.3"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</row>
    <row r="612" spans="1:38" x14ac:dyDescent="0.3">
      <c r="A612" s="12" t="s">
        <v>67</v>
      </c>
      <c r="B612" s="6" t="str">
        <f>[1]Results!E317</f>
        <v>CF_toe_0</v>
      </c>
      <c r="C612" s="6">
        <f>[1]Results!F317</f>
        <v>150.77321449999999</v>
      </c>
      <c r="D612" s="6">
        <f>[1]Results!G317</f>
        <v>151.2336043</v>
      </c>
      <c r="E612" s="6">
        <f>[1]Results!H317</f>
        <v>151.5248004</v>
      </c>
      <c r="F612" s="6">
        <f>[1]Results!I317</f>
        <v>152.00206460000001</v>
      </c>
      <c r="G612" s="6">
        <f>[1]Results!J317</f>
        <v>152.8286712</v>
      </c>
      <c r="H612" s="6">
        <f>[1]Results!K317</f>
        <v>154.0876782</v>
      </c>
      <c r="I612" s="6">
        <f>[1]Results!L317</f>
        <v>155.66155449999999</v>
      </c>
      <c r="J612" s="6">
        <f>[1]Results!M317</f>
        <v>157.59654230000001</v>
      </c>
      <c r="K612" s="6">
        <f>[1]Results!N317</f>
        <v>159.78566480000001</v>
      </c>
      <c r="L612" s="6">
        <f>[1]Results!O317</f>
        <v>162.096924</v>
      </c>
      <c r="M612" s="6">
        <f>[1]Results!P317</f>
        <v>164.56488429999999</v>
      </c>
      <c r="N612" s="6">
        <f>[1]Results!Q317</f>
        <v>166.86385709999999</v>
      </c>
      <c r="O612" s="6">
        <f>[1]Results!R317</f>
        <v>169.08721879999999</v>
      </c>
      <c r="P612" s="6">
        <f>[1]Results!S317</f>
        <v>171.24149320000001</v>
      </c>
      <c r="Q612" s="6">
        <f>[1]Results!T317</f>
        <v>173.3024101</v>
      </c>
      <c r="R612" s="6">
        <f>[1]Results!U317</f>
        <v>175.24260369999999</v>
      </c>
      <c r="S612" s="6">
        <f>[1]Results!V317</f>
        <v>177.04994139999999</v>
      </c>
      <c r="T612" s="6">
        <f>[1]Results!W317</f>
        <v>178.7312082</v>
      </c>
      <c r="U612" s="6">
        <f>[1]Results!X317</f>
        <v>180.31171850000001</v>
      </c>
      <c r="V612" s="6">
        <f>[1]Results!Y317</f>
        <v>181.82993759999999</v>
      </c>
      <c r="W612" s="6">
        <f>[1]Results!Z317</f>
        <v>183.21826229999999</v>
      </c>
      <c r="X612" s="6">
        <f>[1]Results!AA317</f>
        <v>184.70500730000001</v>
      </c>
      <c r="Y612" s="6">
        <f>[1]Results!AB317</f>
        <v>186.24376280000001</v>
      </c>
      <c r="Z612" s="6">
        <f>[1]Results!AC317</f>
        <v>187.83835379999999</v>
      </c>
      <c r="AA612" s="6">
        <f>[1]Results!AD317</f>
        <v>189.50723009999999</v>
      </c>
      <c r="AB612" s="6">
        <f>[1]Results!AE317</f>
        <v>190.90764419999999</v>
      </c>
      <c r="AC612" s="6">
        <f>[1]Results!AF317</f>
        <v>192.5336853</v>
      </c>
      <c r="AD612" s="6">
        <f>[1]Results!AG317</f>
        <v>194.21449229999999</v>
      </c>
      <c r="AE612" s="6">
        <f>[1]Results!AH317</f>
        <v>195.8928899</v>
      </c>
      <c r="AF612" s="6">
        <f>[1]Results!AI317</f>
        <v>197.56543300000001</v>
      </c>
      <c r="AG612" s="6">
        <f>[1]Results!AJ317</f>
        <v>199.24351680000001</v>
      </c>
      <c r="AH612" s="6">
        <f>[1]Results!AK317</f>
        <v>200.9369897</v>
      </c>
      <c r="AI612" s="6">
        <f>[1]Results!AL317</f>
        <v>202.6469999</v>
      </c>
      <c r="AJ612" s="6">
        <f>[1]Results!AM317</f>
        <v>204.3650878</v>
      </c>
      <c r="AK612" s="6">
        <f>[1]Results!AN317</f>
        <v>206.07687820000001</v>
      </c>
      <c r="AL612" s="6">
        <f>[1]Results!AO317</f>
        <v>207.76577399999999</v>
      </c>
    </row>
    <row r="613" spans="1:38" x14ac:dyDescent="0.3">
      <c r="A613" t="s">
        <v>26</v>
      </c>
      <c r="B613" s="6" t="str">
        <f>[1]Results!E318</f>
        <v>CF_toe_ccoa_0</v>
      </c>
      <c r="C613" s="6">
        <f>[1]Results!F318</f>
        <v>7.5758440929999997</v>
      </c>
      <c r="D613" s="6">
        <f>[1]Results!G318</f>
        <v>7.9218975909999996</v>
      </c>
      <c r="E613" s="6">
        <f>[1]Results!H318</f>
        <v>8.2698668029999993</v>
      </c>
      <c r="F613" s="6">
        <f>[1]Results!I318</f>
        <v>8.5706847550000003</v>
      </c>
      <c r="G613" s="6">
        <f>[1]Results!J318</f>
        <v>8.8282209559999991</v>
      </c>
      <c r="H613" s="6">
        <f>[1]Results!K318</f>
        <v>9.0558886750000003</v>
      </c>
      <c r="I613" s="6">
        <f>[1]Results!L318</f>
        <v>9.2400001389999993</v>
      </c>
      <c r="J613" s="6">
        <f>[1]Results!M318</f>
        <v>9.4156769279999999</v>
      </c>
      <c r="K613" s="6">
        <f>[1]Results!N318</f>
        <v>9.5870465150000008</v>
      </c>
      <c r="L613" s="6">
        <f>[1]Results!O318</f>
        <v>9.7541938459999997</v>
      </c>
      <c r="M613" s="6">
        <f>[1]Results!P318</f>
        <v>9.9535135480000001</v>
      </c>
      <c r="N613" s="6">
        <f>[1]Results!Q318</f>
        <v>10.10992841</v>
      </c>
      <c r="O613" s="6">
        <f>[1]Results!R318</f>
        <v>10.265191229999999</v>
      </c>
      <c r="P613" s="6">
        <f>[1]Results!S318</f>
        <v>10.42500791</v>
      </c>
      <c r="Q613" s="6">
        <f>[1]Results!T318</f>
        <v>10.587354769999999</v>
      </c>
      <c r="R613" s="6">
        <f>[1]Results!U318</f>
        <v>10.750367499999999</v>
      </c>
      <c r="S613" s="6">
        <f>[1]Results!V318</f>
        <v>10.91327821</v>
      </c>
      <c r="T613" s="6">
        <f>[1]Results!W318</f>
        <v>11.07610633</v>
      </c>
      <c r="U613" s="6">
        <f>[1]Results!X318</f>
        <v>11.239254600000001</v>
      </c>
      <c r="V613" s="6">
        <f>[1]Results!Y318</f>
        <v>11.40320225</v>
      </c>
      <c r="W613" s="6">
        <f>[1]Results!Z318</f>
        <v>11.542589420000001</v>
      </c>
      <c r="X613" s="6">
        <f>[1]Results!AA318</f>
        <v>11.71274867</v>
      </c>
      <c r="Y613" s="6">
        <f>[1]Results!AB318</f>
        <v>11.88648405</v>
      </c>
      <c r="Z613" s="6">
        <f>[1]Results!AC318</f>
        <v>12.05921056</v>
      </c>
      <c r="AA613" s="6">
        <f>[1]Results!AD318</f>
        <v>12.23199011</v>
      </c>
      <c r="AB613" s="6">
        <f>[1]Results!AE318</f>
        <v>12.33020151</v>
      </c>
      <c r="AC613" s="6">
        <f>[1]Results!AF318</f>
        <v>12.485791470000001</v>
      </c>
      <c r="AD613" s="6">
        <f>[1]Results!AG318</f>
        <v>12.65361532</v>
      </c>
      <c r="AE613" s="6">
        <f>[1]Results!AH318</f>
        <v>12.82305244</v>
      </c>
      <c r="AF613" s="6">
        <f>[1]Results!AI318</f>
        <v>12.994116500000001</v>
      </c>
      <c r="AG613" s="6">
        <f>[1]Results!AJ318</f>
        <v>13.168124000000001</v>
      </c>
      <c r="AH613" s="6">
        <f>[1]Results!AK318</f>
        <v>13.34582537</v>
      </c>
      <c r="AI613" s="6">
        <f>[1]Results!AL318</f>
        <v>13.52737574</v>
      </c>
      <c r="AJ613" s="6">
        <f>[1]Results!AM318</f>
        <v>13.71263145</v>
      </c>
      <c r="AK613" s="6">
        <f>[1]Results!AN318</f>
        <v>13.90140764</v>
      </c>
      <c r="AL613" s="6">
        <f>[1]Results!AO318</f>
        <v>14.09359362</v>
      </c>
    </row>
    <row r="614" spans="1:38" x14ac:dyDescent="0.3">
      <c r="B614" s="6" t="s">
        <v>48</v>
      </c>
      <c r="C614" s="6">
        <f>C615+C616+C617</f>
        <v>61.423617686</v>
      </c>
      <c r="D614" s="6">
        <f t="shared" ref="D614:AI614" si="114">D615+D616+D617</f>
        <v>61.316710970000003</v>
      </c>
      <c r="E614" s="6">
        <f t="shared" si="114"/>
        <v>61.100149053999999</v>
      </c>
      <c r="F614" s="6">
        <f t="shared" si="114"/>
        <v>60.963666395000004</v>
      </c>
      <c r="G614" s="6">
        <f t="shared" si="114"/>
        <v>60.958500642000004</v>
      </c>
      <c r="H614" s="6">
        <f t="shared" si="114"/>
        <v>61.090028724999996</v>
      </c>
      <c r="I614" s="6">
        <f t="shared" si="114"/>
        <v>61.306899541</v>
      </c>
      <c r="J614" s="6">
        <f t="shared" si="114"/>
        <v>61.621715954999999</v>
      </c>
      <c r="K614" s="6">
        <f t="shared" si="114"/>
        <v>62.006721905999996</v>
      </c>
      <c r="L614" s="6">
        <f t="shared" si="114"/>
        <v>62.435569336</v>
      </c>
      <c r="M614" s="6">
        <f t="shared" si="114"/>
        <v>62.935281263999997</v>
      </c>
      <c r="N614" s="6">
        <f t="shared" si="114"/>
        <v>63.407875825999994</v>
      </c>
      <c r="O614" s="6">
        <f t="shared" si="114"/>
        <v>63.893992257000001</v>
      </c>
      <c r="P614" s="6">
        <f t="shared" si="114"/>
        <v>64.391405165999998</v>
      </c>
      <c r="Q614" s="6">
        <f t="shared" si="114"/>
        <v>64.891394262999995</v>
      </c>
      <c r="R614" s="6">
        <f t="shared" si="114"/>
        <v>65.384860810999996</v>
      </c>
      <c r="S614" s="6">
        <f t="shared" si="114"/>
        <v>65.863982290999999</v>
      </c>
      <c r="T614" s="6">
        <f t="shared" si="114"/>
        <v>66.323234247000002</v>
      </c>
      <c r="U614" s="6">
        <f t="shared" si="114"/>
        <v>66.759749264999996</v>
      </c>
      <c r="V614" s="6">
        <f t="shared" si="114"/>
        <v>67.172957101000009</v>
      </c>
      <c r="W614" s="6">
        <f t="shared" si="114"/>
        <v>67.529123257999998</v>
      </c>
      <c r="X614" s="6">
        <f t="shared" si="114"/>
        <v>67.894386015000009</v>
      </c>
      <c r="Y614" s="6">
        <f t="shared" si="114"/>
        <v>68.240864509000005</v>
      </c>
      <c r="Z614" s="6">
        <f t="shared" si="114"/>
        <v>68.566880503000007</v>
      </c>
      <c r="AA614" s="6">
        <f t="shared" si="114"/>
        <v>68.875044223999993</v>
      </c>
      <c r="AB614" s="6">
        <f t="shared" si="114"/>
        <v>69.060204069999998</v>
      </c>
      <c r="AC614" s="6">
        <f t="shared" si="114"/>
        <v>69.283377485000003</v>
      </c>
      <c r="AD614" s="6">
        <f t="shared" si="114"/>
        <v>69.486085750000001</v>
      </c>
      <c r="AE614" s="6">
        <f t="shared" si="114"/>
        <v>69.659888214999995</v>
      </c>
      <c r="AF614" s="6">
        <f t="shared" si="114"/>
        <v>69.807484709000008</v>
      </c>
      <c r="AG614" s="6">
        <f t="shared" si="114"/>
        <v>69.933287218000004</v>
      </c>
      <c r="AH614" s="6">
        <f t="shared" si="114"/>
        <v>70.040714112999993</v>
      </c>
      <c r="AI614" s="6">
        <f t="shared" si="114"/>
        <v>70.131302040000008</v>
      </c>
      <c r="AJ614" s="6">
        <f>AJ615+AJ616+AJ617</f>
        <v>70.204745435999996</v>
      </c>
      <c r="AK614" s="6">
        <f t="shared" ref="AK614" si="115">AK615+AK616+AK617</f>
        <v>70.259539075999996</v>
      </c>
      <c r="AL614" s="6">
        <f t="shared" ref="AL614" si="116">AL615+AL616+AL617</f>
        <v>70.293873140000002</v>
      </c>
    </row>
    <row r="615" spans="1:38" x14ac:dyDescent="0.3">
      <c r="B615" s="6" t="str">
        <f>[1]Results!E321</f>
        <v>CF_toe_ccoi_0</v>
      </c>
      <c r="C615" s="6">
        <f>[1]Results!F321</f>
        <v>0</v>
      </c>
      <c r="D615" s="6">
        <f>[1]Results!G321</f>
        <v>0</v>
      </c>
      <c r="E615" s="6">
        <f>[1]Results!H321</f>
        <v>0</v>
      </c>
      <c r="F615" s="6">
        <f>[1]Results!I321</f>
        <v>0</v>
      </c>
      <c r="G615" s="6">
        <f>[1]Results!J321</f>
        <v>0</v>
      </c>
      <c r="H615" s="6">
        <f>[1]Results!K321</f>
        <v>0</v>
      </c>
      <c r="I615" s="6">
        <f>[1]Results!L321</f>
        <v>0</v>
      </c>
      <c r="J615" s="6">
        <f>[1]Results!M321</f>
        <v>0</v>
      </c>
      <c r="K615" s="6">
        <f>[1]Results!N321</f>
        <v>0</v>
      </c>
      <c r="L615" s="6">
        <f>[1]Results!O321</f>
        <v>0</v>
      </c>
      <c r="M615" s="6">
        <f>[1]Results!P321</f>
        <v>0</v>
      </c>
      <c r="N615" s="6">
        <f>[1]Results!Q321</f>
        <v>0</v>
      </c>
      <c r="O615" s="6">
        <f>[1]Results!R321</f>
        <v>0</v>
      </c>
      <c r="P615" s="6">
        <f>[1]Results!S321</f>
        <v>0</v>
      </c>
      <c r="Q615" s="6">
        <f>[1]Results!T321</f>
        <v>0</v>
      </c>
      <c r="R615" s="6">
        <f>[1]Results!U321</f>
        <v>0</v>
      </c>
      <c r="S615" s="6">
        <f>[1]Results!V321</f>
        <v>0</v>
      </c>
      <c r="T615" s="6">
        <f>[1]Results!W321</f>
        <v>0</v>
      </c>
      <c r="U615" s="6">
        <f>[1]Results!X321</f>
        <v>0</v>
      </c>
      <c r="V615" s="6">
        <f>[1]Results!Y321</f>
        <v>0</v>
      </c>
      <c r="W615" s="6">
        <f>[1]Results!Z321</f>
        <v>0</v>
      </c>
      <c r="X615" s="6">
        <f>[1]Results!AA321</f>
        <v>0</v>
      </c>
      <c r="Y615" s="6">
        <f>[1]Results!AB321</f>
        <v>0</v>
      </c>
      <c r="Z615" s="6">
        <f>[1]Results!AC321</f>
        <v>0</v>
      </c>
      <c r="AA615" s="6">
        <f>[1]Results!AD321</f>
        <v>0</v>
      </c>
      <c r="AB615" s="6">
        <f>[1]Results!AE321</f>
        <v>0</v>
      </c>
      <c r="AC615" s="6">
        <f>[1]Results!AF321</f>
        <v>0</v>
      </c>
      <c r="AD615" s="6">
        <f>[1]Results!AG321</f>
        <v>0</v>
      </c>
      <c r="AE615" s="6">
        <f>[1]Results!AH321</f>
        <v>0</v>
      </c>
      <c r="AF615" s="6">
        <f>[1]Results!AI321</f>
        <v>0</v>
      </c>
      <c r="AG615" s="6">
        <f>[1]Results!AJ321</f>
        <v>0</v>
      </c>
      <c r="AH615" s="6">
        <f>[1]Results!AK321</f>
        <v>0</v>
      </c>
      <c r="AI615" s="6">
        <f>[1]Results!AL321</f>
        <v>0</v>
      </c>
      <c r="AJ615" s="6">
        <f>[1]Results!AM321</f>
        <v>0</v>
      </c>
      <c r="AK615" s="6">
        <f>[1]Results!AN321</f>
        <v>0</v>
      </c>
      <c r="AL615" s="6">
        <f>[1]Results!AO321</f>
        <v>0</v>
      </c>
    </row>
    <row r="616" spans="1:38" x14ac:dyDescent="0.3">
      <c r="B616" s="6" t="str">
        <f>[1]Results!E324</f>
        <v>CF_toe_cfut_0</v>
      </c>
      <c r="C616" s="6">
        <f>[1]Results!F324</f>
        <v>51.75528259</v>
      </c>
      <c r="D616" s="6">
        <f>[1]Results!G324</f>
        <v>51.650926740000003</v>
      </c>
      <c r="E616" s="6">
        <f>[1]Results!H324</f>
        <v>51.473230970000003</v>
      </c>
      <c r="F616" s="6">
        <f>[1]Results!I324</f>
        <v>51.386586600000001</v>
      </c>
      <c r="G616" s="6">
        <f>[1]Results!J324</f>
        <v>51.426825700000002</v>
      </c>
      <c r="H616" s="6">
        <f>[1]Results!K324</f>
        <v>51.590233120000001</v>
      </c>
      <c r="I616" s="6">
        <f>[1]Results!L324</f>
        <v>51.828786239999999</v>
      </c>
      <c r="J616" s="6">
        <f>[1]Results!M324</f>
        <v>52.149123320000001</v>
      </c>
      <c r="K616" s="6">
        <f>[1]Results!N324</f>
        <v>52.526985889999999</v>
      </c>
      <c r="L616" s="6">
        <f>[1]Results!O324</f>
        <v>52.940583279999998</v>
      </c>
      <c r="M616" s="6">
        <f>[1]Results!P324</f>
        <v>53.411720969999998</v>
      </c>
      <c r="N616" s="6">
        <f>[1]Results!Q324</f>
        <v>53.861850599999997</v>
      </c>
      <c r="O616" s="6">
        <f>[1]Results!R324</f>
        <v>54.323951200000003</v>
      </c>
      <c r="P616" s="6">
        <f>[1]Results!S324</f>
        <v>54.795944339999998</v>
      </c>
      <c r="Q616" s="6">
        <f>[1]Results!T324</f>
        <v>55.270162329999998</v>
      </c>
      <c r="R616" s="6">
        <f>[1]Results!U324</f>
        <v>55.738711719999998</v>
      </c>
      <c r="S616" s="6">
        <f>[1]Results!V324</f>
        <v>56.194845729999997</v>
      </c>
      <c r="T616" s="6">
        <f>[1]Results!W324</f>
        <v>56.633735450000003</v>
      </c>
      <c r="U616" s="6">
        <f>[1]Results!X324</f>
        <v>57.052685339999996</v>
      </c>
      <c r="V616" s="6">
        <f>[1]Results!Y324</f>
        <v>57.450784980000002</v>
      </c>
      <c r="W616" s="6">
        <f>[1]Results!Z324</f>
        <v>57.800144099999997</v>
      </c>
      <c r="X616" s="6">
        <f>[1]Results!AA324</f>
        <v>58.153471840000002</v>
      </c>
      <c r="Y616" s="6">
        <f>[1]Results!AB324</f>
        <v>58.48767368</v>
      </c>
      <c r="Z616" s="6">
        <f>[1]Results!AC324</f>
        <v>58.800856500000002</v>
      </c>
      <c r="AA616" s="6">
        <f>[1]Results!AD324</f>
        <v>59.09479717</v>
      </c>
      <c r="AB616" s="6">
        <f>[1]Results!AE324</f>
        <v>59.283218130000002</v>
      </c>
      <c r="AC616" s="6">
        <f>[1]Results!AF324</f>
        <v>59.497180780000001</v>
      </c>
      <c r="AD616" s="6">
        <f>[1]Results!AG324</f>
        <v>59.688406929999999</v>
      </c>
      <c r="AE616" s="6">
        <f>[1]Results!AH324</f>
        <v>59.849826800000002</v>
      </c>
      <c r="AF616" s="6">
        <f>[1]Results!AI324</f>
        <v>59.983945560000002</v>
      </c>
      <c r="AG616" s="6">
        <f>[1]Results!AJ324</f>
        <v>60.09468038</v>
      </c>
      <c r="AH616" s="6">
        <f>[1]Results!AK324</f>
        <v>60.185040479999998</v>
      </c>
      <c r="AI616" s="6">
        <f>[1]Results!AL324</f>
        <v>60.256414280000001</v>
      </c>
      <c r="AJ616" s="6">
        <f>[1]Results!AM324</f>
        <v>60.308641139999999</v>
      </c>
      <c r="AK616" s="6">
        <f>[1]Results!AN324</f>
        <v>60.34057104</v>
      </c>
      <c r="AL616" s="6">
        <f>[1]Results!AO324</f>
        <v>60.350814249999999</v>
      </c>
    </row>
    <row r="617" spans="1:38" x14ac:dyDescent="0.3">
      <c r="B617" s="6" t="str">
        <f>[1]Results!E327</f>
        <v>CF_toe_cfuh_0</v>
      </c>
      <c r="C617" s="6">
        <f>[1]Results!F327</f>
        <v>9.6683350959999999</v>
      </c>
      <c r="D617" s="6">
        <f>[1]Results!G327</f>
        <v>9.6657842299999999</v>
      </c>
      <c r="E617" s="6">
        <f>[1]Results!H327</f>
        <v>9.6269180839999997</v>
      </c>
      <c r="F617" s="6">
        <f>[1]Results!I327</f>
        <v>9.5770797949999995</v>
      </c>
      <c r="G617" s="6">
        <f>[1]Results!J327</f>
        <v>9.5316749420000004</v>
      </c>
      <c r="H617" s="6">
        <f>[1]Results!K327</f>
        <v>9.4997956049999992</v>
      </c>
      <c r="I617" s="6">
        <f>[1]Results!L327</f>
        <v>9.4781133010000005</v>
      </c>
      <c r="J617" s="6">
        <f>[1]Results!M327</f>
        <v>9.4725926349999998</v>
      </c>
      <c r="K617" s="6">
        <f>[1]Results!N327</f>
        <v>9.4797360160000004</v>
      </c>
      <c r="L617" s="6">
        <f>[1]Results!O327</f>
        <v>9.4949860560000001</v>
      </c>
      <c r="M617" s="6">
        <f>[1]Results!P327</f>
        <v>9.5235602939999993</v>
      </c>
      <c r="N617" s="6">
        <f>[1]Results!Q327</f>
        <v>9.5460252259999994</v>
      </c>
      <c r="O617" s="6">
        <f>[1]Results!R327</f>
        <v>9.5700410569999992</v>
      </c>
      <c r="P617" s="6">
        <f>[1]Results!S327</f>
        <v>9.5954608260000001</v>
      </c>
      <c r="Q617" s="6">
        <f>[1]Results!T327</f>
        <v>9.6212319330000007</v>
      </c>
      <c r="R617" s="6">
        <f>[1]Results!U327</f>
        <v>9.6461490909999998</v>
      </c>
      <c r="S617" s="6">
        <f>[1]Results!V327</f>
        <v>9.6691365610000002</v>
      </c>
      <c r="T617" s="6">
        <f>[1]Results!W327</f>
        <v>9.6894987970000006</v>
      </c>
      <c r="U617" s="6">
        <f>[1]Results!X327</f>
        <v>9.7070639249999999</v>
      </c>
      <c r="V617" s="6">
        <f>[1]Results!Y327</f>
        <v>9.7221721209999998</v>
      </c>
      <c r="W617" s="6">
        <f>[1]Results!Z327</f>
        <v>9.7289791579999996</v>
      </c>
      <c r="X617" s="6">
        <f>[1]Results!AA327</f>
        <v>9.7409141750000003</v>
      </c>
      <c r="Y617" s="6">
        <f>[1]Results!AB327</f>
        <v>9.7531908289999993</v>
      </c>
      <c r="Z617" s="6">
        <f>[1]Results!AC327</f>
        <v>9.7660240030000001</v>
      </c>
      <c r="AA617" s="6">
        <f>[1]Results!AD327</f>
        <v>9.7802470540000002</v>
      </c>
      <c r="AB617" s="6">
        <f>[1]Results!AE327</f>
        <v>9.7769859399999994</v>
      </c>
      <c r="AC617" s="6">
        <f>[1]Results!AF327</f>
        <v>9.7861967050000001</v>
      </c>
      <c r="AD617" s="6">
        <f>[1]Results!AG327</f>
        <v>9.7976788199999998</v>
      </c>
      <c r="AE617" s="6">
        <f>[1]Results!AH327</f>
        <v>9.8100614149999998</v>
      </c>
      <c r="AF617" s="6">
        <f>[1]Results!AI327</f>
        <v>9.8235391490000001</v>
      </c>
      <c r="AG617" s="6">
        <f>[1]Results!AJ327</f>
        <v>9.8386068380000005</v>
      </c>
      <c r="AH617" s="6">
        <f>[1]Results!AK327</f>
        <v>9.8556736330000003</v>
      </c>
      <c r="AI617" s="6">
        <f>[1]Results!AL327</f>
        <v>9.87488776</v>
      </c>
      <c r="AJ617" s="6">
        <f>[1]Results!AM327</f>
        <v>9.8961042960000007</v>
      </c>
      <c r="AK617" s="6">
        <f>[1]Results!AN327</f>
        <v>9.9189680360000008</v>
      </c>
      <c r="AL617" s="6">
        <f>[1]Results!AO327</f>
        <v>9.9430588899999996</v>
      </c>
    </row>
    <row r="618" spans="1:38" x14ac:dyDescent="0.3">
      <c r="B618" s="6" t="str">
        <f>[1]Results!E329</f>
        <v>CF_toe_cgas_0</v>
      </c>
      <c r="C618" s="6">
        <f>[1]Results!F329</f>
        <v>28.033094800000001</v>
      </c>
      <c r="D618" s="6">
        <f>[1]Results!G329</f>
        <v>28.136281700000001</v>
      </c>
      <c r="E618" s="6">
        <f>[1]Results!H329</f>
        <v>28.203385220000001</v>
      </c>
      <c r="F618" s="6">
        <f>[1]Results!I329</f>
        <v>28.279739599999999</v>
      </c>
      <c r="G618" s="6">
        <f>[1]Results!J329</f>
        <v>28.389398880000002</v>
      </c>
      <c r="H618" s="6">
        <f>[1]Results!K329</f>
        <v>28.54837362</v>
      </c>
      <c r="I618" s="6">
        <f>[1]Results!L329</f>
        <v>28.734066120000001</v>
      </c>
      <c r="J618" s="6">
        <f>[1]Results!M329</f>
        <v>28.963569020000001</v>
      </c>
      <c r="K618" s="6">
        <f>[1]Results!N329</f>
        <v>29.225829990000001</v>
      </c>
      <c r="L618" s="6">
        <f>[1]Results!O329</f>
        <v>29.506400889999998</v>
      </c>
      <c r="M618" s="6">
        <f>[1]Results!P329</f>
        <v>29.827663009999998</v>
      </c>
      <c r="N618" s="6">
        <f>[1]Results!Q329</f>
        <v>30.129468859999999</v>
      </c>
      <c r="O618" s="6">
        <f>[1]Results!R329</f>
        <v>30.4376319</v>
      </c>
      <c r="P618" s="6">
        <f>[1]Results!S329</f>
        <v>30.757931259999999</v>
      </c>
      <c r="Q618" s="6">
        <f>[1]Results!T329</f>
        <v>31.085982449999999</v>
      </c>
      <c r="R618" s="6">
        <f>[1]Results!U329</f>
        <v>31.415277419999999</v>
      </c>
      <c r="S618" s="6">
        <f>[1]Results!V329</f>
        <v>31.739835580000001</v>
      </c>
      <c r="T618" s="6">
        <f>[1]Results!W329</f>
        <v>32.055804549999998</v>
      </c>
      <c r="U618" s="6">
        <f>[1]Results!X329</f>
        <v>32.362059449999997</v>
      </c>
      <c r="V618" s="6">
        <f>[1]Results!Y329</f>
        <v>32.65984186</v>
      </c>
      <c r="W618" s="6">
        <f>[1]Results!Z329</f>
        <v>32.927824989999998</v>
      </c>
      <c r="X618" s="6">
        <f>[1]Results!AA329</f>
        <v>33.211566130000001</v>
      </c>
      <c r="Y618" s="6">
        <f>[1]Results!AB329</f>
        <v>33.498636189999999</v>
      </c>
      <c r="Z618" s="6">
        <f>[1]Results!AC329</f>
        <v>33.786856870000001</v>
      </c>
      <c r="AA618" s="6">
        <f>[1]Results!AD329</f>
        <v>34.0789762</v>
      </c>
      <c r="AB618" s="6">
        <f>[1]Results!AE329</f>
        <v>34.30261256</v>
      </c>
      <c r="AC618" s="6">
        <f>[1]Results!AF329</f>
        <v>34.565577910000002</v>
      </c>
      <c r="AD618" s="6">
        <f>[1]Results!AG329</f>
        <v>34.838384560000001</v>
      </c>
      <c r="AE618" s="6">
        <f>[1]Results!AH329</f>
        <v>35.111965640000001</v>
      </c>
      <c r="AF618" s="6">
        <f>[1]Results!AI329</f>
        <v>35.388511479999998</v>
      </c>
      <c r="AG618" s="6">
        <f>[1]Results!AJ329</f>
        <v>35.672698160000003</v>
      </c>
      <c r="AH618" s="6">
        <f>[1]Results!AK329</f>
        <v>35.968249370000002</v>
      </c>
      <c r="AI618" s="6">
        <f>[1]Results!AL329</f>
        <v>36.276702389999997</v>
      </c>
      <c r="AJ618" s="6">
        <f>[1]Results!AM329</f>
        <v>36.597424549999999</v>
      </c>
      <c r="AK618" s="6">
        <f>[1]Results!AN329</f>
        <v>36.9284003</v>
      </c>
      <c r="AL618" s="6">
        <f>[1]Results!AO329</f>
        <v>37.26729933</v>
      </c>
    </row>
    <row r="619" spans="1:38" x14ac:dyDescent="0.3">
      <c r="B619" s="6" t="str">
        <f>[1]Results!E335</f>
        <v>CF_toe_cele_0</v>
      </c>
      <c r="C619" s="6">
        <f>[1]Results!F335</f>
        <v>36.380602070000002</v>
      </c>
      <c r="D619" s="6">
        <f>[1]Results!G335</f>
        <v>36.460156789999999</v>
      </c>
      <c r="E619" s="6">
        <f>[1]Results!H335</f>
        <v>36.532820309999998</v>
      </c>
      <c r="F619" s="6">
        <f>[1]Results!I335</f>
        <v>36.727624659999996</v>
      </c>
      <c r="G619" s="6">
        <f>[1]Results!J335</f>
        <v>37.109243229999997</v>
      </c>
      <c r="H619" s="6">
        <f>[1]Results!K335</f>
        <v>37.713382150000001</v>
      </c>
      <c r="I619" s="6">
        <f>[1]Results!L335</f>
        <v>38.52167506</v>
      </c>
      <c r="J619" s="6">
        <f>[1]Results!M335</f>
        <v>39.512226419999998</v>
      </c>
      <c r="K619" s="6">
        <f>[1]Results!N335</f>
        <v>40.626426109999997</v>
      </c>
      <c r="L619" s="6">
        <f>[1]Results!O335</f>
        <v>41.789881919999999</v>
      </c>
      <c r="M619" s="6">
        <f>[1]Results!P335</f>
        <v>42.950465360000003</v>
      </c>
      <c r="N619" s="6">
        <f>[1]Results!Q335</f>
        <v>44.046322699999997</v>
      </c>
      <c r="O619" s="6">
        <f>[1]Results!R335</f>
        <v>45.055774149999998</v>
      </c>
      <c r="P619" s="6">
        <f>[1]Results!S335</f>
        <v>45.974296029999998</v>
      </c>
      <c r="Q619" s="6">
        <f>[1]Results!T335</f>
        <v>46.795278230000001</v>
      </c>
      <c r="R619" s="6">
        <f>[1]Results!U335</f>
        <v>47.512801879999998</v>
      </c>
      <c r="S619" s="6">
        <f>[1]Results!V335</f>
        <v>48.132098640000002</v>
      </c>
      <c r="T619" s="6">
        <f>[1]Results!W335</f>
        <v>48.669790749999997</v>
      </c>
      <c r="U619" s="6">
        <f>[1]Results!X335</f>
        <v>49.15256041</v>
      </c>
      <c r="V619" s="6">
        <f>[1]Results!Y335</f>
        <v>49.613302439999998</v>
      </c>
      <c r="W619" s="6">
        <f>[1]Results!Z335</f>
        <v>50.070684399999998</v>
      </c>
      <c r="X619" s="6">
        <f>[1]Results!AA335</f>
        <v>50.563628379999997</v>
      </c>
      <c r="Y619" s="6">
        <f>[1]Results!AB335</f>
        <v>51.113816780000001</v>
      </c>
      <c r="Z619" s="6">
        <f>[1]Results!AC335</f>
        <v>51.732458559999998</v>
      </c>
      <c r="AA619" s="6">
        <f>[1]Results!AD335</f>
        <v>52.428885190000003</v>
      </c>
      <c r="AB619" s="6">
        <f>[1]Results!AE335</f>
        <v>53.148471350000001</v>
      </c>
      <c r="AC619" s="6">
        <f>[1]Results!AF335</f>
        <v>53.93653664</v>
      </c>
      <c r="AD619" s="6">
        <f>[1]Results!AG335</f>
        <v>54.769806019999997</v>
      </c>
      <c r="AE619" s="6">
        <f>[1]Results!AH335</f>
        <v>55.625661319999999</v>
      </c>
      <c r="AF619" s="6">
        <f>[1]Results!AI335</f>
        <v>56.495626829999999</v>
      </c>
      <c r="AG619" s="6">
        <f>[1]Results!AJ335</f>
        <v>57.378439579999998</v>
      </c>
      <c r="AH619" s="6">
        <f>[1]Results!AK335</f>
        <v>58.274039979999998</v>
      </c>
      <c r="AI619" s="6">
        <f>[1]Results!AL335</f>
        <v>59.179736220000002</v>
      </c>
      <c r="AJ619" s="6">
        <f>[1]Results!AM335</f>
        <v>60.089147599999997</v>
      </c>
      <c r="AK619" s="6">
        <f>[1]Results!AN335</f>
        <v>60.99367299</v>
      </c>
      <c r="AL619" s="6">
        <f>[1]Results!AO335</f>
        <v>61.883471989999997</v>
      </c>
    </row>
    <row r="620" spans="1:38" x14ac:dyDescent="0.3">
      <c r="B620" s="6" t="s">
        <v>49</v>
      </c>
      <c r="C620" s="6">
        <f>SUM(C621:C623)</f>
        <v>17.360055803000002</v>
      </c>
      <c r="D620" s="6">
        <f t="shared" ref="D620:AL620" si="117">SUM(D621:D623)</f>
        <v>17.398557257</v>
      </c>
      <c r="E620" s="6">
        <f t="shared" si="117"/>
        <v>17.418578975000003</v>
      </c>
      <c r="F620" s="6">
        <f t="shared" si="117"/>
        <v>17.460349186000002</v>
      </c>
      <c r="G620" s="6">
        <f t="shared" si="117"/>
        <v>17.543307439000003</v>
      </c>
      <c r="H620" s="6">
        <f t="shared" si="117"/>
        <v>17.680005002999998</v>
      </c>
      <c r="I620" s="6">
        <f t="shared" si="117"/>
        <v>17.858913636</v>
      </c>
      <c r="J620" s="6">
        <f t="shared" si="117"/>
        <v>18.083353968000001</v>
      </c>
      <c r="K620" s="6">
        <f t="shared" si="117"/>
        <v>18.339640295999999</v>
      </c>
      <c r="L620" s="6">
        <f t="shared" si="117"/>
        <v>18.610877985000002</v>
      </c>
      <c r="M620" s="6">
        <f t="shared" si="117"/>
        <v>18.897961158000001</v>
      </c>
      <c r="N620" s="6">
        <f t="shared" si="117"/>
        <v>19.170261299</v>
      </c>
      <c r="O620" s="6">
        <f t="shared" si="117"/>
        <v>19.434629252000001</v>
      </c>
      <c r="P620" s="6">
        <f t="shared" si="117"/>
        <v>19.692852801999997</v>
      </c>
      <c r="Q620" s="6">
        <f t="shared" si="117"/>
        <v>19.942400369999998</v>
      </c>
      <c r="R620" s="6">
        <f t="shared" si="117"/>
        <v>20.179296049000001</v>
      </c>
      <c r="S620" s="6">
        <f t="shared" si="117"/>
        <v>20.400746693999999</v>
      </c>
      <c r="T620" s="6">
        <f t="shared" si="117"/>
        <v>20.606272320000002</v>
      </c>
      <c r="U620" s="6">
        <f t="shared" si="117"/>
        <v>20.798094768999999</v>
      </c>
      <c r="V620" s="6">
        <f t="shared" si="117"/>
        <v>20.980633961000002</v>
      </c>
      <c r="W620" s="6">
        <f t="shared" si="117"/>
        <v>21.148040215999998</v>
      </c>
      <c r="X620" s="6">
        <f t="shared" si="117"/>
        <v>21.322678080999999</v>
      </c>
      <c r="Y620" s="6">
        <f t="shared" si="117"/>
        <v>21.503961243999999</v>
      </c>
      <c r="Z620" s="6">
        <f t="shared" si="117"/>
        <v>21.692947304999997</v>
      </c>
      <c r="AA620" s="6">
        <f t="shared" si="117"/>
        <v>21.892334346000002</v>
      </c>
      <c r="AB620" s="6">
        <f t="shared" si="117"/>
        <v>22.066154742000002</v>
      </c>
      <c r="AC620" s="6">
        <f t="shared" si="117"/>
        <v>22.262401785999998</v>
      </c>
      <c r="AD620" s="6">
        <f t="shared" si="117"/>
        <v>22.466600686</v>
      </c>
      <c r="AE620" s="6">
        <f t="shared" si="117"/>
        <v>22.672322281</v>
      </c>
      <c r="AF620" s="6">
        <f t="shared" si="117"/>
        <v>22.879693519</v>
      </c>
      <c r="AG620" s="6">
        <f t="shared" si="117"/>
        <v>23.090967818999999</v>
      </c>
      <c r="AH620" s="6">
        <f t="shared" si="117"/>
        <v>23.308160858000001</v>
      </c>
      <c r="AI620" s="6">
        <f t="shared" si="117"/>
        <v>23.531883514999997</v>
      </c>
      <c r="AJ620" s="6">
        <f t="shared" si="117"/>
        <v>23.761138807000002</v>
      </c>
      <c r="AK620" s="6">
        <f t="shared" si="117"/>
        <v>23.993858218</v>
      </c>
      <c r="AL620" s="6">
        <f t="shared" si="117"/>
        <v>24.227535938999999</v>
      </c>
    </row>
    <row r="621" spans="1:38" x14ac:dyDescent="0.3">
      <c r="B621" s="6" t="str">
        <f>[1]Results!E345</f>
        <v>CF_toe_chea_0</v>
      </c>
      <c r="C621" s="6">
        <f>[1]Results!F345</f>
        <v>2.763125901</v>
      </c>
      <c r="D621" s="6">
        <f>[1]Results!G345</f>
        <v>2.7804084929999999</v>
      </c>
      <c r="E621" s="6">
        <f>[1]Results!H345</f>
        <v>2.8020371759999998</v>
      </c>
      <c r="F621" s="6">
        <f>[1]Results!I345</f>
        <v>2.8325627020000002</v>
      </c>
      <c r="G621" s="6">
        <f>[1]Results!J345</f>
        <v>2.8723268499999999</v>
      </c>
      <c r="H621" s="6">
        <f>[1]Results!K345</f>
        <v>2.9209586569999999</v>
      </c>
      <c r="I621" s="6">
        <f>[1]Results!L345</f>
        <v>2.9758550650000002</v>
      </c>
      <c r="J621" s="6">
        <f>[1]Results!M345</f>
        <v>3.035261604</v>
      </c>
      <c r="K621" s="6">
        <f>[1]Results!N345</f>
        <v>3.097316921</v>
      </c>
      <c r="L621" s="6">
        <f>[1]Results!O345</f>
        <v>3.1598162830000001</v>
      </c>
      <c r="M621" s="6">
        <f>[1]Results!P345</f>
        <v>3.2226492879999999</v>
      </c>
      <c r="N621" s="6">
        <f>[1]Results!Q345</f>
        <v>3.2839425200000001</v>
      </c>
      <c r="O621" s="6">
        <f>[1]Results!R345</f>
        <v>3.3421386150000001</v>
      </c>
      <c r="P621" s="6">
        <f>[1]Results!S345</f>
        <v>3.3977849459999998</v>
      </c>
      <c r="Q621" s="6">
        <f>[1]Results!T345</f>
        <v>3.4508828899999999</v>
      </c>
      <c r="R621" s="6">
        <f>[1]Results!U345</f>
        <v>3.5009753699999999</v>
      </c>
      <c r="S621" s="6">
        <f>[1]Results!V345</f>
        <v>3.5481392469999999</v>
      </c>
      <c r="T621" s="6">
        <f>[1]Results!W345</f>
        <v>3.5929283220000001</v>
      </c>
      <c r="U621" s="6">
        <f>[1]Results!X345</f>
        <v>3.6362860829999999</v>
      </c>
      <c r="V621" s="6">
        <f>[1]Results!Y345</f>
        <v>3.679367558</v>
      </c>
      <c r="W621" s="6">
        <f>[1]Results!Z345</f>
        <v>3.722032317</v>
      </c>
      <c r="X621" s="6">
        <f>[1]Results!AA345</f>
        <v>3.765392071</v>
      </c>
      <c r="Y621" s="6">
        <f>[1]Results!AB345</f>
        <v>3.8108378369999998</v>
      </c>
      <c r="Z621" s="6">
        <f>[1]Results!AC345</f>
        <v>3.858305476</v>
      </c>
      <c r="AA621" s="6">
        <f>[1]Results!AD345</f>
        <v>3.9077812430000001</v>
      </c>
      <c r="AB621" s="6">
        <f>[1]Results!AE345</f>
        <v>3.954887297</v>
      </c>
      <c r="AC621" s="6">
        <f>[1]Results!AF345</f>
        <v>4.0012190419999998</v>
      </c>
      <c r="AD621" s="6">
        <f>[1]Results!AG345</f>
        <v>4.0481724139999997</v>
      </c>
      <c r="AE621" s="6">
        <f>[1]Results!AH345</f>
        <v>4.0952497470000004</v>
      </c>
      <c r="AF621" s="6">
        <f>[1]Results!AI345</f>
        <v>4.1423605830000003</v>
      </c>
      <c r="AG621" s="6">
        <f>[1]Results!AJ345</f>
        <v>4.1897128559999999</v>
      </c>
      <c r="AH621" s="6">
        <f>[1]Results!AK345</f>
        <v>4.2375352570000002</v>
      </c>
      <c r="AI621" s="6">
        <f>[1]Results!AL345</f>
        <v>4.285895537</v>
      </c>
      <c r="AJ621" s="6">
        <f>[1]Results!AM345</f>
        <v>4.3346563329999999</v>
      </c>
      <c r="AK621" s="6">
        <f>[1]Results!AN345</f>
        <v>4.3835453019999999</v>
      </c>
      <c r="AL621" s="6">
        <f>[1]Results!AO345</f>
        <v>4.4320160169999996</v>
      </c>
    </row>
    <row r="622" spans="1:38" x14ac:dyDescent="0.3">
      <c r="B622" s="6" t="str">
        <f>[1]Results!E347</f>
        <v>CF_toe_cbio_0</v>
      </c>
      <c r="C622" s="6">
        <f>[1]Results!F347</f>
        <v>8.0997826370000006</v>
      </c>
      <c r="D622" s="6">
        <f>[1]Results!G347</f>
        <v>8.1069285919999992</v>
      </c>
      <c r="E622" s="6">
        <f>[1]Results!H347</f>
        <v>8.0880865400000008</v>
      </c>
      <c r="F622" s="6">
        <f>[1]Results!I347</f>
        <v>8.0633621190000007</v>
      </c>
      <c r="G622" s="6">
        <f>[1]Results!J347</f>
        <v>8.0421830360000008</v>
      </c>
      <c r="H622" s="6">
        <f>[1]Results!K347</f>
        <v>8.0296068199999997</v>
      </c>
      <c r="I622" s="6">
        <f>[1]Results!L347</f>
        <v>8.0236058610000001</v>
      </c>
      <c r="J622" s="6">
        <f>[1]Results!M347</f>
        <v>8.0258485959999994</v>
      </c>
      <c r="K622" s="6">
        <f>[1]Results!N347</f>
        <v>8.0348127789999992</v>
      </c>
      <c r="L622" s="6">
        <f>[1]Results!O347</f>
        <v>8.0481872810000006</v>
      </c>
      <c r="M622" s="6">
        <f>[1]Results!P347</f>
        <v>8.0692123280000008</v>
      </c>
      <c r="N622" s="6">
        <f>[1]Results!Q347</f>
        <v>8.0877479090000008</v>
      </c>
      <c r="O622" s="6">
        <f>[1]Results!R347</f>
        <v>8.1052037489999993</v>
      </c>
      <c r="P622" s="6">
        <f>[1]Results!S347</f>
        <v>8.1216517199999991</v>
      </c>
      <c r="Q622" s="6">
        <f>[1]Results!T347</f>
        <v>8.1364663559999997</v>
      </c>
      <c r="R622" s="6">
        <f>[1]Results!U347</f>
        <v>8.149029531</v>
      </c>
      <c r="S622" s="6">
        <f>[1]Results!V347</f>
        <v>8.1589903449999994</v>
      </c>
      <c r="T622" s="6">
        <f>[1]Results!W347</f>
        <v>8.1663595309999994</v>
      </c>
      <c r="U622" s="6">
        <f>[1]Results!X347</f>
        <v>8.1715144599999991</v>
      </c>
      <c r="V622" s="6">
        <f>[1]Results!Y347</f>
        <v>8.1751307969999996</v>
      </c>
      <c r="W622" s="6">
        <f>[1]Results!Z347</f>
        <v>8.1741132479999994</v>
      </c>
      <c r="X622" s="6">
        <f>[1]Results!AA347</f>
        <v>8.175735435</v>
      </c>
      <c r="Y622" s="6">
        <f>[1]Results!AB347</f>
        <v>8.1792974039999997</v>
      </c>
      <c r="Z622" s="6">
        <f>[1]Results!AC347</f>
        <v>8.1848097309999996</v>
      </c>
      <c r="AA622" s="6">
        <f>[1]Results!AD347</f>
        <v>8.1926964410000007</v>
      </c>
      <c r="AB622" s="6">
        <f>[1]Results!AE347</f>
        <v>8.1916813850000008</v>
      </c>
      <c r="AC622" s="6">
        <f>[1]Results!AF347</f>
        <v>8.1961025339999996</v>
      </c>
      <c r="AD622" s="6">
        <f>[1]Results!AG347</f>
        <v>8.2035130719999998</v>
      </c>
      <c r="AE622" s="6">
        <f>[1]Results!AH347</f>
        <v>8.2126607440000008</v>
      </c>
      <c r="AF622" s="6">
        <f>[1]Results!AI347</f>
        <v>8.2232784559999992</v>
      </c>
      <c r="AG622" s="6">
        <f>[1]Results!AJ347</f>
        <v>8.2353238829999995</v>
      </c>
      <c r="AH622" s="6">
        <f>[1]Results!AK347</f>
        <v>8.2487133410000002</v>
      </c>
      <c r="AI622" s="6">
        <f>[1]Results!AL347</f>
        <v>8.2632511579999992</v>
      </c>
      <c r="AJ622" s="6">
        <f>[1]Results!AM347</f>
        <v>8.2786463440000002</v>
      </c>
      <c r="AK622" s="6">
        <f>[1]Results!AN347</f>
        <v>8.2945741860000002</v>
      </c>
      <c r="AL622" s="6">
        <f>[1]Results!AO347</f>
        <v>8.3107527619999999</v>
      </c>
    </row>
    <row r="623" spans="1:38" x14ac:dyDescent="0.3">
      <c r="B623" s="6" t="str">
        <f>[1]Results!E350</f>
        <v>CF_toe_cote_0</v>
      </c>
      <c r="C623" s="6">
        <f>[1]Results!F350</f>
        <v>6.4971472649999997</v>
      </c>
      <c r="D623" s="6">
        <f>[1]Results!G350</f>
        <v>6.5112201719999998</v>
      </c>
      <c r="E623" s="6">
        <f>[1]Results!H350</f>
        <v>6.5284552590000002</v>
      </c>
      <c r="F623" s="6">
        <f>[1]Results!I350</f>
        <v>6.5644243649999998</v>
      </c>
      <c r="G623" s="6">
        <f>[1]Results!J350</f>
        <v>6.6287975530000001</v>
      </c>
      <c r="H623" s="6">
        <f>[1]Results!K350</f>
        <v>6.7294395260000002</v>
      </c>
      <c r="I623" s="6">
        <f>[1]Results!L350</f>
        <v>6.8594527100000002</v>
      </c>
      <c r="J623" s="6">
        <f>[1]Results!M350</f>
        <v>7.0222437680000001</v>
      </c>
      <c r="K623" s="6">
        <f>[1]Results!N350</f>
        <v>7.2075105959999997</v>
      </c>
      <c r="L623" s="6">
        <f>[1]Results!O350</f>
        <v>7.4028744209999999</v>
      </c>
      <c r="M623" s="6">
        <f>[1]Results!P350</f>
        <v>7.6060995419999999</v>
      </c>
      <c r="N623" s="6">
        <f>[1]Results!Q350</f>
        <v>7.7985708699999998</v>
      </c>
      <c r="O623" s="6">
        <f>[1]Results!R350</f>
        <v>7.9872868879999999</v>
      </c>
      <c r="P623" s="6">
        <f>[1]Results!S350</f>
        <v>8.1734161360000002</v>
      </c>
      <c r="Q623" s="6">
        <f>[1]Results!T350</f>
        <v>8.3550511239999992</v>
      </c>
      <c r="R623" s="6">
        <f>[1]Results!U350</f>
        <v>8.5292911480000004</v>
      </c>
      <c r="S623" s="6">
        <f>[1]Results!V350</f>
        <v>8.6936171019999993</v>
      </c>
      <c r="T623" s="6">
        <f>[1]Results!W350</f>
        <v>8.8469844670000004</v>
      </c>
      <c r="U623" s="6">
        <f>[1]Results!X350</f>
        <v>8.9902942259999996</v>
      </c>
      <c r="V623" s="6">
        <f>[1]Results!Y350</f>
        <v>9.1261356060000001</v>
      </c>
      <c r="W623" s="6">
        <f>[1]Results!Z350</f>
        <v>9.2518946510000006</v>
      </c>
      <c r="X623" s="6">
        <f>[1]Results!AA350</f>
        <v>9.3815505750000003</v>
      </c>
      <c r="Y623" s="6">
        <f>[1]Results!AB350</f>
        <v>9.5138260030000001</v>
      </c>
      <c r="Z623" s="6">
        <f>[1]Results!AC350</f>
        <v>9.6498320979999992</v>
      </c>
      <c r="AA623" s="6">
        <f>[1]Results!AD350</f>
        <v>9.7918566620000007</v>
      </c>
      <c r="AB623" s="6">
        <f>[1]Results!AE350</f>
        <v>9.9195860600000003</v>
      </c>
      <c r="AC623" s="6">
        <f>[1]Results!AF350</f>
        <v>10.06508021</v>
      </c>
      <c r="AD623" s="6">
        <f>[1]Results!AG350</f>
        <v>10.2149152</v>
      </c>
      <c r="AE623" s="6">
        <f>[1]Results!AH350</f>
        <v>10.36441179</v>
      </c>
      <c r="AF623" s="6">
        <f>[1]Results!AI350</f>
        <v>10.51405448</v>
      </c>
      <c r="AG623" s="6">
        <f>[1]Results!AJ350</f>
        <v>10.66593108</v>
      </c>
      <c r="AH623" s="6">
        <f>[1]Results!AK350</f>
        <v>10.82191226</v>
      </c>
      <c r="AI623" s="6">
        <f>[1]Results!AL350</f>
        <v>10.98273682</v>
      </c>
      <c r="AJ623" s="6">
        <f>[1]Results!AM350</f>
        <v>11.14783613</v>
      </c>
      <c r="AK623" s="6">
        <f>[1]Results!AN350</f>
        <v>11.31573873</v>
      </c>
      <c r="AL623" s="6">
        <f>[1]Results!AO350</f>
        <v>11.484767160000001</v>
      </c>
    </row>
    <row r="625" spans="1:38" x14ac:dyDescent="0.3">
      <c r="C625" s="2">
        <v>42005</v>
      </c>
      <c r="D625" s="2">
        <v>42370</v>
      </c>
      <c r="E625" s="2">
        <v>42736</v>
      </c>
      <c r="F625" s="2">
        <v>43101</v>
      </c>
      <c r="G625" s="2">
        <v>43466</v>
      </c>
      <c r="H625" s="2">
        <v>43831</v>
      </c>
      <c r="I625" s="2">
        <v>44197</v>
      </c>
      <c r="J625" s="2">
        <v>44562</v>
      </c>
      <c r="K625" s="2">
        <v>44927</v>
      </c>
      <c r="L625" s="2">
        <v>45292</v>
      </c>
      <c r="M625" s="2">
        <v>45658</v>
      </c>
      <c r="N625" s="2">
        <v>46023</v>
      </c>
      <c r="O625" s="2">
        <v>46388</v>
      </c>
      <c r="P625" s="2">
        <v>46753</v>
      </c>
      <c r="Q625" s="2">
        <v>47119</v>
      </c>
      <c r="R625" s="2">
        <v>47484</v>
      </c>
      <c r="S625" s="2">
        <v>47849</v>
      </c>
      <c r="T625" s="2">
        <v>48214</v>
      </c>
      <c r="U625" s="2">
        <v>48580</v>
      </c>
      <c r="V625" s="2">
        <v>48945</v>
      </c>
      <c r="W625" s="2">
        <v>49310</v>
      </c>
      <c r="X625" s="2">
        <v>49675</v>
      </c>
      <c r="Y625" s="2">
        <v>50041</v>
      </c>
      <c r="Z625" s="2">
        <v>50406</v>
      </c>
      <c r="AA625" s="2">
        <v>50771</v>
      </c>
      <c r="AB625" s="2">
        <v>51136</v>
      </c>
      <c r="AC625" s="2">
        <v>51502</v>
      </c>
      <c r="AD625" s="2">
        <v>51867</v>
      </c>
      <c r="AE625" s="2">
        <v>52232</v>
      </c>
      <c r="AF625" s="2">
        <v>52597</v>
      </c>
      <c r="AG625" s="2">
        <v>52963</v>
      </c>
      <c r="AH625" s="2">
        <v>53328</v>
      </c>
      <c r="AI625" s="2">
        <v>53693</v>
      </c>
      <c r="AJ625" s="2">
        <v>54058</v>
      </c>
      <c r="AK625" s="2">
        <v>54424</v>
      </c>
      <c r="AL625" s="2">
        <v>54789</v>
      </c>
    </row>
    <row r="626" spans="1:38" x14ac:dyDescent="0.3">
      <c r="A626" s="12" t="s">
        <v>67</v>
      </c>
      <c r="B626" t="s">
        <v>51</v>
      </c>
      <c r="C626" s="4">
        <f>C599/C612-1</f>
        <v>0</v>
      </c>
      <c r="D626" s="4">
        <f t="shared" ref="D626:AL626" si="118">D599/D612-1</f>
        <v>0</v>
      </c>
      <c r="E626" s="4">
        <f t="shared" si="118"/>
        <v>0</v>
      </c>
      <c r="F626" s="4">
        <f t="shared" si="118"/>
        <v>0</v>
      </c>
      <c r="G626" s="4">
        <f t="shared" si="118"/>
        <v>0</v>
      </c>
      <c r="H626" s="4">
        <f t="shared" si="118"/>
        <v>0</v>
      </c>
      <c r="I626" s="4">
        <f t="shared" si="118"/>
        <v>2.2128257751659053E-3</v>
      </c>
      <c r="J626" s="4">
        <f t="shared" si="118"/>
        <v>6.008138796583129E-3</v>
      </c>
      <c r="K626" s="4">
        <f t="shared" si="118"/>
        <v>1.0650564943545549E-2</v>
      </c>
      <c r="L626" s="4">
        <f t="shared" si="118"/>
        <v>1.3736490150793923E-2</v>
      </c>
      <c r="M626" s="4">
        <f t="shared" si="118"/>
        <v>1.3669337839409268E-2</v>
      </c>
      <c r="N626" s="4">
        <f t="shared" si="118"/>
        <v>1.0667134458801852E-2</v>
      </c>
      <c r="O626" s="4">
        <f t="shared" si="118"/>
        <v>5.7703255569780953E-3</v>
      </c>
      <c r="P626" s="4">
        <f t="shared" si="118"/>
        <v>4.2852990025199489E-4</v>
      </c>
      <c r="Q626" s="4">
        <f t="shared" si="118"/>
        <v>-4.1204072095013533E-3</v>
      </c>
      <c r="R626" s="4">
        <f t="shared" si="118"/>
        <v>-7.2215618421559435E-3</v>
      </c>
      <c r="S626" s="4">
        <f t="shared" si="118"/>
        <v>-8.8491161737260793E-3</v>
      </c>
      <c r="T626" s="4">
        <f t="shared" si="118"/>
        <v>-9.3410905505197928E-3</v>
      </c>
      <c r="U626" s="4">
        <f t="shared" si="118"/>
        <v>-9.1572966734273509E-3</v>
      </c>
      <c r="V626" s="4">
        <f t="shared" si="118"/>
        <v>-8.6869297809185619E-3</v>
      </c>
      <c r="W626" s="4">
        <f t="shared" si="118"/>
        <v>-8.1752390902355421E-3</v>
      </c>
      <c r="X626" s="4">
        <f t="shared" si="118"/>
        <v>-7.6221680212131826E-3</v>
      </c>
      <c r="Y626" s="4">
        <f t="shared" si="118"/>
        <v>-6.9987245768856621E-3</v>
      </c>
      <c r="Z626" s="4">
        <f t="shared" si="118"/>
        <v>-6.2719533905966074E-3</v>
      </c>
      <c r="AA626" s="4">
        <f t="shared" si="118"/>
        <v>-5.450361442436491E-3</v>
      </c>
      <c r="AB626" s="4">
        <f t="shared" si="118"/>
        <v>-4.6189810978767287E-3</v>
      </c>
      <c r="AC626" s="4">
        <f t="shared" si="118"/>
        <v>-3.8457836551888391E-3</v>
      </c>
      <c r="AD626" s="4">
        <f t="shared" si="118"/>
        <v>-3.2335218271452026E-3</v>
      </c>
      <c r="AE626" s="4">
        <f t="shared" si="118"/>
        <v>-2.8614489289843226E-3</v>
      </c>
      <c r="AF626" s="4">
        <f t="shared" si="118"/>
        <v>-2.7602951170108136E-3</v>
      </c>
      <c r="AG626" s="4">
        <f t="shared" si="118"/>
        <v>-2.9080123122983137E-3</v>
      </c>
      <c r="AH626" s="4">
        <f t="shared" si="118"/>
        <v>-3.2490638034078367E-3</v>
      </c>
      <c r="AI626" s="4">
        <f t="shared" si="118"/>
        <v>-3.7060553591743428E-3</v>
      </c>
      <c r="AJ626" s="4">
        <f t="shared" si="118"/>
        <v>-4.2002594926587866E-3</v>
      </c>
      <c r="AK626" s="4">
        <f t="shared" si="118"/>
        <v>-4.6690638387203443E-3</v>
      </c>
      <c r="AL626" s="4">
        <f t="shared" si="118"/>
        <v>-5.0621638961573234E-3</v>
      </c>
    </row>
    <row r="627" spans="1:38" x14ac:dyDescent="0.3">
      <c r="A627" t="s">
        <v>62</v>
      </c>
      <c r="B627" t="s">
        <v>50</v>
      </c>
      <c r="C627" s="4">
        <f>(C600-C613)/C$612</f>
        <v>0</v>
      </c>
      <c r="D627" s="4">
        <f t="shared" ref="D627:AL627" si="119">(D600-D613)/D$612</f>
        <v>0</v>
      </c>
      <c r="E627" s="4">
        <f t="shared" si="119"/>
        <v>0</v>
      </c>
      <c r="F627" s="4">
        <f t="shared" si="119"/>
        <v>0</v>
      </c>
      <c r="G627" s="4">
        <f t="shared" si="119"/>
        <v>0</v>
      </c>
      <c r="H627" s="4">
        <f t="shared" si="119"/>
        <v>0</v>
      </c>
      <c r="I627" s="4">
        <f t="shared" si="119"/>
        <v>6.5015064461538443E-5</v>
      </c>
      <c r="J627" s="4">
        <f t="shared" si="119"/>
        <v>6.489174731087956E-5</v>
      </c>
      <c r="K627" s="4">
        <f t="shared" si="119"/>
        <v>-2.0914779834497711E-5</v>
      </c>
      <c r="L627" s="4">
        <f t="shared" si="119"/>
        <v>-1.8234238670685477E-4</v>
      </c>
      <c r="M627" s="4">
        <f t="shared" si="119"/>
        <v>-3.8003991110271322E-4</v>
      </c>
      <c r="N627" s="4">
        <f t="shared" si="119"/>
        <v>-5.6872747429737144E-4</v>
      </c>
      <c r="O627" s="4">
        <f t="shared" si="119"/>
        <v>-7.1527138986805458E-4</v>
      </c>
      <c r="P627" s="4">
        <f t="shared" si="119"/>
        <v>-8.0953487037216994E-4</v>
      </c>
      <c r="Q627" s="4">
        <f t="shared" si="119"/>
        <v>-8.6072415215649204E-4</v>
      </c>
      <c r="R627" s="4">
        <f t="shared" si="119"/>
        <v>-8.8797402409286023E-4</v>
      </c>
      <c r="S627" s="4">
        <f t="shared" si="119"/>
        <v>-9.1006615831616135E-4</v>
      </c>
      <c r="T627" s="4">
        <f t="shared" si="119"/>
        <v>-9.3829646030446482E-4</v>
      </c>
      <c r="U627" s="4">
        <f t="shared" si="119"/>
        <v>-9.7467553114136693E-4</v>
      </c>
      <c r="V627" s="4">
        <f t="shared" si="119"/>
        <v>-1.0142431572830275E-3</v>
      </c>
      <c r="W627" s="4">
        <f t="shared" si="119"/>
        <v>-1.0489955400040973E-3</v>
      </c>
      <c r="X627" s="4">
        <f t="shared" si="119"/>
        <v>-1.0724080137052136E-3</v>
      </c>
      <c r="Y627" s="4">
        <f t="shared" si="119"/>
        <v>-1.0813210975352979E-3</v>
      </c>
      <c r="Z627" s="4">
        <f t="shared" si="119"/>
        <v>-1.0763617009509779E-3</v>
      </c>
      <c r="AA627" s="4">
        <f t="shared" si="119"/>
        <v>-1.0607978381295502E-3</v>
      </c>
      <c r="AB627" s="4">
        <f t="shared" si="119"/>
        <v>-1.0379408369442353E-3</v>
      </c>
      <c r="AC627" s="4">
        <f t="shared" si="119"/>
        <v>-1.0129382279060342E-3</v>
      </c>
      <c r="AD627" s="4">
        <f t="shared" si="119"/>
        <v>-9.8799851508300416E-4</v>
      </c>
      <c r="AE627" s="4">
        <f t="shared" si="119"/>
        <v>-9.6434291258061695E-4</v>
      </c>
      <c r="AF627" s="4">
        <f t="shared" si="119"/>
        <v>-9.4216739828166616E-4</v>
      </c>
      <c r="AG627" s="4">
        <f t="shared" si="119"/>
        <v>-9.2121411500803278E-4</v>
      </c>
      <c r="AH627" s="4">
        <f t="shared" si="119"/>
        <v>-9.0139525963048685E-4</v>
      </c>
      <c r="AI627" s="4">
        <f t="shared" si="119"/>
        <v>-8.8304914500734869E-4</v>
      </c>
      <c r="AJ627" s="4">
        <f t="shared" si="119"/>
        <v>-8.6687790907503362E-4</v>
      </c>
      <c r="AK627" s="4">
        <f t="shared" si="119"/>
        <v>-8.5369266817629953E-4</v>
      </c>
      <c r="AL627" s="4">
        <f t="shared" si="119"/>
        <v>-8.4403974063601442E-4</v>
      </c>
    </row>
    <row r="628" spans="1:38" x14ac:dyDescent="0.3">
      <c r="B628" t="s">
        <v>48</v>
      </c>
      <c r="C628" s="4">
        <f>(C601-C614)/C$612</f>
        <v>0</v>
      </c>
      <c r="D628" s="4">
        <f t="shared" ref="D628:AL628" si="120">(D601-D614)/D$612</f>
        <v>0</v>
      </c>
      <c r="E628" s="4">
        <f t="shared" si="120"/>
        <v>0</v>
      </c>
      <c r="F628" s="4">
        <f t="shared" si="120"/>
        <v>0</v>
      </c>
      <c r="G628" s="4">
        <f t="shared" si="120"/>
        <v>0</v>
      </c>
      <c r="H628" s="4">
        <f t="shared" si="120"/>
        <v>0</v>
      </c>
      <c r="I628" s="4">
        <f t="shared" si="120"/>
        <v>1.2739974982069061E-3</v>
      </c>
      <c r="J628" s="4">
        <f t="shared" si="120"/>
        <v>2.1539478598065907E-3</v>
      </c>
      <c r="K628" s="4">
        <f t="shared" si="120"/>
        <v>3.0602317211124979E-3</v>
      </c>
      <c r="L628" s="4">
        <f t="shared" si="120"/>
        <v>3.6669199102136994E-3</v>
      </c>
      <c r="M628" s="4">
        <f t="shared" si="120"/>
        <v>3.7591847169062219E-3</v>
      </c>
      <c r="N628" s="4">
        <f t="shared" si="120"/>
        <v>3.4085319246764884E-3</v>
      </c>
      <c r="O628" s="4">
        <f t="shared" si="120"/>
        <v>2.7796601501614724E-3</v>
      </c>
      <c r="P628" s="4">
        <f t="shared" si="120"/>
        <v>2.0742583316833607E-3</v>
      </c>
      <c r="Q628" s="4">
        <f t="shared" si="120"/>
        <v>1.439507401288031E-3</v>
      </c>
      <c r="R628" s="4">
        <f t="shared" si="120"/>
        <v>9.3947687105728366E-4</v>
      </c>
      <c r="S628" s="4">
        <f t="shared" si="120"/>
        <v>5.7006689300149874E-4</v>
      </c>
      <c r="T628" s="4">
        <f t="shared" si="120"/>
        <v>2.9037279232137957E-4</v>
      </c>
      <c r="U628" s="4">
        <f t="shared" si="120"/>
        <v>5.4032955157079996E-5</v>
      </c>
      <c r="V628" s="4">
        <f t="shared" si="120"/>
        <v>-1.6938820090101514E-4</v>
      </c>
      <c r="W628" s="4">
        <f t="shared" si="120"/>
        <v>-3.9018159599693623E-4</v>
      </c>
      <c r="X628" s="4">
        <f t="shared" si="120"/>
        <v>-5.9042899591176261E-4</v>
      </c>
      <c r="Y628" s="4">
        <f t="shared" si="120"/>
        <v>-7.5407456275904637E-4</v>
      </c>
      <c r="Z628" s="4">
        <f t="shared" si="120"/>
        <v>-8.6728310648137889E-4</v>
      </c>
      <c r="AA628" s="4">
        <f t="shared" si="120"/>
        <v>-9.259703437562983E-4</v>
      </c>
      <c r="AB628" s="4">
        <f t="shared" si="120"/>
        <v>-9.4126819150175574E-4</v>
      </c>
      <c r="AC628" s="4">
        <f t="shared" si="120"/>
        <v>-9.2269327169007401E-4</v>
      </c>
      <c r="AD628" s="4">
        <f t="shared" si="120"/>
        <v>-8.8725625446027826E-4</v>
      </c>
      <c r="AE628" s="4">
        <f t="shared" si="120"/>
        <v>-8.5060224026025841E-4</v>
      </c>
      <c r="AF628" s="4">
        <f t="shared" si="120"/>
        <v>-8.2323105074763581E-4</v>
      </c>
      <c r="AG628" s="4">
        <f t="shared" si="120"/>
        <v>-8.0962434106163867E-4</v>
      </c>
      <c r="AH628" s="4">
        <f t="shared" si="120"/>
        <v>-8.0957720249946069E-4</v>
      </c>
      <c r="AI628" s="4">
        <f t="shared" si="120"/>
        <v>-8.2063225748260171E-4</v>
      </c>
      <c r="AJ628" s="4">
        <f t="shared" si="120"/>
        <v>-8.4024217075687972E-4</v>
      </c>
      <c r="AK628" s="4">
        <f t="shared" si="120"/>
        <v>-8.6694678491105765E-4</v>
      </c>
      <c r="AL628" s="4">
        <f t="shared" si="120"/>
        <v>-9.005949218565606E-4</v>
      </c>
    </row>
    <row r="629" spans="1:38" x14ac:dyDescent="0.3">
      <c r="B629" t="s">
        <v>81</v>
      </c>
      <c r="C629" s="4">
        <f>(C605-C618)/C$612</f>
        <v>0</v>
      </c>
      <c r="D629" s="4">
        <f t="shared" ref="D629:AL629" si="121">(D605-D618)/D$612</f>
        <v>0</v>
      </c>
      <c r="E629" s="4">
        <f t="shared" si="121"/>
        <v>0</v>
      </c>
      <c r="F629" s="4">
        <f t="shared" si="121"/>
        <v>0</v>
      </c>
      <c r="G629" s="4">
        <f t="shared" si="121"/>
        <v>0</v>
      </c>
      <c r="H629" s="4">
        <f t="shared" si="121"/>
        <v>0</v>
      </c>
      <c r="I629" s="4">
        <f t="shared" si="121"/>
        <v>2.4104628866466706E-4</v>
      </c>
      <c r="J629" s="4">
        <f t="shared" si="121"/>
        <v>9.7499144180144127E-4</v>
      </c>
      <c r="K629" s="4">
        <f t="shared" si="121"/>
        <v>1.8274205033692102E-3</v>
      </c>
      <c r="L629" s="4">
        <f t="shared" si="121"/>
        <v>2.3307617484462566E-3</v>
      </c>
      <c r="M629" s="4">
        <f t="shared" si="121"/>
        <v>2.2516657887019383E-3</v>
      </c>
      <c r="N629" s="4">
        <f t="shared" si="121"/>
        <v>1.6866569243412359E-3</v>
      </c>
      <c r="O629" s="4">
        <f t="shared" si="121"/>
        <v>8.4396905344333111E-4</v>
      </c>
      <c r="P629" s="4">
        <f t="shared" si="121"/>
        <v>-3.471255645416652E-5</v>
      </c>
      <c r="Q629" s="4">
        <f t="shared" si="121"/>
        <v>-7.7691406554765484E-4</v>
      </c>
      <c r="R629" s="4">
        <f t="shared" si="121"/>
        <v>-1.3170661992395383E-3</v>
      </c>
      <c r="S629" s="4">
        <f t="shared" si="121"/>
        <v>-1.6741795431060304E-3</v>
      </c>
      <c r="T629" s="4">
        <f t="shared" si="121"/>
        <v>-1.9104192459657853E-3</v>
      </c>
      <c r="U629" s="4">
        <f t="shared" si="121"/>
        <v>-2.0905099964426063E-3</v>
      </c>
      <c r="V629" s="4">
        <f t="shared" si="121"/>
        <v>-2.2550876132511966E-3</v>
      </c>
      <c r="W629" s="4">
        <f t="shared" si="121"/>
        <v>-2.4164340630797522E-3</v>
      </c>
      <c r="X629" s="4">
        <f t="shared" si="121"/>
        <v>-2.5521771547554659E-3</v>
      </c>
      <c r="Y629" s="4">
        <f t="shared" si="121"/>
        <v>-2.6408255643340095E-3</v>
      </c>
      <c r="Z629" s="4">
        <f t="shared" si="121"/>
        <v>-2.6663995923499402E-3</v>
      </c>
      <c r="AA629" s="4">
        <f t="shared" si="121"/>
        <v>-2.6258963826203767E-3</v>
      </c>
      <c r="AB629" s="4">
        <f t="shared" si="121"/>
        <v>-2.5349789005463114E-3</v>
      </c>
      <c r="AC629" s="4">
        <f t="shared" si="121"/>
        <v>-2.4051496717494287E-3</v>
      </c>
      <c r="AD629" s="4">
        <f t="shared" si="121"/>
        <v>-2.2593674900542025E-3</v>
      </c>
      <c r="AE629" s="4">
        <f t="shared" si="121"/>
        <v>-2.1171939941859053E-3</v>
      </c>
      <c r="AF629" s="4">
        <f t="shared" si="121"/>
        <v>-1.9912117419852559E-3</v>
      </c>
      <c r="AG629" s="4">
        <f t="shared" si="121"/>
        <v>-1.886400752388256E-3</v>
      </c>
      <c r="AH629" s="4">
        <f t="shared" si="121"/>
        <v>-1.8020422249811414E-3</v>
      </c>
      <c r="AI629" s="4">
        <f t="shared" si="121"/>
        <v>-1.7348017497099905E-3</v>
      </c>
      <c r="AJ629" s="4">
        <f t="shared" si="121"/>
        <v>-1.6813409457503363E-3</v>
      </c>
      <c r="AK629" s="4">
        <f t="shared" si="121"/>
        <v>-1.6396577478821634E-3</v>
      </c>
      <c r="AL629" s="4">
        <f t="shared" si="121"/>
        <v>-1.6092589918106442E-3</v>
      </c>
    </row>
    <row r="630" spans="1:38" x14ac:dyDescent="0.3">
      <c r="B630" t="s">
        <v>11</v>
      </c>
      <c r="C630" s="4">
        <f>(C606-C619)/C$612</f>
        <v>0</v>
      </c>
      <c r="D630" s="4">
        <f t="shared" ref="D630:AL630" si="122">(D606-D619)/D$612</f>
        <v>0</v>
      </c>
      <c r="E630" s="4">
        <f t="shared" si="122"/>
        <v>0</v>
      </c>
      <c r="F630" s="4">
        <f t="shared" si="122"/>
        <v>0</v>
      </c>
      <c r="G630" s="4">
        <f t="shared" si="122"/>
        <v>0</v>
      </c>
      <c r="H630" s="4">
        <f t="shared" si="122"/>
        <v>0</v>
      </c>
      <c r="I630" s="4">
        <f t="shared" si="122"/>
        <v>5.0830078277292758E-4</v>
      </c>
      <c r="J630" s="4">
        <f t="shared" si="122"/>
        <v>2.1926254533060551E-3</v>
      </c>
      <c r="K630" s="4">
        <f t="shared" si="122"/>
        <v>4.4650936045672459E-3</v>
      </c>
      <c r="L630" s="4">
        <f t="shared" si="122"/>
        <v>6.0983781530610784E-3</v>
      </c>
      <c r="M630" s="4">
        <f t="shared" si="122"/>
        <v>6.1755281166019638E-3</v>
      </c>
      <c r="N630" s="4">
        <f t="shared" si="122"/>
        <v>4.6861817986826411E-3</v>
      </c>
      <c r="O630" s="4">
        <f t="shared" si="122"/>
        <v>2.1172615679689831E-3</v>
      </c>
      <c r="P630" s="4">
        <f t="shared" si="122"/>
        <v>-7.5286309171237618E-4</v>
      </c>
      <c r="Q630" s="4">
        <f t="shared" si="122"/>
        <v>-3.182073230728832E-3</v>
      </c>
      <c r="R630" s="4">
        <f t="shared" si="122"/>
        <v>-4.7247902765553155E-3</v>
      </c>
      <c r="S630" s="4">
        <f t="shared" si="122"/>
        <v>-5.3212225463069385E-3</v>
      </c>
      <c r="T630" s="4">
        <f t="shared" si="122"/>
        <v>-5.1478108343028265E-3</v>
      </c>
      <c r="U630" s="4">
        <f t="shared" si="122"/>
        <v>-4.4844967744012715E-3</v>
      </c>
      <c r="V630" s="4">
        <f t="shared" si="122"/>
        <v>-3.5992916713182724E-3</v>
      </c>
      <c r="W630" s="4">
        <f t="shared" si="122"/>
        <v>-2.6903583944753655E-3</v>
      </c>
      <c r="X630" s="4">
        <f t="shared" si="122"/>
        <v>-1.8080892060363799E-3</v>
      </c>
      <c r="Y630" s="4">
        <f t="shared" si="122"/>
        <v>-9.720928490604988E-4</v>
      </c>
      <c r="Z630" s="4">
        <f t="shared" si="122"/>
        <v>-1.8667651888246443E-4</v>
      </c>
      <c r="AA630" s="4">
        <f t="shared" si="122"/>
        <v>5.35049242957605E-4</v>
      </c>
      <c r="AB630" s="4">
        <f t="shared" si="122"/>
        <v>1.1506173098541552E-3</v>
      </c>
      <c r="AC630" s="4">
        <f t="shared" si="122"/>
        <v>1.6274099751000641E-3</v>
      </c>
      <c r="AD630" s="4">
        <f t="shared" si="122"/>
        <v>1.9221203607368612E-3</v>
      </c>
      <c r="AE630" s="4">
        <f t="shared" si="122"/>
        <v>2.0058189462648993E-3</v>
      </c>
      <c r="AF630" s="4">
        <f t="shared" si="122"/>
        <v>1.8782740197269372E-3</v>
      </c>
      <c r="AG630" s="4">
        <f t="shared" si="122"/>
        <v>1.57038264042529E-3</v>
      </c>
      <c r="AH630" s="4">
        <f t="shared" si="122"/>
        <v>1.1311151836172063E-3</v>
      </c>
      <c r="AI630" s="4">
        <f t="shared" si="122"/>
        <v>6.235208518376613E-4</v>
      </c>
      <c r="AJ630" s="4">
        <f t="shared" si="122"/>
        <v>1.1180867655029189E-4</v>
      </c>
      <c r="AK630" s="4">
        <f t="shared" si="122"/>
        <v>-3.5148081935568572E-4</v>
      </c>
      <c r="AL630" s="4">
        <f t="shared" si="122"/>
        <v>-7.2204616338780562E-4</v>
      </c>
    </row>
    <row r="631" spans="1:38" x14ac:dyDescent="0.3">
      <c r="B631" t="s">
        <v>49</v>
      </c>
      <c r="C631" s="4">
        <f>(C607-C620)/C$612</f>
        <v>0</v>
      </c>
      <c r="D631" s="4">
        <f t="shared" ref="D631:AL631" si="123">(D607-D620)/D$612</f>
        <v>0</v>
      </c>
      <c r="E631" s="4">
        <f t="shared" si="123"/>
        <v>0</v>
      </c>
      <c r="F631" s="4">
        <f t="shared" si="123"/>
        <v>0</v>
      </c>
      <c r="G631" s="4">
        <f t="shared" si="123"/>
        <v>0</v>
      </c>
      <c r="H631" s="4">
        <f t="shared" si="123"/>
        <v>0</v>
      </c>
      <c r="I631" s="4">
        <f t="shared" si="123"/>
        <v>1.2446592263730207E-4</v>
      </c>
      <c r="J631" s="4">
        <f t="shared" si="123"/>
        <v>6.2168228166767261E-4</v>
      </c>
      <c r="K631" s="4">
        <f t="shared" si="123"/>
        <v>1.3187340007237041E-3</v>
      </c>
      <c r="L631" s="4">
        <f t="shared" si="123"/>
        <v>1.8227728615010474E-3</v>
      </c>
      <c r="M631" s="4">
        <f t="shared" si="123"/>
        <v>1.8629986057116504E-3</v>
      </c>
      <c r="N631" s="4">
        <f t="shared" si="123"/>
        <v>1.4544910336967154E-3</v>
      </c>
      <c r="O631" s="4">
        <f t="shared" si="123"/>
        <v>7.4470641775083808E-4</v>
      </c>
      <c r="P631" s="4">
        <f t="shared" si="123"/>
        <v>-4.8617451555822558E-5</v>
      </c>
      <c r="Q631" s="4">
        <f t="shared" si="123"/>
        <v>-7.4020326622102996E-4</v>
      </c>
      <c r="R631" s="4">
        <f t="shared" si="123"/>
        <v>-1.2312081962064752E-3</v>
      </c>
      <c r="S631" s="4">
        <f t="shared" si="123"/>
        <v>-1.5137146664991625E-3</v>
      </c>
      <c r="T631" s="4">
        <f t="shared" si="123"/>
        <v>-1.6349366400131777E-3</v>
      </c>
      <c r="U631" s="4">
        <f t="shared" si="123"/>
        <v>-1.6616473820585131E-3</v>
      </c>
      <c r="V631" s="4">
        <f t="shared" si="123"/>
        <v>-1.6489191161665041E-3</v>
      </c>
      <c r="W631" s="4">
        <f t="shared" si="123"/>
        <v>-1.6292693111084075E-3</v>
      </c>
      <c r="X631" s="4">
        <f t="shared" si="123"/>
        <v>-1.5990643638603677E-3</v>
      </c>
      <c r="Y631" s="4">
        <f t="shared" si="123"/>
        <v>-1.5504102776858185E-3</v>
      </c>
      <c r="Z631" s="4">
        <f t="shared" si="123"/>
        <v>-1.4752325624352799E-3</v>
      </c>
      <c r="AA631" s="4">
        <f t="shared" si="123"/>
        <v>-1.3727461789332729E-3</v>
      </c>
      <c r="AB631" s="4">
        <f t="shared" si="123"/>
        <v>-1.2554108663606989E-3</v>
      </c>
      <c r="AC631" s="4">
        <f t="shared" si="123"/>
        <v>-1.1324126251480277E-3</v>
      </c>
      <c r="AD631" s="4">
        <f t="shared" si="123"/>
        <v>-1.0210200673062672E-3</v>
      </c>
      <c r="AE631" s="4">
        <f t="shared" si="123"/>
        <v>-9.3512858528716587E-4</v>
      </c>
      <c r="AF631" s="4">
        <f t="shared" si="123"/>
        <v>-8.8195919880378157E-4</v>
      </c>
      <c r="AG631" s="4">
        <f t="shared" si="123"/>
        <v>-8.6115549833538267E-4</v>
      </c>
      <c r="AH631" s="4">
        <f t="shared" si="123"/>
        <v>-8.671643148439142E-4</v>
      </c>
      <c r="AI631" s="4">
        <f t="shared" si="123"/>
        <v>-8.9109285155520787E-4</v>
      </c>
      <c r="AJ631" s="4">
        <f t="shared" si="123"/>
        <v>-9.2360712894721099E-4</v>
      </c>
      <c r="AK631" s="4">
        <f t="shared" si="123"/>
        <v>-9.5728605617047204E-4</v>
      </c>
      <c r="AL631" s="4">
        <f t="shared" si="123"/>
        <v>-9.8622432874819637E-4</v>
      </c>
    </row>
    <row r="633" spans="1:38" x14ac:dyDescent="0.3">
      <c r="A633" s="12" t="s">
        <v>68</v>
      </c>
      <c r="B633" s="3" t="str">
        <f>[1]Results!E205</f>
        <v>YG_toe_2</v>
      </c>
      <c r="C633" s="3">
        <f>[1]Results!F205</f>
        <v>142.13563060000001</v>
      </c>
      <c r="D633" s="3">
        <f>[1]Results!G205</f>
        <v>144.72748569999999</v>
      </c>
      <c r="E633" s="3">
        <f>[1]Results!H205</f>
        <v>146.82706379999999</v>
      </c>
      <c r="F633" s="3">
        <f>[1]Results!I205</f>
        <v>148.90727089999999</v>
      </c>
      <c r="G633" s="3">
        <f>[1]Results!J205</f>
        <v>151.1655442</v>
      </c>
      <c r="H633" s="3">
        <f>[1]Results!K205</f>
        <v>153.70087599999999</v>
      </c>
      <c r="I633" s="3">
        <f>[1]Results!L205</f>
        <v>156.6816077</v>
      </c>
      <c r="J633" s="3">
        <f>[1]Results!M205</f>
        <v>160.17085410000001</v>
      </c>
      <c r="K633" s="3">
        <f>[1]Results!N205</f>
        <v>163.9855057</v>
      </c>
      <c r="L633" s="3">
        <f>[1]Results!O205</f>
        <v>167.68044750000001</v>
      </c>
      <c r="M633" s="3">
        <f>[1]Results!P205</f>
        <v>171.03831199999999</v>
      </c>
      <c r="N633" s="3">
        <f>[1]Results!Q205</f>
        <v>173.7383073</v>
      </c>
      <c r="O633" s="3">
        <f>[1]Results!R205</f>
        <v>175.97108159999999</v>
      </c>
      <c r="P633" s="3">
        <f>[1]Results!S205</f>
        <v>177.9403959</v>
      </c>
      <c r="Q633" s="3">
        <f>[1]Results!T205</f>
        <v>179.840293</v>
      </c>
      <c r="R633" s="3">
        <f>[1]Results!U205</f>
        <v>181.7906965</v>
      </c>
      <c r="S633" s="3">
        <f>[1]Results!V205</f>
        <v>183.82509519999999</v>
      </c>
      <c r="T633" s="3">
        <f>[1]Results!W205</f>
        <v>185.92857169999999</v>
      </c>
      <c r="U633" s="3">
        <f>[1]Results!X205</f>
        <v>188.07251450000001</v>
      </c>
      <c r="V633" s="3">
        <f>[1]Results!Y205</f>
        <v>190.24185259999999</v>
      </c>
      <c r="W633" s="3">
        <f>[1]Results!Z205</f>
        <v>192.3338655</v>
      </c>
      <c r="X633" s="3">
        <f>[1]Results!AA205</f>
        <v>194.56351330000001</v>
      </c>
      <c r="Y633" s="3">
        <f>[1]Results!AB205</f>
        <v>196.89238019999999</v>
      </c>
      <c r="Z633" s="3">
        <f>[1]Results!AC205</f>
        <v>199.33648109999999</v>
      </c>
      <c r="AA633" s="3">
        <f>[1]Results!AD205</f>
        <v>201.9053773</v>
      </c>
      <c r="AB633" s="3">
        <f>[1]Results!AE205</f>
        <v>204.2442796</v>
      </c>
      <c r="AC633" s="3">
        <f>[1]Results!AF205</f>
        <v>206.77068610000001</v>
      </c>
      <c r="AD633" s="3">
        <f>[1]Results!AG205</f>
        <v>209.310453</v>
      </c>
      <c r="AE633" s="3">
        <f>[1]Results!AH205</f>
        <v>211.81051249999999</v>
      </c>
      <c r="AF633" s="3">
        <f>[1]Results!AI205</f>
        <v>214.2560632</v>
      </c>
      <c r="AG633" s="3">
        <f>[1]Results!AJ205</f>
        <v>216.65552489999999</v>
      </c>
      <c r="AH633" s="3">
        <f>[1]Results!AK205</f>
        <v>219.02550429999999</v>
      </c>
      <c r="AI633" s="3">
        <f>[1]Results!AL205</f>
        <v>221.3827517</v>
      </c>
      <c r="AJ633" s="3">
        <f>[1]Results!AM205</f>
        <v>223.73830319999999</v>
      </c>
      <c r="AK633" s="3">
        <f>[1]Results!AN205</f>
        <v>226.09587160000001</v>
      </c>
      <c r="AL633" s="3">
        <f>[1]Results!AO205</f>
        <v>228.45479</v>
      </c>
    </row>
    <row r="634" spans="1:38" x14ac:dyDescent="0.3">
      <c r="A634" t="s">
        <v>27</v>
      </c>
      <c r="B634" s="3" t="str">
        <f>[1]Results!E206</f>
        <v>YG_toe_ccoa_2</v>
      </c>
      <c r="C634" s="3">
        <f>[1]Results!F206</f>
        <v>2.2587199849999999</v>
      </c>
      <c r="D634" s="3">
        <f>[1]Results!G206</f>
        <v>1.638087055</v>
      </c>
      <c r="E634" s="3">
        <f>[1]Results!H206</f>
        <v>1.1227227099999999</v>
      </c>
      <c r="F634" s="3">
        <f>[1]Results!I206</f>
        <v>0.70654462870000001</v>
      </c>
      <c r="G634" s="3">
        <f>[1]Results!J206</f>
        <v>0.37278752279999999</v>
      </c>
      <c r="H634" s="3">
        <f>[1]Results!K206</f>
        <v>0.1049911218</v>
      </c>
      <c r="I634" s="3">
        <f>[1]Results!L206</f>
        <v>-0.10575546969999999</v>
      </c>
      <c r="J634" s="3">
        <f>[1]Results!M206</f>
        <v>-0.27206443670000002</v>
      </c>
      <c r="K634" s="3">
        <f>[1]Results!N206</f>
        <v>-0.4027991112</v>
      </c>
      <c r="L634" s="3">
        <f>[1]Results!O206</f>
        <v>-0.50739059080000004</v>
      </c>
      <c r="M634" s="3">
        <f>[1]Results!P206</f>
        <v>-0.60140988279999996</v>
      </c>
      <c r="N634" s="3">
        <f>[1]Results!Q206</f>
        <v>-0.67496652030000004</v>
      </c>
      <c r="O634" s="3">
        <f>[1]Results!R206</f>
        <v>-0.74012214229999995</v>
      </c>
      <c r="P634" s="3">
        <f>[1]Results!S206</f>
        <v>-0.79942357399999997</v>
      </c>
      <c r="Q634" s="3">
        <f>[1]Results!T206</f>
        <v>-0.85290033580000002</v>
      </c>
      <c r="R634" s="3">
        <f>[1]Results!U206</f>
        <v>-0.90045520420000003</v>
      </c>
      <c r="S634" s="3">
        <f>[1]Results!V206</f>
        <v>-0.94247712689999996</v>
      </c>
      <c r="T634" s="3">
        <f>[1]Results!W206</f>
        <v>-0.97986575220000005</v>
      </c>
      <c r="U634" s="3">
        <f>[1]Results!X206</f>
        <v>-1.0138071980000001</v>
      </c>
      <c r="V634" s="3">
        <f>[1]Results!Y206</f>
        <v>-1.0454725039999999</v>
      </c>
      <c r="W634" s="3">
        <f>[1]Results!Z206</f>
        <v>-1.070793112</v>
      </c>
      <c r="X634" s="3">
        <f>[1]Results!AA206</f>
        <v>-1.101429727</v>
      </c>
      <c r="Y634" s="3">
        <f>[1]Results!AB206</f>
        <v>-1.1319256209999999</v>
      </c>
      <c r="Z634" s="3">
        <f>[1]Results!AC206</f>
        <v>-1.161398097</v>
      </c>
      <c r="AA634" s="3">
        <f>[1]Results!AD206</f>
        <v>-1.19002835</v>
      </c>
      <c r="AB634" s="3">
        <f>[1]Results!AE206</f>
        <v>-1.203538601</v>
      </c>
      <c r="AC634" s="3">
        <f>[1]Results!AF206</f>
        <v>-1.228359311</v>
      </c>
      <c r="AD634" s="3">
        <f>[1]Results!AG206</f>
        <v>-1.255389761</v>
      </c>
      <c r="AE634" s="3">
        <f>[1]Results!AH206</f>
        <v>-1.2826520079999999</v>
      </c>
      <c r="AF634" s="3">
        <f>[1]Results!AI206</f>
        <v>-1.3102352340000001</v>
      </c>
      <c r="AG634" s="3">
        <f>[1]Results!AJ206</f>
        <v>-1.3383876029999999</v>
      </c>
      <c r="AH634" s="3">
        <f>[1]Results!AK206</f>
        <v>-1.367185756</v>
      </c>
      <c r="AI634" s="3">
        <f>[1]Results!AL206</f>
        <v>-1.39658298</v>
      </c>
      <c r="AJ634" s="3">
        <f>[1]Results!AM206</f>
        <v>-1.4265088079999999</v>
      </c>
      <c r="AK634" s="3">
        <f>[1]Results!AN206</f>
        <v>-1.4569340609999999</v>
      </c>
      <c r="AL634" s="3">
        <f>[1]Results!AO206</f>
        <v>-1.4878856250000001</v>
      </c>
    </row>
    <row r="635" spans="1:38" x14ac:dyDescent="0.3">
      <c r="B635" s="3" t="s">
        <v>48</v>
      </c>
      <c r="C635" s="3">
        <f>SUM(C636:C638)</f>
        <v>60.629851447</v>
      </c>
      <c r="D635" s="3">
        <f t="shared" ref="D635:AL635" si="124">SUM(D636:D638)</f>
        <v>61.813281991499998</v>
      </c>
      <c r="E635" s="3">
        <f t="shared" si="124"/>
        <v>62.820973070400001</v>
      </c>
      <c r="F635" s="3">
        <f t="shared" si="124"/>
        <v>63.760016015400005</v>
      </c>
      <c r="G635" s="3">
        <f t="shared" si="124"/>
        <v>64.687082142099996</v>
      </c>
      <c r="H635" s="3">
        <f t="shared" si="124"/>
        <v>65.627746960699994</v>
      </c>
      <c r="I635" s="3">
        <f t="shared" si="124"/>
        <v>66.666747552800004</v>
      </c>
      <c r="J635" s="3">
        <f t="shared" si="124"/>
        <v>67.693504864099992</v>
      </c>
      <c r="K635" s="3">
        <f t="shared" si="124"/>
        <v>68.740586110199999</v>
      </c>
      <c r="L635" s="3">
        <f t="shared" si="124"/>
        <v>69.758063552400003</v>
      </c>
      <c r="M635" s="3">
        <f t="shared" si="124"/>
        <v>70.789737699100002</v>
      </c>
      <c r="N635" s="3">
        <f t="shared" si="124"/>
        <v>71.68119725870001</v>
      </c>
      <c r="O635" s="3">
        <f t="shared" si="124"/>
        <v>72.530500918400008</v>
      </c>
      <c r="P635" s="3">
        <f t="shared" si="124"/>
        <v>73.366267942200011</v>
      </c>
      <c r="Q635" s="3">
        <f t="shared" si="124"/>
        <v>74.20695539510001</v>
      </c>
      <c r="R635" s="3">
        <f t="shared" si="124"/>
        <v>75.059785884199997</v>
      </c>
      <c r="S635" s="3">
        <f t="shared" si="124"/>
        <v>75.922700450400001</v>
      </c>
      <c r="T635" s="3">
        <f t="shared" si="124"/>
        <v>76.789120007600005</v>
      </c>
      <c r="U635" s="3">
        <f t="shared" si="124"/>
        <v>77.652585749799997</v>
      </c>
      <c r="V635" s="3">
        <f t="shared" si="124"/>
        <v>78.509793476899986</v>
      </c>
      <c r="W635" s="3">
        <f t="shared" si="124"/>
        <v>79.300814689100008</v>
      </c>
      <c r="X635" s="3">
        <f t="shared" si="124"/>
        <v>80.146216468999995</v>
      </c>
      <c r="Y635" s="3">
        <f t="shared" si="124"/>
        <v>80.994963890199998</v>
      </c>
      <c r="Z635" s="3">
        <f t="shared" si="124"/>
        <v>81.848544917699996</v>
      </c>
      <c r="AA635" s="3">
        <f t="shared" si="124"/>
        <v>82.709967610799993</v>
      </c>
      <c r="AB635" s="3">
        <f t="shared" si="124"/>
        <v>83.400588972400001</v>
      </c>
      <c r="AC635" s="3">
        <f t="shared" si="124"/>
        <v>84.187231255599997</v>
      </c>
      <c r="AD635" s="3">
        <f t="shared" si="124"/>
        <v>84.974180912199998</v>
      </c>
      <c r="AE635" s="3">
        <f t="shared" si="124"/>
        <v>85.7531546389</v>
      </c>
      <c r="AF635" s="3">
        <f t="shared" si="124"/>
        <v>86.524353181799995</v>
      </c>
      <c r="AG635" s="3">
        <f t="shared" si="124"/>
        <v>87.290346959700003</v>
      </c>
      <c r="AH635" s="3">
        <f t="shared" si="124"/>
        <v>88.053862885800001</v>
      </c>
      <c r="AI635" s="3">
        <f t="shared" si="124"/>
        <v>88.816719572600007</v>
      </c>
      <c r="AJ635" s="3">
        <f t="shared" si="124"/>
        <v>89.579441581200015</v>
      </c>
      <c r="AK635" s="3">
        <f t="shared" si="124"/>
        <v>90.341471218999999</v>
      </c>
      <c r="AL635" s="3">
        <f t="shared" si="124"/>
        <v>91.1017643773</v>
      </c>
    </row>
    <row r="636" spans="1:38" x14ac:dyDescent="0.3">
      <c r="B636" s="3" t="str">
        <f>[1]Results!E209</f>
        <v>YG_toe_ccoi_2</v>
      </c>
      <c r="C636" s="3">
        <f>[1]Results!F209</f>
        <v>1.2014653360000001</v>
      </c>
      <c r="D636" s="3">
        <f>[1]Results!G209</f>
        <v>0.96354411949999996</v>
      </c>
      <c r="E636" s="3">
        <f>[1]Results!H209</f>
        <v>0.77320611340000001</v>
      </c>
      <c r="F636" s="3">
        <f>[1]Results!I209</f>
        <v>0.62095120439999996</v>
      </c>
      <c r="G636" s="3">
        <f>[1]Results!J209</f>
        <v>0.49917359309999998</v>
      </c>
      <c r="H636" s="3">
        <f>[1]Results!K209</f>
        <v>0.40178350270000002</v>
      </c>
      <c r="I636" s="3">
        <f>[1]Results!L209</f>
        <v>0.3239205148</v>
      </c>
      <c r="J636" s="3">
        <f>[1]Results!M209</f>
        <v>0.26166721710000002</v>
      </c>
      <c r="K636" s="3">
        <f>[1]Results!N209</f>
        <v>0.21190690919999999</v>
      </c>
      <c r="L636" s="3">
        <f>[1]Results!O209</f>
        <v>0.17213064140000001</v>
      </c>
      <c r="M636" s="3">
        <f>[1]Results!P209</f>
        <v>0.1403382041</v>
      </c>
      <c r="N636" s="3">
        <f>[1]Results!Q209</f>
        <v>0.11491368170000001</v>
      </c>
      <c r="O636" s="3">
        <f>[1]Results!R209</f>
        <v>9.4589221400000006E-2</v>
      </c>
      <c r="P636" s="3">
        <f>[1]Results!S209</f>
        <v>7.8350551199999993E-2</v>
      </c>
      <c r="Q636" s="3">
        <f>[1]Results!T209</f>
        <v>6.5384233099999994E-2</v>
      </c>
      <c r="R636" s="3">
        <f>[1]Results!U209</f>
        <v>5.50374712E-2</v>
      </c>
      <c r="S636" s="3">
        <f>[1]Results!V209</f>
        <v>4.6786220400000002E-2</v>
      </c>
      <c r="T636" s="3">
        <f>[1]Results!W209</f>
        <v>4.0210053599999997E-2</v>
      </c>
      <c r="U636" s="3">
        <f>[1]Results!X209</f>
        <v>3.4972231800000003E-2</v>
      </c>
      <c r="V636" s="3">
        <f>[1]Results!Y209</f>
        <v>3.0803727900000001E-2</v>
      </c>
      <c r="W636" s="3">
        <f>[1]Results!Z209</f>
        <v>2.7482802099999998E-2</v>
      </c>
      <c r="X636" s="3">
        <f>[1]Results!AA209</f>
        <v>2.4851042E-2</v>
      </c>
      <c r="Y636" s="3">
        <f>[1]Results!AB209</f>
        <v>2.2768502199999999E-2</v>
      </c>
      <c r="Z636" s="3">
        <f>[1]Results!AC209</f>
        <v>2.1124891699999999E-2</v>
      </c>
      <c r="AA636" s="3">
        <f>[1]Results!AD209</f>
        <v>1.98328818E-2</v>
      </c>
      <c r="AB636" s="3">
        <f>[1]Results!AE209</f>
        <v>1.8800305400000002E-2</v>
      </c>
      <c r="AC636" s="3">
        <f>[1]Results!AF209</f>
        <v>1.7998848599999999E-2</v>
      </c>
      <c r="AD636" s="3">
        <f>[1]Results!AG209</f>
        <v>1.7377278199999999E-2</v>
      </c>
      <c r="AE636" s="3">
        <f>[1]Results!AH209</f>
        <v>1.6896351899999999E-2</v>
      </c>
      <c r="AF636" s="3">
        <f>[1]Results!AI209</f>
        <v>1.6526917799999999E-2</v>
      </c>
      <c r="AG636" s="3">
        <f>[1]Results!AJ209</f>
        <v>1.6246443700000002E-2</v>
      </c>
      <c r="AH636" s="3">
        <f>[1]Results!AK209</f>
        <v>1.6037142800000001E-2</v>
      </c>
      <c r="AI636" s="3">
        <f>[1]Results!AL209</f>
        <v>1.5884723600000001E-2</v>
      </c>
      <c r="AJ636" s="3">
        <f>[1]Results!AM209</f>
        <v>1.57775322E-2</v>
      </c>
      <c r="AK636" s="3">
        <f>[1]Results!AN209</f>
        <v>1.5706002E-2</v>
      </c>
      <c r="AL636" s="3">
        <f>[1]Results!AO209</f>
        <v>1.56623223E-2</v>
      </c>
    </row>
    <row r="637" spans="1:38" x14ac:dyDescent="0.3">
      <c r="B637" s="3" t="str">
        <f>[1]Results!E212</f>
        <v>YG_toe_cfut_2</v>
      </c>
      <c r="C637" s="3">
        <f>[1]Results!F212</f>
        <v>54.412399020000002</v>
      </c>
      <c r="D637" s="3">
        <f>[1]Results!G212</f>
        <v>55.940596620000001</v>
      </c>
      <c r="E637" s="3">
        <f>[1]Results!H212</f>
        <v>57.23962504</v>
      </c>
      <c r="F637" s="3">
        <f>[1]Results!I212</f>
        <v>58.418674070000002</v>
      </c>
      <c r="G637" s="3">
        <f>[1]Results!J212</f>
        <v>59.538420549999998</v>
      </c>
      <c r="H637" s="3">
        <f>[1]Results!K212</f>
        <v>60.62913649</v>
      </c>
      <c r="I637" s="3">
        <f>[1]Results!L212</f>
        <v>61.761608379999998</v>
      </c>
      <c r="J637" s="3">
        <f>[1]Results!M212</f>
        <v>62.858370559999997</v>
      </c>
      <c r="K637" s="3">
        <f>[1]Results!N212</f>
        <v>63.950674300000003</v>
      </c>
      <c r="L637" s="3">
        <f>[1]Results!O212</f>
        <v>65.000090159999999</v>
      </c>
      <c r="M637" s="3">
        <f>[1]Results!P212</f>
        <v>66.055010429999996</v>
      </c>
      <c r="N637" s="3">
        <f>[1]Results!Q212</f>
        <v>66.972966830000004</v>
      </c>
      <c r="O637" s="3">
        <f>[1]Results!R212</f>
        <v>67.846942100000007</v>
      </c>
      <c r="P637" s="3">
        <f>[1]Results!S212</f>
        <v>68.703077780000001</v>
      </c>
      <c r="Q637" s="3">
        <f>[1]Results!T212</f>
        <v>69.558127940000006</v>
      </c>
      <c r="R637" s="3">
        <f>[1]Results!U212</f>
        <v>70.418910490000002</v>
      </c>
      <c r="S637" s="3">
        <f>[1]Results!V212</f>
        <v>71.284203770000005</v>
      </c>
      <c r="T637" s="3">
        <f>[1]Results!W212</f>
        <v>72.148949509999994</v>
      </c>
      <c r="U637" s="3">
        <f>[1]Results!X212</f>
        <v>73.008230549999993</v>
      </c>
      <c r="V637" s="3">
        <f>[1]Results!Y212</f>
        <v>73.859810409999994</v>
      </c>
      <c r="W637" s="3">
        <f>[1]Results!Z212</f>
        <v>74.647517820000004</v>
      </c>
      <c r="X637" s="3">
        <f>[1]Results!AA212</f>
        <v>75.485331270000003</v>
      </c>
      <c r="Y637" s="3">
        <f>[1]Results!AB212</f>
        <v>76.324859860000004</v>
      </c>
      <c r="Z637" s="3">
        <f>[1]Results!AC212</f>
        <v>77.167432980000001</v>
      </c>
      <c r="AA637" s="3">
        <f>[1]Results!AD212</f>
        <v>78.015690129999996</v>
      </c>
      <c r="AB637" s="3">
        <f>[1]Results!AE212</f>
        <v>78.700929070000001</v>
      </c>
      <c r="AC637" s="3">
        <f>[1]Results!AF212</f>
        <v>79.474930000000001</v>
      </c>
      <c r="AD637" s="3">
        <f>[1]Results!AG212</f>
        <v>80.247914179999995</v>
      </c>
      <c r="AE637" s="3">
        <f>[1]Results!AH212</f>
        <v>81.012692119999997</v>
      </c>
      <c r="AF637" s="3">
        <f>[1]Results!AI212</f>
        <v>81.769586720000007</v>
      </c>
      <c r="AG637" s="3">
        <f>[1]Results!AJ212</f>
        <v>82.520975239999999</v>
      </c>
      <c r="AH637" s="3">
        <f>[1]Results!AK212</f>
        <v>83.269318740000003</v>
      </c>
      <c r="AI637" s="3">
        <f>[1]Results!AL212</f>
        <v>84.016247000000007</v>
      </c>
      <c r="AJ637" s="3">
        <f>[1]Results!AM212</f>
        <v>84.762243940000005</v>
      </c>
      <c r="AK637" s="3">
        <f>[1]Results!AN212</f>
        <v>85.506848579999996</v>
      </c>
      <c r="AL637" s="3">
        <f>[1]Results!AO212</f>
        <v>86.249183299999999</v>
      </c>
    </row>
    <row r="638" spans="1:38" x14ac:dyDescent="0.3">
      <c r="B638" s="3" t="str">
        <f>[1]Results!E215</f>
        <v>YG_toe_cfuh_2</v>
      </c>
      <c r="C638" s="3">
        <f>[1]Results!F215</f>
        <v>5.0159870910000004</v>
      </c>
      <c r="D638" s="3">
        <f>[1]Results!G215</f>
        <v>4.9091412520000004</v>
      </c>
      <c r="E638" s="3">
        <f>[1]Results!H215</f>
        <v>4.8081419170000004</v>
      </c>
      <c r="F638" s="3">
        <f>[1]Results!I215</f>
        <v>4.7203907410000001</v>
      </c>
      <c r="G638" s="3">
        <f>[1]Results!J215</f>
        <v>4.6494879989999998</v>
      </c>
      <c r="H638" s="3">
        <f>[1]Results!K215</f>
        <v>4.5968269680000002</v>
      </c>
      <c r="I638" s="3">
        <f>[1]Results!L215</f>
        <v>4.5812186580000001</v>
      </c>
      <c r="J638" s="3">
        <f>[1]Results!M215</f>
        <v>4.573467087</v>
      </c>
      <c r="K638" s="3">
        <f>[1]Results!N215</f>
        <v>4.5780049009999999</v>
      </c>
      <c r="L638" s="3">
        <f>[1]Results!O215</f>
        <v>4.5858427510000004</v>
      </c>
      <c r="M638" s="3">
        <f>[1]Results!P215</f>
        <v>4.5943890649999997</v>
      </c>
      <c r="N638" s="3">
        <f>[1]Results!Q215</f>
        <v>4.5933167470000003</v>
      </c>
      <c r="O638" s="3">
        <f>[1]Results!R215</f>
        <v>4.5889695970000002</v>
      </c>
      <c r="P638" s="3">
        <f>[1]Results!S215</f>
        <v>4.5848396109999996</v>
      </c>
      <c r="Q638" s="3">
        <f>[1]Results!T215</f>
        <v>4.5834432219999997</v>
      </c>
      <c r="R638" s="3">
        <f>[1]Results!U215</f>
        <v>4.5858379229999997</v>
      </c>
      <c r="S638" s="3">
        <f>[1]Results!V215</f>
        <v>4.5917104599999998</v>
      </c>
      <c r="T638" s="3">
        <f>[1]Results!W215</f>
        <v>4.5999604439999997</v>
      </c>
      <c r="U638" s="3">
        <f>[1]Results!X215</f>
        <v>4.6093829680000002</v>
      </c>
      <c r="V638" s="3">
        <f>[1]Results!Y215</f>
        <v>4.6191793390000004</v>
      </c>
      <c r="W638" s="3">
        <f>[1]Results!Z215</f>
        <v>4.6258140670000003</v>
      </c>
      <c r="X638" s="3">
        <f>[1]Results!AA215</f>
        <v>4.6360341570000001</v>
      </c>
      <c r="Y638" s="3">
        <f>[1]Results!AB215</f>
        <v>4.6473355280000002</v>
      </c>
      <c r="Z638" s="3">
        <f>[1]Results!AC215</f>
        <v>4.6599870460000004</v>
      </c>
      <c r="AA638" s="3">
        <f>[1]Results!AD215</f>
        <v>4.6744445990000001</v>
      </c>
      <c r="AB638" s="3">
        <f>[1]Results!AE215</f>
        <v>4.6808595970000004</v>
      </c>
      <c r="AC638" s="3">
        <f>[1]Results!AF215</f>
        <v>4.6943024070000003</v>
      </c>
      <c r="AD638" s="3">
        <f>[1]Results!AG215</f>
        <v>4.7088894540000004</v>
      </c>
      <c r="AE638" s="3">
        <f>[1]Results!AH215</f>
        <v>4.7235661670000004</v>
      </c>
      <c r="AF638" s="3">
        <f>[1]Results!AI215</f>
        <v>4.7382395439999998</v>
      </c>
      <c r="AG638" s="3">
        <f>[1]Results!AJ215</f>
        <v>4.7531252759999996</v>
      </c>
      <c r="AH638" s="3">
        <f>[1]Results!AK215</f>
        <v>4.7685070029999999</v>
      </c>
      <c r="AI638" s="3">
        <f>[1]Results!AL215</f>
        <v>4.7845878490000002</v>
      </c>
      <c r="AJ638" s="3">
        <f>[1]Results!AM215</f>
        <v>4.8014201090000004</v>
      </c>
      <c r="AK638" s="3">
        <f>[1]Results!AN215</f>
        <v>4.8189166370000001</v>
      </c>
      <c r="AL638" s="3">
        <f>[1]Results!AO215</f>
        <v>4.8369187550000001</v>
      </c>
    </row>
    <row r="639" spans="1:38" x14ac:dyDescent="0.3">
      <c r="B639" s="3" t="str">
        <f>[1]Results!E217</f>
        <v>YG_toe_cgas_2</v>
      </c>
      <c r="C639" s="3">
        <f>[1]Results!F217</f>
        <v>2.44830434</v>
      </c>
      <c r="D639" s="3">
        <f>[1]Results!G217</f>
        <v>4.3147918389999997</v>
      </c>
      <c r="E639" s="3">
        <f>[1]Results!H217</f>
        <v>5.7104032660000001</v>
      </c>
      <c r="F639" s="3">
        <f>[1]Results!I217</f>
        <v>6.8424424569999998</v>
      </c>
      <c r="G639" s="3">
        <f>[1]Results!J217</f>
        <v>7.7824758840000001</v>
      </c>
      <c r="H639" s="3">
        <f>[1]Results!K217</f>
        <v>8.5758622199999994</v>
      </c>
      <c r="I639" s="3">
        <f>[1]Results!L217</f>
        <v>9.2655241630000003</v>
      </c>
      <c r="J639" s="3">
        <f>[1]Results!M217</f>
        <v>9.9043645530000006</v>
      </c>
      <c r="K639" s="3">
        <f>[1]Results!N217</f>
        <v>10.474864699999999</v>
      </c>
      <c r="L639" s="3">
        <f>[1]Results!O217</f>
        <v>10.95270981</v>
      </c>
      <c r="M639" s="3">
        <f>[1]Results!P217</f>
        <v>11.33261663</v>
      </c>
      <c r="N639" s="3">
        <f>[1]Results!Q217</f>
        <v>11.62978055</v>
      </c>
      <c r="O639" s="3">
        <f>[1]Results!R217</f>
        <v>11.863573300000001</v>
      </c>
      <c r="P639" s="3">
        <f>[1]Results!S217</f>
        <v>12.059279910000001</v>
      </c>
      <c r="Q639" s="3">
        <f>[1]Results!T217</f>
        <v>12.236314289999999</v>
      </c>
      <c r="R639" s="3">
        <f>[1]Results!U217</f>
        <v>12.40496576</v>
      </c>
      <c r="S639" s="3">
        <f>[1]Results!V217</f>
        <v>12.56770766</v>
      </c>
      <c r="T639" s="3">
        <f>[1]Results!W217</f>
        <v>12.723255869999999</v>
      </c>
      <c r="U639" s="3">
        <f>[1]Results!X217</f>
        <v>12.86993676</v>
      </c>
      <c r="V639" s="3">
        <f>[1]Results!Y217</f>
        <v>13.007853170000001</v>
      </c>
      <c r="W639" s="3">
        <f>[1]Results!Z217</f>
        <v>13.136374780000001</v>
      </c>
      <c r="X639" s="3">
        <f>[1]Results!AA217</f>
        <v>13.26116042</v>
      </c>
      <c r="Y639" s="3">
        <f>[1]Results!AB217</f>
        <v>13.38828455</v>
      </c>
      <c r="Z639" s="3">
        <f>[1]Results!AC217</f>
        <v>13.52083522</v>
      </c>
      <c r="AA639" s="3">
        <f>[1]Results!AD217</f>
        <v>13.660545020000001</v>
      </c>
      <c r="AB639" s="3">
        <f>[1]Results!AE217</f>
        <v>13.797000110000001</v>
      </c>
      <c r="AC639" s="3">
        <f>[1]Results!AF217</f>
        <v>13.93394908</v>
      </c>
      <c r="AD639" s="3">
        <f>[1]Results!AG217</f>
        <v>14.07033126</v>
      </c>
      <c r="AE639" s="3">
        <f>[1]Results!AH217</f>
        <v>14.20541242</v>
      </c>
      <c r="AF639" s="3">
        <f>[1]Results!AI217</f>
        <v>14.33968475</v>
      </c>
      <c r="AG639" s="3">
        <f>[1]Results!AJ217</f>
        <v>14.474500920000001</v>
      </c>
      <c r="AH639" s="3">
        <f>[1]Results!AK217</f>
        <v>14.61130064</v>
      </c>
      <c r="AI639" s="3">
        <f>[1]Results!AL217</f>
        <v>14.751092509999999</v>
      </c>
      <c r="AJ639" s="3">
        <f>[1]Results!AM217</f>
        <v>14.89416362</v>
      </c>
      <c r="AK639" s="3">
        <f>[1]Results!AN217</f>
        <v>15.04015938</v>
      </c>
      <c r="AL639" s="3">
        <f>[1]Results!AO217</f>
        <v>15.188458750000001</v>
      </c>
    </row>
    <row r="640" spans="1:38" x14ac:dyDescent="0.3">
      <c r="B640" s="3" t="str">
        <f>[1]Results!E223</f>
        <v>YG_toe_cele_2</v>
      </c>
      <c r="C640" s="3">
        <f>[1]Results!F223</f>
        <v>49.428636269999998</v>
      </c>
      <c r="D640" s="3">
        <f>[1]Results!G223</f>
        <v>49.778660209999998</v>
      </c>
      <c r="E640" s="3">
        <f>[1]Results!H223</f>
        <v>50.119860180000003</v>
      </c>
      <c r="F640" s="3">
        <f>[1]Results!I223</f>
        <v>50.596495400000002</v>
      </c>
      <c r="G640" s="3">
        <f>[1]Results!J223</f>
        <v>51.286782299999999</v>
      </c>
      <c r="H640" s="3">
        <f>[1]Results!K223</f>
        <v>52.233820719999997</v>
      </c>
      <c r="I640" s="3">
        <f>[1]Results!L223</f>
        <v>53.500407129999999</v>
      </c>
      <c r="J640" s="3">
        <f>[1]Results!M223</f>
        <v>55.188732809999998</v>
      </c>
      <c r="K640" s="3">
        <f>[1]Results!N223</f>
        <v>57.14164023</v>
      </c>
      <c r="L640" s="3">
        <f>[1]Results!O223</f>
        <v>59.062398680000001</v>
      </c>
      <c r="M640" s="3">
        <f>[1]Results!P223</f>
        <v>60.734329989999999</v>
      </c>
      <c r="N640" s="3">
        <f>[1]Results!Q223</f>
        <v>62.025525020000003</v>
      </c>
      <c r="O640" s="3">
        <f>[1]Results!R223</f>
        <v>62.99180338</v>
      </c>
      <c r="P640" s="3">
        <f>[1]Results!S223</f>
        <v>63.75763474</v>
      </c>
      <c r="Q640" s="3">
        <f>[1]Results!T223</f>
        <v>64.455338479999995</v>
      </c>
      <c r="R640" s="3">
        <f>[1]Results!U223</f>
        <v>65.174456860000006</v>
      </c>
      <c r="S640" s="3">
        <f>[1]Results!V223</f>
        <v>65.947734030000007</v>
      </c>
      <c r="T640" s="3">
        <f>[1]Results!W223</f>
        <v>66.774365299999999</v>
      </c>
      <c r="U640" s="3">
        <f>[1]Results!X223</f>
        <v>67.641667920000003</v>
      </c>
      <c r="V640" s="3">
        <f>[1]Results!Y223</f>
        <v>68.542798680000004</v>
      </c>
      <c r="W640" s="3">
        <f>[1]Results!Z223</f>
        <v>69.452257810000006</v>
      </c>
      <c r="X640" s="3">
        <f>[1]Results!AA223</f>
        <v>70.431710699999996</v>
      </c>
      <c r="Y640" s="3">
        <f>[1]Results!AB223</f>
        <v>71.490023669999999</v>
      </c>
      <c r="Z640" s="3">
        <f>[1]Results!AC223</f>
        <v>72.636931180000005</v>
      </c>
      <c r="AA640" s="3">
        <f>[1]Results!AD223</f>
        <v>73.876012119999999</v>
      </c>
      <c r="AB640" s="3">
        <f>[1]Results!AE223</f>
        <v>75.091188889999998</v>
      </c>
      <c r="AC640" s="3">
        <f>[1]Results!AF223</f>
        <v>76.376208030000001</v>
      </c>
      <c r="AD640" s="3">
        <f>[1]Results!AG223</f>
        <v>77.669621770000006</v>
      </c>
      <c r="AE640" s="3">
        <f>[1]Results!AH223</f>
        <v>78.934011630000001</v>
      </c>
      <c r="AF640" s="3">
        <f>[1]Results!AI223</f>
        <v>80.155853899999997</v>
      </c>
      <c r="AG640" s="3">
        <f>[1]Results!AJ223</f>
        <v>81.338500030000006</v>
      </c>
      <c r="AH640" s="3">
        <f>[1]Results!AK223</f>
        <v>82.492350680000001</v>
      </c>
      <c r="AI640" s="3">
        <f>[1]Results!AL223</f>
        <v>83.629401430000001</v>
      </c>
      <c r="AJ640" s="3">
        <f>[1]Results!AM223</f>
        <v>84.758800370000003</v>
      </c>
      <c r="AK640" s="3">
        <f>[1]Results!AN223</f>
        <v>85.88515735</v>
      </c>
      <c r="AL640" s="3">
        <f>[1]Results!AO223</f>
        <v>87.010077609999996</v>
      </c>
    </row>
    <row r="641" spans="1:38" x14ac:dyDescent="0.3">
      <c r="B641" s="3" t="s">
        <v>49</v>
      </c>
      <c r="C641" s="3">
        <f>SUM(C642:C644)</f>
        <v>27.370118527000002</v>
      </c>
      <c r="D641" s="3">
        <f t="shared" ref="D641:AL641" si="125">SUM(D642:D644)</f>
        <v>27.182664620000001</v>
      </c>
      <c r="E641" s="3">
        <f t="shared" si="125"/>
        <v>27.053104533000003</v>
      </c>
      <c r="F641" s="3">
        <f t="shared" si="125"/>
        <v>27.001772362000001</v>
      </c>
      <c r="G641" s="3">
        <f t="shared" si="125"/>
        <v>27.036416369000001</v>
      </c>
      <c r="H641" s="3">
        <f t="shared" si="125"/>
        <v>27.158455019999998</v>
      </c>
      <c r="I641" s="3">
        <f t="shared" si="125"/>
        <v>27.354684366000001</v>
      </c>
      <c r="J641" s="3">
        <f t="shared" si="125"/>
        <v>27.656316322999999</v>
      </c>
      <c r="K641" s="3">
        <f t="shared" si="125"/>
        <v>28.031213817000001</v>
      </c>
      <c r="L641" s="3">
        <f t="shared" si="125"/>
        <v>28.414665998</v>
      </c>
      <c r="M641" s="3">
        <f t="shared" si="125"/>
        <v>28.783037590999999</v>
      </c>
      <c r="N641" s="3">
        <f t="shared" si="125"/>
        <v>29.076770961000001</v>
      </c>
      <c r="O641" s="3">
        <f t="shared" si="125"/>
        <v>29.325326152999999</v>
      </c>
      <c r="P641" s="3">
        <f t="shared" si="125"/>
        <v>29.556636847</v>
      </c>
      <c r="Q641" s="3">
        <f t="shared" si="125"/>
        <v>29.794585187999999</v>
      </c>
      <c r="R641" s="3">
        <f t="shared" si="125"/>
        <v>30.051943221999998</v>
      </c>
      <c r="S641" s="3">
        <f t="shared" si="125"/>
        <v>30.329430141000003</v>
      </c>
      <c r="T641" s="3">
        <f t="shared" si="125"/>
        <v>30.621696318000001</v>
      </c>
      <c r="U641" s="3">
        <f t="shared" si="125"/>
        <v>30.922131280999999</v>
      </c>
      <c r="V641" s="3">
        <f t="shared" si="125"/>
        <v>31.226879767</v>
      </c>
      <c r="W641" s="3">
        <f t="shared" si="125"/>
        <v>31.515211366000003</v>
      </c>
      <c r="X641" s="3">
        <f t="shared" si="125"/>
        <v>31.825855438999994</v>
      </c>
      <c r="Y641" s="3">
        <f t="shared" si="125"/>
        <v>32.151033744999999</v>
      </c>
      <c r="Z641" s="3">
        <f t="shared" si="125"/>
        <v>32.491567926000002</v>
      </c>
      <c r="AA641" s="3">
        <f t="shared" si="125"/>
        <v>32.848880883</v>
      </c>
      <c r="AB641" s="3">
        <f t="shared" si="125"/>
        <v>33.159040230999999</v>
      </c>
      <c r="AC641" s="3">
        <f t="shared" si="125"/>
        <v>33.501657004999998</v>
      </c>
      <c r="AD641" s="3">
        <f t="shared" si="125"/>
        <v>33.851708838</v>
      </c>
      <c r="AE641" s="3">
        <f t="shared" si="125"/>
        <v>34.200585834999998</v>
      </c>
      <c r="AF641" s="3">
        <f t="shared" si="125"/>
        <v>34.546406598000004</v>
      </c>
      <c r="AG641" s="3">
        <f t="shared" si="125"/>
        <v>34.890564613000002</v>
      </c>
      <c r="AH641" s="3">
        <f t="shared" si="125"/>
        <v>35.235175863000002</v>
      </c>
      <c r="AI641" s="3">
        <f t="shared" si="125"/>
        <v>35.582121198999999</v>
      </c>
      <c r="AJ641" s="3">
        <f t="shared" si="125"/>
        <v>35.932406469</v>
      </c>
      <c r="AK641" s="3">
        <f t="shared" si="125"/>
        <v>36.286017704000002</v>
      </c>
      <c r="AL641" s="3">
        <f t="shared" si="125"/>
        <v>36.642374836999998</v>
      </c>
    </row>
    <row r="642" spans="1:38" x14ac:dyDescent="0.3">
      <c r="B642" s="3" t="str">
        <f>[1]Results!E233</f>
        <v>YG_toe_chea_2</v>
      </c>
      <c r="C642" s="3">
        <f>[1]Results!F233</f>
        <v>3.5782539770000001</v>
      </c>
      <c r="D642" s="3">
        <f>[1]Results!G233</f>
        <v>3.6049663600000001</v>
      </c>
      <c r="E642" s="3">
        <f>[1]Results!H233</f>
        <v>3.6353219330000002</v>
      </c>
      <c r="F642" s="3">
        <f>[1]Results!I233</f>
        <v>3.6750157219999999</v>
      </c>
      <c r="G642" s="3">
        <f>[1]Results!J233</f>
        <v>3.7249350689999998</v>
      </c>
      <c r="H642" s="3">
        <f>[1]Results!K233</f>
        <v>3.7848788199999999</v>
      </c>
      <c r="I642" s="3">
        <f>[1]Results!L233</f>
        <v>3.8558039559999999</v>
      </c>
      <c r="J642" s="3">
        <f>[1]Results!M233</f>
        <v>3.9430569229999999</v>
      </c>
      <c r="K642" s="3">
        <f>[1]Results!N233</f>
        <v>4.0378906969999999</v>
      </c>
      <c r="L642" s="3">
        <f>[1]Results!O233</f>
        <v>4.1274983580000004</v>
      </c>
      <c r="M642" s="3">
        <f>[1]Results!P233</f>
        <v>4.2052420609999999</v>
      </c>
      <c r="N642" s="3">
        <f>[1]Results!Q233</f>
        <v>4.2682437609999999</v>
      </c>
      <c r="O642" s="3">
        <f>[1]Results!R233</f>
        <v>4.3192809729999997</v>
      </c>
      <c r="P642" s="3">
        <f>[1]Results!S233</f>
        <v>4.3649572870000002</v>
      </c>
      <c r="Q642" s="3">
        <f>[1]Results!T233</f>
        <v>4.4113083880000001</v>
      </c>
      <c r="R642" s="3">
        <f>[1]Results!U233</f>
        <v>4.4615182620000002</v>
      </c>
      <c r="S642" s="3">
        <f>[1]Results!V233</f>
        <v>4.5155722010000003</v>
      </c>
      <c r="T642" s="3">
        <f>[1]Results!W233</f>
        <v>4.5721537080000001</v>
      </c>
      <c r="U642" s="3">
        <f>[1]Results!X233</f>
        <v>4.6297394609999998</v>
      </c>
      <c r="V642" s="3">
        <f>[1]Results!Y233</f>
        <v>4.6873899569999997</v>
      </c>
      <c r="W642" s="3">
        <f>[1]Results!Z233</f>
        <v>4.7430514060000002</v>
      </c>
      <c r="X642" s="3">
        <f>[1]Results!AA233</f>
        <v>4.7991911189999996</v>
      </c>
      <c r="Y642" s="3">
        <f>[1]Results!AB233</f>
        <v>4.8574638649999997</v>
      </c>
      <c r="Z642" s="3">
        <f>[1]Results!AC233</f>
        <v>4.9181641259999997</v>
      </c>
      <c r="AA642" s="3">
        <f>[1]Results!AD233</f>
        <v>4.981450283</v>
      </c>
      <c r="AB642" s="3">
        <f>[1]Results!AE233</f>
        <v>5.0409132010000004</v>
      </c>
      <c r="AC642" s="3">
        <f>[1]Results!AF233</f>
        <v>5.1000204150000004</v>
      </c>
      <c r="AD642" s="3">
        <f>[1]Results!AG233</f>
        <v>5.1593479279999999</v>
      </c>
      <c r="AE642" s="3">
        <f>[1]Results!AH233</f>
        <v>5.2178803350000003</v>
      </c>
      <c r="AF642" s="3">
        <f>[1]Results!AI233</f>
        <v>5.2753495580000003</v>
      </c>
      <c r="AG642" s="3">
        <f>[1]Results!AJ233</f>
        <v>5.3320764829999998</v>
      </c>
      <c r="AH642" s="3">
        <f>[1]Results!AK233</f>
        <v>5.3884340630000001</v>
      </c>
      <c r="AI642" s="3">
        <f>[1]Results!AL233</f>
        <v>5.444784769</v>
      </c>
      <c r="AJ642" s="3">
        <f>[1]Results!AM233</f>
        <v>5.5013454189999997</v>
      </c>
      <c r="AK642" s="3">
        <f>[1]Results!AN233</f>
        <v>5.5581122140000003</v>
      </c>
      <c r="AL642" s="3">
        <f>[1]Results!AO233</f>
        <v>5.6149512469999996</v>
      </c>
    </row>
    <row r="643" spans="1:38" x14ac:dyDescent="0.3">
      <c r="B643" s="3" t="str">
        <f>[1]Results!E235</f>
        <v>YG_toe_cbio_2</v>
      </c>
      <c r="C643" s="3">
        <f>[1]Results!F235</f>
        <v>11.16292316</v>
      </c>
      <c r="D643" s="3">
        <f>[1]Results!G235</f>
        <v>11.197930769999999</v>
      </c>
      <c r="E643" s="3">
        <f>[1]Results!H235</f>
        <v>11.20919194</v>
      </c>
      <c r="F643" s="3">
        <f>[1]Results!I235</f>
        <v>11.22123625</v>
      </c>
      <c r="G643" s="3">
        <f>[1]Results!J235</f>
        <v>11.24580572</v>
      </c>
      <c r="H643" s="3">
        <f>[1]Results!K235</f>
        <v>11.28896076</v>
      </c>
      <c r="I643" s="3">
        <f>[1]Results!L235</f>
        <v>11.341679620000001</v>
      </c>
      <c r="J643" s="3">
        <f>[1]Results!M235</f>
        <v>11.41717133</v>
      </c>
      <c r="K643" s="3">
        <f>[1]Results!N235</f>
        <v>11.51277606</v>
      </c>
      <c r="L643" s="3">
        <f>[1]Results!O235</f>
        <v>11.61099798</v>
      </c>
      <c r="M643" s="3">
        <f>[1]Results!P235</f>
        <v>11.704772889999999</v>
      </c>
      <c r="N643" s="3">
        <f>[1]Results!Q235</f>
        <v>11.77550493</v>
      </c>
      <c r="O643" s="3">
        <f>[1]Results!R235</f>
        <v>11.82879359</v>
      </c>
      <c r="P643" s="3">
        <f>[1]Results!S235</f>
        <v>11.87272941</v>
      </c>
      <c r="Q643" s="3">
        <f>[1]Results!T235</f>
        <v>11.914964680000001</v>
      </c>
      <c r="R643" s="3">
        <f>[1]Results!U235</f>
        <v>11.96027</v>
      </c>
      <c r="S643" s="3">
        <f>[1]Results!V235</f>
        <v>12.009843679999999</v>
      </c>
      <c r="T643" s="3">
        <f>[1]Results!W235</f>
        <v>12.06302136</v>
      </c>
      <c r="U643" s="3">
        <f>[1]Results!X235</f>
        <v>12.118480780000001</v>
      </c>
      <c r="V643" s="3">
        <f>[1]Results!Y235</f>
        <v>12.175641479999999</v>
      </c>
      <c r="W643" s="3">
        <f>[1]Results!Z235</f>
        <v>12.22880642</v>
      </c>
      <c r="X643" s="3">
        <f>[1]Results!AA235</f>
        <v>12.288786289999999</v>
      </c>
      <c r="Y643" s="3">
        <f>[1]Results!AB235</f>
        <v>12.354783299999999</v>
      </c>
      <c r="Z643" s="3">
        <f>[1]Results!AC235</f>
        <v>12.42678252</v>
      </c>
      <c r="AA643" s="3">
        <f>[1]Results!AD235</f>
        <v>12.504920500000001</v>
      </c>
      <c r="AB643" s="3">
        <f>[1]Results!AE235</f>
        <v>12.57020904</v>
      </c>
      <c r="AC643" s="3">
        <f>[1]Results!AF235</f>
        <v>12.643042189999999</v>
      </c>
      <c r="AD643" s="3">
        <f>[1]Results!AG235</f>
        <v>12.71859422</v>
      </c>
      <c r="AE643" s="3">
        <f>[1]Results!AH235</f>
        <v>12.793990539999999</v>
      </c>
      <c r="AF643" s="3">
        <f>[1]Results!AI235</f>
        <v>12.86837871</v>
      </c>
      <c r="AG643" s="3">
        <f>[1]Results!AJ235</f>
        <v>12.941973640000001</v>
      </c>
      <c r="AH643" s="3">
        <f>[1]Results!AK235</f>
        <v>13.01526651</v>
      </c>
      <c r="AI643" s="3">
        <f>[1]Results!AL235</f>
        <v>13.08876834</v>
      </c>
      <c r="AJ643" s="3">
        <f>[1]Results!AM235</f>
        <v>13.162822329999999</v>
      </c>
      <c r="AK643" s="3">
        <f>[1]Results!AN235</f>
        <v>13.237528230000001</v>
      </c>
      <c r="AL643" s="3">
        <f>[1]Results!AO235</f>
        <v>13.312844910000001</v>
      </c>
    </row>
    <row r="644" spans="1:38" x14ac:dyDescent="0.3">
      <c r="B644" s="3" t="str">
        <f>[1]Results!E238</f>
        <v>YG_toe_cote_2</v>
      </c>
      <c r="C644" s="3">
        <f>[1]Results!F238</f>
        <v>12.62894139</v>
      </c>
      <c r="D644" s="3">
        <f>[1]Results!G238</f>
        <v>12.379767490000001</v>
      </c>
      <c r="E644" s="3">
        <f>[1]Results!H238</f>
        <v>12.20859066</v>
      </c>
      <c r="F644" s="3">
        <f>[1]Results!I238</f>
        <v>12.105520390000001</v>
      </c>
      <c r="G644" s="3">
        <f>[1]Results!J238</f>
        <v>12.065675580000001</v>
      </c>
      <c r="H644" s="3">
        <f>[1]Results!K238</f>
        <v>12.08461544</v>
      </c>
      <c r="I644" s="3">
        <f>[1]Results!L238</f>
        <v>12.157200789999999</v>
      </c>
      <c r="J644" s="3">
        <f>[1]Results!M238</f>
        <v>12.29608807</v>
      </c>
      <c r="K644" s="3">
        <f>[1]Results!N238</f>
        <v>12.480547059999999</v>
      </c>
      <c r="L644" s="3">
        <f>[1]Results!O238</f>
        <v>12.676169659999999</v>
      </c>
      <c r="M644" s="3">
        <f>[1]Results!P238</f>
        <v>12.87302264</v>
      </c>
      <c r="N644" s="3">
        <f>[1]Results!Q238</f>
        <v>13.03302227</v>
      </c>
      <c r="O644" s="3">
        <f>[1]Results!R238</f>
        <v>13.177251589999999</v>
      </c>
      <c r="P644" s="3">
        <f>[1]Results!S238</f>
        <v>13.318950149999999</v>
      </c>
      <c r="Q644" s="3">
        <f>[1]Results!T238</f>
        <v>13.46831212</v>
      </c>
      <c r="R644" s="3">
        <f>[1]Results!U238</f>
        <v>13.63015496</v>
      </c>
      <c r="S644" s="3">
        <f>[1]Results!V238</f>
        <v>13.804014260000001</v>
      </c>
      <c r="T644" s="3">
        <f>[1]Results!W238</f>
        <v>13.986521249999999</v>
      </c>
      <c r="U644" s="3">
        <f>[1]Results!X238</f>
        <v>14.17391104</v>
      </c>
      <c r="V644" s="3">
        <f>[1]Results!Y238</f>
        <v>14.36384833</v>
      </c>
      <c r="W644" s="3">
        <f>[1]Results!Z238</f>
        <v>14.54335354</v>
      </c>
      <c r="X644" s="3">
        <f>[1]Results!AA238</f>
        <v>14.737878029999999</v>
      </c>
      <c r="Y644" s="3">
        <f>[1]Results!AB238</f>
        <v>14.93878658</v>
      </c>
      <c r="Z644" s="3">
        <f>[1]Results!AC238</f>
        <v>15.14662128</v>
      </c>
      <c r="AA644" s="3">
        <f>[1]Results!AD238</f>
        <v>15.3625101</v>
      </c>
      <c r="AB644" s="3">
        <f>[1]Results!AE238</f>
        <v>15.54791799</v>
      </c>
      <c r="AC644" s="3">
        <f>[1]Results!AF238</f>
        <v>15.7585944</v>
      </c>
      <c r="AD644" s="3">
        <f>[1]Results!AG238</f>
        <v>15.97376669</v>
      </c>
      <c r="AE644" s="3">
        <f>[1]Results!AH238</f>
        <v>16.188714959999999</v>
      </c>
      <c r="AF644" s="3">
        <f>[1]Results!AI238</f>
        <v>16.402678330000001</v>
      </c>
      <c r="AG644" s="3">
        <f>[1]Results!AJ238</f>
        <v>16.61651449</v>
      </c>
      <c r="AH644" s="3">
        <f>[1]Results!AK238</f>
        <v>16.83147529</v>
      </c>
      <c r="AI644" s="3">
        <f>[1]Results!AL238</f>
        <v>17.04856809</v>
      </c>
      <c r="AJ644" s="3">
        <f>[1]Results!AM238</f>
        <v>17.268238719999999</v>
      </c>
      <c r="AK644" s="3">
        <f>[1]Results!AN238</f>
        <v>17.490377259999999</v>
      </c>
      <c r="AL644" s="3">
        <f>[1]Results!AO238</f>
        <v>17.714578679999999</v>
      </c>
    </row>
    <row r="645" spans="1:38" x14ac:dyDescent="0.3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 spans="1:38" x14ac:dyDescent="0.3">
      <c r="A646" s="12" t="s">
        <v>68</v>
      </c>
      <c r="B646" s="3" t="str">
        <f>[1]Results!E241</f>
        <v>YG_toe_0</v>
      </c>
      <c r="C646" s="3">
        <f>[1]Results!F241</f>
        <v>142.13563060000001</v>
      </c>
      <c r="D646" s="3">
        <f>[1]Results!G241</f>
        <v>144.72748569999999</v>
      </c>
      <c r="E646" s="3">
        <f>[1]Results!H241</f>
        <v>146.82706379999999</v>
      </c>
      <c r="F646" s="3">
        <f>[1]Results!I241</f>
        <v>148.90727089999999</v>
      </c>
      <c r="G646" s="3">
        <f>[1]Results!J241</f>
        <v>151.1655442</v>
      </c>
      <c r="H646" s="3">
        <f>[1]Results!K241</f>
        <v>153.70087599999999</v>
      </c>
      <c r="I646" s="3">
        <f>[1]Results!L241</f>
        <v>156.43630880000001</v>
      </c>
      <c r="J646" s="3">
        <f>[1]Results!M241</f>
        <v>159.41901619999999</v>
      </c>
      <c r="K646" s="3">
        <f>[1]Results!N241</f>
        <v>162.57544960000001</v>
      </c>
      <c r="L646" s="3">
        <f>[1]Results!O241</f>
        <v>165.805013</v>
      </c>
      <c r="M646" s="3">
        <f>[1]Results!P241</f>
        <v>169.14935510000001</v>
      </c>
      <c r="N646" s="3">
        <f>[1]Results!Q241</f>
        <v>172.2973752</v>
      </c>
      <c r="O646" s="3">
        <f>[1]Results!R241</f>
        <v>175.3052505</v>
      </c>
      <c r="P646" s="3">
        <f>[1]Results!S241</f>
        <v>178.15376040000001</v>
      </c>
      <c r="Q646" s="3">
        <f>[1]Results!T241</f>
        <v>180.8183794</v>
      </c>
      <c r="R646" s="3">
        <f>[1]Results!U241</f>
        <v>183.28122949999999</v>
      </c>
      <c r="S646" s="3">
        <f>[1]Results!V241</f>
        <v>185.5484936</v>
      </c>
      <c r="T646" s="3">
        <f>[1]Results!W241</f>
        <v>187.6504601</v>
      </c>
      <c r="U646" s="3">
        <f>[1]Results!X241</f>
        <v>189.637755</v>
      </c>
      <c r="V646" s="3">
        <f>[1]Results!Y241</f>
        <v>191.57312200000001</v>
      </c>
      <c r="W646" s="3">
        <f>[1]Results!Z241</f>
        <v>193.4117713</v>
      </c>
      <c r="X646" s="3">
        <f>[1]Results!AA241</f>
        <v>195.38490759999999</v>
      </c>
      <c r="Y646" s="3">
        <f>[1]Results!AB241</f>
        <v>197.46058160000001</v>
      </c>
      <c r="Z646" s="3">
        <f>[1]Results!AC241</f>
        <v>199.65795779999999</v>
      </c>
      <c r="AA646" s="3">
        <f>[1]Results!AD241</f>
        <v>201.99332749999999</v>
      </c>
      <c r="AB646" s="3">
        <f>[1]Results!AE241</f>
        <v>204.12932699999999</v>
      </c>
      <c r="AC646" s="3">
        <f>[1]Results!AF241</f>
        <v>206.49557909999999</v>
      </c>
      <c r="AD646" s="3">
        <f>[1]Results!AG241</f>
        <v>208.93468580000001</v>
      </c>
      <c r="AE646" s="3">
        <f>[1]Results!AH241</f>
        <v>211.40513720000001</v>
      </c>
      <c r="AF646" s="3">
        <f>[1]Results!AI241</f>
        <v>213.8938599</v>
      </c>
      <c r="AG646" s="3">
        <f>[1]Results!AJ241</f>
        <v>216.40015940000001</v>
      </c>
      <c r="AH646" s="3">
        <f>[1]Results!AK241</f>
        <v>218.9248269</v>
      </c>
      <c r="AI646" s="3">
        <f>[1]Results!AL241</f>
        <v>221.4636217</v>
      </c>
      <c r="AJ646" s="3">
        <f>[1]Results!AM241</f>
        <v>224.00567699999999</v>
      </c>
      <c r="AK646" s="3">
        <f>[1]Results!AN241</f>
        <v>226.53622799999999</v>
      </c>
      <c r="AL646" s="3">
        <f>[1]Results!AO241</f>
        <v>229.038656</v>
      </c>
    </row>
    <row r="647" spans="1:38" x14ac:dyDescent="0.3">
      <c r="A647" t="s">
        <v>26</v>
      </c>
      <c r="B647" s="3" t="str">
        <f>[1]Results!E242</f>
        <v>YG_toe_ccoa_0</v>
      </c>
      <c r="C647" s="3">
        <f>[1]Results!F242</f>
        <v>2.2587199849999999</v>
      </c>
      <c r="D647" s="3">
        <f>[1]Results!G242</f>
        <v>1.638087055</v>
      </c>
      <c r="E647" s="3">
        <f>[1]Results!H242</f>
        <v>1.1227227099999999</v>
      </c>
      <c r="F647" s="3">
        <f>[1]Results!I242</f>
        <v>0.70654462870000001</v>
      </c>
      <c r="G647" s="3">
        <f>[1]Results!J242</f>
        <v>0.37278752279999999</v>
      </c>
      <c r="H647" s="3">
        <f>[1]Results!K242</f>
        <v>0.1049911218</v>
      </c>
      <c r="I647" s="3">
        <f>[1]Results!L242</f>
        <v>-0.1057949066</v>
      </c>
      <c r="J647" s="3">
        <f>[1]Results!M242</f>
        <v>-0.27638814140000001</v>
      </c>
      <c r="K647" s="3">
        <f>[1]Results!N242</f>
        <v>-0.41556677910000001</v>
      </c>
      <c r="L647" s="3">
        <f>[1]Results!O242</f>
        <v>-0.52985005490000003</v>
      </c>
      <c r="M647" s="3">
        <f>[1]Results!P242</f>
        <v>-0.63167300559999995</v>
      </c>
      <c r="N647" s="3">
        <f>[1]Results!Q242</f>
        <v>-0.70963875860000003</v>
      </c>
      <c r="O647" s="3">
        <f>[1]Results!R242</f>
        <v>-0.77557625640000005</v>
      </c>
      <c r="P647" s="3">
        <f>[1]Results!S242</f>
        <v>-0.83305184229999996</v>
      </c>
      <c r="Q647" s="3">
        <f>[1]Results!T242</f>
        <v>-0.88363090050000004</v>
      </c>
      <c r="R647" s="3">
        <f>[1]Results!U242</f>
        <v>-0.92860297260000002</v>
      </c>
      <c r="S647" s="3">
        <f>[1]Results!V242</f>
        <v>-0.9691712267</v>
      </c>
      <c r="T647" s="3">
        <f>[1]Results!W242</f>
        <v>-1.006392178</v>
      </c>
      <c r="U647" s="3">
        <f>[1]Results!X242</f>
        <v>-1.0411152800000001</v>
      </c>
      <c r="V647" s="3">
        <f>[1]Results!Y242</f>
        <v>-1.073967761</v>
      </c>
      <c r="W647" s="3">
        <f>[1]Results!Z242</f>
        <v>-1.100337766</v>
      </c>
      <c r="X647" s="3">
        <f>[1]Results!AA242</f>
        <v>-1.131710188</v>
      </c>
      <c r="Y647" s="3">
        <f>[1]Results!AB242</f>
        <v>-1.1625679550000001</v>
      </c>
      <c r="Z647" s="3">
        <f>[1]Results!AC242</f>
        <v>-1.192129657</v>
      </c>
      <c r="AA647" s="3">
        <f>[1]Results!AD242</f>
        <v>-1.2207356220000001</v>
      </c>
      <c r="AB647" s="3">
        <f>[1]Results!AE242</f>
        <v>-1.234068223</v>
      </c>
      <c r="AC647" s="3">
        <f>[1]Results!AF242</f>
        <v>-1.2588554359999999</v>
      </c>
      <c r="AD647" s="3">
        <f>[1]Results!AG242</f>
        <v>-1.2859067230000001</v>
      </c>
      <c r="AE647" s="3">
        <f>[1]Results!AH242</f>
        <v>-1.3131606140000001</v>
      </c>
      <c r="AF647" s="3">
        <f>[1]Results!AI242</f>
        <v>-1.3406330870000001</v>
      </c>
      <c r="AG647" s="3">
        <f>[1]Results!AJ242</f>
        <v>-1.368534927</v>
      </c>
      <c r="AH647" s="3">
        <f>[1]Results!AK242</f>
        <v>-1.3969546690000001</v>
      </c>
      <c r="AI647" s="3">
        <f>[1]Results!AL242</f>
        <v>-1.4259021270000001</v>
      </c>
      <c r="AJ647" s="3">
        <f>[1]Results!AM242</f>
        <v>-1.455385537</v>
      </c>
      <c r="AK647" s="3">
        <f>[1]Results!AN242</f>
        <v>-1.4854499489999999</v>
      </c>
      <c r="AL647" s="3">
        <f>[1]Results!AO242</f>
        <v>-1.5161736379999999</v>
      </c>
    </row>
    <row r="648" spans="1:38" x14ac:dyDescent="0.3">
      <c r="B648" s="3" t="s">
        <v>48</v>
      </c>
      <c r="C648" s="3">
        <f>SUM(C649:C651)</f>
        <v>60.629851447</v>
      </c>
      <c r="D648" s="3">
        <f t="shared" ref="D648:AL648" si="126">SUM(D649:D651)</f>
        <v>61.813281991499998</v>
      </c>
      <c r="E648" s="3">
        <f t="shared" si="126"/>
        <v>62.820973070400001</v>
      </c>
      <c r="F648" s="3">
        <f t="shared" si="126"/>
        <v>63.760016015400005</v>
      </c>
      <c r="G648" s="3">
        <f t="shared" si="126"/>
        <v>64.687082142099996</v>
      </c>
      <c r="H648" s="3">
        <f t="shared" si="126"/>
        <v>65.627746960699994</v>
      </c>
      <c r="I648" s="3">
        <f t="shared" si="126"/>
        <v>66.537811492899991</v>
      </c>
      <c r="J648" s="3">
        <f t="shared" si="126"/>
        <v>67.466771389599998</v>
      </c>
      <c r="K648" s="3">
        <f t="shared" si="126"/>
        <v>68.407190993699999</v>
      </c>
      <c r="L648" s="3">
        <f t="shared" si="126"/>
        <v>69.349518834799994</v>
      </c>
      <c r="M648" s="3">
        <f t="shared" si="126"/>
        <v>70.367374088800005</v>
      </c>
      <c r="N648" s="3">
        <f t="shared" si="126"/>
        <v>71.302564223399997</v>
      </c>
      <c r="O648" s="3">
        <f t="shared" si="126"/>
        <v>72.234110133200005</v>
      </c>
      <c r="P648" s="3">
        <f t="shared" si="126"/>
        <v>73.164639154299991</v>
      </c>
      <c r="Q648" s="3">
        <f t="shared" si="126"/>
        <v>74.091531792799998</v>
      </c>
      <c r="R648" s="3">
        <f t="shared" si="126"/>
        <v>75.01123212169999</v>
      </c>
      <c r="S648" s="3">
        <f t="shared" si="126"/>
        <v>75.920863162899991</v>
      </c>
      <c r="T648" s="3">
        <f t="shared" si="126"/>
        <v>76.819064295500013</v>
      </c>
      <c r="U648" s="3">
        <f t="shared" si="126"/>
        <v>77.706269260100001</v>
      </c>
      <c r="V648" s="3">
        <f t="shared" si="126"/>
        <v>78.584401990299995</v>
      </c>
      <c r="W648" s="3">
        <f t="shared" si="126"/>
        <v>79.396001810399994</v>
      </c>
      <c r="X648" s="3">
        <f t="shared" si="126"/>
        <v>80.259937516199983</v>
      </c>
      <c r="Y648" s="3">
        <f t="shared" si="126"/>
        <v>81.123211986200005</v>
      </c>
      <c r="Z648" s="3">
        <f t="shared" si="126"/>
        <v>81.985521814099997</v>
      </c>
      <c r="AA648" s="3">
        <f t="shared" si="126"/>
        <v>82.849307143899992</v>
      </c>
      <c r="AB648" s="3">
        <f t="shared" si="126"/>
        <v>83.537188072199996</v>
      </c>
      <c r="AC648" s="3">
        <f t="shared" si="126"/>
        <v>84.317593258000002</v>
      </c>
      <c r="AD648" s="3">
        <f t="shared" si="126"/>
        <v>85.097089493199988</v>
      </c>
      <c r="AE648" s="3">
        <f t="shared" si="126"/>
        <v>85.869573536600001</v>
      </c>
      <c r="AF648" s="3">
        <f t="shared" si="126"/>
        <v>86.636691078799998</v>
      </c>
      <c r="AG648" s="3">
        <f t="shared" si="126"/>
        <v>87.401519010800001</v>
      </c>
      <c r="AH648" s="3">
        <f t="shared" si="126"/>
        <v>88.166558453600004</v>
      </c>
      <c r="AI648" s="3">
        <f t="shared" si="126"/>
        <v>88.932988063800011</v>
      </c>
      <c r="AJ648" s="3">
        <f t="shared" si="126"/>
        <v>89.700631571599999</v>
      </c>
      <c r="AK648" s="3">
        <f t="shared" si="126"/>
        <v>90.468415995700013</v>
      </c>
      <c r="AL648" s="3">
        <f t="shared" si="126"/>
        <v>91.234984965400002</v>
      </c>
    </row>
    <row r="649" spans="1:38" x14ac:dyDescent="0.3">
      <c r="B649" s="3" t="str">
        <f>[1]Results!E245</f>
        <v>YG_toe_ccoi_0</v>
      </c>
      <c r="C649" s="3">
        <f>[1]Results!F245</f>
        <v>1.2014653360000001</v>
      </c>
      <c r="D649" s="3">
        <f>[1]Results!G245</f>
        <v>0.96354411949999996</v>
      </c>
      <c r="E649" s="3">
        <f>[1]Results!H245</f>
        <v>0.77320611340000001</v>
      </c>
      <c r="F649" s="3">
        <f>[1]Results!I245</f>
        <v>0.62095120439999996</v>
      </c>
      <c r="G649" s="3">
        <f>[1]Results!J245</f>
        <v>0.49917359309999998</v>
      </c>
      <c r="H649" s="3">
        <f>[1]Results!K245</f>
        <v>0.40178350270000002</v>
      </c>
      <c r="I649" s="3">
        <f>[1]Results!L245</f>
        <v>0.3238992839</v>
      </c>
      <c r="J649" s="3">
        <f>[1]Results!M245</f>
        <v>0.26162459459999998</v>
      </c>
      <c r="K649" s="3">
        <f>[1]Results!N245</f>
        <v>0.2118376287</v>
      </c>
      <c r="L649" s="3">
        <f>[1]Results!O245</f>
        <v>0.17203908279999999</v>
      </c>
      <c r="M649" s="3">
        <f>[1]Results!P245</f>
        <v>0.14023898779999999</v>
      </c>
      <c r="N649" s="3">
        <f>[1]Results!Q245</f>
        <v>0.1148217684</v>
      </c>
      <c r="O649" s="3">
        <f>[1]Results!R245</f>
        <v>9.4514683200000005E-2</v>
      </c>
      <c r="P649" s="3">
        <f>[1]Results!S245</f>
        <v>7.8296817300000002E-2</v>
      </c>
      <c r="Q649" s="3">
        <f>[1]Results!T245</f>
        <v>6.5349613799999998E-2</v>
      </c>
      <c r="R649" s="3">
        <f>[1]Results!U245</f>
        <v>5.5017685699999999E-2</v>
      </c>
      <c r="S649" s="3">
        <f>[1]Results!V245</f>
        <v>4.6776627899999999E-2</v>
      </c>
      <c r="T649" s="3">
        <f>[1]Results!W245</f>
        <v>4.0207106499999999E-2</v>
      </c>
      <c r="U649" s="3">
        <f>[1]Results!X245</f>
        <v>3.4974022100000002E-2</v>
      </c>
      <c r="V649" s="3">
        <f>[1]Results!Y245</f>
        <v>3.0809695299999999E-2</v>
      </c>
      <c r="W649" s="3">
        <f>[1]Results!Z245</f>
        <v>2.7493059399999999E-2</v>
      </c>
      <c r="X649" s="3">
        <f>[1]Results!AA245</f>
        <v>2.4865375200000001E-2</v>
      </c>
      <c r="Y649" s="3">
        <f>[1]Results!AB245</f>
        <v>2.27862042E-2</v>
      </c>
      <c r="Z649" s="3">
        <f>[1]Results!AC245</f>
        <v>2.1144790100000001E-2</v>
      </c>
      <c r="AA649" s="3">
        <f>[1]Results!AD245</f>
        <v>1.9853620900000001E-2</v>
      </c>
      <c r="AB649" s="3">
        <f>[1]Results!AE245</f>
        <v>1.8820778199999999E-2</v>
      </c>
      <c r="AC649" s="3">
        <f>[1]Results!AF245</f>
        <v>1.8018309999999999E-2</v>
      </c>
      <c r="AD649" s="3">
        <f>[1]Results!AG245</f>
        <v>1.7395523199999999E-2</v>
      </c>
      <c r="AE649" s="3">
        <f>[1]Results!AH245</f>
        <v>1.6913697599999999E-2</v>
      </c>
      <c r="AF649" s="3">
        <f>[1]Results!AI245</f>
        <v>1.6544016799999998E-2</v>
      </c>
      <c r="AG649" s="3">
        <f>[1]Results!AJ245</f>
        <v>1.62640428E-2</v>
      </c>
      <c r="AH649" s="3">
        <f>[1]Results!AK245</f>
        <v>1.6055894599999999E-2</v>
      </c>
      <c r="AI649" s="3">
        <f>[1]Results!AL245</f>
        <v>1.59050908E-2</v>
      </c>
      <c r="AJ649" s="3">
        <f>[1]Results!AM245</f>
        <v>1.57997806E-2</v>
      </c>
      <c r="AK649" s="3">
        <f>[1]Results!AN245</f>
        <v>1.57302517E-2</v>
      </c>
      <c r="AL649" s="3">
        <f>[1]Results!AO245</f>
        <v>1.5688610400000001E-2</v>
      </c>
    </row>
    <row r="650" spans="1:38" x14ac:dyDescent="0.3">
      <c r="B650" s="3" t="str">
        <f>[1]Results!E248</f>
        <v>YG_toe_cfut_0</v>
      </c>
      <c r="C650" s="3">
        <f>[1]Results!F248</f>
        <v>54.412399020000002</v>
      </c>
      <c r="D650" s="3">
        <f>[1]Results!G248</f>
        <v>55.940596620000001</v>
      </c>
      <c r="E650" s="3">
        <f>[1]Results!H248</f>
        <v>57.23962504</v>
      </c>
      <c r="F650" s="3">
        <f>[1]Results!I248</f>
        <v>58.418674070000002</v>
      </c>
      <c r="G650" s="3">
        <f>[1]Results!J248</f>
        <v>59.538420549999998</v>
      </c>
      <c r="H650" s="3">
        <f>[1]Results!K248</f>
        <v>60.62913649</v>
      </c>
      <c r="I650" s="3">
        <f>[1]Results!L248</f>
        <v>61.655661969999997</v>
      </c>
      <c r="J650" s="3">
        <f>[1]Results!M248</f>
        <v>62.670229970000001</v>
      </c>
      <c r="K650" s="3">
        <f>[1]Results!N248</f>
        <v>63.671870409999997</v>
      </c>
      <c r="L650" s="3">
        <f>[1]Results!O248</f>
        <v>64.657049569999998</v>
      </c>
      <c r="M650" s="3">
        <f>[1]Results!P248</f>
        <v>65.699746669999996</v>
      </c>
      <c r="N650" s="3">
        <f>[1]Results!Q248</f>
        <v>66.653871589999994</v>
      </c>
      <c r="O650" s="3">
        <f>[1]Results!R248</f>
        <v>67.596230759999997</v>
      </c>
      <c r="P650" s="3">
        <f>[1]Results!S248</f>
        <v>68.531013239999993</v>
      </c>
      <c r="Q650" s="3">
        <f>[1]Results!T248</f>
        <v>69.457340200000004</v>
      </c>
      <c r="R650" s="3">
        <f>[1]Results!U248</f>
        <v>70.37324194</v>
      </c>
      <c r="S650" s="3">
        <f>[1]Results!V248</f>
        <v>71.277155859999993</v>
      </c>
      <c r="T650" s="3">
        <f>[1]Results!W248</f>
        <v>72.168666560000005</v>
      </c>
      <c r="U650" s="3">
        <f>[1]Results!X248</f>
        <v>73.048742820000001</v>
      </c>
      <c r="V650" s="3">
        <f>[1]Results!Y248</f>
        <v>73.919473980000006</v>
      </c>
      <c r="W650" s="3">
        <f>[1]Results!Z248</f>
        <v>74.726593989999998</v>
      </c>
      <c r="X650" s="3">
        <f>[1]Results!AA248</f>
        <v>75.582396669999994</v>
      </c>
      <c r="Y650" s="3">
        <f>[1]Results!AB248</f>
        <v>76.436583150000004</v>
      </c>
      <c r="Z650" s="3">
        <f>[1]Results!AC248</f>
        <v>77.288867319999994</v>
      </c>
      <c r="AA650" s="3">
        <f>[1]Results!AD248</f>
        <v>78.141371379999995</v>
      </c>
      <c r="AB650" s="3">
        <f>[1]Results!AE248</f>
        <v>78.826396459999998</v>
      </c>
      <c r="AC650" s="3">
        <f>[1]Results!AF248</f>
        <v>79.597067699999997</v>
      </c>
      <c r="AD650" s="3">
        <f>[1]Results!AG248</f>
        <v>80.36552356</v>
      </c>
      <c r="AE650" s="3">
        <f>[1]Results!AH248</f>
        <v>81.126420920000001</v>
      </c>
      <c r="AF650" s="3">
        <f>[1]Results!AI248</f>
        <v>81.881307059999997</v>
      </c>
      <c r="AG650" s="3">
        <f>[1]Results!AJ248</f>
        <v>82.632986380000006</v>
      </c>
      <c r="AH650" s="3">
        <f>[1]Results!AK248</f>
        <v>83.383733210000003</v>
      </c>
      <c r="AI650" s="3">
        <f>[1]Results!AL248</f>
        <v>84.134647860000001</v>
      </c>
      <c r="AJ650" s="3">
        <f>[1]Results!AM248</f>
        <v>84.88564298</v>
      </c>
      <c r="AK650" s="3">
        <f>[1]Results!AN248</f>
        <v>85.635853220000001</v>
      </c>
      <c r="AL650" s="3">
        <f>[1]Results!AO248</f>
        <v>86.38416737</v>
      </c>
    </row>
    <row r="651" spans="1:38" x14ac:dyDescent="0.3">
      <c r="B651" s="3" t="str">
        <f>[1]Results!E251</f>
        <v>YG_toe_cfuh_0</v>
      </c>
      <c r="C651" s="3">
        <f>[1]Results!F251</f>
        <v>5.0159870910000004</v>
      </c>
      <c r="D651" s="3">
        <f>[1]Results!G251</f>
        <v>4.9091412520000004</v>
      </c>
      <c r="E651" s="3">
        <f>[1]Results!H251</f>
        <v>4.8081419170000004</v>
      </c>
      <c r="F651" s="3">
        <f>[1]Results!I251</f>
        <v>4.7203907410000001</v>
      </c>
      <c r="G651" s="3">
        <f>[1]Results!J251</f>
        <v>4.6494879989999998</v>
      </c>
      <c r="H651" s="3">
        <f>[1]Results!K251</f>
        <v>4.5968269680000002</v>
      </c>
      <c r="I651" s="3">
        <f>[1]Results!L251</f>
        <v>4.5582502390000004</v>
      </c>
      <c r="J651" s="3">
        <f>[1]Results!M251</f>
        <v>4.5349168249999998</v>
      </c>
      <c r="K651" s="3">
        <f>[1]Results!N251</f>
        <v>4.5234829550000004</v>
      </c>
      <c r="L651" s="3">
        <f>[1]Results!O251</f>
        <v>4.5204301820000001</v>
      </c>
      <c r="M651" s="3">
        <f>[1]Results!P251</f>
        <v>4.5273884310000003</v>
      </c>
      <c r="N651" s="3">
        <f>[1]Results!Q251</f>
        <v>4.5338708649999999</v>
      </c>
      <c r="O651" s="3">
        <f>[1]Results!R251</f>
        <v>4.5433646899999998</v>
      </c>
      <c r="P651" s="3">
        <f>[1]Results!S251</f>
        <v>4.5553290970000004</v>
      </c>
      <c r="Q651" s="3">
        <f>[1]Results!T251</f>
        <v>4.5688419790000001</v>
      </c>
      <c r="R651" s="3">
        <f>[1]Results!U251</f>
        <v>4.582972496</v>
      </c>
      <c r="S651" s="3">
        <f>[1]Results!V251</f>
        <v>4.5969306750000003</v>
      </c>
      <c r="T651" s="3">
        <f>[1]Results!W251</f>
        <v>4.6101906289999999</v>
      </c>
      <c r="U651" s="3">
        <f>[1]Results!X251</f>
        <v>4.6225524179999997</v>
      </c>
      <c r="V651" s="3">
        <f>[1]Results!Y251</f>
        <v>4.6341183150000003</v>
      </c>
      <c r="W651" s="3">
        <f>[1]Results!Z251</f>
        <v>4.6419147609999998</v>
      </c>
      <c r="X651" s="3">
        <f>[1]Results!AA251</f>
        <v>4.6526754710000002</v>
      </c>
      <c r="Y651" s="3">
        <f>[1]Results!AB251</f>
        <v>4.6638426319999997</v>
      </c>
      <c r="Z651" s="3">
        <f>[1]Results!AC251</f>
        <v>4.6755097040000004</v>
      </c>
      <c r="AA651" s="3">
        <f>[1]Results!AD251</f>
        <v>4.6880821429999999</v>
      </c>
      <c r="AB651" s="3">
        <f>[1]Results!AE251</f>
        <v>4.6919708340000001</v>
      </c>
      <c r="AC651" s="3">
        <f>[1]Results!AF251</f>
        <v>4.7025072479999999</v>
      </c>
      <c r="AD651" s="3">
        <f>[1]Results!AG251</f>
        <v>4.7141704100000004</v>
      </c>
      <c r="AE651" s="3">
        <f>[1]Results!AH251</f>
        <v>4.726238919</v>
      </c>
      <c r="AF651" s="3">
        <f>[1]Results!AI251</f>
        <v>4.7388400019999999</v>
      </c>
      <c r="AG651" s="3">
        <f>[1]Results!AJ251</f>
        <v>4.7522685879999997</v>
      </c>
      <c r="AH651" s="3">
        <f>[1]Results!AK251</f>
        <v>4.7667693489999996</v>
      </c>
      <c r="AI651" s="3">
        <f>[1]Results!AL251</f>
        <v>4.782435113</v>
      </c>
      <c r="AJ651" s="3">
        <f>[1]Results!AM251</f>
        <v>4.7991888109999996</v>
      </c>
      <c r="AK651" s="3">
        <f>[1]Results!AN251</f>
        <v>4.8168325239999996</v>
      </c>
      <c r="AL651" s="3">
        <f>[1]Results!AO251</f>
        <v>4.8351289849999999</v>
      </c>
    </row>
    <row r="652" spans="1:38" x14ac:dyDescent="0.3">
      <c r="B652" s="3" t="str">
        <f>[1]Results!E253</f>
        <v>YG_toe_cgas_0</v>
      </c>
      <c r="C652" s="3">
        <f>[1]Results!F253</f>
        <v>2.44830434</v>
      </c>
      <c r="D652" s="3">
        <f>[1]Results!G253</f>
        <v>4.3147918389999997</v>
      </c>
      <c r="E652" s="3">
        <f>[1]Results!H253</f>
        <v>5.7104032660000001</v>
      </c>
      <c r="F652" s="3">
        <f>[1]Results!I253</f>
        <v>6.8424424569999998</v>
      </c>
      <c r="G652" s="3">
        <f>[1]Results!J253</f>
        <v>7.7824758840000001</v>
      </c>
      <c r="H652" s="3">
        <f>[1]Results!K253</f>
        <v>8.5758622199999994</v>
      </c>
      <c r="I652" s="3">
        <f>[1]Results!L253</f>
        <v>9.2512437890000001</v>
      </c>
      <c r="J652" s="3">
        <f>[1]Results!M253</f>
        <v>9.8314771200000006</v>
      </c>
      <c r="K652" s="3">
        <f>[1]Results!N253</f>
        <v>10.332371370000001</v>
      </c>
      <c r="L652" s="3">
        <f>[1]Results!O253</f>
        <v>10.765676450000001</v>
      </c>
      <c r="M652" s="3">
        <f>[1]Results!P253</f>
        <v>11.14426926</v>
      </c>
      <c r="N652" s="3">
        <f>[1]Results!Q253</f>
        <v>11.47754454</v>
      </c>
      <c r="O652" s="3">
        <f>[1]Results!R253</f>
        <v>11.77112578</v>
      </c>
      <c r="P652" s="3">
        <f>[1]Results!S253</f>
        <v>12.03201423</v>
      </c>
      <c r="Q652" s="3">
        <f>[1]Results!T253</f>
        <v>12.26454478</v>
      </c>
      <c r="R652" s="3">
        <f>[1]Results!U253</f>
        <v>12.47164053</v>
      </c>
      <c r="S652" s="3">
        <f>[1]Results!V253</f>
        <v>12.65610616</v>
      </c>
      <c r="T652" s="3">
        <f>[1]Results!W253</f>
        <v>12.8212122</v>
      </c>
      <c r="U652" s="3">
        <f>[1]Results!X253</f>
        <v>12.97091298</v>
      </c>
      <c r="V652" s="3">
        <f>[1]Results!Y253</f>
        <v>13.109619820000001</v>
      </c>
      <c r="W652" s="3">
        <f>[1]Results!Z253</f>
        <v>13.23895856</v>
      </c>
      <c r="X652" s="3">
        <f>[1]Results!AA253</f>
        <v>13.36352417</v>
      </c>
      <c r="Y652" s="3">
        <f>[1]Results!AB253</f>
        <v>13.48832157</v>
      </c>
      <c r="Z652" s="3">
        <f>[1]Results!AC253</f>
        <v>13.615609640000001</v>
      </c>
      <c r="AA652" s="3">
        <f>[1]Results!AD253</f>
        <v>13.747100789999999</v>
      </c>
      <c r="AB652" s="3">
        <f>[1]Results!AE253</f>
        <v>13.87369049</v>
      </c>
      <c r="AC652" s="3">
        <f>[1]Results!AF253</f>
        <v>13.99996554</v>
      </c>
      <c r="AD652" s="3">
        <f>[1]Results!AG253</f>
        <v>14.126556089999999</v>
      </c>
      <c r="AE652" s="3">
        <f>[1]Results!AH253</f>
        <v>14.254090870000001</v>
      </c>
      <c r="AF652" s="3">
        <f>[1]Results!AI253</f>
        <v>14.383760799999999</v>
      </c>
      <c r="AG652" s="3">
        <f>[1]Results!AJ253</f>
        <v>14.516884490000001</v>
      </c>
      <c r="AH652" s="3">
        <f>[1]Results!AK253</f>
        <v>14.65440572</v>
      </c>
      <c r="AI652" s="3">
        <f>[1]Results!AL253</f>
        <v>14.796525730000001</v>
      </c>
      <c r="AJ652" s="3">
        <f>[1]Results!AM253</f>
        <v>14.94268664</v>
      </c>
      <c r="AK652" s="3">
        <f>[1]Results!AN253</f>
        <v>15.09187841</v>
      </c>
      <c r="AL652" s="3">
        <f>[1]Results!AO253</f>
        <v>15.242928129999999</v>
      </c>
    </row>
    <row r="653" spans="1:38" x14ac:dyDescent="0.3">
      <c r="B653" s="3" t="str">
        <f>[1]Results!E259</f>
        <v>YG_toe_cele_0</v>
      </c>
      <c r="C653" s="3">
        <f>[1]Results!F259</f>
        <v>49.428636269999998</v>
      </c>
      <c r="D653" s="3">
        <f>[1]Results!G259</f>
        <v>49.778660209999998</v>
      </c>
      <c r="E653" s="3">
        <f>[1]Results!H259</f>
        <v>50.119860180000003</v>
      </c>
      <c r="F653" s="3">
        <f>[1]Results!I259</f>
        <v>50.596495400000002</v>
      </c>
      <c r="G653" s="3">
        <f>[1]Results!J259</f>
        <v>51.286782299999999</v>
      </c>
      <c r="H653" s="3">
        <f>[1]Results!K259</f>
        <v>52.233820719999997</v>
      </c>
      <c r="I653" s="3">
        <f>[1]Results!L259</f>
        <v>53.410971089999997</v>
      </c>
      <c r="J653" s="3">
        <f>[1]Results!M259</f>
        <v>54.807377610000003</v>
      </c>
      <c r="K653" s="3">
        <f>[1]Results!N259</f>
        <v>56.365369469999997</v>
      </c>
      <c r="L653" s="3">
        <f>[1]Results!O259</f>
        <v>58.006903510000001</v>
      </c>
      <c r="M653" s="3">
        <f>[1]Results!P259</f>
        <v>59.687863120000003</v>
      </c>
      <c r="N653" s="3">
        <f>[1]Results!Q259</f>
        <v>61.291960860000003</v>
      </c>
      <c r="O653" s="3">
        <f>[1]Results!R259</f>
        <v>62.790370379999999</v>
      </c>
      <c r="P653" s="3">
        <f>[1]Results!S259</f>
        <v>64.15820995</v>
      </c>
      <c r="Q653" s="3">
        <f>[1]Results!T259</f>
        <v>65.374538020000003</v>
      </c>
      <c r="R653" s="3">
        <f>[1]Results!U259</f>
        <v>66.427750059999994</v>
      </c>
      <c r="S653" s="3">
        <f>[1]Results!V259</f>
        <v>67.32707723</v>
      </c>
      <c r="T653" s="3">
        <f>[1]Results!W259</f>
        <v>68.100833320000007</v>
      </c>
      <c r="U653" s="3">
        <f>[1]Results!X259</f>
        <v>68.792348360000005</v>
      </c>
      <c r="V653" s="3">
        <f>[1]Results!Y259</f>
        <v>69.453108569999998</v>
      </c>
      <c r="W653" s="3">
        <f>[1]Results!Z259</f>
        <v>70.104034080000005</v>
      </c>
      <c r="X653" s="3">
        <f>[1]Results!AA259</f>
        <v>70.82512509</v>
      </c>
      <c r="Y653" s="3">
        <f>[1]Results!AB259</f>
        <v>71.63538337</v>
      </c>
      <c r="Z653" s="3">
        <f>[1]Results!AC259</f>
        <v>72.551106930000003</v>
      </c>
      <c r="AA653" s="3">
        <f>[1]Results!AD259</f>
        <v>73.583122579999994</v>
      </c>
      <c r="AB653" s="3">
        <f>[1]Results!AE259</f>
        <v>74.628546360000001</v>
      </c>
      <c r="AC653" s="3">
        <f>[1]Results!AF259</f>
        <v>75.789055700000006</v>
      </c>
      <c r="AD653" s="3">
        <f>[1]Results!AG259</f>
        <v>77.013612730000006</v>
      </c>
      <c r="AE653" s="3">
        <f>[1]Results!AH259</f>
        <v>78.27088311</v>
      </c>
      <c r="AF653" s="3">
        <f>[1]Results!AI259</f>
        <v>79.546061530000003</v>
      </c>
      <c r="AG653" s="3">
        <f>[1]Results!AJ259</f>
        <v>80.833340489999998</v>
      </c>
      <c r="AH653" s="3">
        <f>[1]Results!AK259</f>
        <v>82.129182389999997</v>
      </c>
      <c r="AI653" s="3">
        <f>[1]Results!AL259</f>
        <v>83.427925819999999</v>
      </c>
      <c r="AJ653" s="3">
        <f>[1]Results!AM259</f>
        <v>84.720505770000003</v>
      </c>
      <c r="AK653" s="3">
        <f>[1]Results!AN259</f>
        <v>85.996054060000006</v>
      </c>
      <c r="AL653" s="3">
        <f>[1]Results!AO259</f>
        <v>87.242933980000004</v>
      </c>
    </row>
    <row r="654" spans="1:38" x14ac:dyDescent="0.3">
      <c r="B654" s="3" t="s">
        <v>49</v>
      </c>
      <c r="C654" s="3">
        <f>SUM(C655:C657)</f>
        <v>27.370118527000002</v>
      </c>
      <c r="D654" s="3">
        <f t="shared" ref="D654:AL654" si="127">SUM(D655:D657)</f>
        <v>27.182664620000001</v>
      </c>
      <c r="E654" s="3">
        <f t="shared" si="127"/>
        <v>27.053104533000003</v>
      </c>
      <c r="F654" s="3">
        <f t="shared" si="127"/>
        <v>27.001772362000001</v>
      </c>
      <c r="G654" s="3">
        <f t="shared" si="127"/>
        <v>27.036416369000001</v>
      </c>
      <c r="H654" s="3">
        <f t="shared" si="127"/>
        <v>27.158455019999998</v>
      </c>
      <c r="I654" s="3">
        <f t="shared" si="127"/>
        <v>27.342077332999999</v>
      </c>
      <c r="J654" s="3">
        <f t="shared" si="127"/>
        <v>27.589778164000002</v>
      </c>
      <c r="K654" s="3">
        <f t="shared" si="127"/>
        <v>27.886084553000003</v>
      </c>
      <c r="L654" s="3">
        <f t="shared" si="127"/>
        <v>28.212764270000001</v>
      </c>
      <c r="M654" s="3">
        <f t="shared" si="127"/>
        <v>28.581521600000002</v>
      </c>
      <c r="N654" s="3">
        <f t="shared" si="127"/>
        <v>28.934944371</v>
      </c>
      <c r="O654" s="3">
        <f t="shared" si="127"/>
        <v>29.285220510999999</v>
      </c>
      <c r="P654" s="3">
        <f t="shared" si="127"/>
        <v>29.631948915000002</v>
      </c>
      <c r="Q654" s="3">
        <f t="shared" si="127"/>
        <v>29.971395674</v>
      </c>
      <c r="R654" s="3">
        <f t="shared" si="127"/>
        <v>30.299209773000001</v>
      </c>
      <c r="S654" s="3">
        <f t="shared" si="127"/>
        <v>30.613618326000001</v>
      </c>
      <c r="T654" s="3">
        <f t="shared" si="127"/>
        <v>30.915742428000001</v>
      </c>
      <c r="U654" s="3">
        <f t="shared" si="127"/>
        <v>31.209339689</v>
      </c>
      <c r="V654" s="3">
        <f t="shared" si="127"/>
        <v>31.499959347000001</v>
      </c>
      <c r="W654" s="3">
        <f t="shared" si="127"/>
        <v>31.773114617000005</v>
      </c>
      <c r="X654" s="3">
        <f t="shared" si="127"/>
        <v>32.068031028999997</v>
      </c>
      <c r="Y654" s="3">
        <f t="shared" si="127"/>
        <v>32.376232610000002</v>
      </c>
      <c r="Z654" s="3">
        <f t="shared" si="127"/>
        <v>32.697849093000002</v>
      </c>
      <c r="AA654" s="3">
        <f t="shared" si="127"/>
        <v>33.034532638000002</v>
      </c>
      <c r="AB654" s="3">
        <f t="shared" si="127"/>
        <v>33.323970314999997</v>
      </c>
      <c r="AC654" s="3">
        <f t="shared" si="127"/>
        <v>33.647820043999999</v>
      </c>
      <c r="AD654" s="3">
        <f t="shared" si="127"/>
        <v>33.983334198999998</v>
      </c>
      <c r="AE654" s="3">
        <f t="shared" si="127"/>
        <v>34.323750301000004</v>
      </c>
      <c r="AF654" s="3">
        <f t="shared" si="127"/>
        <v>34.667979547999998</v>
      </c>
      <c r="AG654" s="3">
        <f t="shared" si="127"/>
        <v>35.016950375999997</v>
      </c>
      <c r="AH654" s="3">
        <f t="shared" si="127"/>
        <v>35.371634979</v>
      </c>
      <c r="AI654" s="3">
        <f t="shared" si="127"/>
        <v>35.732084212000004</v>
      </c>
      <c r="AJ654" s="3">
        <f t="shared" si="127"/>
        <v>36.097238529999998</v>
      </c>
      <c r="AK654" s="3">
        <f t="shared" si="127"/>
        <v>36.465329463000003</v>
      </c>
      <c r="AL654" s="3">
        <f t="shared" si="127"/>
        <v>36.833982562000003</v>
      </c>
    </row>
    <row r="655" spans="1:38" x14ac:dyDescent="0.3">
      <c r="B655" s="3" t="str">
        <f>[1]Results!E269</f>
        <v>YG_toe_chea_0</v>
      </c>
      <c r="C655" s="3">
        <f>[1]Results!F269</f>
        <v>3.5782539770000001</v>
      </c>
      <c r="D655" s="3">
        <f>[1]Results!G269</f>
        <v>3.6049663600000001</v>
      </c>
      <c r="E655" s="3">
        <f>[1]Results!H269</f>
        <v>3.6353219330000002</v>
      </c>
      <c r="F655" s="3">
        <f>[1]Results!I269</f>
        <v>3.6750157219999999</v>
      </c>
      <c r="G655" s="3">
        <f>[1]Results!J269</f>
        <v>3.7249350689999998</v>
      </c>
      <c r="H655" s="3">
        <f>[1]Results!K269</f>
        <v>3.7848788199999999</v>
      </c>
      <c r="I655" s="3">
        <f>[1]Results!L269</f>
        <v>3.8516340929999999</v>
      </c>
      <c r="J655" s="3">
        <f>[1]Results!M269</f>
        <v>3.9236026640000001</v>
      </c>
      <c r="K655" s="3">
        <f>[1]Results!N269</f>
        <v>3.998704263</v>
      </c>
      <c r="L655" s="3">
        <f>[1]Results!O269</f>
        <v>4.0744363400000001</v>
      </c>
      <c r="M655" s="3">
        <f>[1]Results!P269</f>
        <v>4.1512327899999999</v>
      </c>
      <c r="N655" s="3">
        <f>[1]Results!Q269</f>
        <v>4.2258358510000003</v>
      </c>
      <c r="O655" s="3">
        <f>[1]Results!R269</f>
        <v>4.2970397010000001</v>
      </c>
      <c r="P655" s="3">
        <f>[1]Results!S269</f>
        <v>4.3654991650000001</v>
      </c>
      <c r="Q655" s="3">
        <f>[1]Results!T269</f>
        <v>4.431192544</v>
      </c>
      <c r="R655" s="3">
        <f>[1]Results!U269</f>
        <v>4.4935874130000002</v>
      </c>
      <c r="S655" s="3">
        <f>[1]Results!V269</f>
        <v>4.5527326060000002</v>
      </c>
      <c r="T655" s="3">
        <f>[1]Results!W269</f>
        <v>4.6092065580000003</v>
      </c>
      <c r="U655" s="3">
        <f>[1]Results!X269</f>
        <v>4.6640265589999998</v>
      </c>
      <c r="V655" s="3">
        <f>[1]Results!Y269</f>
        <v>4.7184539369999996</v>
      </c>
      <c r="W655" s="3">
        <f>[1]Results!Z269</f>
        <v>4.7718723670000003</v>
      </c>
      <c r="X655" s="3">
        <f>[1]Results!AA269</f>
        <v>4.8263895789999998</v>
      </c>
      <c r="Y655" s="3">
        <f>[1]Results!AB269</f>
        <v>4.8831865700000003</v>
      </c>
      <c r="Z655" s="3">
        <f>[1]Results!AC269</f>
        <v>4.9421543129999996</v>
      </c>
      <c r="AA655" s="3">
        <f>[1]Results!AD269</f>
        <v>5.0032914980000003</v>
      </c>
      <c r="AB655" s="3">
        <f>[1]Results!AE269</f>
        <v>5.0604307449999997</v>
      </c>
      <c r="AC655" s="3">
        <f>[1]Results!AF269</f>
        <v>5.1172946240000003</v>
      </c>
      <c r="AD655" s="3">
        <f>[1]Results!AG269</f>
        <v>5.1748659889999997</v>
      </c>
      <c r="AE655" s="3">
        <f>[1]Results!AH269</f>
        <v>5.2324951310000003</v>
      </c>
      <c r="AF655" s="3">
        <f>[1]Results!AI269</f>
        <v>5.2900822280000002</v>
      </c>
      <c r="AG655" s="3">
        <f>[1]Results!AJ269</f>
        <v>5.3478749560000001</v>
      </c>
      <c r="AH655" s="3">
        <f>[1]Results!AK269</f>
        <v>5.4061419390000003</v>
      </c>
      <c r="AI655" s="3">
        <f>[1]Results!AL269</f>
        <v>5.4649669919999999</v>
      </c>
      <c r="AJ655" s="3">
        <f>[1]Results!AM269</f>
        <v>5.5242000100000004</v>
      </c>
      <c r="AK655" s="3">
        <f>[1]Results!AN269</f>
        <v>5.5835365030000004</v>
      </c>
      <c r="AL655" s="3">
        <f>[1]Results!AO269</f>
        <v>5.6423736519999999</v>
      </c>
    </row>
    <row r="656" spans="1:38" x14ac:dyDescent="0.3">
      <c r="B656" s="3" t="str">
        <f>[1]Results!E271</f>
        <v>YG_toe_cbio_0</v>
      </c>
      <c r="C656" s="3">
        <f>[1]Results!F271</f>
        <v>11.16292316</v>
      </c>
      <c r="D656" s="3">
        <f>[1]Results!G271</f>
        <v>11.197930769999999</v>
      </c>
      <c r="E656" s="3">
        <f>[1]Results!H271</f>
        <v>11.20919194</v>
      </c>
      <c r="F656" s="3">
        <f>[1]Results!I271</f>
        <v>11.22123625</v>
      </c>
      <c r="G656" s="3">
        <f>[1]Results!J271</f>
        <v>11.24580572</v>
      </c>
      <c r="H656" s="3">
        <f>[1]Results!K271</f>
        <v>11.28896076</v>
      </c>
      <c r="I656" s="3">
        <f>[1]Results!L271</f>
        <v>11.34623249</v>
      </c>
      <c r="J656" s="3">
        <f>[1]Results!M271</f>
        <v>11.41903321</v>
      </c>
      <c r="K656" s="3">
        <f>[1]Results!N271</f>
        <v>11.503820060000001</v>
      </c>
      <c r="L656" s="3">
        <f>[1]Results!O271</f>
        <v>11.59546271</v>
      </c>
      <c r="M656" s="3">
        <f>[1]Results!P271</f>
        <v>11.69735828</v>
      </c>
      <c r="N656" s="3">
        <f>[1]Results!Q271</f>
        <v>11.79290084</v>
      </c>
      <c r="O656" s="3">
        <f>[1]Results!R271</f>
        <v>11.88311328</v>
      </c>
      <c r="P656" s="3">
        <f>[1]Results!S271</f>
        <v>11.967704790000001</v>
      </c>
      <c r="Q656" s="3">
        <f>[1]Results!T271</f>
        <v>12.04549742</v>
      </c>
      <c r="R656" s="3">
        <f>[1]Results!U271</f>
        <v>12.11532012</v>
      </c>
      <c r="S656" s="3">
        <f>[1]Results!V271</f>
        <v>12.177140830000001</v>
      </c>
      <c r="T656" s="3">
        <f>[1]Results!W271</f>
        <v>12.23208447</v>
      </c>
      <c r="U656" s="3">
        <f>[1]Results!X271</f>
        <v>12.282228569999999</v>
      </c>
      <c r="V656" s="3">
        <f>[1]Results!Y271</f>
        <v>12.330240180000001</v>
      </c>
      <c r="W656" s="3">
        <f>[1]Results!Z271</f>
        <v>12.3727274</v>
      </c>
      <c r="X656" s="3">
        <f>[1]Results!AA271</f>
        <v>12.42129804</v>
      </c>
      <c r="Y656" s="3">
        <f>[1]Results!AB271</f>
        <v>12.47545991</v>
      </c>
      <c r="Z656" s="3">
        <f>[1]Results!AC271</f>
        <v>12.5355048</v>
      </c>
      <c r="AA656" s="3">
        <f>[1]Results!AD271</f>
        <v>12.60208005</v>
      </c>
      <c r="AB656" s="3">
        <f>[1]Results!AE271</f>
        <v>12.65683295</v>
      </c>
      <c r="AC656" s="3">
        <f>[1]Results!AF271</f>
        <v>12.721149909999999</v>
      </c>
      <c r="AD656" s="3">
        <f>[1]Results!AG271</f>
        <v>12.790912609999999</v>
      </c>
      <c r="AE656" s="3">
        <f>[1]Results!AH271</f>
        <v>12.863687430000001</v>
      </c>
      <c r="AF656" s="3">
        <f>[1]Results!AI271</f>
        <v>12.93867693</v>
      </c>
      <c r="AG656" s="3">
        <f>[1]Results!AJ271</f>
        <v>13.01572532</v>
      </c>
      <c r="AH656" s="3">
        <f>[1]Results!AK271</f>
        <v>13.094743749999999</v>
      </c>
      <c r="AI656" s="3">
        <f>[1]Results!AL271</f>
        <v>13.17543588</v>
      </c>
      <c r="AJ656" s="3">
        <f>[1]Results!AM271</f>
        <v>13.25724932</v>
      </c>
      <c r="AK656" s="3">
        <f>[1]Results!AN271</f>
        <v>13.339494950000001</v>
      </c>
      <c r="AL656" s="3">
        <f>[1]Results!AO271</f>
        <v>13.42133171</v>
      </c>
    </row>
    <row r="657" spans="1:38" x14ac:dyDescent="0.3">
      <c r="B657" s="3" t="str">
        <f>[1]Results!E274</f>
        <v>YG_toe_cote_0</v>
      </c>
      <c r="C657" s="3">
        <f>[1]Results!F274</f>
        <v>12.62894139</v>
      </c>
      <c r="D657" s="3">
        <f>[1]Results!G274</f>
        <v>12.379767490000001</v>
      </c>
      <c r="E657" s="3">
        <f>[1]Results!H274</f>
        <v>12.20859066</v>
      </c>
      <c r="F657" s="3">
        <f>[1]Results!I274</f>
        <v>12.105520390000001</v>
      </c>
      <c r="G657" s="3">
        <f>[1]Results!J274</f>
        <v>12.065675580000001</v>
      </c>
      <c r="H657" s="3">
        <f>[1]Results!K274</f>
        <v>12.08461544</v>
      </c>
      <c r="I657" s="3">
        <f>[1]Results!L274</f>
        <v>12.144210749999999</v>
      </c>
      <c r="J657" s="3">
        <f>[1]Results!M274</f>
        <v>12.247142289999999</v>
      </c>
      <c r="K657" s="3">
        <f>[1]Results!N274</f>
        <v>12.383560230000001</v>
      </c>
      <c r="L657" s="3">
        <f>[1]Results!O274</f>
        <v>12.542865219999999</v>
      </c>
      <c r="M657" s="3">
        <f>[1]Results!P274</f>
        <v>12.732930530000001</v>
      </c>
      <c r="N657" s="3">
        <f>[1]Results!Q274</f>
        <v>12.916207679999999</v>
      </c>
      <c r="O657" s="3">
        <f>[1]Results!R274</f>
        <v>13.105067529999999</v>
      </c>
      <c r="P657" s="3">
        <f>[1]Results!S274</f>
        <v>13.298744960000001</v>
      </c>
      <c r="Q657" s="3">
        <f>[1]Results!T274</f>
        <v>13.49470571</v>
      </c>
      <c r="R657" s="3">
        <f>[1]Results!U274</f>
        <v>13.690302239999999</v>
      </c>
      <c r="S657" s="3">
        <f>[1]Results!V274</f>
        <v>13.883744889999999</v>
      </c>
      <c r="T657" s="3">
        <f>[1]Results!W274</f>
        <v>14.074451399999999</v>
      </c>
      <c r="U657" s="3">
        <f>[1]Results!X274</f>
        <v>14.263084559999999</v>
      </c>
      <c r="V657" s="3">
        <f>[1]Results!Y274</f>
        <v>14.451265230000001</v>
      </c>
      <c r="W657" s="3">
        <f>[1]Results!Z274</f>
        <v>14.62851485</v>
      </c>
      <c r="X657" s="3">
        <f>[1]Results!AA274</f>
        <v>14.82034341</v>
      </c>
      <c r="Y657" s="3">
        <f>[1]Results!AB274</f>
        <v>15.01758613</v>
      </c>
      <c r="Z657" s="3">
        <f>[1]Results!AC274</f>
        <v>15.220189980000001</v>
      </c>
      <c r="AA657" s="3">
        <f>[1]Results!AD274</f>
        <v>15.429161089999999</v>
      </c>
      <c r="AB657" s="3">
        <f>[1]Results!AE274</f>
        <v>15.606706620000001</v>
      </c>
      <c r="AC657" s="3">
        <f>[1]Results!AF274</f>
        <v>15.809375510000001</v>
      </c>
      <c r="AD657" s="3">
        <f>[1]Results!AG274</f>
        <v>16.017555600000001</v>
      </c>
      <c r="AE657" s="3">
        <f>[1]Results!AH274</f>
        <v>16.227567740000001</v>
      </c>
      <c r="AF657" s="3">
        <f>[1]Results!AI274</f>
        <v>16.439220389999999</v>
      </c>
      <c r="AG657" s="3">
        <f>[1]Results!AJ274</f>
        <v>16.653350100000001</v>
      </c>
      <c r="AH657" s="3">
        <f>[1]Results!AK274</f>
        <v>16.870749289999999</v>
      </c>
      <c r="AI657" s="3">
        <f>[1]Results!AL274</f>
        <v>17.091681340000001</v>
      </c>
      <c r="AJ657" s="3">
        <f>[1]Results!AM274</f>
        <v>17.315789200000001</v>
      </c>
      <c r="AK657" s="3">
        <f>[1]Results!AN274</f>
        <v>17.54229801</v>
      </c>
      <c r="AL657" s="3">
        <f>[1]Results!AO274</f>
        <v>17.770277199999999</v>
      </c>
    </row>
    <row r="658" spans="1:38" x14ac:dyDescent="0.3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 spans="1:38" x14ac:dyDescent="0.3">
      <c r="A659" s="12" t="s">
        <v>68</v>
      </c>
      <c r="C659" s="2">
        <v>42005</v>
      </c>
      <c r="D659" s="2">
        <v>42370</v>
      </c>
      <c r="E659" s="2">
        <v>42736</v>
      </c>
      <c r="F659" s="2">
        <v>43101</v>
      </c>
      <c r="G659" s="2">
        <v>43466</v>
      </c>
      <c r="H659" s="2">
        <v>43831</v>
      </c>
      <c r="I659" s="2">
        <v>44197</v>
      </c>
      <c r="J659" s="2">
        <v>44562</v>
      </c>
      <c r="K659" s="2">
        <v>44927</v>
      </c>
      <c r="L659" s="2">
        <v>45292</v>
      </c>
      <c r="M659" s="2">
        <v>45658</v>
      </c>
      <c r="N659" s="2">
        <v>46023</v>
      </c>
      <c r="O659" s="2">
        <v>46388</v>
      </c>
      <c r="P659" s="2">
        <v>46753</v>
      </c>
      <c r="Q659" s="2">
        <v>47119</v>
      </c>
      <c r="R659" s="2">
        <v>47484</v>
      </c>
      <c r="S659" s="2">
        <v>47849</v>
      </c>
      <c r="T659" s="2">
        <v>48214</v>
      </c>
      <c r="U659" s="2">
        <v>48580</v>
      </c>
      <c r="V659" s="2">
        <v>48945</v>
      </c>
      <c r="W659" s="2">
        <v>49310</v>
      </c>
      <c r="X659" s="2">
        <v>49675</v>
      </c>
      <c r="Y659" s="2">
        <v>50041</v>
      </c>
      <c r="Z659" s="2">
        <v>50406</v>
      </c>
      <c r="AA659" s="2">
        <v>50771</v>
      </c>
      <c r="AB659" s="2">
        <v>51136</v>
      </c>
      <c r="AC659" s="2">
        <v>51502</v>
      </c>
      <c r="AD659" s="2">
        <v>51867</v>
      </c>
      <c r="AE659" s="2">
        <v>52232</v>
      </c>
      <c r="AF659" s="2">
        <v>52597</v>
      </c>
      <c r="AG659" s="2">
        <v>52963</v>
      </c>
      <c r="AH659" s="2">
        <v>53328</v>
      </c>
      <c r="AI659" s="2">
        <v>53693</v>
      </c>
      <c r="AJ659" s="2">
        <v>54058</v>
      </c>
      <c r="AK659" s="2">
        <v>54424</v>
      </c>
      <c r="AL659" s="2">
        <v>54789</v>
      </c>
    </row>
    <row r="660" spans="1:38" x14ac:dyDescent="0.3">
      <c r="A660" t="s">
        <v>69</v>
      </c>
      <c r="B660" t="s">
        <v>92</v>
      </c>
      <c r="C660" s="4">
        <f>C633/C646-1</f>
        <v>0</v>
      </c>
      <c r="D660" s="4">
        <f t="shared" ref="D660" si="128">D633/D646-1</f>
        <v>0</v>
      </c>
      <c r="E660" s="4">
        <f t="shared" ref="E660:AL660" si="129">E633/E646-1</f>
        <v>0</v>
      </c>
      <c r="F660" s="4">
        <f t="shared" si="129"/>
        <v>0</v>
      </c>
      <c r="G660" s="4">
        <f t="shared" si="129"/>
        <v>0</v>
      </c>
      <c r="H660" s="4">
        <f t="shared" si="129"/>
        <v>0</v>
      </c>
      <c r="I660" s="4">
        <f t="shared" si="129"/>
        <v>1.5680432623452756E-3</v>
      </c>
      <c r="J660" s="4">
        <f t="shared" si="129"/>
        <v>4.7161117783891537E-3</v>
      </c>
      <c r="K660" s="4">
        <f t="shared" si="129"/>
        <v>8.6732412763999012E-3</v>
      </c>
      <c r="L660" s="4">
        <f t="shared" si="129"/>
        <v>1.1311084424208584E-2</v>
      </c>
      <c r="M660" s="4">
        <f t="shared" si="129"/>
        <v>1.11673904927585E-2</v>
      </c>
      <c r="N660" s="4">
        <f t="shared" si="129"/>
        <v>8.3630531128369157E-3</v>
      </c>
      <c r="O660" s="4">
        <f t="shared" si="129"/>
        <v>3.7981241183646652E-3</v>
      </c>
      <c r="P660" s="4">
        <f t="shared" si="129"/>
        <v>-1.1976424158600674E-3</v>
      </c>
      <c r="Q660" s="4">
        <f t="shared" si="129"/>
        <v>-5.4092200319764139E-3</v>
      </c>
      <c r="R660" s="4">
        <f t="shared" si="129"/>
        <v>-8.1324912762001933E-3</v>
      </c>
      <c r="S660" s="4">
        <f t="shared" si="129"/>
        <v>-9.288129300123904E-3</v>
      </c>
      <c r="T660" s="4">
        <f t="shared" si="129"/>
        <v>-9.1760414500577925E-3</v>
      </c>
      <c r="U660" s="4">
        <f t="shared" si="129"/>
        <v>-8.2538442832756909E-3</v>
      </c>
      <c r="V660" s="4">
        <f t="shared" si="129"/>
        <v>-6.9491449849631293E-3</v>
      </c>
      <c r="W660" s="4">
        <f t="shared" si="129"/>
        <v>-5.5731137394324781E-3</v>
      </c>
      <c r="X660" s="4">
        <f t="shared" si="129"/>
        <v>-4.2039802873699017E-3</v>
      </c>
      <c r="Y660" s="4">
        <f t="shared" si="129"/>
        <v>-2.8775434337119377E-3</v>
      </c>
      <c r="Z660" s="4">
        <f t="shared" si="129"/>
        <v>-1.6101371743070247E-3</v>
      </c>
      <c r="AA660" s="4">
        <f t="shared" si="129"/>
        <v>-4.3541141229030966E-4</v>
      </c>
      <c r="AB660" s="4">
        <f t="shared" si="129"/>
        <v>5.6313613379033178E-4</v>
      </c>
      <c r="AC660" s="4">
        <f t="shared" si="129"/>
        <v>1.3322658102370433E-3</v>
      </c>
      <c r="AD660" s="4">
        <f t="shared" si="129"/>
        <v>1.7984912297410727E-3</v>
      </c>
      <c r="AE660" s="4">
        <f t="shared" si="129"/>
        <v>1.9175281422629809E-3</v>
      </c>
      <c r="AF660" s="4">
        <f t="shared" si="129"/>
        <v>1.6933786700064068E-3</v>
      </c>
      <c r="AG660" s="4">
        <f t="shared" si="129"/>
        <v>1.180061515241082E-3</v>
      </c>
      <c r="AH660" s="4">
        <f t="shared" si="129"/>
        <v>4.5987200915309501E-4</v>
      </c>
      <c r="AI660" s="4">
        <f t="shared" si="129"/>
        <v>-3.6516155285115648E-4</v>
      </c>
      <c r="AJ660" s="4">
        <f t="shared" si="129"/>
        <v>-1.1936027853437503E-3</v>
      </c>
      <c r="AK660" s="4">
        <f t="shared" si="129"/>
        <v>-1.9438674506401243E-3</v>
      </c>
      <c r="AL660" s="4">
        <f t="shared" si="129"/>
        <v>-2.5492028734224181E-3</v>
      </c>
    </row>
    <row r="661" spans="1:38" x14ac:dyDescent="0.3">
      <c r="B661" t="s">
        <v>50</v>
      </c>
      <c r="C661" s="4">
        <f>(C634-C647)/C$646</f>
        <v>0</v>
      </c>
      <c r="D661" s="4">
        <f>(D634-D647)/D$646</f>
        <v>0</v>
      </c>
      <c r="E661" s="4">
        <f t="shared" ref="E661:AL661" si="130">(E634-E647)/E$646</f>
        <v>0</v>
      </c>
      <c r="F661" s="4">
        <f t="shared" si="130"/>
        <v>0</v>
      </c>
      <c r="G661" s="4">
        <f t="shared" si="130"/>
        <v>0</v>
      </c>
      <c r="H661" s="4">
        <f t="shared" si="130"/>
        <v>0</v>
      </c>
      <c r="I661" s="4">
        <f t="shared" si="130"/>
        <v>2.5209556721533229E-7</v>
      </c>
      <c r="J661" s="4">
        <f t="shared" si="130"/>
        <v>2.7121637073557519E-5</v>
      </c>
      <c r="K661" s="4">
        <f t="shared" si="130"/>
        <v>7.8533800345707299E-5</v>
      </c>
      <c r="L661" s="4">
        <f t="shared" si="130"/>
        <v>1.3545708717504213E-4</v>
      </c>
      <c r="M661" s="4">
        <f t="shared" si="130"/>
        <v>1.7891361620686418E-4</v>
      </c>
      <c r="N661" s="4">
        <f t="shared" si="130"/>
        <v>2.0123486071539406E-4</v>
      </c>
      <c r="O661" s="4">
        <f t="shared" si="130"/>
        <v>2.0224216901022082E-4</v>
      </c>
      <c r="P661" s="4">
        <f t="shared" si="130"/>
        <v>1.8875980066037373E-4</v>
      </c>
      <c r="Q661" s="4">
        <f t="shared" si="130"/>
        <v>1.6995266079682615E-4</v>
      </c>
      <c r="R661" s="4">
        <f t="shared" si="130"/>
        <v>1.5357692916393272E-4</v>
      </c>
      <c r="S661" s="4">
        <f t="shared" si="130"/>
        <v>1.4386589339575236E-4</v>
      </c>
      <c r="T661" s="4">
        <f t="shared" si="130"/>
        <v>1.4136083538438378E-4</v>
      </c>
      <c r="U661" s="4">
        <f t="shared" si="130"/>
        <v>1.4400129341332908E-4</v>
      </c>
      <c r="V661" s="4">
        <f t="shared" si="130"/>
        <v>1.4874350171105999E-4</v>
      </c>
      <c r="W661" s="4">
        <f t="shared" si="130"/>
        <v>1.5275520099639327E-4</v>
      </c>
      <c r="X661" s="4">
        <f t="shared" si="130"/>
        <v>1.5497850561718636E-4</v>
      </c>
      <c r="Y661" s="4">
        <f t="shared" si="130"/>
        <v>1.5518203051823767E-4</v>
      </c>
      <c r="Z661" s="4">
        <f t="shared" si="130"/>
        <v>1.5392103745138073E-4</v>
      </c>
      <c r="AA661" s="4">
        <f t="shared" si="130"/>
        <v>1.5202121961182169E-4</v>
      </c>
      <c r="AB661" s="4">
        <f t="shared" si="130"/>
        <v>1.4956019523838424E-4</v>
      </c>
      <c r="AC661" s="4">
        <f t="shared" si="130"/>
        <v>1.4768415446430246E-4</v>
      </c>
      <c r="AD661" s="4">
        <f t="shared" si="130"/>
        <v>1.4605981712970364E-4</v>
      </c>
      <c r="AE661" s="4">
        <f t="shared" si="130"/>
        <v>1.4431345616325997E-4</v>
      </c>
      <c r="AF661" s="4">
        <f t="shared" si="130"/>
        <v>1.4211652926461577E-4</v>
      </c>
      <c r="AG661" s="4">
        <f t="shared" si="130"/>
        <v>1.393128548684428E-4</v>
      </c>
      <c r="AH661" s="4">
        <f t="shared" si="130"/>
        <v>1.3597778480189387E-4</v>
      </c>
      <c r="AI661" s="4">
        <f t="shared" si="130"/>
        <v>1.3238809505118846E-4</v>
      </c>
      <c r="AJ661" s="4">
        <f t="shared" si="130"/>
        <v>1.2891070166940477E-4</v>
      </c>
      <c r="AK661" s="4">
        <f t="shared" si="130"/>
        <v>1.2587782648168771E-4</v>
      </c>
      <c r="AL661" s="4">
        <f t="shared" si="130"/>
        <v>1.2350759253494675E-4</v>
      </c>
    </row>
    <row r="662" spans="1:38" x14ac:dyDescent="0.3">
      <c r="B662" t="s">
        <v>48</v>
      </c>
      <c r="C662" s="4">
        <f>(C635-C648)/C$647</f>
        <v>0</v>
      </c>
      <c r="D662" s="4">
        <f>(D635-D648)/D$646</f>
        <v>0</v>
      </c>
      <c r="E662" s="4">
        <f t="shared" ref="E662:AL662" si="131">(E635-E648)/E$646</f>
        <v>0</v>
      </c>
      <c r="F662" s="4">
        <f t="shared" si="131"/>
        <v>0</v>
      </c>
      <c r="G662" s="4">
        <f t="shared" si="131"/>
        <v>0</v>
      </c>
      <c r="H662" s="4">
        <f t="shared" si="131"/>
        <v>0</v>
      </c>
      <c r="I662" s="4">
        <f t="shared" si="131"/>
        <v>8.2420801723757703E-4</v>
      </c>
      <c r="J662" s="4">
        <f t="shared" si="131"/>
        <v>1.4222486118942333E-3</v>
      </c>
      <c r="K662" s="4">
        <f t="shared" si="131"/>
        <v>2.0507100999584147E-3</v>
      </c>
      <c r="L662" s="4">
        <f t="shared" si="131"/>
        <v>2.4640070297513184E-3</v>
      </c>
      <c r="M662" s="4">
        <f t="shared" si="131"/>
        <v>2.4969862288289394E-3</v>
      </c>
      <c r="N662" s="4">
        <f t="shared" si="131"/>
        <v>2.1975554465673165E-3</v>
      </c>
      <c r="O662" s="4">
        <f t="shared" si="131"/>
        <v>1.6907125391546866E-3</v>
      </c>
      <c r="P662" s="4">
        <f t="shared" si="131"/>
        <v>1.1317683525024276E-3</v>
      </c>
      <c r="Q662" s="4">
        <f t="shared" si="131"/>
        <v>6.3833998890497942E-4</v>
      </c>
      <c r="R662" s="4">
        <f t="shared" si="131"/>
        <v>2.6491399382502675E-4</v>
      </c>
      <c r="S662" s="4">
        <f t="shared" si="131"/>
        <v>9.9019262531467165E-6</v>
      </c>
      <c r="T662" s="4">
        <f t="shared" si="131"/>
        <v>-1.5957481737082215E-4</v>
      </c>
      <c r="U662" s="4">
        <f t="shared" si="131"/>
        <v>-2.8308450656360282E-4</v>
      </c>
      <c r="V662" s="4">
        <f t="shared" si="131"/>
        <v>-3.894518845916615E-4</v>
      </c>
      <c r="W662" s="4">
        <f t="shared" si="131"/>
        <v>-4.9214750819039825E-4</v>
      </c>
      <c r="X662" s="4">
        <f t="shared" si="131"/>
        <v>-5.8203598526044946E-4</v>
      </c>
      <c r="Y662" s="4">
        <f t="shared" si="131"/>
        <v>-6.4948707717169603E-4</v>
      </c>
      <c r="Z662" s="4">
        <f t="shared" si="131"/>
        <v>-6.8605778557152114E-4</v>
      </c>
      <c r="AA662" s="4">
        <f t="shared" si="131"/>
        <v>-6.8982245515015518E-4</v>
      </c>
      <c r="AB662" s="4">
        <f t="shared" si="131"/>
        <v>-6.691792003017499E-4</v>
      </c>
      <c r="AC662" s="4">
        <f t="shared" si="131"/>
        <v>-6.3130650529266176E-4</v>
      </c>
      <c r="AD662" s="4">
        <f t="shared" si="131"/>
        <v>-5.8826317195433391E-4</v>
      </c>
      <c r="AE662" s="4">
        <f t="shared" si="131"/>
        <v>-5.5069095880041325E-4</v>
      </c>
      <c r="AF662" s="4">
        <f t="shared" si="131"/>
        <v>-5.2520393550578635E-4</v>
      </c>
      <c r="AG662" s="4">
        <f t="shared" si="131"/>
        <v>-5.1373368396880547E-4</v>
      </c>
      <c r="AH662" s="4">
        <f t="shared" si="131"/>
        <v>-5.1476833119287941E-4</v>
      </c>
      <c r="AI662" s="4">
        <f t="shared" si="131"/>
        <v>-5.2500040551808219E-4</v>
      </c>
      <c r="AJ662" s="4">
        <f t="shared" si="131"/>
        <v>-5.41013031558051E-4</v>
      </c>
      <c r="AK662" s="4">
        <f t="shared" si="131"/>
        <v>-5.6037296030202492E-4</v>
      </c>
      <c r="AL662" s="4">
        <f t="shared" si="131"/>
        <v>-5.8165110827406417E-4</v>
      </c>
    </row>
    <row r="663" spans="1:38" x14ac:dyDescent="0.3">
      <c r="B663" t="s">
        <v>81</v>
      </c>
      <c r="C663" s="4">
        <f>(C639-C652)/C$646</f>
        <v>0</v>
      </c>
      <c r="D663" s="4">
        <f>(D639-D652)/D$646</f>
        <v>0</v>
      </c>
      <c r="E663" s="4">
        <f t="shared" ref="E663:AL663" si="132">(E639-E652)/E$646</f>
        <v>0</v>
      </c>
      <c r="F663" s="4">
        <f t="shared" si="132"/>
        <v>0</v>
      </c>
      <c r="G663" s="4">
        <f t="shared" si="132"/>
        <v>0</v>
      </c>
      <c r="H663" s="4">
        <f t="shared" si="132"/>
        <v>0</v>
      </c>
      <c r="I663" s="4">
        <f t="shared" si="132"/>
        <v>9.1285546875548309E-5</v>
      </c>
      <c r="J663" s="4">
        <f t="shared" si="132"/>
        <v>4.5720664157504698E-4</v>
      </c>
      <c r="K663" s="4">
        <f t="shared" si="132"/>
        <v>8.7647507880549548E-4</v>
      </c>
      <c r="L663" s="4">
        <f t="shared" si="132"/>
        <v>1.1280319974402652E-3</v>
      </c>
      <c r="M663" s="4">
        <f t="shared" si="132"/>
        <v>1.1134974170528226E-3</v>
      </c>
      <c r="N663" s="4">
        <f t="shared" si="132"/>
        <v>8.8356546246445259E-4</v>
      </c>
      <c r="O663" s="4">
        <f t="shared" si="132"/>
        <v>5.2735168933231889E-4</v>
      </c>
      <c r="P663" s="4">
        <f t="shared" si="132"/>
        <v>1.5304577315001803E-4</v>
      </c>
      <c r="Q663" s="4">
        <f t="shared" si="132"/>
        <v>-1.5612621954513728E-4</v>
      </c>
      <c r="R663" s="4">
        <f t="shared" si="132"/>
        <v>-3.6378395202767095E-4</v>
      </c>
      <c r="S663" s="4">
        <f t="shared" si="132"/>
        <v>-4.7641723349458801E-4</v>
      </c>
      <c r="T663" s="4">
        <f t="shared" si="132"/>
        <v>-5.2201486715140006E-4</v>
      </c>
      <c r="U663" s="4">
        <f t="shared" si="132"/>
        <v>-5.3246896958888664E-4</v>
      </c>
      <c r="V663" s="4">
        <f t="shared" si="132"/>
        <v>-5.3121569945495828E-4</v>
      </c>
      <c r="W663" s="4">
        <f t="shared" si="132"/>
        <v>-5.303905719413666E-4</v>
      </c>
      <c r="X663" s="4">
        <f t="shared" si="132"/>
        <v>-5.2390817314080151E-4</v>
      </c>
      <c r="Y663" s="4">
        <f t="shared" si="132"/>
        <v>-5.0661767117979686E-4</v>
      </c>
      <c r="Z663" s="4">
        <f t="shared" si="132"/>
        <v>-4.7468390964379708E-4</v>
      </c>
      <c r="AA663" s="4">
        <f t="shared" si="132"/>
        <v>-4.2850806544586772E-4</v>
      </c>
      <c r="AB663" s="4">
        <f t="shared" si="132"/>
        <v>-3.7569506120009268E-4</v>
      </c>
      <c r="AC663" s="4">
        <f t="shared" si="132"/>
        <v>-3.1969914459054961E-4</v>
      </c>
      <c r="AD663" s="4">
        <f t="shared" si="132"/>
        <v>-2.6910242205461355E-4</v>
      </c>
      <c r="AE663" s="4">
        <f t="shared" si="132"/>
        <v>-2.3026143377938968E-4</v>
      </c>
      <c r="AF663" s="4">
        <f t="shared" si="132"/>
        <v>-2.0606505497916473E-4</v>
      </c>
      <c r="AG663" s="4">
        <f t="shared" si="132"/>
        <v>-1.9585738807917046E-4</v>
      </c>
      <c r="AH663" s="4">
        <f t="shared" si="132"/>
        <v>-1.9689443454345894E-4</v>
      </c>
      <c r="AI663" s="4">
        <f t="shared" si="132"/>
        <v>-2.0514981038983606E-4</v>
      </c>
      <c r="AJ663" s="4">
        <f t="shared" si="132"/>
        <v>-2.166151351601652E-4</v>
      </c>
      <c r="AK663" s="4">
        <f t="shared" si="132"/>
        <v>-2.2830357182427891E-4</v>
      </c>
      <c r="AL663" s="4">
        <f t="shared" si="132"/>
        <v>-2.3781741017550628E-4</v>
      </c>
    </row>
    <row r="664" spans="1:38" x14ac:dyDescent="0.3">
      <c r="B664" t="s">
        <v>11</v>
      </c>
      <c r="C664" s="4">
        <f>(C640-C653)/C$647</f>
        <v>0</v>
      </c>
      <c r="D664" s="4">
        <f>(D640-D653)/D$646</f>
        <v>0</v>
      </c>
      <c r="E664" s="4">
        <f t="shared" ref="E664:AL664" si="133">(E640-E653)/E$646</f>
        <v>0</v>
      </c>
      <c r="F664" s="4">
        <f t="shared" si="133"/>
        <v>0</v>
      </c>
      <c r="G664" s="4">
        <f t="shared" si="133"/>
        <v>0</v>
      </c>
      <c r="H664" s="4">
        <f t="shared" si="133"/>
        <v>0</v>
      </c>
      <c r="I664" s="4">
        <f t="shared" si="133"/>
        <v>5.7170896376968524E-4</v>
      </c>
      <c r="J664" s="4">
        <f t="shared" si="133"/>
        <v>2.3921562752687122E-3</v>
      </c>
      <c r="K664" s="4">
        <f t="shared" si="133"/>
        <v>4.7748338504364357E-3</v>
      </c>
      <c r="L664" s="4">
        <f t="shared" si="133"/>
        <v>6.3658821340944636E-3</v>
      </c>
      <c r="M664" s="4">
        <f t="shared" si="133"/>
        <v>6.186644160607835E-3</v>
      </c>
      <c r="N664" s="4">
        <f t="shared" si="133"/>
        <v>4.2575469251838038E-3</v>
      </c>
      <c r="O664" s="4">
        <f t="shared" si="133"/>
        <v>1.1490414544087003E-3</v>
      </c>
      <c r="P664" s="4">
        <f t="shared" si="133"/>
        <v>-2.2484802403306414E-3</v>
      </c>
      <c r="Q664" s="4">
        <f t="shared" si="133"/>
        <v>-5.0835514788382628E-3</v>
      </c>
      <c r="R664" s="4">
        <f t="shared" si="133"/>
        <v>-6.8380881305686982E-3</v>
      </c>
      <c r="S664" s="4">
        <f t="shared" si="133"/>
        <v>-7.4338690292659639E-3</v>
      </c>
      <c r="T664" s="4">
        <f t="shared" si="133"/>
        <v>-7.0688237017544472E-3</v>
      </c>
      <c r="U664" s="4">
        <f t="shared" si="133"/>
        <v>-6.067781386675887E-3</v>
      </c>
      <c r="V664" s="4">
        <f t="shared" si="133"/>
        <v>-4.751762045199605E-3</v>
      </c>
      <c r="W664" s="4">
        <f t="shared" si="133"/>
        <v>-3.3698893589523687E-3</v>
      </c>
      <c r="X664" s="4">
        <f t="shared" si="133"/>
        <v>-2.0135352051112252E-3</v>
      </c>
      <c r="Y664" s="4">
        <f t="shared" si="133"/>
        <v>-7.3614540594465767E-4</v>
      </c>
      <c r="Z664" s="4">
        <f t="shared" si="133"/>
        <v>4.2985639513538947E-4</v>
      </c>
      <c r="AA664" s="4">
        <f t="shared" si="133"/>
        <v>1.4499961143518687E-3</v>
      </c>
      <c r="AB664" s="4">
        <f t="shared" si="133"/>
        <v>2.2664187297300824E-3</v>
      </c>
      <c r="AC664" s="4">
        <f t="shared" si="133"/>
        <v>2.8434135614867264E-3</v>
      </c>
      <c r="AD664" s="4">
        <f t="shared" si="133"/>
        <v>3.1397804413765781E-3</v>
      </c>
      <c r="AE664" s="4">
        <f t="shared" si="133"/>
        <v>3.1367663472276338E-3</v>
      </c>
      <c r="AF664" s="4">
        <f t="shared" si="133"/>
        <v>2.8509110560026594E-3</v>
      </c>
      <c r="AG664" s="4">
        <f t="shared" si="133"/>
        <v>2.3343769311475293E-3</v>
      </c>
      <c r="AH664" s="4">
        <f t="shared" si="133"/>
        <v>1.6588721121423638E-3</v>
      </c>
      <c r="AI664" s="4">
        <f t="shared" si="133"/>
        <v>9.0974584653422922E-4</v>
      </c>
      <c r="AJ664" s="4">
        <f t="shared" si="133"/>
        <v>1.7095370310637442E-4</v>
      </c>
      <c r="AK664" s="4">
        <f t="shared" si="133"/>
        <v>-4.8953189950706603E-4</v>
      </c>
      <c r="AL664" s="4">
        <f t="shared" si="133"/>
        <v>-1.0166684264860839E-3</v>
      </c>
    </row>
    <row r="665" spans="1:38" x14ac:dyDescent="0.3">
      <c r="B665" t="s">
        <v>49</v>
      </c>
      <c r="C665" s="4">
        <f>(C641-C654)/C$648</f>
        <v>0</v>
      </c>
      <c r="D665" s="4">
        <f>(D641-D654)/D$646</f>
        <v>0</v>
      </c>
      <c r="E665" s="4">
        <f t="shared" ref="E665:AL665" si="134">(E641-E654)/E$646</f>
        <v>0</v>
      </c>
      <c r="F665" s="4">
        <f t="shared" si="134"/>
        <v>0</v>
      </c>
      <c r="G665" s="4">
        <f t="shared" si="134"/>
        <v>0</v>
      </c>
      <c r="H665" s="4">
        <f t="shared" si="134"/>
        <v>0</v>
      </c>
      <c r="I665" s="4">
        <f t="shared" si="134"/>
        <v>8.0588918881483335E-5</v>
      </c>
      <c r="J665" s="4">
        <f t="shared" si="134"/>
        <v>4.1737905919906633E-4</v>
      </c>
      <c r="K665" s="4">
        <f t="shared" si="134"/>
        <v>8.9268868305191938E-4</v>
      </c>
      <c r="L665" s="4">
        <f t="shared" si="134"/>
        <v>1.2177058120673304E-3</v>
      </c>
      <c r="M665" s="4">
        <f t="shared" si="134"/>
        <v>1.1913494490171856E-3</v>
      </c>
      <c r="N665" s="4">
        <f t="shared" si="134"/>
        <v>8.2315003252586322E-4</v>
      </c>
      <c r="O665" s="4">
        <f t="shared" si="134"/>
        <v>2.2877604570092629E-4</v>
      </c>
      <c r="P665" s="4">
        <f t="shared" si="134"/>
        <v>-4.2273633647085416E-4</v>
      </c>
      <c r="Q665" s="4">
        <f t="shared" si="134"/>
        <v>-9.7783470124387603E-4</v>
      </c>
      <c r="R665" s="4">
        <f t="shared" si="134"/>
        <v>-1.3491100625773723E-3</v>
      </c>
      <c r="S665" s="4">
        <f t="shared" si="134"/>
        <v>-1.5316113835590734E-3</v>
      </c>
      <c r="T665" s="4">
        <f t="shared" si="134"/>
        <v>-1.5669884840319665E-3</v>
      </c>
      <c r="U665" s="4">
        <f t="shared" si="134"/>
        <v>-1.5145106943498749E-3</v>
      </c>
      <c r="V665" s="4">
        <f t="shared" si="134"/>
        <v>-1.4254587342372642E-3</v>
      </c>
      <c r="W665" s="4">
        <f t="shared" si="134"/>
        <v>-1.3334413374456382E-3</v>
      </c>
      <c r="X665" s="4">
        <f t="shared" si="134"/>
        <v>-1.2394795123878966E-3</v>
      </c>
      <c r="Y665" s="4">
        <f t="shared" si="134"/>
        <v>-1.1404750415259738E-3</v>
      </c>
      <c r="Z665" s="4">
        <f t="shared" si="134"/>
        <v>-1.033172778450608E-3</v>
      </c>
      <c r="AA665" s="4">
        <f t="shared" si="134"/>
        <v>-9.1909845388334467E-4</v>
      </c>
      <c r="AB665" s="4">
        <f t="shared" si="134"/>
        <v>-8.0796858748276822E-4</v>
      </c>
      <c r="AC665" s="4">
        <f t="shared" si="134"/>
        <v>-7.078264805331179E-4</v>
      </c>
      <c r="AD665" s="4">
        <f t="shared" si="134"/>
        <v>-6.2998329117068769E-4</v>
      </c>
      <c r="AE665" s="4">
        <f t="shared" si="134"/>
        <v>-5.8259921036585738E-4</v>
      </c>
      <c r="AF665" s="4">
        <f t="shared" si="134"/>
        <v>-5.683798032203065E-4</v>
      </c>
      <c r="AG665" s="4">
        <f t="shared" si="134"/>
        <v>-5.8403729161021452E-4</v>
      </c>
      <c r="AH665" s="4">
        <f t="shared" si="134"/>
        <v>-6.2331494299789486E-4</v>
      </c>
      <c r="AI665" s="4">
        <f t="shared" si="134"/>
        <v>-6.7714513042303531E-4</v>
      </c>
      <c r="AJ665" s="4">
        <f t="shared" si="134"/>
        <v>-7.3583876626483213E-4</v>
      </c>
      <c r="AK665" s="4">
        <f t="shared" si="134"/>
        <v>-7.9153679119262489E-4</v>
      </c>
      <c r="AL665" s="4">
        <f t="shared" si="134"/>
        <v>-8.3657373976209648E-4</v>
      </c>
    </row>
    <row r="667" spans="1:38" x14ac:dyDescent="0.3">
      <c r="B667" s="6" t="str">
        <f>[1]Macro!A100</f>
        <v>y_toe_2</v>
      </c>
      <c r="C667" s="6">
        <f>[1]Macro!B100</f>
        <v>136.47479609999999</v>
      </c>
      <c r="D667" s="6">
        <f>[1]Macro!C100</f>
        <v>138.58439089999999</v>
      </c>
      <c r="E667" s="6">
        <f>[1]Macro!D100</f>
        <v>140.31250929999999</v>
      </c>
      <c r="F667" s="6">
        <f>[1]Macro!E100</f>
        <v>142.0737872</v>
      </c>
      <c r="G667" s="6">
        <f>[1]Macro!F100</f>
        <v>144.04310319999999</v>
      </c>
      <c r="H667" s="6">
        <f>[1]Macro!G100</f>
        <v>146.30587990000001</v>
      </c>
      <c r="I667" s="6">
        <f>[1]Macro!H100</f>
        <v>149.01477080000001</v>
      </c>
      <c r="J667" s="6">
        <f>[1]Macro!I100</f>
        <v>152.21719659999999</v>
      </c>
      <c r="K667" s="6">
        <f>[1]Macro!J100</f>
        <v>155.7431943</v>
      </c>
      <c r="L667" s="6">
        <f>[1]Macro!K100</f>
        <v>159.1735247</v>
      </c>
      <c r="M667" s="6">
        <f>[1]Macro!L100</f>
        <v>162.30425199999999</v>
      </c>
      <c r="N667" s="6">
        <f>[1]Macro!M100</f>
        <v>164.82436480000001</v>
      </c>
      <c r="O667" s="6">
        <f>[1]Macro!N100</f>
        <v>166.9135339</v>
      </c>
      <c r="P667" s="6">
        <f>[1]Macro!O100</f>
        <v>168.7609463</v>
      </c>
      <c r="Q667" s="6">
        <f>[1]Macro!P100</f>
        <v>170.54722240000001</v>
      </c>
      <c r="R667" s="6">
        <f>[1]Macro!Q100</f>
        <v>172.38404059999999</v>
      </c>
      <c r="S667" s="6">
        <f>[1]Macro!R100</f>
        <v>174.3023657</v>
      </c>
      <c r="T667" s="6">
        <f>[1]Macro!S100</f>
        <v>176.28787500000001</v>
      </c>
      <c r="U667" s="6">
        <f>[1]Macro!T100</f>
        <v>178.31338120000001</v>
      </c>
      <c r="V667" s="6">
        <f>[1]Macro!U100</f>
        <v>180.3643572</v>
      </c>
      <c r="W667" s="6">
        <f>[1]Macro!V100</f>
        <v>182.34181330000001</v>
      </c>
      <c r="X667" s="6">
        <f>[1]Macro!W100</f>
        <v>184.45169189999999</v>
      </c>
      <c r="Y667" s="6">
        <f>[1]Macro!X100</f>
        <v>186.6551891</v>
      </c>
      <c r="Z667" s="6">
        <f>[1]Macro!Y100</f>
        <v>188.96697700000001</v>
      </c>
      <c r="AA667" s="6">
        <f>[1]Macro!Z100</f>
        <v>191.39591759999999</v>
      </c>
      <c r="AB667" s="6">
        <f>[1]Macro!AA100</f>
        <v>193.60274899999999</v>
      </c>
      <c r="AC667" s="6">
        <f>[1]Macro!AB100</f>
        <v>195.9897335</v>
      </c>
      <c r="AD667" s="6">
        <f>[1]Macro!AC100</f>
        <v>198.38970069999999</v>
      </c>
      <c r="AE667" s="6">
        <f>[1]Macro!AD100</f>
        <v>200.75237039999999</v>
      </c>
      <c r="AF667" s="6">
        <f>[1]Macro!AE100</f>
        <v>203.0636787</v>
      </c>
      <c r="AG667" s="6">
        <f>[1]Macro!AF100</f>
        <v>205.3314403</v>
      </c>
      <c r="AH667" s="6">
        <f>[1]Macro!AG100</f>
        <v>207.57119499999999</v>
      </c>
      <c r="AI667" s="6">
        <f>[1]Macro!AH100</f>
        <v>209.7986502</v>
      </c>
      <c r="AJ667" s="6">
        <f>[1]Macro!AI100</f>
        <v>212.02418159999999</v>
      </c>
      <c r="AK667" s="6">
        <f>[1]Macro!AJ100</f>
        <v>214.25130999999999</v>
      </c>
      <c r="AL667" s="6">
        <f>[1]Macro!AK100</f>
        <v>216.47944390000001</v>
      </c>
    </row>
    <row r="668" spans="1:38" x14ac:dyDescent="0.3">
      <c r="B668" s="6" t="str">
        <f>[1]Macro!A101</f>
        <v>m_toe_2</v>
      </c>
      <c r="C668" s="6">
        <f>[1]Macro!B101</f>
        <v>152.81380720000001</v>
      </c>
      <c r="D668" s="6">
        <f>[1]Macro!C101</f>
        <v>153.06659070000001</v>
      </c>
      <c r="E668" s="6">
        <f>[1]Macro!D101</f>
        <v>153.4612109</v>
      </c>
      <c r="F668" s="6">
        <f>[1]Macro!E101</f>
        <v>154.04683919999999</v>
      </c>
      <c r="G668" s="6">
        <f>[1]Macro!F101</f>
        <v>154.90882350000001</v>
      </c>
      <c r="H668" s="6">
        <f>[1]Macro!G101</f>
        <v>156.0849288</v>
      </c>
      <c r="I668" s="6">
        <f>[1]Macro!H101</f>
        <v>157.6760261</v>
      </c>
      <c r="J668" s="6">
        <f>[1]Macro!I101</f>
        <v>159.58905050000001</v>
      </c>
      <c r="K668" s="6">
        <f>[1]Macro!J101</f>
        <v>161.72818229999999</v>
      </c>
      <c r="L668" s="6">
        <f>[1]Macro!K101</f>
        <v>163.83675729999999</v>
      </c>
      <c r="M668" s="6">
        <f>[1]Macro!L101</f>
        <v>165.92120890000001</v>
      </c>
      <c r="N668" s="6">
        <f>[1]Macro!M101</f>
        <v>167.60500049999999</v>
      </c>
      <c r="O668" s="6">
        <f>[1]Macro!N101</f>
        <v>169.1336656</v>
      </c>
      <c r="P668" s="6">
        <f>[1]Macro!O101</f>
        <v>170.64233340000001</v>
      </c>
      <c r="Q668" s="6">
        <f>[1]Macro!P101</f>
        <v>172.21178599999999</v>
      </c>
      <c r="R668" s="6">
        <f>[1]Macro!Q101</f>
        <v>173.87085260000001</v>
      </c>
      <c r="S668" s="6">
        <f>[1]Macro!R101</f>
        <v>175.6060703</v>
      </c>
      <c r="T668" s="6">
        <f>[1]Macro!S101</f>
        <v>177.3836915</v>
      </c>
      <c r="U668" s="6">
        <f>[1]Macro!T101</f>
        <v>179.1702099</v>
      </c>
      <c r="V668" s="6">
        <f>[1]Macro!U101</f>
        <v>180.94586269999999</v>
      </c>
      <c r="W668" s="6">
        <f>[1]Macro!V101</f>
        <v>182.56616500000001</v>
      </c>
      <c r="X668" s="6">
        <f>[1]Macro!W101</f>
        <v>184.31110090000001</v>
      </c>
      <c r="Y668" s="6">
        <f>[1]Macro!X101</f>
        <v>186.08473670000001</v>
      </c>
      <c r="Z668" s="6">
        <f>[1]Macro!Y101</f>
        <v>187.8817214</v>
      </c>
      <c r="AA668" s="6">
        <f>[1]Macro!Z101</f>
        <v>189.71233810000001</v>
      </c>
      <c r="AB668" s="6">
        <f>[1]Macro!AA101</f>
        <v>191.15236590000001</v>
      </c>
      <c r="AC668" s="6">
        <f>[1]Macro!AB101</f>
        <v>192.82547289999999</v>
      </c>
      <c r="AD668" s="6">
        <f>[1]Macro!AC101</f>
        <v>194.5296893</v>
      </c>
      <c r="AE668" s="6">
        <f>[1]Macro!AD101</f>
        <v>196.21052829999999</v>
      </c>
      <c r="AF668" s="6">
        <f>[1]Macro!AE101</f>
        <v>197.86283230000001</v>
      </c>
      <c r="AG668" s="6">
        <f>[1]Macro!AF101</f>
        <v>199.49558149999999</v>
      </c>
      <c r="AH668" s="6">
        <f>[1]Macro!AG101</f>
        <v>201.11915719999999</v>
      </c>
      <c r="AI668" s="6">
        <f>[1]Macro!AH101</f>
        <v>202.74037440000001</v>
      </c>
      <c r="AJ668" s="6">
        <f>[1]Macro!AI101</f>
        <v>204.36087910000001</v>
      </c>
      <c r="AK668" s="6">
        <f>[1]Macro!AJ101</f>
        <v>205.97803569999999</v>
      </c>
      <c r="AL668" s="6">
        <f>[1]Macro!AK101</f>
        <v>207.58742549999999</v>
      </c>
    </row>
    <row r="669" spans="1:38" x14ac:dyDescent="0.3">
      <c r="B669" s="6" t="str">
        <f>[1]Macro!A102</f>
        <v>ci_toe_2</v>
      </c>
      <c r="C669" s="6">
        <f>[1]Macro!B102</f>
        <v>172.41379380000001</v>
      </c>
      <c r="D669" s="6">
        <f>[1]Macro!C102</f>
        <v>174.22918870000001</v>
      </c>
      <c r="E669" s="6">
        <f>[1]Macro!D102</f>
        <v>175.9584725</v>
      </c>
      <c r="F669" s="6">
        <f>[1]Macro!E102</f>
        <v>177.8484392</v>
      </c>
      <c r="G669" s="6">
        <f>[1]Macro!F102</f>
        <v>180.08261959999999</v>
      </c>
      <c r="H669" s="6">
        <f>[1]Macro!G102</f>
        <v>182.7766805</v>
      </c>
      <c r="I669" s="6">
        <f>[1]Macro!H102</f>
        <v>186.24696059999999</v>
      </c>
      <c r="J669" s="6">
        <f>[1]Macro!I102</f>
        <v>190.4278712</v>
      </c>
      <c r="K669" s="6">
        <f>[1]Macro!J102</f>
        <v>195.0949296</v>
      </c>
      <c r="L669" s="6">
        <f>[1]Macro!K102</f>
        <v>199.5995442</v>
      </c>
      <c r="M669" s="6">
        <f>[1]Macro!L102</f>
        <v>203.65667160000001</v>
      </c>
      <c r="N669" s="6">
        <f>[1]Macro!M102</f>
        <v>206.7936527</v>
      </c>
      <c r="O669" s="6">
        <f>[1]Macro!N102</f>
        <v>209.36600129999999</v>
      </c>
      <c r="P669" s="6">
        <f>[1]Macro!O102</f>
        <v>211.70343769999999</v>
      </c>
      <c r="Q669" s="6">
        <f>[1]Macro!P102</f>
        <v>214.05973270000001</v>
      </c>
      <c r="R669" s="6">
        <f>[1]Macro!Q102</f>
        <v>216.56496569999999</v>
      </c>
      <c r="S669" s="6">
        <f>[1]Macro!R102</f>
        <v>219.23111689999999</v>
      </c>
      <c r="T669" s="6">
        <f>[1]Macro!S102</f>
        <v>222.00318859999999</v>
      </c>
      <c r="U669" s="6">
        <f>[1]Macro!T102</f>
        <v>224.81440939999999</v>
      </c>
      <c r="V669" s="6">
        <f>[1]Macro!U102</f>
        <v>227.6259197</v>
      </c>
      <c r="W669" s="6">
        <f>[1]Macro!V102</f>
        <v>230.2702151</v>
      </c>
      <c r="X669" s="6">
        <f>[1]Macro!W102</f>
        <v>233.0873507</v>
      </c>
      <c r="Y669" s="6">
        <f>[1]Macro!X102</f>
        <v>236.00611570000001</v>
      </c>
      <c r="Z669" s="6">
        <f>[1]Macro!Y102</f>
        <v>239.03927970000001</v>
      </c>
      <c r="AA669" s="6">
        <f>[1]Macro!Z102</f>
        <v>242.20994540000001</v>
      </c>
      <c r="AB669" s="6">
        <f>[1]Macro!AA102</f>
        <v>244.98581659999999</v>
      </c>
      <c r="AC669" s="6">
        <f>[1]Macro!AB102</f>
        <v>248.08592519999999</v>
      </c>
      <c r="AD669" s="6">
        <f>[1]Macro!AC102</f>
        <v>251.23767319999999</v>
      </c>
      <c r="AE669" s="6">
        <f>[1]Macro!AD102</f>
        <v>254.33990539999999</v>
      </c>
      <c r="AF669" s="6">
        <f>[1]Macro!AE102</f>
        <v>257.37607409999998</v>
      </c>
      <c r="AG669" s="6">
        <f>[1]Macro!AF102</f>
        <v>260.36447859999998</v>
      </c>
      <c r="AH669" s="6">
        <f>[1]Macro!AG102</f>
        <v>263.33259049999998</v>
      </c>
      <c r="AI669" s="6">
        <f>[1]Macro!AH102</f>
        <v>266.302684</v>
      </c>
      <c r="AJ669" s="6">
        <f>[1]Macro!AI102</f>
        <v>269.28490590000001</v>
      </c>
      <c r="AK669" s="6">
        <f>[1]Macro!AJ102</f>
        <v>272.27764359999998</v>
      </c>
      <c r="AL669" s="6">
        <f>[1]Macro!AK102</f>
        <v>275.27323039999999</v>
      </c>
    </row>
    <row r="670" spans="1:38" x14ac:dyDescent="0.3">
      <c r="B670" s="6" t="str">
        <f>[1]Macro!A103</f>
        <v>ch_toe_2</v>
      </c>
      <c r="C670" s="6">
        <f>[1]Macro!B103</f>
        <v>73.965462770000002</v>
      </c>
      <c r="D670" s="6">
        <f>[1]Macro!C103</f>
        <v>73.83138649</v>
      </c>
      <c r="E670" s="6">
        <f>[1]Macro!D103</f>
        <v>73.464010979999998</v>
      </c>
      <c r="F670" s="6">
        <f>[1]Macro!E103</f>
        <v>73.117083109999996</v>
      </c>
      <c r="G670" s="6">
        <f>[1]Macro!F103</f>
        <v>72.862901769999993</v>
      </c>
      <c r="H670" s="6">
        <f>[1]Macro!G103</f>
        <v>72.707891239999995</v>
      </c>
      <c r="I670" s="6">
        <f>[1]Macro!H103</f>
        <v>72.637621679999995</v>
      </c>
      <c r="J670" s="6">
        <f>[1]Macro!I103</f>
        <v>72.637403829999997</v>
      </c>
      <c r="K670" s="6">
        <f>[1]Macro!J103</f>
        <v>72.681655840000005</v>
      </c>
      <c r="L670" s="6">
        <f>[1]Macro!K103</f>
        <v>72.761830470000007</v>
      </c>
      <c r="M670" s="6">
        <f>[1]Macro!L103</f>
        <v>72.900599810000003</v>
      </c>
      <c r="N670" s="6">
        <f>[1]Macro!M103</f>
        <v>73.050039389999995</v>
      </c>
      <c r="O670" s="6">
        <f>[1]Macro!N103</f>
        <v>73.201146539999996</v>
      </c>
      <c r="P670" s="6">
        <f>[1]Macro!O103</f>
        <v>73.342418629999997</v>
      </c>
      <c r="Q670" s="6">
        <f>[1]Macro!P103</f>
        <v>73.472117490000002</v>
      </c>
      <c r="R670" s="6">
        <f>[1]Macro!Q103</f>
        <v>73.591194259999995</v>
      </c>
      <c r="S670" s="6">
        <f>[1]Macro!R103</f>
        <v>73.697406650000005</v>
      </c>
      <c r="T670" s="6">
        <f>[1]Macro!S103</f>
        <v>73.791950639999996</v>
      </c>
      <c r="U670" s="6">
        <f>[1]Macro!T103</f>
        <v>73.876816390000002</v>
      </c>
      <c r="V670" s="6">
        <f>[1]Macro!U103</f>
        <v>73.953581220000004</v>
      </c>
      <c r="W670" s="6">
        <f>[1]Macro!V103</f>
        <v>74.00470061</v>
      </c>
      <c r="X670" s="6">
        <f>[1]Macro!W103</f>
        <v>74.055161870000006</v>
      </c>
      <c r="Y670" s="6">
        <f>[1]Macro!X103</f>
        <v>74.100124579999999</v>
      </c>
      <c r="Z670" s="6">
        <f>[1]Macro!Y103</f>
        <v>74.136556889999994</v>
      </c>
      <c r="AA670" s="6">
        <f>[1]Macro!Z103</f>
        <v>74.16232617</v>
      </c>
      <c r="AB670" s="6">
        <f>[1]Macro!AA103</f>
        <v>74.12605112</v>
      </c>
      <c r="AC670" s="6">
        <f>[1]Macro!AB103</f>
        <v>74.074696680000002</v>
      </c>
      <c r="AD670" s="6">
        <f>[1]Macro!AC103</f>
        <v>74.008264560000001</v>
      </c>
      <c r="AE670" s="6">
        <f>[1]Macro!AD103</f>
        <v>73.926703070000002</v>
      </c>
      <c r="AF670" s="6">
        <f>[1]Macro!AE103</f>
        <v>73.829556760000003</v>
      </c>
      <c r="AG670" s="6">
        <f>[1]Macro!AF103</f>
        <v>73.716118059999999</v>
      </c>
      <c r="AH670" s="6">
        <f>[1]Macro!AG103</f>
        <v>73.584501000000003</v>
      </c>
      <c r="AI670" s="6">
        <f>[1]Macro!AH103</f>
        <v>73.433862590000004</v>
      </c>
      <c r="AJ670" s="6">
        <f>[1]Macro!AI103</f>
        <v>73.26459045</v>
      </c>
      <c r="AK670" s="6">
        <f>[1]Macro!AJ103</f>
        <v>73.077547899999999</v>
      </c>
      <c r="AL670" s="6">
        <f>[1]Macro!AK103</f>
        <v>72.873726009999999</v>
      </c>
    </row>
    <row r="671" spans="1:38" x14ac:dyDescent="0.3">
      <c r="B671" s="6" t="str">
        <f>[1]Macro!A104</f>
        <v>x_toe_2</v>
      </c>
      <c r="C671" s="6">
        <f>[1]Macro!B104</f>
        <v>42.909346739999997</v>
      </c>
      <c r="D671" s="6">
        <f>[1]Macro!C104</f>
        <v>43.590406479999999</v>
      </c>
      <c r="E671" s="6">
        <f>[1]Macro!D104</f>
        <v>44.351236700000001</v>
      </c>
      <c r="F671" s="6">
        <f>[1]Macro!E104</f>
        <v>45.15510407</v>
      </c>
      <c r="G671" s="6">
        <f>[1]Macro!F104</f>
        <v>46.006405299999997</v>
      </c>
      <c r="H671" s="6">
        <f>[1]Macro!G104</f>
        <v>46.906236909999997</v>
      </c>
      <c r="I671" s="6">
        <f>[1]Macro!H104</f>
        <v>47.806214670000003</v>
      </c>
      <c r="J671" s="6">
        <f>[1]Macro!I104</f>
        <v>48.7409721</v>
      </c>
      <c r="K671" s="6">
        <f>[1]Macro!J104</f>
        <v>49.69479123</v>
      </c>
      <c r="L671" s="6">
        <f>[1]Macro!K104</f>
        <v>50.648907399999999</v>
      </c>
      <c r="M671" s="6">
        <f>[1]Macro!L104</f>
        <v>51.668189439999999</v>
      </c>
      <c r="N671" s="6">
        <f>[1]Macro!M104</f>
        <v>52.585673229999998</v>
      </c>
      <c r="O671" s="6">
        <f>[1]Macro!N104</f>
        <v>53.480051619999998</v>
      </c>
      <c r="P671" s="6">
        <f>[1]Macro!O104</f>
        <v>54.357423429999997</v>
      </c>
      <c r="Q671" s="6">
        <f>[1]Macro!P104</f>
        <v>55.227158320000001</v>
      </c>
      <c r="R671" s="6">
        <f>[1]Macro!Q104</f>
        <v>56.098733240000001</v>
      </c>
      <c r="S671" s="6">
        <f>[1]Macro!R104</f>
        <v>56.979912470000002</v>
      </c>
      <c r="T671" s="6">
        <f>[1]Macro!S104</f>
        <v>57.876427249999999</v>
      </c>
      <c r="U671" s="6">
        <f>[1]Macro!T104</f>
        <v>58.79236538</v>
      </c>
      <c r="V671" s="6">
        <f>[1]Macro!U104</f>
        <v>59.73071899</v>
      </c>
      <c r="W671" s="6">
        <f>[1]Macro!V104</f>
        <v>60.633062500000001</v>
      </c>
      <c r="X671" s="6">
        <f>[1]Macro!W104</f>
        <v>61.620280309999998</v>
      </c>
      <c r="Y671" s="6">
        <f>[1]Macro!X104</f>
        <v>62.633685579999998</v>
      </c>
      <c r="Z671" s="6">
        <f>[1]Macro!Y104</f>
        <v>63.672861789999999</v>
      </c>
      <c r="AA671" s="6">
        <f>[1]Macro!Z104</f>
        <v>64.735984070000001</v>
      </c>
      <c r="AB671" s="6">
        <f>[1]Macro!AA104</f>
        <v>65.643247180000003</v>
      </c>
      <c r="AC671" s="6">
        <f>[1]Macro!AB104</f>
        <v>66.654584490000005</v>
      </c>
      <c r="AD671" s="6">
        <f>[1]Macro!AC104</f>
        <v>67.67345229</v>
      </c>
      <c r="AE671" s="6">
        <f>[1]Macro!AD104</f>
        <v>68.696290160000004</v>
      </c>
      <c r="AF671" s="6">
        <f>[1]Macro!AE104</f>
        <v>69.720880140000006</v>
      </c>
      <c r="AG671" s="6">
        <f>[1]Macro!AF104</f>
        <v>70.746425079999995</v>
      </c>
      <c r="AH671" s="6">
        <f>[1]Macro!AG104</f>
        <v>71.773260710000002</v>
      </c>
      <c r="AI671" s="6">
        <f>[1]Macro!AH104</f>
        <v>72.802477999999994</v>
      </c>
      <c r="AJ671" s="6">
        <f>[1]Macro!AI104</f>
        <v>73.835564410000003</v>
      </c>
      <c r="AK671" s="6">
        <f>[1]Macro!AJ104</f>
        <v>74.874154250000004</v>
      </c>
      <c r="AL671" s="6">
        <f>[1]Macro!AK104</f>
        <v>75.91991299</v>
      </c>
    </row>
    <row r="672" spans="1:38" x14ac:dyDescent="0.3"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</row>
    <row r="673" spans="2:38" x14ac:dyDescent="0.3">
      <c r="B673" s="6" t="str">
        <f>[1]Macro!A105</f>
        <v>y_toe_0</v>
      </c>
      <c r="C673" s="6">
        <f>[1]Macro!B105</f>
        <v>136.47479609999999</v>
      </c>
      <c r="D673" s="6">
        <f>[1]Macro!C105</f>
        <v>138.58439089999999</v>
      </c>
      <c r="E673" s="6">
        <f>[1]Macro!D105</f>
        <v>140.31250929999999</v>
      </c>
      <c r="F673" s="6">
        <f>[1]Macro!E105</f>
        <v>142.0737872</v>
      </c>
      <c r="G673" s="6">
        <f>[1]Macro!F105</f>
        <v>144.04310319999999</v>
      </c>
      <c r="H673" s="6">
        <f>[1]Macro!G105</f>
        <v>146.30587990000001</v>
      </c>
      <c r="I673" s="6">
        <f>[1]Macro!H105</f>
        <v>148.78194999999999</v>
      </c>
      <c r="J673" s="6">
        <f>[1]Macro!I105</f>
        <v>151.51254470000001</v>
      </c>
      <c r="K673" s="6">
        <f>[1]Macro!J105</f>
        <v>154.42441099999999</v>
      </c>
      <c r="L673" s="6">
        <f>[1]Macro!K105</f>
        <v>157.4195119</v>
      </c>
      <c r="M673" s="6">
        <f>[1]Macro!L105</f>
        <v>160.5369207</v>
      </c>
      <c r="N673" s="6">
        <f>[1]Macro!M105</f>
        <v>163.4757674</v>
      </c>
      <c r="O673" s="6">
        <f>[1]Macro!N105</f>
        <v>166.29031860000001</v>
      </c>
      <c r="P673" s="6">
        <f>[1]Macro!O105</f>
        <v>168.96117580000001</v>
      </c>
      <c r="Q673" s="6">
        <f>[1]Macro!P105</f>
        <v>171.46419209999999</v>
      </c>
      <c r="R673" s="6">
        <f>[1]Macro!Q105</f>
        <v>173.7816728</v>
      </c>
      <c r="S673" s="6">
        <f>[1]Macro!R105</f>
        <v>175.91866529999999</v>
      </c>
      <c r="T673" s="6">
        <f>[1]Macro!S105</f>
        <v>177.90296380000001</v>
      </c>
      <c r="U673" s="6">
        <f>[1]Macro!T105</f>
        <v>179.78154430000001</v>
      </c>
      <c r="V673" s="6">
        <f>[1]Macro!U105</f>
        <v>181.61284069999999</v>
      </c>
      <c r="W673" s="6">
        <f>[1]Macro!V105</f>
        <v>183.35226209999999</v>
      </c>
      <c r="X673" s="6">
        <f>[1]Macro!W105</f>
        <v>185.22117660000001</v>
      </c>
      <c r="Y673" s="6">
        <f>[1]Macro!X105</f>
        <v>187.18695109999999</v>
      </c>
      <c r="Z673" s="6">
        <f>[1]Macro!Y105</f>
        <v>189.26726590000001</v>
      </c>
      <c r="AA673" s="6">
        <f>[1]Macro!Z105</f>
        <v>191.47729810000001</v>
      </c>
      <c r="AB673" s="6">
        <f>[1]Macro!AA105</f>
        <v>193.49405780000001</v>
      </c>
      <c r="AC673" s="6">
        <f>[1]Macro!AB105</f>
        <v>195.73119550000001</v>
      </c>
      <c r="AD673" s="6">
        <f>[1]Macro!AC105</f>
        <v>198.0371796</v>
      </c>
      <c r="AE673" s="6">
        <f>[1]Macro!AD105</f>
        <v>200.37252570000001</v>
      </c>
      <c r="AF673" s="6">
        <f>[1]Macro!AE105</f>
        <v>202.7247716</v>
      </c>
      <c r="AG673" s="6">
        <f>[1]Macro!AF105</f>
        <v>205.0931827</v>
      </c>
      <c r="AH673" s="6">
        <f>[1]Macro!AG105</f>
        <v>207.47846730000001</v>
      </c>
      <c r="AI673" s="6">
        <f>[1]Macro!AH105</f>
        <v>209.87664849999999</v>
      </c>
      <c r="AJ673" s="6">
        <f>[1]Macro!AI105</f>
        <v>212.2775556</v>
      </c>
      <c r="AK673" s="6">
        <f>[1]Macro!AJ105</f>
        <v>214.66736789999999</v>
      </c>
      <c r="AL673" s="6">
        <f>[1]Macro!AK105</f>
        <v>217.03052349999999</v>
      </c>
    </row>
    <row r="674" spans="2:38" x14ac:dyDescent="0.3">
      <c r="B674" s="6" t="str">
        <f>[1]Macro!A106</f>
        <v>m_toe_0</v>
      </c>
      <c r="C674" s="6">
        <f>[1]Macro!B106</f>
        <v>152.81380720000001</v>
      </c>
      <c r="D674" s="6">
        <f>[1]Macro!C106</f>
        <v>153.06659070000001</v>
      </c>
      <c r="E674" s="6">
        <f>[1]Macro!D106</f>
        <v>153.4612109</v>
      </c>
      <c r="F674" s="6">
        <f>[1]Macro!E106</f>
        <v>154.04683919999999</v>
      </c>
      <c r="G674" s="6">
        <f>[1]Macro!F106</f>
        <v>154.90882350000001</v>
      </c>
      <c r="H674" s="6">
        <f>[1]Macro!G106</f>
        <v>156.0849288</v>
      </c>
      <c r="I674" s="6">
        <f>[1]Macro!H106</f>
        <v>157.42786480000001</v>
      </c>
      <c r="J674" s="6">
        <f>[1]Macro!I106</f>
        <v>159.01487359999999</v>
      </c>
      <c r="K674" s="6">
        <f>[1]Macro!J106</f>
        <v>160.7783465</v>
      </c>
      <c r="L674" s="6">
        <f>[1]Macro!K106</f>
        <v>162.63554239999999</v>
      </c>
      <c r="M674" s="6">
        <f>[1]Macro!L106</f>
        <v>164.71465119999999</v>
      </c>
      <c r="N674" s="6">
        <f>[1]Macro!M106</f>
        <v>166.62490980000001</v>
      </c>
      <c r="O674" s="6">
        <f>[1]Macro!N106</f>
        <v>168.52916070000001</v>
      </c>
      <c r="P674" s="6">
        <f>[1]Macro!O106</f>
        <v>170.45147019999999</v>
      </c>
      <c r="Q674" s="6">
        <f>[1]Macro!P106</f>
        <v>172.38202150000001</v>
      </c>
      <c r="R674" s="6">
        <f>[1]Macro!Q106</f>
        <v>174.3042203</v>
      </c>
      <c r="S674" s="6">
        <f>[1]Macro!R106</f>
        <v>176.2041309</v>
      </c>
      <c r="T674" s="6">
        <f>[1]Macro!S106</f>
        <v>178.07415990000001</v>
      </c>
      <c r="U674" s="6">
        <f>[1]Macro!T106</f>
        <v>179.9141865</v>
      </c>
      <c r="V674" s="6">
        <f>[1]Macro!U106</f>
        <v>181.730333</v>
      </c>
      <c r="W674" s="6">
        <f>[1]Macro!V106</f>
        <v>183.39089060000001</v>
      </c>
      <c r="X674" s="6">
        <f>[1]Macro!W106</f>
        <v>185.17107300000001</v>
      </c>
      <c r="Y674" s="6">
        <f>[1]Macro!X106</f>
        <v>186.96672770000001</v>
      </c>
      <c r="Z674" s="6">
        <f>[1]Macro!Y106</f>
        <v>188.7654186</v>
      </c>
      <c r="AA674" s="6">
        <f>[1]Macro!Z106</f>
        <v>190.57564600000001</v>
      </c>
      <c r="AB674" s="6">
        <f>[1]Macro!AA106</f>
        <v>191.97809580000001</v>
      </c>
      <c r="AC674" s="6">
        <f>[1]Macro!AB106</f>
        <v>193.60525490000001</v>
      </c>
      <c r="AD674" s="6">
        <f>[1]Macro!AC106</f>
        <v>195.26461409999999</v>
      </c>
      <c r="AE674" s="6">
        <f>[1]Macro!AD106</f>
        <v>196.91058670000001</v>
      </c>
      <c r="AF674" s="6">
        <f>[1]Macro!AE106</f>
        <v>198.5434515</v>
      </c>
      <c r="AG674" s="6">
        <f>[1]Macro!AF106</f>
        <v>200.1732557</v>
      </c>
      <c r="AH674" s="6">
        <f>[1]Macro!AG106</f>
        <v>201.80820639999999</v>
      </c>
      <c r="AI674" s="6">
        <f>[1]Macro!AH106</f>
        <v>203.45100619999999</v>
      </c>
      <c r="AJ674" s="6">
        <f>[1]Macro!AI106</f>
        <v>205.0988538</v>
      </c>
      <c r="AK674" s="6">
        <f>[1]Macro!AJ106</f>
        <v>206.74559060000001</v>
      </c>
      <c r="AL674" s="6">
        <f>[1]Macro!AK106</f>
        <v>208.38415319999999</v>
      </c>
    </row>
    <row r="675" spans="2:38" x14ac:dyDescent="0.3">
      <c r="B675" s="6" t="str">
        <f>[1]Macro!A107</f>
        <v>ci_toe_0</v>
      </c>
      <c r="C675" s="6">
        <f>[1]Macro!B107</f>
        <v>172.41379380000001</v>
      </c>
      <c r="D675" s="6">
        <f>[1]Macro!C107</f>
        <v>174.22918870000001</v>
      </c>
      <c r="E675" s="6">
        <f>[1]Macro!D107</f>
        <v>175.9584725</v>
      </c>
      <c r="F675" s="6">
        <f>[1]Macro!E107</f>
        <v>177.8484392</v>
      </c>
      <c r="G675" s="6">
        <f>[1]Macro!F107</f>
        <v>180.08261959999999</v>
      </c>
      <c r="H675" s="6">
        <f>[1]Macro!G107</f>
        <v>182.7766805</v>
      </c>
      <c r="I675" s="6">
        <f>[1]Macro!H107</f>
        <v>185.7820826</v>
      </c>
      <c r="J675" s="6">
        <f>[1]Macro!I107</f>
        <v>189.19105390000001</v>
      </c>
      <c r="K675" s="6">
        <f>[1]Macro!J107</f>
        <v>192.88552129999999</v>
      </c>
      <c r="L675" s="6">
        <f>[1]Macro!K107</f>
        <v>196.7082096</v>
      </c>
      <c r="M675" s="6">
        <f>[1]Macro!L107</f>
        <v>200.74172100000001</v>
      </c>
      <c r="N675" s="6">
        <f>[1]Macro!M107</f>
        <v>204.51043329999999</v>
      </c>
      <c r="O675" s="6">
        <f>[1]Macro!N107</f>
        <v>208.16282570000001</v>
      </c>
      <c r="P675" s="6">
        <f>[1]Macro!O107</f>
        <v>211.7124805</v>
      </c>
      <c r="Q675" s="6">
        <f>[1]Macro!P107</f>
        <v>215.13319949999999</v>
      </c>
      <c r="R675" s="6">
        <f>[1]Macro!Q107</f>
        <v>218.3951026</v>
      </c>
      <c r="S675" s="6">
        <f>[1]Macro!R107</f>
        <v>221.48388170000001</v>
      </c>
      <c r="T675" s="6">
        <f>[1]Macro!S107</f>
        <v>224.40885539999999</v>
      </c>
      <c r="U675" s="6">
        <f>[1]Macro!T107</f>
        <v>227.20368830000001</v>
      </c>
      <c r="V675" s="6">
        <f>[1]Macro!U107</f>
        <v>229.9198001</v>
      </c>
      <c r="W675" s="6">
        <f>[1]Macro!V107</f>
        <v>232.4479565</v>
      </c>
      <c r="X675" s="6">
        <f>[1]Macro!W107</f>
        <v>235.13653690000001</v>
      </c>
      <c r="Y675" s="6">
        <f>[1]Macro!X107</f>
        <v>237.90848199999999</v>
      </c>
      <c r="Z675" s="6">
        <f>[1]Macro!Y107</f>
        <v>240.76844740000001</v>
      </c>
      <c r="AA675" s="6">
        <f>[1]Macro!Z107</f>
        <v>243.74074200000001</v>
      </c>
      <c r="AB675" s="6">
        <f>[1]Macro!AA107</f>
        <v>246.31128659999999</v>
      </c>
      <c r="AC675" s="6">
        <f>[1]Macro!AB107</f>
        <v>249.21929990000001</v>
      </c>
      <c r="AD675" s="6">
        <f>[1]Macro!AC107</f>
        <v>252.21758299999999</v>
      </c>
      <c r="AE675" s="6">
        <f>[1]Macro!AD107</f>
        <v>255.2265682</v>
      </c>
      <c r="AF675" s="6">
        <f>[1]Macro!AE107</f>
        <v>258.23970589999999</v>
      </c>
      <c r="AG675" s="6">
        <f>[1]Macro!AF107</f>
        <v>261.27153700000002</v>
      </c>
      <c r="AH675" s="6">
        <f>[1]Macro!AG107</f>
        <v>264.33542</v>
      </c>
      <c r="AI675" s="6">
        <f>[1]Macro!AH107</f>
        <v>267.43352859999999</v>
      </c>
      <c r="AJ675" s="6">
        <f>[1]Macro!AI107</f>
        <v>270.55525660000001</v>
      </c>
      <c r="AK675" s="6">
        <f>[1]Macro!AJ107</f>
        <v>273.68188620000001</v>
      </c>
      <c r="AL675" s="6">
        <f>[1]Macro!AK107</f>
        <v>276.79311369999999</v>
      </c>
    </row>
    <row r="676" spans="2:38" x14ac:dyDescent="0.3">
      <c r="B676" s="6" t="str">
        <f>[1]Macro!A108</f>
        <v>ch_toe_0</v>
      </c>
      <c r="C676" s="6">
        <f>[1]Macro!B108</f>
        <v>73.965462770000002</v>
      </c>
      <c r="D676" s="6">
        <f>[1]Macro!C108</f>
        <v>73.83138649</v>
      </c>
      <c r="E676" s="6">
        <f>[1]Macro!D108</f>
        <v>73.464010979999998</v>
      </c>
      <c r="F676" s="6">
        <f>[1]Macro!E108</f>
        <v>73.117083109999996</v>
      </c>
      <c r="G676" s="6">
        <f>[1]Macro!F108</f>
        <v>72.862901769999993</v>
      </c>
      <c r="H676" s="6">
        <f>[1]Macro!G108</f>
        <v>72.707891239999995</v>
      </c>
      <c r="I676" s="6">
        <f>[1]Macro!H108</f>
        <v>72.621503250000004</v>
      </c>
      <c r="J676" s="6">
        <f>[1]Macro!I108</f>
        <v>72.593277490000006</v>
      </c>
      <c r="K676" s="6">
        <f>[1]Macro!J108</f>
        <v>72.610585279999995</v>
      </c>
      <c r="L676" s="6">
        <f>[1]Macro!K108</f>
        <v>72.661975409999997</v>
      </c>
      <c r="M676" s="6">
        <f>[1]Macro!L108</f>
        <v>72.763672729999996</v>
      </c>
      <c r="N676" s="6">
        <f>[1]Macro!M108</f>
        <v>72.869594410000005</v>
      </c>
      <c r="O676" s="6">
        <f>[1]Macro!N108</f>
        <v>72.978184519999999</v>
      </c>
      <c r="P676" s="6">
        <f>[1]Macro!O108</f>
        <v>73.086152870000006</v>
      </c>
      <c r="Q676" s="6">
        <f>[1]Macro!P108</f>
        <v>73.187656309999994</v>
      </c>
      <c r="R676" s="6">
        <f>[1]Macro!Q108</f>
        <v>73.276476599999995</v>
      </c>
      <c r="S676" s="6">
        <f>[1]Macro!R108</f>
        <v>73.352766630000005</v>
      </c>
      <c r="T676" s="6">
        <f>[1]Macro!S108</f>
        <v>73.41949323</v>
      </c>
      <c r="U676" s="6">
        <f>[1]Macro!T108</f>
        <v>73.480408890000007</v>
      </c>
      <c r="V676" s="6">
        <f>[1]Macro!U108</f>
        <v>73.538915610000004</v>
      </c>
      <c r="W676" s="6">
        <f>[1]Macro!V108</f>
        <v>73.579773939999995</v>
      </c>
      <c r="X676" s="6">
        <f>[1]Macro!W108</f>
        <v>73.624338620000003</v>
      </c>
      <c r="Y676" s="6">
        <f>[1]Macro!X108</f>
        <v>73.666999279999999</v>
      </c>
      <c r="Z676" s="6">
        <f>[1]Macro!Y108</f>
        <v>73.704967659999994</v>
      </c>
      <c r="AA676" s="6">
        <f>[1]Macro!Z108</f>
        <v>73.736449890000003</v>
      </c>
      <c r="AB676" s="6">
        <f>[1]Macro!AA108</f>
        <v>73.710283779999997</v>
      </c>
      <c r="AC676" s="6">
        <f>[1]Macro!AB108</f>
        <v>73.672804099999993</v>
      </c>
      <c r="AD676" s="6">
        <f>[1]Macro!AC108</f>
        <v>73.623171279999994</v>
      </c>
      <c r="AE676" s="6">
        <f>[1]Macro!AD108</f>
        <v>73.560238029999994</v>
      </c>
      <c r="AF676" s="6">
        <f>[1]Macro!AE108</f>
        <v>73.482511669999994</v>
      </c>
      <c r="AG676" s="6">
        <f>[1]Macro!AF108</f>
        <v>73.388452169999994</v>
      </c>
      <c r="AH676" s="6">
        <f>[1]Macro!AG108</f>
        <v>73.276817140000006</v>
      </c>
      <c r="AI676" s="6">
        <f>[1]Macro!AH108</f>
        <v>73.146869530000004</v>
      </c>
      <c r="AJ676" s="6">
        <f>[1]Macro!AI108</f>
        <v>72.998407549999996</v>
      </c>
      <c r="AK676" s="6">
        <f>[1]Macro!AJ108</f>
        <v>72.831660670000005</v>
      </c>
      <c r="AL676" s="6">
        <f>[1]Macro!AK108</f>
        <v>72.644983389999993</v>
      </c>
    </row>
    <row r="677" spans="2:38" x14ac:dyDescent="0.3">
      <c r="B677" s="6" t="str">
        <f>[1]Macro!A109</f>
        <v>x_toe_0</v>
      </c>
      <c r="C677" s="6">
        <f>[1]Macro!B109</f>
        <v>42.909346739999997</v>
      </c>
      <c r="D677" s="6">
        <f>[1]Macro!C109</f>
        <v>43.590406479999999</v>
      </c>
      <c r="E677" s="6">
        <f>[1]Macro!D109</f>
        <v>44.351236700000001</v>
      </c>
      <c r="F677" s="6">
        <f>[1]Macro!E109</f>
        <v>45.15510407</v>
      </c>
      <c r="G677" s="6">
        <f>[1]Macro!F109</f>
        <v>46.006405299999997</v>
      </c>
      <c r="H677" s="6">
        <f>[1]Macro!G109</f>
        <v>46.906236909999997</v>
      </c>
      <c r="I677" s="6">
        <f>[1]Macro!H109</f>
        <v>47.806228969999999</v>
      </c>
      <c r="J677" s="6">
        <f>[1]Macro!I109</f>
        <v>48.743086920000003</v>
      </c>
      <c r="K677" s="6">
        <f>[1]Macro!J109</f>
        <v>49.706651020000002</v>
      </c>
      <c r="L677" s="6">
        <f>[1]Macro!K109</f>
        <v>50.684869239999998</v>
      </c>
      <c r="M677" s="6">
        <f>[1]Macro!L109</f>
        <v>51.746178129999997</v>
      </c>
      <c r="N677" s="6">
        <f>[1]Macro!M109</f>
        <v>52.720649510000001</v>
      </c>
      <c r="O677" s="6">
        <f>[1]Macro!N109</f>
        <v>53.678469030000002</v>
      </c>
      <c r="P677" s="6">
        <f>[1]Macro!O109</f>
        <v>54.614012610000003</v>
      </c>
      <c r="Q677" s="6">
        <f>[1]Macro!P109</f>
        <v>55.525357730000003</v>
      </c>
      <c r="R677" s="6">
        <f>[1]Macro!Q109</f>
        <v>56.41431395</v>
      </c>
      <c r="S677" s="6">
        <f>[1]Macro!R109</f>
        <v>57.286147890000002</v>
      </c>
      <c r="T677" s="6">
        <f>[1]Macro!S109</f>
        <v>58.148775059999998</v>
      </c>
      <c r="U677" s="6">
        <f>[1]Macro!T109</f>
        <v>59.011633660000001</v>
      </c>
      <c r="V677" s="6">
        <f>[1]Macro!U109</f>
        <v>59.884457949999998</v>
      </c>
      <c r="W677" s="6">
        <f>[1]Macro!V109</f>
        <v>60.715422359999998</v>
      </c>
      <c r="X677" s="6">
        <f>[1]Macro!W109</f>
        <v>61.631374090000001</v>
      </c>
      <c r="Y677" s="6">
        <f>[1]Macro!X109</f>
        <v>62.578197469999999</v>
      </c>
      <c r="Z677" s="6">
        <f>[1]Macro!Y109</f>
        <v>63.559269389999997</v>
      </c>
      <c r="AA677" s="6">
        <f>[1]Macro!Z109</f>
        <v>64.575752210000005</v>
      </c>
      <c r="AB677" s="6">
        <f>[1]Macro!AA109</f>
        <v>65.450583210000005</v>
      </c>
      <c r="AC677" s="6">
        <f>[1]Macro!AB109</f>
        <v>66.444346420000002</v>
      </c>
      <c r="AD677" s="6">
        <f>[1]Macro!AC109</f>
        <v>67.461039439999993</v>
      </c>
      <c r="AE677" s="6">
        <f>[1]Macro!AD109</f>
        <v>68.496306180000005</v>
      </c>
      <c r="AF677" s="6">
        <f>[1]Macro!AE109</f>
        <v>69.546005600000001</v>
      </c>
      <c r="AG677" s="6">
        <f>[1]Macro!AF109</f>
        <v>70.606449159999997</v>
      </c>
      <c r="AH677" s="6">
        <f>[1]Macro!AG109</f>
        <v>71.674436470000003</v>
      </c>
      <c r="AI677" s="6">
        <f>[1]Macro!AH109</f>
        <v>72.747256469999996</v>
      </c>
      <c r="AJ677" s="6">
        <f>[1]Macro!AI109</f>
        <v>73.822745220000002</v>
      </c>
      <c r="AK677" s="6">
        <f>[1]Macro!AJ109</f>
        <v>74.899411639999997</v>
      </c>
      <c r="AL677" s="6">
        <f>[1]Macro!AK109</f>
        <v>75.976579610000002</v>
      </c>
    </row>
    <row r="679" spans="2:38" x14ac:dyDescent="0.3">
      <c r="C679" s="2">
        <v>42005</v>
      </c>
      <c r="D679" s="2">
        <v>42370</v>
      </c>
      <c r="E679" s="2">
        <v>42736</v>
      </c>
      <c r="F679" s="2">
        <v>43101</v>
      </c>
      <c r="G679" s="2">
        <v>43466</v>
      </c>
      <c r="H679" s="2">
        <v>43831</v>
      </c>
      <c r="I679" s="2">
        <v>44197</v>
      </c>
      <c r="J679" s="2">
        <v>44562</v>
      </c>
      <c r="K679" s="2">
        <v>44927</v>
      </c>
      <c r="L679" s="2">
        <v>45292</v>
      </c>
      <c r="M679" s="2">
        <v>45658</v>
      </c>
      <c r="N679" s="2">
        <v>46023</v>
      </c>
      <c r="O679" s="2">
        <v>46388</v>
      </c>
      <c r="P679" s="2">
        <v>46753</v>
      </c>
      <c r="Q679" s="2">
        <v>47119</v>
      </c>
      <c r="R679" s="2">
        <v>47484</v>
      </c>
      <c r="S679" s="2">
        <v>47849</v>
      </c>
      <c r="T679" s="2">
        <v>48214</v>
      </c>
      <c r="U679" s="2">
        <v>48580</v>
      </c>
      <c r="V679" s="2">
        <v>48945</v>
      </c>
      <c r="W679" s="2">
        <v>49310</v>
      </c>
      <c r="X679" s="2">
        <v>49675</v>
      </c>
      <c r="Y679" s="2">
        <v>50041</v>
      </c>
      <c r="Z679" s="2">
        <v>50406</v>
      </c>
      <c r="AA679" s="2">
        <v>50771</v>
      </c>
      <c r="AB679" s="2">
        <v>51136</v>
      </c>
      <c r="AC679" s="2">
        <v>51502</v>
      </c>
      <c r="AD679" s="2">
        <v>51867</v>
      </c>
      <c r="AE679" s="2">
        <v>52232</v>
      </c>
      <c r="AF679" s="2">
        <v>52597</v>
      </c>
      <c r="AG679" s="2">
        <v>52963</v>
      </c>
      <c r="AH679" s="2">
        <v>53328</v>
      </c>
      <c r="AI679" s="2">
        <v>53693</v>
      </c>
      <c r="AJ679" s="2">
        <v>54058</v>
      </c>
      <c r="AK679" s="2">
        <v>54424</v>
      </c>
      <c r="AL679" s="2">
        <v>54789</v>
      </c>
    </row>
    <row r="680" spans="2:38" x14ac:dyDescent="0.3">
      <c r="B680" t="s">
        <v>93</v>
      </c>
      <c r="C680" s="9">
        <f>C667/C673-1</f>
        <v>0</v>
      </c>
      <c r="D680" s="9">
        <f t="shared" ref="D680:AL680" si="135">D667/D673-1</f>
        <v>0</v>
      </c>
      <c r="E680" s="9">
        <f t="shared" si="135"/>
        <v>0</v>
      </c>
      <c r="F680" s="9">
        <f t="shared" si="135"/>
        <v>0</v>
      </c>
      <c r="G680" s="9">
        <f t="shared" si="135"/>
        <v>0</v>
      </c>
      <c r="H680" s="9">
        <f t="shared" si="135"/>
        <v>0</v>
      </c>
      <c r="I680" s="9">
        <f t="shared" si="135"/>
        <v>1.5648457356556289E-3</v>
      </c>
      <c r="J680" s="9">
        <f t="shared" si="135"/>
        <v>4.6507825566208805E-3</v>
      </c>
      <c r="K680" s="9">
        <f t="shared" si="135"/>
        <v>8.5399924238662717E-3</v>
      </c>
      <c r="L680" s="9">
        <f t="shared" si="135"/>
        <v>1.1142283309290235E-2</v>
      </c>
      <c r="M680" s="9">
        <f t="shared" si="135"/>
        <v>1.1008877536044626E-2</v>
      </c>
      <c r="N680" s="9">
        <f t="shared" si="135"/>
        <v>8.2495248161167378E-3</v>
      </c>
      <c r="O680" s="9">
        <f t="shared" si="135"/>
        <v>3.7477545611004359E-3</v>
      </c>
      <c r="P680" s="9">
        <f t="shared" si="135"/>
        <v>-1.1850621839718523E-3</v>
      </c>
      <c r="Q680" s="9">
        <f t="shared" si="135"/>
        <v>-5.347878695659003E-3</v>
      </c>
      <c r="R680" s="9">
        <f t="shared" si="135"/>
        <v>-8.0424602749019636E-3</v>
      </c>
      <c r="S680" s="9">
        <f t="shared" si="135"/>
        <v>-9.1877663876295257E-3</v>
      </c>
      <c r="T680" s="9">
        <f t="shared" si="135"/>
        <v>-9.078481693063245E-3</v>
      </c>
      <c r="U680" s="9">
        <f t="shared" si="135"/>
        <v>-8.1663727259461139E-3</v>
      </c>
      <c r="V680" s="9">
        <f t="shared" si="135"/>
        <v>-6.874423059448298E-3</v>
      </c>
      <c r="W680" s="9">
        <f t="shared" si="135"/>
        <v>-5.5109699134711088E-3</v>
      </c>
      <c r="X680" s="9">
        <f t="shared" si="135"/>
        <v>-4.154409955303251E-3</v>
      </c>
      <c r="Y680" s="9">
        <f t="shared" si="135"/>
        <v>-2.8408069946922465E-3</v>
      </c>
      <c r="Z680" s="9">
        <f t="shared" si="135"/>
        <v>-1.5865865582834759E-3</v>
      </c>
      <c r="AA680" s="9">
        <f t="shared" si="135"/>
        <v>-4.2501383092174994E-4</v>
      </c>
      <c r="AB680" s="9">
        <f t="shared" si="135"/>
        <v>5.6172887806371641E-4</v>
      </c>
      <c r="AC680" s="9">
        <f t="shared" si="135"/>
        <v>1.3208829555224622E-3</v>
      </c>
      <c r="AD680" s="9">
        <f t="shared" si="135"/>
        <v>1.7800753409638048E-3</v>
      </c>
      <c r="AE680" s="9">
        <f t="shared" si="135"/>
        <v>1.8956925290680715E-3</v>
      </c>
      <c r="AF680" s="9">
        <f t="shared" si="135"/>
        <v>1.6717596834623372E-3</v>
      </c>
      <c r="AG680" s="9">
        <f t="shared" si="135"/>
        <v>1.1617041427871566E-3</v>
      </c>
      <c r="AH680" s="9">
        <f t="shared" si="135"/>
        <v>4.4692686044323082E-4</v>
      </c>
      <c r="AI680" s="9">
        <f t="shared" si="135"/>
        <v>-3.7163877238099996E-4</v>
      </c>
      <c r="AJ680" s="9">
        <f t="shared" si="135"/>
        <v>-1.1935976899858369E-3</v>
      </c>
      <c r="AK680" s="9">
        <f t="shared" si="135"/>
        <v>-1.9381515880597666E-3</v>
      </c>
      <c r="AL680" s="9">
        <f t="shared" si="135"/>
        <v>-2.5391801628308341E-3</v>
      </c>
    </row>
    <row r="681" spans="2:38" x14ac:dyDescent="0.3">
      <c r="B681" t="s">
        <v>94</v>
      </c>
      <c r="C681" s="9">
        <f>(C670-C676)/C673</f>
        <v>0</v>
      </c>
      <c r="D681" s="9">
        <f t="shared" ref="D681:AL681" si="136">(D670-D676)/D673</f>
        <v>0</v>
      </c>
      <c r="E681" s="9">
        <f t="shared" si="136"/>
        <v>0</v>
      </c>
      <c r="F681" s="9">
        <f t="shared" si="136"/>
        <v>0</v>
      </c>
      <c r="G681" s="9">
        <f t="shared" si="136"/>
        <v>0</v>
      </c>
      <c r="H681" s="9">
        <f t="shared" si="136"/>
        <v>0</v>
      </c>
      <c r="I681" s="9">
        <f t="shared" si="136"/>
        <v>1.0833592381328307E-4</v>
      </c>
      <c r="J681" s="9">
        <f t="shared" si="136"/>
        <v>2.9123885475861299E-4</v>
      </c>
      <c r="K681" s="9">
        <f t="shared" si="136"/>
        <v>4.602287911592531E-4</v>
      </c>
      <c r="L681" s="9">
        <f t="shared" si="136"/>
        <v>6.343245433478574E-4</v>
      </c>
      <c r="M681" s="9">
        <f t="shared" si="136"/>
        <v>8.5293201964354508E-4</v>
      </c>
      <c r="N681" s="9">
        <f t="shared" si="136"/>
        <v>1.1038026177816866E-3</v>
      </c>
      <c r="O681" s="9">
        <f t="shared" si="136"/>
        <v>1.3407997643946849E-3</v>
      </c>
      <c r="P681" s="9">
        <f t="shared" si="136"/>
        <v>1.5167138769401893E-3</v>
      </c>
      <c r="Q681" s="9">
        <f t="shared" si="136"/>
        <v>1.6590121617585721E-3</v>
      </c>
      <c r="R681" s="9">
        <f t="shared" si="136"/>
        <v>1.8109945365884375E-3</v>
      </c>
      <c r="S681" s="9">
        <f t="shared" si="136"/>
        <v>1.9590872828205794E-3</v>
      </c>
      <c r="T681" s="9">
        <f t="shared" si="136"/>
        <v>2.0935986789894926E-3</v>
      </c>
      <c r="U681" s="9">
        <f t="shared" si="136"/>
        <v>2.2049398982718336E-3</v>
      </c>
      <c r="V681" s="9">
        <f t="shared" si="136"/>
        <v>2.2832394912261299E-3</v>
      </c>
      <c r="W681" s="9">
        <f t="shared" si="136"/>
        <v>2.3175425551513005E-3</v>
      </c>
      <c r="X681" s="9">
        <f t="shared" si="136"/>
        <v>2.3259934846996491E-3</v>
      </c>
      <c r="Y681" s="9">
        <f t="shared" si="136"/>
        <v>2.3138648151206542E-3</v>
      </c>
      <c r="Z681" s="9">
        <f t="shared" si="136"/>
        <v>2.2803162921370235E-3</v>
      </c>
      <c r="AA681" s="9">
        <f t="shared" si="136"/>
        <v>2.2241606928126855E-3</v>
      </c>
      <c r="AB681" s="9">
        <f t="shared" si="136"/>
        <v>2.1487344093519866E-3</v>
      </c>
      <c r="AC681" s="9">
        <f t="shared" si="136"/>
        <v>2.0532883323650317E-3</v>
      </c>
      <c r="AD681" s="9">
        <f t="shared" si="136"/>
        <v>1.9445504161280565E-3</v>
      </c>
      <c r="AE681" s="9">
        <f t="shared" si="136"/>
        <v>1.8289186040838952E-3</v>
      </c>
      <c r="AF681" s="9">
        <f t="shared" si="136"/>
        <v>1.7119027302927238E-3</v>
      </c>
      <c r="AG681" s="9">
        <f t="shared" si="136"/>
        <v>1.5976439864376136E-3</v>
      </c>
      <c r="AH681" s="9">
        <f t="shared" si="136"/>
        <v>1.4829676737254235E-3</v>
      </c>
      <c r="AI681" s="9">
        <f t="shared" si="136"/>
        <v>1.3674368351655872E-3</v>
      </c>
      <c r="AJ681" s="9">
        <f t="shared" si="136"/>
        <v>1.2539380305545784E-3</v>
      </c>
      <c r="AK681" s="9">
        <f t="shared" si="136"/>
        <v>1.1454336651415846E-3</v>
      </c>
      <c r="AL681" s="9">
        <f t="shared" si="136"/>
        <v>1.0539652041156578E-3</v>
      </c>
    </row>
    <row r="682" spans="2:38" x14ac:dyDescent="0.3">
      <c r="B682" t="s">
        <v>95</v>
      </c>
      <c r="C682" s="9">
        <f>(C669-C675)/C673</f>
        <v>0</v>
      </c>
      <c r="D682" s="9">
        <f t="shared" ref="D682:AL682" si="137">(D669-D675)/D673</f>
        <v>0</v>
      </c>
      <c r="E682" s="9">
        <f t="shared" si="137"/>
        <v>0</v>
      </c>
      <c r="F682" s="9">
        <f t="shared" si="137"/>
        <v>0</v>
      </c>
      <c r="G682" s="9">
        <f t="shared" si="137"/>
        <v>0</v>
      </c>
      <c r="H682" s="9">
        <f t="shared" si="137"/>
        <v>0</v>
      </c>
      <c r="I682" s="9">
        <f t="shared" si="137"/>
        <v>3.1245591283082311E-3</v>
      </c>
      <c r="J682" s="9">
        <f t="shared" si="137"/>
        <v>8.1631346265678834E-3</v>
      </c>
      <c r="K682" s="9">
        <f t="shared" si="137"/>
        <v>1.4307377219007213E-2</v>
      </c>
      <c r="L682" s="9">
        <f t="shared" si="137"/>
        <v>1.8367066223891608E-2</v>
      </c>
      <c r="M682" s="9">
        <f t="shared" si="137"/>
        <v>1.8157509109367122E-2</v>
      </c>
      <c r="N682" s="9">
        <f t="shared" si="137"/>
        <v>1.3966714677737658E-2</v>
      </c>
      <c r="O682" s="9">
        <f t="shared" si="137"/>
        <v>7.235391754189472E-3</v>
      </c>
      <c r="P682" s="9">
        <f t="shared" si="137"/>
        <v>-5.3519987400579662E-5</v>
      </c>
      <c r="Q682" s="9">
        <f t="shared" si="137"/>
        <v>-6.260588796137204E-3</v>
      </c>
      <c r="R682" s="9">
        <f t="shared" si="137"/>
        <v>-1.0531242279536935E-2</v>
      </c>
      <c r="S682" s="9">
        <f t="shared" si="137"/>
        <v>-1.2805717893313411E-2</v>
      </c>
      <c r="T682" s="9">
        <f t="shared" si="137"/>
        <v>-1.3522353695604962E-2</v>
      </c>
      <c r="U682" s="9">
        <f t="shared" si="137"/>
        <v>-1.3289900858861529E-2</v>
      </c>
      <c r="V682" s="9">
        <f t="shared" si="137"/>
        <v>-1.2630606906199921E-2</v>
      </c>
      <c r="W682" s="9">
        <f t="shared" si="137"/>
        <v>-1.1877363142715229E-2</v>
      </c>
      <c r="X682" s="9">
        <f t="shared" si="137"/>
        <v>-1.1063455257199831E-2</v>
      </c>
      <c r="Y682" s="9">
        <f t="shared" si="137"/>
        <v>-1.0162921554204335E-2</v>
      </c>
      <c r="Z682" s="9">
        <f t="shared" si="137"/>
        <v>-9.1361160197327325E-3</v>
      </c>
      <c r="AA682" s="9">
        <f t="shared" si="137"/>
        <v>-7.994663676529087E-3</v>
      </c>
      <c r="AB682" s="9">
        <f t="shared" si="137"/>
        <v>-6.8501845228241195E-3</v>
      </c>
      <c r="AC682" s="9">
        <f t="shared" si="137"/>
        <v>-5.7904653221209114E-3</v>
      </c>
      <c r="AD682" s="9">
        <f t="shared" si="137"/>
        <v>-4.9481102587869896E-3</v>
      </c>
      <c r="AE682" s="9">
        <f t="shared" si="137"/>
        <v>-4.4250717352713916E-3</v>
      </c>
      <c r="AF682" s="9">
        <f t="shared" si="137"/>
        <v>-4.2601197336853101E-3</v>
      </c>
      <c r="AG682" s="9">
        <f t="shared" si="137"/>
        <v>-4.4226648007449319E-3</v>
      </c>
      <c r="AH682" s="9">
        <f t="shared" si="137"/>
        <v>-4.8334148263684349E-3</v>
      </c>
      <c r="AI682" s="9">
        <f t="shared" si="137"/>
        <v>-5.3881392145443425E-3</v>
      </c>
      <c r="AJ682" s="9">
        <f t="shared" si="137"/>
        <v>-5.9843853788939831E-3</v>
      </c>
      <c r="AK682" s="9">
        <f t="shared" si="137"/>
        <v>-6.5414814265304638E-3</v>
      </c>
      <c r="AL682" s="9">
        <f t="shared" si="137"/>
        <v>-7.0030854438776846E-3</v>
      </c>
    </row>
    <row r="683" spans="2:38" x14ac:dyDescent="0.3">
      <c r="B683" t="s">
        <v>79</v>
      </c>
      <c r="C683" s="9">
        <f>(C671-C668-(C677-C674))/C673</f>
        <v>0</v>
      </c>
      <c r="D683" s="9">
        <f t="shared" ref="D683:AL683" si="138">(D671-D668-(D677-D674))/D673</f>
        <v>0</v>
      </c>
      <c r="E683" s="9">
        <f t="shared" si="138"/>
        <v>0</v>
      </c>
      <c r="F683" s="9">
        <f t="shared" si="138"/>
        <v>0</v>
      </c>
      <c r="G683" s="9">
        <f t="shared" si="138"/>
        <v>0</v>
      </c>
      <c r="H683" s="9">
        <f t="shared" si="138"/>
        <v>0</v>
      </c>
      <c r="I683" s="9">
        <f t="shared" si="138"/>
        <v>-1.6680491148287557E-3</v>
      </c>
      <c r="J683" s="9">
        <f t="shared" si="138"/>
        <v>-3.8035907927037069E-3</v>
      </c>
      <c r="K683" s="9">
        <f t="shared" si="138"/>
        <v>-6.2276137805699974E-3</v>
      </c>
      <c r="L683" s="9">
        <f t="shared" si="138"/>
        <v>-7.8591066956547675E-3</v>
      </c>
      <c r="M683" s="9">
        <f t="shared" si="138"/>
        <v>-8.0015636552572249E-3</v>
      </c>
      <c r="N683" s="9">
        <f t="shared" si="138"/>
        <v>-6.8209924794026718E-3</v>
      </c>
      <c r="O683" s="9">
        <f t="shared" si="138"/>
        <v>-4.8284368973480311E-3</v>
      </c>
      <c r="P683" s="9">
        <f t="shared" si="138"/>
        <v>-2.648255600030157E-3</v>
      </c>
      <c r="Q683" s="9">
        <f t="shared" si="138"/>
        <v>-7.4630106981956256E-4</v>
      </c>
      <c r="R683" s="9">
        <f t="shared" si="138"/>
        <v>6.7778718032909184E-4</v>
      </c>
      <c r="S683" s="9">
        <f t="shared" si="138"/>
        <v>1.6588642228631302E-3</v>
      </c>
      <c r="T683" s="9">
        <f t="shared" si="138"/>
        <v>2.350273323552293E-3</v>
      </c>
      <c r="U683" s="9">
        <f t="shared" si="138"/>
        <v>2.9185883458895286E-3</v>
      </c>
      <c r="V683" s="9">
        <f t="shared" si="138"/>
        <v>3.4729446308363987E-3</v>
      </c>
      <c r="W683" s="9">
        <f t="shared" si="138"/>
        <v>4.048849637836003E-3</v>
      </c>
      <c r="X683" s="9">
        <f t="shared" si="138"/>
        <v>4.5830521951234753E-3</v>
      </c>
      <c r="Y683" s="9">
        <f t="shared" si="138"/>
        <v>5.008250332039295E-3</v>
      </c>
      <c r="Z683" s="9">
        <f t="shared" si="138"/>
        <v>5.2692133278182569E-3</v>
      </c>
      <c r="AA683" s="9">
        <f t="shared" si="138"/>
        <v>5.3454888394416471E-3</v>
      </c>
      <c r="AB683" s="9">
        <f t="shared" si="138"/>
        <v>5.2631790432170937E-3</v>
      </c>
      <c r="AC683" s="9">
        <f t="shared" si="138"/>
        <v>5.058059689826061E-3</v>
      </c>
      <c r="AD683" s="9">
        <f t="shared" si="138"/>
        <v>4.7836353351095413E-3</v>
      </c>
      <c r="AE683" s="9">
        <f t="shared" si="138"/>
        <v>4.4918452609993545E-3</v>
      </c>
      <c r="AF683" s="9">
        <f t="shared" si="138"/>
        <v>4.2199763415591675E-3</v>
      </c>
      <c r="AG683" s="9">
        <f t="shared" si="138"/>
        <v>3.9867250058527887E-3</v>
      </c>
      <c r="AH683" s="9">
        <f t="shared" si="138"/>
        <v>3.7973744950640402E-3</v>
      </c>
      <c r="AI683" s="9">
        <f t="shared" si="138"/>
        <v>3.6490640358210163E-3</v>
      </c>
      <c r="AJ683" s="9">
        <f t="shared" si="138"/>
        <v>3.5368500823267576E-3</v>
      </c>
      <c r="AK683" s="9">
        <f t="shared" si="138"/>
        <v>3.4578963596639083E-3</v>
      </c>
      <c r="AL683" s="9">
        <f t="shared" si="138"/>
        <v>3.4099400769310472E-3</v>
      </c>
    </row>
  </sheetData>
  <mergeCells count="2">
    <mergeCell ref="A61:A62"/>
    <mergeCell ref="A64:A6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24</vt:i4>
      </vt:variant>
    </vt:vector>
  </HeadingPairs>
  <TitlesOfParts>
    <vt:vector size="25" baseType="lpstr">
      <vt:lpstr>Données</vt:lpstr>
      <vt:lpstr>Gr Macro</vt:lpstr>
      <vt:lpstr>Gr inflation</vt:lpstr>
      <vt:lpstr>Gr émissions</vt:lpstr>
      <vt:lpstr>Gr conso éner</vt:lpstr>
      <vt:lpstr>GR macro ener</vt:lpstr>
      <vt:lpstr>Gr éner prim</vt:lpstr>
      <vt:lpstr>BUIL (class,base)</vt:lpstr>
      <vt:lpstr>BUIL (class,shock)</vt:lpstr>
      <vt:lpstr>Auto (class,base)</vt:lpstr>
      <vt:lpstr>Auto (class,shock)</vt:lpstr>
      <vt:lpstr>Auto (ener,base)</vt:lpstr>
      <vt:lpstr>Auto (ener,shock)</vt:lpstr>
      <vt:lpstr>Employment</vt:lpstr>
      <vt:lpstr>Investissement</vt:lpstr>
      <vt:lpstr>Investissement ctrb</vt:lpstr>
      <vt:lpstr>Firms' emissions</vt:lpstr>
      <vt:lpstr>Capital intensity</vt:lpstr>
      <vt:lpstr>Energy intensity</vt:lpstr>
      <vt:lpstr>Gr VA secteurs (% dev)</vt:lpstr>
      <vt:lpstr>Gr VA secteurs (% dev2)</vt:lpstr>
      <vt:lpstr>Gr VA secteurs (% share)</vt:lpstr>
      <vt:lpstr>Gr Y secteurs (% dev)</vt:lpstr>
      <vt:lpstr>Gr Y secteurs ctrb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Florian Jacquetin</cp:lastModifiedBy>
  <dcterms:created xsi:type="dcterms:W3CDTF">2021-11-04T11:19:34Z</dcterms:created>
  <dcterms:modified xsi:type="dcterms:W3CDTF">2023-01-30T00:12:10Z</dcterms:modified>
</cp:coreProperties>
</file>