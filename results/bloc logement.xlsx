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1" l="1"/>
  <c r="C5" i="1" l="1"/>
</calcChain>
</file>

<file path=xl/sharedStrings.xml><?xml version="1.0" encoding="utf-8"?>
<sst xmlns="http://schemas.openxmlformats.org/spreadsheetml/2006/main" count="11" uniqueCount="11">
  <si>
    <t>Payback_REHAB_CB  = ( UC_K_REHAB_CB  * BUIL_D_CB  - UC_K_CB  * BUIL_D_CB )  / ( UC_E_CB  - UC_E_REHAB_CB )  - 1</t>
  </si>
  <si>
    <t>tau_rehab_n_cb_2 UC_K_REHAB_CB_2   UC_K_CB_2  UC_E_CB_2  UC_E_REHAB_CB_2</t>
  </si>
  <si>
    <t>tau_REHAB_N_CB  = tau_REHAB_MAX_CB  + ( tau_REHAB_MIN_CB  - tau_REHAB_MAX_CB )  / ( 1  + exp(tau_CB  - sigma_CB  * Payback_REHAB_CB) )</t>
  </si>
  <si>
    <t>sigma</t>
  </si>
  <si>
    <t>0.5</t>
  </si>
  <si>
    <t>tau_cb</t>
  </si>
  <si>
    <t>-14.82631310262216</t>
  </si>
  <si>
    <t>V2</t>
  </si>
  <si>
    <t>d(tau_REHAB_N_H01_CB)  = ( @year &gt; 2006 )  * (  - nu_REHAB_H01_CB  * dlog(Payback_REHAB_H01_CB) )</t>
  </si>
  <si>
    <t>0.066</t>
  </si>
  <si>
    <t>nu_rehab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</si>
</sst>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L9" sqref="L9"/>
    </sheetView>
  </sheetViews>
  <sheetFormatPr baseColWidth="10" defaultRowHeight="14.5" x14ac:dyDescent="0.35"/>
  <cols>
    <col min="3" max="3" width="11.81640625" bestFit="1" customWidth="1"/>
  </cols>
  <sheetData>
    <row r="1" spans="1:12" x14ac:dyDescent="0.35">
      <c r="A1" t="s">
        <v>0</v>
      </c>
    </row>
    <row r="2" spans="1:12" x14ac:dyDescent="0.35">
      <c r="A2">
        <v>2030</v>
      </c>
      <c r="B2" s="1">
        <v>1.00000589E-7</v>
      </c>
      <c r="C2" s="1">
        <v>1.5455656499999999E-5</v>
      </c>
      <c r="D2" s="1">
        <v>1.00691891E-7</v>
      </c>
      <c r="E2" s="1">
        <v>24.733533359999999</v>
      </c>
      <c r="F2" s="1">
        <v>12.63434062</v>
      </c>
      <c r="H2">
        <v>25</v>
      </c>
    </row>
    <row r="3" spans="1:12" x14ac:dyDescent="0.35">
      <c r="B3" t="s">
        <v>1</v>
      </c>
    </row>
    <row r="5" spans="1:12" x14ac:dyDescent="0.35">
      <c r="C5">
        <f>(C2*H2-D2*H2)/(E2-F2)-1</f>
        <v>-0.9999682727498046</v>
      </c>
    </row>
    <row r="6" spans="1:12" x14ac:dyDescent="0.35">
      <c r="A6" t="s">
        <v>2</v>
      </c>
    </row>
    <row r="7" spans="1:12" x14ac:dyDescent="0.35">
      <c r="B7" t="s">
        <v>3</v>
      </c>
      <c r="C7" t="s">
        <v>4</v>
      </c>
    </row>
    <row r="8" spans="1:12" x14ac:dyDescent="0.35">
      <c r="B8" t="s">
        <v>5</v>
      </c>
      <c r="C8" t="s">
        <v>6</v>
      </c>
    </row>
    <row r="9" spans="1:12" x14ac:dyDescent="0.35">
      <c r="L9">
        <f>37/2.54</f>
        <v>14.566929133858267</v>
      </c>
    </row>
    <row r="11" spans="1:12" x14ac:dyDescent="0.35">
      <c r="A11" t="s">
        <v>7</v>
      </c>
      <c r="C11" s="2">
        <v>1.3632281499999999E-5</v>
      </c>
      <c r="D11" s="2">
        <v>1.00353452E-7</v>
      </c>
      <c r="E11" s="2">
        <v>4.8499413100000001E-6</v>
      </c>
      <c r="F11" s="2">
        <v>2.38438337E-6</v>
      </c>
      <c r="H11" s="2">
        <v>25</v>
      </c>
    </row>
    <row r="13" spans="1:12" x14ac:dyDescent="0.35">
      <c r="A13" t="s">
        <v>8</v>
      </c>
    </row>
    <row r="14" spans="1:12" x14ac:dyDescent="0.35">
      <c r="B14" t="s">
        <v>10</v>
      </c>
      <c r="C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2022-02-15T10:39:45Z</dcterms:created>
  <dcterms:modified xsi:type="dcterms:W3CDTF">2022-02-15T17:16:57Z</dcterms:modified>
</cp:coreProperties>
</file>