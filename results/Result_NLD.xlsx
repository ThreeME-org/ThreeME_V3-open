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filterPrivacy="1" autoCompressPictures="0"/>
  <xr:revisionPtr revIDLastSave="0" documentId="8_{FDEF08DC-5600-4FEA-BB49-8EC0824CECF2}" xr6:coauthVersionLast="46" xr6:coauthVersionMax="46" xr10:uidLastSave="{00000000-0000-0000-0000-000000000000}"/>
  <bookViews>
    <workbookView xWindow="4824" yWindow="-13068" windowWidth="23256" windowHeight="12576" activeTab="3" xr2:uid="{00000000-000D-0000-FFFF-FFFF00000000}"/>
  </bookViews>
  <sheets>
    <sheet name="List_Sectors" sheetId="29" r:id="rId1"/>
    <sheet name="Tab-macro" sheetId="7" r:id="rId2"/>
    <sheet name="Tab-GDP" sheetId="31" r:id="rId3"/>
    <sheet name="Baseline" sheetId="26" r:id="rId4"/>
    <sheet name="Shock" sheetId="27" r:id="rId5"/>
    <sheet name="Shock_dev" sheetId="28" r:id="rId6"/>
  </sheets>
  <externalReferences>
    <externalReference r:id="rId7"/>
  </externalReferences>
  <definedNames>
    <definedName name="formatResults">[1]ResultsEXR10!$A$50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F31" i="31" l="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B23" i="7"/>
  <c r="J23" i="7"/>
  <c r="I23" i="7"/>
  <c r="H23" i="7"/>
  <c r="G23" i="7"/>
  <c r="F23" i="7"/>
  <c r="E23" i="7"/>
  <c r="D23" i="7"/>
  <c r="C23" i="7"/>
  <c r="B22" i="7"/>
  <c r="J22" i="7"/>
  <c r="I22" i="7"/>
  <c r="H22" i="7"/>
  <c r="G22" i="7"/>
  <c r="F22" i="7"/>
  <c r="E22" i="7"/>
  <c r="D22" i="7"/>
  <c r="C22" i="7"/>
  <c r="B21" i="7"/>
  <c r="J21" i="7"/>
  <c r="I21" i="7"/>
  <c r="H21" i="7"/>
  <c r="G21" i="7"/>
  <c r="F21" i="7"/>
  <c r="E21" i="7"/>
  <c r="D21" i="7"/>
  <c r="C21" i="7"/>
  <c r="B20" i="7"/>
  <c r="J20" i="7"/>
  <c r="I20" i="7"/>
  <c r="H20" i="7"/>
  <c r="G20" i="7"/>
  <c r="F20" i="7"/>
  <c r="E20" i="7"/>
  <c r="D20" i="7"/>
  <c r="C20" i="7"/>
  <c r="B19" i="7"/>
  <c r="J19" i="7"/>
  <c r="I19" i="7"/>
  <c r="H19" i="7"/>
  <c r="G19" i="7"/>
  <c r="F19" i="7"/>
  <c r="E19" i="7"/>
  <c r="D19" i="7"/>
  <c r="C19" i="7"/>
  <c r="B18" i="7"/>
  <c r="J18" i="7"/>
  <c r="I18" i="7"/>
  <c r="H18" i="7"/>
  <c r="G18" i="7"/>
  <c r="F18" i="7"/>
  <c r="E18" i="7"/>
  <c r="D18" i="7"/>
  <c r="C18" i="7"/>
  <c r="B17" i="7"/>
  <c r="J17" i="7"/>
  <c r="I17" i="7"/>
  <c r="H17" i="7"/>
  <c r="G17" i="7"/>
  <c r="F17" i="7"/>
  <c r="E17" i="7"/>
  <c r="D17" i="7"/>
  <c r="C17" i="7"/>
  <c r="B16" i="7"/>
  <c r="J16" i="7"/>
  <c r="I16" i="7"/>
  <c r="H16" i="7"/>
  <c r="G16" i="7"/>
  <c r="F16" i="7"/>
  <c r="E16" i="7"/>
  <c r="D16" i="7"/>
  <c r="C16" i="7"/>
  <c r="B15" i="7"/>
  <c r="J15" i="7"/>
  <c r="I15" i="7"/>
  <c r="H15" i="7"/>
  <c r="G15" i="7"/>
  <c r="F15" i="7"/>
  <c r="E15" i="7"/>
  <c r="D15" i="7"/>
  <c r="C15" i="7"/>
  <c r="B14" i="7"/>
  <c r="J14" i="7"/>
  <c r="I14" i="7"/>
  <c r="H14" i="7"/>
  <c r="G14" i="7"/>
  <c r="F14" i="7"/>
  <c r="E14" i="7"/>
  <c r="D14" i="7"/>
  <c r="C14" i="7"/>
  <c r="B13" i="7"/>
  <c r="J13" i="7"/>
  <c r="I13" i="7"/>
  <c r="H13" i="7"/>
  <c r="G13" i="7"/>
  <c r="F13" i="7"/>
  <c r="E13" i="7"/>
  <c r="D13" i="7"/>
  <c r="C13" i="7"/>
  <c r="B12" i="7"/>
  <c r="J12" i="7"/>
  <c r="I12" i="7"/>
  <c r="H12" i="7"/>
  <c r="G12" i="7"/>
  <c r="F12" i="7"/>
  <c r="E12" i="7"/>
  <c r="D12" i="7"/>
  <c r="C12" i="7"/>
  <c r="B11" i="7"/>
  <c r="J11" i="7"/>
  <c r="I11" i="7"/>
  <c r="H11" i="7"/>
  <c r="G11" i="7"/>
  <c r="F11" i="7"/>
  <c r="E11" i="7"/>
  <c r="D11" i="7"/>
  <c r="C11" i="7"/>
  <c r="B10" i="7"/>
  <c r="J10" i="7"/>
  <c r="I10" i="7"/>
  <c r="H10" i="7"/>
  <c r="G10" i="7"/>
  <c r="F10" i="7"/>
  <c r="E10" i="7"/>
  <c r="D10" i="7"/>
  <c r="C10" i="7"/>
  <c r="B9" i="7"/>
  <c r="J9" i="7"/>
  <c r="I9" i="7"/>
  <c r="H9" i="7"/>
  <c r="G9" i="7"/>
  <c r="F9" i="7"/>
  <c r="E9" i="7"/>
  <c r="D9" i="7"/>
  <c r="C9" i="7"/>
  <c r="B8" i="7"/>
  <c r="J8" i="7"/>
  <c r="I8" i="7"/>
  <c r="H8" i="7"/>
  <c r="G8" i="7"/>
  <c r="F8" i="7"/>
  <c r="E8" i="7"/>
  <c r="D8" i="7"/>
  <c r="C8" i="7"/>
  <c r="B7" i="7"/>
  <c r="J7" i="7"/>
  <c r="I7" i="7"/>
  <c r="H7" i="7"/>
  <c r="G7" i="7"/>
  <c r="F7" i="7"/>
  <c r="E7" i="7"/>
  <c r="D7" i="7"/>
  <c r="C7" i="7"/>
  <c r="B6" i="7"/>
  <c r="J6" i="7"/>
  <c r="I6" i="7"/>
  <c r="H6" i="7"/>
  <c r="G6" i="7"/>
  <c r="F6" i="7"/>
  <c r="E6" i="7"/>
  <c r="D6" i="7"/>
  <c r="C6" i="7"/>
  <c r="B5" i="7"/>
  <c r="J5" i="7"/>
  <c r="I5" i="7"/>
  <c r="H5" i="7"/>
  <c r="G5" i="7"/>
  <c r="F5" i="7"/>
  <c r="E5" i="7"/>
  <c r="D5" i="7"/>
  <c r="C5" i="7"/>
  <c r="B4" i="7"/>
  <c r="J4" i="7"/>
  <c r="I4" i="7"/>
  <c r="H4" i="7"/>
  <c r="G4" i="7"/>
  <c r="F4" i="7"/>
  <c r="E4" i="7"/>
  <c r="D4" i="7"/>
  <c r="C4" i="7"/>
  <c r="D1" i="31"/>
  <c r="E1" i="31"/>
  <c r="F1" i="31"/>
  <c r="G1" i="31"/>
  <c r="H1" i="31"/>
  <c r="I1" i="31"/>
  <c r="J1" i="31"/>
  <c r="K1" i="31"/>
  <c r="L1" i="31"/>
  <c r="M1" i="31"/>
  <c r="N1" i="31"/>
  <c r="O1" i="31"/>
  <c r="P1" i="31"/>
  <c r="Q1" i="31"/>
  <c r="R1" i="31"/>
  <c r="S1" i="31"/>
  <c r="T1" i="31"/>
  <c r="U1" i="31"/>
  <c r="V1" i="31"/>
  <c r="W1" i="31"/>
  <c r="X1" i="31"/>
  <c r="Y1" i="31"/>
  <c r="Z1" i="31"/>
  <c r="AA1" i="31"/>
  <c r="AB1" i="31"/>
  <c r="AC1" i="31"/>
  <c r="AD1" i="31"/>
  <c r="AE1" i="31"/>
  <c r="AF1" i="31"/>
  <c r="AN32" i="31"/>
  <c r="AG32" i="31"/>
  <c r="C30" i="31"/>
  <c r="C32" i="31"/>
  <c r="D30" i="31"/>
  <c r="D32" i="31"/>
  <c r="E30" i="31"/>
  <c r="E32" i="31"/>
  <c r="F30" i="31"/>
  <c r="F32" i="31"/>
  <c r="AH29" i="31"/>
  <c r="AH31" i="31"/>
  <c r="AH26" i="31"/>
  <c r="G30" i="31"/>
  <c r="AH30" i="31"/>
  <c r="G32" i="31"/>
  <c r="AH28" i="31"/>
  <c r="AH27" i="31"/>
  <c r="H30" i="31"/>
  <c r="H32" i="31"/>
  <c r="AH32" i="31"/>
  <c r="I30" i="31"/>
  <c r="I32" i="31"/>
  <c r="J30" i="31"/>
  <c r="J32" i="31"/>
  <c r="K30" i="31"/>
  <c r="K32" i="31"/>
  <c r="AI29" i="31"/>
  <c r="AO29" i="31"/>
  <c r="AI26" i="31"/>
  <c r="AO26" i="31"/>
  <c r="L30" i="31"/>
  <c r="AI30" i="31"/>
  <c r="AO30" i="31"/>
  <c r="AI31" i="31"/>
  <c r="AO31" i="31"/>
  <c r="AI27" i="31"/>
  <c r="AI28" i="31"/>
  <c r="L32" i="31"/>
  <c r="M30" i="31"/>
  <c r="M32" i="31"/>
  <c r="AO28" i="31"/>
  <c r="AO32" i="31"/>
  <c r="AI32" i="31"/>
  <c r="AO27" i="31"/>
  <c r="N30" i="31"/>
  <c r="N32" i="31"/>
  <c r="O30" i="31"/>
  <c r="O32" i="31"/>
  <c r="P30" i="31"/>
  <c r="P32" i="31"/>
  <c r="AJ31" i="31"/>
  <c r="AJ29" i="31"/>
  <c r="AJ26" i="31"/>
  <c r="Q30" i="31"/>
  <c r="AJ30" i="31"/>
  <c r="AJ28" i="31"/>
  <c r="AJ27" i="31"/>
  <c r="Q32" i="31"/>
  <c r="R30" i="31"/>
  <c r="R32" i="31"/>
  <c r="AJ32" i="31"/>
  <c r="S30" i="31"/>
  <c r="S32" i="31"/>
  <c r="T30" i="31"/>
  <c r="T32" i="31"/>
  <c r="U30" i="31"/>
  <c r="U32" i="31"/>
  <c r="AK29" i="31"/>
  <c r="AP29" i="31"/>
  <c r="AK26" i="31"/>
  <c r="AP26" i="31"/>
  <c r="V30" i="31"/>
  <c r="AK30" i="31"/>
  <c r="AP30" i="31"/>
  <c r="AK27" i="31"/>
  <c r="AP27" i="31"/>
  <c r="AK31" i="31"/>
  <c r="AP31" i="31"/>
  <c r="AK28" i="31"/>
  <c r="V32" i="31"/>
  <c r="W30" i="31"/>
  <c r="W32" i="31"/>
  <c r="AP28" i="31"/>
  <c r="AP32" i="31"/>
  <c r="AK32" i="31"/>
  <c r="X30" i="31"/>
  <c r="X32" i="31"/>
  <c r="Y30" i="31"/>
  <c r="Y32" i="31"/>
  <c r="Z30" i="31"/>
  <c r="Z32" i="31"/>
  <c r="AL31" i="31"/>
  <c r="AL29" i="31"/>
  <c r="AL26" i="31"/>
  <c r="AA30" i="31"/>
  <c r="AL30" i="31"/>
  <c r="AL27" i="31"/>
  <c r="AL28" i="31"/>
  <c r="AB30" i="31"/>
  <c r="AB32" i="31"/>
  <c r="AL32" i="31"/>
  <c r="AA32" i="31"/>
  <c r="AC30" i="31"/>
  <c r="AC32" i="31"/>
  <c r="AD30" i="31"/>
  <c r="AD32" i="31"/>
  <c r="AE30" i="31"/>
  <c r="AE32" i="31"/>
  <c r="AM29" i="31"/>
  <c r="AQ29" i="31"/>
  <c r="AM31" i="31"/>
  <c r="AQ31" i="31"/>
  <c r="AM26" i="31"/>
  <c r="AQ26" i="31"/>
  <c r="AF30" i="31"/>
  <c r="AM30" i="31"/>
  <c r="AQ30" i="31"/>
  <c r="AM27" i="31"/>
  <c r="AM28" i="31"/>
  <c r="AQ28" i="31"/>
  <c r="AQ32" i="31"/>
  <c r="AM32" i="31"/>
  <c r="AF32" i="31"/>
  <c r="AQ27" i="31"/>
</calcChain>
</file>

<file path=xl/sharedStrings.xml><?xml version="1.0" encoding="utf-8"?>
<sst xmlns="http://schemas.openxmlformats.org/spreadsheetml/2006/main" count="133" uniqueCount="126">
  <si>
    <t>ThreeME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</si>
  <si>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</si>
  <si>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</si>
  <si>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</si>
  <si>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</si>
  <si>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</si>
  <si>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</si>
  <si>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</si>
  <si>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</si>
  <si>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</si>
  <si>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</si>
  <si>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</si>
  <si>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</si>
  <si>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</si>
  <si>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</si>
  <si>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</si>
  <si>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</si>
  <si>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Public debt (in points of GDP)</t>
  </si>
  <si>
    <t>en écart au scénario de référence (%)</t>
  </si>
  <si>
    <t>Unemployment rate (in points)</t>
  </si>
  <si>
    <t>@pch(gdp_0)</t>
  </si>
  <si>
    <t>@pch(pch_0)</t>
  </si>
  <si>
    <t>unr_0</t>
  </si>
  <si>
    <t>rdebt_g_val_0</t>
  </si>
  <si>
    <t>rbal_g_prim_val_0</t>
  </si>
  <si>
    <t>rbal_trade_val_0</t>
  </si>
  <si>
    <t>_date_</t>
  </si>
  <si>
    <t>Saving rate (in points)</t>
  </si>
  <si>
    <t>Household disposable income (real)</t>
  </si>
  <si>
    <t>100*(gdp_2/gdp_0-1)</t>
  </si>
  <si>
    <t>100*(ch_2/ch_0-1)</t>
  </si>
  <si>
    <t>100*(i_2/i_0-1)</t>
  </si>
  <si>
    <t>100*(x_2/x_0-1)</t>
  </si>
  <si>
    <t>100*(m_2/m_0-1)</t>
  </si>
  <si>
    <t>100*((dispinc_at_val_2/pch_2)/(dispinc_at_val_0/pch_0)-1)</t>
  </si>
  <si>
    <t>100*(rsav_h_val_2-rsav_h_val_0)</t>
  </si>
  <si>
    <t>100*(pch_2/pch_0-1)</t>
  </si>
  <si>
    <t>100*(py_2/py_0-1)</t>
  </si>
  <si>
    <t>100*(pva_2/pva_0-1)</t>
  </si>
  <si>
    <t>100*(pci_2/pci_0-1)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</si>
  <si>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</si>
  <si>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</si>
  <si>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</si>
  <si>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</si>
  <si>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</si>
  <si>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</si>
  <si>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100*(rbal_trade_val_2-rbal_trade_val_0)</t>
  </si>
  <si>
    <t>100*(rbal_g_prim_val_2-rbal_g_prim_val_0)</t>
  </si>
  <si>
    <t>100*(rdebt_g_val_2-rdebt_g_val_0)</t>
  </si>
  <si>
    <t>100*(ch_0+g_0)/gdp_0*((ch_2+g_2)/(ch_0+g_0)-1)</t>
  </si>
  <si>
    <t>100*i_0/gdp_0*(i_2/i_0-1)</t>
  </si>
  <si>
    <t>100*(x_0-m_0)/gdp_0*((x_2-m_2)/(x_0-m_0)-1)</t>
  </si>
  <si>
    <t>100*ds_0/gdp_0*(ds_2/ds_0-1)</t>
  </si>
  <si>
    <t>@date</t>
  </si>
  <si>
    <t>sagr</t>
  </si>
  <si>
    <t>Services</t>
  </si>
  <si>
    <t>Acronym in ThreeME</t>
  </si>
  <si>
    <t>Name UK</t>
  </si>
  <si>
    <t>VERIF</t>
  </si>
  <si>
    <t>Agriculture</t>
  </si>
  <si>
    <t>2021-30</t>
  </si>
  <si>
    <t>2021-25</t>
  </si>
  <si>
    <t>2026-30</t>
  </si>
  <si>
    <t>2031-35</t>
  </si>
  <si>
    <t>2036-40</t>
  </si>
  <si>
    <t>2041-45</t>
  </si>
  <si>
    <t>2046-50</t>
  </si>
  <si>
    <t>2031-40</t>
  </si>
  <si>
    <t>2041-50</t>
  </si>
  <si>
    <t>pop</t>
  </si>
  <si>
    <t>gdp_0</t>
  </si>
  <si>
    <t>pch_0</t>
  </si>
  <si>
    <t>va_s1_0</t>
  </si>
  <si>
    <t>va_s2_0</t>
  </si>
  <si>
    <t>va_s3_0</t>
  </si>
  <si>
    <t>va_s4_0</t>
  </si>
  <si>
    <t>va_s5_0</t>
  </si>
  <si>
    <t>va_s6_0</t>
  </si>
  <si>
    <t>va_s7_0</t>
  </si>
  <si>
    <t>va_s8_0</t>
  </si>
  <si>
    <t>va_s9_0</t>
  </si>
  <si>
    <t>va_s10_0</t>
  </si>
  <si>
    <t>va_s11_0</t>
  </si>
  <si>
    <t>va_s12_0</t>
  </si>
  <si>
    <t>va_s13_0</t>
  </si>
  <si>
    <t>va_s14_0</t>
  </si>
  <si>
    <t>va_s15_0</t>
  </si>
  <si>
    <t>va_s16_0</t>
  </si>
  <si>
    <t>va_s17_0</t>
  </si>
  <si>
    <t>va_s18_0</t>
  </si>
  <si>
    <t>Consumption</t>
  </si>
  <si>
    <t>Trade balance</t>
  </si>
  <si>
    <t>Housing</t>
  </si>
  <si>
    <t>S1</t>
  </si>
  <si>
    <t>S2</t>
  </si>
  <si>
    <t>S3</t>
  </si>
  <si>
    <t>Basic metals (Steel, Aluminum, Zinc)</t>
  </si>
  <si>
    <t>S4</t>
  </si>
  <si>
    <t>Chemical products (Nitric Acid, Urea, Chlorine,  other)</t>
  </si>
  <si>
    <t>S5</t>
  </si>
  <si>
    <t>Rubber and Plastic (Ethylene, Propylene,  other HVC)</t>
  </si>
  <si>
    <t>S6</t>
  </si>
  <si>
    <t>non-metallic mineral products (Glass, Ceramic)</t>
  </si>
  <si>
    <t>S7</t>
  </si>
  <si>
    <t>Paper and board products</t>
  </si>
  <si>
    <t>S8</t>
  </si>
  <si>
    <t>Food products</t>
  </si>
  <si>
    <t>S9</t>
  </si>
  <si>
    <t>Coke and refined petroleum products</t>
  </si>
  <si>
    <t>S10</t>
  </si>
  <si>
    <t>Other non-ETS products</t>
  </si>
  <si>
    <t>S11</t>
  </si>
  <si>
    <t>Sewerage and Waste</t>
  </si>
  <si>
    <t>S12</t>
  </si>
  <si>
    <t>Land Transport (LDV, HDV, Buses, Rail, Other)</t>
  </si>
  <si>
    <t>S13</t>
  </si>
  <si>
    <t>Machinery</t>
  </si>
  <si>
    <t>S14</t>
  </si>
  <si>
    <t>Domestic Navigation</t>
  </si>
  <si>
    <t>S15</t>
  </si>
  <si>
    <t>Aviation</t>
  </si>
  <si>
    <t>S16</t>
  </si>
  <si>
    <t>Commodity Rest</t>
  </si>
  <si>
    <t>S17</t>
  </si>
  <si>
    <t>Electricity, gas, steam and air conditioning</t>
  </si>
  <si>
    <t>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</si>
</sst>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1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14" fontId="0" fillId="0" borderId="0" xfId="0" applyNumberFormat="1"/>
    <xf numFmtId="2" fontId="1" fillId="3" borderId="0" xfId="0" applyNumberFormat="1" applyFont="1" applyFill="1" applyBorder="1"/>
    <xf numFmtId="0" fontId="1" fillId="3" borderId="5" xfId="0" applyFont="1" applyFill="1" applyBorder="1" applyAlignment="1">
      <alignment wrapText="1"/>
    </xf>
    <xf numFmtId="2" fontId="1" fillId="3" borderId="0" xfId="0" applyNumberFormat="1" applyFont="1" applyFill="1" applyBorder="1" applyAlignment="1">
      <alignment wrapText="1"/>
    </xf>
    <xf numFmtId="2" fontId="7" fillId="3" borderId="0" xfId="0" applyNumberFormat="1" applyFont="1" applyFill="1" applyBorder="1"/>
    <xf numFmtId="165" fontId="5" fillId="3" borderId="2" xfId="0" applyNumberFormat="1" applyFont="1" applyFill="1" applyBorder="1" applyAlignment="1">
      <alignment horizontal="center" vertical="center"/>
    </xf>
    <xf numFmtId="165" fontId="5" fillId="3" borderId="0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1" fillId="3" borderId="0" xfId="0" applyFont="1" applyFill="1" applyBorder="1" applyAlignment="1">
      <alignment wrapText="1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right"/>
    </xf>
    <xf numFmtId="165" fontId="9" fillId="3" borderId="0" xfId="0" applyNumberFormat="1" applyFont="1" applyFill="1" applyBorder="1" applyAlignment="1">
      <alignment vertical="center"/>
    </xf>
    <xf numFmtId="2" fontId="1" fillId="4" borderId="0" xfId="0" applyNumberFormat="1" applyFont="1" applyFill="1" applyBorder="1"/>
    <xf numFmtId="0" fontId="2" fillId="3" borderId="0" xfId="0" applyFont="1" applyFill="1" applyBorder="1"/>
    <xf numFmtId="0" fontId="1" fillId="5" borderId="0" xfId="0" applyFont="1" applyFill="1"/>
    <xf numFmtId="0" fontId="1" fillId="6" borderId="0" xfId="0" applyFont="1" applyFill="1"/>
    <xf numFmtId="165" fontId="5" fillId="3" borderId="0" xfId="0" applyNumberFormat="1" applyFont="1" applyFill="1"/>
    <xf numFmtId="0" fontId="5" fillId="3" borderId="0" xfId="0" applyFont="1" applyFill="1"/>
    <xf numFmtId="0" fontId="5" fillId="3" borderId="0" xfId="0" applyFont="1" applyFill="1" applyBorder="1"/>
    <xf numFmtId="0" fontId="0" fillId="3" borderId="0" xfId="0" applyFont="1" applyFill="1"/>
    <xf numFmtId="0" fontId="5" fillId="3" borderId="0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/>
    <xf numFmtId="2" fontId="2" fillId="3" borderId="0" xfId="0" applyNumberFormat="1" applyFont="1" applyFill="1" applyBorder="1" applyAlignment="1">
      <alignment wrapText="1"/>
    </xf>
    <xf numFmtId="165" fontId="10" fillId="3" borderId="0" xfId="0" applyNumberFormat="1" applyFont="1" applyFill="1" applyBorder="1" applyAlignment="1">
      <alignment horizontal="center" vertical="center"/>
    </xf>
    <xf numFmtId="2" fontId="2" fillId="3" borderId="0" xfId="0" applyNumberFormat="1" applyFont="1" applyFill="1" applyBorder="1"/>
    <xf numFmtId="0" fontId="2" fillId="3" borderId="0" xfId="0" applyFont="1" applyFill="1"/>
    <xf numFmtId="166" fontId="5" fillId="3" borderId="0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0" borderId="0" xfId="0" applyFont="1"/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Contribution au PIB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'Tab-GDP'!$A$29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'Tab-GDP'!$C$1:$AF$1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'Tab-GDP'!$C$29:$AF$29</c:f>
              <c:numCache>
                <c:formatCode>0.0</c:formatCode>
                <c:ptCount val="30"/>
                <c:pt idx="0">
                  <c:v>8.1047787123300565E-4</c:v>
                </c:pt>
                <c:pt idx="1">
                  <c:v>7.4017200013984017E-4</c:v>
                </c:pt>
                <c:pt idx="2">
                  <c:v>3.3982687211881856E-4</c:v>
                </c:pt>
                <c:pt idx="3">
                  <c:v>-4.3179192863788539E-4</c:v>
                </c:pt>
                <c:pt idx="4">
                  <c:v>-1.5568144817336104E-3</c:v>
                </c:pt>
                <c:pt idx="5">
                  <c:v>-2.9790273176607488E-3</c:v>
                </c:pt>
                <c:pt idx="6">
                  <c:v>-4.6267520096122342E-3</c:v>
                </c:pt>
                <c:pt idx="7">
                  <c:v>-6.4300019909809989E-3</c:v>
                </c:pt>
                <c:pt idx="8">
                  <c:v>-8.3306098911498892E-3</c:v>
                </c:pt>
                <c:pt idx="9">
                  <c:v>-1.028629156025662E-2</c:v>
                </c:pt>
                <c:pt idx="10">
                  <c:v>-1.2270707285109324E-2</c:v>
                </c:pt>
                <c:pt idx="11">
                  <c:v>-1.427156921458541E-2</c:v>
                </c:pt>
                <c:pt idx="12">
                  <c:v>-1.6287739876933879E-2</c:v>
                </c:pt>
                <c:pt idx="13">
                  <c:v>-1.8326467443224945E-2</c:v>
                </c:pt>
                <c:pt idx="14">
                  <c:v>-2.0400754025318622E-2</c:v>
                </c:pt>
                <c:pt idx="15">
                  <c:v>-2.2527195195240157E-2</c:v>
                </c:pt>
                <c:pt idx="16">
                  <c:v>-2.4724282373405571E-2</c:v>
                </c:pt>
                <c:pt idx="17">
                  <c:v>-2.7011092257666808E-2</c:v>
                </c:pt>
                <c:pt idx="18">
                  <c:v>-2.9406259785805262E-2</c:v>
                </c:pt>
                <c:pt idx="19">
                  <c:v>-3.1927400507479116E-2</c:v>
                </c:pt>
                <c:pt idx="20">
                  <c:v>-3.4590594212462286E-2</c:v>
                </c:pt>
                <c:pt idx="21">
                  <c:v>-3.7410160584396571E-2</c:v>
                </c:pt>
                <c:pt idx="22">
                  <c:v>-4.0398610302620236E-2</c:v>
                </c:pt>
                <c:pt idx="23">
                  <c:v>-4.3566644019963421E-2</c:v>
                </c:pt>
                <c:pt idx="24">
                  <c:v>-4.6923308619962877E-2</c:v>
                </c:pt>
                <c:pt idx="25">
                  <c:v>-5.0476105268554401E-2</c:v>
                </c:pt>
                <c:pt idx="26">
                  <c:v>-5.4231283774137815E-2</c:v>
                </c:pt>
                <c:pt idx="27">
                  <c:v>-5.8193990468283364E-2</c:v>
                </c:pt>
                <c:pt idx="28">
                  <c:v>-6.2368555251584155E-2</c:v>
                </c:pt>
                <c:pt idx="29">
                  <c:v>-6.6758712653133739E-2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3-4B18-ADB9-D138F5DD5CCE}"/>
            </c:ext>
          </c:extLst>
        </c:ser>
        <c:ser>
          <c:idx val="1"/>
          <c:order val="1"/>
          <c:tx>
            <c:strRef>
              <c:f>'Tab-GDP'!$A$30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'Tab-GDP'!$C$1:$AF$1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'Tab-GDP'!$C$30:$AF$30</c:f>
              <c:numCache>
                <c:formatCode>0.0</c:formatCode>
                <c:ptCount val="30"/>
                <c:pt idx="0">
                  <c:v>5.0563709670383198E-4</c:v>
                </c:pt>
                <c:pt idx="1">
                  <c:v>6.0047602151093254E-4</c:v>
                </c:pt>
                <c:pt idx="2">
                  <c:v>5.5936092913189128E-4</c:v>
                </c:pt>
                <c:pt idx="3">
                  <c:v>3.1775859550228438E-4</c:v>
                </c:pt>
                <c:pt idx="4">
                  <c:v>-1.7098194098749803E-4</c:v>
                </c:pt>
                <c:pt idx="5">
                  <c:v>-9.3557834803843125E-4</c:v>
                </c:pt>
                <c:pt idx="6">
                  <c:v>-1.9909054101949378E-3</c:v>
                </c:pt>
                <c:pt idx="7">
                  <c:v>-3.3432878572768562E-3</c:v>
                </c:pt>
                <c:pt idx="8">
                  <c:v>-4.9949266405413051E-3</c:v>
                </c:pt>
                <c:pt idx="9">
                  <c:v>-6.9467207554593869E-3</c:v>
                </c:pt>
                <c:pt idx="10">
                  <c:v>-9.2000473253512956E-3</c:v>
                </c:pt>
                <c:pt idx="11">
                  <c:v>-1.1757372771039772E-2</c:v>
                </c:pt>
                <c:pt idx="12">
                  <c:v>-1.4622479204834856E-2</c:v>
                </c:pt>
                <c:pt idx="13">
                  <c:v>-1.7800370012113355E-2</c:v>
                </c:pt>
                <c:pt idx="14">
                  <c:v>-2.1297040870568662E-2</c:v>
                </c:pt>
                <c:pt idx="15">
                  <c:v>-2.5119423380657691E-2</c:v>
                </c:pt>
                <c:pt idx="16">
                  <c:v>-2.9275082563455481E-2</c:v>
                </c:pt>
                <c:pt idx="17">
                  <c:v>-3.377223362255545E-2</c:v>
                </c:pt>
                <c:pt idx="18">
                  <c:v>-3.8619557879531613E-2</c:v>
                </c:pt>
                <c:pt idx="19">
                  <c:v>-4.382620384973928E-2</c:v>
                </c:pt>
                <c:pt idx="20">
                  <c:v>-4.9401743945201165E-2</c:v>
                </c:pt>
                <c:pt idx="21">
                  <c:v>-5.5356196760741508E-2</c:v>
                </c:pt>
                <c:pt idx="22">
                  <c:v>-6.1699930900047044E-2</c:v>
                </c:pt>
                <c:pt idx="23">
                  <c:v>-6.8443823671878443E-2</c:v>
                </c:pt>
                <c:pt idx="24">
                  <c:v>-7.5599222859184176E-2</c:v>
                </c:pt>
                <c:pt idx="25">
                  <c:v>-8.3178031633208124E-2</c:v>
                </c:pt>
                <c:pt idx="26">
                  <c:v>-9.1192796351849986E-2</c:v>
                </c:pt>
                <c:pt idx="27">
                  <c:v>-9.9656776966672203E-2</c:v>
                </c:pt>
                <c:pt idx="28">
                  <c:v>-0.10858407937492458</c:v>
                </c:pt>
                <c:pt idx="29">
                  <c:v>-0.11798974815615355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3-4B18-ADB9-D138F5DD5CCE}"/>
            </c:ext>
          </c:extLst>
        </c:ser>
        <c:ser>
          <c:idx val="2"/>
          <c:order val="2"/>
          <c:tx>
            <c:strRef>
              <c:f>'Tab-GDP'!$A$31</c:f>
              <c:strCache>
                <c:ptCount val="1"/>
                <c:pt idx="0">
                  <c:v>Trade balance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'Tab-GDP'!$C$1:$AF$1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'Tab-GDP'!$C$31:$AF$31</c:f>
              <c:numCache>
                <c:formatCode>0.0</c:formatCode>
                <c:ptCount val="30"/>
                <c:pt idx="0">
                  <c:v>1.4648755339643089E-4</c:v>
                </c:pt>
                <c:pt idx="1">
                  <c:v>3.4261896713160293E-4</c:v>
                </c:pt>
                <c:pt idx="2">
                  <c:v>6.0812864399495447E-4</c:v>
                </c:pt>
                <c:pt idx="3">
                  <c:v>8.8887956971960111E-4</c:v>
                </c:pt>
                <c:pt idx="4">
                  <c:v>1.0987043636599783E-3</c:v>
                </c:pt>
                <c:pt idx="5">
                  <c:v>1.1321972429217443E-3</c:v>
                </c:pt>
                <c:pt idx="6">
                  <c:v>8.78274494913554E-4</c:v>
                </c:pt>
                <c:pt idx="7">
                  <c:v>2.3051301588096346E-4</c:v>
                </c:pt>
                <c:pt idx="8">
                  <c:v>-9.0647498181154417E-4</c:v>
                </c:pt>
                <c:pt idx="9">
                  <c:v>-2.6140011181320561E-3</c:v>
                </c:pt>
                <c:pt idx="10">
                  <c:v>-4.9590077301661182E-3</c:v>
                </c:pt>
                <c:pt idx="11">
                  <c:v>-7.9950001251304532E-3</c:v>
                </c:pt>
                <c:pt idx="12">
                  <c:v>-1.1764107961983463E-2</c:v>
                </c:pt>
                <c:pt idx="13">
                  <c:v>-1.6299076401091055E-2</c:v>
                </c:pt>
                <c:pt idx="14">
                  <c:v>-2.1625510349500464E-2</c:v>
                </c:pt>
                <c:pt idx="15">
                  <c:v>-2.7763868243388782E-2</c:v>
                </c:pt>
                <c:pt idx="16">
                  <c:v>-3.4731242172151101E-2</c:v>
                </c:pt>
                <c:pt idx="17">
                  <c:v>-4.2542813834866716E-2</c:v>
                </c:pt>
                <c:pt idx="18">
                  <c:v>-5.1213183699007347E-2</c:v>
                </c:pt>
                <c:pt idx="19">
                  <c:v>-6.0757481723288237E-2</c:v>
                </c:pt>
                <c:pt idx="20">
                  <c:v>-7.1192144376316061E-2</c:v>
                </c:pt>
                <c:pt idx="21">
                  <c:v>-8.2535647586407801E-2</c:v>
                </c:pt>
                <c:pt idx="22">
                  <c:v>-9.4809091633508744E-2</c:v>
                </c:pt>
                <c:pt idx="23">
                  <c:v>-0.10803641917580829</c:v>
                </c:pt>
                <c:pt idx="24">
                  <c:v>-0.12224499272802156</c:v>
                </c:pt>
                <c:pt idx="25">
                  <c:v>-0.13746558779307877</c:v>
                </c:pt>
                <c:pt idx="26">
                  <c:v>-0.15373276051975648</c:v>
                </c:pt>
                <c:pt idx="27">
                  <c:v>-0.17108489466145646</c:v>
                </c:pt>
                <c:pt idx="28">
                  <c:v>-0.18956436399481025</c:v>
                </c:pt>
                <c:pt idx="29">
                  <c:v>-0.20921771442872386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3-4B18-ADB9-D138F5DD5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5772824"/>
        <c:axId val="2105775096"/>
      </c:barChart>
      <c:lineChart>
        <c:grouping val="standard"/>
        <c:varyColors val="0"/>
        <c:ser>
          <c:idx val="3"/>
          <c:order val="3"/>
          <c:tx>
            <c:v>PIB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'Tab-GDP'!$C$28:$AF$28</c:f>
              <c:numCache>
                <c:formatCode>0.0</c:formatCode>
                <c:ptCount val="30"/>
                <c:pt idx="0">
                  <c:v>1.4626160511843622E-3</c:v>
                </c:pt>
                <c:pt idx="1">
                  <c:v>1.6832669887723029E-3</c:v>
                </c:pt>
                <c:pt idx="2">
                  <c:v>1.5073164452594767E-3</c:v>
                </c:pt>
                <c:pt idx="3">
                  <c:v>7.7487238203666209E-4</c:v>
                </c:pt>
                <c:pt idx="4">
                  <c:v>-6.2909205907901722E-4</c:v>
                </c:pt>
                <c:pt idx="5">
                  <c:v>-2.7823956461836552E-3</c:v>
                </c:pt>
                <c:pt idx="6">
                  <c:v>-5.7393702938557389E-3</c:v>
                </c:pt>
                <c:pt idx="7">
                  <c:v>-9.5427768323719242E-3</c:v>
                </c:pt>
                <c:pt idx="8">
                  <c:v>-1.423201151349307E-2</c:v>
                </c:pt>
                <c:pt idx="9">
                  <c:v>-1.9847013433860194E-2</c:v>
                </c:pt>
                <c:pt idx="10">
                  <c:v>-2.6429762340618446E-2</c:v>
                </c:pt>
                <c:pt idx="11">
                  <c:v>-3.4023942110761318E-2</c:v>
                </c:pt>
                <c:pt idx="12">
                  <c:v>-4.2674327043734639E-2</c:v>
                </c:pt>
                <c:pt idx="13">
                  <c:v>-5.2425890541141218E-2</c:v>
                </c:pt>
                <c:pt idx="14">
                  <c:v>-6.3323305245388539E-2</c:v>
                </c:pt>
                <c:pt idx="15">
                  <c:v>-7.5410498212857835E-2</c:v>
                </c:pt>
                <c:pt idx="16">
                  <c:v>-8.8730629636546432E-2</c:v>
                </c:pt>
                <c:pt idx="17">
                  <c:v>-0.10332613971508753</c:v>
                </c:pt>
                <c:pt idx="18">
                  <c:v>-0.11923900136433518</c:v>
                </c:pt>
                <c:pt idx="19">
                  <c:v>-0.13651107519725425</c:v>
                </c:pt>
                <c:pt idx="20">
                  <c:v>-0.15518448253397654</c:v>
                </c:pt>
                <c:pt idx="21">
                  <c:v>-0.17530201556822389</c:v>
                </c:pt>
                <c:pt idx="22">
                  <c:v>-0.19690762232065229</c:v>
                </c:pt>
                <c:pt idx="23">
                  <c:v>-0.22004688686764196</c:v>
                </c:pt>
                <c:pt idx="24">
                  <c:v>-0.24476751392986662</c:v>
                </c:pt>
                <c:pt idx="25">
                  <c:v>-0.27111973485507423</c:v>
                </c:pt>
                <c:pt idx="26">
                  <c:v>-0.29915684064575343</c:v>
                </c:pt>
                <c:pt idx="27">
                  <c:v>-0.32893563230617096</c:v>
                </c:pt>
                <c:pt idx="28">
                  <c:v>-0.36051695935346295</c:v>
                </c:pt>
                <c:pt idx="29">
                  <c:v>-0.39396609759692058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D5-4064-905A-686B95AC4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772824"/>
        <c:axId val="2105775096"/>
      </c:lineChart>
      <c:catAx>
        <c:axId val="2105772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105775096"/>
        <c:crosses val="autoZero"/>
        <c:auto val="1"/>
        <c:lblAlgn val="ctr"/>
        <c:lblOffset val="100"/>
        <c:noMultiLvlLbl val="0"/>
      </c:catAx>
      <c:valAx>
        <c:axId val="2105775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10577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Contribution au PIB additionnel</a:t>
            </a:r>
          </a:p>
        </c:rich>
      </c:tx>
      <c:layout>
        <c:manualLayout>
          <c:xMode val="edge"/>
          <c:yMode val="edge"/>
          <c:x val="0.29505409297641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10525939129765401"/>
          <c:y val="0.102405726187142"/>
          <c:w val="0.86164414262712496"/>
          <c:h val="0.737316290454855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'Tab-GDP'!$A$29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'Tab-GDP'!$AH$1:$AM$1</c:f>
              <c:strCache>
                <c:ptCount val="6"/>
                <c:pt idx="0">
                  <c:v>2021-25</c:v>
                </c:pt>
                <c:pt idx="1">
                  <c:v>2026-30</c:v>
                </c:pt>
                <c:pt idx="2">
                  <c:v>2031-35</c:v>
                </c:pt>
                <c:pt idx="3">
                  <c:v>2036-40</c:v>
                </c:pt>
                <c:pt idx="4">
                  <c:v>2041-45</c:v>
                </c:pt>
                <c:pt idx="5">
                  <c:v>2046-50</c:v>
                </c:pt>
              </c:strCache>
            </c:strRef>
          </c:cat>
          <c:val>
            <c:numRef>
              <c:f>'Tab-GDP'!$AH$29:$AM$29</c:f>
              <c:numCache>
                <c:formatCode>0.0</c:formatCode>
                <c:ptCount val="6"/>
                <c:pt idx="0">
                  <c:v>-1.9625933375966255E-5</c:v>
                </c:pt>
                <c:pt idx="1">
                  <c:v>-6.5305365539320981E-3</c:v>
                </c:pt>
                <c:pt idx="2">
                  <c:v>-1.6311447569034437E-2</c:v>
                </c:pt>
                <c:pt idx="3">
                  <c:v>-2.711924602391938E-2</c:v>
                </c:pt>
                <c:pt idx="4">
                  <c:v>-4.057786354788108E-2</c:v>
                </c:pt>
                <c:pt idx="5">
                  <c:v>-5.8405729483138692E-2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6-4E41-805B-150B28E5D3F3}"/>
            </c:ext>
          </c:extLst>
        </c:ser>
        <c:ser>
          <c:idx val="1"/>
          <c:order val="1"/>
          <c:tx>
            <c:strRef>
              <c:f>'Tab-GDP'!$A$30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'Tab-GDP'!$AH$1:$AM$1</c:f>
              <c:strCache>
                <c:ptCount val="6"/>
                <c:pt idx="0">
                  <c:v>2021-25</c:v>
                </c:pt>
                <c:pt idx="1">
                  <c:v>2026-30</c:v>
                </c:pt>
                <c:pt idx="2">
                  <c:v>2031-35</c:v>
                </c:pt>
                <c:pt idx="3">
                  <c:v>2036-40</c:v>
                </c:pt>
                <c:pt idx="4">
                  <c:v>2041-45</c:v>
                </c:pt>
                <c:pt idx="5">
                  <c:v>2046-50</c:v>
                </c:pt>
              </c:strCache>
            </c:strRef>
          </c:cat>
          <c:val>
            <c:numRef>
              <c:f>'Tab-GDP'!$AH$30:$AM$30</c:f>
              <c:numCache>
                <c:formatCode>0.0</c:formatCode>
                <c:ptCount val="6"/>
                <c:pt idx="0">
                  <c:v>3.6245014037228839E-4</c:v>
                </c:pt>
                <c:pt idx="1">
                  <c:v>-3.6422838023021835E-3</c:v>
                </c:pt>
                <c:pt idx="2">
                  <c:v>-1.4935462036781588E-2</c:v>
                </c:pt>
                <c:pt idx="3">
                  <c:v>-3.4122500259187907E-2</c:v>
                </c:pt>
                <c:pt idx="4">
                  <c:v>-6.2100183627410467E-2</c:v>
                </c:pt>
                <c:pt idx="5">
                  <c:v>-0.10012028649656168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86-4E41-805B-150B28E5D3F3}"/>
            </c:ext>
          </c:extLst>
        </c:ser>
        <c:ser>
          <c:idx val="2"/>
          <c:order val="2"/>
          <c:tx>
            <c:strRef>
              <c:f>'Tab-GDP'!$A$31</c:f>
              <c:strCache>
                <c:ptCount val="1"/>
                <c:pt idx="0">
                  <c:v>Trade balance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'Tab-GDP'!$AH$1:$AM$1</c:f>
              <c:strCache>
                <c:ptCount val="6"/>
                <c:pt idx="0">
                  <c:v>2021-25</c:v>
                </c:pt>
                <c:pt idx="1">
                  <c:v>2026-30</c:v>
                </c:pt>
                <c:pt idx="2">
                  <c:v>2031-35</c:v>
                </c:pt>
                <c:pt idx="3">
                  <c:v>2036-40</c:v>
                </c:pt>
                <c:pt idx="4">
                  <c:v>2041-45</c:v>
                </c:pt>
                <c:pt idx="5">
                  <c:v>2046-50</c:v>
                </c:pt>
              </c:strCache>
            </c:strRef>
          </c:cat>
          <c:val>
            <c:numRef>
              <c:f>'Tab-GDP'!$AH$31:$AM$31</c:f>
              <c:numCache>
                <c:formatCode>0.0</c:formatCode>
                <c:ptCount val="6"/>
                <c:pt idx="0">
                  <c:v>6.1696381958051348E-4</c:v>
                </c:pt>
                <c:pt idx="1">
                  <c:v>-2.5589826924546767E-4</c:v>
                </c:pt>
                <c:pt idx="2">
                  <c:v>-1.2528540513574309E-2</c:v>
                </c:pt>
                <c:pt idx="3">
                  <c:v>-4.3401717934540437E-2</c:v>
                </c:pt>
                <c:pt idx="4">
                  <c:v>-9.5763659100012499E-2</c:v>
                </c:pt>
                <c:pt idx="5">
                  <c:v>-0.17221306427956515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86-4E41-805B-150B28E5D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5937096"/>
        <c:axId val="2105940600"/>
      </c:barChart>
      <c:lineChart>
        <c:grouping val="standard"/>
        <c:varyColors val="0"/>
        <c:ser>
          <c:idx val="3"/>
          <c:order val="3"/>
          <c:tx>
            <c:v>PIB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'Tab-GDP'!$AH$28:$AM$28</c:f>
              <c:numCache>
                <c:formatCode>0.0</c:formatCode>
                <c:ptCount val="6"/>
                <c:pt idx="0">
                  <c:v>9.5979596163475733E-4</c:v>
                </c:pt>
                <c:pt idx="1">
                  <c:v>-1.0428713543952917E-2</c:v>
                </c:pt>
                <c:pt idx="2">
                  <c:v>-4.3775445456328832E-2</c:v>
                </c:pt>
                <c:pt idx="3">
                  <c:v>-0.10464346882521625</c:v>
                </c:pt>
                <c:pt idx="4">
                  <c:v>-0.19844170424407226</c:v>
                </c:pt>
                <c:pt idx="5">
                  <c:v>-0.33073905295147643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14-448C-9994-008FA62B3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937096"/>
        <c:axId val="2105940600"/>
      </c:lineChart>
      <c:catAx>
        <c:axId val="2105937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105940600"/>
        <c:crosses val="autoZero"/>
        <c:auto val="1"/>
        <c:lblAlgn val="ctr"/>
        <c:lblOffset val="0"/>
        <c:noMultiLvlLbl val="0"/>
      </c:catAx>
      <c:valAx>
        <c:axId val="2105940600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Ecart</a:t>
                </a:r>
                <a:r>
                  <a:rPr lang="fr-FR" baseline="0"/>
                  <a:t> (%)</a:t>
                </a:r>
                <a:endParaRPr lang="fr-FR"/>
              </a:p>
            </c:rich>
          </c:tx>
          <c:layout>
            <c:manualLayout>
              <c:xMode val="edge"/>
              <c:yMode val="edge"/>
              <c:x val="2.5458820057861699E-3"/>
              <c:y val="0.397214540744888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NL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105937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1716130935712303"/>
          <c:w val="1"/>
          <c:h val="7.4900238028563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Contribution au</a:t>
            </a:r>
            <a:r>
              <a:rPr lang="nl-NL" baseline="0"/>
              <a:t> PIB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'Tab-GDP'!$A$29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'Tab-GDP'!$AO$1:$AQ$1</c:f>
              <c:strCache>
                <c:ptCount val="3"/>
                <c:pt idx="0">
                  <c:v>2021-30</c:v>
                </c:pt>
                <c:pt idx="1">
                  <c:v>2031-40</c:v>
                </c:pt>
                <c:pt idx="2">
                  <c:v>2041-50</c:v>
                </c:pt>
              </c:strCache>
            </c:strRef>
          </c:cat>
          <c:val>
            <c:numRef>
              <c:f>'Tab-GDP'!$AO$29:$AQ$29</c:f>
              <c:numCache>
                <c:formatCode>0.0</c:formatCode>
                <c:ptCount val="3"/>
                <c:pt idx="0">
                  <c:v>-3.2750812436540323E-3</c:v>
                </c:pt>
                <c:pt idx="1">
                  <c:v>-2.1715346796476909E-2</c:v>
                </c:pt>
                <c:pt idx="2">
                  <c:v>-4.9491796515509889E-2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1F-406F-98D5-4B83BBC6A2B9}"/>
            </c:ext>
          </c:extLst>
        </c:ser>
        <c:ser>
          <c:idx val="1"/>
          <c:order val="1"/>
          <c:tx>
            <c:strRef>
              <c:f>'Tab-GDP'!$A$30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'Tab-GDP'!$AO$1:$AQ$1</c:f>
              <c:strCache>
                <c:ptCount val="3"/>
                <c:pt idx="0">
                  <c:v>2021-30</c:v>
                </c:pt>
                <c:pt idx="1">
                  <c:v>2031-40</c:v>
                </c:pt>
                <c:pt idx="2">
                  <c:v>2041-50</c:v>
                </c:pt>
              </c:strCache>
            </c:strRef>
          </c:cat>
          <c:val>
            <c:numRef>
              <c:f>'Tab-GDP'!$AO$30:$AQ$30</c:f>
              <c:numCache>
                <c:formatCode>0.0</c:formatCode>
                <c:ptCount val="3"/>
                <c:pt idx="0">
                  <c:v>-1.6399168309649476E-3</c:v>
                </c:pt>
                <c:pt idx="1">
                  <c:v>-2.4528981147984748E-2</c:v>
                </c:pt>
                <c:pt idx="2">
                  <c:v>-8.1110235061986072E-2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1F-406F-98D5-4B83BBC6A2B9}"/>
            </c:ext>
          </c:extLst>
        </c:ser>
        <c:ser>
          <c:idx val="2"/>
          <c:order val="2"/>
          <c:tx>
            <c:strRef>
              <c:f>'Tab-GDP'!$A$31</c:f>
              <c:strCache>
                <c:ptCount val="1"/>
                <c:pt idx="0">
                  <c:v>Trade balance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'Tab-GDP'!$AO$1:$AQ$1</c:f>
              <c:strCache>
                <c:ptCount val="3"/>
                <c:pt idx="0">
                  <c:v>2021-30</c:v>
                </c:pt>
                <c:pt idx="1">
                  <c:v>2031-40</c:v>
                </c:pt>
                <c:pt idx="2">
                  <c:v>2041-50</c:v>
                </c:pt>
              </c:strCache>
            </c:strRef>
          </c:cat>
          <c:val>
            <c:numRef>
              <c:f>'Tab-GDP'!$AO$31:$AQ$31</c:f>
              <c:numCache>
                <c:formatCode>0.0</c:formatCode>
                <c:ptCount val="3"/>
                <c:pt idx="0">
                  <c:v>1.805327751675229E-4</c:v>
                </c:pt>
                <c:pt idx="1">
                  <c:v>-2.7965129224057375E-2</c:v>
                </c:pt>
                <c:pt idx="2">
                  <c:v>-0.13398836168978884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1F-406F-98D5-4B83BBC6A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5724856"/>
        <c:axId val="2105731576"/>
      </c:barChart>
      <c:lineChart>
        <c:grouping val="standard"/>
        <c:varyColors val="0"/>
        <c:ser>
          <c:idx val="3"/>
          <c:order val="3"/>
          <c:tx>
            <c:v>PIB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'Tab-GDP'!$AO$28:$AQ$28</c:f>
              <c:numCache>
                <c:formatCode>0.0</c:formatCode>
                <c:ptCount val="3"/>
                <c:pt idx="0">
                  <c:v>-4.7344587911590796E-3</c:v>
                </c:pt>
                <c:pt idx="1">
                  <c:v>-7.4209457140772539E-2</c:v>
                </c:pt>
                <c:pt idx="2">
                  <c:v>-0.26459037859777434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78-4E27-8943-817BC02E4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5724856"/>
        <c:axId val="2105731576"/>
      </c:lineChart>
      <c:catAx>
        <c:axId val="21057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105731576"/>
        <c:crosses val="autoZero"/>
        <c:auto val="1"/>
        <c:lblAlgn val="ctr"/>
        <c:lblOffset val="100"/>
        <c:noMultiLvlLbl val="0"/>
      </c:catAx>
      <c:valAx>
        <c:axId val="210573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105724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294433</xdr:colOff>
      <xdr:row>1</xdr:row>
      <xdr:rowOff>162765</xdr:rowOff>
    </xdr:from>
    <xdr:to>
      <xdr:col>3</xdr:col>
      <xdr:colOff>168087</xdr:colOff>
      <xdr:row>19</xdr:row>
      <xdr:rowOff>56029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5CC5D89-4F49-42ED-AA98-DD318A1E6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121582</xdr:colOff>
      <xdr:row>1</xdr:row>
      <xdr:rowOff>166406</xdr:rowOff>
    </xdr:from>
    <xdr:to>
      <xdr:col>17</xdr:col>
      <xdr:colOff>212910</xdr:colOff>
      <xdr:row>19</xdr:row>
      <xdr:rowOff>43702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7A6C5A5-EBB4-42EF-BF92-D11A9C5370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2</xdr:row>
      <xdr:rowOff>0</xdr:rowOff>
    </xdr:from>
    <xdr:to>
      <xdr:col>33</xdr:col>
      <xdr:colOff>286590</xdr:colOff>
      <xdr:row>19</xdr:row>
      <xdr:rowOff>67796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EF1FD76-DA02-4859-B289-6C5B28625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Tourbah/Library/Application%20Support/Microsoft/Office/Office%202011%20AutoRecovery/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3"/>
  <sheetViews>
    <sheetView workbookViewId="0">
      <selection activeCell="A2" sqref="A2"/>
    </sheetView>
  </sheetViews>
  <sheetFormatPr defaultColWidth="9.1328125" defaultRowHeight="14.25" x14ac:dyDescent="0.45"/>
  <cols>
    <col min="1" max="1" width="17.33203125" bestFit="1" customWidth="1"/>
    <col min="2" max="3" width="67.73046875" customWidth="1"/>
    <col min="5" max="5" width="18" bestFit="1" customWidth="1"/>
  </cols>
  <sheetData>
    <row r="1" spans="1:7" x14ac:dyDescent="0.45">
      <c r="A1" t="s">
        <v>56</v>
      </c>
      <c r="B1" t="s">
        <v>57</v>
      </c>
    </row>
    <row r="2" spans="1:7" x14ac:dyDescent="0.45">
      <c r="A2" s="48" t="s">
        <v>93</v>
      </c>
      <c r="B2" s="48" t="s">
        <v>92</v>
      </c>
      <c r="G2" t="s">
        <v>54</v>
      </c>
    </row>
    <row r="3" spans="1:7" x14ac:dyDescent="0.45">
      <c r="A3" s="48" t="s">
        <v>94</v>
      </c>
      <c r="B3" s="48" t="s">
        <v>55</v>
      </c>
    </row>
    <row r="4" spans="1:7" x14ac:dyDescent="0.45">
      <c r="A4" s="48" t="s">
        <v>95</v>
      </c>
      <c r="B4" s="48" t="s">
        <v>59</v>
      </c>
    </row>
    <row r="5" spans="1:7" x14ac:dyDescent="0.45">
      <c r="A5" s="48" t="s">
        <v>97</v>
      </c>
      <c r="B5" s="48" t="s">
        <v>96</v>
      </c>
    </row>
    <row r="6" spans="1:7" x14ac:dyDescent="0.45">
      <c r="A6" s="48" t="s">
        <v>99</v>
      </c>
      <c r="B6" s="48" t="s">
        <v>98</v>
      </c>
    </row>
    <row r="7" spans="1:7" x14ac:dyDescent="0.45">
      <c r="A7" s="48" t="s">
        <v>101</v>
      </c>
      <c r="B7" s="48" t="s">
        <v>100</v>
      </c>
    </row>
    <row r="8" spans="1:7" x14ac:dyDescent="0.45">
      <c r="A8" s="48" t="s">
        <v>103</v>
      </c>
      <c r="B8" s="48" t="s">
        <v>102</v>
      </c>
    </row>
    <row r="9" spans="1:7" x14ac:dyDescent="0.45">
      <c r="A9" s="48" t="s">
        <v>105</v>
      </c>
      <c r="B9" s="48" t="s">
        <v>104</v>
      </c>
    </row>
    <row r="10" spans="1:7" x14ac:dyDescent="0.45">
      <c r="A10" s="48" t="s">
        <v>107</v>
      </c>
      <c r="B10" s="48" t="s">
        <v>106</v>
      </c>
    </row>
    <row r="11" spans="1:7" x14ac:dyDescent="0.45">
      <c r="A11" s="48" t="s">
        <v>109</v>
      </c>
      <c r="B11" s="48" t="s">
        <v>108</v>
      </c>
    </row>
    <row r="12" spans="1:7" x14ac:dyDescent="0.45">
      <c r="A12" s="48" t="s">
        <v>111</v>
      </c>
      <c r="B12" s="48" t="s">
        <v>110</v>
      </c>
    </row>
    <row r="13" spans="1:7" x14ac:dyDescent="0.45">
      <c r="A13" s="48" t="s">
        <v>113</v>
      </c>
      <c r="B13" s="48" t="s">
        <v>112</v>
      </c>
    </row>
    <row r="14" spans="1:7" x14ac:dyDescent="0.45">
      <c r="A14" s="48" t="s">
        <v>115</v>
      </c>
      <c r="B14" s="48" t="s">
        <v>114</v>
      </c>
    </row>
    <row r="15" spans="1:7" x14ac:dyDescent="0.45">
      <c r="A15" s="48" t="s">
        <v>117</v>
      </c>
      <c r="B15" s="48" t="s">
        <v>116</v>
      </c>
    </row>
    <row r="16" spans="1:7" x14ac:dyDescent="0.45">
      <c r="A16" s="48" t="s">
        <v>119</v>
      </c>
      <c r="B16" s="48" t="s">
        <v>118</v>
      </c>
    </row>
    <row r="17" spans="1:3" x14ac:dyDescent="0.45">
      <c r="A17" s="48" t="s">
        <v>121</v>
      </c>
      <c r="B17" s="48" t="s">
        <v>120</v>
      </c>
    </row>
    <row r="18" spans="1:3" x14ac:dyDescent="0.45">
      <c r="A18" s="48" t="s">
        <v>123</v>
      </c>
      <c r="B18" s="48" t="s">
        <v>122</v>
      </c>
    </row>
    <row r="19" spans="1:3" x14ac:dyDescent="0.45">
      <c r="A19" s="48" t="s">
        <v>125</v>
      </c>
      <c r="B19" s="48" t="s">
        <v>124</v>
      </c>
    </row>
    <row r="20" spans="1:3" x14ac:dyDescent="0.45">
      <c r="A20" s="19"/>
      <c r="B20" s="19"/>
      <c r="C20" s="19"/>
    </row>
    <row r="21" spans="1:3" x14ac:dyDescent="0.45">
      <c r="A21" s="19"/>
      <c r="B21" s="19"/>
      <c r="C21" s="19"/>
    </row>
    <row r="22" spans="1:3" x14ac:dyDescent="0.45">
      <c r="A22" s="19"/>
      <c r="B22" s="19"/>
      <c r="C22" s="19"/>
    </row>
    <row r="23" spans="1:3" x14ac:dyDescent="0.45">
      <c r="A23" s="19"/>
      <c r="B23" s="19"/>
      <c r="C23" s="19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9"/>
  <sheetViews>
    <sheetView zoomScale="115" zoomScaleNormal="115" zoomScalePageLayoutView="115" workbookViewId="0">
      <selection activeCell="D16" sqref="D16"/>
    </sheetView>
  </sheetViews>
  <sheetFormatPr defaultColWidth="12.3984375" defaultRowHeight="14.25" x14ac:dyDescent="0.45"/>
  <cols>
    <col min="1" max="1" width="37.3984375" customWidth="1"/>
    <col min="2" max="2" width="36.19921875" customWidth="1"/>
    <col min="3" max="10" width="10.1328125" customWidth="1"/>
    <col min="14" max="14" width="40.86328125" customWidth="1"/>
  </cols>
  <sheetData>
    <row r="1" spans="1:13" ht="30" customHeight="1" x14ac:dyDescent="0.5">
      <c r="A1" s="7"/>
      <c r="B1" s="7"/>
      <c r="C1" s="41" t="s">
        <v>18</v>
      </c>
      <c r="D1" s="41"/>
      <c r="E1" s="41"/>
      <c r="F1" s="41"/>
      <c r="G1" s="41"/>
      <c r="H1" s="41"/>
      <c r="I1" s="41"/>
      <c r="J1" s="41"/>
      <c r="K1" s="10"/>
      <c r="L1" s="10"/>
      <c r="M1" s="10"/>
    </row>
    <row r="2" spans="1:13" ht="15.75" x14ac:dyDescent="0.5">
      <c r="A2" s="8"/>
      <c r="B2" s="9"/>
      <c r="C2" s="42" t="s">
        <v>0</v>
      </c>
      <c r="D2" s="43"/>
      <c r="E2" s="43"/>
      <c r="F2" s="43"/>
      <c r="G2" s="43"/>
      <c r="H2" s="43"/>
      <c r="I2" s="43"/>
      <c r="J2" s="44"/>
      <c r="K2" s="10"/>
      <c r="L2" s="10"/>
      <c r="M2" s="10"/>
    </row>
    <row r="3" spans="1:13" x14ac:dyDescent="0.45">
      <c r="A3" s="1"/>
      <c r="B3" s="13"/>
      <c r="C3" s="2">
        <v>2021</v>
      </c>
      <c r="D3" s="3">
        <v>2022</v>
      </c>
      <c r="E3" s="3">
        <v>2023</v>
      </c>
      <c r="F3" s="3">
        <v>2024</v>
      </c>
      <c r="G3" s="3">
        <v>2025</v>
      </c>
      <c r="H3" s="3">
        <v>2030</v>
      </c>
      <c r="I3" s="3">
        <v>2040</v>
      </c>
      <c r="J3" s="4">
        <v>2050</v>
      </c>
      <c r="K3" s="10"/>
      <c r="L3" s="10"/>
      <c r="M3" s="10"/>
    </row>
    <row r="4" spans="1:13" x14ac:dyDescent="0.45">
      <c r="A4" s="5" t="s">
        <v>1</v>
      </c>
      <c r="B4" s="15" t="str">
        <f>Shock_dev!A2</f>
        <v>100*(gdp_2/gdp_0-1)</v>
      </c>
      <c r="C4" s="16">
        <f>VLOOKUP($B4,Shock_dev!$A$1:$CI$100,MATCH(DATE(C$3,1,1),Shock_dev!$A$1:$CI$1,0),FALSE)</f>
        <v>1.4626160511843622E-3</v>
      </c>
      <c r="D4" s="17">
        <f>VLOOKUP($B4,Shock_dev!$A$1:$CI$100,MATCH(DATE(D$3,1,1),Shock_dev!$A$1:$CI$1,0),FALSE)</f>
        <v>1.6832669887723029E-3</v>
      </c>
      <c r="E4" s="17">
        <f>VLOOKUP($B4,Shock_dev!$A$1:$CI$100,MATCH(DATE(E$3,1,1),Shock_dev!$A$1:$CI$1,0),FALSE)</f>
        <v>1.5073164452594767E-3</v>
      </c>
      <c r="F4" s="17">
        <f>VLOOKUP($B4,Shock_dev!$A$1:$CI$100,MATCH(DATE(F$3,1,1),Shock_dev!$A$1:$CI$1,0),FALSE)</f>
        <v>7.7487238203666209E-4</v>
      </c>
      <c r="G4" s="17">
        <f>VLOOKUP($B4,Shock_dev!$A$1:$CI$100,MATCH(DATE(G$3,1,1),Shock_dev!$A$1:$CI$1,0),FALSE)</f>
        <v>-6.2909205907901722E-4</v>
      </c>
      <c r="H4" s="17">
        <f>VLOOKUP($B4,Shock_dev!$A$1:$CI$100,MATCH(DATE(H$3,1,1),Shock_dev!$A$1:$CI$1,0),FALSE)</f>
        <v>-1.9847013433860194E-2</v>
      </c>
      <c r="I4" s="17">
        <f>VLOOKUP($B4,Shock_dev!$A$1:$CI$100,MATCH(DATE(I$3,1,1),Shock_dev!$A$1:$CI$1,0),FALSE)</f>
        <v>-0.13651107519725425</v>
      </c>
      <c r="J4" s="18">
        <f>VLOOKUP($B4,Shock_dev!$A$1:$CI$100,MATCH(DATE(J$3,1,1),Shock_dev!$A$1:$CI$1,0),FALSE)</f>
        <v>-0.39396609759692058</v>
      </c>
      <c r="K4" s="10"/>
      <c r="L4" s="10"/>
      <c r="M4" s="10"/>
    </row>
    <row r="5" spans="1:13" x14ac:dyDescent="0.45">
      <c r="A5" s="5" t="s">
        <v>2</v>
      </c>
      <c r="B5" s="15" t="str">
        <f>Shock_dev!A3</f>
        <v>100*(ch_2/ch_0-1)</v>
      </c>
      <c r="C5" s="16">
        <f>VLOOKUP($B5,Shock_dev!$A$1:$CI$100,MATCH(DATE(C$3,1,1),Shock_dev!$A$1:$CI$1,0),FALSE)</f>
        <v>1.8098903683760881E-3</v>
      </c>
      <c r="D5" s="17">
        <f>VLOOKUP($B5,Shock_dev!$A$1:$CI$100,MATCH(DATE(D$3,1,1),Shock_dev!$A$1:$CI$1,0),FALSE)</f>
        <v>1.6528892659684047E-3</v>
      </c>
      <c r="E5" s="17">
        <f>VLOOKUP($B5,Shock_dev!$A$1:$CI$100,MATCH(DATE(E$3,1,1),Shock_dev!$A$1:$CI$1,0),FALSE)</f>
        <v>7.5887251769213293E-4</v>
      </c>
      <c r="F5" s="17">
        <f>VLOOKUP($B5,Shock_dev!$A$1:$CI$100,MATCH(DATE(F$3,1,1),Shock_dev!$A$1:$CI$1,0),FALSE)</f>
        <v>-9.6424107366432921E-4</v>
      </c>
      <c r="G5" s="17">
        <f>VLOOKUP($B5,Shock_dev!$A$1:$CI$100,MATCH(DATE(G$3,1,1),Shock_dev!$A$1:$CI$1,0),FALSE)</f>
        <v>-3.4765459186458791E-3</v>
      </c>
      <c r="H5" s="17">
        <f>VLOOKUP($B5,Shock_dev!$A$1:$CI$100,MATCH(DATE(H$3,1,1),Shock_dev!$A$1:$CI$1,0),FALSE)</f>
        <v>-2.2970472952998922E-2</v>
      </c>
      <c r="I5" s="17">
        <f>VLOOKUP($B5,Shock_dev!$A$1:$CI$100,MATCH(DATE(I$3,1,1),Shock_dev!$A$1:$CI$1,0),FALSE)</f>
        <v>-7.129756001263976E-2</v>
      </c>
      <c r="J5" s="18">
        <f>VLOOKUP($B5,Shock_dev!$A$1:$CI$100,MATCH(DATE(J$3,1,1),Shock_dev!$A$1:$CI$1,0),FALSE)</f>
        <v>-0.14907988887483681</v>
      </c>
      <c r="K5" s="10"/>
      <c r="L5" s="10"/>
      <c r="M5" s="10"/>
    </row>
    <row r="6" spans="1:13" x14ac:dyDescent="0.45">
      <c r="A6" s="5" t="s">
        <v>3</v>
      </c>
      <c r="B6" s="15" t="str">
        <f>Shock_dev!A4</f>
        <v>100*(i_2/i_0-1)</v>
      </c>
      <c r="C6" s="16">
        <f>VLOOKUP($B6,Shock_dev!$A$1:$CI$100,MATCH(DATE(C$3,1,1),Shock_dev!$A$1:$CI$1,0),FALSE)</f>
        <v>2.2873321952721071E-3</v>
      </c>
      <c r="D6" s="17">
        <f>VLOOKUP($B6,Shock_dev!$A$1:$CI$100,MATCH(DATE(D$3,1,1),Shock_dev!$A$1:$CI$1,0),FALSE)</f>
        <v>2.7163516008510413E-3</v>
      </c>
      <c r="E6" s="17">
        <f>VLOOKUP($B6,Shock_dev!$A$1:$CI$100,MATCH(DATE(E$3,1,1),Shock_dev!$A$1:$CI$1,0),FALSE)</f>
        <v>2.5303607473770029E-3</v>
      </c>
      <c r="F6" s="17">
        <f>VLOOKUP($B6,Shock_dev!$A$1:$CI$100,MATCH(DATE(F$3,1,1),Shock_dev!$A$1:$CI$1,0),FALSE)</f>
        <v>1.4374330335353847E-3</v>
      </c>
      <c r="G6" s="17">
        <f>VLOOKUP($B6,Shock_dev!$A$1:$CI$100,MATCH(DATE(G$3,1,1),Shock_dev!$A$1:$CI$1,0),FALSE)</f>
        <v>-7.7346480524820294E-4</v>
      </c>
      <c r="H6" s="17">
        <f>VLOOKUP($B6,Shock_dev!$A$1:$CI$100,MATCH(DATE(H$3,1,1),Shock_dev!$A$1:$CI$1,0),FALSE)</f>
        <v>-3.1424628742104943E-2</v>
      </c>
      <c r="I6" s="17">
        <f>VLOOKUP($B6,Shock_dev!$A$1:$CI$100,MATCH(DATE(I$3,1,1),Shock_dev!$A$1:$CI$1,0),FALSE)</f>
        <v>-0.19825500879757652</v>
      </c>
      <c r="J6" s="18">
        <f>VLOOKUP($B6,Shock_dev!$A$1:$CI$100,MATCH(DATE(J$3,1,1),Shock_dev!$A$1:$CI$1,0),FALSE)</f>
        <v>-0.53374594430669609</v>
      </c>
      <c r="K6" s="10"/>
      <c r="L6" s="10"/>
      <c r="M6" s="10"/>
    </row>
    <row r="7" spans="1:13" x14ac:dyDescent="0.45">
      <c r="A7" s="5" t="s">
        <v>4</v>
      </c>
      <c r="B7" s="15" t="str">
        <f>Shock_dev!A5</f>
        <v>100*(x_2/x_0-1)</v>
      </c>
      <c r="C7" s="16">
        <f>VLOOKUP($B7,Shock_dev!$A$1:$CI$100,MATCH(DATE(C$3,1,1),Shock_dev!$A$1:$CI$1,0),FALSE)</f>
        <v>8.0793682646351783E-4</v>
      </c>
      <c r="D7" s="17">
        <f>VLOOKUP($B7,Shock_dev!$A$1:$CI$100,MATCH(DATE(D$3,1,1),Shock_dev!$A$1:$CI$1,0),FALSE)</f>
        <v>1.1081675058477458E-3</v>
      </c>
      <c r="E7" s="17">
        <f>VLOOKUP($B7,Shock_dev!$A$1:$CI$100,MATCH(DATE(E$3,1,1),Shock_dev!$A$1:$CI$1,0),FALSE)</f>
        <v>1.2940636558544938E-3</v>
      </c>
      <c r="F7" s="17">
        <f>VLOOKUP($B7,Shock_dev!$A$1:$CI$100,MATCH(DATE(F$3,1,1),Shock_dev!$A$1:$CI$1,0),FALSE)</f>
        <v>1.2354916150369988E-3</v>
      </c>
      <c r="G7" s="17">
        <f>VLOOKUP($B7,Shock_dev!$A$1:$CI$100,MATCH(DATE(G$3,1,1),Shock_dev!$A$1:$CI$1,0),FALSE)</f>
        <v>7.9422462428979657E-4</v>
      </c>
      <c r="H7" s="17">
        <f>VLOOKUP($B7,Shock_dev!$A$1:$CI$100,MATCH(DATE(H$3,1,1),Shock_dev!$A$1:$CI$1,0),FALSE)</f>
        <v>-1.1575799845531254E-2</v>
      </c>
      <c r="I7" s="17">
        <f>VLOOKUP($B7,Shock_dev!$A$1:$CI$100,MATCH(DATE(I$3,1,1),Shock_dev!$A$1:$CI$1,0),FALSE)</f>
        <v>-0.11911392558247025</v>
      </c>
      <c r="J7" s="18">
        <f>VLOOKUP($B7,Shock_dev!$A$1:$CI$100,MATCH(DATE(J$3,1,1),Shock_dev!$A$1:$CI$1,0),FALSE)</f>
        <v>-0.37444425720882801</v>
      </c>
      <c r="K7" s="10"/>
      <c r="L7" s="10"/>
      <c r="M7" s="10"/>
    </row>
    <row r="8" spans="1:13" x14ac:dyDescent="0.45">
      <c r="A8" s="5" t="s">
        <v>5</v>
      </c>
      <c r="B8" s="15" t="str">
        <f>Shock_dev!A6</f>
        <v>100*(m_2/m_0-1)</v>
      </c>
      <c r="C8" s="16">
        <f>VLOOKUP($B8,Shock_dev!$A$1:$CI$100,MATCH(DATE(C$3,1,1),Shock_dev!$A$1:$CI$1,0),FALSE)</f>
        <v>6.9396636284135838E-4</v>
      </c>
      <c r="D8" s="17">
        <f>VLOOKUP($B8,Shock_dev!$A$1:$CI$100,MATCH(DATE(D$3,1,1),Shock_dev!$A$1:$CI$1,0),FALSE)</f>
        <v>7.5900346709900646E-4</v>
      </c>
      <c r="E8" s="17">
        <f>VLOOKUP($B8,Shock_dev!$A$1:$CI$100,MATCH(DATE(E$3,1,1),Shock_dev!$A$1:$CI$1,0),FALSE)</f>
        <v>6.0320138588476624E-4</v>
      </c>
      <c r="F8" s="17">
        <f>VLOOKUP($B8,Shock_dev!$A$1:$CI$100,MATCH(DATE(F$3,1,1),Shock_dev!$A$1:$CI$1,0),FALSE)</f>
        <v>1.5635030572447306E-4</v>
      </c>
      <c r="G8" s="17">
        <f>VLOOKUP($B8,Shock_dev!$A$1:$CI$100,MATCH(DATE(G$3,1,1),Shock_dev!$A$1:$CI$1,0),FALSE)</f>
        <v>-6.1711627213911768E-4</v>
      </c>
      <c r="H8" s="17">
        <f>VLOOKUP($B8,Shock_dev!$A$1:$CI$100,MATCH(DATE(H$3,1,1),Shock_dev!$A$1:$CI$1,0),FALSE)</f>
        <v>-9.2417336982508758E-3</v>
      </c>
      <c r="I8" s="17">
        <f>VLOOKUP($B8,Shock_dev!$A$1:$CI$100,MATCH(DATE(I$3,1,1),Shock_dev!$A$1:$CI$1,0),FALSE)</f>
        <v>-4.9015248599260097E-2</v>
      </c>
      <c r="J8" s="18">
        <f>VLOOKUP($B8,Shock_dev!$A$1:$CI$100,MATCH(DATE(J$3,1,1),Shock_dev!$A$1:$CI$1,0),FALSE)</f>
        <v>-0.12928460034650202</v>
      </c>
      <c r="K8" s="10"/>
      <c r="L8" s="10"/>
      <c r="M8" s="10"/>
    </row>
    <row r="9" spans="1:13" x14ac:dyDescent="0.45">
      <c r="A9" s="5" t="s">
        <v>28</v>
      </c>
      <c r="B9" s="15" t="str">
        <f>Shock_dev!A7</f>
        <v>100*((dispinc_at_val_2/pch_2)/(dispinc_at_val_0/pch_0)-1)</v>
      </c>
      <c r="C9" s="16">
        <f>VLOOKUP($B9,Shock_dev!$A$1:$CI$100,MATCH(DATE(C$3,1,1),Shock_dev!$A$1:$CI$1,0),FALSE)</f>
        <v>1.8347613955249642E-3</v>
      </c>
      <c r="D9" s="17">
        <f>VLOOKUP($B9,Shock_dev!$A$1:$CI$100,MATCH(DATE(D$3,1,1),Shock_dev!$A$1:$CI$1,0),FALSE)</f>
        <v>1.4349102691602056E-3</v>
      </c>
      <c r="E9" s="17">
        <f>VLOOKUP($B9,Shock_dev!$A$1:$CI$100,MATCH(DATE(E$3,1,1),Shock_dev!$A$1:$CI$1,0),FALSE)</f>
        <v>2.5187777645818699E-4</v>
      </c>
      <c r="F9" s="17">
        <f>VLOOKUP($B9,Shock_dev!$A$1:$CI$100,MATCH(DATE(F$3,1,1),Shock_dev!$A$1:$CI$1,0),FALSE)</f>
        <v>-1.7272386945377249E-3</v>
      </c>
      <c r="G9" s="17">
        <f>VLOOKUP($B9,Shock_dev!$A$1:$CI$100,MATCH(DATE(G$3,1,1),Shock_dev!$A$1:$CI$1,0),FALSE)</f>
        <v>-4.4094593721677455E-3</v>
      </c>
      <c r="H9" s="17">
        <f>VLOOKUP($B9,Shock_dev!$A$1:$CI$100,MATCH(DATE(H$3,1,1),Shock_dev!$A$1:$CI$1,0),FALSE)</f>
        <v>-2.3596582512175335E-2</v>
      </c>
      <c r="I9" s="17">
        <f>VLOOKUP($B9,Shock_dev!$A$1:$CI$100,MATCH(DATE(I$3,1,1),Shock_dev!$A$1:$CI$1,0),FALSE)</f>
        <v>-7.181311360852094E-2</v>
      </c>
      <c r="J9" s="18">
        <f>VLOOKUP($B9,Shock_dev!$A$1:$CI$100,MATCH(DATE(J$3,1,1),Shock_dev!$A$1:$CI$1,0),FALSE)</f>
        <v>-0.15035773193909918</v>
      </c>
      <c r="K9" s="10"/>
      <c r="L9" s="10"/>
      <c r="M9" s="10"/>
    </row>
    <row r="10" spans="1:13" x14ac:dyDescent="0.45">
      <c r="A10" s="5" t="s">
        <v>27</v>
      </c>
      <c r="B10" s="15" t="str">
        <f>Shock_dev!A8</f>
        <v>100*(rsav_h_val_2-rsav_h_val_0)</v>
      </c>
      <c r="C10" s="16">
        <f>VLOOKUP($B10,Shock_dev!$A$1:$CI$100,MATCH(DATE(C$3,1,1),Shock_dev!$A$1:$CI$1,0),FALSE)</f>
        <v>1.7660000001251674E-5</v>
      </c>
      <c r="D10" s="17">
        <f>VLOOKUP($B10,Shock_dev!$A$1:$CI$100,MATCH(DATE(D$3,1,1),Shock_dev!$A$1:$CI$1,0),FALSE)</f>
        <v>-1.5472000000071873E-4</v>
      </c>
      <c r="E10" s="17">
        <f>VLOOKUP($B10,Shock_dev!$A$1:$CI$100,MATCH(DATE(E$3,1,1),Shock_dev!$A$1:$CI$1,0),FALSE)</f>
        <v>-3.5976000000159658E-4</v>
      </c>
      <c r="F10" s="17">
        <f>VLOOKUP($B10,Shock_dev!$A$1:$CI$100,MATCH(DATE(F$3,1,1),Shock_dev!$A$1:$CI$1,0),FALSE)</f>
        <v>-5.4141999999979262E-4</v>
      </c>
      <c r="G10" s="17">
        <f>VLOOKUP($B10,Shock_dev!$A$1:$CI$100,MATCH(DATE(G$3,1,1),Shock_dev!$A$1:$CI$1,0),FALSE)</f>
        <v>-6.6202999999820378E-4</v>
      </c>
      <c r="H10" s="17">
        <f>VLOOKUP($B10,Shock_dev!$A$1:$CI$100,MATCH(DATE(H$3,1,1),Shock_dev!$A$1:$CI$1,0),FALSE)</f>
        <v>-4.443999999992343E-4</v>
      </c>
      <c r="I10" s="17">
        <f>VLOOKUP($B10,Shock_dev!$A$1:$CI$100,MATCH(DATE(I$3,1,1),Shock_dev!$A$1:$CI$1,0),FALSE)</f>
        <v>-3.6605000000022869E-4</v>
      </c>
      <c r="J10" s="18">
        <f>VLOOKUP($B10,Shock_dev!$A$1:$CI$100,MATCH(DATE(J$3,1,1),Shock_dev!$A$1:$CI$1,0),FALSE)</f>
        <v>-9.0815000000077362E-4</v>
      </c>
      <c r="K10" s="10"/>
      <c r="L10" s="10"/>
      <c r="M10" s="10"/>
    </row>
    <row r="11" spans="1:13" x14ac:dyDescent="0.45">
      <c r="A11" s="5" t="s">
        <v>6</v>
      </c>
      <c r="B11" s="15" t="str">
        <f>Shock_dev!A9</f>
        <v>100*(pch_2/pch_0-1)</v>
      </c>
      <c r="C11" s="16">
        <f>VLOOKUP($B11,Shock_dev!$A$1:$CI$100,MATCH(DATE(C$3,1,1),Shock_dev!$A$1:$CI$1,0),FALSE)</f>
        <v>-4.6793427937896759E-3</v>
      </c>
      <c r="D11" s="17">
        <f>VLOOKUP($B11,Shock_dev!$A$1:$CI$100,MATCH(DATE(D$3,1,1),Shock_dev!$A$1:$CI$1,0),FALSE)</f>
        <v>-5.2204882214912374E-3</v>
      </c>
      <c r="E11" s="17">
        <f>VLOOKUP($B11,Shock_dev!$A$1:$CI$100,MATCH(DATE(E$3,1,1),Shock_dev!$A$1:$CI$1,0),FALSE)</f>
        <v>-4.4904688899505274E-3</v>
      </c>
      <c r="F11" s="17">
        <f>VLOOKUP($B11,Shock_dev!$A$1:$CI$100,MATCH(DATE(F$3,1,1),Shock_dev!$A$1:$CI$1,0),FALSE)</f>
        <v>-2.0251150938288554E-3</v>
      </c>
      <c r="G11" s="17">
        <f>VLOOKUP($B11,Shock_dev!$A$1:$CI$100,MATCH(DATE(G$3,1,1),Shock_dev!$A$1:$CI$1,0),FALSE)</f>
        <v>2.5375013611661501E-3</v>
      </c>
      <c r="H11" s="17">
        <f>VLOOKUP($B11,Shock_dev!$A$1:$CI$100,MATCH(DATE(H$3,1,1),Shock_dev!$A$1:$CI$1,0),FALSE)</f>
        <v>6.4833459214641564E-2</v>
      </c>
      <c r="I11" s="17">
        <f>VLOOKUP($B11,Shock_dev!$A$1:$CI$100,MATCH(DATE(I$3,1,1),Shock_dev!$A$1:$CI$1,0),FALSE)</f>
        <v>0.43509752043489058</v>
      </c>
      <c r="J11" s="18">
        <f>VLOOKUP($B11,Shock_dev!$A$1:$CI$100,MATCH(DATE(J$3,1,1),Shock_dev!$A$1:$CI$1,0),FALSE)</f>
        <v>1.2122638954552123</v>
      </c>
      <c r="K11" s="10"/>
      <c r="L11" s="10"/>
      <c r="M11" s="10"/>
    </row>
    <row r="12" spans="1:13" x14ac:dyDescent="0.45">
      <c r="A12" s="5" t="s">
        <v>7</v>
      </c>
      <c r="B12" s="15" t="str">
        <f>Shock_dev!A10</f>
        <v>100*(py_2/py_0-1)</v>
      </c>
      <c r="C12" s="16">
        <f>VLOOKUP($B12,Shock_dev!$A$1:$CI$100,MATCH(DATE(C$3,1,1),Shock_dev!$A$1:$CI$1,0),FALSE)</f>
        <v>-4.8447718623334524E-3</v>
      </c>
      <c r="D12" s="17">
        <f>VLOOKUP($B12,Shock_dev!$A$1:$CI$100,MATCH(DATE(D$3,1,1),Shock_dev!$A$1:$CI$1,0),FALSE)</f>
        <v>-5.592652697739009E-3</v>
      </c>
      <c r="E12" s="17">
        <f>VLOOKUP($B12,Shock_dev!$A$1:$CI$100,MATCH(DATE(E$3,1,1),Shock_dev!$A$1:$CI$1,0),FALSE)</f>
        <v>-5.1118098801761214E-3</v>
      </c>
      <c r="F12" s="17">
        <f>VLOOKUP($B12,Shock_dev!$A$1:$CI$100,MATCH(DATE(F$3,1,1),Shock_dev!$A$1:$CI$1,0),FALSE)</f>
        <v>-2.8694848323573829E-3</v>
      </c>
      <c r="G12" s="17">
        <f>VLOOKUP($B12,Shock_dev!$A$1:$CI$100,MATCH(DATE(G$3,1,1),Shock_dev!$A$1:$CI$1,0),FALSE)</f>
        <v>1.582287800805382E-3</v>
      </c>
      <c r="H12" s="17">
        <f>VLOOKUP($B12,Shock_dev!$A$1:$CI$100,MATCH(DATE(H$3,1,1),Shock_dev!$A$1:$CI$1,0),FALSE)</f>
        <v>6.7854111298659703E-2</v>
      </c>
      <c r="I12" s="17">
        <f>VLOOKUP($B12,Shock_dev!$A$1:$CI$100,MATCH(DATE(I$3,1,1),Shock_dev!$A$1:$CI$1,0),FALSE)</f>
        <v>0.48790678744772276</v>
      </c>
      <c r="J12" s="18">
        <f>VLOOKUP($B12,Shock_dev!$A$1:$CI$100,MATCH(DATE(J$3,1,1),Shock_dev!$A$1:$CI$1,0),FALSE)</f>
        <v>1.406837990517773</v>
      </c>
      <c r="K12" s="10"/>
      <c r="L12" s="10"/>
      <c r="M12" s="10"/>
    </row>
    <row r="13" spans="1:13" x14ac:dyDescent="0.45">
      <c r="A13" s="5" t="s">
        <v>8</v>
      </c>
      <c r="B13" s="15" t="str">
        <f>Shock_dev!A11</f>
        <v>100*(pva_2/pva_0-1)</v>
      </c>
      <c r="C13" s="16">
        <f>VLOOKUP($B13,Shock_dev!$A$1:$CI$100,MATCH(DATE(C$3,1,1),Shock_dev!$A$1:$CI$1,0),FALSE)</f>
        <v>-5.3331561226444002E-3</v>
      </c>
      <c r="D13" s="17">
        <f>VLOOKUP($B13,Shock_dev!$A$1:$CI$100,MATCH(DATE(D$3,1,1),Shock_dev!$A$1:$CI$1,0),FALSE)</f>
        <v>-6.3043356435366071E-3</v>
      </c>
      <c r="E13" s="17">
        <f>VLOOKUP($B13,Shock_dev!$A$1:$CI$100,MATCH(DATE(E$3,1,1),Shock_dev!$A$1:$CI$1,0),FALSE)</f>
        <v>-5.9873203029581212E-3</v>
      </c>
      <c r="F13" s="17">
        <f>VLOOKUP($B13,Shock_dev!$A$1:$CI$100,MATCH(DATE(F$3,1,1),Shock_dev!$A$1:$CI$1,0),FALSE)</f>
        <v>-3.7575331957473423E-3</v>
      </c>
      <c r="G13" s="17">
        <f>VLOOKUP($B13,Shock_dev!$A$1:$CI$100,MATCH(DATE(G$3,1,1),Shock_dev!$A$1:$CI$1,0),FALSE)</f>
        <v>9.2781392715401978E-4</v>
      </c>
      <c r="H13" s="17">
        <f>VLOOKUP($B13,Shock_dev!$A$1:$CI$100,MATCH(DATE(H$3,1,1),Shock_dev!$A$1:$CI$1,0),FALSE)</f>
        <v>7.4837929651927482E-2</v>
      </c>
      <c r="I13" s="17">
        <f>VLOOKUP($B13,Shock_dev!$A$1:$CI$100,MATCH(DATE(I$3,1,1),Shock_dev!$A$1:$CI$1,0),FALSE)</f>
        <v>0.55750448513842699</v>
      </c>
      <c r="J13" s="18">
        <f>VLOOKUP($B13,Shock_dev!$A$1:$CI$100,MATCH(DATE(J$3,1,1),Shock_dev!$A$1:$CI$1,0),FALSE)</f>
        <v>1.6093292727950903</v>
      </c>
      <c r="K13" s="10"/>
      <c r="L13" s="10"/>
      <c r="M13" s="10"/>
    </row>
    <row r="14" spans="1:13" x14ac:dyDescent="0.45">
      <c r="A14" s="5" t="s">
        <v>9</v>
      </c>
      <c r="B14" s="15" t="str">
        <f>Shock_dev!A12</f>
        <v>100*(pci_2/pci_0-1)</v>
      </c>
      <c r="C14" s="16">
        <f>VLOOKUP($B14,Shock_dev!$A$1:$CI$100,MATCH(DATE(C$3,1,1),Shock_dev!$A$1:$CI$1,0),FALSE)</f>
        <v>-4.4225414700060917E-3</v>
      </c>
      <c r="D14" s="17">
        <f>VLOOKUP($B14,Shock_dev!$A$1:$CI$100,MATCH(DATE(D$3,1,1),Shock_dev!$A$1:$CI$1,0),FALSE)</f>
        <v>-4.9771666516540414E-3</v>
      </c>
      <c r="E14" s="17">
        <f>VLOOKUP($B14,Shock_dev!$A$1:$CI$100,MATCH(DATE(E$3,1,1),Shock_dev!$A$1:$CI$1,0),FALSE)</f>
        <v>-4.3547639209218225E-3</v>
      </c>
      <c r="F14" s="17">
        <f>VLOOKUP($B14,Shock_dev!$A$1:$CI$100,MATCH(DATE(F$3,1,1),Shock_dev!$A$1:$CI$1,0),FALSE)</f>
        <v>-2.1016782006388901E-3</v>
      </c>
      <c r="G14" s="17">
        <f>VLOOKUP($B14,Shock_dev!$A$1:$CI$100,MATCH(DATE(G$3,1,1),Shock_dev!$A$1:$CI$1,0),FALSE)</f>
        <v>2.148246092881223E-3</v>
      </c>
      <c r="H14" s="17">
        <f>VLOOKUP($B14,Shock_dev!$A$1:$CI$100,MATCH(DATE(H$3,1,1),Shock_dev!$A$1:$CI$1,0),FALSE)</f>
        <v>6.1815481983651388E-2</v>
      </c>
      <c r="I14" s="17">
        <f>VLOOKUP($B14,Shock_dev!$A$1:$CI$100,MATCH(DATE(I$3,1,1),Shock_dev!$A$1:$CI$1,0),FALSE)</f>
        <v>0.42772250166482895</v>
      </c>
      <c r="J14" s="18">
        <f>VLOOKUP($B14,Shock_dev!$A$1:$CI$100,MATCH(DATE(J$3,1,1),Shock_dev!$A$1:$CI$1,0),FALSE)</f>
        <v>1.2316926183773003</v>
      </c>
      <c r="K14" s="10"/>
      <c r="L14" s="10"/>
      <c r="M14" s="10"/>
    </row>
    <row r="15" spans="1:13" x14ac:dyDescent="0.45">
      <c r="A15" s="5" t="s">
        <v>10</v>
      </c>
      <c r="B15" s="15" t="str">
        <f>Shock_dev!A13</f>
        <v>100*(px_2/px_0-1)</v>
      </c>
      <c r="C15" s="16">
        <f>VLOOKUP($B15,Shock_dev!$A$1:$CI$100,MATCH(DATE(C$3,1,1),Shock_dev!$A$1:$CI$1,0),FALSE)</f>
        <v>-2.5382661965611675E-3</v>
      </c>
      <c r="D15" s="17">
        <f>VLOOKUP($B15,Shock_dev!$A$1:$CI$100,MATCH(DATE(D$3,1,1),Shock_dev!$A$1:$CI$1,0),FALSE)</f>
        <v>-3.0142275615152592E-3</v>
      </c>
      <c r="E15" s="17">
        <f>VLOOKUP($B15,Shock_dev!$A$1:$CI$100,MATCH(DATE(E$3,1,1),Shock_dev!$A$1:$CI$1,0),FALSE)</f>
        <v>-2.879505814323835E-3</v>
      </c>
      <c r="F15" s="17">
        <f>VLOOKUP($B15,Shock_dev!$A$1:$CI$100,MATCH(DATE(F$3,1,1),Shock_dev!$A$1:$CI$1,0),FALSE)</f>
        <v>-1.8314899253635275E-3</v>
      </c>
      <c r="G15" s="17">
        <f>VLOOKUP($B15,Shock_dev!$A$1:$CI$100,MATCH(DATE(G$3,1,1),Shock_dev!$A$1:$CI$1,0),FALSE)</f>
        <v>3.9261869630990986E-4</v>
      </c>
      <c r="H15" s="17">
        <f>VLOOKUP($B15,Shock_dev!$A$1:$CI$100,MATCH(DATE(H$3,1,1),Shock_dev!$A$1:$CI$1,0),FALSE)</f>
        <v>3.5663592525936316E-2</v>
      </c>
      <c r="I15" s="17">
        <f>VLOOKUP($B15,Shock_dev!$A$1:$CI$100,MATCH(DATE(I$3,1,1),Shock_dev!$A$1:$CI$1,0),FALSE)</f>
        <v>0.26554352574186257</v>
      </c>
      <c r="J15" s="18">
        <f>VLOOKUP($B15,Shock_dev!$A$1:$CI$100,MATCH(DATE(J$3,1,1),Shock_dev!$A$1:$CI$1,0),FALSE)</f>
        <v>0.76674579238626972</v>
      </c>
      <c r="K15" s="10"/>
      <c r="L15" s="10"/>
      <c r="M15" s="10"/>
    </row>
    <row r="16" spans="1:13" x14ac:dyDescent="0.45">
      <c r="A16" s="5" t="s">
        <v>11</v>
      </c>
      <c r="B16" s="15" t="str">
        <f>Shock_dev!A14</f>
        <v>100*(pm_2/pm_0-1)</v>
      </c>
      <c r="C16" s="16">
        <f>VLOOKUP($B16,Shock_dev!$A$1:$CI$100,MATCH(DATE(C$3,1,1),Shock_dev!$A$1:$CI$1,0),FALSE)</f>
        <v>0</v>
      </c>
      <c r="D16" s="17">
        <f>VLOOKUP($B16,Shock_dev!$A$1:$CI$100,MATCH(DATE(D$3,1,1),Shock_dev!$A$1:$CI$1,0),FALSE)</f>
        <v>0</v>
      </c>
      <c r="E16" s="17">
        <f>VLOOKUP($B16,Shock_dev!$A$1:$CI$100,MATCH(DATE(E$3,1,1),Shock_dev!$A$1:$CI$1,0),FALSE)</f>
        <v>0</v>
      </c>
      <c r="F16" s="17">
        <f>VLOOKUP($B16,Shock_dev!$A$1:$CI$100,MATCH(DATE(F$3,1,1),Shock_dev!$A$1:$CI$1,0),FALSE)</f>
        <v>0</v>
      </c>
      <c r="G16" s="17">
        <f>VLOOKUP($B16,Shock_dev!$A$1:$CI$100,MATCH(DATE(G$3,1,1),Shock_dev!$A$1:$CI$1,0),FALSE)</f>
        <v>0</v>
      </c>
      <c r="H16" s="17">
        <f>VLOOKUP($B16,Shock_dev!$A$1:$CI$100,MATCH(DATE(H$3,1,1),Shock_dev!$A$1:$CI$1,0),FALSE)</f>
        <v>0</v>
      </c>
      <c r="I16" s="17">
        <f>VLOOKUP($B16,Shock_dev!$A$1:$CI$100,MATCH(DATE(I$3,1,1),Shock_dev!$A$1:$CI$1,0),FALSE)</f>
        <v>0</v>
      </c>
      <c r="J16" s="18">
        <f>VLOOKUP($B16,Shock_dev!$A$1:$CI$100,MATCH(DATE(J$3,1,1),Shock_dev!$A$1:$CI$1,0),FALSE)</f>
        <v>0</v>
      </c>
      <c r="K16" s="10"/>
      <c r="L16" s="10"/>
      <c r="M16" s="10"/>
    </row>
    <row r="17" spans="1:13" x14ac:dyDescent="0.45">
      <c r="A17" s="5" t="s">
        <v>12</v>
      </c>
      <c r="B17" s="15" t="str">
        <f>Shock_dev!A15</f>
        <v>100*(w_2/w_0-1)</v>
      </c>
      <c r="C17" s="16">
        <f>VLOOKUP($B17,Shock_dev!$A$1:$CI$100,MATCH(DATE(C$3,1,1),Shock_dev!$A$1:$CI$1,0),FALSE)</f>
        <v>-1.5257610284646894E-3</v>
      </c>
      <c r="D17" s="17">
        <f>VLOOKUP($B17,Shock_dev!$A$1:$CI$100,MATCH(DATE(D$3,1,1),Shock_dev!$A$1:$CI$1,0),FALSE)</f>
        <v>-2.4633297138976218E-3</v>
      </c>
      <c r="E17" s="17">
        <f>VLOOKUP($B17,Shock_dev!$A$1:$CI$100,MATCH(DATE(E$3,1,1),Shock_dev!$A$1:$CI$1,0),FALSE)</f>
        <v>-3.3517253646864198E-3</v>
      </c>
      <c r="F17" s="17">
        <f>VLOOKUP($B17,Shock_dev!$A$1:$CI$100,MATCH(DATE(F$3,1,1),Shock_dev!$A$1:$CI$1,0),FALSE)</f>
        <v>-3.8345683196272518E-3</v>
      </c>
      <c r="G17" s="17">
        <f>VLOOKUP($B17,Shock_dev!$A$1:$CI$100,MATCH(DATE(G$3,1,1),Shock_dev!$A$1:$CI$1,0),FALSE)</f>
        <v>-3.5026929235848492E-3</v>
      </c>
      <c r="H17" s="17">
        <f>VLOOKUP($B17,Shock_dev!$A$1:$CI$100,MATCH(DATE(H$3,1,1),Shock_dev!$A$1:$CI$1,0),FALSE)</f>
        <v>2.3141088177380809E-2</v>
      </c>
      <c r="I17" s="17">
        <f>VLOOKUP($B17,Shock_dev!$A$1:$CI$100,MATCH(DATE(I$3,1,1),Shock_dev!$A$1:$CI$1,0),FALSE)</f>
        <v>0.27507853126045312</v>
      </c>
      <c r="J17" s="18">
        <f>VLOOKUP($B17,Shock_dev!$A$1:$CI$100,MATCH(DATE(J$3,1,1),Shock_dev!$A$1:$CI$1,0),FALSE)</f>
        <v>0.85284868589621254</v>
      </c>
      <c r="K17" s="10"/>
      <c r="L17" s="10"/>
      <c r="M17" s="10"/>
    </row>
    <row r="18" spans="1:13" x14ac:dyDescent="0.45">
      <c r="A18" s="5" t="s">
        <v>13</v>
      </c>
      <c r="B18" s="15" t="str">
        <f>Shock_dev!A16</f>
        <v>100*((c_l_2/pva_2)/(c_l_0/pva_0)-1)</v>
      </c>
      <c r="C18" s="16">
        <f>VLOOKUP($B18,Shock_dev!$A$1:$CI$100,MATCH(DATE(C$3,1,1),Shock_dev!$A$1:$CI$1,0),FALSE)</f>
        <v>3.8095756375033929E-3</v>
      </c>
      <c r="D18" s="17">
        <f>VLOOKUP($B18,Shock_dev!$A$1:$CI$100,MATCH(DATE(D$3,1,1),Shock_dev!$A$1:$CI$1,0),FALSE)</f>
        <v>3.8433284718530913E-3</v>
      </c>
      <c r="E18" s="17">
        <f>VLOOKUP($B18,Shock_dev!$A$1:$CI$100,MATCH(DATE(E$3,1,1),Shock_dev!$A$1:$CI$1,0),FALSE)</f>
        <v>2.6371114330681067E-3</v>
      </c>
      <c r="F18" s="17">
        <f>VLOOKUP($B18,Shock_dev!$A$1:$CI$100,MATCH(DATE(F$3,1,1),Shock_dev!$A$1:$CI$1,0),FALSE)</f>
        <v>-7.7597338155044326E-5</v>
      </c>
      <c r="G18" s="17">
        <f>VLOOKUP($B18,Shock_dev!$A$1:$CI$100,MATCH(DATE(G$3,1,1),Shock_dev!$A$1:$CI$1,0),FALSE)</f>
        <v>-4.4343204139596359E-3</v>
      </c>
      <c r="H18" s="17">
        <f>VLOOKUP($B18,Shock_dev!$A$1:$CI$100,MATCH(DATE(H$3,1,1),Shock_dev!$A$1:$CI$1,0),FALSE)</f>
        <v>-5.1690203542587021E-2</v>
      </c>
      <c r="I18" s="17">
        <f>VLOOKUP($B18,Shock_dev!$A$1:$CI$100,MATCH(DATE(I$3,1,1),Shock_dev!$A$1:$CI$1,0),FALSE)</f>
        <v>-0.28072802351085668</v>
      </c>
      <c r="J18" s="18">
        <f>VLOOKUP($B18,Shock_dev!$A$1:$CI$100,MATCH(DATE(J$3,1,1),Shock_dev!$A$1:$CI$1,0),FALSE)</f>
        <v>-0.74353543224205954</v>
      </c>
      <c r="K18" s="10"/>
      <c r="L18" s="10"/>
      <c r="M18" s="10"/>
    </row>
    <row r="19" spans="1:13" x14ac:dyDescent="0.45">
      <c r="A19" s="5" t="s">
        <v>14</v>
      </c>
      <c r="B19" s="15" t="str">
        <f>Shock_dev!A17</f>
        <v>f_l_2-f_l_0</v>
      </c>
      <c r="C19" s="16">
        <f>VLOOKUP($B19,Shock_dev!$A$1:$CI$100,MATCH(DATE(C$3,1,1),Shock_dev!$A$1:$CI$1,0),FALSE)</f>
        <v>7.2073000001182663E-2</v>
      </c>
      <c r="D19" s="17">
        <f>VLOOKUP($B19,Shock_dev!$A$1:$CI$100,MATCH(DATE(D$3,1,1),Shock_dev!$A$1:$CI$1,0),FALSE)</f>
        <v>0.1003259999997681</v>
      </c>
      <c r="E19" s="17">
        <f>VLOOKUP($B19,Shock_dev!$A$1:$CI$100,MATCH(DATE(E$3,1,1),Shock_dev!$A$1:$CI$1,0),FALSE)</f>
        <v>0.11845400000129302</v>
      </c>
      <c r="F19" s="17">
        <f>VLOOKUP($B19,Shock_dev!$A$1:$CI$100,MATCH(DATE(F$3,1,1),Shock_dev!$A$1:$CI$1,0),FALSE)</f>
        <v>0.11421400000108406</v>
      </c>
      <c r="G19" s="17">
        <f>VLOOKUP($B19,Shock_dev!$A$1:$CI$100,MATCH(DATE(G$3,1,1),Shock_dev!$A$1:$CI$1,0),FALSE)</f>
        <v>7.490700000016659E-2</v>
      </c>
      <c r="H19" s="17">
        <f>VLOOKUP($B19,Shock_dev!$A$1:$CI$100,MATCH(DATE(H$3,1,1),Shock_dev!$A$1:$CI$1,0),FALSE)</f>
        <v>-1.0423869999995077</v>
      </c>
      <c r="I19" s="17">
        <f>VLOOKUP($B19,Shock_dev!$A$1:$CI$100,MATCH(DATE(I$3,1,1),Shock_dev!$A$1:$CI$1,0),FALSE)</f>
        <v>-11.245435999999245</v>
      </c>
      <c r="J19" s="18">
        <f>VLOOKUP($B19,Shock_dev!$A$1:$CI$100,MATCH(DATE(J$3,1,1),Shock_dev!$A$1:$CI$1,0),FALSE)</f>
        <v>-36.98768900000141</v>
      </c>
      <c r="K19" s="10"/>
      <c r="L19" s="10"/>
      <c r="M19" s="10"/>
    </row>
    <row r="20" spans="1:13" x14ac:dyDescent="0.45">
      <c r="A20" s="5" t="s">
        <v>19</v>
      </c>
      <c r="B20" s="15" t="str">
        <f>Shock_dev!A18</f>
        <v>100*(unr_2-unr_0)</v>
      </c>
      <c r="C20" s="16">
        <f>VLOOKUP($B20,Shock_dev!$A$1:$CI$100,MATCH(DATE(C$3,1,1),Shock_dev!$A$1:$CI$1,0),FALSE)</f>
        <v>-6.007000000002316E-4</v>
      </c>
      <c r="D20" s="17">
        <f>VLOOKUP($B20,Shock_dev!$A$1:$CI$100,MATCH(DATE(D$3,1,1),Shock_dev!$A$1:$CI$1,0),FALSE)</f>
        <v>-8.2155999999999896E-4</v>
      </c>
      <c r="E20" s="17">
        <f>VLOOKUP($B20,Shock_dev!$A$1:$CI$100,MATCH(DATE(E$3,1,1),Shock_dev!$A$1:$CI$1,0),FALSE)</f>
        <v>-9.4886000000099502E-4</v>
      </c>
      <c r="F20" s="17">
        <f>VLOOKUP($B20,Shock_dev!$A$1:$CI$100,MATCH(DATE(F$3,1,1),Shock_dev!$A$1:$CI$1,0),FALSE)</f>
        <v>-8.8443000000049121E-4</v>
      </c>
      <c r="G20" s="17">
        <f>VLOOKUP($B20,Shock_dev!$A$1:$CI$100,MATCH(DATE(G$3,1,1),Shock_dev!$A$1:$CI$1,0),FALSE)</f>
        <v>-5.3027000000011038E-4</v>
      </c>
      <c r="H20" s="17">
        <f>VLOOKUP($B20,Shock_dev!$A$1:$CI$100,MATCH(DATE(H$3,1,1),Shock_dev!$A$1:$CI$1,0),FALSE)</f>
        <v>8.4639299999994533E-3</v>
      </c>
      <c r="I20" s="17">
        <f>VLOOKUP($B20,Shock_dev!$A$1:$CI$100,MATCH(DATE(I$3,1,1),Shock_dev!$A$1:$CI$1,0),FALSE)</f>
        <v>8.5356359999999576E-2</v>
      </c>
      <c r="J20" s="18">
        <f>VLOOKUP($B20,Shock_dev!$A$1:$CI$100,MATCH(DATE(J$3,1,1),Shock_dev!$A$1:$CI$1,0),FALSE)</f>
        <v>0.27068676999999902</v>
      </c>
      <c r="K20" s="10"/>
      <c r="L20" s="10"/>
      <c r="M20" s="10"/>
    </row>
    <row r="21" spans="1:13" x14ac:dyDescent="0.45">
      <c r="A21" s="5" t="s">
        <v>15</v>
      </c>
      <c r="B21" s="15" t="str">
        <f>Shock_dev!A19</f>
        <v>100*(rbal_trade_val_2-rbal_trade_val_0)</v>
      </c>
      <c r="C21" s="16">
        <f>VLOOKUP($B21,Shock_dev!$A$1:$CI$100,MATCH(DATE(C$3,1,1),Shock_dev!$A$1:$CI$1,0),FALSE)</f>
        <v>-1.6037199999999197E-3</v>
      </c>
      <c r="D21" s="17">
        <f>VLOOKUP($B21,Shock_dev!$A$1:$CI$100,MATCH(DATE(D$3,1,1),Shock_dev!$A$1:$CI$1,0),FALSE)</f>
        <v>-1.738490000000037E-3</v>
      </c>
      <c r="E21" s="17">
        <f>VLOOKUP($B21,Shock_dev!$A$1:$CI$100,MATCH(DATE(E$3,1,1),Shock_dev!$A$1:$CI$1,0),FALSE)</f>
        <v>-1.3818200000001446E-3</v>
      </c>
      <c r="F21" s="17">
        <f>VLOOKUP($B21,Shock_dev!$A$1:$CI$100,MATCH(DATE(F$3,1,1),Shock_dev!$A$1:$CI$1,0),FALSE)</f>
        <v>-3.7811000000026462E-4</v>
      </c>
      <c r="G21" s="17">
        <f>VLOOKUP($B21,Shock_dev!$A$1:$CI$100,MATCH(DATE(G$3,1,1),Shock_dev!$A$1:$CI$1,0),FALSE)</f>
        <v>1.367039999999875E-3</v>
      </c>
      <c r="H21" s="17">
        <f>VLOOKUP($B21,Shock_dev!$A$1:$CI$100,MATCH(DATE(H$3,1,1),Shock_dev!$A$1:$CI$1,0),FALSE)</f>
        <v>2.1922530000000051E-2</v>
      </c>
      <c r="I21" s="17">
        <f>VLOOKUP($B21,Shock_dev!$A$1:$CI$100,MATCH(DATE(I$3,1,1),Shock_dev!$A$1:$CI$1,0),FALSE)</f>
        <v>0.12112147000000045</v>
      </c>
      <c r="J21" s="18">
        <f>VLOOKUP($B21,Shock_dev!$A$1:$CI$100,MATCH(DATE(J$3,1,1),Shock_dev!$A$1:$CI$1,0),FALSE)</f>
        <v>0.31282403999999958</v>
      </c>
      <c r="K21" s="10"/>
      <c r="L21" s="10"/>
      <c r="M21" s="10"/>
    </row>
    <row r="22" spans="1:13" x14ac:dyDescent="0.45">
      <c r="A22" s="5" t="s">
        <v>16</v>
      </c>
      <c r="B22" s="15" t="str">
        <f>Shock_dev!A20</f>
        <v>100*(rbal_g_prim_val_2-rbal_g_prim_val_0)</v>
      </c>
      <c r="C22" s="16">
        <f>VLOOKUP($B22,Shock_dev!$A$1:$CI$100,MATCH(DATE(C$3,1,1),Shock_dev!$A$1:$CI$1,0),FALSE)</f>
        <v>-6.1206700000000086E-4</v>
      </c>
      <c r="D22" s="17">
        <f>VLOOKUP($B22,Shock_dev!$A$1:$CI$100,MATCH(DATE(D$3,1,1),Shock_dev!$A$1:$CI$1,0),FALSE)</f>
        <v>-9.0303400000005252E-4</v>
      </c>
      <c r="E22" s="17">
        <f>VLOOKUP($B22,Shock_dev!$A$1:$CI$100,MATCH(DATE(E$3,1,1),Shock_dev!$A$1:$CI$1,0),FALSE)</f>
        <v>-1.1309960000000646E-3</v>
      </c>
      <c r="F22" s="17">
        <f>VLOOKUP($B22,Shock_dev!$A$1:$CI$100,MATCH(DATE(F$3,1,1),Shock_dev!$A$1:$CI$1,0),FALSE)</f>
        <v>-1.1722789999999914E-3</v>
      </c>
      <c r="G22" s="17">
        <f>VLOOKUP($B22,Shock_dev!$A$1:$CI$100,MATCH(DATE(G$3,1,1),Shock_dev!$A$1:$CI$1,0),FALSE)</f>
        <v>-8.910469999999851E-4</v>
      </c>
      <c r="H22" s="17">
        <f>VLOOKUP($B22,Shock_dev!$A$1:$CI$100,MATCH(DATE(H$3,1,1),Shock_dev!$A$1:$CI$1,0),FALSE)</f>
        <v>9.3221240000000011E-3</v>
      </c>
      <c r="I22" s="17">
        <f>VLOOKUP($B22,Shock_dev!$A$1:$CI$100,MATCH(DATE(I$3,1,1),Shock_dev!$A$1:$CI$1,0),FALSE)</f>
        <v>9.0771573999999952E-2</v>
      </c>
      <c r="J22" s="18">
        <f>VLOOKUP($B22,Shock_dev!$A$1:$CI$100,MATCH(DATE(J$3,1,1),Shock_dev!$A$1:$CI$1,0),FALSE)</f>
        <v>0.26151652599999997</v>
      </c>
      <c r="K22" s="10"/>
      <c r="L22" s="10"/>
      <c r="M22" s="10"/>
    </row>
    <row r="23" spans="1:13" x14ac:dyDescent="0.45">
      <c r="A23" s="5" t="s">
        <v>17</v>
      </c>
      <c r="B23" s="15" t="str">
        <f>Shock_dev!A21</f>
        <v>100*(rdebt_g_val_2-rdebt_g_val_0)</v>
      </c>
      <c r="C23" s="16">
        <f>VLOOKUP($B23,Shock_dev!$A$1:$CI$100,MATCH(DATE(C$3,1,1),Shock_dev!$A$1:$CI$1,0),FALSE)</f>
        <v>3.2895199999938285E-3</v>
      </c>
      <c r="D23" s="17">
        <f>VLOOKUP($B23,Shock_dev!$A$1:$CI$100,MATCH(DATE(D$3,1,1),Shock_dev!$A$1:$CI$1,0),FALSE)</f>
        <v>4.4166399999934214E-3</v>
      </c>
      <c r="E23" s="17">
        <f>VLOOKUP($B23,Shock_dev!$A$1:$CI$100,MATCH(DATE(E$3,1,1),Shock_dev!$A$1:$CI$1,0),FALSE)</f>
        <v>5.2244499999964944E-3</v>
      </c>
      <c r="F23" s="17">
        <f>VLOOKUP($B23,Shock_dev!$A$1:$CI$100,MATCH(DATE(F$3,1,1),Shock_dev!$A$1:$CI$1,0),FALSE)</f>
        <v>5.3251700000034319E-3</v>
      </c>
      <c r="G23" s="17">
        <f>VLOOKUP($B23,Shock_dev!$A$1:$CI$100,MATCH(DATE(G$3,1,1),Shock_dev!$A$1:$CI$1,0),FALSE)</f>
        <v>4.2206299999958397E-3</v>
      </c>
      <c r="H23" s="17">
        <f>VLOOKUP($B23,Shock_dev!$A$1:$CI$100,MATCH(DATE(H$3,1,1),Shock_dev!$A$1:$CI$1,0),FALSE)</f>
        <v>-4.3556799999999729E-2</v>
      </c>
      <c r="I23" s="17">
        <f>VLOOKUP($B23,Shock_dev!$A$1:$CI$100,MATCH(DATE(I$3,1,1),Shock_dev!$A$1:$CI$1,0),FALSE)</f>
        <v>-0.68435192999999339</v>
      </c>
      <c r="J23" s="18">
        <f>VLOOKUP($B23,Shock_dev!$A$1:$CI$100,MATCH(DATE(J$3,1,1),Shock_dev!$A$1:$CI$1,0),FALSE)</f>
        <v>-2.7567187800000004</v>
      </c>
      <c r="K23" s="10"/>
      <c r="L23" s="10"/>
      <c r="M23" s="10"/>
    </row>
    <row r="24" spans="1:13" x14ac:dyDescent="0.45">
      <c r="A24" s="5"/>
      <c r="B24" s="15"/>
      <c r="C24" s="16"/>
      <c r="D24" s="17"/>
      <c r="E24" s="17"/>
      <c r="F24" s="17"/>
      <c r="G24" s="17"/>
      <c r="H24" s="17"/>
      <c r="I24" s="17"/>
      <c r="J24" s="18"/>
      <c r="K24" s="10"/>
      <c r="L24" s="10"/>
      <c r="M24" s="10"/>
    </row>
    <row r="25" spans="1:13" x14ac:dyDescent="0.45">
      <c r="A25" s="9"/>
      <c r="B25" s="9"/>
      <c r="C25" s="9"/>
      <c r="D25" s="9"/>
      <c r="E25" s="9"/>
      <c r="F25" s="9"/>
      <c r="G25" s="9"/>
      <c r="H25" s="9"/>
      <c r="I25" s="9"/>
      <c r="J25" s="9"/>
      <c r="K25" s="10"/>
      <c r="L25" s="10"/>
      <c r="M25" s="10"/>
    </row>
    <row r="26" spans="1:13" x14ac:dyDescent="0.45">
      <c r="A26" s="7"/>
      <c r="B26" s="7"/>
      <c r="C26" s="45"/>
      <c r="D26" s="45"/>
      <c r="E26" s="45"/>
      <c r="F26" s="45"/>
      <c r="G26" s="45"/>
      <c r="H26" s="45"/>
      <c r="I26" s="45"/>
      <c r="J26" s="45"/>
      <c r="K26" s="10"/>
      <c r="L26" s="10"/>
      <c r="M26" s="10"/>
    </row>
    <row r="27" spans="1:13" ht="15.75" x14ac:dyDescent="0.45">
      <c r="A27" s="8"/>
      <c r="B27" s="9"/>
      <c r="C27" s="46"/>
      <c r="D27" s="46"/>
      <c r="E27" s="46"/>
      <c r="F27" s="46"/>
      <c r="G27" s="46"/>
      <c r="H27" s="46"/>
      <c r="I27" s="46"/>
      <c r="J27" s="47"/>
      <c r="K27" s="10"/>
      <c r="L27" s="10"/>
      <c r="M27" s="10"/>
    </row>
    <row r="28" spans="1:13" x14ac:dyDescent="0.45">
      <c r="A28" s="1"/>
      <c r="B28" s="13"/>
      <c r="C28" s="2"/>
      <c r="D28" s="3"/>
      <c r="E28" s="3"/>
      <c r="F28" s="3"/>
      <c r="G28" s="3"/>
      <c r="H28" s="3"/>
      <c r="I28" s="3"/>
      <c r="J28" s="4"/>
      <c r="K28" s="10"/>
      <c r="L28" s="10"/>
      <c r="M28" s="10"/>
    </row>
    <row r="29" spans="1:13" x14ac:dyDescent="0.45">
      <c r="A29" s="5"/>
      <c r="B29" s="12"/>
      <c r="C29" s="16"/>
      <c r="D29" s="17"/>
      <c r="E29" s="17"/>
      <c r="F29" s="17"/>
      <c r="G29" s="17"/>
      <c r="H29" s="17"/>
      <c r="I29" s="17"/>
      <c r="J29" s="18"/>
      <c r="K29" s="10"/>
      <c r="L29" s="10"/>
      <c r="M29" s="10"/>
    </row>
    <row r="30" spans="1:13" x14ac:dyDescent="0.45">
      <c r="A30" s="5"/>
      <c r="B30" s="12"/>
      <c r="C30" s="16"/>
      <c r="D30" s="17"/>
      <c r="E30" s="17"/>
      <c r="F30" s="17"/>
      <c r="G30" s="17"/>
      <c r="H30" s="17"/>
      <c r="I30" s="17"/>
      <c r="J30" s="18"/>
      <c r="K30" s="10"/>
      <c r="L30" s="10"/>
      <c r="M30" s="10"/>
    </row>
    <row r="31" spans="1:13" x14ac:dyDescent="0.45">
      <c r="A31" s="5"/>
      <c r="B31" s="12"/>
      <c r="C31" s="16"/>
      <c r="D31" s="17"/>
      <c r="E31" s="17"/>
      <c r="F31" s="17"/>
      <c r="G31" s="17"/>
      <c r="H31" s="17"/>
      <c r="I31" s="17"/>
      <c r="J31" s="18"/>
      <c r="K31" s="10"/>
      <c r="L31" s="10"/>
      <c r="M31" s="10"/>
    </row>
    <row r="32" spans="1:13" x14ac:dyDescent="0.45">
      <c r="A32" s="5"/>
      <c r="B32" s="12"/>
      <c r="C32" s="16"/>
      <c r="D32" s="17"/>
      <c r="E32" s="17"/>
      <c r="F32" s="17"/>
      <c r="G32" s="17"/>
      <c r="H32" s="17"/>
      <c r="I32" s="17"/>
      <c r="J32" s="18"/>
      <c r="K32" s="10"/>
      <c r="L32" s="10"/>
      <c r="M32" s="10"/>
    </row>
    <row r="33" spans="1:13" x14ac:dyDescent="0.45">
      <c r="A33" s="5"/>
      <c r="B33" s="12"/>
      <c r="C33" s="16"/>
      <c r="D33" s="17"/>
      <c r="E33" s="17"/>
      <c r="F33" s="17"/>
      <c r="G33" s="17"/>
      <c r="H33" s="17"/>
      <c r="I33" s="17"/>
      <c r="J33" s="18"/>
      <c r="K33" s="10"/>
      <c r="L33" s="10"/>
      <c r="M33" s="10"/>
    </row>
    <row r="34" spans="1:13" x14ac:dyDescent="0.45">
      <c r="A34" s="5"/>
      <c r="B34" s="12"/>
      <c r="C34" s="16"/>
      <c r="D34" s="17"/>
      <c r="E34" s="17"/>
      <c r="F34" s="17"/>
      <c r="G34" s="17"/>
      <c r="H34" s="17"/>
      <c r="I34" s="17"/>
      <c r="J34" s="18"/>
      <c r="K34" s="10"/>
      <c r="L34" s="10"/>
      <c r="M34" s="10"/>
    </row>
    <row r="35" spans="1:13" x14ac:dyDescent="0.45">
      <c r="A35" s="5"/>
      <c r="B35" s="12"/>
      <c r="C35" s="16"/>
      <c r="D35" s="17"/>
      <c r="E35" s="17"/>
      <c r="F35" s="17"/>
      <c r="G35" s="17"/>
      <c r="H35" s="17"/>
      <c r="I35" s="17"/>
      <c r="J35" s="18"/>
      <c r="K35" s="10"/>
      <c r="L35" s="10"/>
      <c r="M35" s="10"/>
    </row>
    <row r="36" spans="1:13" x14ac:dyDescent="0.45">
      <c r="A36" s="5"/>
      <c r="B36" s="12"/>
      <c r="C36" s="16"/>
      <c r="D36" s="17"/>
      <c r="E36" s="17"/>
      <c r="F36" s="17"/>
      <c r="G36" s="17"/>
      <c r="H36" s="17"/>
      <c r="I36" s="17"/>
      <c r="J36" s="18"/>
      <c r="K36" s="10"/>
      <c r="L36" s="10"/>
      <c r="M36" s="10"/>
    </row>
    <row r="37" spans="1:13" x14ac:dyDescent="0.45">
      <c r="A37" s="5"/>
      <c r="B37" s="12"/>
      <c r="C37" s="16"/>
      <c r="D37" s="17"/>
      <c r="E37" s="17"/>
      <c r="F37" s="17"/>
      <c r="G37" s="17"/>
      <c r="H37" s="17"/>
      <c r="I37" s="17"/>
      <c r="J37" s="18"/>
      <c r="K37" s="10"/>
      <c r="L37" s="10"/>
      <c r="M37" s="10"/>
    </row>
    <row r="38" spans="1:13" x14ac:dyDescent="0.45">
      <c r="A38" s="5"/>
      <c r="B38" s="12"/>
      <c r="C38" s="16"/>
      <c r="D38" s="17"/>
      <c r="E38" s="17"/>
      <c r="F38" s="17"/>
      <c r="G38" s="17"/>
      <c r="H38" s="17"/>
      <c r="I38" s="17"/>
      <c r="J38" s="18"/>
      <c r="K38" s="10"/>
      <c r="L38" s="10"/>
      <c r="M38" s="10"/>
    </row>
    <row r="39" spans="1:13" x14ac:dyDescent="0.45">
      <c r="A39" s="5"/>
      <c r="B39" s="12"/>
      <c r="C39" s="16"/>
      <c r="D39" s="17"/>
      <c r="E39" s="17"/>
      <c r="F39" s="17"/>
      <c r="G39" s="17"/>
      <c r="H39" s="17"/>
      <c r="I39" s="17"/>
      <c r="J39" s="18"/>
      <c r="K39" s="10"/>
      <c r="L39" s="10"/>
      <c r="M39" s="10"/>
    </row>
    <row r="40" spans="1:13" x14ac:dyDescent="0.45">
      <c r="A40" s="5"/>
      <c r="B40" s="12"/>
      <c r="C40" s="16"/>
      <c r="D40" s="17"/>
      <c r="E40" s="17"/>
      <c r="F40" s="17"/>
      <c r="G40" s="17"/>
      <c r="H40" s="17"/>
      <c r="I40" s="17"/>
      <c r="J40" s="18"/>
      <c r="K40" s="10"/>
      <c r="L40" s="10"/>
      <c r="M40" s="10"/>
    </row>
    <row r="41" spans="1:13" x14ac:dyDescent="0.45">
      <c r="A41" s="5"/>
      <c r="B41" s="12"/>
      <c r="C41" s="16"/>
      <c r="D41" s="17"/>
      <c r="E41" s="17"/>
      <c r="F41" s="17"/>
      <c r="G41" s="17"/>
      <c r="H41" s="17"/>
      <c r="I41" s="17"/>
      <c r="J41" s="18"/>
      <c r="K41" s="10"/>
      <c r="L41" s="10"/>
      <c r="M41" s="10"/>
    </row>
    <row r="42" spans="1:13" x14ac:dyDescent="0.45">
      <c r="A42" s="5"/>
      <c r="B42" s="12"/>
      <c r="C42" s="16"/>
      <c r="D42" s="17"/>
      <c r="E42" s="17"/>
      <c r="F42" s="17"/>
      <c r="G42" s="17"/>
      <c r="H42" s="17"/>
      <c r="I42" s="17"/>
      <c r="J42" s="18"/>
      <c r="K42" s="10"/>
      <c r="L42" s="10"/>
      <c r="M42" s="10"/>
    </row>
    <row r="43" spans="1:13" x14ac:dyDescent="0.45">
      <c r="A43" s="5"/>
      <c r="B43" s="12"/>
      <c r="C43" s="16"/>
      <c r="D43" s="17"/>
      <c r="E43" s="17"/>
      <c r="F43" s="17"/>
      <c r="G43" s="17"/>
      <c r="H43" s="17"/>
      <c r="I43" s="17"/>
      <c r="J43" s="18"/>
      <c r="K43" s="10"/>
      <c r="L43" s="10"/>
      <c r="M43" s="10"/>
    </row>
    <row r="44" spans="1:13" x14ac:dyDescent="0.45">
      <c r="A44" s="5"/>
      <c r="B44" s="12"/>
      <c r="C44" s="16"/>
      <c r="D44" s="17"/>
      <c r="E44" s="17"/>
      <c r="F44" s="17"/>
      <c r="G44" s="17"/>
      <c r="H44" s="17"/>
      <c r="I44" s="17"/>
      <c r="J44" s="18"/>
      <c r="K44" s="10"/>
      <c r="L44" s="10"/>
      <c r="M44" s="10"/>
    </row>
    <row r="45" spans="1:13" x14ac:dyDescent="0.45">
      <c r="A45" s="5"/>
      <c r="B45" s="12"/>
      <c r="C45" s="16"/>
      <c r="D45" s="17"/>
      <c r="E45" s="17"/>
      <c r="F45" s="17"/>
      <c r="G45" s="17"/>
      <c r="H45" s="17"/>
      <c r="I45" s="17"/>
      <c r="J45" s="18"/>
      <c r="K45" s="10"/>
      <c r="L45" s="10"/>
      <c r="M45" s="10"/>
    </row>
    <row r="46" spans="1:13" x14ac:dyDescent="0.45">
      <c r="A46" s="5"/>
      <c r="B46" s="12"/>
      <c r="C46" s="16"/>
      <c r="D46" s="17"/>
      <c r="E46" s="17"/>
      <c r="F46" s="17"/>
      <c r="G46" s="17"/>
      <c r="H46" s="17"/>
      <c r="I46" s="17"/>
      <c r="J46" s="18"/>
      <c r="K46" s="10"/>
      <c r="L46" s="10"/>
      <c r="M46" s="10"/>
    </row>
    <row r="47" spans="1:13" x14ac:dyDescent="0.45">
      <c r="A47" s="6"/>
      <c r="B47" s="14"/>
      <c r="C47" s="16"/>
      <c r="D47" s="17"/>
      <c r="E47" s="17"/>
      <c r="F47" s="17"/>
      <c r="G47" s="17"/>
      <c r="H47" s="17"/>
      <c r="I47" s="17"/>
      <c r="J47" s="18"/>
      <c r="K47" s="10"/>
      <c r="L47" s="10"/>
      <c r="M47" s="10"/>
    </row>
    <row r="48" spans="1:13" x14ac:dyDescent="0.45">
      <c r="A48" s="6"/>
      <c r="B48" s="14"/>
      <c r="C48" s="16"/>
      <c r="D48" s="17"/>
      <c r="E48" s="17"/>
      <c r="F48" s="17"/>
      <c r="G48" s="17"/>
      <c r="H48" s="17"/>
      <c r="I48" s="17"/>
      <c r="J48" s="18"/>
      <c r="K48" s="10"/>
      <c r="L48" s="10"/>
      <c r="M48" s="10"/>
    </row>
    <row r="49" spans="1:13" x14ac:dyDescent="0.45">
      <c r="A49" s="6"/>
      <c r="B49" s="14"/>
      <c r="C49" s="16"/>
      <c r="D49" s="17"/>
      <c r="E49" s="17"/>
      <c r="F49" s="17"/>
      <c r="G49" s="17"/>
      <c r="H49" s="17"/>
      <c r="I49" s="17"/>
      <c r="J49" s="18"/>
      <c r="K49" s="10"/>
      <c r="L49" s="10"/>
      <c r="M49" s="10"/>
    </row>
    <row r="50" spans="1:13" x14ac:dyDescent="0.4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x14ac:dyDescent="0.4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x14ac:dyDescent="0.4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x14ac:dyDescent="0.4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3" x14ac:dyDescent="0.4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 x14ac:dyDescent="0.4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x14ac:dyDescent="0.4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1:13" x14ac:dyDescent="0.4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x14ac:dyDescent="0.4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3" x14ac:dyDescent="0.4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</sheetData>
  <mergeCells count="4">
    <mergeCell ref="C1:J1"/>
    <mergeCell ref="C2:J2"/>
    <mergeCell ref="C26:J26"/>
    <mergeCell ref="C27:J27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77"/>
  <sheetViews>
    <sheetView zoomScale="70" zoomScaleNormal="70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8" sqref="E28"/>
    </sheetView>
  </sheetViews>
  <sheetFormatPr defaultColWidth="12.3984375" defaultRowHeight="14.25" x14ac:dyDescent="0.45"/>
  <cols>
    <col min="1" max="1" width="37.3984375" style="10" customWidth="1"/>
    <col min="2" max="2" width="25.86328125" style="10" customWidth="1"/>
    <col min="3" max="6" width="4.86328125" style="10" customWidth="1"/>
    <col min="7" max="7" width="4.73046875" style="10" bestFit="1" customWidth="1"/>
    <col min="8" max="8" width="6.86328125" style="10" customWidth="1"/>
    <col min="9" max="32" width="4.86328125" style="10" customWidth="1"/>
    <col min="33" max="33" width="4.265625" style="10" customWidth="1"/>
    <col min="34" max="39" width="7.265625" style="10" bestFit="1" customWidth="1"/>
    <col min="40" max="40" width="3.73046875" style="10" customWidth="1"/>
    <col min="41" max="43" width="7.265625" style="10" bestFit="1" customWidth="1"/>
    <col min="44" max="16384" width="12.3984375" style="10"/>
  </cols>
  <sheetData>
    <row r="1" spans="1:43" x14ac:dyDescent="0.45">
      <c r="A1" s="13"/>
      <c r="B1" s="13"/>
      <c r="C1" s="3">
        <v>2021</v>
      </c>
      <c r="D1" s="3">
        <f>C1+1</f>
        <v>2022</v>
      </c>
      <c r="E1" s="3">
        <f t="shared" ref="E1:AF1" si="0">D1+1</f>
        <v>2023</v>
      </c>
      <c r="F1" s="3">
        <f t="shared" si="0"/>
        <v>2024</v>
      </c>
      <c r="G1" s="3">
        <f t="shared" si="0"/>
        <v>2025</v>
      </c>
      <c r="H1" s="3">
        <f t="shared" si="0"/>
        <v>2026</v>
      </c>
      <c r="I1" s="3">
        <f t="shared" si="0"/>
        <v>2027</v>
      </c>
      <c r="J1" s="3">
        <f t="shared" si="0"/>
        <v>2028</v>
      </c>
      <c r="K1" s="3">
        <f t="shared" si="0"/>
        <v>2029</v>
      </c>
      <c r="L1" s="3">
        <f t="shared" si="0"/>
        <v>2030</v>
      </c>
      <c r="M1" s="3">
        <f t="shared" si="0"/>
        <v>2031</v>
      </c>
      <c r="N1" s="3">
        <f t="shared" si="0"/>
        <v>2032</v>
      </c>
      <c r="O1" s="3">
        <f t="shared" si="0"/>
        <v>2033</v>
      </c>
      <c r="P1" s="3">
        <f t="shared" si="0"/>
        <v>2034</v>
      </c>
      <c r="Q1" s="3">
        <f t="shared" si="0"/>
        <v>2035</v>
      </c>
      <c r="R1" s="3">
        <f t="shared" si="0"/>
        <v>2036</v>
      </c>
      <c r="S1" s="3">
        <f t="shared" si="0"/>
        <v>2037</v>
      </c>
      <c r="T1" s="3">
        <f t="shared" si="0"/>
        <v>2038</v>
      </c>
      <c r="U1" s="3">
        <f t="shared" si="0"/>
        <v>2039</v>
      </c>
      <c r="V1" s="3">
        <f t="shared" si="0"/>
        <v>2040</v>
      </c>
      <c r="W1" s="3">
        <f t="shared" si="0"/>
        <v>2041</v>
      </c>
      <c r="X1" s="3">
        <f t="shared" si="0"/>
        <v>2042</v>
      </c>
      <c r="Y1" s="3">
        <f t="shared" si="0"/>
        <v>2043</v>
      </c>
      <c r="Z1" s="3">
        <f t="shared" si="0"/>
        <v>2044</v>
      </c>
      <c r="AA1" s="3">
        <f t="shared" si="0"/>
        <v>2045</v>
      </c>
      <c r="AB1" s="3">
        <f t="shared" si="0"/>
        <v>2046</v>
      </c>
      <c r="AC1" s="3">
        <f t="shared" si="0"/>
        <v>2047</v>
      </c>
      <c r="AD1" s="3">
        <f t="shared" si="0"/>
        <v>2048</v>
      </c>
      <c r="AE1" s="3">
        <f t="shared" si="0"/>
        <v>2049</v>
      </c>
      <c r="AF1" s="3">
        <f t="shared" si="0"/>
        <v>2050</v>
      </c>
      <c r="AG1" s="21"/>
      <c r="AH1" s="26" t="s">
        <v>61</v>
      </c>
      <c r="AI1" s="26" t="s">
        <v>62</v>
      </c>
      <c r="AJ1" s="26" t="s">
        <v>63</v>
      </c>
      <c r="AK1" s="26" t="s">
        <v>64</v>
      </c>
      <c r="AL1" s="26" t="s">
        <v>65</v>
      </c>
      <c r="AM1" s="26" t="s">
        <v>66</v>
      </c>
      <c r="AO1" s="27" t="s">
        <v>60</v>
      </c>
      <c r="AP1" s="27" t="s">
        <v>67</v>
      </c>
      <c r="AQ1" s="27" t="s">
        <v>68</v>
      </c>
    </row>
    <row r="3" spans="1:43" x14ac:dyDescent="0.45">
      <c r="C3" s="31"/>
    </row>
    <row r="17" spans="1:43" ht="15.75" x14ac:dyDescent="0.5">
      <c r="A17" s="7"/>
      <c r="B17" s="7"/>
      <c r="C17" s="22"/>
      <c r="D17" s="22"/>
      <c r="E17" s="22"/>
      <c r="F17" s="22"/>
      <c r="G17" s="22"/>
      <c r="H17" s="22"/>
      <c r="I17" s="22"/>
      <c r="J17" s="22"/>
    </row>
    <row r="18" spans="1:43" ht="15.75" x14ac:dyDescent="0.5">
      <c r="A18" s="7"/>
      <c r="B18" s="7"/>
      <c r="C18" s="22"/>
      <c r="D18" s="22"/>
      <c r="E18" s="22"/>
      <c r="F18" s="22"/>
      <c r="G18" s="22"/>
      <c r="H18" s="22"/>
      <c r="I18" s="22"/>
      <c r="J18" s="22"/>
    </row>
    <row r="19" spans="1:43" ht="15.75" x14ac:dyDescent="0.5">
      <c r="A19" s="7"/>
      <c r="B19" s="7"/>
      <c r="C19" s="22"/>
      <c r="D19" s="22"/>
      <c r="E19" s="22"/>
      <c r="F19" s="22"/>
      <c r="G19" s="22"/>
      <c r="H19" s="22"/>
      <c r="I19" s="22"/>
      <c r="J19" s="22"/>
    </row>
    <row r="20" spans="1:43" ht="15.75" x14ac:dyDescent="0.5">
      <c r="A20" s="7"/>
      <c r="B20" s="7"/>
      <c r="C20" s="22"/>
      <c r="D20" s="22"/>
      <c r="E20" s="22"/>
      <c r="F20" s="22"/>
      <c r="G20" s="22"/>
      <c r="H20" s="22"/>
      <c r="I20" s="22"/>
      <c r="J20" s="22"/>
    </row>
    <row r="21" spans="1:43" ht="15.75" x14ac:dyDescent="0.5">
      <c r="A21" s="7"/>
      <c r="B21" s="7"/>
      <c r="C21" s="22"/>
      <c r="D21" s="22"/>
      <c r="E21" s="22"/>
      <c r="F21" s="22"/>
      <c r="G21" s="22"/>
      <c r="H21" s="22"/>
      <c r="I21" s="22"/>
      <c r="J21" s="22"/>
    </row>
    <row r="22" spans="1:43" ht="15.75" x14ac:dyDescent="0.5">
      <c r="A22" s="7"/>
      <c r="B22" s="7"/>
      <c r="C22" s="22"/>
      <c r="D22" s="22"/>
      <c r="E22" s="22"/>
      <c r="F22" s="22"/>
      <c r="G22" s="22"/>
      <c r="H22" s="22"/>
      <c r="I22" s="22"/>
      <c r="J22" s="22"/>
    </row>
    <row r="23" spans="1:43" ht="15.75" x14ac:dyDescent="0.5">
      <c r="A23" s="7"/>
      <c r="B23" s="7"/>
      <c r="C23" s="22"/>
      <c r="D23" s="22"/>
      <c r="E23" s="22"/>
      <c r="F23" s="22"/>
      <c r="G23" s="22"/>
      <c r="H23" s="22"/>
      <c r="I23" s="22"/>
      <c r="J23" s="22"/>
    </row>
    <row r="24" spans="1:43" ht="15.75" x14ac:dyDescent="0.5">
      <c r="A24" s="7"/>
      <c r="B24" s="7"/>
      <c r="C24" s="22"/>
      <c r="D24" s="22"/>
      <c r="E24" s="22"/>
      <c r="F24" s="22"/>
      <c r="G24" s="22"/>
      <c r="H24" s="22"/>
      <c r="I24" s="22"/>
      <c r="J24" s="22"/>
    </row>
    <row r="25" spans="1:43" ht="15.75" x14ac:dyDescent="0.5">
      <c r="A25" s="7"/>
      <c r="B25" s="7"/>
      <c r="C25" s="22"/>
      <c r="D25" s="22"/>
      <c r="E25" s="22"/>
      <c r="F25" s="22"/>
      <c r="G25" s="22"/>
      <c r="H25" s="22"/>
      <c r="I25" s="22"/>
      <c r="J25" s="22"/>
    </row>
    <row r="26" spans="1:43" x14ac:dyDescent="0.45">
      <c r="A26" s="9"/>
      <c r="B26" s="15" t="s">
        <v>50</v>
      </c>
      <c r="C26" s="17">
        <f>VLOOKUP($B26,Shock_dev!$A$1:$CI$100,MATCH(DATE(C$1,1,1),Shock_dev!$A$1:$CI$1,0),FALSE)</f>
        <v>5.0563709670383198E-4</v>
      </c>
      <c r="D26" s="17">
        <f>VLOOKUP($B26,Shock_dev!$A$1:$CI$100,MATCH(DATE(D$1,1,1),Shock_dev!$A$1:$CI$1,0),FALSE)</f>
        <v>6.0047602151093254E-4</v>
      </c>
      <c r="E26" s="17">
        <f>VLOOKUP($B26,Shock_dev!$A$1:$CI$100,MATCH(DATE(E$1,1,1),Shock_dev!$A$1:$CI$1,0),FALSE)</f>
        <v>5.5936092913189128E-4</v>
      </c>
      <c r="F26" s="17">
        <f>VLOOKUP($B26,Shock_dev!$A$1:$CI$100,MATCH(DATE(F$1,1,1),Shock_dev!$A$1:$CI$1,0),FALSE)</f>
        <v>3.1775859550228438E-4</v>
      </c>
      <c r="G26" s="17">
        <f>VLOOKUP($B26,Shock_dev!$A$1:$CI$100,MATCH(DATE(G$1,1,1),Shock_dev!$A$1:$CI$1,0),FALSE)</f>
        <v>-1.7098194098749803E-4</v>
      </c>
      <c r="H26" s="17">
        <f>VLOOKUP($B26,Shock_dev!$A$1:$CI$100,MATCH(DATE(H$1,1,1),Shock_dev!$A$1:$CI$1,0),FALSE)</f>
        <v>-9.3557834803843125E-4</v>
      </c>
      <c r="I26" s="17">
        <f>VLOOKUP($B26,Shock_dev!$A$1:$CI$100,MATCH(DATE(I$1,1,1),Shock_dev!$A$1:$CI$1,0),FALSE)</f>
        <v>-1.9909054101949378E-3</v>
      </c>
      <c r="J26" s="17">
        <f>VLOOKUP($B26,Shock_dev!$A$1:$CI$100,MATCH(DATE(J$1,1,1),Shock_dev!$A$1:$CI$1,0),FALSE)</f>
        <v>-3.3432878572768562E-3</v>
      </c>
      <c r="K26" s="17">
        <f>VLOOKUP($B26,Shock_dev!$A$1:$CI$100,MATCH(DATE(K$1,1,1),Shock_dev!$A$1:$CI$1,0),FALSE)</f>
        <v>-4.9949266405413051E-3</v>
      </c>
      <c r="L26" s="17">
        <f>VLOOKUP($B26,Shock_dev!$A$1:$CI$100,MATCH(DATE(L$1,1,1),Shock_dev!$A$1:$CI$1,0),FALSE)</f>
        <v>-6.9467207554593869E-3</v>
      </c>
      <c r="M26" s="17">
        <f>VLOOKUP($B26,Shock_dev!$A$1:$CI$100,MATCH(DATE(M$1,1,1),Shock_dev!$A$1:$CI$1,0),FALSE)</f>
        <v>-9.2000473253512956E-3</v>
      </c>
      <c r="N26" s="17">
        <f>VLOOKUP($B26,Shock_dev!$A$1:$CI$100,MATCH(DATE(N$1,1,1),Shock_dev!$A$1:$CI$1,0),FALSE)</f>
        <v>-1.1757372771039772E-2</v>
      </c>
      <c r="O26" s="17">
        <f>VLOOKUP($B26,Shock_dev!$A$1:$CI$100,MATCH(DATE(O$1,1,1),Shock_dev!$A$1:$CI$1,0),FALSE)</f>
        <v>-1.4622479204834856E-2</v>
      </c>
      <c r="P26" s="17">
        <f>VLOOKUP($B26,Shock_dev!$A$1:$CI$100,MATCH(DATE(P$1,1,1),Shock_dev!$A$1:$CI$1,0),FALSE)</f>
        <v>-1.7800370012113355E-2</v>
      </c>
      <c r="Q26" s="17">
        <f>VLOOKUP($B26,Shock_dev!$A$1:$CI$100,MATCH(DATE(Q$1,1,1),Shock_dev!$A$1:$CI$1,0),FALSE)</f>
        <v>-2.1297040870568662E-2</v>
      </c>
      <c r="R26" s="17">
        <f>VLOOKUP($B26,Shock_dev!$A$1:$CI$100,MATCH(DATE(R$1,1,1),Shock_dev!$A$1:$CI$1,0),FALSE)</f>
        <v>-2.5119423380657691E-2</v>
      </c>
      <c r="S26" s="17">
        <f>VLOOKUP($B26,Shock_dev!$A$1:$CI$100,MATCH(DATE(S$1,1,1),Shock_dev!$A$1:$CI$1,0),FALSE)</f>
        <v>-2.9275082563455481E-2</v>
      </c>
      <c r="T26" s="17">
        <f>VLOOKUP($B26,Shock_dev!$A$1:$CI$100,MATCH(DATE(T$1,1,1),Shock_dev!$A$1:$CI$1,0),FALSE)</f>
        <v>-3.377223362255545E-2</v>
      </c>
      <c r="U26" s="17">
        <f>VLOOKUP($B26,Shock_dev!$A$1:$CI$100,MATCH(DATE(U$1,1,1),Shock_dev!$A$1:$CI$1,0),FALSE)</f>
        <v>-3.8619557879531613E-2</v>
      </c>
      <c r="V26" s="17">
        <f>VLOOKUP($B26,Shock_dev!$A$1:$CI$100,MATCH(DATE(V$1,1,1),Shock_dev!$A$1:$CI$1,0),FALSE)</f>
        <v>-4.382620384973928E-2</v>
      </c>
      <c r="W26" s="17">
        <f>VLOOKUP($B26,Shock_dev!$A$1:$CI$100,MATCH(DATE(W$1,1,1),Shock_dev!$A$1:$CI$1,0),FALSE)</f>
        <v>-4.9401743945201165E-2</v>
      </c>
      <c r="X26" s="17">
        <f>VLOOKUP($B26,Shock_dev!$A$1:$CI$100,MATCH(DATE(X$1,1,1),Shock_dev!$A$1:$CI$1,0),FALSE)</f>
        <v>-5.5356196760741508E-2</v>
      </c>
      <c r="Y26" s="17">
        <f>VLOOKUP($B26,Shock_dev!$A$1:$CI$100,MATCH(DATE(Y$1,1,1),Shock_dev!$A$1:$CI$1,0),FALSE)</f>
        <v>-6.1699930900047044E-2</v>
      </c>
      <c r="Z26" s="17">
        <f>VLOOKUP($B26,Shock_dev!$A$1:$CI$100,MATCH(DATE(Z$1,1,1),Shock_dev!$A$1:$CI$1,0),FALSE)</f>
        <v>-6.8443823671878443E-2</v>
      </c>
      <c r="AA26" s="17">
        <f>VLOOKUP($B26,Shock_dev!$A$1:$CI$100,MATCH(DATE(AA$1,1,1),Shock_dev!$A$1:$CI$1,0),FALSE)</f>
        <v>-7.5599222859184176E-2</v>
      </c>
      <c r="AB26" s="17">
        <f>VLOOKUP($B26,Shock_dev!$A$1:$CI$100,MATCH(DATE(AB$1,1,1),Shock_dev!$A$1:$CI$1,0),FALSE)</f>
        <v>-8.3178031633208124E-2</v>
      </c>
      <c r="AC26" s="17">
        <f>VLOOKUP($B26,Shock_dev!$A$1:$CI$100,MATCH(DATE(AC$1,1,1),Shock_dev!$A$1:$CI$1,0),FALSE)</f>
        <v>-9.1192796351849986E-2</v>
      </c>
      <c r="AD26" s="17">
        <f>VLOOKUP($B26,Shock_dev!$A$1:$CI$100,MATCH(DATE(AD$1,1,1),Shock_dev!$A$1:$CI$1,0),FALSE)</f>
        <v>-9.9656776966672203E-2</v>
      </c>
      <c r="AE26" s="17">
        <f>VLOOKUP($B26,Shock_dev!$A$1:$CI$100,MATCH(DATE(AE$1,1,1),Shock_dev!$A$1:$CI$1,0),FALSE)</f>
        <v>-0.10858407937492458</v>
      </c>
      <c r="AF26" s="17">
        <f>VLOOKUP($B26,Shock_dev!$A$1:$CI$100,MATCH(DATE(AF$1,1,1),Shock_dev!$A$1:$CI$1,0),FALSE)</f>
        <v>-0.11798974815615355</v>
      </c>
      <c r="AG26" s="17"/>
      <c r="AH26" s="28">
        <f t="shared" ref="AH26:AH31" si="1">AVERAGE(C26:G26)</f>
        <v>3.6245014037228839E-4</v>
      </c>
      <c r="AI26" s="28">
        <f t="shared" ref="AI26:AI31" si="2">AVERAGE(H26:L26)</f>
        <v>-3.6422838023021835E-3</v>
      </c>
      <c r="AJ26" s="28">
        <f t="shared" ref="AJ26:AJ31" si="3">AVERAGE(M26:Q26)</f>
        <v>-1.4935462036781588E-2</v>
      </c>
      <c r="AK26" s="28">
        <f t="shared" ref="AK26:AK31" si="4">AVERAGE(R26:V26)</f>
        <v>-3.4122500259187907E-2</v>
      </c>
      <c r="AL26" s="28">
        <f t="shared" ref="AL26:AL31" si="5">AVERAGE(W26:AA26)</f>
        <v>-6.2100183627410467E-2</v>
      </c>
      <c r="AM26" s="28">
        <f t="shared" ref="AM26:AM31" si="6">AVERAGE(AB26:AF26)</f>
        <v>-0.10012028649656168</v>
      </c>
      <c r="AN26" s="29"/>
      <c r="AO26" s="28">
        <f t="shared" ref="AO26:AO31" si="7">AVERAGE(AH26:AI26)</f>
        <v>-1.6399168309649476E-3</v>
      </c>
      <c r="AP26" s="28">
        <f t="shared" ref="AP26:AP31" si="8">AVERAGE(AJ26:AK26)</f>
        <v>-2.4528981147984748E-2</v>
      </c>
      <c r="AQ26" s="28">
        <f t="shared" ref="AQ26:AQ31" si="9">AVERAGE(AL26:AM26)</f>
        <v>-8.1110235061986072E-2</v>
      </c>
    </row>
    <row r="27" spans="1:43" x14ac:dyDescent="0.45">
      <c r="A27" s="12"/>
      <c r="B27" s="15" t="s">
        <v>52</v>
      </c>
      <c r="C27" s="17">
        <f>VLOOKUP($B27,Shock_dev!$A$1:$CI$100,MATCH(DATE(C$1,1,1),Shock_dev!$A$1:$CI$1,0),FALSE)</f>
        <v>0</v>
      </c>
      <c r="D27" s="17">
        <f>VLOOKUP($B27,Shock_dev!$A$1:$CI$100,MATCH(DATE(D$1,1,1),Shock_dev!$A$1:$CI$1,0),FALSE)</f>
        <v>0</v>
      </c>
      <c r="E27" s="17">
        <f>VLOOKUP($B27,Shock_dev!$A$1:$CI$100,MATCH(DATE(E$1,1,1),Shock_dev!$A$1:$CI$1,0),FALSE)</f>
        <v>0</v>
      </c>
      <c r="F27" s="17">
        <f>VLOOKUP($B27,Shock_dev!$A$1:$CI$100,MATCH(DATE(F$1,1,1),Shock_dev!$A$1:$CI$1,0),FALSE)</f>
        <v>0</v>
      </c>
      <c r="G27" s="17">
        <f>VLOOKUP($B27,Shock_dev!$A$1:$CI$100,MATCH(DATE(G$1,1,1),Shock_dev!$A$1:$CI$1,0),FALSE)</f>
        <v>0</v>
      </c>
      <c r="H27" s="17">
        <f>VLOOKUP($B27,Shock_dev!$A$1:$CI$100,MATCH(DATE(H$1,1,1),Shock_dev!$A$1:$CI$1,0),FALSE)</f>
        <v>0</v>
      </c>
      <c r="I27" s="17">
        <f>VLOOKUP($B27,Shock_dev!$A$1:$CI$100,MATCH(DATE(I$1,1,1),Shock_dev!$A$1:$CI$1,0),FALSE)</f>
        <v>0</v>
      </c>
      <c r="J27" s="17">
        <f>VLOOKUP($B27,Shock_dev!$A$1:$CI$100,MATCH(DATE(J$1,1,1),Shock_dev!$A$1:$CI$1,0),FALSE)</f>
        <v>0</v>
      </c>
      <c r="K27" s="17">
        <f>VLOOKUP($B27,Shock_dev!$A$1:$CI$100,MATCH(DATE(K$1,1,1),Shock_dev!$A$1:$CI$1,0),FALSE)</f>
        <v>0</v>
      </c>
      <c r="L27" s="17">
        <f>VLOOKUP($B27,Shock_dev!$A$1:$CI$100,MATCH(DATE(L$1,1,1),Shock_dev!$A$1:$CI$1,0),FALSE)</f>
        <v>0</v>
      </c>
      <c r="M27" s="17">
        <f>VLOOKUP($B27,Shock_dev!$A$1:$CI$100,MATCH(DATE(M$1,1,1),Shock_dev!$A$1:$CI$1,0),FALSE)</f>
        <v>0</v>
      </c>
      <c r="N27" s="17">
        <f>VLOOKUP($B27,Shock_dev!$A$1:$CI$100,MATCH(DATE(N$1,1,1),Shock_dev!$A$1:$CI$1,0),FALSE)</f>
        <v>0</v>
      </c>
      <c r="O27" s="17">
        <f>VLOOKUP($B27,Shock_dev!$A$1:$CI$100,MATCH(DATE(O$1,1,1),Shock_dev!$A$1:$CI$1,0),FALSE)</f>
        <v>0</v>
      </c>
      <c r="P27" s="17">
        <f>VLOOKUP($B27,Shock_dev!$A$1:$CI$100,MATCH(DATE(P$1,1,1),Shock_dev!$A$1:$CI$1,0),FALSE)</f>
        <v>0</v>
      </c>
      <c r="Q27" s="17">
        <f>VLOOKUP($B27,Shock_dev!$A$1:$CI$100,MATCH(DATE(Q$1,1,1),Shock_dev!$A$1:$CI$1,0),FALSE)</f>
        <v>0</v>
      </c>
      <c r="R27" s="17">
        <f>VLOOKUP($B27,Shock_dev!$A$1:$CI$100,MATCH(DATE(R$1,1,1),Shock_dev!$A$1:$CI$1,0),FALSE)</f>
        <v>0</v>
      </c>
      <c r="S27" s="17">
        <f>VLOOKUP($B27,Shock_dev!$A$1:$CI$100,MATCH(DATE(S$1,1,1),Shock_dev!$A$1:$CI$1,0),FALSE)</f>
        <v>0</v>
      </c>
      <c r="T27" s="17">
        <f>VLOOKUP($B27,Shock_dev!$A$1:$CI$100,MATCH(DATE(T$1,1,1),Shock_dev!$A$1:$CI$1,0),FALSE)</f>
        <v>0</v>
      </c>
      <c r="U27" s="17">
        <f>VLOOKUP($B27,Shock_dev!$A$1:$CI$100,MATCH(DATE(U$1,1,1),Shock_dev!$A$1:$CI$1,0),FALSE)</f>
        <v>0</v>
      </c>
      <c r="V27" s="17">
        <f>VLOOKUP($B27,Shock_dev!$A$1:$CI$100,MATCH(DATE(V$1,1,1),Shock_dev!$A$1:$CI$1,0),FALSE)</f>
        <v>0</v>
      </c>
      <c r="W27" s="17">
        <f>VLOOKUP($B27,Shock_dev!$A$1:$CI$100,MATCH(DATE(W$1,1,1),Shock_dev!$A$1:$CI$1,0),FALSE)</f>
        <v>0</v>
      </c>
      <c r="X27" s="17">
        <f>VLOOKUP($B27,Shock_dev!$A$1:$CI$100,MATCH(DATE(X$1,1,1),Shock_dev!$A$1:$CI$1,0),FALSE)</f>
        <v>0</v>
      </c>
      <c r="Y27" s="17">
        <f>VLOOKUP($B27,Shock_dev!$A$1:$CI$100,MATCH(DATE(Y$1,1,1),Shock_dev!$A$1:$CI$1,0),FALSE)</f>
        <v>0</v>
      </c>
      <c r="Z27" s="17">
        <f>VLOOKUP($B27,Shock_dev!$A$1:$CI$100,MATCH(DATE(Z$1,1,1),Shock_dev!$A$1:$CI$1,0),FALSE)</f>
        <v>0</v>
      </c>
      <c r="AA27" s="17">
        <f>VLOOKUP($B27,Shock_dev!$A$1:$CI$100,MATCH(DATE(AA$1,1,1),Shock_dev!$A$1:$CI$1,0),FALSE)</f>
        <v>0</v>
      </c>
      <c r="AB27" s="17">
        <f>VLOOKUP($B27,Shock_dev!$A$1:$CI$100,MATCH(DATE(AB$1,1,1),Shock_dev!$A$1:$CI$1,0),FALSE)</f>
        <v>0</v>
      </c>
      <c r="AC27" s="17">
        <f>VLOOKUP($B27,Shock_dev!$A$1:$CI$100,MATCH(DATE(AC$1,1,1),Shock_dev!$A$1:$CI$1,0),FALSE)</f>
        <v>0</v>
      </c>
      <c r="AD27" s="17">
        <f>VLOOKUP($B27,Shock_dev!$A$1:$CI$100,MATCH(DATE(AD$1,1,1),Shock_dev!$A$1:$CI$1,0),FALSE)</f>
        <v>0</v>
      </c>
      <c r="AE27" s="17">
        <f>VLOOKUP($B27,Shock_dev!$A$1:$CI$100,MATCH(DATE(AE$1,1,1),Shock_dev!$A$1:$CI$1,0),FALSE)</f>
        <v>0</v>
      </c>
      <c r="AF27" s="17">
        <f>VLOOKUP($B27,Shock_dev!$A$1:$CI$100,MATCH(DATE(AF$1,1,1),Shock_dev!$A$1:$CI$1,0),FALSE)</f>
        <v>0</v>
      </c>
      <c r="AG27" s="17"/>
      <c r="AH27" s="28">
        <f t="shared" si="1"/>
        <v>0</v>
      </c>
      <c r="AI27" s="28">
        <f t="shared" si="2"/>
        <v>0</v>
      </c>
      <c r="AJ27" s="28">
        <f t="shared" si="3"/>
        <v>0</v>
      </c>
      <c r="AK27" s="28">
        <f t="shared" si="4"/>
        <v>0</v>
      </c>
      <c r="AL27" s="28">
        <f t="shared" si="5"/>
        <v>0</v>
      </c>
      <c r="AM27" s="28">
        <f t="shared" si="6"/>
        <v>0</v>
      </c>
      <c r="AN27" s="29"/>
      <c r="AO27" s="28">
        <f t="shared" si="7"/>
        <v>0</v>
      </c>
      <c r="AP27" s="28">
        <f t="shared" si="8"/>
        <v>0</v>
      </c>
      <c r="AQ27" s="28">
        <f t="shared" si="9"/>
        <v>0</v>
      </c>
    </row>
    <row r="28" spans="1:43" x14ac:dyDescent="0.45">
      <c r="B28" s="15" t="s">
        <v>29</v>
      </c>
      <c r="C28" s="17">
        <f>VLOOKUP($B28,Shock_dev!$A$1:$CI$100,MATCH(DATE(C$1,1,1),Shock_dev!$A$1:$CI$1,0),FALSE)</f>
        <v>1.4626160511843622E-3</v>
      </c>
      <c r="D28" s="17">
        <f>VLOOKUP($B28,Shock_dev!$A$1:$CI$100,MATCH(DATE(D$1,1,1),Shock_dev!$A$1:$CI$1,0),FALSE)</f>
        <v>1.6832669887723029E-3</v>
      </c>
      <c r="E28" s="17">
        <f>VLOOKUP($B28,Shock_dev!$A$1:$CI$100,MATCH(DATE(E$1,1,1),Shock_dev!$A$1:$CI$1,0),FALSE)</f>
        <v>1.5073164452594767E-3</v>
      </c>
      <c r="F28" s="17">
        <f>VLOOKUP($B28,Shock_dev!$A$1:$CI$100,MATCH(DATE(F$1,1,1),Shock_dev!$A$1:$CI$1,0),FALSE)</f>
        <v>7.7487238203666209E-4</v>
      </c>
      <c r="G28" s="17">
        <f>VLOOKUP($B28,Shock_dev!$A$1:$CI$100,MATCH(DATE(G$1,1,1),Shock_dev!$A$1:$CI$1,0),FALSE)</f>
        <v>-6.2909205907901722E-4</v>
      </c>
      <c r="H28" s="17">
        <f>VLOOKUP($B28,Shock_dev!$A$1:$CI$100,MATCH(DATE(H$1,1,1),Shock_dev!$A$1:$CI$1,0),FALSE)</f>
        <v>-2.7823956461836552E-3</v>
      </c>
      <c r="I28" s="17">
        <f>VLOOKUP($B28,Shock_dev!$A$1:$CI$100,MATCH(DATE(I$1,1,1),Shock_dev!$A$1:$CI$1,0),FALSE)</f>
        <v>-5.7393702938557389E-3</v>
      </c>
      <c r="J28" s="17">
        <f>VLOOKUP($B28,Shock_dev!$A$1:$CI$100,MATCH(DATE(J$1,1,1),Shock_dev!$A$1:$CI$1,0),FALSE)</f>
        <v>-9.5427768323719242E-3</v>
      </c>
      <c r="K28" s="17">
        <f>VLOOKUP($B28,Shock_dev!$A$1:$CI$100,MATCH(DATE(K$1,1,1),Shock_dev!$A$1:$CI$1,0),FALSE)</f>
        <v>-1.423201151349307E-2</v>
      </c>
      <c r="L28" s="17">
        <f>VLOOKUP($B28,Shock_dev!$A$1:$CI$100,MATCH(DATE(L$1,1,1),Shock_dev!$A$1:$CI$1,0),FALSE)</f>
        <v>-1.9847013433860194E-2</v>
      </c>
      <c r="M28" s="17">
        <f>VLOOKUP($B28,Shock_dev!$A$1:$CI$100,MATCH(DATE(M$1,1,1),Shock_dev!$A$1:$CI$1,0),FALSE)</f>
        <v>-2.6429762340618446E-2</v>
      </c>
      <c r="N28" s="17">
        <f>VLOOKUP($B28,Shock_dev!$A$1:$CI$100,MATCH(DATE(N$1,1,1),Shock_dev!$A$1:$CI$1,0),FALSE)</f>
        <v>-3.4023942110761318E-2</v>
      </c>
      <c r="O28" s="17">
        <f>VLOOKUP($B28,Shock_dev!$A$1:$CI$100,MATCH(DATE(O$1,1,1),Shock_dev!$A$1:$CI$1,0),FALSE)</f>
        <v>-4.2674327043734639E-2</v>
      </c>
      <c r="P28" s="17">
        <f>VLOOKUP($B28,Shock_dev!$A$1:$CI$100,MATCH(DATE(P$1,1,1),Shock_dev!$A$1:$CI$1,0),FALSE)</f>
        <v>-5.2425890541141218E-2</v>
      </c>
      <c r="Q28" s="17">
        <f>VLOOKUP($B28,Shock_dev!$A$1:$CI$100,MATCH(DATE(Q$1,1,1),Shock_dev!$A$1:$CI$1,0),FALSE)</f>
        <v>-6.3323305245388539E-2</v>
      </c>
      <c r="R28" s="17">
        <f>VLOOKUP($B28,Shock_dev!$A$1:$CI$100,MATCH(DATE(R$1,1,1),Shock_dev!$A$1:$CI$1,0),FALSE)</f>
        <v>-7.5410498212857835E-2</v>
      </c>
      <c r="S28" s="17">
        <f>VLOOKUP($B28,Shock_dev!$A$1:$CI$100,MATCH(DATE(S$1,1,1),Shock_dev!$A$1:$CI$1,0),FALSE)</f>
        <v>-8.8730629636546432E-2</v>
      </c>
      <c r="T28" s="17">
        <f>VLOOKUP($B28,Shock_dev!$A$1:$CI$100,MATCH(DATE(T$1,1,1),Shock_dev!$A$1:$CI$1,0),FALSE)</f>
        <v>-0.10332613971508753</v>
      </c>
      <c r="U28" s="17">
        <f>VLOOKUP($B28,Shock_dev!$A$1:$CI$100,MATCH(DATE(U$1,1,1),Shock_dev!$A$1:$CI$1,0),FALSE)</f>
        <v>-0.11923900136433518</v>
      </c>
      <c r="V28" s="17">
        <f>VLOOKUP($B28,Shock_dev!$A$1:$CI$100,MATCH(DATE(V$1,1,1),Shock_dev!$A$1:$CI$1,0),FALSE)</f>
        <v>-0.13651107519725425</v>
      </c>
      <c r="W28" s="17">
        <f>VLOOKUP($B28,Shock_dev!$A$1:$CI$100,MATCH(DATE(W$1,1,1),Shock_dev!$A$1:$CI$1,0),FALSE)</f>
        <v>-0.15518448253397654</v>
      </c>
      <c r="X28" s="17">
        <f>VLOOKUP($B28,Shock_dev!$A$1:$CI$100,MATCH(DATE(X$1,1,1),Shock_dev!$A$1:$CI$1,0),FALSE)</f>
        <v>-0.17530201556822389</v>
      </c>
      <c r="Y28" s="17">
        <f>VLOOKUP($B28,Shock_dev!$A$1:$CI$100,MATCH(DATE(Y$1,1,1),Shock_dev!$A$1:$CI$1,0),FALSE)</f>
        <v>-0.19690762232065229</v>
      </c>
      <c r="Z28" s="17">
        <f>VLOOKUP($B28,Shock_dev!$A$1:$CI$100,MATCH(DATE(Z$1,1,1),Shock_dev!$A$1:$CI$1,0),FALSE)</f>
        <v>-0.22004688686764196</v>
      </c>
      <c r="AA28" s="17">
        <f>VLOOKUP($B28,Shock_dev!$A$1:$CI$100,MATCH(DATE(AA$1,1,1),Shock_dev!$A$1:$CI$1,0),FALSE)</f>
        <v>-0.24476751392986662</v>
      </c>
      <c r="AB28" s="17">
        <f>VLOOKUP($B28,Shock_dev!$A$1:$CI$100,MATCH(DATE(AB$1,1,1),Shock_dev!$A$1:$CI$1,0),FALSE)</f>
        <v>-0.27111973485507423</v>
      </c>
      <c r="AC28" s="17">
        <f>VLOOKUP($B28,Shock_dev!$A$1:$CI$100,MATCH(DATE(AC$1,1,1),Shock_dev!$A$1:$CI$1,0),FALSE)</f>
        <v>-0.29915684064575343</v>
      </c>
      <c r="AD28" s="17">
        <f>VLOOKUP($B28,Shock_dev!$A$1:$CI$100,MATCH(DATE(AD$1,1,1),Shock_dev!$A$1:$CI$1,0),FALSE)</f>
        <v>-0.32893563230617096</v>
      </c>
      <c r="AE28" s="17">
        <f>VLOOKUP($B28,Shock_dev!$A$1:$CI$100,MATCH(DATE(AE$1,1,1),Shock_dev!$A$1:$CI$1,0),FALSE)</f>
        <v>-0.36051695935346295</v>
      </c>
      <c r="AF28" s="17">
        <f>VLOOKUP($B28,Shock_dev!$A$1:$CI$100,MATCH(DATE(AF$1,1,1),Shock_dev!$A$1:$CI$1,0),FALSE)</f>
        <v>-0.39396609759692058</v>
      </c>
      <c r="AG28" s="39"/>
      <c r="AH28" s="28">
        <f t="shared" si="1"/>
        <v>9.5979596163475733E-4</v>
      </c>
      <c r="AI28" s="28">
        <f t="shared" si="2"/>
        <v>-1.0428713543952917E-2</v>
      </c>
      <c r="AJ28" s="28">
        <f t="shared" si="3"/>
        <v>-4.3775445456328832E-2</v>
      </c>
      <c r="AK28" s="28">
        <f t="shared" si="4"/>
        <v>-0.10464346882521625</v>
      </c>
      <c r="AL28" s="28">
        <f t="shared" si="5"/>
        <v>-0.19844170424407226</v>
      </c>
      <c r="AM28" s="28">
        <f t="shared" si="6"/>
        <v>-0.33073905295147643</v>
      </c>
      <c r="AN28" s="29"/>
      <c r="AO28" s="28">
        <f t="shared" si="7"/>
        <v>-4.7344587911590796E-3</v>
      </c>
      <c r="AP28" s="28">
        <f t="shared" si="8"/>
        <v>-7.4209457140772539E-2</v>
      </c>
      <c r="AQ28" s="28">
        <f t="shared" si="9"/>
        <v>-0.26459037859777434</v>
      </c>
    </row>
    <row r="29" spans="1:43" x14ac:dyDescent="0.45">
      <c r="A29" s="12" t="s">
        <v>90</v>
      </c>
      <c r="B29" s="15" t="s">
        <v>49</v>
      </c>
      <c r="C29" s="17">
        <f>VLOOKUP($B29,Shock_dev!$A$1:$CI$100,MATCH(DATE(C$1,1,1),Shock_dev!$A$1:$CI$1,0),FALSE)</f>
        <v>8.1047787123300565E-4</v>
      </c>
      <c r="D29" s="17">
        <f>VLOOKUP($B29,Shock_dev!$A$1:$CI$100,MATCH(DATE(D$1,1,1),Shock_dev!$A$1:$CI$1,0),FALSE)</f>
        <v>7.4017200013984017E-4</v>
      </c>
      <c r="E29" s="17">
        <f>VLOOKUP($B29,Shock_dev!$A$1:$CI$100,MATCH(DATE(E$1,1,1),Shock_dev!$A$1:$CI$1,0),FALSE)</f>
        <v>3.3982687211881856E-4</v>
      </c>
      <c r="F29" s="17">
        <f>VLOOKUP($B29,Shock_dev!$A$1:$CI$100,MATCH(DATE(F$1,1,1),Shock_dev!$A$1:$CI$1,0),FALSE)</f>
        <v>-4.3179192863788539E-4</v>
      </c>
      <c r="G29" s="17">
        <f>VLOOKUP($B29,Shock_dev!$A$1:$CI$100,MATCH(DATE(G$1,1,1),Shock_dev!$A$1:$CI$1,0),FALSE)</f>
        <v>-1.5568144817336104E-3</v>
      </c>
      <c r="H29" s="17">
        <f>VLOOKUP($B29,Shock_dev!$A$1:$CI$100,MATCH(DATE(H$1,1,1),Shock_dev!$A$1:$CI$1,0),FALSE)</f>
        <v>-2.9790273176607488E-3</v>
      </c>
      <c r="I29" s="17">
        <f>VLOOKUP($B29,Shock_dev!$A$1:$CI$100,MATCH(DATE(I$1,1,1),Shock_dev!$A$1:$CI$1,0),FALSE)</f>
        <v>-4.6267520096122342E-3</v>
      </c>
      <c r="J29" s="17">
        <f>VLOOKUP($B29,Shock_dev!$A$1:$CI$100,MATCH(DATE(J$1,1,1),Shock_dev!$A$1:$CI$1,0),FALSE)</f>
        <v>-6.4300019909809989E-3</v>
      </c>
      <c r="K29" s="17">
        <f>VLOOKUP($B29,Shock_dev!$A$1:$CI$100,MATCH(DATE(K$1,1,1),Shock_dev!$A$1:$CI$1,0),FALSE)</f>
        <v>-8.3306098911498892E-3</v>
      </c>
      <c r="L29" s="17">
        <f>VLOOKUP($B29,Shock_dev!$A$1:$CI$100,MATCH(DATE(L$1,1,1),Shock_dev!$A$1:$CI$1,0),FALSE)</f>
        <v>-1.028629156025662E-2</v>
      </c>
      <c r="M29" s="17">
        <f>VLOOKUP($B29,Shock_dev!$A$1:$CI$100,MATCH(DATE(M$1,1,1),Shock_dev!$A$1:$CI$1,0),FALSE)</f>
        <v>-1.2270707285109324E-2</v>
      </c>
      <c r="N29" s="17">
        <f>VLOOKUP($B29,Shock_dev!$A$1:$CI$100,MATCH(DATE(N$1,1,1),Shock_dev!$A$1:$CI$1,0),FALSE)</f>
        <v>-1.427156921458541E-2</v>
      </c>
      <c r="O29" s="17">
        <f>VLOOKUP($B29,Shock_dev!$A$1:$CI$100,MATCH(DATE(O$1,1,1),Shock_dev!$A$1:$CI$1,0),FALSE)</f>
        <v>-1.6287739876933879E-2</v>
      </c>
      <c r="P29" s="17">
        <f>VLOOKUP($B29,Shock_dev!$A$1:$CI$100,MATCH(DATE(P$1,1,1),Shock_dev!$A$1:$CI$1,0),FALSE)</f>
        <v>-1.8326467443224945E-2</v>
      </c>
      <c r="Q29" s="17">
        <f>VLOOKUP($B29,Shock_dev!$A$1:$CI$100,MATCH(DATE(Q$1,1,1),Shock_dev!$A$1:$CI$1,0),FALSE)</f>
        <v>-2.0400754025318622E-2</v>
      </c>
      <c r="R29" s="17">
        <f>VLOOKUP($B29,Shock_dev!$A$1:$CI$100,MATCH(DATE(R$1,1,1),Shock_dev!$A$1:$CI$1,0),FALSE)</f>
        <v>-2.2527195195240157E-2</v>
      </c>
      <c r="S29" s="17">
        <f>VLOOKUP($B29,Shock_dev!$A$1:$CI$100,MATCH(DATE(S$1,1,1),Shock_dev!$A$1:$CI$1,0),FALSE)</f>
        <v>-2.4724282373405571E-2</v>
      </c>
      <c r="T29" s="17">
        <f>VLOOKUP($B29,Shock_dev!$A$1:$CI$100,MATCH(DATE(T$1,1,1),Shock_dev!$A$1:$CI$1,0),FALSE)</f>
        <v>-2.7011092257666808E-2</v>
      </c>
      <c r="U29" s="17">
        <f>VLOOKUP($B29,Shock_dev!$A$1:$CI$100,MATCH(DATE(U$1,1,1),Shock_dev!$A$1:$CI$1,0),FALSE)</f>
        <v>-2.9406259785805262E-2</v>
      </c>
      <c r="V29" s="17">
        <f>VLOOKUP($B29,Shock_dev!$A$1:$CI$100,MATCH(DATE(V$1,1,1),Shock_dev!$A$1:$CI$1,0),FALSE)</f>
        <v>-3.1927400507479116E-2</v>
      </c>
      <c r="W29" s="17">
        <f>VLOOKUP($B29,Shock_dev!$A$1:$CI$100,MATCH(DATE(W$1,1,1),Shock_dev!$A$1:$CI$1,0),FALSE)</f>
        <v>-3.4590594212462286E-2</v>
      </c>
      <c r="X29" s="17">
        <f>VLOOKUP($B29,Shock_dev!$A$1:$CI$100,MATCH(DATE(X$1,1,1),Shock_dev!$A$1:$CI$1,0),FALSE)</f>
        <v>-3.7410160584396571E-2</v>
      </c>
      <c r="Y29" s="17">
        <f>VLOOKUP($B29,Shock_dev!$A$1:$CI$100,MATCH(DATE(Y$1,1,1),Shock_dev!$A$1:$CI$1,0),FALSE)</f>
        <v>-4.0398610302620236E-2</v>
      </c>
      <c r="Z29" s="17">
        <f>VLOOKUP($B29,Shock_dev!$A$1:$CI$100,MATCH(DATE(Z$1,1,1),Shock_dev!$A$1:$CI$1,0),FALSE)</f>
        <v>-4.3566644019963421E-2</v>
      </c>
      <c r="AA29" s="17">
        <f>VLOOKUP($B29,Shock_dev!$A$1:$CI$100,MATCH(DATE(AA$1,1,1),Shock_dev!$A$1:$CI$1,0),FALSE)</f>
        <v>-4.6923308619962877E-2</v>
      </c>
      <c r="AB29" s="17">
        <f>VLOOKUP($B29,Shock_dev!$A$1:$CI$100,MATCH(DATE(AB$1,1,1),Shock_dev!$A$1:$CI$1,0),FALSE)</f>
        <v>-5.0476105268554401E-2</v>
      </c>
      <c r="AC29" s="17">
        <f>VLOOKUP($B29,Shock_dev!$A$1:$CI$100,MATCH(DATE(AC$1,1,1),Shock_dev!$A$1:$CI$1,0),FALSE)</f>
        <v>-5.4231283774137815E-2</v>
      </c>
      <c r="AD29" s="17">
        <f>VLOOKUP($B29,Shock_dev!$A$1:$CI$100,MATCH(DATE(AD$1,1,1),Shock_dev!$A$1:$CI$1,0),FALSE)</f>
        <v>-5.8193990468283364E-2</v>
      </c>
      <c r="AE29" s="17">
        <f>VLOOKUP($B29,Shock_dev!$A$1:$CI$100,MATCH(DATE(AE$1,1,1),Shock_dev!$A$1:$CI$1,0),FALSE)</f>
        <v>-6.2368555251584155E-2</v>
      </c>
      <c r="AF29" s="17">
        <f>VLOOKUP($B29,Shock_dev!$A$1:$CI$100,MATCH(DATE(AF$1,1,1),Shock_dev!$A$1:$CI$1,0),FALSE)</f>
        <v>-6.6758712653133739E-2</v>
      </c>
      <c r="AG29" s="17"/>
      <c r="AH29" s="28">
        <f t="shared" si="1"/>
        <v>-1.9625933375966255E-5</v>
      </c>
      <c r="AI29" s="28">
        <f t="shared" si="2"/>
        <v>-6.5305365539320981E-3</v>
      </c>
      <c r="AJ29" s="28">
        <f t="shared" si="3"/>
        <v>-1.6311447569034437E-2</v>
      </c>
      <c r="AK29" s="28">
        <f t="shared" si="4"/>
        <v>-2.711924602391938E-2</v>
      </c>
      <c r="AL29" s="28">
        <f t="shared" si="5"/>
        <v>-4.057786354788108E-2</v>
      </c>
      <c r="AM29" s="28">
        <f t="shared" si="6"/>
        <v>-5.8405729483138692E-2</v>
      </c>
      <c r="AN29" s="29"/>
      <c r="AO29" s="28">
        <f t="shared" si="7"/>
        <v>-3.2750812436540323E-3</v>
      </c>
      <c r="AP29" s="28">
        <f t="shared" si="8"/>
        <v>-2.1715346796476909E-2</v>
      </c>
      <c r="AQ29" s="28">
        <f t="shared" si="9"/>
        <v>-4.9491796515509889E-2</v>
      </c>
    </row>
    <row r="30" spans="1:43" x14ac:dyDescent="0.45">
      <c r="A30" s="12" t="s">
        <v>3</v>
      </c>
      <c r="B30" s="15"/>
      <c r="C30" s="17">
        <f>SUM(C26:C27)</f>
        <v>5.0563709670383198E-4</v>
      </c>
      <c r="D30" s="17">
        <f t="shared" ref="D30:AF30" si="10">SUM(D26:D27)</f>
        <v>6.0047602151093254E-4</v>
      </c>
      <c r="E30" s="17">
        <f t="shared" si="10"/>
        <v>5.5936092913189128E-4</v>
      </c>
      <c r="F30" s="17">
        <f t="shared" si="10"/>
        <v>3.1775859550228438E-4</v>
      </c>
      <c r="G30" s="17">
        <f t="shared" si="10"/>
        <v>-1.7098194098749803E-4</v>
      </c>
      <c r="H30" s="17">
        <f t="shared" si="10"/>
        <v>-9.3557834803843125E-4</v>
      </c>
      <c r="I30" s="17">
        <f t="shared" si="10"/>
        <v>-1.9909054101949378E-3</v>
      </c>
      <c r="J30" s="17">
        <f t="shared" si="10"/>
        <v>-3.3432878572768562E-3</v>
      </c>
      <c r="K30" s="17">
        <f t="shared" si="10"/>
        <v>-4.9949266405413051E-3</v>
      </c>
      <c r="L30" s="17">
        <f t="shared" si="10"/>
        <v>-6.9467207554593869E-3</v>
      </c>
      <c r="M30" s="17">
        <f t="shared" si="10"/>
        <v>-9.2000473253512956E-3</v>
      </c>
      <c r="N30" s="17">
        <f t="shared" si="10"/>
        <v>-1.1757372771039772E-2</v>
      </c>
      <c r="O30" s="17">
        <f t="shared" si="10"/>
        <v>-1.4622479204834856E-2</v>
      </c>
      <c r="P30" s="17">
        <f t="shared" si="10"/>
        <v>-1.7800370012113355E-2</v>
      </c>
      <c r="Q30" s="17">
        <f t="shared" si="10"/>
        <v>-2.1297040870568662E-2</v>
      </c>
      <c r="R30" s="17">
        <f t="shared" si="10"/>
        <v>-2.5119423380657691E-2</v>
      </c>
      <c r="S30" s="17">
        <f t="shared" si="10"/>
        <v>-2.9275082563455481E-2</v>
      </c>
      <c r="T30" s="17">
        <f t="shared" si="10"/>
        <v>-3.377223362255545E-2</v>
      </c>
      <c r="U30" s="17">
        <f t="shared" si="10"/>
        <v>-3.8619557879531613E-2</v>
      </c>
      <c r="V30" s="17">
        <f t="shared" si="10"/>
        <v>-4.382620384973928E-2</v>
      </c>
      <c r="W30" s="17">
        <f t="shared" si="10"/>
        <v>-4.9401743945201165E-2</v>
      </c>
      <c r="X30" s="17">
        <f t="shared" si="10"/>
        <v>-5.5356196760741508E-2</v>
      </c>
      <c r="Y30" s="17">
        <f t="shared" si="10"/>
        <v>-6.1699930900047044E-2</v>
      </c>
      <c r="Z30" s="17">
        <f t="shared" si="10"/>
        <v>-6.8443823671878443E-2</v>
      </c>
      <c r="AA30" s="17">
        <f t="shared" si="10"/>
        <v>-7.5599222859184176E-2</v>
      </c>
      <c r="AB30" s="17">
        <f t="shared" si="10"/>
        <v>-8.3178031633208124E-2</v>
      </c>
      <c r="AC30" s="17">
        <f t="shared" si="10"/>
        <v>-9.1192796351849986E-2</v>
      </c>
      <c r="AD30" s="17">
        <f t="shared" si="10"/>
        <v>-9.9656776966672203E-2</v>
      </c>
      <c r="AE30" s="17">
        <f t="shared" si="10"/>
        <v>-0.10858407937492458</v>
      </c>
      <c r="AF30" s="17">
        <f t="shared" si="10"/>
        <v>-0.11798974815615355</v>
      </c>
      <c r="AG30" s="17"/>
      <c r="AH30" s="28">
        <f t="shared" si="1"/>
        <v>3.6245014037228839E-4</v>
      </c>
      <c r="AI30" s="28">
        <f t="shared" si="2"/>
        <v>-3.6422838023021835E-3</v>
      </c>
      <c r="AJ30" s="28">
        <f t="shared" si="3"/>
        <v>-1.4935462036781588E-2</v>
      </c>
      <c r="AK30" s="28">
        <f t="shared" si="4"/>
        <v>-3.4122500259187907E-2</v>
      </c>
      <c r="AL30" s="28">
        <f t="shared" si="5"/>
        <v>-6.2100183627410467E-2</v>
      </c>
      <c r="AM30" s="28">
        <f t="shared" si="6"/>
        <v>-0.10012028649656168</v>
      </c>
      <c r="AN30" s="29"/>
      <c r="AO30" s="28">
        <f t="shared" si="7"/>
        <v>-1.6399168309649476E-3</v>
      </c>
      <c r="AP30" s="28">
        <f t="shared" si="8"/>
        <v>-2.4528981147984748E-2</v>
      </c>
      <c r="AQ30" s="28">
        <f t="shared" si="9"/>
        <v>-8.1110235061986072E-2</v>
      </c>
    </row>
    <row r="31" spans="1:43" x14ac:dyDescent="0.45">
      <c r="A31" s="12" t="s">
        <v>91</v>
      </c>
      <c r="B31" s="15" t="s">
        <v>51</v>
      </c>
      <c r="C31" s="17">
        <f>VLOOKUP($B31,Shock_dev!$A$1:$CI$100,MATCH(DATE(C$1,1,1),Shock_dev!$A$1:$CI$1,0),FALSE)</f>
        <v>1.4648755339643089E-4</v>
      </c>
      <c r="D31" s="17">
        <f>VLOOKUP($B31,Shock_dev!$A$1:$CI$100,MATCH(DATE(D$1,1,1),Shock_dev!$A$1:$CI$1,0),FALSE)</f>
        <v>3.4261896713160293E-4</v>
      </c>
      <c r="E31" s="17">
        <f>VLOOKUP($B31,Shock_dev!$A$1:$CI$100,MATCH(DATE(E$1,1,1),Shock_dev!$A$1:$CI$1,0),FALSE)</f>
        <v>6.0812864399495447E-4</v>
      </c>
      <c r="F31" s="17">
        <f>VLOOKUP($B31,Shock_dev!$A$1:$CI$100,MATCH(DATE(F$1,1,1),Shock_dev!$A$1:$CI$1,0),FALSE)</f>
        <v>8.8887956971960111E-4</v>
      </c>
      <c r="G31" s="17">
        <f>VLOOKUP($B31,Shock_dev!$A$1:$CI$100,MATCH(DATE(G$1,1,1),Shock_dev!$A$1:$CI$1,0),FALSE)</f>
        <v>1.0987043636599783E-3</v>
      </c>
      <c r="H31" s="17">
        <f>VLOOKUP($B31,Shock_dev!$A$1:$CI$100,MATCH(DATE(H$1,1,1),Shock_dev!$A$1:$CI$1,0),FALSE)</f>
        <v>1.1321972429217443E-3</v>
      </c>
      <c r="I31" s="17">
        <f>VLOOKUP($B31,Shock_dev!$A$1:$CI$100,MATCH(DATE(I$1,1,1),Shock_dev!$A$1:$CI$1,0),FALSE)</f>
        <v>8.78274494913554E-4</v>
      </c>
      <c r="J31" s="17">
        <f>VLOOKUP($B31,Shock_dev!$A$1:$CI$100,MATCH(DATE(J$1,1,1),Shock_dev!$A$1:$CI$1,0),FALSE)</f>
        <v>2.3051301588096346E-4</v>
      </c>
      <c r="K31" s="17">
        <f>VLOOKUP($B31,Shock_dev!$A$1:$CI$100,MATCH(DATE(K$1,1,1),Shock_dev!$A$1:$CI$1,0),FALSE)</f>
        <v>-9.0647498181154417E-4</v>
      </c>
      <c r="L31" s="17">
        <f>VLOOKUP($B31,Shock_dev!$A$1:$CI$100,MATCH(DATE(L$1,1,1),Shock_dev!$A$1:$CI$1,0),FALSE)</f>
        <v>-2.6140011181320561E-3</v>
      </c>
      <c r="M31" s="17">
        <f>VLOOKUP($B31,Shock_dev!$A$1:$CI$100,MATCH(DATE(M$1,1,1),Shock_dev!$A$1:$CI$1,0),FALSE)</f>
        <v>-4.9590077301661182E-3</v>
      </c>
      <c r="N31" s="17">
        <f>VLOOKUP($B31,Shock_dev!$A$1:$CI$100,MATCH(DATE(N$1,1,1),Shock_dev!$A$1:$CI$1,0),FALSE)</f>
        <v>-7.9950001251304532E-3</v>
      </c>
      <c r="O31" s="17">
        <f>VLOOKUP($B31,Shock_dev!$A$1:$CI$100,MATCH(DATE(O$1,1,1),Shock_dev!$A$1:$CI$1,0),FALSE)</f>
        <v>-1.1764107961983463E-2</v>
      </c>
      <c r="P31" s="17">
        <f>VLOOKUP($B31,Shock_dev!$A$1:$CI$100,MATCH(DATE(P$1,1,1),Shock_dev!$A$1:$CI$1,0),FALSE)</f>
        <v>-1.6299076401091055E-2</v>
      </c>
      <c r="Q31" s="17">
        <f>VLOOKUP($B31,Shock_dev!$A$1:$CI$100,MATCH(DATE(Q$1,1,1),Shock_dev!$A$1:$CI$1,0),FALSE)</f>
        <v>-2.1625510349500464E-2</v>
      </c>
      <c r="R31" s="17">
        <f>VLOOKUP($B31,Shock_dev!$A$1:$CI$100,MATCH(DATE(R$1,1,1),Shock_dev!$A$1:$CI$1,0),FALSE)</f>
        <v>-2.7763868243388782E-2</v>
      </c>
      <c r="S31" s="17">
        <f>VLOOKUP($B31,Shock_dev!$A$1:$CI$100,MATCH(DATE(S$1,1,1),Shock_dev!$A$1:$CI$1,0),FALSE)</f>
        <v>-3.4731242172151101E-2</v>
      </c>
      <c r="T31" s="17">
        <f>VLOOKUP($B31,Shock_dev!$A$1:$CI$100,MATCH(DATE(T$1,1,1),Shock_dev!$A$1:$CI$1,0),FALSE)</f>
        <v>-4.2542813834866716E-2</v>
      </c>
      <c r="U31" s="17">
        <f>VLOOKUP($B31,Shock_dev!$A$1:$CI$100,MATCH(DATE(U$1,1,1),Shock_dev!$A$1:$CI$1,0),FALSE)</f>
        <v>-5.1213183699007347E-2</v>
      </c>
      <c r="V31" s="17">
        <f>VLOOKUP($B31,Shock_dev!$A$1:$CI$100,MATCH(DATE(V$1,1,1),Shock_dev!$A$1:$CI$1,0),FALSE)</f>
        <v>-6.0757481723288237E-2</v>
      </c>
      <c r="W31" s="17">
        <f>VLOOKUP($B31,Shock_dev!$A$1:$CI$100,MATCH(DATE(W$1,1,1),Shock_dev!$A$1:$CI$1,0),FALSE)</f>
        <v>-7.1192144376316061E-2</v>
      </c>
      <c r="X31" s="17">
        <f>VLOOKUP($B31,Shock_dev!$A$1:$CI$100,MATCH(DATE(X$1,1,1),Shock_dev!$A$1:$CI$1,0),FALSE)</f>
        <v>-8.2535647586407801E-2</v>
      </c>
      <c r="Y31" s="17">
        <f>VLOOKUP($B31,Shock_dev!$A$1:$CI$100,MATCH(DATE(Y$1,1,1),Shock_dev!$A$1:$CI$1,0),FALSE)</f>
        <v>-9.4809091633508744E-2</v>
      </c>
      <c r="Z31" s="17">
        <f>VLOOKUP($B31,Shock_dev!$A$1:$CI$100,MATCH(DATE(Z$1,1,1),Shock_dev!$A$1:$CI$1,0),FALSE)</f>
        <v>-0.10803641917580829</v>
      </c>
      <c r="AA31" s="17">
        <f>VLOOKUP($B31,Shock_dev!$A$1:$CI$100,MATCH(DATE(AA$1,1,1),Shock_dev!$A$1:$CI$1,0),FALSE)</f>
        <v>-0.12224499272802156</v>
      </c>
      <c r="AB31" s="17">
        <f>VLOOKUP($B31,Shock_dev!$A$1:$CI$100,MATCH(DATE(AB$1,1,1),Shock_dev!$A$1:$CI$1,0),FALSE)</f>
        <v>-0.13746558779307877</v>
      </c>
      <c r="AC31" s="17">
        <f>VLOOKUP($B31,Shock_dev!$A$1:$CI$100,MATCH(DATE(AC$1,1,1),Shock_dev!$A$1:$CI$1,0),FALSE)</f>
        <v>-0.15373276051975648</v>
      </c>
      <c r="AD31" s="17">
        <f>VLOOKUP($B31,Shock_dev!$A$1:$CI$100,MATCH(DATE(AD$1,1,1),Shock_dev!$A$1:$CI$1,0),FALSE)</f>
        <v>-0.17108489466145646</v>
      </c>
      <c r="AE31" s="17">
        <f>VLOOKUP($B31,Shock_dev!$A$1:$CI$100,MATCH(DATE(AE$1,1,1),Shock_dev!$A$1:$CI$1,0),FALSE)</f>
        <v>-0.18956436399481025</v>
      </c>
      <c r="AF31" s="17">
        <f>VLOOKUP($B31,Shock_dev!$A$1:$CI$100,MATCH(DATE(AF$1,1,1),Shock_dev!$A$1:$CI$1,0),FALSE)</f>
        <v>-0.20921771442872386</v>
      </c>
      <c r="AG31" s="40"/>
      <c r="AH31" s="28">
        <f t="shared" si="1"/>
        <v>6.1696381958051348E-4</v>
      </c>
      <c r="AI31" s="28">
        <f t="shared" si="2"/>
        <v>-2.5589826924546767E-4</v>
      </c>
      <c r="AJ31" s="28">
        <f t="shared" si="3"/>
        <v>-1.2528540513574309E-2</v>
      </c>
      <c r="AK31" s="28">
        <f t="shared" si="4"/>
        <v>-4.3401717934540437E-2</v>
      </c>
      <c r="AL31" s="28">
        <f t="shared" si="5"/>
        <v>-9.5763659100012499E-2</v>
      </c>
      <c r="AM31" s="28">
        <f t="shared" si="6"/>
        <v>-0.17221306427956515</v>
      </c>
      <c r="AN31" s="29"/>
      <c r="AO31" s="28">
        <f t="shared" si="7"/>
        <v>1.805327751675229E-4</v>
      </c>
      <c r="AP31" s="28">
        <f t="shared" si="8"/>
        <v>-2.7965129224057375E-2</v>
      </c>
      <c r="AQ31" s="28">
        <f t="shared" si="9"/>
        <v>-0.13398836168978884</v>
      </c>
    </row>
    <row r="32" spans="1:43" s="38" customFormat="1" x14ac:dyDescent="0.45">
      <c r="A32" s="25" t="s">
        <v>58</v>
      </c>
      <c r="B32" s="37"/>
      <c r="C32" s="36" t="str">
        <f>IF(ROUND(C28-SUM(C29:C31),4)=0,"","ERROR")</f>
        <v/>
      </c>
      <c r="D32" s="36" t="str">
        <f t="shared" ref="D32:AQ32" si="11">IF(ROUND(D28-SUM(D29:D31),4)=0,"","ERROR")</f>
        <v/>
      </c>
      <c r="E32" s="36" t="str">
        <f t="shared" si="11"/>
        <v/>
      </c>
      <c r="F32" s="36" t="str">
        <f t="shared" si="11"/>
        <v/>
      </c>
      <c r="G32" s="36" t="str">
        <f t="shared" si="11"/>
        <v/>
      </c>
      <c r="H32" s="36" t="str">
        <f t="shared" si="11"/>
        <v/>
      </c>
      <c r="I32" s="36" t="str">
        <f t="shared" si="11"/>
        <v/>
      </c>
      <c r="J32" s="36" t="str">
        <f t="shared" si="11"/>
        <v/>
      </c>
      <c r="K32" s="36" t="str">
        <f t="shared" si="11"/>
        <v/>
      </c>
      <c r="L32" s="36" t="str">
        <f t="shared" si="11"/>
        <v/>
      </c>
      <c r="M32" s="36" t="str">
        <f t="shared" si="11"/>
        <v/>
      </c>
      <c r="N32" s="36" t="str">
        <f t="shared" si="11"/>
        <v/>
      </c>
      <c r="O32" s="36" t="str">
        <f t="shared" si="11"/>
        <v/>
      </c>
      <c r="P32" s="36" t="str">
        <f t="shared" si="11"/>
        <v/>
      </c>
      <c r="Q32" s="36" t="str">
        <f t="shared" si="11"/>
        <v/>
      </c>
      <c r="R32" s="36" t="str">
        <f t="shared" si="11"/>
        <v/>
      </c>
      <c r="S32" s="36" t="str">
        <f t="shared" si="11"/>
        <v/>
      </c>
      <c r="T32" s="36" t="str">
        <f t="shared" si="11"/>
        <v/>
      </c>
      <c r="U32" s="36" t="str">
        <f t="shared" si="11"/>
        <v/>
      </c>
      <c r="V32" s="36" t="str">
        <f t="shared" si="11"/>
        <v/>
      </c>
      <c r="W32" s="36" t="str">
        <f t="shared" si="11"/>
        <v/>
      </c>
      <c r="X32" s="36" t="str">
        <f t="shared" si="11"/>
        <v/>
      </c>
      <c r="Y32" s="36" t="str">
        <f t="shared" si="11"/>
        <v/>
      </c>
      <c r="Z32" s="36" t="str">
        <f t="shared" si="11"/>
        <v/>
      </c>
      <c r="AA32" s="36" t="str">
        <f t="shared" si="11"/>
        <v/>
      </c>
      <c r="AB32" s="36" t="str">
        <f t="shared" si="11"/>
        <v/>
      </c>
      <c r="AC32" s="36" t="str">
        <f t="shared" si="11"/>
        <v/>
      </c>
      <c r="AD32" s="36" t="str">
        <f t="shared" si="11"/>
        <v/>
      </c>
      <c r="AE32" s="36" t="str">
        <f t="shared" si="11"/>
        <v/>
      </c>
      <c r="AF32" s="36" t="str">
        <f t="shared" si="11"/>
        <v/>
      </c>
      <c r="AG32" s="36" t="str">
        <f t="shared" si="11"/>
        <v/>
      </c>
      <c r="AH32" s="36" t="str">
        <f t="shared" si="11"/>
        <v/>
      </c>
      <c r="AI32" s="36" t="str">
        <f t="shared" si="11"/>
        <v/>
      </c>
      <c r="AJ32" s="36" t="str">
        <f t="shared" si="11"/>
        <v/>
      </c>
      <c r="AK32" s="36" t="str">
        <f t="shared" si="11"/>
        <v/>
      </c>
      <c r="AL32" s="36" t="str">
        <f t="shared" si="11"/>
        <v/>
      </c>
      <c r="AM32" s="36" t="str">
        <f t="shared" si="11"/>
        <v/>
      </c>
      <c r="AN32" s="36" t="str">
        <f t="shared" si="11"/>
        <v/>
      </c>
      <c r="AO32" s="36" t="str">
        <f t="shared" si="11"/>
        <v/>
      </c>
      <c r="AP32" s="36" t="str">
        <f t="shared" si="11"/>
        <v/>
      </c>
      <c r="AQ32" s="36" t="str">
        <f t="shared" si="11"/>
        <v/>
      </c>
    </row>
    <row r="33" spans="1:43" x14ac:dyDescent="0.45">
      <c r="A33" s="12"/>
      <c r="B33" s="15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28"/>
      <c r="AI33" s="28"/>
      <c r="AJ33" s="28"/>
      <c r="AK33" s="28"/>
      <c r="AL33" s="28"/>
      <c r="AM33" s="28"/>
      <c r="AN33" s="29"/>
      <c r="AO33" s="28"/>
      <c r="AP33" s="28"/>
      <c r="AQ33" s="28"/>
    </row>
    <row r="34" spans="1:43" x14ac:dyDescent="0.45">
      <c r="A34" s="12"/>
      <c r="B34" s="15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28"/>
      <c r="AI34" s="28"/>
      <c r="AJ34" s="28"/>
      <c r="AK34" s="28"/>
      <c r="AL34" s="28"/>
      <c r="AM34" s="28"/>
      <c r="AN34" s="29"/>
      <c r="AO34" s="28"/>
      <c r="AP34" s="28"/>
      <c r="AQ34" s="28"/>
    </row>
    <row r="35" spans="1:43" x14ac:dyDescent="0.45">
      <c r="A35" s="12"/>
      <c r="B35" s="15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28"/>
      <c r="AI35" s="28"/>
      <c r="AJ35" s="28"/>
      <c r="AK35" s="28"/>
      <c r="AL35" s="28"/>
      <c r="AM35" s="28"/>
      <c r="AN35" s="29"/>
      <c r="AO35" s="28"/>
      <c r="AP35" s="28"/>
      <c r="AQ35" s="28"/>
    </row>
    <row r="36" spans="1:43" x14ac:dyDescent="0.45">
      <c r="A36" s="12"/>
      <c r="B36" s="15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28"/>
      <c r="AI36" s="28"/>
      <c r="AJ36" s="28"/>
      <c r="AK36" s="28"/>
      <c r="AL36" s="28"/>
      <c r="AM36" s="28"/>
      <c r="AN36" s="29"/>
      <c r="AO36" s="28"/>
      <c r="AP36" s="28"/>
      <c r="AQ36" s="28"/>
    </row>
    <row r="37" spans="1:43" x14ac:dyDescent="0.45">
      <c r="A37" s="12"/>
      <c r="B37" s="15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28"/>
      <c r="AI37" s="28"/>
      <c r="AJ37" s="28"/>
      <c r="AK37" s="28"/>
      <c r="AL37" s="28"/>
      <c r="AM37" s="28"/>
      <c r="AN37" s="29"/>
      <c r="AO37" s="28"/>
      <c r="AP37" s="28"/>
      <c r="AQ37" s="28"/>
    </row>
    <row r="38" spans="1:43" x14ac:dyDescent="0.45">
      <c r="A38" s="12"/>
      <c r="B38" s="15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28"/>
      <c r="AI38" s="28"/>
      <c r="AJ38" s="28"/>
      <c r="AK38" s="28"/>
      <c r="AL38" s="28"/>
      <c r="AM38" s="28"/>
      <c r="AN38" s="29"/>
      <c r="AO38" s="28"/>
      <c r="AP38" s="28"/>
      <c r="AQ38" s="28"/>
    </row>
    <row r="39" spans="1:43" x14ac:dyDescent="0.45">
      <c r="A39" s="12"/>
      <c r="B39" s="15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28"/>
      <c r="AI39" s="28"/>
      <c r="AJ39" s="28"/>
      <c r="AK39" s="28"/>
      <c r="AL39" s="28"/>
      <c r="AM39" s="28"/>
      <c r="AN39" s="29"/>
      <c r="AO39" s="28"/>
      <c r="AP39" s="28"/>
      <c r="AQ39" s="28"/>
    </row>
    <row r="40" spans="1:43" x14ac:dyDescent="0.45">
      <c r="A40" s="12"/>
      <c r="B40" s="15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28"/>
      <c r="AI40" s="28"/>
      <c r="AJ40" s="28"/>
      <c r="AK40" s="28"/>
      <c r="AL40" s="28"/>
      <c r="AM40" s="28"/>
      <c r="AN40" s="29"/>
      <c r="AO40" s="28"/>
      <c r="AP40" s="28"/>
      <c r="AQ40" s="28"/>
    </row>
    <row r="41" spans="1:43" x14ac:dyDescent="0.45">
      <c r="A41" s="12"/>
      <c r="B41" s="15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28"/>
      <c r="AI41" s="28"/>
      <c r="AJ41" s="28"/>
      <c r="AK41" s="28"/>
      <c r="AL41" s="28"/>
      <c r="AM41" s="28"/>
      <c r="AN41" s="29"/>
      <c r="AO41" s="28"/>
      <c r="AP41" s="28"/>
      <c r="AQ41" s="28"/>
    </row>
    <row r="42" spans="1:43" x14ac:dyDescent="0.45">
      <c r="A42" s="12"/>
      <c r="B42" s="15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28"/>
      <c r="AI42" s="28"/>
      <c r="AJ42" s="28"/>
      <c r="AK42" s="28"/>
      <c r="AL42" s="28"/>
      <c r="AM42" s="28"/>
      <c r="AN42" s="29"/>
      <c r="AO42" s="28"/>
      <c r="AP42" s="28"/>
      <c r="AQ42" s="28"/>
    </row>
    <row r="43" spans="1:43" x14ac:dyDescent="0.45">
      <c r="A43" s="12"/>
      <c r="B43" s="15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28"/>
      <c r="AI43" s="28"/>
      <c r="AJ43" s="28"/>
      <c r="AK43" s="28"/>
      <c r="AL43" s="28"/>
      <c r="AM43" s="28"/>
      <c r="AN43" s="29"/>
      <c r="AO43" s="28"/>
      <c r="AP43" s="28"/>
      <c r="AQ43" s="28"/>
    </row>
    <row r="44" spans="1:43" x14ac:dyDescent="0.45">
      <c r="A44" s="12"/>
      <c r="B44" s="15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28"/>
      <c r="AI44" s="28"/>
      <c r="AJ44" s="28"/>
      <c r="AK44" s="28"/>
      <c r="AL44" s="28"/>
      <c r="AM44" s="28"/>
      <c r="AN44" s="29"/>
      <c r="AO44" s="28"/>
      <c r="AP44" s="28"/>
      <c r="AQ44" s="28"/>
    </row>
    <row r="45" spans="1:43" x14ac:dyDescent="0.45">
      <c r="A45" s="12"/>
      <c r="B45" s="15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28"/>
      <c r="AI45" s="28"/>
      <c r="AJ45" s="28"/>
      <c r="AK45" s="28"/>
      <c r="AL45" s="28"/>
      <c r="AM45" s="28"/>
      <c r="AN45" s="29"/>
      <c r="AO45" s="28"/>
      <c r="AP45" s="28"/>
      <c r="AQ45" s="28"/>
    </row>
    <row r="46" spans="1:43" x14ac:dyDescent="0.45">
      <c r="A46" s="12"/>
      <c r="B46" s="15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28"/>
      <c r="AI46" s="28"/>
      <c r="AJ46" s="28"/>
      <c r="AK46" s="28"/>
      <c r="AL46" s="28"/>
      <c r="AM46" s="28"/>
      <c r="AN46" s="29"/>
      <c r="AO46" s="28"/>
      <c r="AP46" s="28"/>
      <c r="AQ46" s="28"/>
    </row>
    <row r="47" spans="1:43" x14ac:dyDescent="0.45">
      <c r="A47" s="12"/>
      <c r="B47" s="15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28"/>
      <c r="AI47" s="28"/>
      <c r="AJ47" s="28"/>
      <c r="AK47" s="28"/>
      <c r="AL47" s="28"/>
      <c r="AM47" s="28"/>
      <c r="AN47" s="29"/>
      <c r="AO47" s="28"/>
      <c r="AP47" s="28"/>
      <c r="AQ47" s="28"/>
    </row>
    <row r="48" spans="1:43" x14ac:dyDescent="0.45">
      <c r="A48" s="12"/>
      <c r="B48" s="15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28"/>
      <c r="AI48" s="28"/>
      <c r="AJ48" s="28"/>
      <c r="AK48" s="28"/>
      <c r="AL48" s="28"/>
      <c r="AM48" s="28"/>
      <c r="AN48" s="29"/>
      <c r="AO48" s="28"/>
      <c r="AP48" s="28"/>
      <c r="AQ48" s="28"/>
    </row>
    <row r="49" spans="1:43" s="9" customFormat="1" x14ac:dyDescent="0.45">
      <c r="A49" s="12"/>
      <c r="B49" s="15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28"/>
      <c r="AI49" s="28"/>
      <c r="AJ49" s="28"/>
      <c r="AK49" s="28"/>
      <c r="AL49" s="28"/>
      <c r="AM49" s="28"/>
      <c r="AN49" s="29"/>
      <c r="AO49" s="28"/>
      <c r="AP49" s="28"/>
      <c r="AQ49" s="28"/>
    </row>
    <row r="50" spans="1:43" s="25" customFormat="1" ht="15.75" x14ac:dyDescent="0.45"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</row>
    <row r="51" spans="1:43" s="9" customFormat="1" x14ac:dyDescent="0.45">
      <c r="A51" s="20"/>
      <c r="B51" s="20"/>
      <c r="C51" s="33"/>
      <c r="D51" s="33"/>
      <c r="E51" s="33"/>
      <c r="F51" s="33"/>
      <c r="G51" s="33"/>
      <c r="H51" s="21"/>
      <c r="I51" s="21"/>
      <c r="J51" s="21"/>
      <c r="AG51" s="30"/>
      <c r="AH51" s="28"/>
      <c r="AI51" s="28"/>
      <c r="AJ51" s="28"/>
      <c r="AK51" s="28"/>
      <c r="AL51" s="28"/>
      <c r="AM51" s="28"/>
      <c r="AN51" s="29"/>
      <c r="AO51" s="28"/>
      <c r="AP51" s="28"/>
      <c r="AQ51" s="28"/>
    </row>
    <row r="52" spans="1:43" s="9" customFormat="1" x14ac:dyDescent="0.45">
      <c r="A52" s="24"/>
      <c r="B52" s="12"/>
      <c r="C52" s="17"/>
      <c r="D52" s="17"/>
      <c r="E52" s="17"/>
      <c r="F52" s="17"/>
      <c r="G52" s="17"/>
      <c r="H52" s="17"/>
      <c r="I52" s="17"/>
      <c r="J52" s="17"/>
      <c r="AG52" s="30"/>
      <c r="AH52" s="28"/>
      <c r="AI52" s="28"/>
      <c r="AJ52" s="28"/>
      <c r="AK52" s="28"/>
      <c r="AL52" s="28"/>
      <c r="AM52" s="28"/>
      <c r="AN52" s="29"/>
      <c r="AO52" s="28"/>
      <c r="AP52" s="28"/>
      <c r="AQ52" s="28"/>
    </row>
    <row r="53" spans="1:43" x14ac:dyDescent="0.45">
      <c r="A53" s="9"/>
      <c r="B53" s="9"/>
    </row>
    <row r="54" spans="1:43" s="9" customFormat="1" x14ac:dyDescent="0.45">
      <c r="A54" s="12"/>
      <c r="B54" s="12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30"/>
      <c r="AH54" s="28"/>
      <c r="AI54" s="28"/>
      <c r="AJ54" s="28"/>
      <c r="AK54" s="28"/>
      <c r="AL54" s="28"/>
      <c r="AM54" s="28"/>
      <c r="AN54" s="29"/>
      <c r="AO54" s="28"/>
      <c r="AP54" s="28"/>
      <c r="AQ54" s="28"/>
    </row>
    <row r="55" spans="1:43" s="9" customFormat="1" x14ac:dyDescent="0.45">
      <c r="A55" s="12"/>
      <c r="B55" s="12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30"/>
      <c r="AH55" s="28"/>
      <c r="AI55" s="28"/>
      <c r="AJ55" s="28"/>
      <c r="AK55" s="28"/>
      <c r="AL55" s="28"/>
      <c r="AM55" s="28"/>
      <c r="AN55" s="29"/>
      <c r="AO55" s="28"/>
      <c r="AP55" s="28"/>
      <c r="AQ55" s="28"/>
    </row>
    <row r="56" spans="1:43" s="9" customFormat="1" x14ac:dyDescent="0.45">
      <c r="A56" s="12"/>
      <c r="B56" s="12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30"/>
      <c r="AH56" s="28"/>
      <c r="AI56" s="28"/>
      <c r="AJ56" s="28"/>
      <c r="AK56" s="28"/>
      <c r="AL56" s="28"/>
      <c r="AM56" s="28"/>
      <c r="AN56" s="29"/>
      <c r="AO56" s="28"/>
      <c r="AP56" s="28"/>
      <c r="AQ56" s="28"/>
    </row>
    <row r="57" spans="1:43" s="9" customFormat="1" x14ac:dyDescent="0.45">
      <c r="A57" s="12"/>
      <c r="B57" s="12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30"/>
      <c r="AH57" s="28"/>
      <c r="AI57" s="28"/>
      <c r="AJ57" s="28"/>
      <c r="AK57" s="28"/>
      <c r="AL57" s="28"/>
      <c r="AM57" s="28"/>
      <c r="AN57" s="29"/>
      <c r="AO57" s="28"/>
      <c r="AP57" s="28"/>
      <c r="AQ57" s="28"/>
    </row>
    <row r="58" spans="1:43" s="9" customFormat="1" x14ac:dyDescent="0.45">
      <c r="A58" s="12"/>
      <c r="B58" s="12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30"/>
      <c r="AH58" s="28"/>
      <c r="AI58" s="28"/>
      <c r="AJ58" s="28"/>
      <c r="AK58" s="28"/>
      <c r="AL58" s="28"/>
      <c r="AM58" s="28"/>
      <c r="AN58" s="29"/>
      <c r="AO58" s="28"/>
      <c r="AP58" s="28"/>
      <c r="AQ58" s="28"/>
    </row>
    <row r="59" spans="1:43" s="9" customFormat="1" x14ac:dyDescent="0.45">
      <c r="A59" s="12"/>
      <c r="B59" s="12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30"/>
      <c r="AH59" s="28"/>
      <c r="AI59" s="28"/>
      <c r="AJ59" s="28"/>
      <c r="AK59" s="28"/>
      <c r="AL59" s="28"/>
      <c r="AM59" s="28"/>
      <c r="AN59" s="29"/>
      <c r="AO59" s="28"/>
      <c r="AP59" s="28"/>
      <c r="AQ59" s="28"/>
    </row>
    <row r="60" spans="1:43" s="25" customFormat="1" ht="15.75" x14ac:dyDescent="0.45"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</row>
    <row r="61" spans="1:43" s="9" customFormat="1" x14ac:dyDescent="0.45">
      <c r="A61" s="12"/>
      <c r="B61" s="12"/>
      <c r="C61" s="32"/>
      <c r="D61" s="17"/>
      <c r="E61" s="17"/>
      <c r="F61" s="17"/>
      <c r="G61" s="17"/>
      <c r="H61" s="32"/>
      <c r="I61" s="17"/>
      <c r="J61" s="17"/>
      <c r="AH61" s="28"/>
      <c r="AI61" s="28"/>
      <c r="AJ61" s="28"/>
      <c r="AK61" s="28"/>
      <c r="AL61" s="28"/>
      <c r="AM61" s="28"/>
      <c r="AN61" s="29"/>
      <c r="AO61" s="28"/>
      <c r="AP61" s="28"/>
      <c r="AQ61" s="28"/>
    </row>
    <row r="62" spans="1:43" s="9" customFormat="1" x14ac:dyDescent="0.45">
      <c r="A62" s="12"/>
      <c r="B62" s="12"/>
      <c r="C62" s="17"/>
      <c r="D62" s="17"/>
      <c r="E62" s="17"/>
      <c r="F62" s="17"/>
      <c r="G62" s="17"/>
      <c r="H62" s="17"/>
      <c r="I62" s="17"/>
      <c r="J62" s="17"/>
      <c r="AH62" s="28"/>
      <c r="AI62" s="28"/>
      <c r="AJ62" s="28"/>
      <c r="AK62" s="28"/>
      <c r="AL62" s="28"/>
      <c r="AM62" s="28"/>
      <c r="AN62" s="29"/>
      <c r="AO62" s="28"/>
      <c r="AP62" s="28"/>
      <c r="AQ62" s="28"/>
    </row>
    <row r="63" spans="1:43" s="9" customFormat="1" x14ac:dyDescent="0.45">
      <c r="A63" s="24"/>
      <c r="B63" s="12"/>
      <c r="C63" s="17"/>
      <c r="D63" s="17"/>
      <c r="E63" s="17"/>
      <c r="F63" s="17"/>
      <c r="G63" s="17"/>
      <c r="H63" s="17"/>
      <c r="I63" s="17"/>
      <c r="J63" s="17"/>
      <c r="AH63" s="28"/>
      <c r="AI63" s="28"/>
      <c r="AJ63" s="28"/>
      <c r="AK63" s="28"/>
      <c r="AL63" s="28"/>
      <c r="AM63" s="28"/>
      <c r="AN63" s="29"/>
      <c r="AO63" s="28"/>
      <c r="AP63" s="28"/>
      <c r="AQ63" s="28"/>
    </row>
    <row r="64" spans="1:43" s="9" customFormat="1" x14ac:dyDescent="0.45">
      <c r="A64" s="12"/>
      <c r="B64" s="12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H64" s="28"/>
      <c r="AI64" s="28"/>
      <c r="AJ64" s="28"/>
      <c r="AK64" s="28"/>
      <c r="AL64" s="28"/>
      <c r="AM64" s="28"/>
      <c r="AN64" s="29"/>
      <c r="AO64" s="28"/>
      <c r="AP64" s="28"/>
      <c r="AQ64" s="28"/>
    </row>
    <row r="65" spans="1:43" s="9" customFormat="1" x14ac:dyDescent="0.45">
      <c r="A65" s="12"/>
      <c r="B65" s="12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H65" s="28"/>
      <c r="AI65" s="28"/>
      <c r="AJ65" s="28"/>
      <c r="AK65" s="28"/>
      <c r="AL65" s="28"/>
      <c r="AM65" s="28"/>
      <c r="AN65" s="29"/>
      <c r="AO65" s="28"/>
      <c r="AP65" s="28"/>
      <c r="AQ65" s="28"/>
    </row>
    <row r="66" spans="1:43" s="9" customFormat="1" x14ac:dyDescent="0.45">
      <c r="A66" s="12"/>
      <c r="B66" s="12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H66" s="28"/>
      <c r="AI66" s="28"/>
      <c r="AJ66" s="28"/>
      <c r="AK66" s="28"/>
      <c r="AL66" s="28"/>
      <c r="AM66" s="28"/>
      <c r="AN66" s="29"/>
      <c r="AO66" s="28"/>
      <c r="AP66" s="28"/>
      <c r="AQ66" s="28"/>
    </row>
    <row r="67" spans="1:43" s="9" customFormat="1" x14ac:dyDescent="0.45">
      <c r="A67" s="12"/>
      <c r="B67" s="12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H67" s="28"/>
      <c r="AI67" s="28"/>
      <c r="AJ67" s="28"/>
      <c r="AK67" s="28"/>
      <c r="AL67" s="28"/>
      <c r="AM67" s="28"/>
      <c r="AN67" s="29"/>
      <c r="AO67" s="28"/>
      <c r="AP67" s="28"/>
      <c r="AQ67" s="28"/>
    </row>
    <row r="68" spans="1:43" s="9" customFormat="1" x14ac:dyDescent="0.45">
      <c r="A68" s="12"/>
      <c r="B68" s="12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H68" s="28"/>
      <c r="AI68" s="28"/>
      <c r="AJ68" s="28"/>
      <c r="AK68" s="28"/>
      <c r="AL68" s="28"/>
      <c r="AM68" s="28"/>
      <c r="AN68" s="29"/>
      <c r="AO68" s="28"/>
      <c r="AP68" s="28"/>
      <c r="AQ68" s="28"/>
    </row>
    <row r="69" spans="1:43" s="9" customFormat="1" x14ac:dyDescent="0.45">
      <c r="A69" s="12"/>
      <c r="B69" s="12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H69" s="28"/>
      <c r="AI69" s="28"/>
      <c r="AJ69" s="28"/>
      <c r="AK69" s="28"/>
      <c r="AL69" s="28"/>
      <c r="AM69" s="28"/>
      <c r="AN69" s="29"/>
      <c r="AO69" s="28"/>
      <c r="AP69" s="28"/>
      <c r="AQ69" s="28"/>
    </row>
    <row r="70" spans="1:43" s="9" customFormat="1" x14ac:dyDescent="0.45">
      <c r="A70" s="34"/>
      <c r="B70" s="12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H70" s="28"/>
      <c r="AI70" s="28"/>
      <c r="AJ70" s="28"/>
      <c r="AK70" s="28"/>
      <c r="AL70" s="28"/>
      <c r="AM70" s="28"/>
      <c r="AN70" s="29"/>
      <c r="AO70" s="28"/>
      <c r="AP70" s="28"/>
      <c r="AQ70" s="28"/>
    </row>
    <row r="71" spans="1:43" s="25" customFormat="1" x14ac:dyDescent="0.45">
      <c r="B71" s="35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</row>
    <row r="72" spans="1:43" s="9" customFormat="1" x14ac:dyDescent="0.45">
      <c r="A72" s="12"/>
      <c r="B72" s="14"/>
      <c r="C72" s="17"/>
      <c r="D72" s="17"/>
      <c r="E72" s="17"/>
      <c r="F72" s="17"/>
      <c r="G72" s="17"/>
      <c r="H72" s="17"/>
      <c r="I72" s="17"/>
      <c r="J72" s="17"/>
    </row>
    <row r="73" spans="1:43" s="9" customFormat="1" x14ac:dyDescent="0.45">
      <c r="A73" s="12"/>
      <c r="B73" s="14"/>
      <c r="C73" s="17"/>
      <c r="D73" s="17"/>
      <c r="E73" s="17"/>
      <c r="F73" s="17"/>
      <c r="G73" s="17"/>
      <c r="H73" s="17"/>
      <c r="I73" s="17"/>
      <c r="J73" s="17"/>
    </row>
    <row r="74" spans="1:43" s="9" customFormat="1" x14ac:dyDescent="0.45">
      <c r="A74" s="12"/>
    </row>
    <row r="75" spans="1:43" x14ac:dyDescent="0.45">
      <c r="A75" s="14"/>
    </row>
    <row r="76" spans="1:43" x14ac:dyDescent="0.45">
      <c r="A76" s="14"/>
    </row>
    <row r="77" spans="1:43" x14ac:dyDescent="0.45">
      <c r="A77" s="14"/>
    </row>
  </sheetData>
  <pageMargins left="0.7" right="0.7" top="0.75" bottom="0.75" header="0.3" footer="0.3"/>
  <pageSetup orientation="portrait" horizontalDpi="360" verticalDpi="360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K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15" sqref="A15"/>
    </sheetView>
  </sheetViews>
  <sheetFormatPr defaultColWidth="9.1328125" defaultRowHeight="14.25" x14ac:dyDescent="0.45"/>
  <cols>
    <col min="1" max="1" width="16.1328125" bestFit="1" customWidth="1"/>
    <col min="38" max="38" width="9.3984375" bestFit="1" customWidth="1"/>
  </cols>
  <sheetData>
    <row r="1" spans="1:37" s="11" customFormat="1" x14ac:dyDescent="0.45">
      <c r="A1" s="11" t="s">
        <v>53</v>
      </c>
      <c r="B1" s="11">
        <v>42005</v>
      </c>
      <c r="C1" s="11">
        <v>42370</v>
      </c>
      <c r="D1" s="11">
        <v>42736</v>
      </c>
      <c r="E1" s="11">
        <v>43101</v>
      </c>
      <c r="F1" s="11">
        <v>43466</v>
      </c>
      <c r="G1" s="11">
        <v>43831</v>
      </c>
      <c r="H1" s="11">
        <v>44197</v>
      </c>
      <c r="I1" s="11">
        <v>44562</v>
      </c>
      <c r="J1" s="11">
        <v>44927</v>
      </c>
      <c r="K1" s="11">
        <v>45292</v>
      </c>
      <c r="L1" s="11">
        <v>45658</v>
      </c>
      <c r="M1" s="11">
        <v>46023</v>
      </c>
      <c r="N1" s="11">
        <v>46388</v>
      </c>
      <c r="O1" s="11">
        <v>46753</v>
      </c>
      <c r="P1" s="11">
        <v>47119</v>
      </c>
      <c r="Q1" s="11">
        <v>47484</v>
      </c>
      <c r="R1" s="11">
        <v>47849</v>
      </c>
      <c r="S1" s="11">
        <v>48214</v>
      </c>
      <c r="T1" s="11">
        <v>48580</v>
      </c>
      <c r="U1" s="11">
        <v>48945</v>
      </c>
      <c r="V1" s="11">
        <v>49310</v>
      </c>
      <c r="W1" s="11">
        <v>49675</v>
      </c>
      <c r="X1" s="11">
        <v>50041</v>
      </c>
      <c r="Y1" s="11">
        <v>50406</v>
      </c>
      <c r="Z1" s="11">
        <v>50771</v>
      </c>
      <c r="AA1" s="11">
        <v>51136</v>
      </c>
      <c r="AB1" s="11">
        <v>51502</v>
      </c>
      <c r="AC1" s="11">
        <v>51867</v>
      </c>
      <c r="AD1" s="11">
        <v>52232</v>
      </c>
      <c r="AE1" s="11">
        <v>52597</v>
      </c>
      <c r="AF1" s="11">
        <v>52963</v>
      </c>
      <c r="AG1" s="11">
        <v>53328</v>
      </c>
      <c r="AH1" s="11">
        <v>53693</v>
      </c>
      <c r="AI1" s="11">
        <v>54058</v>
      </c>
      <c r="AJ1" s="11">
        <v>54424</v>
      </c>
      <c r="AK1" s="11">
        <v>54789</v>
      </c>
    </row>
    <row r="2" spans="1:37" x14ac:dyDescent="0.45">
      <c r="A2" t="s">
        <v>20</v>
      </c>
      <c r="B2">
        <v>1.1522500000675784E-2</v>
      </c>
      <c r="C2">
        <v>1.1522500028985139E-2</v>
      </c>
      <c r="D2">
        <v>1.1522500047729256E-2</v>
      </c>
      <c r="E2">
        <v>1.1522499941754472E-2</v>
      </c>
      <c r="F2">
        <v>1.1522500048587014E-2</v>
      </c>
      <c r="G2">
        <v>1.1522499938940722E-2</v>
      </c>
      <c r="H2">
        <v>1.152249997169319E-2</v>
      </c>
      <c r="I2">
        <v>1.1522500020950677E-2</v>
      </c>
      <c r="J2">
        <v>1.152250004130817E-2</v>
      </c>
      <c r="K2">
        <v>1.1522499928145358E-2</v>
      </c>
      <c r="L2">
        <v>1.1522500042459471E-2</v>
      </c>
      <c r="M2">
        <v>1.1522500013894987E-2</v>
      </c>
      <c r="N2">
        <v>1.1522500065478392E-2</v>
      </c>
      <c r="O2">
        <v>1.1522499961083232E-2</v>
      </c>
      <c r="P2">
        <v>1.1522500033144256E-2</v>
      </c>
      <c r="Q2">
        <v>1.1522499907554717E-2</v>
      </c>
      <c r="R2">
        <v>1.1522500013617432E-2</v>
      </c>
      <c r="S2">
        <v>1.1522500079815812E-2</v>
      </c>
      <c r="T2">
        <v>1.1522500013619652E-2</v>
      </c>
      <c r="U2">
        <v>1.1522499887566262E-2</v>
      </c>
      <c r="V2">
        <v>1.1522500042523198E-2</v>
      </c>
      <c r="W2">
        <v>1.1522500029767624E-2</v>
      </c>
      <c r="X2">
        <v>1.1522500029306437E-2</v>
      </c>
      <c r="Y2">
        <v>1.1522500017097315E-2</v>
      </c>
      <c r="Z2">
        <v>1.1522499999146341E-2</v>
      </c>
      <c r="AA2">
        <v>1.1522499897206773E-2</v>
      </c>
      <c r="AB2">
        <v>1.152250009647493E-2</v>
      </c>
      <c r="AC2">
        <v>1.1522500013156911E-2</v>
      </c>
      <c r="AD2">
        <v>1.1522499965975541E-2</v>
      </c>
      <c r="AE2">
        <v>1.1522499956695631E-2</v>
      </c>
      <c r="AF2">
        <v>1.1522500000836322E-2</v>
      </c>
      <c r="AG2">
        <v>1.1522500021745152E-2</v>
      </c>
      <c r="AH2">
        <v>1.1522500057860041E-2</v>
      </c>
      <c r="AI2">
        <v>1.1522499549665444E-2</v>
      </c>
      <c r="AJ2">
        <v>1.1522499960098465E-2</v>
      </c>
      <c r="AK2">
        <v>1.152250011939393E-2</v>
      </c>
    </row>
    <row r="3" spans="1:37" x14ac:dyDescent="0.45">
      <c r="A3" t="s">
        <v>21</v>
      </c>
      <c r="B3">
        <v>2.0000000000000018E-2</v>
      </c>
      <c r="C3">
        <v>2.0000000000000018E-2</v>
      </c>
      <c r="D3">
        <v>2.0000000000000018E-2</v>
      </c>
      <c r="E3">
        <v>2.0000000000000018E-2</v>
      </c>
      <c r="F3">
        <v>2.0000000000000018E-2</v>
      </c>
      <c r="G3">
        <v>1.9999999815230929E-2</v>
      </c>
      <c r="H3">
        <v>1.9999999945656155E-2</v>
      </c>
      <c r="I3">
        <v>2.0000000550542296E-2</v>
      </c>
      <c r="J3">
        <v>1.9999999686598491E-2</v>
      </c>
      <c r="K3">
        <v>2.0000000324326361E-2</v>
      </c>
      <c r="L3">
        <v>1.9999999682033032E-2</v>
      </c>
      <c r="M3">
        <v>1.9999999671860502E-2</v>
      </c>
      <c r="N3">
        <v>2.0000000675580942E-2</v>
      </c>
      <c r="O3">
        <v>1.9999999290356119E-2</v>
      </c>
      <c r="P3">
        <v>2.0000000309213117E-2</v>
      </c>
      <c r="Q3">
        <v>1.9999999802952528E-2</v>
      </c>
      <c r="R3">
        <v>2.0000000178323596E-2</v>
      </c>
      <c r="S3">
        <v>1.9999999927155399E-2</v>
      </c>
      <c r="T3">
        <v>2.0000000442780719E-2</v>
      </c>
      <c r="U3">
        <v>2.0000000028006282E-2</v>
      </c>
      <c r="V3">
        <v>1.9999999684241931E-2</v>
      </c>
      <c r="W3">
        <v>2.0000000053837619E-2</v>
      </c>
      <c r="X3">
        <v>2.000000007917313E-2</v>
      </c>
      <c r="Y3">
        <v>1.9999999728327555E-2</v>
      </c>
      <c r="Z3">
        <v>2.0000000456592337E-2</v>
      </c>
      <c r="AA3">
        <v>1.9999999378278455E-2</v>
      </c>
      <c r="AB3">
        <v>2.0000000073143731E-2</v>
      </c>
      <c r="AC3">
        <v>2.0000000430257181E-2</v>
      </c>
      <c r="AD3">
        <v>1.9999999683634417E-2</v>
      </c>
      <c r="AE3">
        <v>1.999999993107493E-2</v>
      </c>
      <c r="AF3">
        <v>2.0000000112622374E-2</v>
      </c>
      <c r="AG3">
        <v>2.0000000176662702E-2</v>
      </c>
      <c r="AH3">
        <v>1.9999999826801229E-2</v>
      </c>
      <c r="AI3">
        <v>2.0000000084901215E-2</v>
      </c>
      <c r="AJ3">
        <v>1.9999999958381753E-2</v>
      </c>
      <c r="AK3">
        <v>2.0000000183610034E-2</v>
      </c>
    </row>
    <row r="4" spans="1:37" x14ac:dyDescent="0.45">
      <c r="A4" t="s">
        <v>22</v>
      </c>
      <c r="B4">
        <v>6.9000000000000006E-2</v>
      </c>
      <c r="C4">
        <v>6.9000000000000006E-2</v>
      </c>
      <c r="D4">
        <v>6.9000000000000006E-2</v>
      </c>
      <c r="E4">
        <v>6.9000000000000006E-2</v>
      </c>
      <c r="F4">
        <v>6.9000000000000006E-2</v>
      </c>
      <c r="G4">
        <v>6.9000000000000006E-2</v>
      </c>
      <c r="H4">
        <v>6.9000000000000006E-2</v>
      </c>
      <c r="I4">
        <v>6.9000000000000006E-2</v>
      </c>
      <c r="J4">
        <v>6.9000000000000006E-2</v>
      </c>
      <c r="K4">
        <v>6.9000000000000006E-2</v>
      </c>
      <c r="L4">
        <v>6.9000000000000006E-2</v>
      </c>
      <c r="M4">
        <v>6.9000000000000006E-2</v>
      </c>
      <c r="N4">
        <v>6.9000000000000006E-2</v>
      </c>
      <c r="O4">
        <v>6.9000000000000006E-2</v>
      </c>
      <c r="P4">
        <v>6.9000000000000006E-2</v>
      </c>
      <c r="Q4">
        <v>6.9000000000000006E-2</v>
      </c>
      <c r="R4">
        <v>6.9000000000000006E-2</v>
      </c>
      <c r="S4">
        <v>6.9000000000000006E-2</v>
      </c>
      <c r="T4">
        <v>6.9000000000000006E-2</v>
      </c>
      <c r="U4">
        <v>6.9000000000000006E-2</v>
      </c>
      <c r="V4">
        <v>6.9000000000000006E-2</v>
      </c>
      <c r="W4">
        <v>6.9000000000000006E-2</v>
      </c>
      <c r="X4">
        <v>6.9000000000000006E-2</v>
      </c>
      <c r="Y4">
        <v>6.9000000000000006E-2</v>
      </c>
      <c r="Z4">
        <v>6.9000000000000006E-2</v>
      </c>
      <c r="AA4">
        <v>6.9000000000000006E-2</v>
      </c>
      <c r="AB4">
        <v>6.9000000000000006E-2</v>
      </c>
      <c r="AC4">
        <v>6.9000000000000006E-2</v>
      </c>
      <c r="AD4">
        <v>6.9000000000000006E-2</v>
      </c>
      <c r="AE4">
        <v>6.9000000000000006E-2</v>
      </c>
      <c r="AF4">
        <v>6.9000000000000006E-2</v>
      </c>
      <c r="AG4">
        <v>6.9000000000000006E-2</v>
      </c>
      <c r="AH4">
        <v>6.9000000000000006E-2</v>
      </c>
      <c r="AI4">
        <v>6.9000000000000006E-2</v>
      </c>
      <c r="AJ4">
        <v>6.9000000000000006E-2</v>
      </c>
      <c r="AK4">
        <v>6.9000000000000006E-2</v>
      </c>
    </row>
    <row r="5" spans="1:37" x14ac:dyDescent="0.45">
      <c r="A5" t="s">
        <v>23</v>
      </c>
      <c r="B5">
        <v>0.64700000000000002</v>
      </c>
      <c r="C5">
        <v>0.64700000000000002</v>
      </c>
      <c r="D5">
        <v>0.64700000000000002</v>
      </c>
      <c r="E5">
        <v>0.64700000000000002</v>
      </c>
      <c r="F5">
        <v>0.64700000000000002</v>
      </c>
      <c r="G5">
        <v>0.64700000000000002</v>
      </c>
      <c r="H5">
        <v>0.64700000000000002</v>
      </c>
      <c r="I5">
        <v>0.64699999990000001</v>
      </c>
      <c r="J5">
        <v>0.64699999990000001</v>
      </c>
      <c r="K5">
        <v>0.64699999990000001</v>
      </c>
      <c r="L5">
        <v>0.64699999990000001</v>
      </c>
      <c r="M5">
        <v>0.64699999990000001</v>
      </c>
      <c r="N5">
        <v>0.64699999990000001</v>
      </c>
      <c r="O5">
        <v>0.64699999990000001</v>
      </c>
      <c r="P5">
        <v>0.6469999998</v>
      </c>
      <c r="Q5">
        <v>0.6469999998</v>
      </c>
      <c r="R5">
        <v>0.6469999998</v>
      </c>
      <c r="S5">
        <v>0.6469999998</v>
      </c>
      <c r="T5">
        <v>0.6469999998</v>
      </c>
      <c r="U5">
        <v>0.64699999969999999</v>
      </c>
      <c r="V5">
        <v>0.64699999969999999</v>
      </c>
      <c r="W5">
        <v>0.64699999969999999</v>
      </c>
      <c r="X5">
        <v>0.64699999969999999</v>
      </c>
      <c r="Y5">
        <v>0.64699999969999999</v>
      </c>
      <c r="Z5">
        <v>0.64699999959999999</v>
      </c>
      <c r="AA5">
        <v>0.64699999959999999</v>
      </c>
      <c r="AB5">
        <v>0.64699999959999999</v>
      </c>
      <c r="AC5">
        <v>0.64699999949999998</v>
      </c>
      <c r="AD5">
        <v>0.64699999949999998</v>
      </c>
      <c r="AE5">
        <v>0.64699999949999998</v>
      </c>
      <c r="AF5">
        <v>0.64699999949999998</v>
      </c>
      <c r="AG5">
        <v>0.64699999939999997</v>
      </c>
      <c r="AH5">
        <v>0.64699999939999997</v>
      </c>
      <c r="AI5">
        <v>0.64699999939999997</v>
      </c>
      <c r="AJ5">
        <v>0.64699999929999996</v>
      </c>
      <c r="AK5">
        <v>0.64699999929999996</v>
      </c>
    </row>
    <row r="6" spans="1:37" x14ac:dyDescent="0.45">
      <c r="A6" t="s">
        <v>24</v>
      </c>
      <c r="B6">
        <v>-6.2708810299999997E-3</v>
      </c>
      <c r="C6">
        <v>-6.2708810199999998E-3</v>
      </c>
      <c r="D6">
        <v>-6.2708810199999998E-3</v>
      </c>
      <c r="E6">
        <v>-6.2708810199999998E-3</v>
      </c>
      <c r="F6">
        <v>-6.2708810199999998E-3</v>
      </c>
      <c r="G6">
        <v>-6.2708810199999998E-3</v>
      </c>
      <c r="H6">
        <v>-6.2708810199999998E-3</v>
      </c>
      <c r="I6">
        <v>-6.2708810199999998E-3</v>
      </c>
      <c r="J6">
        <v>-6.2708810199999998E-3</v>
      </c>
      <c r="K6">
        <v>-6.2708810199999998E-3</v>
      </c>
      <c r="L6">
        <v>-6.2708810199999998E-3</v>
      </c>
      <c r="M6">
        <v>-6.2708810099999998E-3</v>
      </c>
      <c r="N6">
        <v>-6.2708810099999998E-3</v>
      </c>
      <c r="O6">
        <v>-6.2708810099999998E-3</v>
      </c>
      <c r="P6">
        <v>-6.2708810099999998E-3</v>
      </c>
      <c r="Q6">
        <v>-6.2708810099999998E-3</v>
      </c>
      <c r="R6">
        <v>-6.2708810099999998E-3</v>
      </c>
      <c r="S6">
        <v>-6.2708810099999998E-3</v>
      </c>
      <c r="T6">
        <v>-6.2708810099999998E-3</v>
      </c>
      <c r="U6">
        <v>-6.2708809999999999E-3</v>
      </c>
      <c r="V6">
        <v>-6.2708809999999999E-3</v>
      </c>
      <c r="W6">
        <v>-6.2708809999999999E-3</v>
      </c>
      <c r="X6">
        <v>-6.2708809999999999E-3</v>
      </c>
      <c r="Y6">
        <v>-6.2708809999999999E-3</v>
      </c>
      <c r="Z6">
        <v>-6.2708809999999999E-3</v>
      </c>
      <c r="AA6">
        <v>-6.2708809999999999E-3</v>
      </c>
      <c r="AB6">
        <v>-6.2708809999999999E-3</v>
      </c>
      <c r="AC6">
        <v>-6.2708809999999999E-3</v>
      </c>
      <c r="AD6">
        <v>-6.2708809999999999E-3</v>
      </c>
      <c r="AE6">
        <v>-6.2708809899999999E-3</v>
      </c>
      <c r="AF6">
        <v>-6.2708809899999999E-3</v>
      </c>
      <c r="AG6">
        <v>-6.2708809899999999E-3</v>
      </c>
      <c r="AH6">
        <v>-6.2708809899999999E-3</v>
      </c>
      <c r="AI6">
        <v>-6.2708809899999999E-3</v>
      </c>
      <c r="AJ6">
        <v>-6.2708809899999999E-3</v>
      </c>
      <c r="AK6">
        <v>-6.2708809899999999E-3</v>
      </c>
    </row>
    <row r="7" spans="1:37" x14ac:dyDescent="0.45">
      <c r="A7" t="s">
        <v>25</v>
      </c>
      <c r="B7">
        <v>7.7659969199999998E-2</v>
      </c>
      <c r="C7">
        <v>7.7659969199999998E-2</v>
      </c>
      <c r="D7">
        <v>7.7659969199999998E-2</v>
      </c>
      <c r="E7">
        <v>7.7659969199999998E-2</v>
      </c>
      <c r="F7">
        <v>7.7659969199999998E-2</v>
      </c>
      <c r="G7">
        <v>7.7659969199999998E-2</v>
      </c>
      <c r="H7">
        <v>7.7659969199999998E-2</v>
      </c>
      <c r="I7">
        <v>7.7659969199999998E-2</v>
      </c>
      <c r="J7">
        <v>7.7659969199999998E-2</v>
      </c>
      <c r="K7">
        <v>7.7659969199999998E-2</v>
      </c>
      <c r="L7">
        <v>7.7659969199999998E-2</v>
      </c>
      <c r="M7">
        <v>7.7659969199999998E-2</v>
      </c>
      <c r="N7">
        <v>7.7659969199999998E-2</v>
      </c>
      <c r="O7">
        <v>7.7659969199999998E-2</v>
      </c>
      <c r="P7">
        <v>7.7659969199999998E-2</v>
      </c>
      <c r="Q7">
        <v>7.7659969199999998E-2</v>
      </c>
      <c r="R7">
        <v>7.7659969199999998E-2</v>
      </c>
      <c r="S7">
        <v>7.7659969199999998E-2</v>
      </c>
      <c r="T7">
        <v>7.7659969199999998E-2</v>
      </c>
      <c r="U7">
        <v>7.7659969199999998E-2</v>
      </c>
      <c r="V7">
        <v>7.7659969199999998E-2</v>
      </c>
      <c r="W7">
        <v>7.7659969199999998E-2</v>
      </c>
      <c r="X7">
        <v>7.7659969199999998E-2</v>
      </c>
      <c r="Y7">
        <v>7.7659969199999998E-2</v>
      </c>
      <c r="Z7">
        <v>7.7659969199999998E-2</v>
      </c>
      <c r="AA7">
        <v>7.7659969199999998E-2</v>
      </c>
      <c r="AB7">
        <v>7.7659969199999998E-2</v>
      </c>
      <c r="AC7">
        <v>7.7659969199999998E-2</v>
      </c>
      <c r="AD7">
        <v>7.7659969199999998E-2</v>
      </c>
      <c r="AE7">
        <v>7.7659969199999998E-2</v>
      </c>
      <c r="AF7">
        <v>7.7659969199999998E-2</v>
      </c>
      <c r="AG7">
        <v>7.7659969199999998E-2</v>
      </c>
      <c r="AH7">
        <v>7.7659969199999998E-2</v>
      </c>
      <c r="AI7">
        <v>7.7659969199999998E-2</v>
      </c>
      <c r="AJ7">
        <v>7.7659969199999998E-2</v>
      </c>
      <c r="AK7">
        <v>7.7659969199999998E-2</v>
      </c>
    </row>
    <row r="8" spans="1:37" x14ac:dyDescent="0.45">
      <c r="A8" t="s">
        <v>69</v>
      </c>
      <c r="B8">
        <v>16900.725999999999</v>
      </c>
      <c r="C8">
        <v>16942.977814999998</v>
      </c>
      <c r="D8">
        <v>16985.335259537496</v>
      </c>
      <c r="E8">
        <v>17027.798597686338</v>
      </c>
      <c r="F8">
        <v>17070.368094180554</v>
      </c>
      <c r="G8">
        <v>17113.044014416006</v>
      </c>
      <c r="H8">
        <v>17155.826624452042</v>
      </c>
      <c r="I8">
        <v>17198.716191013173</v>
      </c>
      <c r="J8">
        <v>17241.712981490706</v>
      </c>
      <c r="K8">
        <v>17284.817263944435</v>
      </c>
      <c r="L8">
        <v>17328.029307104291</v>
      </c>
      <c r="M8">
        <v>17371.349380372048</v>
      </c>
      <c r="N8">
        <v>17414.777753822982</v>
      </c>
      <c r="O8">
        <v>17458.314698207538</v>
      </c>
      <c r="P8">
        <v>17501.960484953055</v>
      </c>
      <c r="Q8">
        <v>17545.715386165437</v>
      </c>
      <c r="R8">
        <v>17589.579674630848</v>
      </c>
      <c r="S8">
        <v>17633.553623817425</v>
      </c>
      <c r="T8">
        <v>17677.637507876967</v>
      </c>
      <c r="U8">
        <v>17721.83160164666</v>
      </c>
      <c r="V8">
        <v>17766.136180650774</v>
      </c>
      <c r="W8">
        <v>17810.551521102399</v>
      </c>
      <c r="X8">
        <v>17855.077899905154</v>
      </c>
      <c r="Y8">
        <v>17899.715594654921</v>
      </c>
      <c r="Z8">
        <v>17944.464883641554</v>
      </c>
      <c r="AA8">
        <v>17989.326045850659</v>
      </c>
      <c r="AB8">
        <v>18034.299360965284</v>
      </c>
      <c r="AC8">
        <v>18079.385109367693</v>
      </c>
      <c r="AD8">
        <v>18124.583572141113</v>
      </c>
      <c r="AE8">
        <v>18169.895031071464</v>
      </c>
      <c r="AF8">
        <v>18215.31976864914</v>
      </c>
      <c r="AG8">
        <v>18260.858068070767</v>
      </c>
      <c r="AH8">
        <v>18306.510213240941</v>
      </c>
      <c r="AI8">
        <v>18352.276488774041</v>
      </c>
      <c r="AJ8">
        <v>18398.157179995978</v>
      </c>
      <c r="AK8">
        <v>18444.152572945964</v>
      </c>
    </row>
    <row r="9" spans="1:37" x14ac:dyDescent="0.45">
      <c r="A9" t="s">
        <v>70</v>
      </c>
      <c r="B9">
        <v>690008</v>
      </c>
      <c r="C9">
        <v>697958.61719999998</v>
      </c>
      <c r="D9">
        <v>706000.84539999999</v>
      </c>
      <c r="E9">
        <v>714135.74010000005</v>
      </c>
      <c r="F9">
        <v>722364.36919999996</v>
      </c>
      <c r="G9">
        <v>730687.81259999995</v>
      </c>
      <c r="H9">
        <v>739107.1629</v>
      </c>
      <c r="I9">
        <v>747623.52520000003</v>
      </c>
      <c r="J9">
        <v>756238.01729999995</v>
      </c>
      <c r="K9">
        <v>764951.76980000001</v>
      </c>
      <c r="L9">
        <v>773765.92660000001</v>
      </c>
      <c r="M9">
        <v>782681.64450000005</v>
      </c>
      <c r="N9">
        <v>791700.09380000003</v>
      </c>
      <c r="O9">
        <v>800822.45810000005</v>
      </c>
      <c r="P9">
        <v>810049.93489999999</v>
      </c>
      <c r="Q9">
        <v>819383.7352</v>
      </c>
      <c r="R9">
        <v>828825.08429999999</v>
      </c>
      <c r="S9">
        <v>838375.22140000004</v>
      </c>
      <c r="T9">
        <v>848035.39989999996</v>
      </c>
      <c r="U9">
        <v>857806.88769999996</v>
      </c>
      <c r="V9">
        <v>867690.96759999997</v>
      </c>
      <c r="W9">
        <v>877688.93680000002</v>
      </c>
      <c r="X9">
        <v>887802.10759999999</v>
      </c>
      <c r="Y9">
        <v>898031.80740000005</v>
      </c>
      <c r="Z9">
        <v>908379.37890000001</v>
      </c>
      <c r="AA9">
        <v>918846.18019999994</v>
      </c>
      <c r="AB9">
        <v>929433.58539999998</v>
      </c>
      <c r="AC9">
        <v>940142.98389999999</v>
      </c>
      <c r="AD9">
        <v>950975.78139999998</v>
      </c>
      <c r="AE9">
        <v>961933.39980000001</v>
      </c>
      <c r="AF9">
        <v>973017.27740000002</v>
      </c>
      <c r="AG9">
        <v>984228.86899999995</v>
      </c>
      <c r="AH9">
        <v>995569.64619999996</v>
      </c>
      <c r="AI9">
        <v>1007041.097</v>
      </c>
      <c r="AJ9">
        <v>1018644.728</v>
      </c>
      <c r="AK9">
        <v>1030382.062</v>
      </c>
    </row>
    <row r="10" spans="1:37" x14ac:dyDescent="0.45">
      <c r="A10" t="s">
        <v>71</v>
      </c>
      <c r="B10">
        <v>1</v>
      </c>
      <c r="C10">
        <v>1.02</v>
      </c>
      <c r="D10">
        <v>1.0404</v>
      </c>
      <c r="E10">
        <v>1.0612079999999999</v>
      </c>
      <c r="F10">
        <v>1.08243216</v>
      </c>
      <c r="G10">
        <v>1.104080803</v>
      </c>
      <c r="H10">
        <v>1.1261624189999999</v>
      </c>
      <c r="I10">
        <v>1.1486856679999999</v>
      </c>
      <c r="J10">
        <v>1.171659381</v>
      </c>
      <c r="K10">
        <v>1.195092569</v>
      </c>
      <c r="L10">
        <v>1.21899442</v>
      </c>
      <c r="M10">
        <v>1.2433743079999999</v>
      </c>
      <c r="N10">
        <v>1.268241795</v>
      </c>
      <c r="O10">
        <v>1.29360663</v>
      </c>
      <c r="P10">
        <v>1.319478763</v>
      </c>
      <c r="Q10">
        <v>1.3458683380000001</v>
      </c>
      <c r="R10">
        <v>1.3727857050000001</v>
      </c>
      <c r="S10">
        <v>1.4002414190000001</v>
      </c>
      <c r="T10">
        <v>1.428246248</v>
      </c>
      <c r="U10">
        <v>1.456811173</v>
      </c>
      <c r="V10">
        <v>1.485947396</v>
      </c>
      <c r="W10">
        <v>1.515666344</v>
      </c>
      <c r="X10">
        <v>1.545979671</v>
      </c>
      <c r="Y10">
        <v>1.5768992639999999</v>
      </c>
      <c r="Z10">
        <v>1.6084372499999999</v>
      </c>
      <c r="AA10">
        <v>1.640605994</v>
      </c>
      <c r="AB10">
        <v>1.673418114</v>
      </c>
      <c r="AC10">
        <v>1.7068864770000001</v>
      </c>
      <c r="AD10">
        <v>1.7410242060000001</v>
      </c>
      <c r="AE10">
        <v>1.77584469</v>
      </c>
      <c r="AF10">
        <v>1.8113615839999999</v>
      </c>
      <c r="AG10">
        <v>1.847588816</v>
      </c>
      <c r="AH10">
        <v>1.884540592</v>
      </c>
      <c r="AI10">
        <v>1.9222314039999999</v>
      </c>
      <c r="AJ10">
        <v>1.9606760320000001</v>
      </c>
      <c r="AK10">
        <v>1.999889553</v>
      </c>
    </row>
    <row r="11" spans="1:37" x14ac:dyDescent="0.45">
      <c r="A11" t="s">
        <v>72</v>
      </c>
      <c r="B11">
        <v>59446</v>
      </c>
      <c r="C11">
        <v>60130.966540000001</v>
      </c>
      <c r="D11">
        <v>60823.825599999996</v>
      </c>
      <c r="E11">
        <v>61524.668129999998</v>
      </c>
      <c r="F11">
        <v>62233.58612</v>
      </c>
      <c r="G11">
        <v>62950.672610000001</v>
      </c>
      <c r="H11">
        <v>63676.021739999996</v>
      </c>
      <c r="I11">
        <v>64409.7287</v>
      </c>
      <c r="J11">
        <v>65151.889799999997</v>
      </c>
      <c r="K11">
        <v>65902.602450000006</v>
      </c>
      <c r="L11">
        <v>66661.965190000003</v>
      </c>
      <c r="M11">
        <v>67430.077680000002</v>
      </c>
      <c r="N11">
        <v>68207.04075</v>
      </c>
      <c r="O11">
        <v>68992.956380000003</v>
      </c>
      <c r="P11">
        <v>69787.927720000007</v>
      </c>
      <c r="Q11">
        <v>70592.059110000002</v>
      </c>
      <c r="R11">
        <v>71405.456120000003</v>
      </c>
      <c r="S11">
        <v>72228.225479999994</v>
      </c>
      <c r="T11">
        <v>73060.475210000004</v>
      </c>
      <c r="U11">
        <v>73902.314540000007</v>
      </c>
      <c r="V11">
        <v>74753.853959999993</v>
      </c>
      <c r="W11">
        <v>75615.205239999996</v>
      </c>
      <c r="X11">
        <v>76486.481440000003</v>
      </c>
      <c r="Y11">
        <v>77367.796919999993</v>
      </c>
      <c r="Z11">
        <v>78259.267359999998</v>
      </c>
      <c r="AA11">
        <v>79161.009770000004</v>
      </c>
      <c r="AB11">
        <v>80073.142510000005</v>
      </c>
      <c r="AC11">
        <v>80995.78529</v>
      </c>
      <c r="AD11">
        <v>81929.059229999999</v>
      </c>
      <c r="AE11">
        <v>82873.086809999993</v>
      </c>
      <c r="AF11">
        <v>83827.991959999999</v>
      </c>
      <c r="AG11">
        <v>84793.899990000005</v>
      </c>
      <c r="AH11">
        <v>85770.937709999998</v>
      </c>
      <c r="AI11">
        <v>86759.233340000006</v>
      </c>
      <c r="AJ11">
        <v>87758.916599999997</v>
      </c>
      <c r="AK11">
        <v>88770.118719999999</v>
      </c>
    </row>
    <row r="12" spans="1:37" x14ac:dyDescent="0.45">
      <c r="A12" t="s">
        <v>73</v>
      </c>
      <c r="B12">
        <v>375834</v>
      </c>
      <c r="C12">
        <v>380164.54729999998</v>
      </c>
      <c r="D12">
        <v>384544.99329999997</v>
      </c>
      <c r="E12">
        <v>388975.913</v>
      </c>
      <c r="F12">
        <v>393457.88789999997</v>
      </c>
      <c r="G12">
        <v>397991.50640000001</v>
      </c>
      <c r="H12">
        <v>402577.36359999998</v>
      </c>
      <c r="I12">
        <v>407216.0612</v>
      </c>
      <c r="J12">
        <v>411908.2083</v>
      </c>
      <c r="K12">
        <v>416654.42060000001</v>
      </c>
      <c r="L12">
        <v>421455.32120000001</v>
      </c>
      <c r="M12">
        <v>426311.54009999998</v>
      </c>
      <c r="N12">
        <v>431223.71480000002</v>
      </c>
      <c r="O12">
        <v>436192.4901</v>
      </c>
      <c r="P12">
        <v>441218.51809999999</v>
      </c>
      <c r="Q12">
        <v>446302.4584</v>
      </c>
      <c r="R12">
        <v>451444.97850000003</v>
      </c>
      <c r="S12">
        <v>456646.75329999998</v>
      </c>
      <c r="T12">
        <v>461908.46549999999</v>
      </c>
      <c r="U12">
        <v>467230.80579999997</v>
      </c>
      <c r="V12">
        <v>472614.47279999999</v>
      </c>
      <c r="W12">
        <v>478060.17300000001</v>
      </c>
      <c r="X12">
        <v>483568.6214</v>
      </c>
      <c r="Y12">
        <v>489140.54080000002</v>
      </c>
      <c r="Z12">
        <v>494776.66269999999</v>
      </c>
      <c r="AA12">
        <v>500477.7268</v>
      </c>
      <c r="AB12">
        <v>506244.48139999999</v>
      </c>
      <c r="AC12">
        <v>512077.68339999998</v>
      </c>
      <c r="AD12">
        <v>517978.09850000002</v>
      </c>
      <c r="AE12">
        <v>523946.5012</v>
      </c>
      <c r="AF12">
        <v>529983.67469999997</v>
      </c>
      <c r="AG12">
        <v>536090.41159999999</v>
      </c>
      <c r="AH12">
        <v>542267.51340000005</v>
      </c>
      <c r="AI12">
        <v>548515.79079999996</v>
      </c>
      <c r="AJ12">
        <v>554836.06400000001</v>
      </c>
      <c r="AK12">
        <v>561229.16260000004</v>
      </c>
    </row>
    <row r="13" spans="1:37" x14ac:dyDescent="0.45">
      <c r="A13" t="s">
        <v>74</v>
      </c>
      <c r="B13">
        <v>11898</v>
      </c>
      <c r="C13">
        <v>12035.094709999999</v>
      </c>
      <c r="D13">
        <v>12173.76908</v>
      </c>
      <c r="E13">
        <v>12314.04134</v>
      </c>
      <c r="F13">
        <v>12455.92988</v>
      </c>
      <c r="G13">
        <v>12599.45333</v>
      </c>
      <c r="H13">
        <v>12744.63053</v>
      </c>
      <c r="I13">
        <v>12891.48054</v>
      </c>
      <c r="J13">
        <v>13040.02262</v>
      </c>
      <c r="K13">
        <v>13190.27628</v>
      </c>
      <c r="L13">
        <v>13342.26124</v>
      </c>
      <c r="M13">
        <v>13495.997450000001</v>
      </c>
      <c r="N13">
        <v>13651.505080000001</v>
      </c>
      <c r="O13">
        <v>13808.804550000001</v>
      </c>
      <c r="P13">
        <v>13967.916499999999</v>
      </c>
      <c r="Q13">
        <v>14128.86181</v>
      </c>
      <c r="R13">
        <v>14291.661620000001</v>
      </c>
      <c r="S13">
        <v>14456.337289999999</v>
      </c>
      <c r="T13">
        <v>14622.91044</v>
      </c>
      <c r="U13">
        <v>14791.40293</v>
      </c>
      <c r="V13">
        <v>14961.836869999999</v>
      </c>
      <c r="W13">
        <v>15134.234630000001</v>
      </c>
      <c r="X13">
        <v>15308.618850000001</v>
      </c>
      <c r="Y13">
        <v>15485.012409999999</v>
      </c>
      <c r="Z13">
        <v>15663.438469999999</v>
      </c>
      <c r="AA13">
        <v>15843.92044</v>
      </c>
      <c r="AB13">
        <v>16026.48201</v>
      </c>
      <c r="AC13">
        <v>16211.147150000001</v>
      </c>
      <c r="AD13">
        <v>16397.94009</v>
      </c>
      <c r="AE13">
        <v>16586.88536</v>
      </c>
      <c r="AF13">
        <v>16778.007740000001</v>
      </c>
      <c r="AG13">
        <v>16971.332340000001</v>
      </c>
      <c r="AH13">
        <v>17166.88452</v>
      </c>
      <c r="AI13">
        <v>17364.68994</v>
      </c>
      <c r="AJ13">
        <v>17564.774580000001</v>
      </c>
      <c r="AK13">
        <v>17767.164700000001</v>
      </c>
    </row>
    <row r="14" spans="1:37" x14ac:dyDescent="0.45">
      <c r="A14" t="s">
        <v>75</v>
      </c>
      <c r="B14">
        <v>1867</v>
      </c>
      <c r="C14">
        <v>1888.5125069999999</v>
      </c>
      <c r="D14">
        <v>1910.2728930000001</v>
      </c>
      <c r="E14">
        <v>1932.2840120000001</v>
      </c>
      <c r="F14">
        <v>1954.548755</v>
      </c>
      <c r="G14">
        <v>1977.0700429999999</v>
      </c>
      <c r="H14">
        <v>1999.8508320000001</v>
      </c>
      <c r="I14">
        <v>2022.8941139999999</v>
      </c>
      <c r="J14">
        <v>2046.2029110000001</v>
      </c>
      <c r="K14">
        <v>2069.7802839999999</v>
      </c>
      <c r="L14">
        <v>2093.6293270000001</v>
      </c>
      <c r="M14">
        <v>2117.7531709999998</v>
      </c>
      <c r="N14">
        <v>2142.154982</v>
      </c>
      <c r="O14">
        <v>2166.8379629999999</v>
      </c>
      <c r="P14">
        <v>2191.8053540000001</v>
      </c>
      <c r="Q14">
        <v>2217.0604309999999</v>
      </c>
      <c r="R14">
        <v>2242.6065100000001</v>
      </c>
      <c r="S14">
        <v>2268.4469429999999</v>
      </c>
      <c r="T14">
        <v>2294.5851229999998</v>
      </c>
      <c r="U14">
        <v>2321.02448</v>
      </c>
      <c r="V14">
        <v>2347.7684850000001</v>
      </c>
      <c r="W14">
        <v>2374.820647</v>
      </c>
      <c r="X14">
        <v>2402.184518</v>
      </c>
      <c r="Y14">
        <v>2429.8636889999998</v>
      </c>
      <c r="Z14">
        <v>2457.861793</v>
      </c>
      <c r="AA14">
        <v>2486.1825060000001</v>
      </c>
      <c r="AB14">
        <v>2514.8295440000002</v>
      </c>
      <c r="AC14">
        <v>2543.8066669999998</v>
      </c>
      <c r="AD14">
        <v>2573.1176799999998</v>
      </c>
      <c r="AE14">
        <v>2602.7664279999999</v>
      </c>
      <c r="AF14">
        <v>2632.7568040000001</v>
      </c>
      <c r="AG14">
        <v>2663.0927449999999</v>
      </c>
      <c r="AH14">
        <v>2693.7782309999998</v>
      </c>
      <c r="AI14">
        <v>2724.81729</v>
      </c>
      <c r="AJ14">
        <v>2756.2139980000002</v>
      </c>
      <c r="AK14">
        <v>2787.9724729999998</v>
      </c>
    </row>
    <row r="15" spans="1:37" x14ac:dyDescent="0.45">
      <c r="A15" t="s">
        <v>76</v>
      </c>
      <c r="B15">
        <v>9497</v>
      </c>
      <c r="C15">
        <v>9606.4291830000002</v>
      </c>
      <c r="D15">
        <v>9717.1192630000005</v>
      </c>
      <c r="E15">
        <v>9829.0847699999995</v>
      </c>
      <c r="F15">
        <v>9942.3403990000006</v>
      </c>
      <c r="G15">
        <v>10056.901019999999</v>
      </c>
      <c r="H15">
        <v>10172.781660000001</v>
      </c>
      <c r="I15">
        <v>10289.997530000001</v>
      </c>
      <c r="J15">
        <v>10408.56403</v>
      </c>
      <c r="K15">
        <v>10528.496709999999</v>
      </c>
      <c r="L15">
        <v>10649.811309999999</v>
      </c>
      <c r="M15">
        <v>10772.52376</v>
      </c>
      <c r="N15">
        <v>10896.650170000001</v>
      </c>
      <c r="O15">
        <v>11022.206819999999</v>
      </c>
      <c r="P15">
        <v>11149.2102</v>
      </c>
      <c r="Q15">
        <v>11277.67697</v>
      </c>
      <c r="R15">
        <v>11407.62401</v>
      </c>
      <c r="S15">
        <v>11539.06835</v>
      </c>
      <c r="T15">
        <v>11672.02727</v>
      </c>
      <c r="U15">
        <v>11806.5182</v>
      </c>
      <c r="V15">
        <v>11942.55881</v>
      </c>
      <c r="W15">
        <v>12080.166939999999</v>
      </c>
      <c r="X15">
        <v>12219.36067</v>
      </c>
      <c r="Y15">
        <v>12360.15825</v>
      </c>
      <c r="Z15">
        <v>12502.578170000001</v>
      </c>
      <c r="AA15">
        <v>12646.63913</v>
      </c>
      <c r="AB15">
        <v>12792.36003</v>
      </c>
      <c r="AC15">
        <v>12939.76</v>
      </c>
      <c r="AD15">
        <v>13088.85838</v>
      </c>
      <c r="AE15">
        <v>13239.67476</v>
      </c>
      <c r="AF15">
        <v>13392.22891</v>
      </c>
      <c r="AG15">
        <v>13546.540870000001</v>
      </c>
      <c r="AH15">
        <v>13702.630880000001</v>
      </c>
      <c r="AI15">
        <v>13860.51945</v>
      </c>
      <c r="AJ15">
        <v>14020.227279999999</v>
      </c>
      <c r="AK15">
        <v>14181.77535</v>
      </c>
    </row>
    <row r="16" spans="1:37" x14ac:dyDescent="0.45">
      <c r="A16" t="s">
        <v>77</v>
      </c>
      <c r="B16">
        <v>2746</v>
      </c>
      <c r="C16">
        <v>2777.6407850000001</v>
      </c>
      <c r="D16">
        <v>2809.6461509999999</v>
      </c>
      <c r="E16">
        <v>2842.0202989999998</v>
      </c>
      <c r="F16">
        <v>2874.7674780000002</v>
      </c>
      <c r="G16">
        <v>2907.8919860000001</v>
      </c>
      <c r="H16">
        <v>2941.3981709999998</v>
      </c>
      <c r="I16">
        <v>2975.2904319999998</v>
      </c>
      <c r="J16">
        <v>3009.5732159999998</v>
      </c>
      <c r="K16">
        <v>3044.2510229999998</v>
      </c>
      <c r="L16">
        <v>3079.3284060000001</v>
      </c>
      <c r="M16">
        <v>3114.8099670000001</v>
      </c>
      <c r="N16">
        <v>3150.7003650000001</v>
      </c>
      <c r="O16">
        <v>3187.0043099999998</v>
      </c>
      <c r="P16">
        <v>3223.7265670000002</v>
      </c>
      <c r="Q16">
        <v>3260.8719569999998</v>
      </c>
      <c r="R16">
        <v>3298.445354</v>
      </c>
      <c r="S16">
        <v>3336.4516899999999</v>
      </c>
      <c r="T16">
        <v>3374.895955</v>
      </c>
      <c r="U16">
        <v>3413.7831940000001</v>
      </c>
      <c r="V16">
        <v>3453.1185110000001</v>
      </c>
      <c r="W16">
        <v>3492.9070689999999</v>
      </c>
      <c r="X16">
        <v>3533.15409</v>
      </c>
      <c r="Y16">
        <v>3573.8648579999999</v>
      </c>
      <c r="Z16">
        <v>3615.0447159999999</v>
      </c>
      <c r="AA16">
        <v>3656.6990689999998</v>
      </c>
      <c r="AB16">
        <v>3698.833384</v>
      </c>
      <c r="AC16">
        <v>3741.4531919999999</v>
      </c>
      <c r="AD16">
        <v>3784.5640859999999</v>
      </c>
      <c r="AE16">
        <v>3828.171726</v>
      </c>
      <c r="AF16">
        <v>3872.2818339999999</v>
      </c>
      <c r="AG16">
        <v>3916.9002019999998</v>
      </c>
      <c r="AH16">
        <v>3962.0326839999998</v>
      </c>
      <c r="AI16">
        <v>4007.6852060000001</v>
      </c>
      <c r="AJ16">
        <v>4053.8637589999998</v>
      </c>
      <c r="AK16">
        <v>4100.574404</v>
      </c>
    </row>
    <row r="17" spans="1:37" x14ac:dyDescent="0.45">
      <c r="A17" t="s">
        <v>78</v>
      </c>
      <c r="B17">
        <v>1631</v>
      </c>
      <c r="C17">
        <v>1649.793197</v>
      </c>
      <c r="D17">
        <v>1668.80294</v>
      </c>
      <c r="E17">
        <v>1688.0317210000001</v>
      </c>
      <c r="F17">
        <v>1707.4820669999999</v>
      </c>
      <c r="G17">
        <v>1727.1565290000001</v>
      </c>
      <c r="H17">
        <v>1747.0576900000001</v>
      </c>
      <c r="I17">
        <v>1767.1881619999999</v>
      </c>
      <c r="J17">
        <v>1787.5505880000001</v>
      </c>
      <c r="K17">
        <v>1808.1476399999999</v>
      </c>
      <c r="L17">
        <v>1828.982021</v>
      </c>
      <c r="M17">
        <v>1850.056466</v>
      </c>
      <c r="N17">
        <v>1871.373742</v>
      </c>
      <c r="O17">
        <v>1892.9366460000001</v>
      </c>
      <c r="P17">
        <v>1914.748008</v>
      </c>
      <c r="Q17">
        <v>1936.810692</v>
      </c>
      <c r="R17">
        <v>1959.127594</v>
      </c>
      <c r="S17">
        <v>1981.7016410000001</v>
      </c>
      <c r="T17">
        <v>2004.5357980000001</v>
      </c>
      <c r="U17">
        <v>2027.6330620000001</v>
      </c>
      <c r="V17">
        <v>2050.9964639999998</v>
      </c>
      <c r="W17">
        <v>2074.6290709999998</v>
      </c>
      <c r="X17">
        <v>2098.5339840000001</v>
      </c>
      <c r="Y17">
        <v>2122.7143420000002</v>
      </c>
      <c r="Z17">
        <v>2147.1733180000001</v>
      </c>
      <c r="AA17">
        <v>2171.914123</v>
      </c>
      <c r="AB17">
        <v>2196.9400030000002</v>
      </c>
      <c r="AC17">
        <v>2222.2542440000002</v>
      </c>
      <c r="AD17">
        <v>2247.860169</v>
      </c>
      <c r="AE17">
        <v>2273.7611379999998</v>
      </c>
      <c r="AF17">
        <v>2299.9605499999998</v>
      </c>
      <c r="AG17">
        <v>2326.4618460000002</v>
      </c>
      <c r="AH17">
        <v>2353.2685029999998</v>
      </c>
      <c r="AI17">
        <v>2380.384039</v>
      </c>
      <c r="AJ17">
        <v>2407.8120140000001</v>
      </c>
      <c r="AK17">
        <v>2435.556028</v>
      </c>
    </row>
    <row r="18" spans="1:37" x14ac:dyDescent="0.45">
      <c r="A18" t="s">
        <v>79</v>
      </c>
      <c r="B18">
        <v>3849</v>
      </c>
      <c r="C18">
        <v>3893.3501019999999</v>
      </c>
      <c r="D18">
        <v>3938.211229</v>
      </c>
      <c r="E18">
        <v>3983.5892680000002</v>
      </c>
      <c r="F18">
        <v>4029.4901749999999</v>
      </c>
      <c r="G18">
        <v>4075.9199760000001</v>
      </c>
      <c r="H18">
        <v>4122.8847640000004</v>
      </c>
      <c r="I18">
        <v>4170.390703</v>
      </c>
      <c r="J18">
        <v>4218.4440299999997</v>
      </c>
      <c r="K18">
        <v>4267.0510519999998</v>
      </c>
      <c r="L18">
        <v>4316.2181469999996</v>
      </c>
      <c r="M18">
        <v>4365.951771</v>
      </c>
      <c r="N18">
        <v>4416.2584500000003</v>
      </c>
      <c r="O18">
        <v>4467.1447879999996</v>
      </c>
      <c r="P18">
        <v>4518.6174639999999</v>
      </c>
      <c r="Q18">
        <v>4570.6832340000001</v>
      </c>
      <c r="R18">
        <v>4623.3489319999999</v>
      </c>
      <c r="S18">
        <v>4676.62147</v>
      </c>
      <c r="T18">
        <v>4730.5078400000002</v>
      </c>
      <c r="U18">
        <v>4785.0151169999999</v>
      </c>
      <c r="V18">
        <v>4840.1504539999996</v>
      </c>
      <c r="W18">
        <v>4895.9210869999997</v>
      </c>
      <c r="X18">
        <v>4952.3343379999997</v>
      </c>
      <c r="Y18">
        <v>5009.3976110000003</v>
      </c>
      <c r="Z18">
        <v>5067.1183950000004</v>
      </c>
      <c r="AA18">
        <v>5125.5042659999999</v>
      </c>
      <c r="AB18">
        <v>5184.5628889999998</v>
      </c>
      <c r="AC18">
        <v>5244.3020150000002</v>
      </c>
      <c r="AD18">
        <v>5304.7294849999998</v>
      </c>
      <c r="AE18">
        <v>5365.8532310000001</v>
      </c>
      <c r="AF18">
        <v>5427.6812739999996</v>
      </c>
      <c r="AG18">
        <v>5490.221732</v>
      </c>
      <c r="AH18">
        <v>5553.4828120000002</v>
      </c>
      <c r="AI18">
        <v>5617.4728180000002</v>
      </c>
      <c r="AJ18">
        <v>5682.2001479999999</v>
      </c>
      <c r="AK18">
        <v>5747.673299</v>
      </c>
    </row>
    <row r="19" spans="1:37" x14ac:dyDescent="0.45">
      <c r="A19" t="s">
        <v>80</v>
      </c>
      <c r="B19">
        <v>14500</v>
      </c>
      <c r="C19">
        <v>14667.07625</v>
      </c>
      <c r="D19">
        <v>14836.07764</v>
      </c>
      <c r="E19">
        <v>15007.02634</v>
      </c>
      <c r="F19">
        <v>15179.944799999999</v>
      </c>
      <c r="G19">
        <v>15354.85572</v>
      </c>
      <c r="H19">
        <v>15531.78204</v>
      </c>
      <c r="I19">
        <v>15710.746999999999</v>
      </c>
      <c r="J19">
        <v>15891.774079999999</v>
      </c>
      <c r="K19">
        <v>16074.887049999999</v>
      </c>
      <c r="L19">
        <v>16260.109930000001</v>
      </c>
      <c r="M19">
        <v>16447.467049999999</v>
      </c>
      <c r="N19">
        <v>16636.98299</v>
      </c>
      <c r="O19">
        <v>16828.682629999999</v>
      </c>
      <c r="P19">
        <v>17022.591120000001</v>
      </c>
      <c r="Q19">
        <v>17218.733929999999</v>
      </c>
      <c r="R19">
        <v>17417.13679</v>
      </c>
      <c r="S19">
        <v>17617.82575</v>
      </c>
      <c r="T19">
        <v>17820.827150000001</v>
      </c>
      <c r="U19">
        <v>18026.16763</v>
      </c>
      <c r="V19">
        <v>18233.87414</v>
      </c>
      <c r="W19">
        <v>18443.973959999999</v>
      </c>
      <c r="X19">
        <v>18656.494650000001</v>
      </c>
      <c r="Y19">
        <v>18871.464110000001</v>
      </c>
      <c r="Z19">
        <v>19088.910550000001</v>
      </c>
      <c r="AA19">
        <v>19308.862529999999</v>
      </c>
      <c r="AB19">
        <v>19531.348890000001</v>
      </c>
      <c r="AC19">
        <v>19756.398860000001</v>
      </c>
      <c r="AD19">
        <v>19984.041969999998</v>
      </c>
      <c r="AE19">
        <v>20214.308089999999</v>
      </c>
      <c r="AF19">
        <v>20447.227459999998</v>
      </c>
      <c r="AG19">
        <v>20682.83064</v>
      </c>
      <c r="AH19">
        <v>20921.148550000002</v>
      </c>
      <c r="AI19">
        <v>21162.212490000002</v>
      </c>
      <c r="AJ19">
        <v>21406.054080000002</v>
      </c>
      <c r="AK19">
        <v>21652.70534</v>
      </c>
    </row>
    <row r="20" spans="1:37" x14ac:dyDescent="0.45">
      <c r="A20" t="s">
        <v>81</v>
      </c>
      <c r="B20">
        <v>1504</v>
      </c>
      <c r="C20">
        <v>1521.3298400000001</v>
      </c>
      <c r="D20">
        <v>1538.859363</v>
      </c>
      <c r="E20">
        <v>1556.59087</v>
      </c>
      <c r="F20">
        <v>1574.5266879999999</v>
      </c>
      <c r="G20">
        <v>1592.6691719999999</v>
      </c>
      <c r="H20">
        <v>1611.0207029999999</v>
      </c>
      <c r="I20">
        <v>1629.583689</v>
      </c>
      <c r="J20">
        <v>1648.3605669999999</v>
      </c>
      <c r="K20">
        <v>1667.353801</v>
      </c>
      <c r="L20">
        <v>1686.5658860000001</v>
      </c>
      <c r="M20">
        <v>1705.999341</v>
      </c>
      <c r="N20">
        <v>1725.656718</v>
      </c>
      <c r="O20">
        <v>1745.540598</v>
      </c>
      <c r="P20">
        <v>1765.6535899999999</v>
      </c>
      <c r="Q20">
        <v>1785.998333</v>
      </c>
      <c r="R20">
        <v>1806.577499</v>
      </c>
      <c r="S20">
        <v>1827.3937880000001</v>
      </c>
      <c r="T20">
        <v>1848.4499330000001</v>
      </c>
      <c r="U20">
        <v>1869.748697</v>
      </c>
      <c r="V20">
        <v>1891.2928770000001</v>
      </c>
      <c r="W20">
        <v>1913.0852990000001</v>
      </c>
      <c r="X20">
        <v>1935.1288239999999</v>
      </c>
      <c r="Y20">
        <v>1957.426346</v>
      </c>
      <c r="Z20">
        <v>1979.980791</v>
      </c>
      <c r="AA20">
        <v>2002.79512</v>
      </c>
      <c r="AB20">
        <v>2025.872327</v>
      </c>
      <c r="AC20">
        <v>2049.2154409999998</v>
      </c>
      <c r="AD20">
        <v>2072.8275250000002</v>
      </c>
      <c r="AE20">
        <v>2096.7116810000002</v>
      </c>
      <c r="AF20">
        <v>2120.8710409999999</v>
      </c>
      <c r="AG20">
        <v>2145.3087770000002</v>
      </c>
      <c r="AH20">
        <v>2170.0280980000002</v>
      </c>
      <c r="AI20">
        <v>2195.0322470000001</v>
      </c>
      <c r="AJ20">
        <v>2220.3245059999999</v>
      </c>
      <c r="AK20">
        <v>2245.908195</v>
      </c>
    </row>
    <row r="21" spans="1:37" x14ac:dyDescent="0.45">
      <c r="A21" t="s">
        <v>82</v>
      </c>
      <c r="B21">
        <v>22611</v>
      </c>
      <c r="C21">
        <v>22871.535250000001</v>
      </c>
      <c r="D21">
        <v>23135.072510000002</v>
      </c>
      <c r="E21">
        <v>23401.646390000002</v>
      </c>
      <c r="F21">
        <v>23671.291860000001</v>
      </c>
      <c r="G21">
        <v>23944.044320000001</v>
      </c>
      <c r="H21">
        <v>24219.939569999999</v>
      </c>
      <c r="I21">
        <v>24499.01382</v>
      </c>
      <c r="J21">
        <v>24781.30371</v>
      </c>
      <c r="K21">
        <v>25066.846280000002</v>
      </c>
      <c r="L21">
        <v>25355.67902</v>
      </c>
      <c r="M21">
        <v>25647.839830000001</v>
      </c>
      <c r="N21">
        <v>25943.36706</v>
      </c>
      <c r="O21">
        <v>26242.299510000001</v>
      </c>
      <c r="P21">
        <v>26544.67641</v>
      </c>
      <c r="Q21">
        <v>26850.53744</v>
      </c>
      <c r="R21">
        <v>27159.922760000001</v>
      </c>
      <c r="S21">
        <v>27472.87297</v>
      </c>
      <c r="T21">
        <v>27789.42915</v>
      </c>
      <c r="U21">
        <v>28109.632839999998</v>
      </c>
      <c r="V21">
        <v>28433.526089999999</v>
      </c>
      <c r="W21">
        <v>28761.151389999999</v>
      </c>
      <c r="X21">
        <v>29092.551759999998</v>
      </c>
      <c r="Y21">
        <v>29427.770690000001</v>
      </c>
      <c r="Z21">
        <v>29766.852180000002</v>
      </c>
      <c r="AA21">
        <v>30109.84073</v>
      </c>
      <c r="AB21">
        <v>30456.781370000001</v>
      </c>
      <c r="AC21">
        <v>30807.71963</v>
      </c>
      <c r="AD21">
        <v>31162.701580000001</v>
      </c>
      <c r="AE21">
        <v>31521.773809999999</v>
      </c>
      <c r="AF21">
        <v>31884.98345</v>
      </c>
      <c r="AG21">
        <v>32252.37817</v>
      </c>
      <c r="AH21">
        <v>32624.0062</v>
      </c>
      <c r="AI21">
        <v>32999.916310000001</v>
      </c>
      <c r="AJ21">
        <v>33380.157850000003</v>
      </c>
      <c r="AK21">
        <v>33764.780720000002</v>
      </c>
    </row>
    <row r="22" spans="1:37" x14ac:dyDescent="0.45">
      <c r="A22" t="s">
        <v>83</v>
      </c>
      <c r="B22">
        <v>4172</v>
      </c>
      <c r="C22">
        <v>4220.0718699999998</v>
      </c>
      <c r="D22">
        <v>4268.6976480000003</v>
      </c>
      <c r="E22">
        <v>4317.8837169999997</v>
      </c>
      <c r="F22">
        <v>4367.6365320000004</v>
      </c>
      <c r="G22">
        <v>4417.9626239999998</v>
      </c>
      <c r="H22">
        <v>4468.868598</v>
      </c>
      <c r="I22">
        <v>4520.3611369999999</v>
      </c>
      <c r="J22">
        <v>4572.4469980000003</v>
      </c>
      <c r="K22">
        <v>4625.1330180000004</v>
      </c>
      <c r="L22">
        <v>4678.4261139999999</v>
      </c>
      <c r="M22">
        <v>4732.3332790000004</v>
      </c>
      <c r="N22">
        <v>4786.8615890000001</v>
      </c>
      <c r="O22">
        <v>4842.0182009999999</v>
      </c>
      <c r="P22">
        <v>4897.810356</v>
      </c>
      <c r="Q22">
        <v>4954.2453759999999</v>
      </c>
      <c r="R22">
        <v>5011.3306679999996</v>
      </c>
      <c r="S22">
        <v>5069.0737259999996</v>
      </c>
      <c r="T22">
        <v>5127.4821279999996</v>
      </c>
      <c r="U22">
        <v>5186.5635410000004</v>
      </c>
      <c r="V22">
        <v>5246.3257190000004</v>
      </c>
      <c r="W22">
        <v>5306.7765069999996</v>
      </c>
      <c r="X22">
        <v>5367.9238400000004</v>
      </c>
      <c r="Y22">
        <v>5429.7757419999998</v>
      </c>
      <c r="Z22">
        <v>5492.3403330000001</v>
      </c>
      <c r="AA22">
        <v>5555.6258250000001</v>
      </c>
      <c r="AB22">
        <v>5619.640523</v>
      </c>
      <c r="AC22">
        <v>5684.3928310000001</v>
      </c>
      <c r="AD22">
        <v>5749.8912479999999</v>
      </c>
      <c r="AE22">
        <v>5816.1443689999996</v>
      </c>
      <c r="AF22">
        <v>5883.1608930000002</v>
      </c>
      <c r="AG22">
        <v>5950.9496140000001</v>
      </c>
      <c r="AH22">
        <v>6019.5194309999997</v>
      </c>
      <c r="AI22">
        <v>6088.8793439999999</v>
      </c>
      <c r="AJ22">
        <v>6159.0384560000002</v>
      </c>
      <c r="AK22">
        <v>6230.0059769999998</v>
      </c>
    </row>
    <row r="23" spans="1:37" x14ac:dyDescent="0.45">
      <c r="A23" t="s">
        <v>84</v>
      </c>
      <c r="B23">
        <v>24013</v>
      </c>
      <c r="C23">
        <v>24289.68979</v>
      </c>
      <c r="D23">
        <v>24569.567739999999</v>
      </c>
      <c r="E23">
        <v>24852.670590000002</v>
      </c>
      <c r="F23">
        <v>25139.035479999999</v>
      </c>
      <c r="G23">
        <v>25428.70002</v>
      </c>
      <c r="H23">
        <v>25721.702219999999</v>
      </c>
      <c r="I23">
        <v>26018.080529999999</v>
      </c>
      <c r="J23">
        <v>26317.87386</v>
      </c>
      <c r="K23">
        <v>26621.121569999999</v>
      </c>
      <c r="L23">
        <v>26927.863440000001</v>
      </c>
      <c r="M23">
        <v>27238.139749999998</v>
      </c>
      <c r="N23">
        <v>27551.99121</v>
      </c>
      <c r="O23">
        <v>27869.459030000002</v>
      </c>
      <c r="P23">
        <v>28190.584869999999</v>
      </c>
      <c r="Q23">
        <v>28515.410889999999</v>
      </c>
      <c r="R23">
        <v>28843.97971</v>
      </c>
      <c r="S23">
        <v>29176.334459999998</v>
      </c>
      <c r="T23">
        <v>29512.518779999999</v>
      </c>
      <c r="U23">
        <v>29852.576779999999</v>
      </c>
      <c r="V23">
        <v>30196.553090000001</v>
      </c>
      <c r="W23">
        <v>30544.492869999998</v>
      </c>
      <c r="X23">
        <v>30896.441790000001</v>
      </c>
      <c r="Y23">
        <v>31252.446039999999</v>
      </c>
      <c r="Z23">
        <v>31612.552350000002</v>
      </c>
      <c r="AA23">
        <v>31976.807990000001</v>
      </c>
      <c r="AB23">
        <v>32345.260760000001</v>
      </c>
      <c r="AC23">
        <v>32717.959030000002</v>
      </c>
      <c r="AD23">
        <v>33094.951710000001</v>
      </c>
      <c r="AE23">
        <v>33476.288289999997</v>
      </c>
      <c r="AF23">
        <v>33862.018819999998</v>
      </c>
      <c r="AG23">
        <v>34252.193930000001</v>
      </c>
      <c r="AH23">
        <v>34646.864840000002</v>
      </c>
      <c r="AI23">
        <v>35046.083339999997</v>
      </c>
      <c r="AJ23">
        <v>35449.901830000003</v>
      </c>
      <c r="AK23">
        <v>35858.373330000002</v>
      </c>
    </row>
    <row r="24" spans="1:37" x14ac:dyDescent="0.45">
      <c r="A24" t="s">
        <v>85</v>
      </c>
      <c r="B24">
        <v>16328</v>
      </c>
      <c r="C24">
        <v>16516.139380000001</v>
      </c>
      <c r="D24">
        <v>16706.446599999999</v>
      </c>
      <c r="E24">
        <v>16898.946629999999</v>
      </c>
      <c r="F24">
        <v>17093.66474</v>
      </c>
      <c r="G24">
        <v>17290.626489999999</v>
      </c>
      <c r="H24">
        <v>17489.857739999999</v>
      </c>
      <c r="I24">
        <v>17691.384620000001</v>
      </c>
      <c r="J24">
        <v>17895.2336</v>
      </c>
      <c r="K24">
        <v>18101.431430000001</v>
      </c>
      <c r="L24">
        <v>18310.00517</v>
      </c>
      <c r="M24">
        <v>18520.982209999998</v>
      </c>
      <c r="N24">
        <v>18734.390230000001</v>
      </c>
      <c r="O24">
        <v>18950.257239999999</v>
      </c>
      <c r="P24">
        <v>19168.611580000001</v>
      </c>
      <c r="Q24">
        <v>19389.481899999999</v>
      </c>
      <c r="R24">
        <v>19612.897209999999</v>
      </c>
      <c r="S24">
        <v>19838.88682</v>
      </c>
      <c r="T24">
        <v>20067.480390000001</v>
      </c>
      <c r="U24">
        <v>20298.70793</v>
      </c>
      <c r="V24">
        <v>20532.5998</v>
      </c>
      <c r="W24">
        <v>20769.186679999999</v>
      </c>
      <c r="X24">
        <v>21008.499629999998</v>
      </c>
      <c r="Y24">
        <v>21250.570070000002</v>
      </c>
      <c r="Z24">
        <v>21495.429759999999</v>
      </c>
      <c r="AA24">
        <v>21743.110850000001</v>
      </c>
      <c r="AB24">
        <v>21993.645840000001</v>
      </c>
      <c r="AC24">
        <v>22247.067630000001</v>
      </c>
      <c r="AD24">
        <v>22503.409469999999</v>
      </c>
      <c r="AE24">
        <v>22762.705000000002</v>
      </c>
      <c r="AF24">
        <v>23024.988270000002</v>
      </c>
      <c r="AG24">
        <v>23290.293699999998</v>
      </c>
      <c r="AH24">
        <v>23558.65611</v>
      </c>
      <c r="AI24">
        <v>23830.110720000001</v>
      </c>
      <c r="AJ24">
        <v>24104.693169999999</v>
      </c>
      <c r="AK24">
        <v>24382.4395</v>
      </c>
    </row>
    <row r="25" spans="1:37" x14ac:dyDescent="0.45">
      <c r="A25" t="s">
        <v>86</v>
      </c>
      <c r="B25">
        <v>3106</v>
      </c>
      <c r="C25">
        <v>3141.7888849999999</v>
      </c>
      <c r="D25">
        <v>3177.990147</v>
      </c>
      <c r="E25">
        <v>3214.6085389999998</v>
      </c>
      <c r="F25">
        <v>3251.648866</v>
      </c>
      <c r="G25">
        <v>3289.1159899999998</v>
      </c>
      <c r="H25">
        <v>3327.0148290000002</v>
      </c>
      <c r="I25">
        <v>3365.3503569999998</v>
      </c>
      <c r="J25">
        <v>3404.1276069999999</v>
      </c>
      <c r="K25">
        <v>3443.3516669999999</v>
      </c>
      <c r="L25">
        <v>3483.0276869999998</v>
      </c>
      <c r="M25">
        <v>3523.1608729999998</v>
      </c>
      <c r="N25">
        <v>3563.7564940000002</v>
      </c>
      <c r="O25">
        <v>3604.8198790000001</v>
      </c>
      <c r="P25">
        <v>3646.3564160000001</v>
      </c>
      <c r="Q25">
        <v>3688.3715579999998</v>
      </c>
      <c r="R25">
        <v>3730.8708190000002</v>
      </c>
      <c r="S25">
        <v>3773.859778</v>
      </c>
      <c r="T25">
        <v>3817.3440770000002</v>
      </c>
      <c r="U25">
        <v>3861.329424</v>
      </c>
      <c r="V25">
        <v>3905.8215930000001</v>
      </c>
      <c r="W25">
        <v>3950.8264220000001</v>
      </c>
      <c r="X25">
        <v>3996.349819</v>
      </c>
      <c r="Y25">
        <v>4042.3977599999998</v>
      </c>
      <c r="Z25">
        <v>4088.9762879999998</v>
      </c>
      <c r="AA25">
        <v>4136.0915180000002</v>
      </c>
      <c r="AB25">
        <v>4183.749632</v>
      </c>
      <c r="AC25">
        <v>4231.9568870000003</v>
      </c>
      <c r="AD25">
        <v>4280.7196110000004</v>
      </c>
      <c r="AE25">
        <v>4330.044202</v>
      </c>
      <c r="AF25">
        <v>4379.9371369999999</v>
      </c>
      <c r="AG25">
        <v>4430.4049619999996</v>
      </c>
      <c r="AH25">
        <v>4481.4543039999999</v>
      </c>
      <c r="AI25">
        <v>4533.0918609999999</v>
      </c>
      <c r="AJ25">
        <v>4585.3244119999999</v>
      </c>
      <c r="AK25">
        <v>4638.1588119999997</v>
      </c>
    </row>
    <row r="26" spans="1:37" x14ac:dyDescent="0.45">
      <c r="A26" t="s">
        <v>87</v>
      </c>
      <c r="B26">
        <v>3546</v>
      </c>
      <c r="C26">
        <v>3586.8587849999999</v>
      </c>
      <c r="D26">
        <v>3628.188365</v>
      </c>
      <c r="E26">
        <v>3669.994166</v>
      </c>
      <c r="F26">
        <v>3712.2816739999998</v>
      </c>
      <c r="G26">
        <v>3755.056439</v>
      </c>
      <c r="H26">
        <v>3798.3240770000002</v>
      </c>
      <c r="I26">
        <v>3842.0902660000002</v>
      </c>
      <c r="J26">
        <v>3886.3607510000002</v>
      </c>
      <c r="K26">
        <v>3931.1413429999998</v>
      </c>
      <c r="L26">
        <v>3976.437919</v>
      </c>
      <c r="M26">
        <v>4022.256425</v>
      </c>
      <c r="N26">
        <v>4068.602875</v>
      </c>
      <c r="O26">
        <v>4115.4833509999999</v>
      </c>
      <c r="P26">
        <v>4162.9040080000004</v>
      </c>
      <c r="Q26">
        <v>4210.8710700000001</v>
      </c>
      <c r="R26">
        <v>4259.390832</v>
      </c>
      <c r="S26">
        <v>4308.4696629999999</v>
      </c>
      <c r="T26">
        <v>4358.114004</v>
      </c>
      <c r="U26">
        <v>4408.3303729999998</v>
      </c>
      <c r="V26">
        <v>4459.12536</v>
      </c>
      <c r="W26">
        <v>4510.5056320000003</v>
      </c>
      <c r="X26">
        <v>4562.4779330000001</v>
      </c>
      <c r="Y26">
        <v>4615.0490849999996</v>
      </c>
      <c r="Z26">
        <v>4668.2259880000001</v>
      </c>
      <c r="AA26">
        <v>4722.0156219999999</v>
      </c>
      <c r="AB26">
        <v>4776.4250469999997</v>
      </c>
      <c r="AC26">
        <v>4831.4614039999997</v>
      </c>
      <c r="AD26">
        <v>4887.1319190000004</v>
      </c>
      <c r="AE26">
        <v>4943.4438959999998</v>
      </c>
      <c r="AF26">
        <v>5000.4047280000004</v>
      </c>
      <c r="AG26">
        <v>5058.0218919999998</v>
      </c>
      <c r="AH26">
        <v>5116.3029489999999</v>
      </c>
      <c r="AI26">
        <v>5175.2555499999999</v>
      </c>
      <c r="AJ26">
        <v>5234.8874320000004</v>
      </c>
      <c r="AK26">
        <v>5295.2064220000002</v>
      </c>
    </row>
    <row r="27" spans="1:37" x14ac:dyDescent="0.45">
      <c r="A27" t="s">
        <v>88</v>
      </c>
      <c r="B27">
        <v>56470</v>
      </c>
      <c r="C27">
        <v>57120.675580000003</v>
      </c>
      <c r="D27">
        <v>57778.848559999999</v>
      </c>
      <c r="E27">
        <v>58444.605340000002</v>
      </c>
      <c r="F27">
        <v>59118.033309999999</v>
      </c>
      <c r="G27">
        <v>59799.220849999998</v>
      </c>
      <c r="H27">
        <v>60488.257369999999</v>
      </c>
      <c r="I27">
        <v>61185.233310000003</v>
      </c>
      <c r="J27">
        <v>61890.240169999997</v>
      </c>
      <c r="K27">
        <v>62603.370459999998</v>
      </c>
      <c r="L27">
        <v>63324.717790000002</v>
      </c>
      <c r="M27">
        <v>64054.376859999997</v>
      </c>
      <c r="N27">
        <v>64792.44341</v>
      </c>
      <c r="O27">
        <v>65539.014339999994</v>
      </c>
      <c r="P27">
        <v>66294.187640000004</v>
      </c>
      <c r="Q27">
        <v>67058.062409999999</v>
      </c>
      <c r="R27">
        <v>67830.738939999996</v>
      </c>
      <c r="S27">
        <v>68612.318629999994</v>
      </c>
      <c r="T27">
        <v>69402.904070000004</v>
      </c>
      <c r="U27">
        <v>70202.599029999998</v>
      </c>
      <c r="V27">
        <v>71011.508480000004</v>
      </c>
      <c r="W27">
        <v>71829.738580000005</v>
      </c>
      <c r="X27">
        <v>72657.39675</v>
      </c>
      <c r="Y27">
        <v>73494.5916</v>
      </c>
      <c r="Z27">
        <v>74341.43303</v>
      </c>
      <c r="AA27">
        <v>75198.032200000001</v>
      </c>
      <c r="AB27">
        <v>76064.501520000005</v>
      </c>
      <c r="AC27">
        <v>76940.954740000001</v>
      </c>
      <c r="AD27">
        <v>77827.506890000004</v>
      </c>
      <c r="AE27">
        <v>78724.274340000004</v>
      </c>
      <c r="AF27">
        <v>79631.374790000002</v>
      </c>
      <c r="AG27">
        <v>80548.927309999999</v>
      </c>
      <c r="AH27">
        <v>81477.052320000003</v>
      </c>
      <c r="AI27">
        <v>82415.871660000004</v>
      </c>
      <c r="AJ27">
        <v>83365.508539999995</v>
      </c>
      <c r="AK27">
        <v>84326.087610000002</v>
      </c>
    </row>
    <row r="28" spans="1:37" x14ac:dyDescent="0.45">
      <c r="A28" t="s">
        <v>89</v>
      </c>
      <c r="B28">
        <v>7817</v>
      </c>
      <c r="C28">
        <v>7907.0713830000004</v>
      </c>
      <c r="D28">
        <v>7998.1806130000004</v>
      </c>
      <c r="E28">
        <v>8090.3396489999996</v>
      </c>
      <c r="F28">
        <v>8183.5605869999999</v>
      </c>
      <c r="G28">
        <v>8277.8556640000006</v>
      </c>
      <c r="H28">
        <v>8373.2372560000003</v>
      </c>
      <c r="I28">
        <v>8469.7178820000008</v>
      </c>
      <c r="J28">
        <v>8567.3102070000004</v>
      </c>
      <c r="K28">
        <v>8666.0270390000005</v>
      </c>
      <c r="L28">
        <v>8765.881335</v>
      </c>
      <c r="M28">
        <v>8866.886203</v>
      </c>
      <c r="N28">
        <v>8969.0548990000007</v>
      </c>
      <c r="O28">
        <v>9072.400834</v>
      </c>
      <c r="P28">
        <v>9176.9375729999992</v>
      </c>
      <c r="Q28">
        <v>9282.6788359999991</v>
      </c>
      <c r="R28">
        <v>9389.6385030000001</v>
      </c>
      <c r="S28">
        <v>9497.8306130000001</v>
      </c>
      <c r="T28">
        <v>9607.2693660000004</v>
      </c>
      <c r="U28">
        <v>9717.9691270000003</v>
      </c>
      <c r="V28">
        <v>9829.944426</v>
      </c>
      <c r="W28">
        <v>9943.2099610000005</v>
      </c>
      <c r="X28">
        <v>10057.7806</v>
      </c>
      <c r="Y28">
        <v>10173.67137</v>
      </c>
      <c r="Z28">
        <v>10290.897499999999</v>
      </c>
      <c r="AA28">
        <v>10409.47437</v>
      </c>
      <c r="AB28">
        <v>10529.41754</v>
      </c>
      <c r="AC28">
        <v>10650.742749999999</v>
      </c>
      <c r="AD28">
        <v>10773.46594</v>
      </c>
      <c r="AE28">
        <v>10897.6032</v>
      </c>
      <c r="AF28">
        <v>11023.170829999999</v>
      </c>
      <c r="AG28">
        <v>11150.185320000001</v>
      </c>
      <c r="AH28">
        <v>11278.663329999999</v>
      </c>
      <c r="AI28">
        <v>11408.621719999999</v>
      </c>
      <c r="AJ28">
        <v>11540.077569999999</v>
      </c>
      <c r="AK28">
        <v>11673.04811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K1"/>
  <sheetViews>
    <sheetView workbookViewId="0">
      <pane xSplit="1" ySplit="1" topLeftCell="B146" activePane="bottomRight" state="frozen"/>
      <selection pane="topRight" activeCell="B1" sqref="B1"/>
      <selection pane="bottomLeft" activeCell="A2" sqref="A2"/>
      <selection pane="bottomRight" activeCell="A2" sqref="A2:XFD146"/>
    </sheetView>
  </sheetViews>
  <sheetFormatPr defaultColWidth="9.1328125" defaultRowHeight="14.25" x14ac:dyDescent="0.45"/>
  <cols>
    <col min="1" max="1" width="16.1328125" customWidth="1"/>
  </cols>
  <sheetData>
    <row r="1" spans="1:37" s="11" customFormat="1" x14ac:dyDescent="0.45">
      <c r="A1" s="11" t="s">
        <v>53</v>
      </c>
      <c r="B1" s="11">
        <v>42005</v>
      </c>
      <c r="C1" s="11">
        <v>42370</v>
      </c>
      <c r="D1" s="11">
        <v>42736</v>
      </c>
      <c r="E1" s="11">
        <v>43101</v>
      </c>
      <c r="F1" s="11">
        <v>43466</v>
      </c>
      <c r="G1" s="11">
        <v>43831</v>
      </c>
      <c r="H1" s="11">
        <v>44197</v>
      </c>
      <c r="I1" s="11">
        <v>44562</v>
      </c>
      <c r="J1" s="11">
        <v>44927</v>
      </c>
      <c r="K1" s="11">
        <v>45292</v>
      </c>
      <c r="L1" s="11">
        <v>45658</v>
      </c>
      <c r="M1" s="11">
        <v>46023</v>
      </c>
      <c r="N1" s="11">
        <v>46388</v>
      </c>
      <c r="O1" s="11">
        <v>46753</v>
      </c>
      <c r="P1" s="11">
        <v>47119</v>
      </c>
      <c r="Q1" s="11">
        <v>47484</v>
      </c>
      <c r="R1" s="11">
        <v>47849</v>
      </c>
      <c r="S1" s="11">
        <v>48214</v>
      </c>
      <c r="T1" s="11">
        <v>48580</v>
      </c>
      <c r="U1" s="11">
        <v>48945</v>
      </c>
      <c r="V1" s="11">
        <v>49310</v>
      </c>
      <c r="W1" s="11">
        <v>49675</v>
      </c>
      <c r="X1" s="11">
        <v>50041</v>
      </c>
      <c r="Y1" s="11">
        <v>50406</v>
      </c>
      <c r="Z1" s="11">
        <v>50771</v>
      </c>
      <c r="AA1" s="11">
        <v>51136</v>
      </c>
      <c r="AB1" s="11">
        <v>51502</v>
      </c>
      <c r="AC1" s="11">
        <v>51867</v>
      </c>
      <c r="AD1" s="11">
        <v>52232</v>
      </c>
      <c r="AE1" s="11">
        <v>52597</v>
      </c>
      <c r="AF1" s="11">
        <v>52963</v>
      </c>
      <c r="AG1" s="11">
        <v>53328</v>
      </c>
      <c r="AH1" s="11">
        <v>53693</v>
      </c>
      <c r="AI1" s="11">
        <v>54058</v>
      </c>
      <c r="AJ1" s="11">
        <v>54424</v>
      </c>
      <c r="AK1" s="11">
        <v>54789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K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328125" defaultRowHeight="14.25" x14ac:dyDescent="0.45"/>
  <cols>
    <col min="1" max="1" width="28" bestFit="1" customWidth="1"/>
    <col min="8" max="8" width="12.1328125" bestFit="1" customWidth="1"/>
  </cols>
  <sheetData>
    <row r="1" spans="1:37" s="11" customFormat="1" x14ac:dyDescent="0.45">
      <c r="A1" s="11" t="s">
        <v>26</v>
      </c>
      <c r="B1" s="11">
        <v>42005</v>
      </c>
      <c r="C1" s="11">
        <v>42370</v>
      </c>
      <c r="D1" s="11">
        <v>42736</v>
      </c>
      <c r="E1" s="11">
        <v>43101</v>
      </c>
      <c r="F1" s="11">
        <v>43466</v>
      </c>
      <c r="G1" s="11">
        <v>43831</v>
      </c>
      <c r="H1" s="11">
        <v>44197</v>
      </c>
      <c r="I1" s="11">
        <v>44562</v>
      </c>
      <c r="J1" s="11">
        <v>44927</v>
      </c>
      <c r="K1" s="11">
        <v>45292</v>
      </c>
      <c r="L1" s="11">
        <v>45658</v>
      </c>
      <c r="M1" s="11">
        <v>46023</v>
      </c>
      <c r="N1" s="11">
        <v>46388</v>
      </c>
      <c r="O1" s="11">
        <v>46753</v>
      </c>
      <c r="P1" s="11">
        <v>47119</v>
      </c>
      <c r="Q1" s="11">
        <v>47484</v>
      </c>
      <c r="R1" s="11">
        <v>47849</v>
      </c>
      <c r="S1" s="11">
        <v>48214</v>
      </c>
      <c r="T1" s="11">
        <v>48580</v>
      </c>
      <c r="U1" s="11">
        <v>48945</v>
      </c>
      <c r="V1" s="11">
        <v>49310</v>
      </c>
      <c r="W1" s="11">
        <v>49675</v>
      </c>
      <c r="X1" s="11">
        <v>50041</v>
      </c>
      <c r="Y1" s="11">
        <v>50406</v>
      </c>
      <c r="Z1" s="11">
        <v>50771</v>
      </c>
      <c r="AA1" s="11">
        <v>51136</v>
      </c>
      <c r="AB1" s="11">
        <v>51502</v>
      </c>
      <c r="AC1" s="11">
        <v>51867</v>
      </c>
      <c r="AD1" s="11">
        <v>52232</v>
      </c>
      <c r="AE1" s="11">
        <v>52597</v>
      </c>
      <c r="AF1" s="11">
        <v>52963</v>
      </c>
      <c r="AG1" s="11">
        <v>53328</v>
      </c>
      <c r="AH1" s="11">
        <v>53693</v>
      </c>
      <c r="AI1" s="11">
        <v>54058</v>
      </c>
      <c r="AJ1" s="11">
        <v>54424</v>
      </c>
      <c r="AK1" s="11">
        <v>54789</v>
      </c>
    </row>
    <row r="2" spans="1:37" x14ac:dyDescent="0.45">
      <c r="A2" t="s">
        <v>29</v>
      </c>
      <c r="B2">
        <v>0</v>
      </c>
      <c r="C2">
        <v>1.5717264223447103E-5</v>
      </c>
      <c r="D2">
        <v>9.0382328021831881E-5</v>
      </c>
      <c r="E2">
        <v>2.7714619068586188E-4</v>
      </c>
      <c r="F2">
        <v>6.0437643192301493E-4</v>
      </c>
      <c r="G2">
        <v>1.0398969120695156E-3</v>
      </c>
      <c r="H2">
        <v>1.4626160511843622E-3</v>
      </c>
      <c r="I2">
        <v>1.6832669887723029E-3</v>
      </c>
      <c r="J2">
        <v>1.5073164452594767E-3</v>
      </c>
      <c r="K2">
        <v>7.7487238203666209E-4</v>
      </c>
      <c r="L2">
        <v>-6.2909205907901722E-4</v>
      </c>
      <c r="M2">
        <v>-2.7823956461836552E-3</v>
      </c>
      <c r="N2">
        <v>-5.7393702938557389E-3</v>
      </c>
      <c r="O2">
        <v>-9.5427768323719242E-3</v>
      </c>
      <c r="P2">
        <v>-1.423201151349307E-2</v>
      </c>
      <c r="Q2">
        <v>-1.9847013433860194E-2</v>
      </c>
      <c r="R2">
        <v>-2.6429762340618446E-2</v>
      </c>
      <c r="S2">
        <v>-3.4023942110761318E-2</v>
      </c>
      <c r="T2">
        <v>-4.2674327043734639E-2</v>
      </c>
      <c r="U2">
        <v>-5.2425890541141218E-2</v>
      </c>
      <c r="V2">
        <v>-6.3323305245388539E-2</v>
      </c>
      <c r="W2">
        <v>-7.5410498212857835E-2</v>
      </c>
      <c r="X2">
        <v>-8.8730629636546432E-2</v>
      </c>
      <c r="Y2">
        <v>-0.10332613971508753</v>
      </c>
      <c r="Z2">
        <v>-0.11923900136433518</v>
      </c>
      <c r="AA2">
        <v>-0.13651107519725425</v>
      </c>
      <c r="AB2">
        <v>-0.15518448253397654</v>
      </c>
      <c r="AC2">
        <v>-0.17530201556822389</v>
      </c>
      <c r="AD2">
        <v>-0.19690762232065229</v>
      </c>
      <c r="AE2">
        <v>-0.22004688686764196</v>
      </c>
      <c r="AF2">
        <v>-0.24476751392986662</v>
      </c>
      <c r="AG2">
        <v>-0.27111973485507423</v>
      </c>
      <c r="AH2">
        <v>-0.29915684064575343</v>
      </c>
      <c r="AI2">
        <v>-0.32893563230617096</v>
      </c>
      <c r="AJ2">
        <v>-0.36051695935346295</v>
      </c>
      <c r="AK2">
        <v>-0.39396609759692058</v>
      </c>
    </row>
    <row r="3" spans="1:37" x14ac:dyDescent="0.45">
      <c r="A3" t="s">
        <v>30</v>
      </c>
      <c r="B3">
        <v>0</v>
      </c>
      <c r="C3">
        <v>2.85075002937063E-5</v>
      </c>
      <c r="D3">
        <v>1.569821096669699E-4</v>
      </c>
      <c r="E3">
        <v>4.5582536918331584E-4</v>
      </c>
      <c r="F3">
        <v>9.2927395933806167E-4</v>
      </c>
      <c r="G3">
        <v>1.464461391753602E-3</v>
      </c>
      <c r="H3">
        <v>1.8098903683760881E-3</v>
      </c>
      <c r="I3">
        <v>1.6528892659684047E-3</v>
      </c>
      <c r="J3">
        <v>7.5887251769213293E-4</v>
      </c>
      <c r="K3">
        <v>-9.6424107366432921E-4</v>
      </c>
      <c r="L3">
        <v>-3.4765459186458791E-3</v>
      </c>
      <c r="M3">
        <v>-6.6525108709858394E-3</v>
      </c>
      <c r="N3">
        <v>-1.0332069751661788E-2</v>
      </c>
      <c r="O3">
        <v>-1.4358934505065424E-2</v>
      </c>
      <c r="P3">
        <v>-1.8603210696810368E-2</v>
      </c>
      <c r="Q3">
        <v>-2.2970472952998922E-2</v>
      </c>
      <c r="R3">
        <v>-2.740190166180545E-2</v>
      </c>
      <c r="S3">
        <v>-3.1870056638616528E-2</v>
      </c>
      <c r="T3">
        <v>-3.6372397776274212E-2</v>
      </c>
      <c r="U3">
        <v>-4.0925111082068533E-2</v>
      </c>
      <c r="V3">
        <v>-4.5557231751902627E-2</v>
      </c>
      <c r="W3">
        <v>-5.0305819629470339E-2</v>
      </c>
      <c r="X3">
        <v>-5.5212168181550947E-2</v>
      </c>
      <c r="Y3">
        <v>-6.0318877844156571E-2</v>
      </c>
      <c r="Z3">
        <v>-6.5667562616666952E-2</v>
      </c>
      <c r="AA3">
        <v>-7.129756001263976E-2</v>
      </c>
      <c r="AB3">
        <v>-7.724477807344865E-2</v>
      </c>
      <c r="AC3">
        <v>-8.3541194297720445E-2</v>
      </c>
      <c r="AD3">
        <v>-9.021474646806471E-2</v>
      </c>
      <c r="AE3">
        <v>-9.7289330380867511E-2</v>
      </c>
      <c r="AF3">
        <v>-0.10478514876364198</v>
      </c>
      <c r="AG3">
        <v>-0.11271895260007714</v>
      </c>
      <c r="AH3">
        <v>-0.12110469840462823</v>
      </c>
      <c r="AI3">
        <v>-0.12995387847780648</v>
      </c>
      <c r="AJ3">
        <v>-0.13927616211625304</v>
      </c>
      <c r="AK3">
        <v>-0.14907988887483681</v>
      </c>
    </row>
    <row r="4" spans="1:37" x14ac:dyDescent="0.45">
      <c r="A4" t="s">
        <v>31</v>
      </c>
      <c r="B4">
        <v>0</v>
      </c>
      <c r="C4">
        <v>2.0675276379833463E-5</v>
      </c>
      <c r="D4">
        <v>1.2398411952663224E-4</v>
      </c>
      <c r="E4">
        <v>3.9489018859306668E-4</v>
      </c>
      <c r="F4">
        <v>8.9037407811076719E-4</v>
      </c>
      <c r="G4">
        <v>1.5790059929576827E-3</v>
      </c>
      <c r="H4">
        <v>2.2873321952721071E-3</v>
      </c>
      <c r="I4">
        <v>2.7163516008510413E-3</v>
      </c>
      <c r="J4">
        <v>2.5303607473770029E-3</v>
      </c>
      <c r="K4">
        <v>1.4374330335353847E-3</v>
      </c>
      <c r="L4">
        <v>-7.7346480524820294E-4</v>
      </c>
      <c r="M4">
        <v>-4.2322418418727636E-3</v>
      </c>
      <c r="N4">
        <v>-9.0061865988033674E-3</v>
      </c>
      <c r="O4">
        <v>-1.5123910029135601E-2</v>
      </c>
      <c r="P4">
        <v>-2.2595368489031209E-2</v>
      </c>
      <c r="Q4">
        <v>-3.1424628742104943E-2</v>
      </c>
      <c r="R4">
        <v>-4.1617920407344133E-2</v>
      </c>
      <c r="S4">
        <v>-5.3186400795646183E-2</v>
      </c>
      <c r="T4">
        <v>-6.6147178860420652E-2</v>
      </c>
      <c r="U4">
        <v>-8.0522888212042343E-2</v>
      </c>
      <c r="V4">
        <v>-9.6340651396864541E-2</v>
      </c>
      <c r="W4">
        <v>-0.11363182448855813</v>
      </c>
      <c r="X4">
        <v>-0.13243062925779592</v>
      </c>
      <c r="Y4">
        <v>-0.15277422835690002</v>
      </c>
      <c r="Z4">
        <v>-0.17470189331681985</v>
      </c>
      <c r="AA4">
        <v>-0.19825500879757652</v>
      </c>
      <c r="AB4">
        <v>-0.22347687742362288</v>
      </c>
      <c r="AC4">
        <v>-0.25041281957406403</v>
      </c>
      <c r="AD4">
        <v>-0.2791097397131681</v>
      </c>
      <c r="AE4">
        <v>-0.30961684278493218</v>
      </c>
      <c r="AF4">
        <v>-0.34198546253443318</v>
      </c>
      <c r="AG4">
        <v>-0.3762694449126136</v>
      </c>
      <c r="AH4">
        <v>-0.41252554545605502</v>
      </c>
      <c r="AI4">
        <v>-0.45081374741330338</v>
      </c>
      <c r="AJ4">
        <v>-0.49119786138599464</v>
      </c>
      <c r="AK4">
        <v>-0.53374594430669609</v>
      </c>
    </row>
    <row r="5" spans="1:37" x14ac:dyDescent="0.45">
      <c r="A5" t="s">
        <v>32</v>
      </c>
      <c r="B5">
        <v>0</v>
      </c>
      <c r="C5">
        <v>4.9907468602228278E-6</v>
      </c>
      <c r="D5">
        <v>3.1556013513345249E-5</v>
      </c>
      <c r="E5">
        <v>1.0701623576192532E-4</v>
      </c>
      <c r="F5">
        <v>2.5957712306290404E-4</v>
      </c>
      <c r="G5">
        <v>5.0141508252110611E-4</v>
      </c>
      <c r="H5">
        <v>8.0793682646351783E-4</v>
      </c>
      <c r="I5">
        <v>1.1081675058477458E-3</v>
      </c>
      <c r="J5">
        <v>1.2940636558544938E-3</v>
      </c>
      <c r="K5">
        <v>1.2354916150369988E-3</v>
      </c>
      <c r="L5">
        <v>7.9422462428979657E-4</v>
      </c>
      <c r="M5">
        <v>-1.6608433556219993E-4</v>
      </c>
      <c r="N5">
        <v>-1.7734212585551745E-3</v>
      </c>
      <c r="O5">
        <v>-4.1441081714665984E-3</v>
      </c>
      <c r="P5">
        <v>-7.3814703012486937E-3</v>
      </c>
      <c r="Q5">
        <v>-1.1575799845531254E-2</v>
      </c>
      <c r="R5">
        <v>-1.6805175549328144E-2</v>
      </c>
      <c r="S5">
        <v>-2.3136644790688887E-2</v>
      </c>
      <c r="T5">
        <v>-3.0627824708384654E-2</v>
      </c>
      <c r="U5">
        <v>-3.932835545552571E-2</v>
      </c>
      <c r="V5">
        <v>-4.9281681562129975E-2</v>
      </c>
      <c r="W5">
        <v>-6.0526598910926044E-2</v>
      </c>
      <c r="X5">
        <v>-7.30987062490418E-2</v>
      </c>
      <c r="Y5">
        <v>-8.7031792362968208E-2</v>
      </c>
      <c r="Z5">
        <v>-0.10235897062377264</v>
      </c>
      <c r="AA5">
        <v>-0.11911392558247025</v>
      </c>
      <c r="AB5">
        <v>-0.13733165061919905</v>
      </c>
      <c r="AC5">
        <v>-0.15704935530675979</v>
      </c>
      <c r="AD5">
        <v>-0.17830717730147327</v>
      </c>
      <c r="AE5">
        <v>-0.20114860973848847</v>
      </c>
      <c r="AF5">
        <v>-0.22562119553848348</v>
      </c>
      <c r="AG5">
        <v>-0.25177681634778182</v>
      </c>
      <c r="AH5">
        <v>-0.27967221132326747</v>
      </c>
      <c r="AI5">
        <v>-0.30936929178198014</v>
      </c>
      <c r="AJ5">
        <v>-0.34093549502210996</v>
      </c>
      <c r="AK5">
        <v>-0.37444425720882801</v>
      </c>
    </row>
    <row r="6" spans="1:37" x14ac:dyDescent="0.45">
      <c r="A6" t="s">
        <v>33</v>
      </c>
      <c r="B6">
        <v>0</v>
      </c>
      <c r="C6">
        <v>7.74111597046101E-6</v>
      </c>
      <c r="D6">
        <v>4.4838102919442235E-5</v>
      </c>
      <c r="E6">
        <v>1.3774635503338573E-4</v>
      </c>
      <c r="F6">
        <v>2.9869316036101878E-4</v>
      </c>
      <c r="G6">
        <v>5.0671015356940075E-4</v>
      </c>
      <c r="H6">
        <v>6.9396636284135838E-4</v>
      </c>
      <c r="I6">
        <v>7.5900346709900646E-4</v>
      </c>
      <c r="J6">
        <v>6.0320138588476624E-4</v>
      </c>
      <c r="K6">
        <v>1.5635030572447306E-4</v>
      </c>
      <c r="L6">
        <v>-6.1711627213911768E-4</v>
      </c>
      <c r="M6">
        <v>-1.7245038951729796E-3</v>
      </c>
      <c r="N6">
        <v>-3.1561460089646332E-3</v>
      </c>
      <c r="O6">
        <v>-4.8958221727679607E-3</v>
      </c>
      <c r="P6">
        <v>-6.9279600302230016E-3</v>
      </c>
      <c r="Q6">
        <v>-9.2417336982508758E-3</v>
      </c>
      <c r="R6">
        <v>-1.183236888797623E-2</v>
      </c>
      <c r="S6">
        <v>-1.4701181166276722E-2</v>
      </c>
      <c r="T6">
        <v>-1.7854540884865155E-2</v>
      </c>
      <c r="U6">
        <v>-2.1302770150832817E-2</v>
      </c>
      <c r="V6">
        <v>-2.5059058158471981E-2</v>
      </c>
      <c r="W6">
        <v>-2.9138458241995124E-2</v>
      </c>
      <c r="X6">
        <v>-3.3557070133505285E-2</v>
      </c>
      <c r="Y6">
        <v>-3.8331592243601165E-2</v>
      </c>
      <c r="Z6">
        <v>-4.3478767202653756E-2</v>
      </c>
      <c r="AA6">
        <v>-4.9015248599260097E-2</v>
      </c>
      <c r="AB6">
        <v>-5.4957359047513865E-2</v>
      </c>
      <c r="AC6">
        <v>-6.1321096020972021E-2</v>
      </c>
      <c r="AD6">
        <v>-6.8122122956226772E-2</v>
      </c>
      <c r="AE6">
        <v>-7.5375944978439691E-2</v>
      </c>
      <c r="AF6">
        <v>-8.3097890896643989E-2</v>
      </c>
      <c r="AG6">
        <v>-9.1303441741075186E-2</v>
      </c>
      <c r="AH6">
        <v>-0.10000830434190311</v>
      </c>
      <c r="AI6">
        <v>-0.10922869512675071</v>
      </c>
      <c r="AJ6">
        <v>-0.1189815101001801</v>
      </c>
      <c r="AK6">
        <v>-0.12928460034650202</v>
      </c>
    </row>
    <row r="7" spans="1:37" x14ac:dyDescent="0.45">
      <c r="A7" t="s">
        <v>34</v>
      </c>
      <c r="B7">
        <v>0</v>
      </c>
      <c r="C7">
        <v>4.1972961861702629E-5</v>
      </c>
      <c r="D7">
        <v>2.1384278214853225E-4</v>
      </c>
      <c r="E7">
        <v>5.7787684317744947E-4</v>
      </c>
      <c r="F7">
        <v>1.1011323950649299E-3</v>
      </c>
      <c r="G7">
        <v>1.6197670407169795E-3</v>
      </c>
      <c r="H7">
        <v>1.8347613955249642E-3</v>
      </c>
      <c r="I7">
        <v>1.4349102691602056E-3</v>
      </c>
      <c r="J7">
        <v>2.5187777645818699E-4</v>
      </c>
      <c r="K7">
        <v>-1.7272386945377249E-3</v>
      </c>
      <c r="L7">
        <v>-4.4094593721677455E-3</v>
      </c>
      <c r="M7">
        <v>-7.6523810298101402E-3</v>
      </c>
      <c r="N7">
        <v>-1.1307133519322665E-2</v>
      </c>
      <c r="O7">
        <v>-1.5244116447599154E-2</v>
      </c>
      <c r="P7">
        <v>-1.9363269757821655E-2</v>
      </c>
      <c r="Q7">
        <v>-2.3596582512175335E-2</v>
      </c>
      <c r="R7">
        <v>-2.7904746703011352E-2</v>
      </c>
      <c r="S7">
        <v>-3.2272483578366096E-2</v>
      </c>
      <c r="T7">
        <v>-3.6703446968666675E-2</v>
      </c>
      <c r="U7">
        <v>-4.1215334099797829E-2</v>
      </c>
      <c r="V7">
        <v>-4.5835569197061332E-2</v>
      </c>
      <c r="W7">
        <v>-5.0597839607224859E-2</v>
      </c>
      <c r="X7">
        <v>-5.5539088599421138E-2</v>
      </c>
      <c r="Y7">
        <v>-6.0697536753451242E-2</v>
      </c>
      <c r="Z7">
        <v>-6.611033086386664E-2</v>
      </c>
      <c r="AA7">
        <v>-7.181311360852094E-2</v>
      </c>
      <c r="AB7">
        <v>-7.7838246522798915E-2</v>
      </c>
      <c r="AC7">
        <v>-8.4215271574705763E-2</v>
      </c>
      <c r="AD7">
        <v>-9.0970221764896664E-2</v>
      </c>
      <c r="AE7">
        <v>-9.8125321077668914E-2</v>
      </c>
      <c r="AF7">
        <v>-0.10569983164110397</v>
      </c>
      <c r="AG7">
        <v>-0.11371025994802997</v>
      </c>
      <c r="AH7">
        <v>-0.12217027464237473</v>
      </c>
      <c r="AI7">
        <v>-0.13109180502242079</v>
      </c>
      <c r="AJ7">
        <v>-0.14048462523337246</v>
      </c>
      <c r="AK7">
        <v>-0.15035773193909918</v>
      </c>
    </row>
    <row r="8" spans="1:37" x14ac:dyDescent="0.45">
      <c r="A8" t="s">
        <v>35</v>
      </c>
      <c r="B8">
        <v>0</v>
      </c>
      <c r="C8">
        <v>9.5199999994299844E-6</v>
      </c>
      <c r="D8">
        <v>4.0359999997630069E-5</v>
      </c>
      <c r="E8">
        <v>8.6570000001895409E-5</v>
      </c>
      <c r="F8">
        <v>1.2193000000215726E-4</v>
      </c>
      <c r="G8">
        <v>1.1020999999833414E-4</v>
      </c>
      <c r="H8">
        <v>1.7660000001251674E-5</v>
      </c>
      <c r="I8">
        <v>-1.5472000000071873E-4</v>
      </c>
      <c r="J8">
        <v>-3.5976000000159658E-4</v>
      </c>
      <c r="K8">
        <v>-5.4141999999979262E-4</v>
      </c>
      <c r="L8">
        <v>-6.6202999999820378E-4</v>
      </c>
      <c r="M8">
        <v>-7.095399999990093E-4</v>
      </c>
      <c r="N8">
        <v>-6.9200000000213535E-4</v>
      </c>
      <c r="O8">
        <v>-6.2821000000323757E-4</v>
      </c>
      <c r="P8">
        <v>-5.3944000000250014E-4</v>
      </c>
      <c r="Q8">
        <v>-4.443999999992343E-4</v>
      </c>
      <c r="R8">
        <v>-3.5689999999810595E-4</v>
      </c>
      <c r="S8">
        <v>-2.8565999999896619E-4</v>
      </c>
      <c r="T8">
        <v>-2.3500999999925831E-4</v>
      </c>
      <c r="U8">
        <v>-2.0602999999952409E-4</v>
      </c>
      <c r="V8">
        <v>-1.9760000000146327E-4</v>
      </c>
      <c r="W8">
        <v>-2.0730999999996058E-4</v>
      </c>
      <c r="X8">
        <v>-2.3212999999966399E-4</v>
      </c>
      <c r="Y8">
        <v>-2.6885000000143044E-4</v>
      </c>
      <c r="Z8">
        <v>-3.1440000000104718E-4</v>
      </c>
      <c r="AA8">
        <v>-3.6605000000022869E-4</v>
      </c>
      <c r="AB8">
        <v>-4.2147000000047896E-4</v>
      </c>
      <c r="AC8">
        <v>-4.787700000008499E-4</v>
      </c>
      <c r="AD8">
        <v>-5.3653000000042361E-4</v>
      </c>
      <c r="AE8">
        <v>-5.9372999999807163E-4</v>
      </c>
      <c r="AF8">
        <v>-6.497300000019024E-4</v>
      </c>
      <c r="AG8">
        <v>-7.0420000000126493E-4</v>
      </c>
      <c r="AH8">
        <v>-7.5707000000146962E-4</v>
      </c>
      <c r="AI8">
        <v>-8.0847000000217051E-4</v>
      </c>
      <c r="AJ8">
        <v>-8.5868999999960671E-4</v>
      </c>
      <c r="AK8">
        <v>-9.0815000000077362E-4</v>
      </c>
    </row>
    <row r="9" spans="1:37" x14ac:dyDescent="0.45">
      <c r="A9" t="s">
        <v>36</v>
      </c>
      <c r="B9">
        <v>0</v>
      </c>
      <c r="C9">
        <v>-6.196078432552099E-5</v>
      </c>
      <c r="D9">
        <v>-3.3631295655034421E-4</v>
      </c>
      <c r="E9">
        <v>-9.8227680151996566E-4</v>
      </c>
      <c r="F9">
        <v>-2.0594362236892039E-3</v>
      </c>
      <c r="G9">
        <v>-3.4295497120306884E-3</v>
      </c>
      <c r="H9">
        <v>-4.6793427937896759E-3</v>
      </c>
      <c r="I9">
        <v>-5.2204882214912374E-3</v>
      </c>
      <c r="J9">
        <v>-4.4904688899505274E-3</v>
      </c>
      <c r="K9">
        <v>-2.0251150938288554E-3</v>
      </c>
      <c r="L9">
        <v>2.5375013611661501E-3</v>
      </c>
      <c r="M9">
        <v>9.4766313926353263E-3</v>
      </c>
      <c r="N9">
        <v>1.9011753196473968E-2</v>
      </c>
      <c r="O9">
        <v>3.1321113436155734E-2</v>
      </c>
      <c r="P9">
        <v>4.6552928112575387E-2</v>
      </c>
      <c r="Q9">
        <v>6.4833459214641564E-2</v>
      </c>
      <c r="R9">
        <v>8.6271513149238643E-2</v>
      </c>
      <c r="S9">
        <v>0.11096236541192628</v>
      </c>
      <c r="T9">
        <v>0.13899129808880861</v>
      </c>
      <c r="U9">
        <v>0.17043670765422014</v>
      </c>
      <c r="V9">
        <v>0.20537321901266115</v>
      </c>
      <c r="W9">
        <v>0.24387445262161744</v>
      </c>
      <c r="X9">
        <v>0.28601553325340312</v>
      </c>
      <c r="Y9">
        <v>0.33187560673502148</v>
      </c>
      <c r="Z9">
        <v>0.38153897517605451</v>
      </c>
      <c r="AA9">
        <v>0.43509752043489058</v>
      </c>
      <c r="AB9">
        <v>0.4926510554074337</v>
      </c>
      <c r="AC9">
        <v>0.55430921314867376</v>
      </c>
      <c r="AD9">
        <v>0.6201919515414156</v>
      </c>
      <c r="AE9">
        <v>0.69043014116285661</v>
      </c>
      <c r="AF9">
        <v>0.76516682933032154</v>
      </c>
      <c r="AG9">
        <v>0.84455761286661435</v>
      </c>
      <c r="AH9">
        <v>0.92877166320013416</v>
      </c>
      <c r="AI9">
        <v>1.0179923166004023</v>
      </c>
      <c r="AJ9">
        <v>1.1124180968209885</v>
      </c>
      <c r="AK9">
        <v>1.2122638954552123</v>
      </c>
    </row>
    <row r="10" spans="1:37" x14ac:dyDescent="0.45">
      <c r="A10" t="s">
        <v>37</v>
      </c>
      <c r="B10">
        <v>0</v>
      </c>
      <c r="C10">
        <v>-5.8725490204025732E-5</v>
      </c>
      <c r="D10">
        <v>-3.2304882737754781E-4</v>
      </c>
      <c r="E10">
        <v>-9.579648853064171E-4</v>
      </c>
      <c r="F10">
        <v>-2.0423450833084722E-3</v>
      </c>
      <c r="G10">
        <v>-3.4665941021749802E-3</v>
      </c>
      <c r="H10">
        <v>-4.8447718623334524E-3</v>
      </c>
      <c r="I10">
        <v>-5.592652697739009E-3</v>
      </c>
      <c r="J10">
        <v>-5.1118098801761214E-3</v>
      </c>
      <c r="K10">
        <v>-2.8694848323573829E-3</v>
      </c>
      <c r="L10">
        <v>1.582287800805382E-3</v>
      </c>
      <c r="M10">
        <v>8.6124507568730024E-3</v>
      </c>
      <c r="N10">
        <v>1.8523912468926262E-2</v>
      </c>
      <c r="O10">
        <v>3.1567478901983748E-2</v>
      </c>
      <c r="P10">
        <v>4.7952041195520323E-2</v>
      </c>
      <c r="Q10">
        <v>6.7854111298659703E-2</v>
      </c>
      <c r="R10">
        <v>9.1424247457472241E-2</v>
      </c>
      <c r="S10">
        <v>0.11879415773801139</v>
      </c>
      <c r="T10">
        <v>0.15008133247340627</v>
      </c>
      <c r="U10">
        <v>0.18539506355090829</v>
      </c>
      <c r="V10">
        <v>0.22484039535946021</v>
      </c>
      <c r="W10">
        <v>0.26852255551568227</v>
      </c>
      <c r="X10">
        <v>0.3165500874170224</v>
      </c>
      <c r="Y10">
        <v>0.36903847524403233</v>
      </c>
      <c r="Z10">
        <v>0.42611205406124508</v>
      </c>
      <c r="AA10">
        <v>0.48790678744772276</v>
      </c>
      <c r="AB10">
        <v>0.55457186236720357</v>
      </c>
      <c r="AC10">
        <v>0.62627140961288852</v>
      </c>
      <c r="AD10">
        <v>0.70318614513276145</v>
      </c>
      <c r="AE10">
        <v>0.78551418818049168</v>
      </c>
      <c r="AF10">
        <v>0.87347292444290847</v>
      </c>
      <c r="AG10">
        <v>0.96730007484522318</v>
      </c>
      <c r="AH10">
        <v>1.0672550692397031</v>
      </c>
      <c r="AI10">
        <v>1.173620353566962</v>
      </c>
      <c r="AJ10">
        <v>1.2867033404935224</v>
      </c>
      <c r="AK10">
        <v>1.406837990517773</v>
      </c>
    </row>
    <row r="11" spans="1:37" x14ac:dyDescent="0.45">
      <c r="A11" t="s">
        <v>38</v>
      </c>
      <c r="B11">
        <v>0</v>
      </c>
      <c r="C11">
        <v>-5.9607843150288886E-5</v>
      </c>
      <c r="D11">
        <v>-3.3333333333551707E-4</v>
      </c>
      <c r="E11">
        <v>-1.0039502152281443E-3</v>
      </c>
      <c r="F11">
        <v>-2.1732539801755379E-3</v>
      </c>
      <c r="G11">
        <v>-3.7472800801796602E-3</v>
      </c>
      <c r="H11">
        <v>-5.3331561226444002E-3</v>
      </c>
      <c r="I11">
        <v>-6.3043356435366071E-3</v>
      </c>
      <c r="J11">
        <v>-5.9873203029581212E-3</v>
      </c>
      <c r="K11">
        <v>-3.7575331957473423E-3</v>
      </c>
      <c r="L11">
        <v>9.2781392715401978E-4</v>
      </c>
      <c r="M11">
        <v>8.5272793010071624E-3</v>
      </c>
      <c r="N11">
        <v>1.9424135127166231E-2</v>
      </c>
      <c r="O11">
        <v>3.3938215050755005E-2</v>
      </c>
      <c r="P11">
        <v>5.2335514550438944E-2</v>
      </c>
      <c r="Q11">
        <v>7.4837929651927482E-2</v>
      </c>
      <c r="R11">
        <v>0.10163093882158414</v>
      </c>
      <c r="S11">
        <v>0.13287158733874538</v>
      </c>
      <c r="T11">
        <v>0.16869548954696612</v>
      </c>
      <c r="U11">
        <v>0.20922368365170474</v>
      </c>
      <c r="V11">
        <v>0.2545685675134024</v>
      </c>
      <c r="W11">
        <v>0.30483945350441299</v>
      </c>
      <c r="X11">
        <v>0.36014710312448628</v>
      </c>
      <c r="Y11">
        <v>0.42060828813983431</v>
      </c>
      <c r="Z11">
        <v>0.48634822402926492</v>
      </c>
      <c r="AA11">
        <v>0.55750448513842699</v>
      </c>
      <c r="AB11">
        <v>0.63422804565147484</v>
      </c>
      <c r="AC11">
        <v>0.71668632711301417</v>
      </c>
      <c r="AD11">
        <v>0.80506428065136859</v>
      </c>
      <c r="AE11">
        <v>0.89956588489730205</v>
      </c>
      <c r="AF11">
        <v>1.0004154421771272</v>
      </c>
      <c r="AG11">
        <v>1.1078590010256795</v>
      </c>
      <c r="AH11">
        <v>1.2221656619004762</v>
      </c>
      <c r="AI11">
        <v>1.3436286571041789</v>
      </c>
      <c r="AJ11">
        <v>1.4725675495991464</v>
      </c>
      <c r="AK11">
        <v>1.6093292727950903</v>
      </c>
    </row>
    <row r="12" spans="1:37" x14ac:dyDescent="0.45">
      <c r="A12" t="s">
        <v>39</v>
      </c>
      <c r="B12">
        <v>0</v>
      </c>
      <c r="C12">
        <v>-5.7941176478948364E-5</v>
      </c>
      <c r="D12">
        <v>-3.142060745919828E-4</v>
      </c>
      <c r="E12">
        <v>-9.181988827822174E-4</v>
      </c>
      <c r="F12">
        <v>-1.9291740186333506E-3</v>
      </c>
      <c r="G12">
        <v>-3.2239488181651232E-3</v>
      </c>
      <c r="H12">
        <v>-4.4225414700060917E-3</v>
      </c>
      <c r="I12">
        <v>-4.9771666516540414E-3</v>
      </c>
      <c r="J12">
        <v>-4.3547639209218225E-3</v>
      </c>
      <c r="K12">
        <v>-2.1016782006388901E-3</v>
      </c>
      <c r="L12">
        <v>2.148246092881223E-3</v>
      </c>
      <c r="M12">
        <v>8.6861212512667763E-3</v>
      </c>
      <c r="N12">
        <v>1.774551200623975E-2</v>
      </c>
      <c r="O12">
        <v>2.9517551251267982E-2</v>
      </c>
      <c r="P12">
        <v>4.4161832409894686E-2</v>
      </c>
      <c r="Q12">
        <v>6.1815481983651388E-2</v>
      </c>
      <c r="R12">
        <v>8.2599053579146542E-2</v>
      </c>
      <c r="S12">
        <v>0.10662182818916843</v>
      </c>
      <c r="T12">
        <v>0.13398613878241594</v>
      </c>
      <c r="U12">
        <v>0.16479088330001446</v>
      </c>
      <c r="V12">
        <v>0.19913484205198451</v>
      </c>
      <c r="W12">
        <v>0.23711946987721166</v>
      </c>
      <c r="X12">
        <v>0.27885146751065459</v>
      </c>
      <c r="Y12">
        <v>0.32444507501527831</v>
      </c>
      <c r="Z12">
        <v>0.3740238547534247</v>
      </c>
      <c r="AA12">
        <v>0.42772250166482895</v>
      </c>
      <c r="AB12">
        <v>0.48568836036873009</v>
      </c>
      <c r="AC12">
        <v>0.54808272993307483</v>
      </c>
      <c r="AD12">
        <v>0.61508248783073149</v>
      </c>
      <c r="AE12">
        <v>0.6868807879815142</v>
      </c>
      <c r="AF12">
        <v>0.76368888035334148</v>
      </c>
      <c r="AG12">
        <v>0.84573720433258615</v>
      </c>
      <c r="AH12">
        <v>0.9332765807572363</v>
      </c>
      <c r="AI12">
        <v>1.0265801484117265</v>
      </c>
      <c r="AJ12">
        <v>1.1259446558073538</v>
      </c>
      <c r="AK12">
        <v>1.2316926183773003</v>
      </c>
    </row>
    <row r="13" spans="1:37" x14ac:dyDescent="0.45">
      <c r="A13" t="s">
        <v>40</v>
      </c>
      <c r="B13">
        <v>0</v>
      </c>
      <c r="C13">
        <v>-2.7745098052367467E-5</v>
      </c>
      <c r="D13">
        <v>-1.5590157632638935E-4</v>
      </c>
      <c r="E13">
        <v>-4.7182079290220003E-4</v>
      </c>
      <c r="F13">
        <v>-1.0258379610550428E-3</v>
      </c>
      <c r="G13">
        <v>-1.7760475453099112E-3</v>
      </c>
      <c r="H13">
        <v>-2.5382661965611675E-3</v>
      </c>
      <c r="I13">
        <v>-3.0142275615152592E-3</v>
      </c>
      <c r="J13">
        <v>-2.879505814323835E-3</v>
      </c>
      <c r="K13">
        <v>-1.8314899253635275E-3</v>
      </c>
      <c r="L13">
        <v>3.9261869630990986E-4</v>
      </c>
      <c r="M13">
        <v>4.0134334189589893E-3</v>
      </c>
      <c r="N13">
        <v>9.2132273562306466E-3</v>
      </c>
      <c r="O13">
        <v>1.6142465194390887E-2</v>
      </c>
      <c r="P13">
        <v>2.4924993809860574E-2</v>
      </c>
      <c r="Q13">
        <v>3.5663592525936316E-2</v>
      </c>
      <c r="R13">
        <v>4.8443904797212944E-2</v>
      </c>
      <c r="S13">
        <v>6.3338863424955427E-2</v>
      </c>
      <c r="T13">
        <v>8.0411693824400388E-2</v>
      </c>
      <c r="U13">
        <v>9.9719581159485315E-2</v>
      </c>
      <c r="V13">
        <v>0.12131600384055474</v>
      </c>
      <c r="W13">
        <v>0.14525360470760695</v>
      </c>
      <c r="X13">
        <v>0.17158608549387999</v>
      </c>
      <c r="Y13">
        <v>0.20037018674137208</v>
      </c>
      <c r="Z13">
        <v>0.23166704217505441</v>
      </c>
      <c r="AA13">
        <v>0.26554352574186257</v>
      </c>
      <c r="AB13">
        <v>0.30207334064988878</v>
      </c>
      <c r="AC13">
        <v>0.34133775611369099</v>
      </c>
      <c r="AD13">
        <v>0.38342671957083407</v>
      </c>
      <c r="AE13">
        <v>0.42843898697020322</v>
      </c>
      <c r="AF13">
        <v>0.4764831647219081</v>
      </c>
      <c r="AG13">
        <v>0.52767834030880145</v>
      </c>
      <c r="AH13">
        <v>0.58215434820414469</v>
      </c>
      <c r="AI13">
        <v>0.64005275194225497</v>
      </c>
      <c r="AJ13">
        <v>0.70152752293142218</v>
      </c>
      <c r="AK13">
        <v>0.76674579238626972</v>
      </c>
    </row>
    <row r="14" spans="1:37" x14ac:dyDescent="0.45">
      <c r="A14" t="s">
        <v>41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45">
      <c r="A15" t="s">
        <v>42</v>
      </c>
      <c r="B15">
        <v>0</v>
      </c>
      <c r="C15">
        <v>9.2278253926991738E-7</v>
      </c>
      <c r="D15">
        <v>-1.0684711959640936E-5</v>
      </c>
      <c r="E15">
        <v>-8.5861367082884499E-5</v>
      </c>
      <c r="F15">
        <v>-3.1202814751996044E-4</v>
      </c>
      <c r="G15">
        <v>-7.7974944668879331E-4</v>
      </c>
      <c r="H15">
        <v>-1.5257610284646894E-3</v>
      </c>
      <c r="I15">
        <v>-2.4633297138976218E-3</v>
      </c>
      <c r="J15">
        <v>-3.3517253646864198E-3</v>
      </c>
      <c r="K15">
        <v>-3.8345683196272518E-3</v>
      </c>
      <c r="L15">
        <v>-3.5026929235848492E-3</v>
      </c>
      <c r="M15">
        <v>-1.9483191457836391E-3</v>
      </c>
      <c r="N15">
        <v>1.200419017521881E-3</v>
      </c>
      <c r="O15">
        <v>6.2635870035743224E-3</v>
      </c>
      <c r="P15">
        <v>1.3506028676357751E-2</v>
      </c>
      <c r="Q15">
        <v>2.3141088177380809E-2</v>
      </c>
      <c r="R15">
        <v>3.5337533089685458E-2</v>
      </c>
      <c r="S15">
        <v>5.0226962225075056E-2</v>
      </c>
      <c r="T15">
        <v>6.7911236384987639E-2</v>
      </c>
      <c r="U15">
        <v>8.8469282530989624E-2</v>
      </c>
      <c r="V15">
        <v>0.11196310215064731</v>
      </c>
      <c r="W15">
        <v>0.13844324865943669</v>
      </c>
      <c r="X15">
        <v>0.16795337206263472</v>
      </c>
      <c r="Y15">
        <v>0.20053439747567126</v>
      </c>
      <c r="Z15">
        <v>0.23622779705623209</v>
      </c>
      <c r="AA15">
        <v>0.27507853126045312</v>
      </c>
      <c r="AB15">
        <v>0.31713714458267983</v>
      </c>
      <c r="AC15">
        <v>0.3624615929225472</v>
      </c>
      <c r="AD15">
        <v>0.41111861496314628</v>
      </c>
      <c r="AE15">
        <v>0.46318472288431334</v>
      </c>
      <c r="AF15">
        <v>0.51874694605062999</v>
      </c>
      <c r="AG15">
        <v>0.57790344737123078</v>
      </c>
      <c r="AH15">
        <v>0.6407639404021781</v>
      </c>
      <c r="AI15">
        <v>0.70745012987263323</v>
      </c>
      <c r="AJ15">
        <v>0.77809612076058521</v>
      </c>
      <c r="AK15">
        <v>0.85284868589621254</v>
      </c>
    </row>
    <row r="16" spans="1:37" x14ac:dyDescent="0.45">
      <c r="A16" t="s">
        <v>43</v>
      </c>
      <c r="B16">
        <v>0</v>
      </c>
      <c r="C16">
        <v>6.0562437220745835E-5</v>
      </c>
      <c r="D16">
        <v>3.2278159214360613E-4</v>
      </c>
      <c r="E16">
        <v>9.1846590242194992E-4</v>
      </c>
      <c r="F16">
        <v>1.8620706003558141E-3</v>
      </c>
      <c r="G16">
        <v>2.9690625275691218E-3</v>
      </c>
      <c r="H16">
        <v>3.8095756375033929E-3</v>
      </c>
      <c r="I16">
        <v>3.8433284718530913E-3</v>
      </c>
      <c r="J16">
        <v>2.6371114330681067E-3</v>
      </c>
      <c r="K16">
        <v>-7.7597338155044326E-5</v>
      </c>
      <c r="L16">
        <v>-4.4343204139596359E-3</v>
      </c>
      <c r="M16">
        <v>-1.048320024917837E-2</v>
      </c>
      <c r="N16">
        <v>-1.8234383232162976E-2</v>
      </c>
      <c r="O16">
        <v>-2.7685744310634863E-2</v>
      </c>
      <c r="P16">
        <v>-3.8835898859179707E-2</v>
      </c>
      <c r="Q16">
        <v>-5.1690203542587021E-2</v>
      </c>
      <c r="R16">
        <v>-6.6261689413127378E-2</v>
      </c>
      <c r="S16">
        <v>-8.2571527267494282E-2</v>
      </c>
      <c r="T16">
        <v>-0.1006486085910252</v>
      </c>
      <c r="U16">
        <v>-0.12052968040504597</v>
      </c>
      <c r="V16">
        <v>-0.1422591843611376</v>
      </c>
      <c r="W16">
        <v>-0.16588932683490043</v>
      </c>
      <c r="X16">
        <v>-0.19147990199177567</v>
      </c>
      <c r="Y16">
        <v>-0.21909871084312416</v>
      </c>
      <c r="Z16">
        <v>-0.24882051928267757</v>
      </c>
      <c r="AA16">
        <v>-0.28072802351085668</v>
      </c>
      <c r="AB16">
        <v>-0.31491054372833061</v>
      </c>
      <c r="AC16">
        <v>-0.35146514379761351</v>
      </c>
      <c r="AD16">
        <v>-0.39049619472704133</v>
      </c>
      <c r="AE16">
        <v>-0.43211562337812648</v>
      </c>
      <c r="AF16">
        <v>-0.47644338641730233</v>
      </c>
      <c r="AG16">
        <v>-0.52360802226532055</v>
      </c>
      <c r="AH16">
        <v>-0.57374694661236347</v>
      </c>
      <c r="AI16">
        <v>-0.6270073035126611</v>
      </c>
      <c r="AJ16">
        <v>-0.6835470316937764</v>
      </c>
      <c r="AK16">
        <v>-0.74353543224205954</v>
      </c>
    </row>
    <row r="17" spans="1:37" x14ac:dyDescent="0.45">
      <c r="A17" t="s">
        <v>44</v>
      </c>
      <c r="B17">
        <v>0</v>
      </c>
      <c r="C17">
        <v>3.7299999894457869E-4</v>
      </c>
      <c r="D17">
        <v>2.4919999996200204E-3</v>
      </c>
      <c r="E17">
        <v>8.8329999998677522E-3</v>
      </c>
      <c r="F17">
        <v>2.2152999999889289E-2</v>
      </c>
      <c r="G17">
        <v>4.3875999999727355E-2</v>
      </c>
      <c r="H17">
        <v>7.2073000001182663E-2</v>
      </c>
      <c r="I17">
        <v>0.1003259999997681</v>
      </c>
      <c r="J17">
        <v>0.11845400000129302</v>
      </c>
      <c r="K17">
        <v>0.11421400000108406</v>
      </c>
      <c r="L17">
        <v>7.490700000016659E-2</v>
      </c>
      <c r="M17">
        <v>-1.1630999999397318E-2</v>
      </c>
      <c r="N17">
        <v>-0.15665899999839894</v>
      </c>
      <c r="O17">
        <v>-0.37051500000052329</v>
      </c>
      <c r="P17">
        <v>-0.66277599999921222</v>
      </c>
      <c r="Q17">
        <v>-1.0423869999995077</v>
      </c>
      <c r="R17">
        <v>-1.5177530000000843</v>
      </c>
      <c r="S17">
        <v>-2.0967700000001059</v>
      </c>
      <c r="T17">
        <v>-2.7868220000000292</v>
      </c>
      <c r="U17">
        <v>-3.5947739999992336</v>
      </c>
      <c r="V17">
        <v>-4.5269879999996192</v>
      </c>
      <c r="W17">
        <v>-5.5893570000007458</v>
      </c>
      <c r="X17">
        <v>-6.7873579999995854</v>
      </c>
      <c r="Y17">
        <v>-8.1261329999997542</v>
      </c>
      <c r="Z17">
        <v>-9.6105769999994664</v>
      </c>
      <c r="AA17">
        <v>-11.245435999999245</v>
      </c>
      <c r="AB17">
        <v>-13.035405000000537</v>
      </c>
      <c r="AC17">
        <v>-14.985221999999339</v>
      </c>
      <c r="AD17">
        <v>-17.099760999999489</v>
      </c>
      <c r="AE17">
        <v>-19.384119000000283</v>
      </c>
      <c r="AF17">
        <v>-21.843688000000839</v>
      </c>
      <c r="AG17">
        <v>-24.484226999999009</v>
      </c>
      <c r="AH17">
        <v>-27.311931000000186</v>
      </c>
      <c r="AI17">
        <v>-30.333485999999539</v>
      </c>
      <c r="AJ17">
        <v>-33.556126000001314</v>
      </c>
      <c r="AK17">
        <v>-36.98768900000141</v>
      </c>
    </row>
    <row r="18" spans="1:37" x14ac:dyDescent="0.45">
      <c r="A18" t="s">
        <v>45</v>
      </c>
      <c r="B18">
        <v>0</v>
      </c>
      <c r="C18">
        <v>-3.3400000001848618E-6</v>
      </c>
      <c r="D18">
        <v>-2.2010000000349805E-5</v>
      </c>
      <c r="E18">
        <v>-7.6940000000302877E-5</v>
      </c>
      <c r="F18">
        <v>-1.9025000000116865E-4</v>
      </c>
      <c r="G18">
        <v>-3.7140000000018825E-4</v>
      </c>
      <c r="H18">
        <v>-6.007000000002316E-4</v>
      </c>
      <c r="I18">
        <v>-8.2155999999999896E-4</v>
      </c>
      <c r="J18">
        <v>-9.4886000000099502E-4</v>
      </c>
      <c r="K18">
        <v>-8.8443000000049121E-4</v>
      </c>
      <c r="L18">
        <v>-5.3027000000011038E-4</v>
      </c>
      <c r="M18">
        <v>2.0436999999956518E-4</v>
      </c>
      <c r="N18">
        <v>1.4010499999994597E-3</v>
      </c>
      <c r="O18">
        <v>3.1329999999996083E-3</v>
      </c>
      <c r="P18">
        <v>5.4668399999999173E-3</v>
      </c>
      <c r="Q18">
        <v>8.4639299999994533E-3</v>
      </c>
      <c r="R18">
        <v>1.2181119999998824E-2</v>
      </c>
      <c r="S18">
        <v>1.6670929999999806E-2</v>
      </c>
      <c r="T18">
        <v>2.1981579999999501E-2</v>
      </c>
      <c r="U18">
        <v>2.8156990000000048E-2</v>
      </c>
      <c r="V18">
        <v>3.523687999999886E-2</v>
      </c>
      <c r="W18">
        <v>4.3257119999999538E-2</v>
      </c>
      <c r="X18">
        <v>5.2250249999999387E-2</v>
      </c>
      <c r="Y18">
        <v>6.224611999999935E-2</v>
      </c>
      <c r="Z18">
        <v>7.3272599999998911E-2</v>
      </c>
      <c r="AA18">
        <v>8.5356359999999576E-2</v>
      </c>
      <c r="AB18">
        <v>9.8523589999999217E-2</v>
      </c>
      <c r="AC18">
        <v>0.11280070999999947</v>
      </c>
      <c r="AD18">
        <v>0.12821504000000011</v>
      </c>
      <c r="AE18">
        <v>0.1447953899999993</v>
      </c>
      <c r="AF18">
        <v>0.16257256999999969</v>
      </c>
      <c r="AG18">
        <v>0.18157989999999929</v>
      </c>
      <c r="AH18">
        <v>0.20185359999999875</v>
      </c>
      <c r="AI18">
        <v>0.22343318999999973</v>
      </c>
      <c r="AJ18">
        <v>0.24636185000000005</v>
      </c>
      <c r="AK18">
        <v>0.27068676999999902</v>
      </c>
    </row>
    <row r="19" spans="1:37" x14ac:dyDescent="0.45">
      <c r="A19" t="s">
        <v>46</v>
      </c>
      <c r="B19">
        <v>0</v>
      </c>
      <c r="C19">
        <v>-2.0480000000044907E-5</v>
      </c>
      <c r="D19">
        <v>-1.1369999999982783E-4</v>
      </c>
      <c r="E19">
        <v>-3.3742999999974987E-4</v>
      </c>
      <c r="F19">
        <v>-7.1323000000039771E-4</v>
      </c>
      <c r="G19">
        <v>-1.1874999999994529E-3</v>
      </c>
      <c r="H19">
        <v>-1.6037199999999197E-3</v>
      </c>
      <c r="I19">
        <v>-1.738490000000037E-3</v>
      </c>
      <c r="J19">
        <v>-1.3818200000001446E-3</v>
      </c>
      <c r="K19">
        <v>-3.7811000000026462E-4</v>
      </c>
      <c r="L19">
        <v>1.367039999999875E-3</v>
      </c>
      <c r="M19">
        <v>3.8983899999997518E-3</v>
      </c>
      <c r="N19">
        <v>7.2279600000002553E-3</v>
      </c>
      <c r="O19">
        <v>1.1350129999999903E-2</v>
      </c>
      <c r="P19">
        <v>1.6252519999999937E-2</v>
      </c>
      <c r="Q19">
        <v>2.1922530000000051E-2</v>
      </c>
      <c r="R19">
        <v>2.8350820000000443E-2</v>
      </c>
      <c r="S19">
        <v>3.5532809999999637E-2</v>
      </c>
      <c r="T19">
        <v>4.3469000000000146E-2</v>
      </c>
      <c r="U19">
        <v>5.216484000000049E-2</v>
      </c>
      <c r="V19">
        <v>6.1630390000000368E-2</v>
      </c>
      <c r="W19">
        <v>7.1879789999999832E-2</v>
      </c>
      <c r="X19">
        <v>8.2930920000000297E-2</v>
      </c>
      <c r="Y19">
        <v>9.4804989999999756E-2</v>
      </c>
      <c r="Z19">
        <v>0.10752618999999991</v>
      </c>
      <c r="AA19">
        <v>0.12112147000000045</v>
      </c>
      <c r="AB19">
        <v>0.13562032000000029</v>
      </c>
      <c r="AC19">
        <v>0.15105465000000012</v>
      </c>
      <c r="AD19">
        <v>0.16745870000000052</v>
      </c>
      <c r="AE19">
        <v>0.18486901000000083</v>
      </c>
      <c r="AF19">
        <v>0.20332452000000056</v>
      </c>
      <c r="AG19">
        <v>0.22286662000000068</v>
      </c>
      <c r="AH19">
        <v>0.24353928000000052</v>
      </c>
      <c r="AI19">
        <v>0.26538930999999988</v>
      </c>
      <c r="AJ19">
        <v>0.28846651000000029</v>
      </c>
      <c r="AK19">
        <v>0.31282403999999958</v>
      </c>
    </row>
    <row r="20" spans="1:37" x14ac:dyDescent="0.45">
      <c r="A20" t="s">
        <v>47</v>
      </c>
      <c r="B20">
        <v>0</v>
      </c>
      <c r="C20">
        <v>-1.9950000000081014E-6</v>
      </c>
      <c r="D20">
        <v>-1.5318000000028031E-5</v>
      </c>
      <c r="E20">
        <v>-6.0461000000056747E-5</v>
      </c>
      <c r="F20">
        <v>-1.6499300000000217E-4</v>
      </c>
      <c r="G20">
        <v>-3.5032000000002547E-4</v>
      </c>
      <c r="H20">
        <v>-6.1206700000000086E-4</v>
      </c>
      <c r="I20">
        <v>-9.0303400000005252E-4</v>
      </c>
      <c r="J20">
        <v>-1.1309960000000646E-3</v>
      </c>
      <c r="K20">
        <v>-1.1722789999999914E-3</v>
      </c>
      <c r="L20">
        <v>-8.910469999999851E-4</v>
      </c>
      <c r="M20">
        <v>-1.5599300000005561E-4</v>
      </c>
      <c r="N20">
        <v>1.148714999999953E-3</v>
      </c>
      <c r="O20">
        <v>3.1180799999999849E-3</v>
      </c>
      <c r="P20">
        <v>5.8250860000000175E-3</v>
      </c>
      <c r="Q20">
        <v>9.3221240000000011E-3</v>
      </c>
      <c r="R20">
        <v>1.3643812999999949E-2</v>
      </c>
      <c r="S20">
        <v>1.8810416999999989E-2</v>
      </c>
      <c r="T20">
        <v>2.483135599999995E-2</v>
      </c>
      <c r="U20">
        <v>3.170852499999998E-2</v>
      </c>
      <c r="V20">
        <v>3.9439272000000011E-2</v>
      </c>
      <c r="W20">
        <v>4.8018955000000016E-2</v>
      </c>
      <c r="X20">
        <v>5.7443065999999987E-2</v>
      </c>
      <c r="Y20">
        <v>6.7708913999999995E-2</v>
      </c>
      <c r="Z20">
        <v>7.8816923999999997E-2</v>
      </c>
      <c r="AA20">
        <v>9.0771573999999952E-2</v>
      </c>
      <c r="AB20">
        <v>0.10358204899999995</v>
      </c>
      <c r="AC20">
        <v>0.11726263999999997</v>
      </c>
      <c r="AD20">
        <v>0.13183297299999996</v>
      </c>
      <c r="AE20">
        <v>0.14731809399999998</v>
      </c>
      <c r="AF20">
        <v>0.16374846699999998</v>
      </c>
      <c r="AG20">
        <v>0.18115991400000001</v>
      </c>
      <c r="AH20">
        <v>0.19959354000000001</v>
      </c>
      <c r="AI20">
        <v>0.219095665</v>
      </c>
      <c r="AJ20">
        <v>0.23971777499999999</v>
      </c>
      <c r="AK20">
        <v>0.26151652599999997</v>
      </c>
    </row>
    <row r="21" spans="1:37" x14ac:dyDescent="0.45">
      <c r="A21" t="s">
        <v>48</v>
      </c>
      <c r="B21">
        <v>0</v>
      </c>
      <c r="C21">
        <v>3.2409999994875704E-5</v>
      </c>
      <c r="D21">
        <v>1.7797999999347169E-4</v>
      </c>
      <c r="E21">
        <v>5.3581000000191281E-4</v>
      </c>
      <c r="F21">
        <v>1.1846399999959623E-3</v>
      </c>
      <c r="G21">
        <v>2.1384099999965933E-3</v>
      </c>
      <c r="H21">
        <v>3.2895199999938285E-3</v>
      </c>
      <c r="I21">
        <v>4.4166399999934214E-3</v>
      </c>
      <c r="J21">
        <v>5.2244499999964944E-3</v>
      </c>
      <c r="K21">
        <v>5.3251700000034319E-3</v>
      </c>
      <c r="L21">
        <v>4.2206299999958397E-3</v>
      </c>
      <c r="M21">
        <v>1.3021000000001948E-3</v>
      </c>
      <c r="N21">
        <v>-4.1347400000057988E-3</v>
      </c>
      <c r="O21">
        <v>-1.2867280000006254E-2</v>
      </c>
      <c r="P21">
        <v>-2.5722559999996619E-2</v>
      </c>
      <c r="Q21">
        <v>-4.3556799999999729E-2</v>
      </c>
      <c r="R21">
        <v>-6.7239240000005474E-2</v>
      </c>
      <c r="S21">
        <v>-9.7640659999997936E-2</v>
      </c>
      <c r="T21">
        <v>-0.13562588000000098</v>
      </c>
      <c r="U21">
        <v>-0.18204950000000331</v>
      </c>
      <c r="V21">
        <v>-0.23775440000000092</v>
      </c>
      <c r="W21">
        <v>-0.3035721099999944</v>
      </c>
      <c r="X21">
        <v>-0.38032494999999944</v>
      </c>
      <c r="Y21">
        <v>-0.46882919999999828</v>
      </c>
      <c r="Z21">
        <v>-0.56989917999999973</v>
      </c>
      <c r="AA21">
        <v>-0.68435192999999339</v>
      </c>
      <c r="AB21">
        <v>-0.81301214000000233</v>
      </c>
      <c r="AC21">
        <v>-0.95671730999999927</v>
      </c>
      <c r="AD21">
        <v>-1.1163229499999927</v>
      </c>
      <c r="AE21">
        <v>-1.2927076600000031</v>
      </c>
      <c r="AF21">
        <v>-1.4867781299999994</v>
      </c>
      <c r="AG21">
        <v>-1.69947399</v>
      </c>
      <c r="AH21">
        <v>-1.9317725600000002</v>
      </c>
      <c r="AI21">
        <v>-2.1846934199999946</v>
      </c>
      <c r="AJ21">
        <v>-2.4593029299999958</v>
      </c>
      <c r="AK21">
        <v>-2.7567187800000004</v>
      </c>
    </row>
    <row r="22" spans="1:37" x14ac:dyDescent="0.45">
      <c r="A22" t="s">
        <v>49</v>
      </c>
      <c r="B22">
        <v>0</v>
      </c>
      <c r="C22">
        <v>1.2765799833314059E-5</v>
      </c>
      <c r="D22">
        <v>7.0297366254070971E-5</v>
      </c>
      <c r="E22">
        <v>2.041208580002658E-4</v>
      </c>
      <c r="F22">
        <v>4.1613348169007092E-4</v>
      </c>
      <c r="G22">
        <v>6.5579306474344476E-4</v>
      </c>
      <c r="H22">
        <v>8.1047787123300565E-4</v>
      </c>
      <c r="I22">
        <v>7.4017200013984017E-4</v>
      </c>
      <c r="J22">
        <v>3.3982687211881856E-4</v>
      </c>
      <c r="K22">
        <v>-4.3179192863788539E-4</v>
      </c>
      <c r="L22">
        <v>-1.5568144817336104E-3</v>
      </c>
      <c r="M22">
        <v>-2.9790273176607488E-3</v>
      </c>
      <c r="N22">
        <v>-4.6267520096122342E-3</v>
      </c>
      <c r="O22">
        <v>-6.4300019909809989E-3</v>
      </c>
      <c r="P22">
        <v>-8.3306098911498892E-3</v>
      </c>
      <c r="Q22">
        <v>-1.028629156025662E-2</v>
      </c>
      <c r="R22">
        <v>-1.2270707285109324E-2</v>
      </c>
      <c r="S22">
        <v>-1.427156921458541E-2</v>
      </c>
      <c r="T22">
        <v>-1.6287739876933879E-2</v>
      </c>
      <c r="U22">
        <v>-1.8326467443224945E-2</v>
      </c>
      <c r="V22">
        <v>-2.0400754025318622E-2</v>
      </c>
      <c r="W22">
        <v>-2.2527195195240157E-2</v>
      </c>
      <c r="X22">
        <v>-2.4724282373405571E-2</v>
      </c>
      <c r="Y22">
        <v>-2.7011092257666808E-2</v>
      </c>
      <c r="Z22">
        <v>-2.9406259785805262E-2</v>
      </c>
      <c r="AA22">
        <v>-3.1927400507479116E-2</v>
      </c>
      <c r="AB22">
        <v>-3.4590594212462286E-2</v>
      </c>
      <c r="AC22">
        <v>-3.7410160584396571E-2</v>
      </c>
      <c r="AD22">
        <v>-4.0398610302620236E-2</v>
      </c>
      <c r="AE22">
        <v>-4.3566644019963421E-2</v>
      </c>
      <c r="AF22">
        <v>-4.6923308619962877E-2</v>
      </c>
      <c r="AG22">
        <v>-5.0476105268554401E-2</v>
      </c>
      <c r="AH22">
        <v>-5.4231283774137815E-2</v>
      </c>
      <c r="AI22">
        <v>-5.8193990468283364E-2</v>
      </c>
      <c r="AJ22">
        <v>-6.2368555251584155E-2</v>
      </c>
      <c r="AK22">
        <v>-6.6758712653133739E-2</v>
      </c>
    </row>
    <row r="23" spans="1:37" x14ac:dyDescent="0.45">
      <c r="A23" t="s">
        <v>50</v>
      </c>
      <c r="B23">
        <v>0</v>
      </c>
      <c r="C23">
        <v>4.5704715483125817E-6</v>
      </c>
      <c r="D23">
        <v>2.7407899189372846E-5</v>
      </c>
      <c r="E23">
        <v>8.7294328650149082E-5</v>
      </c>
      <c r="F23">
        <v>1.9682587633454836E-4</v>
      </c>
      <c r="G23">
        <v>3.4905467916805573E-4</v>
      </c>
      <c r="H23">
        <v>5.0563709670383198E-4</v>
      </c>
      <c r="I23">
        <v>6.0047602151093254E-4</v>
      </c>
      <c r="J23">
        <v>5.5936092913189128E-4</v>
      </c>
      <c r="K23">
        <v>3.1775859550228438E-4</v>
      </c>
      <c r="L23">
        <v>-1.7098194098749803E-4</v>
      </c>
      <c r="M23">
        <v>-9.3557834803843125E-4</v>
      </c>
      <c r="N23">
        <v>-1.9909054101949378E-3</v>
      </c>
      <c r="O23">
        <v>-3.3432878572768562E-3</v>
      </c>
      <c r="P23">
        <v>-4.9949266405413051E-3</v>
      </c>
      <c r="Q23">
        <v>-6.9467207554593869E-3</v>
      </c>
      <c r="R23">
        <v>-9.2000473253512956E-3</v>
      </c>
      <c r="S23">
        <v>-1.1757372771039772E-2</v>
      </c>
      <c r="T23">
        <v>-1.4622479204834856E-2</v>
      </c>
      <c r="U23">
        <v>-1.7800370012113355E-2</v>
      </c>
      <c r="V23">
        <v>-2.1297040870568662E-2</v>
      </c>
      <c r="W23">
        <v>-2.5119423380657691E-2</v>
      </c>
      <c r="X23">
        <v>-2.9275082563455481E-2</v>
      </c>
      <c r="Y23">
        <v>-3.377223362255545E-2</v>
      </c>
      <c r="Z23">
        <v>-3.8619557879531613E-2</v>
      </c>
      <c r="AA23">
        <v>-4.382620384973928E-2</v>
      </c>
      <c r="AB23">
        <v>-4.9401743945201165E-2</v>
      </c>
      <c r="AC23">
        <v>-5.5356196760741508E-2</v>
      </c>
      <c r="AD23">
        <v>-6.1699930900047044E-2</v>
      </c>
      <c r="AE23">
        <v>-6.8443823671878443E-2</v>
      </c>
      <c r="AF23">
        <v>-7.5599222859184176E-2</v>
      </c>
      <c r="AG23">
        <v>-8.3178031633208124E-2</v>
      </c>
      <c r="AH23">
        <v>-9.1192796351849986E-2</v>
      </c>
      <c r="AI23">
        <v>-9.9656776966672203E-2</v>
      </c>
      <c r="AJ23">
        <v>-0.10858407937492458</v>
      </c>
      <c r="AK23">
        <v>-0.11798974815615355</v>
      </c>
    </row>
    <row r="24" spans="1:37" x14ac:dyDescent="0.45">
      <c r="A24" t="s">
        <v>51</v>
      </c>
      <c r="B24">
        <v>0</v>
      </c>
      <c r="C24">
        <v>-1.6333346528313514E-6</v>
      </c>
      <c r="D24">
        <v>-7.3087731184659591E-6</v>
      </c>
      <c r="E24">
        <v>-1.4268995974384061E-5</v>
      </c>
      <c r="F24">
        <v>-8.5829260908557879E-6</v>
      </c>
      <c r="G24">
        <v>3.5049168137876712E-5</v>
      </c>
      <c r="H24">
        <v>1.4648755339643089E-4</v>
      </c>
      <c r="I24">
        <v>3.4261896713160293E-4</v>
      </c>
      <c r="J24">
        <v>6.0812864399495447E-4</v>
      </c>
      <c r="K24">
        <v>8.8887956971960111E-4</v>
      </c>
      <c r="L24">
        <v>1.0987043636599783E-3</v>
      </c>
      <c r="M24">
        <v>1.1321972429217443E-3</v>
      </c>
      <c r="N24">
        <v>8.78274494913554E-4</v>
      </c>
      <c r="O24">
        <v>2.3051301588096346E-4</v>
      </c>
      <c r="P24">
        <v>-9.0647498181154417E-4</v>
      </c>
      <c r="Q24">
        <v>-2.6140011181320561E-3</v>
      </c>
      <c r="R24">
        <v>-4.9590077301661182E-3</v>
      </c>
      <c r="S24">
        <v>-7.9950001251304532E-3</v>
      </c>
      <c r="T24">
        <v>-1.1764107961983463E-2</v>
      </c>
      <c r="U24">
        <v>-1.6299076401091055E-2</v>
      </c>
      <c r="V24">
        <v>-2.1625510349500464E-2</v>
      </c>
      <c r="W24">
        <v>-2.7763868243388782E-2</v>
      </c>
      <c r="X24">
        <v>-3.4731242172151101E-2</v>
      </c>
      <c r="Y24">
        <v>-4.2542813834866716E-2</v>
      </c>
      <c r="Z24">
        <v>-5.1213183699007347E-2</v>
      </c>
      <c r="AA24">
        <v>-6.0757481723288237E-2</v>
      </c>
      <c r="AB24">
        <v>-7.1192144376316061E-2</v>
      </c>
      <c r="AC24">
        <v>-8.2535647586407801E-2</v>
      </c>
      <c r="AD24">
        <v>-9.4809091633508744E-2</v>
      </c>
      <c r="AE24">
        <v>-0.10803641917580829</v>
      </c>
      <c r="AF24">
        <v>-0.12224499272802156</v>
      </c>
      <c r="AG24">
        <v>-0.13746558779307877</v>
      </c>
      <c r="AH24">
        <v>-0.15373276051975648</v>
      </c>
      <c r="AI24">
        <v>-0.17108489466145646</v>
      </c>
      <c r="AJ24">
        <v>-0.18956436399481025</v>
      </c>
      <c r="AK24">
        <v>-0.20921771442872386</v>
      </c>
    </row>
    <row r="25" spans="1:37" x14ac:dyDescent="0.45">
      <c r="A25" t="s">
        <v>52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List_Sectors</vt:lpstr>
      <vt:lpstr>Tab-macro</vt:lpstr>
      <vt:lpstr>Tab-GDP</vt:lpstr>
      <vt:lpstr>Baseline</vt:lpstr>
      <vt:lpstr>Shock</vt:lpstr>
      <vt:lpstr>Shock_dev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2021-12-14T11:24:35Z</dcterms:modified>
</cp:coreProperties>
</file>