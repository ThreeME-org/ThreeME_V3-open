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701" activeTab="7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9" i="7" l="1" a="1"/>
  <c r="F47" i="7" s="1"/>
  <c r="B29" i="13" a="1"/>
  <c r="E47" i="13" s="1"/>
  <c r="G47" i="18"/>
  <c r="F47" i="18"/>
  <c r="C47" i="18"/>
  <c r="B47" i="18"/>
  <c r="F46" i="18"/>
  <c r="D46" i="18"/>
  <c r="B46" i="18"/>
  <c r="G45" i="18"/>
  <c r="D45" i="18"/>
  <c r="C45" i="18"/>
  <c r="B45" i="18"/>
  <c r="E44" i="18"/>
  <c r="D44" i="18"/>
  <c r="B44" i="18"/>
  <c r="F43" i="18"/>
  <c r="D43" i="18"/>
  <c r="C43" i="18"/>
  <c r="F42" i="18"/>
  <c r="E42" i="18"/>
  <c r="D42" i="18"/>
  <c r="G41" i="18"/>
  <c r="F41" i="18"/>
  <c r="D41" i="18"/>
  <c r="B41" i="18"/>
  <c r="F40" i="18"/>
  <c r="E40" i="18"/>
  <c r="B40" i="18"/>
  <c r="G39" i="18"/>
  <c r="F39" i="18"/>
  <c r="C39" i="18"/>
  <c r="B39" i="18"/>
  <c r="F38" i="18"/>
  <c r="D38" i="18"/>
  <c r="B38" i="18"/>
  <c r="G37" i="18"/>
  <c r="D37" i="18"/>
  <c r="C37" i="18"/>
  <c r="B37" i="18"/>
  <c r="E36" i="18"/>
  <c r="D36" i="18"/>
  <c r="B36" i="18"/>
  <c r="F35" i="18"/>
  <c r="D35" i="18"/>
  <c r="C35" i="18"/>
  <c r="F34" i="18"/>
  <c r="E34" i="18"/>
  <c r="D34" i="18"/>
  <c r="G33" i="18"/>
  <c r="F33" i="18"/>
  <c r="D33" i="18"/>
  <c r="B33" i="18"/>
  <c r="F32" i="18"/>
  <c r="E32" i="18"/>
  <c r="B32" i="18"/>
  <c r="G31" i="18"/>
  <c r="F31" i="18"/>
  <c r="C31" i="18"/>
  <c r="B31" i="18"/>
  <c r="F30" i="18"/>
  <c r="D30" i="18"/>
  <c r="B30" i="18"/>
  <c r="G29" i="18"/>
  <c r="D29" i="18"/>
  <c r="C29" i="18"/>
  <c r="B29" i="18"/>
  <c r="B29" i="18" a="1"/>
  <c r="E47" i="18" s="1"/>
  <c r="C47" i="26"/>
  <c r="D46" i="26"/>
  <c r="D45" i="26"/>
  <c r="E44" i="26"/>
  <c r="F43" i="26"/>
  <c r="F42" i="26"/>
  <c r="G41" i="26"/>
  <c r="B41" i="26"/>
  <c r="B40" i="26"/>
  <c r="C39" i="26"/>
  <c r="D38" i="26"/>
  <c r="D37" i="26"/>
  <c r="E36" i="26"/>
  <c r="F35" i="26"/>
  <c r="F34" i="26"/>
  <c r="G33" i="26"/>
  <c r="B33" i="26"/>
  <c r="B32" i="26"/>
  <c r="C31" i="26"/>
  <c r="D30" i="26"/>
  <c r="D29" i="26"/>
  <c r="B29" i="26" a="1"/>
  <c r="E47" i="26" s="1"/>
  <c r="B29" i="27" a="1"/>
  <c r="G47" i="27" s="1"/>
  <c r="G47" i="30"/>
  <c r="C47" i="30"/>
  <c r="B47" i="30"/>
  <c r="D46" i="30"/>
  <c r="B46" i="30"/>
  <c r="D45" i="30"/>
  <c r="C45" i="30"/>
  <c r="E44" i="30"/>
  <c r="D44" i="30"/>
  <c r="F43" i="30"/>
  <c r="D43" i="30"/>
  <c r="F42" i="30"/>
  <c r="E42" i="30"/>
  <c r="G41" i="30"/>
  <c r="F41" i="30"/>
  <c r="B41" i="30"/>
  <c r="F40" i="30"/>
  <c r="B40" i="30"/>
  <c r="G39" i="30"/>
  <c r="C39" i="30"/>
  <c r="B39" i="30"/>
  <c r="D38" i="30"/>
  <c r="B38" i="30"/>
  <c r="D37" i="30"/>
  <c r="C37" i="30"/>
  <c r="E36" i="30"/>
  <c r="D36" i="30"/>
  <c r="F35" i="30"/>
  <c r="D35" i="30"/>
  <c r="F34" i="30"/>
  <c r="E34" i="30"/>
  <c r="G33" i="30"/>
  <c r="F33" i="30"/>
  <c r="B33" i="30"/>
  <c r="F32" i="30"/>
  <c r="B32" i="30"/>
  <c r="G31" i="30"/>
  <c r="C31" i="30"/>
  <c r="B31" i="30"/>
  <c r="D30" i="30"/>
  <c r="B30" i="30"/>
  <c r="D29" i="30"/>
  <c r="C29" i="30"/>
  <c r="B29" i="30" a="1"/>
  <c r="E47" i="30" s="1"/>
  <c r="B29" i="31" a="1"/>
  <c r="G47" i="31" s="1"/>
  <c r="B29" i="34" a="1"/>
  <c r="G47" i="34" s="1"/>
  <c r="F29" i="30" l="1"/>
  <c r="E30" i="30"/>
  <c r="D31" i="30"/>
  <c r="D32" i="30"/>
  <c r="C33" i="30"/>
  <c r="B34" i="30"/>
  <c r="B35" i="30"/>
  <c r="G35" i="30"/>
  <c r="F36" i="30"/>
  <c r="F37" i="30"/>
  <c r="E38" i="30"/>
  <c r="D39" i="30"/>
  <c r="D40" i="30"/>
  <c r="C41" i="30"/>
  <c r="B42" i="30"/>
  <c r="B43" i="30"/>
  <c r="G43" i="30"/>
  <c r="F44" i="30"/>
  <c r="F45" i="30"/>
  <c r="E46" i="30"/>
  <c r="D47" i="30"/>
  <c r="B29" i="30"/>
  <c r="G29" i="30"/>
  <c r="F30" i="30"/>
  <c r="F31" i="30"/>
  <c r="E32" i="30"/>
  <c r="D33" i="30"/>
  <c r="D34" i="30"/>
  <c r="C35" i="30"/>
  <c r="B36" i="30"/>
  <c r="B37" i="30"/>
  <c r="G37" i="30"/>
  <c r="F38" i="30"/>
  <c r="F39" i="30"/>
  <c r="E40" i="30"/>
  <c r="D41" i="30"/>
  <c r="D42" i="30"/>
  <c r="C43" i="30"/>
  <c r="B44" i="30"/>
  <c r="B45" i="30"/>
  <c r="G45" i="30"/>
  <c r="F46" i="30"/>
  <c r="F47" i="30"/>
  <c r="F29" i="26"/>
  <c r="E30" i="26"/>
  <c r="D31" i="26"/>
  <c r="D32" i="26"/>
  <c r="C33" i="26"/>
  <c r="B34" i="26"/>
  <c r="B35" i="26"/>
  <c r="G35" i="26"/>
  <c r="F36" i="26"/>
  <c r="F37" i="26"/>
  <c r="E38" i="26"/>
  <c r="D39" i="26"/>
  <c r="D40" i="26"/>
  <c r="C41" i="26"/>
  <c r="B42" i="26"/>
  <c r="B43" i="26"/>
  <c r="G43" i="26"/>
  <c r="F44" i="26"/>
  <c r="F45" i="26"/>
  <c r="E46" i="26"/>
  <c r="D47" i="26"/>
  <c r="B29" i="26"/>
  <c r="G29" i="26"/>
  <c r="F30" i="26"/>
  <c r="F31" i="26"/>
  <c r="E32" i="26"/>
  <c r="D33" i="26"/>
  <c r="D34" i="26"/>
  <c r="C35" i="26"/>
  <c r="B36" i="26"/>
  <c r="B37" i="26"/>
  <c r="G37" i="26"/>
  <c r="F38" i="26"/>
  <c r="F39" i="26"/>
  <c r="E40" i="26"/>
  <c r="D41" i="26"/>
  <c r="D42" i="26"/>
  <c r="C43" i="26"/>
  <c r="B44" i="26"/>
  <c r="B45" i="26"/>
  <c r="G45" i="26"/>
  <c r="F46" i="26"/>
  <c r="F47" i="26"/>
  <c r="C29" i="26"/>
  <c r="B30" i="26"/>
  <c r="B31" i="26"/>
  <c r="G31" i="26"/>
  <c r="F32" i="26"/>
  <c r="F33" i="26"/>
  <c r="E34" i="26"/>
  <c r="D35" i="26"/>
  <c r="D36" i="26"/>
  <c r="C37" i="26"/>
  <c r="B38" i="26"/>
  <c r="B39" i="26"/>
  <c r="G39" i="26"/>
  <c r="F40" i="26"/>
  <c r="F41" i="26"/>
  <c r="E42" i="26"/>
  <c r="D43" i="26"/>
  <c r="D44" i="26"/>
  <c r="C45" i="26"/>
  <c r="B46" i="26"/>
  <c r="B47" i="26"/>
  <c r="G47" i="26"/>
  <c r="F29" i="18"/>
  <c r="E30" i="18"/>
  <c r="D31" i="18"/>
  <c r="D32" i="18"/>
  <c r="C33" i="18"/>
  <c r="B34" i="18"/>
  <c r="B35" i="18"/>
  <c r="G35" i="18"/>
  <c r="F36" i="18"/>
  <c r="F37" i="18"/>
  <c r="E38" i="18"/>
  <c r="D39" i="18"/>
  <c r="D40" i="18"/>
  <c r="C41" i="18"/>
  <c r="B42" i="18"/>
  <c r="B43" i="18"/>
  <c r="G43" i="18"/>
  <c r="F44" i="18"/>
  <c r="F45" i="18"/>
  <c r="E46" i="18"/>
  <c r="D47" i="18"/>
  <c r="E30" i="7"/>
  <c r="D32" i="7"/>
  <c r="B34" i="7"/>
  <c r="G35" i="7"/>
  <c r="F37" i="7"/>
  <c r="D39" i="7"/>
  <c r="C41" i="7"/>
  <c r="B43" i="7"/>
  <c r="F44" i="7"/>
  <c r="F46" i="7"/>
  <c r="B29" i="7"/>
  <c r="F30" i="7"/>
  <c r="E32" i="7"/>
  <c r="D34" i="7"/>
  <c r="B36" i="7"/>
  <c r="G37" i="7"/>
  <c r="F39" i="7"/>
  <c r="D41" i="7"/>
  <c r="C43" i="7"/>
  <c r="G45" i="7"/>
  <c r="C29" i="7"/>
  <c r="B30" i="7"/>
  <c r="B31" i="7"/>
  <c r="G31" i="7"/>
  <c r="F32" i="7"/>
  <c r="F33" i="7"/>
  <c r="E34" i="7"/>
  <c r="D35" i="7"/>
  <c r="D36" i="7"/>
  <c r="C37" i="7"/>
  <c r="B38" i="7"/>
  <c r="B39" i="7"/>
  <c r="G39" i="7"/>
  <c r="F40" i="7"/>
  <c r="F41" i="7"/>
  <c r="E42" i="7"/>
  <c r="D43" i="7"/>
  <c r="D44" i="7"/>
  <c r="C45" i="7"/>
  <c r="B46" i="7"/>
  <c r="D47" i="7"/>
  <c r="F29" i="7"/>
  <c r="D31" i="7"/>
  <c r="C33" i="7"/>
  <c r="B35" i="7"/>
  <c r="F36" i="7"/>
  <c r="E38" i="7"/>
  <c r="D40" i="7"/>
  <c r="B42" i="7"/>
  <c r="G43" i="7"/>
  <c r="F45" i="7"/>
  <c r="G29" i="7"/>
  <c r="F31" i="7"/>
  <c r="D33" i="7"/>
  <c r="C35" i="7"/>
  <c r="B37" i="7"/>
  <c r="F38" i="7"/>
  <c r="E40" i="7"/>
  <c r="D42" i="7"/>
  <c r="B44" i="7"/>
  <c r="B45" i="7"/>
  <c r="C47" i="7"/>
  <c r="D29" i="7"/>
  <c r="D30" i="7"/>
  <c r="C31" i="7"/>
  <c r="B32" i="7"/>
  <c r="B33" i="7"/>
  <c r="G33" i="7"/>
  <c r="F34" i="7"/>
  <c r="F35" i="7"/>
  <c r="E36" i="7"/>
  <c r="D37" i="7"/>
  <c r="D38" i="7"/>
  <c r="C39" i="7"/>
  <c r="B40" i="7"/>
  <c r="B41" i="7"/>
  <c r="G41" i="7"/>
  <c r="F42" i="7"/>
  <c r="F43" i="7"/>
  <c r="E44" i="7"/>
  <c r="D45" i="7"/>
  <c r="E46" i="7"/>
  <c r="G47" i="7"/>
  <c r="D30" i="13"/>
  <c r="B32" i="13"/>
  <c r="F34" i="13"/>
  <c r="E36" i="13"/>
  <c r="D38" i="13"/>
  <c r="B40" i="13"/>
  <c r="G41" i="13"/>
  <c r="F43" i="13"/>
  <c r="D45" i="13"/>
  <c r="D46" i="13"/>
  <c r="D29" i="13"/>
  <c r="C31" i="13"/>
  <c r="B33" i="13"/>
  <c r="G33" i="13"/>
  <c r="F35" i="13"/>
  <c r="D37" i="13"/>
  <c r="C39" i="13"/>
  <c r="B41" i="13"/>
  <c r="F42" i="13"/>
  <c r="E44" i="13"/>
  <c r="C47" i="13"/>
  <c r="B29" i="13"/>
  <c r="G29" i="13"/>
  <c r="F30" i="13"/>
  <c r="F31" i="13"/>
  <c r="E32" i="13"/>
  <c r="D33" i="13"/>
  <c r="D34" i="13"/>
  <c r="C35" i="13"/>
  <c r="B36" i="13"/>
  <c r="B37" i="13"/>
  <c r="G37" i="13"/>
  <c r="F38" i="13"/>
  <c r="F39" i="13"/>
  <c r="E40" i="13"/>
  <c r="D41" i="13"/>
  <c r="D42" i="13"/>
  <c r="C43" i="13"/>
  <c r="B44" i="13"/>
  <c r="B45" i="13"/>
  <c r="G45" i="13"/>
  <c r="F46" i="13"/>
  <c r="F47" i="13"/>
  <c r="F29" i="13"/>
  <c r="E30" i="13"/>
  <c r="D31" i="13"/>
  <c r="D32" i="13"/>
  <c r="C33" i="13"/>
  <c r="B34" i="13"/>
  <c r="B35" i="13"/>
  <c r="G35" i="13"/>
  <c r="F36" i="13"/>
  <c r="F37" i="13"/>
  <c r="E38" i="13"/>
  <c r="D39" i="13"/>
  <c r="D40" i="13"/>
  <c r="C41" i="13"/>
  <c r="B42" i="13"/>
  <c r="B43" i="13"/>
  <c r="G43" i="13"/>
  <c r="F44" i="13"/>
  <c r="F45" i="13"/>
  <c r="E46" i="13"/>
  <c r="D47" i="13"/>
  <c r="C29" i="13"/>
  <c r="B30" i="13"/>
  <c r="B31" i="13"/>
  <c r="G31" i="13"/>
  <c r="F32" i="13"/>
  <c r="F33" i="13"/>
  <c r="E34" i="13"/>
  <c r="D35" i="13"/>
  <c r="D36" i="13"/>
  <c r="C37" i="13"/>
  <c r="B38" i="13"/>
  <c r="B39" i="13"/>
  <c r="G39" i="13"/>
  <c r="F40" i="13"/>
  <c r="F41" i="13"/>
  <c r="E42" i="13"/>
  <c r="D43" i="13"/>
  <c r="D44" i="13"/>
  <c r="C45" i="13"/>
  <c r="B46" i="13"/>
  <c r="B47" i="13"/>
  <c r="G47" i="13"/>
  <c r="D29" i="34"/>
  <c r="E29" i="7"/>
  <c r="C30" i="7"/>
  <c r="G30" i="7"/>
  <c r="E31" i="7"/>
  <c r="C32" i="7"/>
  <c r="G32" i="7"/>
  <c r="E33" i="7"/>
  <c r="C34" i="7"/>
  <c r="G34" i="7"/>
  <c r="E35" i="7"/>
  <c r="C36" i="7"/>
  <c r="G36" i="7"/>
  <c r="E37" i="7"/>
  <c r="C38" i="7"/>
  <c r="G38" i="7"/>
  <c r="E39" i="7"/>
  <c r="C40" i="7"/>
  <c r="G40" i="7"/>
  <c r="E41" i="7"/>
  <c r="C42" i="7"/>
  <c r="G42" i="7"/>
  <c r="E43" i="7"/>
  <c r="C44" i="7"/>
  <c r="G44" i="7"/>
  <c r="E45" i="7"/>
  <c r="C46" i="7"/>
  <c r="G46" i="7"/>
  <c r="E47" i="7"/>
  <c r="D46" i="7"/>
  <c r="B47" i="7"/>
  <c r="E29" i="13"/>
  <c r="C30" i="13"/>
  <c r="G30" i="13"/>
  <c r="E31" i="13"/>
  <c r="C32" i="13"/>
  <c r="G32" i="13"/>
  <c r="E33" i="13"/>
  <c r="C34" i="13"/>
  <c r="G34" i="13"/>
  <c r="E35" i="13"/>
  <c r="C36" i="13"/>
  <c r="G36" i="13"/>
  <c r="E37" i="13"/>
  <c r="C38" i="13"/>
  <c r="G38" i="13"/>
  <c r="E39" i="13"/>
  <c r="C40" i="13"/>
  <c r="G40" i="13"/>
  <c r="E41" i="13"/>
  <c r="C42" i="13"/>
  <c r="G42" i="13"/>
  <c r="E43" i="13"/>
  <c r="C44" i="13"/>
  <c r="G44" i="13"/>
  <c r="E45" i="13"/>
  <c r="C46" i="13"/>
  <c r="G46" i="13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E43" i="18"/>
  <c r="C44" i="18"/>
  <c r="G44" i="18"/>
  <c r="E45" i="18"/>
  <c r="C46" i="18"/>
  <c r="G46" i="18"/>
  <c r="E29" i="26"/>
  <c r="C30" i="26"/>
  <c r="G30" i="26"/>
  <c r="E31" i="26"/>
  <c r="C32" i="26"/>
  <c r="G32" i="26"/>
  <c r="E33" i="26"/>
  <c r="C34" i="26"/>
  <c r="G34" i="26"/>
  <c r="E35" i="26"/>
  <c r="C36" i="26"/>
  <c r="G36" i="26"/>
  <c r="E37" i="26"/>
  <c r="C38" i="26"/>
  <c r="G38" i="26"/>
  <c r="E39" i="26"/>
  <c r="C40" i="26"/>
  <c r="G40" i="26"/>
  <c r="E41" i="26"/>
  <c r="C42" i="26"/>
  <c r="G42" i="26"/>
  <c r="E43" i="26"/>
  <c r="C44" i="26"/>
  <c r="G44" i="26"/>
  <c r="E45" i="26"/>
  <c r="C46" i="26"/>
  <c r="G46" i="26"/>
  <c r="E29" i="27"/>
  <c r="C30" i="27"/>
  <c r="G30" i="27"/>
  <c r="E31" i="27"/>
  <c r="C32" i="27"/>
  <c r="G32" i="27"/>
  <c r="E33" i="27"/>
  <c r="C34" i="27"/>
  <c r="G34" i="27"/>
  <c r="E35" i="27"/>
  <c r="C36" i="27"/>
  <c r="G36" i="27"/>
  <c r="E37" i="27"/>
  <c r="C38" i="27"/>
  <c r="G38" i="27"/>
  <c r="E39" i="27"/>
  <c r="C40" i="27"/>
  <c r="G40" i="27"/>
  <c r="E41" i="27"/>
  <c r="C42" i="27"/>
  <c r="G42" i="27"/>
  <c r="E43" i="27"/>
  <c r="C44" i="27"/>
  <c r="G44" i="27"/>
  <c r="E45" i="27"/>
  <c r="C46" i="27"/>
  <c r="G46" i="27"/>
  <c r="E47" i="27"/>
  <c r="G29" i="27"/>
  <c r="E30" i="27"/>
  <c r="G31" i="27"/>
  <c r="E32" i="27"/>
  <c r="C33" i="27"/>
  <c r="E34" i="27"/>
  <c r="C35" i="27"/>
  <c r="E36" i="27"/>
  <c r="C37" i="27"/>
  <c r="C39" i="27"/>
  <c r="D29" i="27"/>
  <c r="B30" i="27"/>
  <c r="F30" i="27"/>
  <c r="D31" i="27"/>
  <c r="B32" i="27"/>
  <c r="F32" i="27"/>
  <c r="D33" i="27"/>
  <c r="B34" i="27"/>
  <c r="F34" i="27"/>
  <c r="D35" i="27"/>
  <c r="B36" i="27"/>
  <c r="F36" i="27"/>
  <c r="D37" i="27"/>
  <c r="B38" i="27"/>
  <c r="F38" i="27"/>
  <c r="D39" i="27"/>
  <c r="B40" i="27"/>
  <c r="F40" i="27"/>
  <c r="D41" i="27"/>
  <c r="B42" i="27"/>
  <c r="F42" i="27"/>
  <c r="D43" i="27"/>
  <c r="B44" i="27"/>
  <c r="F44" i="27"/>
  <c r="D45" i="27"/>
  <c r="B46" i="27"/>
  <c r="F46" i="27"/>
  <c r="D47" i="27"/>
  <c r="B29" i="27"/>
  <c r="F29" i="27"/>
  <c r="D30" i="27"/>
  <c r="B31" i="27"/>
  <c r="F31" i="27"/>
  <c r="D32" i="27"/>
  <c r="B33" i="27"/>
  <c r="F33" i="27"/>
  <c r="D34" i="27"/>
  <c r="B35" i="27"/>
  <c r="F35" i="27"/>
  <c r="D36" i="27"/>
  <c r="B37" i="27"/>
  <c r="F37" i="27"/>
  <c r="D38" i="27"/>
  <c r="B39" i="27"/>
  <c r="F39" i="27"/>
  <c r="D40" i="27"/>
  <c r="B41" i="27"/>
  <c r="F41" i="27"/>
  <c r="D42" i="27"/>
  <c r="B43" i="27"/>
  <c r="F43" i="27"/>
  <c r="D44" i="27"/>
  <c r="B45" i="27"/>
  <c r="F45" i="27"/>
  <c r="D46" i="27"/>
  <c r="B47" i="27"/>
  <c r="F47" i="27"/>
  <c r="C29" i="27"/>
  <c r="C31" i="27"/>
  <c r="G33" i="27"/>
  <c r="G35" i="27"/>
  <c r="G37" i="27"/>
  <c r="E38" i="27"/>
  <c r="G39" i="27"/>
  <c r="E40" i="27"/>
  <c r="C41" i="27"/>
  <c r="G41" i="27"/>
  <c r="E42" i="27"/>
  <c r="C43" i="27"/>
  <c r="G43" i="27"/>
  <c r="E44" i="27"/>
  <c r="C45" i="27"/>
  <c r="G45" i="27"/>
  <c r="E46" i="27"/>
  <c r="C47" i="27"/>
  <c r="E29" i="30"/>
  <c r="C30" i="30"/>
  <c r="G30" i="30"/>
  <c r="E31" i="30"/>
  <c r="C32" i="30"/>
  <c r="G32" i="30"/>
  <c r="E33" i="30"/>
  <c r="C34" i="30"/>
  <c r="G34" i="30"/>
  <c r="E35" i="30"/>
  <c r="C36" i="30"/>
  <c r="G36" i="30"/>
  <c r="E37" i="30"/>
  <c r="C38" i="30"/>
  <c r="G38" i="30"/>
  <c r="E39" i="30"/>
  <c r="C40" i="30"/>
  <c r="G40" i="30"/>
  <c r="E41" i="30"/>
  <c r="C42" i="30"/>
  <c r="G42" i="30"/>
  <c r="E43" i="30"/>
  <c r="C44" i="30"/>
  <c r="G44" i="30"/>
  <c r="E45" i="30"/>
  <c r="C46" i="30"/>
  <c r="G46" i="30"/>
  <c r="G30" i="31"/>
  <c r="D29" i="31"/>
  <c r="B30" i="31"/>
  <c r="F30" i="31"/>
  <c r="D31" i="31"/>
  <c r="B32" i="31"/>
  <c r="F32" i="31"/>
  <c r="D33" i="31"/>
  <c r="B34" i="31"/>
  <c r="F34" i="31"/>
  <c r="D35" i="31"/>
  <c r="B36" i="31"/>
  <c r="F36" i="31"/>
  <c r="D37" i="31"/>
  <c r="B38" i="31"/>
  <c r="F38" i="31"/>
  <c r="D39" i="31"/>
  <c r="B40" i="31"/>
  <c r="F40" i="31"/>
  <c r="D41" i="31"/>
  <c r="B42" i="31"/>
  <c r="F42" i="31"/>
  <c r="D43" i="31"/>
  <c r="B44" i="31"/>
  <c r="F44" i="31"/>
  <c r="D45" i="31"/>
  <c r="B46" i="31"/>
  <c r="F46" i="31"/>
  <c r="D47" i="31"/>
  <c r="E29" i="31"/>
  <c r="C30" i="31"/>
  <c r="E31" i="31"/>
  <c r="C32" i="31"/>
  <c r="G32" i="31"/>
  <c r="E33" i="31"/>
  <c r="C34" i="31"/>
  <c r="G34" i="31"/>
  <c r="E35" i="31"/>
  <c r="C36" i="31"/>
  <c r="G36" i="31"/>
  <c r="E37" i="31"/>
  <c r="C38" i="31"/>
  <c r="G38" i="31"/>
  <c r="E39" i="31"/>
  <c r="C40" i="31"/>
  <c r="G40" i="31"/>
  <c r="E41" i="31"/>
  <c r="C42" i="31"/>
  <c r="G42" i="31"/>
  <c r="E43" i="31"/>
  <c r="C44" i="31"/>
  <c r="G44" i="31"/>
  <c r="E45" i="31"/>
  <c r="C46" i="31"/>
  <c r="G46" i="31"/>
  <c r="E47" i="31"/>
  <c r="B29" i="31"/>
  <c r="F29" i="31"/>
  <c r="D30" i="31"/>
  <c r="B31" i="31"/>
  <c r="F31" i="31"/>
  <c r="D32" i="31"/>
  <c r="B33" i="31"/>
  <c r="F33" i="31"/>
  <c r="D34" i="31"/>
  <c r="B35" i="31"/>
  <c r="F35" i="31"/>
  <c r="D36" i="31"/>
  <c r="B37" i="31"/>
  <c r="F37" i="31"/>
  <c r="D38" i="31"/>
  <c r="B39" i="31"/>
  <c r="F39" i="31"/>
  <c r="D40" i="31"/>
  <c r="B41" i="31"/>
  <c r="F41" i="31"/>
  <c r="D42" i="31"/>
  <c r="B43" i="31"/>
  <c r="F43" i="31"/>
  <c r="D44" i="31"/>
  <c r="B45" i="31"/>
  <c r="F45" i="31"/>
  <c r="D46" i="31"/>
  <c r="B47" i="31"/>
  <c r="F47" i="31"/>
  <c r="C29" i="31"/>
  <c r="G29" i="31"/>
  <c r="E30" i="31"/>
  <c r="C31" i="31"/>
  <c r="G31" i="31"/>
  <c r="E32" i="31"/>
  <c r="C33" i="31"/>
  <c r="G33" i="31"/>
  <c r="E34" i="31"/>
  <c r="C35" i="31"/>
  <c r="G35" i="31"/>
  <c r="E36" i="31"/>
  <c r="C37" i="31"/>
  <c r="G37" i="31"/>
  <c r="E38" i="31"/>
  <c r="C39" i="31"/>
  <c r="G39" i="31"/>
  <c r="E40" i="31"/>
  <c r="C41" i="31"/>
  <c r="G41" i="31"/>
  <c r="E42" i="31"/>
  <c r="C43" i="31"/>
  <c r="G43" i="31"/>
  <c r="E44" i="31"/>
  <c r="C45" i="31"/>
  <c r="G45" i="31"/>
  <c r="E46" i="31"/>
  <c r="C47" i="31"/>
  <c r="E29" i="34"/>
  <c r="C30" i="34"/>
  <c r="G30" i="34"/>
  <c r="E31" i="34"/>
  <c r="C32" i="34"/>
  <c r="G32" i="34"/>
  <c r="E33" i="34"/>
  <c r="C34" i="34"/>
  <c r="G34" i="34"/>
  <c r="E35" i="34"/>
  <c r="C36" i="34"/>
  <c r="G36" i="34"/>
  <c r="E37" i="34"/>
  <c r="C38" i="34"/>
  <c r="G38" i="34"/>
  <c r="E39" i="34"/>
  <c r="C40" i="34"/>
  <c r="G40" i="34"/>
  <c r="E41" i="34"/>
  <c r="C42" i="34"/>
  <c r="G42" i="34"/>
  <c r="E43" i="34"/>
  <c r="C44" i="34"/>
  <c r="G44" i="34"/>
  <c r="E45" i="34"/>
  <c r="C46" i="34"/>
  <c r="G46" i="34"/>
  <c r="E47" i="34"/>
  <c r="B30" i="34"/>
  <c r="F30" i="34"/>
  <c r="D31" i="34"/>
  <c r="B32" i="34"/>
  <c r="F32" i="34"/>
  <c r="D33" i="34"/>
  <c r="B34" i="34"/>
  <c r="F34" i="34"/>
  <c r="D35" i="34"/>
  <c r="B36" i="34"/>
  <c r="F36" i="34"/>
  <c r="D37" i="34"/>
  <c r="B38" i="34"/>
  <c r="F38" i="34"/>
  <c r="D39" i="34"/>
  <c r="B40" i="34"/>
  <c r="F40" i="34"/>
  <c r="D41" i="34"/>
  <c r="B42" i="34"/>
  <c r="F42" i="34"/>
  <c r="D43" i="34"/>
  <c r="B44" i="34"/>
  <c r="F44" i="34"/>
  <c r="D45" i="34"/>
  <c r="B46" i="34"/>
  <c r="F46" i="34"/>
  <c r="D47" i="34"/>
  <c r="B29" i="34"/>
  <c r="F29" i="34"/>
  <c r="D30" i="34"/>
  <c r="B31" i="34"/>
  <c r="F31" i="34"/>
  <c r="D32" i="34"/>
  <c r="B33" i="34"/>
  <c r="F33" i="34"/>
  <c r="D34" i="34"/>
  <c r="B35" i="34"/>
  <c r="F35" i="34"/>
  <c r="D36" i="34"/>
  <c r="B37" i="34"/>
  <c r="F37" i="34"/>
  <c r="D38" i="34"/>
  <c r="B39" i="34"/>
  <c r="F39" i="34"/>
  <c r="D40" i="34"/>
  <c r="B41" i="34"/>
  <c r="F41" i="34"/>
  <c r="D42" i="34"/>
  <c r="B43" i="34"/>
  <c r="F43" i="34"/>
  <c r="D44" i="34"/>
  <c r="B45" i="34"/>
  <c r="F45" i="34"/>
  <c r="D46" i="34"/>
  <c r="B47" i="34"/>
  <c r="F47" i="34"/>
  <c r="C29" i="34"/>
  <c r="G29" i="34"/>
  <c r="E30" i="34"/>
  <c r="C31" i="34"/>
  <c r="G31" i="34"/>
  <c r="E32" i="34"/>
  <c r="C33" i="34"/>
  <c r="G33" i="34"/>
  <c r="E34" i="34"/>
  <c r="C35" i="34"/>
  <c r="G35" i="34"/>
  <c r="E36" i="34"/>
  <c r="C37" i="34"/>
  <c r="G37" i="34"/>
  <c r="E38" i="34"/>
  <c r="C39" i="34"/>
  <c r="G39" i="34"/>
  <c r="E40" i="34"/>
  <c r="C41" i="34"/>
  <c r="G41" i="34"/>
  <c r="E42" i="34"/>
  <c r="C43" i="34"/>
  <c r="G43" i="34"/>
  <c r="E44" i="34"/>
  <c r="C45" i="34"/>
  <c r="G45" i="34"/>
  <c r="E46" i="34"/>
  <c r="C47" i="34"/>
  <c r="B4" i="34" a="1"/>
  <c r="E4" i="34" s="1"/>
  <c r="D22" i="34" l="1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D4" i="31" s="1"/>
  <c r="B4" i="31"/>
  <c r="C4" i="31"/>
  <c r="E4" i="31"/>
  <c r="F4" i="31"/>
  <c r="G4" i="31"/>
  <c r="C5" i="31"/>
  <c r="D5" i="31"/>
  <c r="E5" i="31"/>
  <c r="G5" i="31"/>
  <c r="B6" i="31"/>
  <c r="C6" i="31"/>
  <c r="E6" i="31"/>
  <c r="F6" i="31"/>
  <c r="G6" i="31"/>
  <c r="C7" i="31"/>
  <c r="D7" i="31"/>
  <c r="E7" i="31"/>
  <c r="G7" i="31"/>
  <c r="B8" i="31"/>
  <c r="C8" i="31"/>
  <c r="E8" i="31"/>
  <c r="F8" i="31"/>
  <c r="G8" i="31"/>
  <c r="C9" i="31"/>
  <c r="D9" i="31"/>
  <c r="E9" i="31"/>
  <c r="G9" i="31"/>
  <c r="B10" i="31"/>
  <c r="C10" i="31"/>
  <c r="E10" i="31"/>
  <c r="F10" i="31"/>
  <c r="G10" i="31"/>
  <c r="C11" i="31"/>
  <c r="D11" i="31"/>
  <c r="E11" i="31"/>
  <c r="G11" i="31"/>
  <c r="B12" i="31"/>
  <c r="C12" i="31"/>
  <c r="E12" i="31"/>
  <c r="F12" i="31"/>
  <c r="G12" i="31"/>
  <c r="C13" i="31"/>
  <c r="D13" i="31"/>
  <c r="E13" i="31"/>
  <c r="G13" i="31"/>
  <c r="B14" i="31"/>
  <c r="C14" i="31"/>
  <c r="E14" i="31"/>
  <c r="F14" i="31"/>
  <c r="G14" i="31"/>
  <c r="C15" i="31"/>
  <c r="D15" i="31"/>
  <c r="E15" i="31"/>
  <c r="G15" i="31"/>
  <c r="B16" i="31"/>
  <c r="C16" i="31"/>
  <c r="E16" i="31"/>
  <c r="F16" i="31"/>
  <c r="G16" i="31"/>
  <c r="C17" i="31"/>
  <c r="D17" i="31"/>
  <c r="E17" i="31"/>
  <c r="G17" i="31"/>
  <c r="B18" i="31"/>
  <c r="C18" i="31"/>
  <c r="E18" i="31"/>
  <c r="F18" i="31"/>
  <c r="G18" i="31"/>
  <c r="C19" i="31"/>
  <c r="D19" i="31"/>
  <c r="E19" i="31"/>
  <c r="G19" i="31"/>
  <c r="B20" i="31"/>
  <c r="C20" i="31"/>
  <c r="E20" i="31"/>
  <c r="F20" i="31"/>
  <c r="G20" i="31"/>
  <c r="C21" i="31"/>
  <c r="D21" i="31"/>
  <c r="E21" i="31"/>
  <c r="G21" i="31"/>
  <c r="B22" i="31"/>
  <c r="C22" i="31"/>
  <c r="E22" i="31"/>
  <c r="F22" i="31"/>
  <c r="G22" i="31"/>
  <c r="D22" i="31" l="1"/>
  <c r="F21" i="31"/>
  <c r="B21" i="31"/>
  <c r="D20" i="31"/>
  <c r="F19" i="31"/>
  <c r="B19" i="31"/>
  <c r="D18" i="31"/>
  <c r="F17" i="31"/>
  <c r="B17" i="31"/>
  <c r="D16" i="31"/>
  <c r="F15" i="31"/>
  <c r="B15" i="31"/>
  <c r="D14" i="31"/>
  <c r="F13" i="31"/>
  <c r="B13" i="31"/>
  <c r="D12" i="31"/>
  <c r="F11" i="31"/>
  <c r="B11" i="31"/>
  <c r="D10" i="31"/>
  <c r="F9" i="31"/>
  <c r="B9" i="31"/>
  <c r="D8" i="31"/>
  <c r="F7" i="31"/>
  <c r="B7" i="31"/>
  <c r="D6" i="31"/>
  <c r="F5" i="31"/>
  <c r="B5" i="31"/>
  <c r="B4" i="30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<sst xmlns="http://schemas.openxmlformats.org/spreadsheetml/2006/main" count="800" uniqueCount="240">
  <si>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</si>
  <si>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</si>
  <si>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</si>
  <si>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</si>
  <si>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</si>
  <si>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</si>
  <si>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</si>
  <si>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</si>
  <si>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</si>
  <si>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</si>
  <si>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</si>
  <si>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</si>
  <si>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</si>
  <si>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</si>
  <si>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</si>
  <si>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</si>
  <si>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</si>
  <si>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</si>
  <si>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</si>
  <si>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</si>
  <si>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</si>
  <si>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</si>
  <si>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</si>
  <si>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</si>
  <si>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</si>
  <si>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</si>
  <si>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</si>
  <si>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</si>
  <si>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</si>
  <si>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</si>
  <si>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</si>
  <si>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</si>
  <si>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</si>
  <si>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</si>
  <si>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</si>
  <si>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</si>
  <si>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</si>
  <si>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</si>
  <si>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</si>
  <si>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</si>
  <si>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</si>
  <si>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</si>
  <si>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</si>
  <si>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</si>
  <si>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</si>
  <si>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</si>
  <si>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</si>
  <si>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</si>
  <si>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</si>
  <si>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</si>
  <si>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50 ans</t>
  </si>
  <si>
    <t>Hausse permanente de 1% de la demande mondiale adressée à la France</t>
  </si>
  <si>
    <t xml:space="preserve">Hausse de 10% du prix des énergies fossiles </t>
  </si>
  <si>
    <t>Hausse de la taxe carbone de 1 point de PIB</t>
  </si>
  <si>
    <t>GDP in value</t>
  </si>
  <si>
    <t>Investment</t>
  </si>
  <si>
    <t>Exports</t>
  </si>
  <si>
    <t>Imports</t>
  </si>
  <si>
    <t>Household consumption</t>
  </si>
  <si>
    <t xml:space="preserve">Household disposable income </t>
  </si>
  <si>
    <t>Saving rate</t>
  </si>
  <si>
    <t>1 year</t>
  </si>
  <si>
    <t>2 years</t>
  </si>
  <si>
    <t>3 years</t>
  </si>
  <si>
    <t>5 years</t>
  </si>
  <si>
    <t>10 years</t>
  </si>
  <si>
    <t>35 years</t>
  </si>
  <si>
    <t xml:space="preserve">3 years </t>
  </si>
  <si>
    <t>Increase of the carbon tax by 1% of GDP</t>
  </si>
  <si>
    <t>Export price index</t>
  </si>
  <si>
    <t>Import price index</t>
  </si>
  <si>
    <t>Household consumption price index</t>
  </si>
  <si>
    <t>Production price index</t>
  </si>
  <si>
    <t>Added value price index</t>
  </si>
  <si>
    <t>Gross nominal wage</t>
  </si>
  <si>
    <t>Real cost of labor</t>
  </si>
  <si>
    <t>Unemployment rate</t>
  </si>
  <si>
    <t>Intermediate consumption price index</t>
  </si>
  <si>
    <t>Wage employment (in thousands)</t>
  </si>
  <si>
    <t>Trade balance (in points of GDP)</t>
  </si>
  <si>
    <t>Public budget balance (in points of GDP)</t>
  </si>
  <si>
    <t>10% permanent devaluation of the euro</t>
  </si>
  <si>
    <t xml:space="preserve">1 point of GDP increase of public spending </t>
  </si>
  <si>
    <t xml:space="preserve">Decrease of Social Employer Contributions by 1% of the ex ante GDP </t>
  </si>
  <si>
    <t>1% of ex ante GDP increase of the VAT</t>
  </si>
  <si>
    <t>Decrease of the household income tax by 1% of the ex ante GDP</t>
  </si>
  <si>
    <t xml:space="preserve">1% permanent increase of the world demand to France </t>
  </si>
  <si>
    <t>10% increase of fossil fuel prices</t>
  </si>
  <si>
    <t>100*(GDP_8/GDP_0-1)</t>
  </si>
  <si>
    <t>100*(CH_8/CH_0-1)</t>
  </si>
  <si>
    <t>100*(I_8/I_0-1)</t>
  </si>
  <si>
    <t>100*(X_8/X_0-1)</t>
  </si>
  <si>
    <t>100*(M_8/M_0-1)</t>
  </si>
  <si>
    <t>100*((DISPINC_AT_VAL_8/PCH_8)/(DISPINC_AT_VAL_0/PCH_0)-1)</t>
  </si>
  <si>
    <t>100*(RSAV_H_VAL_8-RSAV_H_VAL_0)</t>
  </si>
  <si>
    <t>100*(PCH_8/PCH_0-1)</t>
  </si>
  <si>
    <t>100*(PY_8/PY_0-1)</t>
  </si>
  <si>
    <t>100*(PVA_8/PVA_0-1)</t>
  </si>
  <si>
    <t>100*(PCI_8/PCI_0-1)</t>
  </si>
  <si>
    <t>100*(PX_8/PCI_0-1)</t>
  </si>
  <si>
    <t>100*(PM_8/PCI_0-1)</t>
  </si>
  <si>
    <t>100*(W_8/W_0-1)</t>
  </si>
  <si>
    <t>100*((C_L_8/PVA_8)/(C_L_0/PVA_0)-1)</t>
  </si>
  <si>
    <t>F_L_8-F_L_0</t>
  </si>
  <si>
    <t>100*(UNR_8-UNR_0)</t>
  </si>
  <si>
    <t>100*(RBAL_TRADE_VAL_8-RBAL_TRADE_VAL_0)</t>
  </si>
  <si>
    <t>100*(RBAL_G_PRIM_VAL_8-RBAL_G_PRIM_VAL_0)</t>
  </si>
  <si>
    <t>100*(GDP_2/GDP_0-1)</t>
  </si>
  <si>
    <t>100*(CH_2/CH_0-1)</t>
  </si>
  <si>
    <t>100*(I_2/I_0-1)</t>
  </si>
  <si>
    <t>100*(X_2/X_0-1)</t>
  </si>
  <si>
    <t>100*(M_2/M_0-1)</t>
  </si>
  <si>
    <t>100*((DISPINC_AT_VAL_2/PCH_2)/(DISPINC_AT_VAL_0/PCH_0)-1)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</si>
  <si>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</si>
  <si>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</si>
  <si>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</si>
  <si>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</si>
  <si>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</si>
  <si>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</si>
  <si>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</si>
  <si>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</si>
  <si>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</si>
  <si>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F_L_2-F_L_0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</si>
  <si>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</si>
  <si>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</si>
  <si>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</si>
  <si>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</si>
  <si>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</si>
  <si>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</si>
  <si>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</si>
  <si>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</si>
  <si>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100*((DISPINC_AT_VAL_1/PCH_1)/(DISPINC_AT_VAL_0/PCH_0)-1)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</si>
  <si>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</si>
  <si>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</si>
  <si>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</si>
  <si>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</si>
  <si>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</si>
  <si>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</si>
  <si>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</si>
  <si>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</si>
  <si>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</si>
  <si>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F_L_1-F_L_0</t>
  </si>
  <si>
    <t>100*(UNR_1-UNR_0)</t>
  </si>
  <si>
    <t>100*(RBAL_TRADE_VAL_1-RBAL_TRADE_VAL_0)</t>
  </si>
  <si>
    <t>100*(RBAL_G_PRIM_VAL_1-RBAL_G_PRIM_VAL_0)</t>
  </si>
  <si>
    <t>100*(GDP_7/GDP_0-1)</t>
  </si>
  <si>
    <t>100*(CH_7/CH_0-1)</t>
  </si>
  <si>
    <t>100*(I_7/I_0-1)</t>
  </si>
  <si>
    <t>100*(X_7/X_0-1)</t>
  </si>
  <si>
    <t>100*(M_7/M_0-1)</t>
  </si>
  <si>
    <t>100*((DISPINC_AT_VAL_7/PCH_7)/(DISPINC_AT_VAL_0/PCH_0)-1)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</si>
  <si>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</si>
  <si>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</si>
  <si>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</si>
  <si>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</si>
  <si>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</si>
  <si>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</si>
  <si>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</si>
  <si>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</si>
  <si>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</si>
  <si>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F_L_7-F_L_0</t>
  </si>
  <si>
    <t>100*(UNR_7-UNR_0)</t>
  </si>
  <si>
    <t>100*(RBAL_TRADE_VAL_7-RBAL_TRADE_VAL_0)</t>
  </si>
  <si>
    <t>100*(RBAL_G_PRIM_VAL_7-RBAL_G_PRIM_VAL_0)</t>
  </si>
  <si>
    <t>100*(GDP_4/GDP_0-1)</t>
  </si>
  <si>
    <t>100*(CH_4/CH_0-1)</t>
  </si>
  <si>
    <t>100*(I_4/I_0-1)</t>
  </si>
  <si>
    <t>100*(X_4/X_0-1)</t>
  </si>
  <si>
    <t>100*(M_4/M_0-1)</t>
  </si>
  <si>
    <t>100*((DISPINC_AT_VAL_4/PCH_4)/(DISPINC_AT_VAL_0/PCH_0)-1)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</si>
  <si>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</si>
  <si>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</si>
  <si>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</si>
  <si>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</si>
  <si>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</si>
  <si>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</si>
  <si>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</si>
  <si>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</si>
  <si>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</si>
  <si>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F_L_4-F_L_0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</si>
  <si>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</si>
  <si>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</si>
  <si>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</si>
  <si>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</si>
  <si>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</si>
  <si>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</si>
  <si>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</si>
  <si>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</si>
  <si>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100*((DISPINC_AT_VAL_3/PCH_3)/(DISPINC_AT_VAL_0/PCH_0)-1)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</si>
  <si>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</si>
  <si>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</si>
  <si>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</si>
  <si>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</si>
  <si>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</si>
  <si>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</si>
  <si>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</si>
  <si>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</si>
  <si>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</si>
  <si>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F_L_3-F_L_0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</si>
  <si>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</si>
  <si>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</si>
  <si>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</si>
  <si>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</si>
  <si>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</si>
  <si>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</si>
  <si>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</si>
  <si>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</si>
  <si>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100*((DISPINC_AT_VAL_5/PCH_5)/(DISPINC_AT_VAL_0/PCH_0)-1)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</si>
  <si>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</si>
  <si>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</si>
  <si>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</si>
  <si>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</si>
  <si>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</si>
  <si>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</si>
  <si>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</si>
  <si>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</si>
  <si>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</si>
  <si>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F_L_5-F_L_0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</si>
  <si>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</si>
  <si>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</si>
  <si>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</si>
  <si>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</si>
  <si>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</si>
  <si>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</si>
  <si>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</si>
  <si>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</si>
  <si>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100*((DISPINC_AT_VAL_6/PCH_6)/(DISPINC_AT_VAL_0/PCH_0)-1)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</si>
  <si>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</si>
  <si>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</si>
  <si>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</si>
  <si>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</si>
  <si>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</si>
  <si>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</si>
  <si>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</si>
  <si>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</si>
  <si>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</si>
  <si>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F_L_6-F_L_0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</si>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</sst>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4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0" xfId="0" applyFont="1" applyFill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2" fontId="5" fillId="4" borderId="7" xfId="0" applyNumberFormat="1" applyFont="1" applyFill="1" applyBorder="1" applyAlignment="1">
      <alignment wrapText="1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47"/>
  <sheetViews>
    <sheetView showGridLines="0" workbookViewId="0">
      <selection activeCell="Q26" sqref="Q26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0.16722999999999999</v>
      </c>
      <c r="C4" s="14">
        <v>0.32831100000000002</v>
      </c>
      <c r="D4" s="14">
        <v>0.473055</v>
      </c>
      <c r="E4" s="14">
        <v>0.65873400000000004</v>
      </c>
      <c r="F4" s="14">
        <v>0.53301699999999996</v>
      </c>
      <c r="G4" s="15">
        <v>2.9491E-2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-7.8133999999999995E-2</v>
      </c>
      <c r="C5" s="14">
        <v>-1.8304000000000001E-2</v>
      </c>
      <c r="D5" s="14">
        <v>0.115416</v>
      </c>
      <c r="E5" s="14">
        <v>0.39959099999999997</v>
      </c>
      <c r="F5" s="14">
        <v>0.54630800000000002</v>
      </c>
      <c r="G5" s="15">
        <v>-5.2482000000000001E-2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9.6310999999999994E-2</v>
      </c>
      <c r="C6" s="14">
        <v>0.241226</v>
      </c>
      <c r="D6" s="14">
        <v>0.389598</v>
      </c>
      <c r="E6" s="14">
        <v>0.617367</v>
      </c>
      <c r="F6" s="14">
        <v>0.72202299999999997</v>
      </c>
      <c r="G6" s="15">
        <v>0.60619400000000001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0.82613000000000003</v>
      </c>
      <c r="C7" s="14">
        <v>1.350344</v>
      </c>
      <c r="D7" s="14">
        <v>1.6497109999999999</v>
      </c>
      <c r="E7" s="14">
        <v>1.782222</v>
      </c>
      <c r="F7" s="14">
        <v>0.85886399999999996</v>
      </c>
      <c r="G7" s="15">
        <v>-0.180725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2.085E-3</v>
      </c>
      <c r="C8" s="14">
        <v>9.9819000000000005E-2</v>
      </c>
      <c r="D8" s="14">
        <v>0.225025</v>
      </c>
      <c r="E8" s="14">
        <v>0.43826300000000001</v>
      </c>
      <c r="F8" s="14">
        <v>0.49058400000000002</v>
      </c>
      <c r="G8" s="15">
        <v>5.0932999999999999E-2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-0.11496099999999999</v>
      </c>
      <c r="C9" s="14">
        <v>1.9550999999999999E-2</v>
      </c>
      <c r="D9" s="14">
        <v>0.17809700000000001</v>
      </c>
      <c r="E9" s="14">
        <v>0.430952</v>
      </c>
      <c r="F9" s="14">
        <v>0.51253700000000002</v>
      </c>
      <c r="G9" s="15">
        <v>-5.0077000000000003E-2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-3.3043999999999997E-2</v>
      </c>
      <c r="C10" s="14">
        <v>3.3919999999999999E-2</v>
      </c>
      <c r="D10" s="14">
        <v>5.6076000000000001E-2</v>
      </c>
      <c r="E10" s="14">
        <v>2.7986E-2</v>
      </c>
      <c r="F10" s="14">
        <v>-3.0112E-2</v>
      </c>
      <c r="G10" s="15">
        <v>2.1559999999999999E-3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0.39581300000000003</v>
      </c>
      <c r="C11" s="14">
        <v>0.66905400000000004</v>
      </c>
      <c r="D11" s="14">
        <v>1.0221720000000001</v>
      </c>
      <c r="E11" s="14">
        <v>1.9347920000000001</v>
      </c>
      <c r="F11" s="14">
        <v>4.4619479999999996</v>
      </c>
      <c r="G11" s="15">
        <v>5.2049430000000001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0.207922</v>
      </c>
      <c r="C12" s="14">
        <v>0.48577300000000001</v>
      </c>
      <c r="D12" s="14">
        <v>0.850047</v>
      </c>
      <c r="E12" s="14">
        <v>1.7996380000000001</v>
      </c>
      <c r="F12" s="14">
        <v>4.4210690000000001</v>
      </c>
      <c r="G12" s="15">
        <v>5.185073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0.29219200000000001</v>
      </c>
      <c r="C13" s="14">
        <v>0.54980600000000002</v>
      </c>
      <c r="D13" s="14">
        <v>0.89929400000000004</v>
      </c>
      <c r="E13" s="14">
        <v>1.829083</v>
      </c>
      <c r="F13" s="14">
        <v>4.4073419999999999</v>
      </c>
      <c r="G13" s="15">
        <v>5.1595050000000002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0.43303900000000001</v>
      </c>
      <c r="C14" s="14">
        <v>0.71066399999999996</v>
      </c>
      <c r="D14" s="14">
        <v>1.064638</v>
      </c>
      <c r="E14" s="14">
        <v>1.9718340000000001</v>
      </c>
      <c r="F14" s="14">
        <v>4.4692179999999997</v>
      </c>
      <c r="G14" s="15">
        <v>5.1977880000000001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1.4615419999999999</v>
      </c>
      <c r="C15" s="14">
        <v>1.704283</v>
      </c>
      <c r="D15" s="14">
        <v>1.9931140000000001</v>
      </c>
      <c r="E15" s="14">
        <v>2.6995779999999998</v>
      </c>
      <c r="F15" s="14">
        <v>4.6026749999999996</v>
      </c>
      <c r="G15" s="15">
        <v>5.1461870000000003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1.489115</v>
      </c>
      <c r="C16" s="14">
        <v>1.7492509999999999</v>
      </c>
      <c r="D16" s="14">
        <v>2.0444789999999999</v>
      </c>
      <c r="E16" s="14">
        <v>2.7426919999999999</v>
      </c>
      <c r="F16" s="14">
        <v>4.598738</v>
      </c>
      <c r="G16" s="15">
        <v>5.12235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7.1327000000000002E-2</v>
      </c>
      <c r="C17" s="14">
        <v>0.33197599999999999</v>
      </c>
      <c r="D17" s="14">
        <v>0.72058999999999995</v>
      </c>
      <c r="E17" s="14">
        <v>1.736089</v>
      </c>
      <c r="F17" s="14">
        <v>4.4350290000000001</v>
      </c>
      <c r="G17" s="15">
        <v>5.29183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-0.220221</v>
      </c>
      <c r="C18" s="14">
        <v>-0.216639</v>
      </c>
      <c r="D18" s="14">
        <v>-0.17710999999999999</v>
      </c>
      <c r="E18" s="14">
        <v>-9.1324000000000002E-2</v>
      </c>
      <c r="F18" s="14">
        <v>2.6518E-2</v>
      </c>
      <c r="G18" s="15">
        <v>0.125833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30.122209999999999</v>
      </c>
      <c r="C19" s="14">
        <v>75.753339999999994</v>
      </c>
      <c r="D19" s="14">
        <v>124.41500000000001</v>
      </c>
      <c r="E19" s="14">
        <v>198.7133</v>
      </c>
      <c r="F19" s="14">
        <v>170.0547</v>
      </c>
      <c r="G19" s="15">
        <v>-4.6716899999999999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-8.8925000000000004E-2</v>
      </c>
      <c r="C20" s="14">
        <v>-0.21573400000000001</v>
      </c>
      <c r="D20" s="14">
        <v>-0.34390100000000001</v>
      </c>
      <c r="E20" s="14">
        <v>-0.52356899999999995</v>
      </c>
      <c r="F20" s="14">
        <v>-0.40745599999999998</v>
      </c>
      <c r="G20" s="15">
        <v>9.4059999999999994E-3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0.165437</v>
      </c>
      <c r="C21" s="14">
        <v>0.26425599999999999</v>
      </c>
      <c r="D21" s="14">
        <v>0.305533</v>
      </c>
      <c r="E21" s="14">
        <v>0.29229300000000003</v>
      </c>
      <c r="F21" s="14">
        <v>8.5140999999999994E-2</v>
      </c>
      <c r="G21" s="15">
        <v>-4.7923E-2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6.5904000000000004E-2</v>
      </c>
      <c r="C22" s="14">
        <v>0.19437299999999999</v>
      </c>
      <c r="D22" s="14">
        <v>0.321519</v>
      </c>
      <c r="E22" s="14">
        <v>0.49774000000000002</v>
      </c>
      <c r="F22" s="14">
        <v>0.487176</v>
      </c>
      <c r="G22" s="15">
        <v>-2.9274000000000001E-2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  <row r="26" spans="1:13" x14ac:dyDescent="0.25">
      <c r="A26" s="34" t="s">
        <v>81</v>
      </c>
    </row>
    <row r="27" spans="1:13" x14ac:dyDescent="0.25">
      <c r="A27" s="16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17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14">
        <f t="array" ref="B29:G47">TRANSPOSE('EXR10'!$B$3:$T$8)</f>
        <v>0.16722999999999999</v>
      </c>
      <c r="C29" s="14">
        <v>0.32831100000000002</v>
      </c>
      <c r="D29" s="14">
        <v>0.473055</v>
      </c>
      <c r="E29" s="14">
        <v>0.65873400000000004</v>
      </c>
      <c r="F29" s="14">
        <v>0.53301699999999996</v>
      </c>
      <c r="G29" s="15">
        <v>2.9491E-2</v>
      </c>
      <c r="H29" s="12">
        <v>0.48</v>
      </c>
      <c r="I29" s="36">
        <v>0.96</v>
      </c>
      <c r="J29" s="36">
        <v>1.36</v>
      </c>
      <c r="K29" s="36">
        <v>1.39</v>
      </c>
      <c r="L29" s="36">
        <v>0.99</v>
      </c>
      <c r="M29" s="32">
        <v>0.02</v>
      </c>
    </row>
    <row r="30" spans="1:13" x14ac:dyDescent="0.25">
      <c r="A30" s="31" t="s">
        <v>58</v>
      </c>
      <c r="B30" s="14">
        <v>-7.8133999999999995E-2</v>
      </c>
      <c r="C30" s="14">
        <v>-1.8304000000000001E-2</v>
      </c>
      <c r="D30" s="14">
        <v>0.115416</v>
      </c>
      <c r="E30" s="14">
        <v>0.39959099999999997</v>
      </c>
      <c r="F30" s="14">
        <v>0.54630800000000002</v>
      </c>
      <c r="G30" s="15">
        <v>-5.2482000000000001E-2</v>
      </c>
      <c r="H30" s="12">
        <v>-0.03</v>
      </c>
      <c r="I30" s="36">
        <v>0.22</v>
      </c>
      <c r="J30" s="36">
        <v>0.69</v>
      </c>
      <c r="K30" s="36">
        <v>1.1599999999999999</v>
      </c>
      <c r="L30" s="36">
        <v>1.1000000000000001</v>
      </c>
      <c r="M30" s="32">
        <v>-0.03</v>
      </c>
    </row>
    <row r="31" spans="1:13" x14ac:dyDescent="0.25">
      <c r="A31" s="31" t="s">
        <v>55</v>
      </c>
      <c r="B31" s="14">
        <v>9.6310999999999994E-2</v>
      </c>
      <c r="C31" s="14">
        <v>0.241226</v>
      </c>
      <c r="D31" s="14">
        <v>0.389598</v>
      </c>
      <c r="E31" s="14">
        <v>0.617367</v>
      </c>
      <c r="F31" s="14">
        <v>0.72202299999999997</v>
      </c>
      <c r="G31" s="15">
        <v>0.60619400000000001</v>
      </c>
      <c r="H31" s="12">
        <v>0.7</v>
      </c>
      <c r="I31" s="36">
        <v>1.61</v>
      </c>
      <c r="J31" s="36">
        <v>2.2400000000000002</v>
      </c>
      <c r="K31" s="36">
        <v>1.94</v>
      </c>
      <c r="L31" s="36">
        <v>0.93</v>
      </c>
      <c r="M31" s="32">
        <v>0</v>
      </c>
    </row>
    <row r="32" spans="1:13" x14ac:dyDescent="0.25">
      <c r="A32" s="31" t="s">
        <v>56</v>
      </c>
      <c r="B32" s="14">
        <v>0.82613000000000003</v>
      </c>
      <c r="C32" s="14">
        <v>1.350344</v>
      </c>
      <c r="D32" s="14">
        <v>1.6497109999999999</v>
      </c>
      <c r="E32" s="14">
        <v>1.782222</v>
      </c>
      <c r="F32" s="14">
        <v>0.85886399999999996</v>
      </c>
      <c r="G32" s="15">
        <v>-0.180725</v>
      </c>
      <c r="H32" s="12">
        <v>1.33</v>
      </c>
      <c r="I32" s="36">
        <v>2.15</v>
      </c>
      <c r="J32" s="36">
        <v>2.37</v>
      </c>
      <c r="K32" s="36">
        <v>2.31</v>
      </c>
      <c r="L32" s="36">
        <v>1.76</v>
      </c>
      <c r="M32" s="32">
        <v>0.47</v>
      </c>
    </row>
    <row r="33" spans="1:13" x14ac:dyDescent="0.25">
      <c r="A33" s="31" t="s">
        <v>57</v>
      </c>
      <c r="B33" s="14">
        <v>2.085E-3</v>
      </c>
      <c r="C33" s="14">
        <v>9.9819000000000005E-2</v>
      </c>
      <c r="D33" s="14">
        <v>0.225025</v>
      </c>
      <c r="E33" s="14">
        <v>0.43826300000000001</v>
      </c>
      <c r="F33" s="14">
        <v>0.49058400000000002</v>
      </c>
      <c r="G33" s="15">
        <v>5.0932999999999999E-2</v>
      </c>
      <c r="H33" s="12">
        <v>0.38</v>
      </c>
      <c r="I33" s="36">
        <v>0.65</v>
      </c>
      <c r="J33" s="36">
        <v>1.1399999999999999</v>
      </c>
      <c r="K33" s="36">
        <v>1.07</v>
      </c>
      <c r="L33" s="36">
        <v>0.74</v>
      </c>
      <c r="M33" s="32">
        <v>0.28999999999999998</v>
      </c>
    </row>
    <row r="34" spans="1:13" x14ac:dyDescent="0.25">
      <c r="A34" s="31" t="s">
        <v>59</v>
      </c>
      <c r="B34" s="14">
        <v>-0.11496099999999999</v>
      </c>
      <c r="C34" s="14">
        <v>1.9550999999999999E-2</v>
      </c>
      <c r="D34" s="14">
        <v>0.17809700000000001</v>
      </c>
      <c r="E34" s="14">
        <v>0.430952</v>
      </c>
      <c r="F34" s="14">
        <v>0.51253700000000002</v>
      </c>
      <c r="G34" s="15">
        <v>-5.0077000000000003E-2</v>
      </c>
      <c r="H34" s="12">
        <v>-0.12</v>
      </c>
      <c r="I34" s="36">
        <v>0.35</v>
      </c>
      <c r="J34" s="36">
        <v>0.84</v>
      </c>
      <c r="K34" s="36">
        <v>1.28</v>
      </c>
      <c r="L34" s="36">
        <v>1.06</v>
      </c>
      <c r="M34" s="32">
        <v>-0.03</v>
      </c>
    </row>
    <row r="35" spans="1:13" x14ac:dyDescent="0.25">
      <c r="A35" s="31" t="s">
        <v>60</v>
      </c>
      <c r="B35" s="14">
        <v>-3.3043999999999997E-2</v>
      </c>
      <c r="C35" s="14">
        <v>3.3919999999999999E-2</v>
      </c>
      <c r="D35" s="14">
        <v>5.6076000000000001E-2</v>
      </c>
      <c r="E35" s="14">
        <v>2.7986E-2</v>
      </c>
      <c r="F35" s="14">
        <v>-3.0112E-2</v>
      </c>
      <c r="G35" s="15">
        <v>2.1559999999999999E-3</v>
      </c>
      <c r="H35" s="12">
        <v>-7.0000000000000007E-2</v>
      </c>
      <c r="I35" s="36">
        <v>0.11</v>
      </c>
      <c r="J35" s="36">
        <v>0.12</v>
      </c>
      <c r="K35" s="36">
        <v>0.1</v>
      </c>
      <c r="L35" s="36">
        <v>-0.03</v>
      </c>
      <c r="M35" s="32">
        <v>0</v>
      </c>
    </row>
    <row r="36" spans="1:13" x14ac:dyDescent="0.25">
      <c r="A36" s="31" t="s">
        <v>71</v>
      </c>
      <c r="B36" s="14">
        <v>0.39581300000000003</v>
      </c>
      <c r="C36" s="14">
        <v>0.66905400000000004</v>
      </c>
      <c r="D36" s="14">
        <v>1.0221720000000001</v>
      </c>
      <c r="E36" s="14">
        <v>1.9347920000000001</v>
      </c>
      <c r="F36" s="14">
        <v>4.4619479999999996</v>
      </c>
      <c r="G36" s="15">
        <v>5.2049430000000001</v>
      </c>
      <c r="H36" s="12">
        <v>0.57999999999999996</v>
      </c>
      <c r="I36" s="36">
        <v>1.04</v>
      </c>
      <c r="J36" s="36">
        <v>1.46</v>
      </c>
      <c r="K36" s="36">
        <v>2.25</v>
      </c>
      <c r="L36" s="36">
        <v>3.26</v>
      </c>
      <c r="M36" s="32">
        <v>5.14</v>
      </c>
    </row>
    <row r="37" spans="1:13" x14ac:dyDescent="0.25">
      <c r="A37" s="31" t="s">
        <v>72</v>
      </c>
      <c r="B37" s="14">
        <v>0.207922</v>
      </c>
      <c r="C37" s="14">
        <v>0.48577300000000001</v>
      </c>
      <c r="D37" s="14">
        <v>0.850047</v>
      </c>
      <c r="E37" s="14">
        <v>1.7996380000000001</v>
      </c>
      <c r="F37" s="14">
        <v>4.4210690000000001</v>
      </c>
      <c r="G37" s="15">
        <v>5.185073</v>
      </c>
      <c r="H37" s="12">
        <v>0.41</v>
      </c>
      <c r="I37" s="36">
        <v>0.92</v>
      </c>
      <c r="J37" s="36">
        <v>1.45</v>
      </c>
      <c r="K37" s="36">
        <v>2.39</v>
      </c>
      <c r="L37" s="36">
        <v>3.42</v>
      </c>
      <c r="M37" s="32">
        <v>5.2</v>
      </c>
    </row>
    <row r="38" spans="1:13" x14ac:dyDescent="0.25">
      <c r="A38" s="31" t="s">
        <v>73</v>
      </c>
      <c r="B38" s="14">
        <v>0.29219200000000001</v>
      </c>
      <c r="C38" s="14">
        <v>0.54980600000000002</v>
      </c>
      <c r="D38" s="14">
        <v>0.89929400000000004</v>
      </c>
      <c r="E38" s="14">
        <v>1.829083</v>
      </c>
      <c r="F38" s="14">
        <v>4.4073419999999999</v>
      </c>
      <c r="G38" s="15">
        <v>5.1595050000000002</v>
      </c>
      <c r="H38" s="12">
        <v>0.05</v>
      </c>
      <c r="I38" s="36">
        <v>0.44</v>
      </c>
      <c r="J38" s="36">
        <v>0.92</v>
      </c>
      <c r="K38" s="36">
        <v>1.81</v>
      </c>
      <c r="L38" s="36">
        <v>2.95</v>
      </c>
      <c r="M38" s="32">
        <v>5.22</v>
      </c>
    </row>
    <row r="39" spans="1:13" x14ac:dyDescent="0.25">
      <c r="A39" s="31" t="s">
        <v>77</v>
      </c>
      <c r="B39" s="14">
        <v>0.43303900000000001</v>
      </c>
      <c r="C39" s="14">
        <v>0.71066399999999996</v>
      </c>
      <c r="D39" s="14">
        <v>1.064638</v>
      </c>
      <c r="E39" s="14">
        <v>1.9718340000000001</v>
      </c>
      <c r="F39" s="14">
        <v>4.4692179999999997</v>
      </c>
      <c r="G39" s="15">
        <v>5.1977880000000001</v>
      </c>
      <c r="H39" s="12">
        <v>0.67</v>
      </c>
      <c r="I39" s="36">
        <v>1.18</v>
      </c>
      <c r="J39" s="36">
        <v>1.66</v>
      </c>
      <c r="K39" s="36">
        <v>2.54</v>
      </c>
      <c r="L39" s="36">
        <v>3.5</v>
      </c>
      <c r="M39" s="32">
        <v>5.17</v>
      </c>
    </row>
    <row r="40" spans="1:13" x14ac:dyDescent="0.25">
      <c r="A40" s="31" t="s">
        <v>69</v>
      </c>
      <c r="B40" s="14">
        <v>1.4615419999999999</v>
      </c>
      <c r="C40" s="14">
        <v>1.704283</v>
      </c>
      <c r="D40" s="14">
        <v>1.9931140000000001</v>
      </c>
      <c r="E40" s="14">
        <v>2.6995779999999998</v>
      </c>
      <c r="F40" s="14">
        <v>4.6026749999999996</v>
      </c>
      <c r="G40" s="15">
        <v>5.1461870000000003</v>
      </c>
      <c r="H40" s="12">
        <v>1.18</v>
      </c>
      <c r="I40" s="36">
        <v>1.74</v>
      </c>
      <c r="J40" s="36">
        <v>2.19</v>
      </c>
      <c r="K40" s="36">
        <v>3.01</v>
      </c>
      <c r="L40" s="36">
        <v>3.91</v>
      </c>
      <c r="M40" s="32">
        <v>5.33</v>
      </c>
    </row>
    <row r="41" spans="1:13" x14ac:dyDescent="0.25">
      <c r="A41" s="31" t="s">
        <v>70</v>
      </c>
      <c r="B41" s="14">
        <v>1.489115</v>
      </c>
      <c r="C41" s="14">
        <v>1.7492509999999999</v>
      </c>
      <c r="D41" s="14">
        <v>2.0444789999999999</v>
      </c>
      <c r="E41" s="14">
        <v>2.7426919999999999</v>
      </c>
      <c r="F41" s="14">
        <v>4.598738</v>
      </c>
      <c r="G41" s="15">
        <v>5.12235</v>
      </c>
      <c r="H41" s="12">
        <v>1.74</v>
      </c>
      <c r="I41" s="36">
        <v>2.34</v>
      </c>
      <c r="J41" s="36">
        <v>2.66</v>
      </c>
      <c r="K41" s="36">
        <v>3.3</v>
      </c>
      <c r="L41" s="36">
        <v>4.09</v>
      </c>
      <c r="M41" s="32">
        <v>5.35</v>
      </c>
    </row>
    <row r="42" spans="1:13" x14ac:dyDescent="0.25">
      <c r="A42" s="31" t="s">
        <v>74</v>
      </c>
      <c r="B42" s="14">
        <v>7.1327000000000002E-2</v>
      </c>
      <c r="C42" s="14">
        <v>0.33197599999999999</v>
      </c>
      <c r="D42" s="14">
        <v>0.72058999999999995</v>
      </c>
      <c r="E42" s="14">
        <v>1.736089</v>
      </c>
      <c r="F42" s="14">
        <v>4.4350290000000001</v>
      </c>
      <c r="G42" s="15">
        <v>5.29183</v>
      </c>
      <c r="H42" s="12">
        <v>0.52</v>
      </c>
      <c r="I42" s="36">
        <v>1.47</v>
      </c>
      <c r="J42" s="36">
        <v>2.3199999999999998</v>
      </c>
      <c r="K42" s="36">
        <v>3.69</v>
      </c>
      <c r="L42" s="36">
        <v>4.6399999999999997</v>
      </c>
      <c r="M42" s="32">
        <v>5.25</v>
      </c>
    </row>
    <row r="43" spans="1:13" x14ac:dyDescent="0.25">
      <c r="A43" s="31" t="s">
        <v>75</v>
      </c>
      <c r="B43" s="14">
        <v>-0.220221</v>
      </c>
      <c r="C43" s="14">
        <v>-0.216639</v>
      </c>
      <c r="D43" s="14">
        <v>-0.17710999999999999</v>
      </c>
      <c r="E43" s="14">
        <v>-9.1324000000000002E-2</v>
      </c>
      <c r="F43" s="14">
        <v>2.6518E-2</v>
      </c>
      <c r="G43" s="15">
        <v>0.125833</v>
      </c>
      <c r="H43" s="12">
        <v>0.47</v>
      </c>
      <c r="I43" s="36">
        <v>1.02</v>
      </c>
      <c r="J43" s="36">
        <v>1.39</v>
      </c>
      <c r="K43" s="36">
        <v>1.85</v>
      </c>
      <c r="L43" s="36">
        <v>1.65</v>
      </c>
      <c r="M43" s="32">
        <v>0.03</v>
      </c>
    </row>
    <row r="44" spans="1:13" x14ac:dyDescent="0.25">
      <c r="A44" s="31" t="s">
        <v>78</v>
      </c>
      <c r="B44" s="14">
        <v>30.122209999999999</v>
      </c>
      <c r="C44" s="14">
        <v>75.753339999999994</v>
      </c>
      <c r="D44" s="14">
        <v>124.41500000000001</v>
      </c>
      <c r="E44" s="14">
        <v>198.7133</v>
      </c>
      <c r="F44" s="14">
        <v>170.0547</v>
      </c>
      <c r="G44" s="15">
        <v>-4.6716899999999999</v>
      </c>
      <c r="H44" s="12">
        <v>24</v>
      </c>
      <c r="I44" s="36">
        <v>90</v>
      </c>
      <c r="J44" s="36">
        <v>160</v>
      </c>
      <c r="K44" s="36">
        <v>186</v>
      </c>
      <c r="L44" s="36">
        <v>98</v>
      </c>
      <c r="M44" s="32">
        <v>2</v>
      </c>
    </row>
    <row r="45" spans="1:13" x14ac:dyDescent="0.25">
      <c r="A45" s="31" t="s">
        <v>76</v>
      </c>
      <c r="B45" s="14">
        <v>-8.8925000000000004E-2</v>
      </c>
      <c r="C45" s="14">
        <v>-0.21573400000000001</v>
      </c>
      <c r="D45" s="14">
        <v>-0.34390100000000001</v>
      </c>
      <c r="E45" s="14">
        <v>-0.52356899999999995</v>
      </c>
      <c r="F45" s="14">
        <v>-0.40745599999999998</v>
      </c>
      <c r="G45" s="15">
        <v>9.4059999999999994E-3</v>
      </c>
      <c r="H45" s="12">
        <v>-0.1</v>
      </c>
      <c r="I45" s="36">
        <v>-0.38</v>
      </c>
      <c r="J45" s="36">
        <v>-0.67</v>
      </c>
      <c r="K45" s="36">
        <v>-0.78</v>
      </c>
      <c r="L45" s="36">
        <v>-0.41</v>
      </c>
      <c r="M45" s="32">
        <v>-0.01</v>
      </c>
    </row>
    <row r="46" spans="1:13" x14ac:dyDescent="0.25">
      <c r="A46" s="31" t="s">
        <v>79</v>
      </c>
      <c r="B46" s="14">
        <v>0.165437</v>
      </c>
      <c r="C46" s="14">
        <v>0.26425599999999999</v>
      </c>
      <c r="D46" s="14">
        <v>0.305533</v>
      </c>
      <c r="E46" s="14">
        <v>0.29229300000000003</v>
      </c>
      <c r="F46" s="14">
        <v>8.5140999999999994E-2</v>
      </c>
      <c r="G46" s="15">
        <v>-4.7923E-2</v>
      </c>
      <c r="H46" s="12">
        <v>0.09</v>
      </c>
      <c r="I46" s="36">
        <v>0.25</v>
      </c>
      <c r="J46" s="36">
        <v>0.21</v>
      </c>
      <c r="K46" s="36">
        <v>0.28000000000000003</v>
      </c>
      <c r="L46" s="36">
        <v>0.24</v>
      </c>
      <c r="M46" s="32">
        <v>0.04</v>
      </c>
    </row>
    <row r="47" spans="1:13" x14ac:dyDescent="0.25">
      <c r="A47" s="46" t="s">
        <v>80</v>
      </c>
      <c r="B47" s="14">
        <v>6.5904000000000004E-2</v>
      </c>
      <c r="C47" s="14">
        <v>0.19437299999999999</v>
      </c>
      <c r="D47" s="14">
        <v>0.321519</v>
      </c>
      <c r="E47" s="14">
        <v>0.49774000000000002</v>
      </c>
      <c r="F47" s="14">
        <v>0.487176</v>
      </c>
      <c r="G47" s="15">
        <v>-2.9274000000000001E-2</v>
      </c>
      <c r="H47" s="12">
        <v>0.11</v>
      </c>
      <c r="I47" s="36">
        <v>0.28000000000000003</v>
      </c>
      <c r="J47" s="36">
        <v>0.44</v>
      </c>
      <c r="K47" s="36">
        <v>0.41</v>
      </c>
      <c r="L47" s="36">
        <v>0.16</v>
      </c>
      <c r="M47" s="32">
        <v>-0.28000000000000003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47"/>
  <sheetViews>
    <sheetView showGridLines="0" workbookViewId="0">
      <selection activeCell="B27" sqref="B27:M28"/>
    </sheetView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52" t="s">
        <v>47</v>
      </c>
      <c r="C2" s="53"/>
      <c r="D2" s="53"/>
      <c r="E2" s="53"/>
      <c r="F2" s="53"/>
      <c r="G2" s="54"/>
      <c r="H2" s="55" t="s">
        <v>46</v>
      </c>
      <c r="I2" s="56"/>
      <c r="J2" s="56"/>
      <c r="K2" s="56"/>
      <c r="L2" s="56"/>
      <c r="M2" s="57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0.61197699999999999</v>
      </c>
      <c r="C4" s="19">
        <v>0.71119299999999996</v>
      </c>
      <c r="D4" s="19">
        <v>0.77088100000000004</v>
      </c>
      <c r="E4" s="19">
        <v>0.75822599999999996</v>
      </c>
      <c r="F4" s="19">
        <v>0.40844000000000003</v>
      </c>
      <c r="G4" s="21">
        <v>7.7134999999999995E-2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0.201542</v>
      </c>
      <c r="C5" s="19">
        <v>0.42311199999999999</v>
      </c>
      <c r="D5" s="19">
        <v>0.59202399999999999</v>
      </c>
      <c r="E5" s="19">
        <v>0.728684</v>
      </c>
      <c r="F5" s="19">
        <v>0.50880000000000003</v>
      </c>
      <c r="G5" s="21">
        <v>2.8111000000000001E-2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0.28879899999999997</v>
      </c>
      <c r="C6" s="19">
        <v>0.47637600000000002</v>
      </c>
      <c r="D6" s="19">
        <v>0.58540800000000004</v>
      </c>
      <c r="E6" s="19">
        <v>0.64564500000000002</v>
      </c>
      <c r="F6" s="19">
        <v>0.48213</v>
      </c>
      <c r="G6" s="21">
        <v>0.172787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-2.3993E-2</v>
      </c>
      <c r="C7" s="19">
        <v>-8.5314000000000001E-2</v>
      </c>
      <c r="D7" s="19">
        <v>-0.187143</v>
      </c>
      <c r="E7" s="19">
        <v>-0.49040800000000001</v>
      </c>
      <c r="F7" s="19">
        <v>-1.3611880000000001</v>
      </c>
      <c r="G7" s="21">
        <v>-0.98333800000000005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0.32650200000000001</v>
      </c>
      <c r="C8" s="19">
        <v>0.48602800000000002</v>
      </c>
      <c r="D8" s="19">
        <v>0.58529299999999995</v>
      </c>
      <c r="E8" s="19">
        <v>0.63466599999999995</v>
      </c>
      <c r="F8" s="19">
        <v>0.39738499999999999</v>
      </c>
      <c r="G8" s="21">
        <v>4.1223000000000003E-2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0.29652400000000001</v>
      </c>
      <c r="C9" s="19">
        <v>0.50233700000000003</v>
      </c>
      <c r="D9" s="19">
        <v>0.62534999999999996</v>
      </c>
      <c r="E9" s="19">
        <v>0.69329300000000005</v>
      </c>
      <c r="F9" s="19">
        <v>0.48468299999999997</v>
      </c>
      <c r="G9" s="21">
        <v>3.0117000000000001E-2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8.4874000000000005E-2</v>
      </c>
      <c r="C10" s="19">
        <v>7.0648000000000002E-2</v>
      </c>
      <c r="D10" s="19">
        <v>2.9682E-2</v>
      </c>
      <c r="E10" s="19">
        <v>-3.1498999999999999E-2</v>
      </c>
      <c r="F10" s="19">
        <v>-2.1510000000000001E-2</v>
      </c>
      <c r="G10" s="21">
        <v>1.797E-3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0.15060599999999999</v>
      </c>
      <c r="C11" s="19">
        <v>0.40790300000000002</v>
      </c>
      <c r="D11" s="19">
        <v>0.73625700000000005</v>
      </c>
      <c r="E11" s="19">
        <v>1.4815100000000001</v>
      </c>
      <c r="F11" s="19">
        <v>2.8988670000000001</v>
      </c>
      <c r="G11" s="21">
        <v>1.4771259999999999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0.16192400000000001</v>
      </c>
      <c r="C12" s="19">
        <v>0.43738300000000002</v>
      </c>
      <c r="D12" s="19">
        <v>0.78635600000000005</v>
      </c>
      <c r="E12" s="19">
        <v>1.569042</v>
      </c>
      <c r="F12" s="19">
        <v>3.0257420000000002</v>
      </c>
      <c r="G12" s="21">
        <v>1.5357860000000001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0.16648499999999999</v>
      </c>
      <c r="C13" s="19">
        <v>0.44564100000000001</v>
      </c>
      <c r="D13" s="19">
        <v>0.795431</v>
      </c>
      <c r="E13" s="19">
        <v>1.5707059999999999</v>
      </c>
      <c r="F13" s="19">
        <v>2.991892</v>
      </c>
      <c r="G13" s="21">
        <v>1.5137769999999999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0.14874799999999999</v>
      </c>
      <c r="C14" s="19">
        <v>0.40452300000000002</v>
      </c>
      <c r="D14" s="19">
        <v>0.73147499999999999</v>
      </c>
      <c r="E14" s="19">
        <v>1.472588</v>
      </c>
      <c r="F14" s="19">
        <v>2.8729689999999999</v>
      </c>
      <c r="G14" s="21">
        <v>1.461036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0.100032</v>
      </c>
      <c r="C15" s="19">
        <v>0.286049</v>
      </c>
      <c r="D15" s="19">
        <v>0.53297499999999998</v>
      </c>
      <c r="E15" s="19">
        <v>1.1045769999999999</v>
      </c>
      <c r="F15" s="19">
        <v>2.1822859999999999</v>
      </c>
      <c r="G15" s="21">
        <v>1.1240859999999999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9.1424000000000005E-2</v>
      </c>
      <c r="C16" s="19">
        <v>0.267515</v>
      </c>
      <c r="D16" s="19">
        <v>0.505525</v>
      </c>
      <c r="E16" s="19">
        <v>1.0640480000000001</v>
      </c>
      <c r="F16" s="19">
        <v>2.1277249999999999</v>
      </c>
      <c r="G16" s="21">
        <v>1.095982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0.22400800000000001</v>
      </c>
      <c r="C17" s="19">
        <v>0.55766899999999997</v>
      </c>
      <c r="D17" s="19">
        <v>0.94415000000000004</v>
      </c>
      <c r="E17" s="19">
        <v>1.7475480000000001</v>
      </c>
      <c r="F17" s="19">
        <v>3.1811759999999998</v>
      </c>
      <c r="G17" s="21">
        <v>1.645896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5.7426999999999999E-2</v>
      </c>
      <c r="C18" s="19">
        <v>0.11153100000000001</v>
      </c>
      <c r="D18" s="19">
        <v>0.14754500000000001</v>
      </c>
      <c r="E18" s="19">
        <v>0.17410700000000001</v>
      </c>
      <c r="F18" s="19">
        <v>0.183786</v>
      </c>
      <c r="G18" s="21">
        <v>0.13014899999999999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94.108599999999996</v>
      </c>
      <c r="C19" s="19">
        <v>161.61600000000001</v>
      </c>
      <c r="D19" s="19">
        <v>203.86369999999999</v>
      </c>
      <c r="E19" s="19">
        <v>226.83179999999999</v>
      </c>
      <c r="F19" s="19">
        <v>110.4285</v>
      </c>
      <c r="G19" s="21">
        <v>18.230090000000001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-0.27772799999999997</v>
      </c>
      <c r="C20" s="19">
        <v>-0.45287699999999997</v>
      </c>
      <c r="D20" s="19">
        <v>-0.54978400000000005</v>
      </c>
      <c r="E20" s="19">
        <v>-0.57925599999999999</v>
      </c>
      <c r="F20" s="19">
        <v>-0.254106</v>
      </c>
      <c r="G20" s="21">
        <v>-4.2377999999999999E-2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-7.1409E-2</v>
      </c>
      <c r="C21" s="19">
        <v>-0.119603</v>
      </c>
      <c r="D21" s="19">
        <v>-0.16256999999999999</v>
      </c>
      <c r="E21" s="19">
        <v>-0.23778199999999999</v>
      </c>
      <c r="F21" s="19">
        <v>-0.37681599999999998</v>
      </c>
      <c r="G21" s="21">
        <v>-0.22323499999999999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-0.287414</v>
      </c>
      <c r="C22" s="19">
        <v>-0.13458300000000001</v>
      </c>
      <c r="D22" s="19">
        <v>-4.5527999999999999E-2</v>
      </c>
      <c r="E22" s="19">
        <v>2.679E-3</v>
      </c>
      <c r="F22" s="19">
        <v>-0.141703</v>
      </c>
      <c r="G22" s="21">
        <v>-0.31148900000000002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ht="30" x14ac:dyDescent="0.25">
      <c r="A26" s="35" t="s">
        <v>82</v>
      </c>
      <c r="B26" s="8"/>
      <c r="C26" s="8"/>
      <c r="D26" s="8"/>
      <c r="E26" s="8"/>
      <c r="F26" s="8"/>
      <c r="G26" s="8"/>
    </row>
    <row r="27" spans="1:13" x14ac:dyDescent="0.25">
      <c r="A27" s="16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0">
        <f t="array" ref="B29:G47">TRANSPOSE(EXPG1!$B$3:$T$8)</f>
        <v>0.61197699999999999</v>
      </c>
      <c r="C29" s="19">
        <v>0.71119299999999996</v>
      </c>
      <c r="D29" s="19">
        <v>0.77088100000000004</v>
      </c>
      <c r="E29" s="19">
        <v>0.75822599999999996</v>
      </c>
      <c r="F29" s="19">
        <v>0.40844000000000003</v>
      </c>
      <c r="G29" s="21">
        <v>7.7134999999999995E-2</v>
      </c>
      <c r="H29" s="13">
        <v>0.78</v>
      </c>
      <c r="I29" s="13">
        <v>1.06</v>
      </c>
      <c r="J29" s="13">
        <v>1.03</v>
      </c>
      <c r="K29" s="13">
        <v>0.86</v>
      </c>
      <c r="L29" s="13">
        <v>0.53</v>
      </c>
      <c r="M29" s="32">
        <v>0.16</v>
      </c>
    </row>
    <row r="30" spans="1:13" x14ac:dyDescent="0.25">
      <c r="A30" s="31" t="s">
        <v>58</v>
      </c>
      <c r="B30" s="20">
        <v>0.201542</v>
      </c>
      <c r="C30" s="19">
        <v>0.42311199999999999</v>
      </c>
      <c r="D30" s="19">
        <v>0.59202399999999999</v>
      </c>
      <c r="E30" s="19">
        <v>0.728684</v>
      </c>
      <c r="F30" s="19">
        <v>0.50880000000000003</v>
      </c>
      <c r="G30" s="21">
        <v>2.8111000000000001E-2</v>
      </c>
      <c r="H30" s="13">
        <v>0.69</v>
      </c>
      <c r="I30" s="13">
        <v>1.35</v>
      </c>
      <c r="J30" s="13">
        <v>1.64</v>
      </c>
      <c r="K30" s="13">
        <v>1.85</v>
      </c>
      <c r="L30" s="13">
        <v>1.63</v>
      </c>
      <c r="M30" s="32">
        <v>1.1499999999999999</v>
      </c>
    </row>
    <row r="31" spans="1:13" x14ac:dyDescent="0.25">
      <c r="A31" s="31" t="s">
        <v>55</v>
      </c>
      <c r="B31" s="20">
        <v>0.28879899999999997</v>
      </c>
      <c r="C31" s="19">
        <v>0.47637600000000002</v>
      </c>
      <c r="D31" s="19">
        <v>0.58540800000000004</v>
      </c>
      <c r="E31" s="19">
        <v>0.64564500000000002</v>
      </c>
      <c r="F31" s="19">
        <v>0.48213</v>
      </c>
      <c r="G31" s="21">
        <v>0.172787</v>
      </c>
      <c r="H31" s="13">
        <v>1.24</v>
      </c>
      <c r="I31" s="13">
        <v>1.96</v>
      </c>
      <c r="J31" s="13">
        <v>1.83</v>
      </c>
      <c r="K31" s="13">
        <v>1.29</v>
      </c>
      <c r="L31" s="13">
        <v>0.76</v>
      </c>
      <c r="M31" s="32">
        <v>0.47</v>
      </c>
    </row>
    <row r="32" spans="1:13" x14ac:dyDescent="0.25">
      <c r="A32" s="31" t="s">
        <v>56</v>
      </c>
      <c r="B32" s="20">
        <v>-2.3993E-2</v>
      </c>
      <c r="C32" s="19">
        <v>-8.5314000000000001E-2</v>
      </c>
      <c r="D32" s="19">
        <v>-0.187143</v>
      </c>
      <c r="E32" s="19">
        <v>-0.49040800000000001</v>
      </c>
      <c r="F32" s="19">
        <v>-1.3611880000000001</v>
      </c>
      <c r="G32" s="21">
        <v>-0.98333800000000005</v>
      </c>
      <c r="H32" s="13">
        <v>0</v>
      </c>
      <c r="I32" s="13">
        <v>-0.16</v>
      </c>
      <c r="J32" s="13">
        <v>-0.38</v>
      </c>
      <c r="K32" s="13">
        <v>-0.78</v>
      </c>
      <c r="L32" s="13">
        <v>-1.27</v>
      </c>
      <c r="M32" s="32">
        <v>-1.73</v>
      </c>
    </row>
    <row r="33" spans="1:13" x14ac:dyDescent="0.25">
      <c r="A33" s="31" t="s">
        <v>57</v>
      </c>
      <c r="B33" s="20">
        <v>0.32650200000000001</v>
      </c>
      <c r="C33" s="19">
        <v>0.48602800000000002</v>
      </c>
      <c r="D33" s="19">
        <v>0.58529299999999995</v>
      </c>
      <c r="E33" s="19">
        <v>0.63466599999999995</v>
      </c>
      <c r="F33" s="19">
        <v>0.39738499999999999</v>
      </c>
      <c r="G33" s="21">
        <v>4.1223000000000003E-2</v>
      </c>
      <c r="H33" s="13">
        <v>0.98</v>
      </c>
      <c r="I33" s="13">
        <v>1.51</v>
      </c>
      <c r="J33" s="13">
        <v>1.45</v>
      </c>
      <c r="K33" s="13">
        <v>1.33</v>
      </c>
      <c r="L33" s="13">
        <v>1.1599999999999999</v>
      </c>
      <c r="M33" s="32">
        <v>1.03</v>
      </c>
    </row>
    <row r="34" spans="1:13" x14ac:dyDescent="0.25">
      <c r="A34" s="31" t="s">
        <v>59</v>
      </c>
      <c r="B34" s="20">
        <v>0.29652400000000001</v>
      </c>
      <c r="C34" s="19">
        <v>0.50233700000000003</v>
      </c>
      <c r="D34" s="19">
        <v>0.62534999999999996</v>
      </c>
      <c r="E34" s="19">
        <v>0.69329300000000005</v>
      </c>
      <c r="F34" s="19">
        <v>0.48468299999999997</v>
      </c>
      <c r="G34" s="21">
        <v>3.0117000000000001E-2</v>
      </c>
      <c r="H34" s="13">
        <v>1.22</v>
      </c>
      <c r="I34" s="13">
        <v>1.57</v>
      </c>
      <c r="J34" s="13">
        <v>1.82</v>
      </c>
      <c r="K34" s="13">
        <v>1.98</v>
      </c>
      <c r="L34" s="13">
        <v>1.58</v>
      </c>
      <c r="M34" s="32">
        <v>1.1499999999999999</v>
      </c>
    </row>
    <row r="35" spans="1:13" x14ac:dyDescent="0.25">
      <c r="A35" s="31" t="s">
        <v>60</v>
      </c>
      <c r="B35" s="20">
        <v>8.4874000000000005E-2</v>
      </c>
      <c r="C35" s="19">
        <v>7.0648000000000002E-2</v>
      </c>
      <c r="D35" s="19">
        <v>2.9682E-2</v>
      </c>
      <c r="E35" s="19">
        <v>-3.1498999999999999E-2</v>
      </c>
      <c r="F35" s="19">
        <v>-2.1510000000000001E-2</v>
      </c>
      <c r="G35" s="21">
        <v>1.797E-3</v>
      </c>
      <c r="H35" s="13">
        <v>0.46</v>
      </c>
      <c r="I35" s="13">
        <v>0.19</v>
      </c>
      <c r="J35" s="13">
        <v>0.15</v>
      </c>
      <c r="K35" s="13">
        <v>0.11</v>
      </c>
      <c r="L35" s="13">
        <v>-0.04</v>
      </c>
      <c r="M35" s="32">
        <v>0</v>
      </c>
    </row>
    <row r="36" spans="1:13" x14ac:dyDescent="0.25">
      <c r="A36" s="31" t="s">
        <v>71</v>
      </c>
      <c r="B36" s="20">
        <v>0.15060599999999999</v>
      </c>
      <c r="C36" s="19">
        <v>0.40790300000000002</v>
      </c>
      <c r="D36" s="19">
        <v>0.73625700000000005</v>
      </c>
      <c r="E36" s="19">
        <v>1.4815100000000001</v>
      </c>
      <c r="F36" s="19">
        <v>2.8988670000000001</v>
      </c>
      <c r="G36" s="21">
        <v>1.4771259999999999</v>
      </c>
      <c r="H36" s="13">
        <v>0.2</v>
      </c>
      <c r="I36" s="13">
        <v>0.57999999999999996</v>
      </c>
      <c r="J36" s="13">
        <v>0.94</v>
      </c>
      <c r="K36" s="13">
        <v>1.42</v>
      </c>
      <c r="L36" s="13">
        <v>1.88</v>
      </c>
      <c r="M36" s="32">
        <v>2.69</v>
      </c>
    </row>
    <row r="37" spans="1:13" x14ac:dyDescent="0.25">
      <c r="A37" s="31" t="s">
        <v>72</v>
      </c>
      <c r="B37" s="20">
        <v>0.16192400000000001</v>
      </c>
      <c r="C37" s="19">
        <v>0.43738300000000002</v>
      </c>
      <c r="D37" s="19">
        <v>0.78635600000000005</v>
      </c>
      <c r="E37" s="19">
        <v>1.569042</v>
      </c>
      <c r="F37" s="19">
        <v>3.0257420000000002</v>
      </c>
      <c r="G37" s="21">
        <v>1.5357860000000001</v>
      </c>
      <c r="H37" s="13">
        <v>0.32</v>
      </c>
      <c r="I37" s="13">
        <v>0.77</v>
      </c>
      <c r="J37" s="13">
        <v>1.21</v>
      </c>
      <c r="K37" s="13">
        <v>1.76</v>
      </c>
      <c r="L37" s="13">
        <v>2.17</v>
      </c>
      <c r="M37" s="32">
        <v>2.95</v>
      </c>
    </row>
    <row r="38" spans="1:13" x14ac:dyDescent="0.25">
      <c r="A38" s="31" t="s">
        <v>73</v>
      </c>
      <c r="B38" s="20">
        <v>0.16648499999999999</v>
      </c>
      <c r="C38" s="19">
        <v>0.44564100000000001</v>
      </c>
      <c r="D38" s="19">
        <v>0.795431</v>
      </c>
      <c r="E38" s="19">
        <v>1.5707059999999999</v>
      </c>
      <c r="F38" s="19">
        <v>2.991892</v>
      </c>
      <c r="G38" s="21">
        <v>1.5137769999999999</v>
      </c>
      <c r="H38" s="13">
        <v>0.15</v>
      </c>
      <c r="I38" s="13">
        <v>0.59</v>
      </c>
      <c r="J38" s="13">
        <v>0.99</v>
      </c>
      <c r="K38" s="13">
        <v>1.51</v>
      </c>
      <c r="L38" s="13">
        <v>2.0299999999999998</v>
      </c>
      <c r="M38" s="32">
        <v>3.04</v>
      </c>
    </row>
    <row r="39" spans="1:13" x14ac:dyDescent="0.25">
      <c r="A39" s="31" t="s">
        <v>77</v>
      </c>
      <c r="B39" s="20">
        <v>0.14874799999999999</v>
      </c>
      <c r="C39" s="19">
        <v>0.40452300000000002</v>
      </c>
      <c r="D39" s="19">
        <v>0.73147499999999999</v>
      </c>
      <c r="E39" s="19">
        <v>1.472588</v>
      </c>
      <c r="F39" s="19">
        <v>2.8729689999999999</v>
      </c>
      <c r="G39" s="21">
        <v>1.461036</v>
      </c>
      <c r="H39" s="13">
        <v>0.16</v>
      </c>
      <c r="I39" s="13">
        <v>0.55000000000000004</v>
      </c>
      <c r="J39" s="13">
        <v>0.96</v>
      </c>
      <c r="K39" s="13">
        <v>1.47</v>
      </c>
      <c r="L39" s="13">
        <v>1.88</v>
      </c>
      <c r="M39" s="32">
        <v>2.59</v>
      </c>
    </row>
    <row r="40" spans="1:13" x14ac:dyDescent="0.25">
      <c r="A40" s="31" t="s">
        <v>69</v>
      </c>
      <c r="B40" s="20">
        <v>0.100032</v>
      </c>
      <c r="C40" s="19">
        <v>0.286049</v>
      </c>
      <c r="D40" s="19">
        <v>0.53297499999999998</v>
      </c>
      <c r="E40" s="19">
        <v>1.1045769999999999</v>
      </c>
      <c r="F40" s="19">
        <v>2.1822859999999999</v>
      </c>
      <c r="G40" s="21">
        <v>1.1240859999999999</v>
      </c>
      <c r="H40" s="13">
        <v>0.08</v>
      </c>
      <c r="I40" s="13">
        <v>0.37</v>
      </c>
      <c r="J40" s="13">
        <v>0.7</v>
      </c>
      <c r="K40" s="13">
        <v>1.1599999999999999</v>
      </c>
      <c r="L40" s="13">
        <v>1.58</v>
      </c>
      <c r="M40" s="32">
        <v>2.09</v>
      </c>
    </row>
    <row r="41" spans="1:13" x14ac:dyDescent="0.25">
      <c r="A41" s="31" t="s">
        <v>70</v>
      </c>
      <c r="B41" s="20">
        <v>9.1424000000000005E-2</v>
      </c>
      <c r="C41" s="19">
        <v>0.267515</v>
      </c>
      <c r="D41" s="19">
        <v>0.505525</v>
      </c>
      <c r="E41" s="19">
        <v>1.0640480000000001</v>
      </c>
      <c r="F41" s="19">
        <v>2.1277249999999999</v>
      </c>
      <c r="G41" s="21">
        <v>1.095982</v>
      </c>
      <c r="H41" s="13">
        <v>0.13</v>
      </c>
      <c r="I41" s="13">
        <v>0.41</v>
      </c>
      <c r="J41" s="13">
        <v>0.7</v>
      </c>
      <c r="K41" s="13">
        <v>1.1299999999999999</v>
      </c>
      <c r="L41" s="13">
        <v>1.52</v>
      </c>
      <c r="M41" s="32">
        <v>1.96</v>
      </c>
    </row>
    <row r="42" spans="1:13" x14ac:dyDescent="0.25">
      <c r="A42" s="31" t="s">
        <v>74</v>
      </c>
      <c r="B42" s="20">
        <v>0.22400800000000001</v>
      </c>
      <c r="C42" s="19">
        <v>0.55766899999999997</v>
      </c>
      <c r="D42" s="19">
        <v>0.94415000000000004</v>
      </c>
      <c r="E42" s="19">
        <v>1.7475480000000001</v>
      </c>
      <c r="F42" s="19">
        <v>3.1811759999999998</v>
      </c>
      <c r="G42" s="21">
        <v>1.645896</v>
      </c>
      <c r="H42" s="13">
        <v>0.52</v>
      </c>
      <c r="I42" s="13">
        <v>1.34</v>
      </c>
      <c r="J42" s="13">
        <v>2.0299999999999998</v>
      </c>
      <c r="K42" s="13">
        <v>2.85</v>
      </c>
      <c r="L42" s="13">
        <v>2.89</v>
      </c>
      <c r="M42" s="32">
        <v>3.21</v>
      </c>
    </row>
    <row r="43" spans="1:13" x14ac:dyDescent="0.25">
      <c r="A43" s="31" t="s">
        <v>75</v>
      </c>
      <c r="B43" s="20">
        <v>5.7426999999999999E-2</v>
      </c>
      <c r="C43" s="19">
        <v>0.11153100000000001</v>
      </c>
      <c r="D43" s="19">
        <v>0.14754500000000001</v>
      </c>
      <c r="E43" s="19">
        <v>0.17410700000000001</v>
      </c>
      <c r="F43" s="19">
        <v>0.183786</v>
      </c>
      <c r="G43" s="21">
        <v>0.13014899999999999</v>
      </c>
      <c r="H43" s="13">
        <v>0.37</v>
      </c>
      <c r="I43" s="13">
        <v>0.75</v>
      </c>
      <c r="J43" s="13">
        <v>1.03</v>
      </c>
      <c r="K43" s="13">
        <v>1.33</v>
      </c>
      <c r="L43" s="13">
        <v>0.84</v>
      </c>
      <c r="M43" s="32">
        <v>0.16</v>
      </c>
    </row>
    <row r="44" spans="1:13" x14ac:dyDescent="0.25">
      <c r="A44" s="31" t="s">
        <v>78</v>
      </c>
      <c r="B44" s="20">
        <v>94.108599999999996</v>
      </c>
      <c r="C44" s="19">
        <v>161.61600000000001</v>
      </c>
      <c r="D44" s="19">
        <v>203.86369999999999</v>
      </c>
      <c r="E44" s="19">
        <v>226.83179999999999</v>
      </c>
      <c r="F44" s="19">
        <v>110.4285</v>
      </c>
      <c r="G44" s="21">
        <v>18.230090000000001</v>
      </c>
      <c r="H44" s="13">
        <v>33</v>
      </c>
      <c r="I44" s="13">
        <v>94</v>
      </c>
      <c r="J44" s="13">
        <v>107</v>
      </c>
      <c r="K44" s="13">
        <v>44</v>
      </c>
      <c r="L44" s="13">
        <v>-8</v>
      </c>
      <c r="M44" s="32">
        <v>-42</v>
      </c>
    </row>
    <row r="45" spans="1:13" x14ac:dyDescent="0.25">
      <c r="A45" s="31" t="s">
        <v>76</v>
      </c>
      <c r="B45" s="20">
        <v>-0.27772799999999997</v>
      </c>
      <c r="C45" s="19">
        <v>-0.45287699999999997</v>
      </c>
      <c r="D45" s="19">
        <v>-0.54978400000000005</v>
      </c>
      <c r="E45" s="19">
        <v>-0.57925599999999999</v>
      </c>
      <c r="F45" s="19">
        <v>-0.254106</v>
      </c>
      <c r="G45" s="21">
        <v>-4.2377999999999999E-2</v>
      </c>
      <c r="H45" s="13">
        <v>-0.36</v>
      </c>
      <c r="I45" s="13">
        <v>-0.61</v>
      </c>
      <c r="J45" s="13">
        <v>-0.67</v>
      </c>
      <c r="K45" s="13">
        <v>-0.41</v>
      </c>
      <c r="L45" s="13">
        <v>-0.19</v>
      </c>
      <c r="M45" s="32">
        <v>-0.05</v>
      </c>
    </row>
    <row r="46" spans="1:13" x14ac:dyDescent="0.25">
      <c r="A46" s="31" t="s">
        <v>79</v>
      </c>
      <c r="B46" s="20">
        <v>-7.1409E-2</v>
      </c>
      <c r="C46" s="19">
        <v>-0.119603</v>
      </c>
      <c r="D46" s="19">
        <v>-0.16256999999999999</v>
      </c>
      <c r="E46" s="19">
        <v>-0.23778199999999999</v>
      </c>
      <c r="F46" s="19">
        <v>-0.37681599999999998</v>
      </c>
      <c r="G46" s="21">
        <v>-0.22323499999999999</v>
      </c>
      <c r="H46" s="13">
        <v>-0.3</v>
      </c>
      <c r="I46" s="13">
        <v>-0.5</v>
      </c>
      <c r="J46" s="13">
        <v>-0.54</v>
      </c>
      <c r="K46" s="13">
        <v>-0.62</v>
      </c>
      <c r="L46" s="13">
        <v>-0.71</v>
      </c>
      <c r="M46" s="32">
        <v>-0.79</v>
      </c>
    </row>
    <row r="47" spans="1:13" x14ac:dyDescent="0.25">
      <c r="A47" s="46" t="s">
        <v>80</v>
      </c>
      <c r="B47" s="20">
        <v>-0.287414</v>
      </c>
      <c r="C47" s="19">
        <v>-0.13458300000000001</v>
      </c>
      <c r="D47" s="19">
        <v>-4.5527999999999999E-2</v>
      </c>
      <c r="E47" s="19">
        <v>2.679E-3</v>
      </c>
      <c r="F47" s="19">
        <v>-0.141703</v>
      </c>
      <c r="G47" s="21">
        <v>-0.31148900000000002</v>
      </c>
      <c r="H47" s="13">
        <v>-0.53</v>
      </c>
      <c r="I47" s="13">
        <v>-0.32</v>
      </c>
      <c r="J47" s="13">
        <v>-0.35</v>
      </c>
      <c r="K47" s="13">
        <v>-0.54</v>
      </c>
      <c r="L47" s="13">
        <v>-0.68</v>
      </c>
      <c r="M47" s="32">
        <v>-0.85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47"/>
  <sheetViews>
    <sheetView showGridLines="0" workbookViewId="0">
      <selection activeCell="B27" sqref="B27:M28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8" t="s">
        <v>47</v>
      </c>
      <c r="C2" s="58"/>
      <c r="D2" s="58"/>
      <c r="E2" s="58"/>
      <c r="F2" s="58"/>
      <c r="G2" s="59"/>
      <c r="H2" s="60" t="s">
        <v>46</v>
      </c>
      <c r="I2" s="61"/>
      <c r="J2" s="61"/>
      <c r="K2" s="61"/>
      <c r="L2" s="61"/>
      <c r="M2" s="62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0.167077</v>
      </c>
      <c r="C4" s="29">
        <v>0.41193099999999999</v>
      </c>
      <c r="D4" s="29">
        <v>0.65978700000000001</v>
      </c>
      <c r="E4" s="29">
        <v>1.0364279999999999</v>
      </c>
      <c r="F4" s="29">
        <v>1.3001609999999999</v>
      </c>
      <c r="G4" s="30">
        <v>1.377521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0.27658899999999997</v>
      </c>
      <c r="C5" s="29">
        <v>0.65243799999999996</v>
      </c>
      <c r="D5" s="29">
        <v>1.0035620000000001</v>
      </c>
      <c r="E5" s="29">
        <v>1.4576579999999999</v>
      </c>
      <c r="F5" s="29">
        <v>1.5451280000000001</v>
      </c>
      <c r="G5" s="30">
        <v>1.626539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4.7262999999999999E-2</v>
      </c>
      <c r="C6" s="29">
        <v>0.20732200000000001</v>
      </c>
      <c r="D6" s="29">
        <v>0.41661799999999999</v>
      </c>
      <c r="E6" s="29">
        <v>0.78204499999999999</v>
      </c>
      <c r="F6" s="29">
        <v>0.91714099999999998</v>
      </c>
      <c r="G6" s="30">
        <v>0.426506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0.11831800000000001</v>
      </c>
      <c r="C7" s="29">
        <v>0.324961</v>
      </c>
      <c r="D7" s="29">
        <v>0.58249099999999998</v>
      </c>
      <c r="E7" s="29">
        <v>1.12652</v>
      </c>
      <c r="F7" s="29">
        <v>2.0558689999999999</v>
      </c>
      <c r="G7" s="30">
        <v>2.6290580000000001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0.122014</v>
      </c>
      <c r="C8" s="29">
        <v>0.33145000000000002</v>
      </c>
      <c r="D8" s="29">
        <v>0.556145</v>
      </c>
      <c r="E8" s="29">
        <v>0.89226799999999995</v>
      </c>
      <c r="F8" s="29">
        <v>1.018003</v>
      </c>
      <c r="G8" s="30">
        <v>1.0625519999999999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0.40698000000000001</v>
      </c>
      <c r="C9" s="29">
        <v>0.79505800000000004</v>
      </c>
      <c r="D9" s="29">
        <v>1.096471</v>
      </c>
      <c r="E9" s="29">
        <v>1.4376629999999999</v>
      </c>
      <c r="F9" s="29">
        <v>1.4942820000000001</v>
      </c>
      <c r="G9" s="30">
        <v>1.6258330000000001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0.116386</v>
      </c>
      <c r="C10" s="29">
        <v>0.12681100000000001</v>
      </c>
      <c r="D10" s="29">
        <v>8.2363000000000006E-2</v>
      </c>
      <c r="E10" s="29">
        <v>-1.7666000000000001E-2</v>
      </c>
      <c r="F10" s="29">
        <v>-4.4899000000000001E-2</v>
      </c>
      <c r="G10" s="30">
        <v>-6.2299999999999996E-4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-0.733151</v>
      </c>
      <c r="C11" s="29">
        <v>-1.4309350000000001</v>
      </c>
      <c r="D11" s="29">
        <v>-2.0358390000000002</v>
      </c>
      <c r="E11" s="29">
        <v>-2.9269720000000001</v>
      </c>
      <c r="F11" s="29">
        <v>-3.8889960000000001</v>
      </c>
      <c r="G11" s="30">
        <v>-4.3142699999999996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-0.77634400000000003</v>
      </c>
      <c r="C12" s="29">
        <v>-1.5079020000000001</v>
      </c>
      <c r="D12" s="29">
        <v>-2.1340499999999998</v>
      </c>
      <c r="E12" s="29">
        <v>-3.0396510000000001</v>
      </c>
      <c r="F12" s="29">
        <v>-4.0035119999999997</v>
      </c>
      <c r="G12" s="30">
        <v>-4.4666639999999997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-0.79258799999999996</v>
      </c>
      <c r="C13" s="29">
        <v>-1.5234540000000001</v>
      </c>
      <c r="D13" s="29">
        <v>-2.1381420000000002</v>
      </c>
      <c r="E13" s="29">
        <v>-3.0105819999999999</v>
      </c>
      <c r="F13" s="29">
        <v>-3.933227</v>
      </c>
      <c r="G13" s="30">
        <v>-4.399934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-0.71760000000000002</v>
      </c>
      <c r="C14" s="29">
        <v>-1.405599</v>
      </c>
      <c r="D14" s="29">
        <v>-2.0031430000000001</v>
      </c>
      <c r="E14" s="29">
        <v>-2.8816090000000001</v>
      </c>
      <c r="F14" s="29">
        <v>-3.823026</v>
      </c>
      <c r="G14" s="30">
        <v>-4.2516629999999997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-0.49146899999999999</v>
      </c>
      <c r="C15" s="29">
        <v>-1.0018199999999999</v>
      </c>
      <c r="D15" s="29">
        <v>-1.4628749999999999</v>
      </c>
      <c r="E15" s="29">
        <v>-2.1526890000000001</v>
      </c>
      <c r="F15" s="29">
        <v>-2.8649770000000001</v>
      </c>
      <c r="G15" s="30">
        <v>-3.2056659999999999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-0.44538899999999998</v>
      </c>
      <c r="C16" s="29">
        <v>-0.93167800000000001</v>
      </c>
      <c r="D16" s="29">
        <v>-1.382673</v>
      </c>
      <c r="E16" s="29">
        <v>-2.0698729999999999</v>
      </c>
      <c r="F16" s="29">
        <v>-2.7759070000000001</v>
      </c>
      <c r="G16" s="30">
        <v>-3.1066120000000002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-0.54069500000000004</v>
      </c>
      <c r="C17" s="29">
        <v>-0.99534400000000001</v>
      </c>
      <c r="D17" s="29">
        <v>-1.414876</v>
      </c>
      <c r="E17" s="29">
        <v>-2.1352730000000002</v>
      </c>
      <c r="F17" s="29">
        <v>-3.2048800000000002</v>
      </c>
      <c r="G17" s="30">
        <v>-3.7219570000000002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-1.250945</v>
      </c>
      <c r="C18" s="29">
        <v>-0.97280800000000001</v>
      </c>
      <c r="D18" s="29">
        <v>-0.77306299999999994</v>
      </c>
      <c r="E18" s="29">
        <v>-0.61210600000000004</v>
      </c>
      <c r="F18" s="29">
        <v>-0.754251</v>
      </c>
      <c r="G18" s="30">
        <v>-0.80250299999999997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26.385259999999999</v>
      </c>
      <c r="C19" s="29">
        <v>76.825909999999993</v>
      </c>
      <c r="D19" s="29">
        <v>141.2705</v>
      </c>
      <c r="E19" s="29">
        <v>271.19920000000002</v>
      </c>
      <c r="F19" s="29">
        <v>428.07960000000003</v>
      </c>
      <c r="G19" s="30">
        <v>462.02929999999998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-7.7895000000000006E-2</v>
      </c>
      <c r="C20" s="29">
        <v>-0.21978200000000001</v>
      </c>
      <c r="D20" s="29">
        <v>-0.39342300000000002</v>
      </c>
      <c r="E20" s="29">
        <v>-0.72299400000000003</v>
      </c>
      <c r="F20" s="29">
        <v>-1.068972</v>
      </c>
      <c r="G20" s="30">
        <v>-1.0603149999999999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-1.9137000000000001E-2</v>
      </c>
      <c r="C21" s="29">
        <v>-3.0877000000000002E-2</v>
      </c>
      <c r="D21" s="29">
        <v>-2.9295000000000002E-2</v>
      </c>
      <c r="E21" s="29">
        <v>1.4952E-2</v>
      </c>
      <c r="F21" s="29">
        <v>0.20019300000000001</v>
      </c>
      <c r="G21" s="30">
        <v>0.31957099999999999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-0.67669999999999997</v>
      </c>
      <c r="C22" s="29">
        <v>-0.40058899999999997</v>
      </c>
      <c r="D22" s="29">
        <v>-0.193074</v>
      </c>
      <c r="E22" s="29">
        <v>3.7567999999999997E-2</v>
      </c>
      <c r="F22" s="29">
        <v>8.4080000000000002E-2</v>
      </c>
      <c r="G22" s="30">
        <v>0.21578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  <row r="26" spans="1:13" ht="30" x14ac:dyDescent="0.25">
      <c r="A26" s="33" t="s">
        <v>83</v>
      </c>
      <c r="B26" s="26"/>
      <c r="C26" s="26"/>
      <c r="D26" s="26"/>
      <c r="E26" s="26"/>
      <c r="F26" s="26"/>
      <c r="G26" s="26"/>
    </row>
    <row r="27" spans="1:13" x14ac:dyDescent="0.25">
      <c r="A27" s="2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9">
        <f t="array" ref="B29:G47">TRANSPOSE(RSSC1!$B$3:$T$8)</f>
        <v>0.167077</v>
      </c>
      <c r="C29" s="29">
        <v>0.41193099999999999</v>
      </c>
      <c r="D29" s="29">
        <v>0.65978700000000001</v>
      </c>
      <c r="E29" s="29">
        <v>1.0364279999999999</v>
      </c>
      <c r="F29" s="29">
        <v>1.3001609999999999</v>
      </c>
      <c r="G29" s="30">
        <v>1.377521</v>
      </c>
      <c r="H29" s="12">
        <v>0.2</v>
      </c>
      <c r="I29" s="36">
        <v>0.55000000000000004</v>
      </c>
      <c r="J29" s="36">
        <v>0.76</v>
      </c>
      <c r="K29" s="36">
        <v>0.97</v>
      </c>
      <c r="L29" s="36">
        <v>1.29</v>
      </c>
      <c r="M29" s="32">
        <v>1.73</v>
      </c>
    </row>
    <row r="30" spans="1:13" x14ac:dyDescent="0.25">
      <c r="A30" s="31" t="s">
        <v>58</v>
      </c>
      <c r="B30" s="29">
        <v>0.27658899999999997</v>
      </c>
      <c r="C30" s="29">
        <v>0.65243799999999996</v>
      </c>
      <c r="D30" s="29">
        <v>1.0035620000000001</v>
      </c>
      <c r="E30" s="29">
        <v>1.4576579999999999</v>
      </c>
      <c r="F30" s="29">
        <v>1.5451280000000001</v>
      </c>
      <c r="G30" s="30">
        <v>1.626539</v>
      </c>
      <c r="H30" s="12">
        <v>0.3</v>
      </c>
      <c r="I30" s="36">
        <v>0.73</v>
      </c>
      <c r="J30" s="36">
        <v>0.92</v>
      </c>
      <c r="K30" s="36">
        <v>1.21</v>
      </c>
      <c r="L30" s="36">
        <v>1.82</v>
      </c>
      <c r="M30" s="32">
        <v>2.33</v>
      </c>
    </row>
    <row r="31" spans="1:13" x14ac:dyDescent="0.25">
      <c r="A31" s="31" t="s">
        <v>55</v>
      </c>
      <c r="B31" s="29">
        <v>4.7262999999999999E-2</v>
      </c>
      <c r="C31" s="29">
        <v>0.20732200000000001</v>
      </c>
      <c r="D31" s="29">
        <v>0.41661799999999999</v>
      </c>
      <c r="E31" s="29">
        <v>0.78204499999999999</v>
      </c>
      <c r="F31" s="29">
        <v>0.91714099999999998</v>
      </c>
      <c r="G31" s="30">
        <v>0.426506</v>
      </c>
      <c r="H31" s="12">
        <v>0.28000000000000003</v>
      </c>
      <c r="I31" s="36">
        <v>0.98</v>
      </c>
      <c r="J31" s="36">
        <v>1.38</v>
      </c>
      <c r="K31" s="36">
        <v>1.5</v>
      </c>
      <c r="L31" s="36">
        <v>1.63</v>
      </c>
      <c r="M31" s="32">
        <v>1.91</v>
      </c>
    </row>
    <row r="32" spans="1:13" x14ac:dyDescent="0.25">
      <c r="A32" s="31" t="s">
        <v>56</v>
      </c>
      <c r="B32" s="29">
        <v>0.11831800000000001</v>
      </c>
      <c r="C32" s="29">
        <v>0.324961</v>
      </c>
      <c r="D32" s="29">
        <v>0.58249099999999998</v>
      </c>
      <c r="E32" s="29">
        <v>1.12652</v>
      </c>
      <c r="F32" s="29">
        <v>2.0558689999999999</v>
      </c>
      <c r="G32" s="30">
        <v>2.6290580000000001</v>
      </c>
      <c r="H32" s="12">
        <v>0.18</v>
      </c>
      <c r="I32" s="36">
        <v>0.47</v>
      </c>
      <c r="J32" s="36">
        <v>0.67</v>
      </c>
      <c r="K32" s="36">
        <v>0.96</v>
      </c>
      <c r="L32" s="36">
        <v>1.25</v>
      </c>
      <c r="M32" s="32">
        <v>1.86</v>
      </c>
    </row>
    <row r="33" spans="1:13" x14ac:dyDescent="0.25">
      <c r="A33" s="31" t="s">
        <v>57</v>
      </c>
      <c r="B33" s="29">
        <v>0.122014</v>
      </c>
      <c r="C33" s="29">
        <v>0.33145000000000002</v>
      </c>
      <c r="D33" s="29">
        <v>0.556145</v>
      </c>
      <c r="E33" s="29">
        <v>0.89226799999999995</v>
      </c>
      <c r="F33" s="29">
        <v>1.018003</v>
      </c>
      <c r="G33" s="30">
        <v>1.0625519999999999</v>
      </c>
      <c r="H33" s="12">
        <v>0.32</v>
      </c>
      <c r="I33" s="36">
        <v>0.72</v>
      </c>
      <c r="J33" s="36">
        <v>0.86</v>
      </c>
      <c r="K33" s="36">
        <v>0.94</v>
      </c>
      <c r="L33" s="36">
        <v>1.1000000000000001</v>
      </c>
      <c r="M33" s="32">
        <v>1.25</v>
      </c>
    </row>
    <row r="34" spans="1:13" x14ac:dyDescent="0.25">
      <c r="A34" s="31" t="s">
        <v>59</v>
      </c>
      <c r="B34" s="29">
        <v>0.40698000000000001</v>
      </c>
      <c r="C34" s="29">
        <v>0.79505800000000004</v>
      </c>
      <c r="D34" s="29">
        <v>1.096471</v>
      </c>
      <c r="E34" s="29">
        <v>1.4376629999999999</v>
      </c>
      <c r="F34" s="29">
        <v>1.4942820000000001</v>
      </c>
      <c r="G34" s="30">
        <v>1.6258330000000001</v>
      </c>
      <c r="H34" s="12">
        <v>0.4</v>
      </c>
      <c r="I34" s="36">
        <v>0.65</v>
      </c>
      <c r="J34" s="36">
        <v>0.85</v>
      </c>
      <c r="K34" s="36">
        <v>1.32</v>
      </c>
      <c r="L34" s="36">
        <v>1.87</v>
      </c>
      <c r="M34" s="32">
        <v>2.33</v>
      </c>
    </row>
    <row r="35" spans="1:13" x14ac:dyDescent="0.25">
      <c r="A35" s="31" t="s">
        <v>60</v>
      </c>
      <c r="B35" s="29">
        <v>0.116386</v>
      </c>
      <c r="C35" s="29">
        <v>0.12681100000000001</v>
      </c>
      <c r="D35" s="29">
        <v>8.2363000000000006E-2</v>
      </c>
      <c r="E35" s="29">
        <v>-1.7666000000000001E-2</v>
      </c>
      <c r="F35" s="29">
        <v>-4.4899000000000001E-2</v>
      </c>
      <c r="G35" s="30">
        <v>-6.2299999999999996E-4</v>
      </c>
      <c r="H35" s="12">
        <v>0.08</v>
      </c>
      <c r="I35" s="36">
        <v>-7.0000000000000007E-2</v>
      </c>
      <c r="J35" s="36">
        <v>-7.0000000000000007E-2</v>
      </c>
      <c r="K35" s="36">
        <v>0.09</v>
      </c>
      <c r="L35" s="36">
        <v>0.04</v>
      </c>
      <c r="M35" s="32">
        <v>0</v>
      </c>
    </row>
    <row r="36" spans="1:13" x14ac:dyDescent="0.25">
      <c r="A36" s="31" t="s">
        <v>71</v>
      </c>
      <c r="B36" s="29">
        <v>-0.733151</v>
      </c>
      <c r="C36" s="29">
        <v>-1.4309350000000001</v>
      </c>
      <c r="D36" s="29">
        <v>-2.0358390000000002</v>
      </c>
      <c r="E36" s="29">
        <v>-2.9269720000000001</v>
      </c>
      <c r="F36" s="29">
        <v>-3.8889960000000001</v>
      </c>
      <c r="G36" s="30">
        <v>-4.3142699999999996</v>
      </c>
      <c r="H36" s="12">
        <v>-0.36</v>
      </c>
      <c r="I36" s="36">
        <v>-0.7</v>
      </c>
      <c r="J36" s="36">
        <v>-0.87</v>
      </c>
      <c r="K36" s="36">
        <v>-1.0900000000000001</v>
      </c>
      <c r="L36" s="36">
        <v>-1.32</v>
      </c>
      <c r="M36" s="32">
        <v>-2.27</v>
      </c>
    </row>
    <row r="37" spans="1:13" x14ac:dyDescent="0.25">
      <c r="A37" s="31" t="s">
        <v>72</v>
      </c>
      <c r="B37" s="29">
        <v>-0.77634400000000003</v>
      </c>
      <c r="C37" s="29">
        <v>-1.5079020000000001</v>
      </c>
      <c r="D37" s="29">
        <v>-2.1340499999999998</v>
      </c>
      <c r="E37" s="29">
        <v>-3.0396510000000001</v>
      </c>
      <c r="F37" s="29">
        <v>-4.0035119999999997</v>
      </c>
      <c r="G37" s="30">
        <v>-4.4666639999999997</v>
      </c>
      <c r="H37" s="12">
        <v>-0.46</v>
      </c>
      <c r="I37" s="36">
        <v>-0.87</v>
      </c>
      <c r="J37" s="36">
        <v>-1.02</v>
      </c>
      <c r="K37" s="36">
        <v>-1.17</v>
      </c>
      <c r="L37" s="36">
        <v>-1.32</v>
      </c>
      <c r="M37" s="32">
        <v>-2.2400000000000002</v>
      </c>
    </row>
    <row r="38" spans="1:13" x14ac:dyDescent="0.25">
      <c r="A38" s="31" t="s">
        <v>73</v>
      </c>
      <c r="B38" s="29">
        <v>-0.79258799999999996</v>
      </c>
      <c r="C38" s="29">
        <v>-1.5234540000000001</v>
      </c>
      <c r="D38" s="29">
        <v>-2.1381420000000002</v>
      </c>
      <c r="E38" s="29">
        <v>-3.0105819999999999</v>
      </c>
      <c r="F38" s="29">
        <v>-3.933227</v>
      </c>
      <c r="G38" s="30">
        <v>-4.399934</v>
      </c>
      <c r="H38" s="12">
        <v>-0.49</v>
      </c>
      <c r="I38" s="36">
        <v>-0.89</v>
      </c>
      <c r="J38" s="36">
        <v>-1.06</v>
      </c>
      <c r="K38" s="36">
        <v>-1.32</v>
      </c>
      <c r="L38" s="36">
        <v>-1.62</v>
      </c>
      <c r="M38" s="32">
        <v>-2.77</v>
      </c>
    </row>
    <row r="39" spans="1:13" x14ac:dyDescent="0.25">
      <c r="A39" s="31" t="s">
        <v>77</v>
      </c>
      <c r="B39" s="29">
        <v>-0.71760000000000002</v>
      </c>
      <c r="C39" s="29">
        <v>-1.405599</v>
      </c>
      <c r="D39" s="29">
        <v>-2.0031430000000001</v>
      </c>
      <c r="E39" s="29">
        <v>-2.8816090000000001</v>
      </c>
      <c r="F39" s="29">
        <v>-3.823026</v>
      </c>
      <c r="G39" s="30">
        <v>-4.2516629999999997</v>
      </c>
      <c r="H39" s="12">
        <v>-0.51</v>
      </c>
      <c r="I39" s="36">
        <v>-0.95</v>
      </c>
      <c r="J39" s="36">
        <v>-1.0900000000000001</v>
      </c>
      <c r="K39" s="36">
        <v>-1.26</v>
      </c>
      <c r="L39" s="36">
        <v>-1.44</v>
      </c>
      <c r="M39" s="32">
        <v>-2.2999999999999998</v>
      </c>
    </row>
    <row r="40" spans="1:13" x14ac:dyDescent="0.25">
      <c r="A40" s="31" t="s">
        <v>69</v>
      </c>
      <c r="B40" s="29">
        <v>-0.49146899999999999</v>
      </c>
      <c r="C40" s="29">
        <v>-1.0018199999999999</v>
      </c>
      <c r="D40" s="29">
        <v>-1.4628749999999999</v>
      </c>
      <c r="E40" s="29">
        <v>-2.1526890000000001</v>
      </c>
      <c r="F40" s="29">
        <v>-2.8649770000000001</v>
      </c>
      <c r="G40" s="30">
        <v>-3.2056659999999999</v>
      </c>
      <c r="H40" s="12">
        <v>-0.28000000000000003</v>
      </c>
      <c r="I40" s="36">
        <v>-0.65</v>
      </c>
      <c r="J40" s="36">
        <v>-0.82</v>
      </c>
      <c r="K40" s="36">
        <v>-1.02</v>
      </c>
      <c r="L40" s="36">
        <v>-1.25</v>
      </c>
      <c r="M40" s="32">
        <v>-1.89</v>
      </c>
    </row>
    <row r="41" spans="1:13" x14ac:dyDescent="0.25">
      <c r="A41" s="31" t="s">
        <v>70</v>
      </c>
      <c r="B41" s="29">
        <v>-0.44538899999999998</v>
      </c>
      <c r="C41" s="29">
        <v>-0.93167800000000001</v>
      </c>
      <c r="D41" s="29">
        <v>-1.382673</v>
      </c>
      <c r="E41" s="29">
        <v>-2.0698729999999999</v>
      </c>
      <c r="F41" s="29">
        <v>-2.7759070000000001</v>
      </c>
      <c r="G41" s="30">
        <v>-3.1066120000000002</v>
      </c>
      <c r="H41" s="12">
        <v>-0.3</v>
      </c>
      <c r="I41" s="36">
        <v>-0.6</v>
      </c>
      <c r="J41" s="36">
        <v>-0.79</v>
      </c>
      <c r="K41" s="36">
        <v>-1</v>
      </c>
      <c r="L41" s="36">
        <v>-1.18</v>
      </c>
      <c r="M41" s="32">
        <v>-1.76</v>
      </c>
    </row>
    <row r="42" spans="1:13" x14ac:dyDescent="0.25">
      <c r="A42" s="31" t="s">
        <v>74</v>
      </c>
      <c r="B42" s="29">
        <v>-0.54069500000000004</v>
      </c>
      <c r="C42" s="29">
        <v>-0.99534400000000001</v>
      </c>
      <c r="D42" s="29">
        <v>-1.414876</v>
      </c>
      <c r="E42" s="29">
        <v>-2.1352730000000002</v>
      </c>
      <c r="F42" s="29">
        <v>-3.2048800000000002</v>
      </c>
      <c r="G42" s="30">
        <v>-3.7219570000000002</v>
      </c>
      <c r="H42" s="12">
        <v>-0.14000000000000001</v>
      </c>
      <c r="I42" s="36">
        <v>-0.48</v>
      </c>
      <c r="J42" s="36">
        <v>-0.59</v>
      </c>
      <c r="K42" s="36">
        <v>-0.28000000000000003</v>
      </c>
      <c r="L42" s="36">
        <v>0.23</v>
      </c>
      <c r="M42" s="32">
        <v>-0.25</v>
      </c>
    </row>
    <row r="43" spans="1:13" x14ac:dyDescent="0.25">
      <c r="A43" s="31" t="s">
        <v>75</v>
      </c>
      <c r="B43" s="29">
        <v>-1.250945</v>
      </c>
      <c r="C43" s="29">
        <v>-0.97280800000000001</v>
      </c>
      <c r="D43" s="29">
        <v>-0.77306299999999994</v>
      </c>
      <c r="E43" s="29">
        <v>-0.61210600000000004</v>
      </c>
      <c r="F43" s="29">
        <v>-0.754251</v>
      </c>
      <c r="G43" s="30">
        <v>-0.80250299999999997</v>
      </c>
      <c r="H43" s="12">
        <v>-2.39</v>
      </c>
      <c r="I43" s="36">
        <v>-2.34</v>
      </c>
      <c r="J43" s="36">
        <v>-2.2799999999999998</v>
      </c>
      <c r="K43" s="36">
        <v>-1.71</v>
      </c>
      <c r="L43" s="36">
        <v>-0.9</v>
      </c>
      <c r="M43" s="32">
        <v>-0.21</v>
      </c>
    </row>
    <row r="44" spans="1:13" x14ac:dyDescent="0.25">
      <c r="A44" s="31" t="s">
        <v>78</v>
      </c>
      <c r="B44" s="29">
        <v>26.385259999999999</v>
      </c>
      <c r="C44" s="29">
        <v>76.825909999999993</v>
      </c>
      <c r="D44" s="29">
        <v>141.2705</v>
      </c>
      <c r="E44" s="29">
        <v>271.19920000000002</v>
      </c>
      <c r="F44" s="29">
        <v>428.07960000000003</v>
      </c>
      <c r="G44" s="30">
        <v>462.02929999999998</v>
      </c>
      <c r="H44" s="12">
        <v>83</v>
      </c>
      <c r="I44" s="36">
        <v>210</v>
      </c>
      <c r="J44" s="36">
        <v>290</v>
      </c>
      <c r="K44" s="36">
        <v>316</v>
      </c>
      <c r="L44" s="36">
        <v>318</v>
      </c>
      <c r="M44" s="32">
        <v>362</v>
      </c>
    </row>
    <row r="45" spans="1:13" x14ac:dyDescent="0.25">
      <c r="A45" s="31" t="s">
        <v>76</v>
      </c>
      <c r="B45" s="29">
        <v>-7.7895000000000006E-2</v>
      </c>
      <c r="C45" s="29">
        <v>-0.21978200000000001</v>
      </c>
      <c r="D45" s="29">
        <v>-0.39342300000000002</v>
      </c>
      <c r="E45" s="29">
        <v>-0.72299400000000003</v>
      </c>
      <c r="F45" s="29">
        <v>-1.068972</v>
      </c>
      <c r="G45" s="30">
        <v>-1.0603149999999999</v>
      </c>
      <c r="H45" s="12">
        <v>-0.35</v>
      </c>
      <c r="I45" s="36">
        <v>-0.87</v>
      </c>
      <c r="J45" s="36">
        <v>-1.21</v>
      </c>
      <c r="K45" s="36">
        <v>-1.32</v>
      </c>
      <c r="L45" s="36">
        <v>-1.33</v>
      </c>
      <c r="M45" s="32">
        <v>-1.51</v>
      </c>
    </row>
    <row r="46" spans="1:13" x14ac:dyDescent="0.25">
      <c r="A46" s="31" t="s">
        <v>79</v>
      </c>
      <c r="B46" s="29">
        <v>-1.9137000000000001E-2</v>
      </c>
      <c r="C46" s="29">
        <v>-3.0877000000000002E-2</v>
      </c>
      <c r="D46" s="29">
        <v>-2.9295000000000002E-2</v>
      </c>
      <c r="E46" s="29">
        <v>1.4952E-2</v>
      </c>
      <c r="F46" s="29">
        <v>0.20019300000000001</v>
      </c>
      <c r="G46" s="30">
        <v>0.31957099999999999</v>
      </c>
      <c r="H46" s="12">
        <v>-0.04</v>
      </c>
      <c r="I46" s="36">
        <v>-0.1</v>
      </c>
      <c r="J46" s="36">
        <v>-0.08</v>
      </c>
      <c r="K46" s="36">
        <v>0</v>
      </c>
      <c r="L46" s="36">
        <v>0.03</v>
      </c>
      <c r="M46" s="32">
        <v>0.14000000000000001</v>
      </c>
    </row>
    <row r="47" spans="1:13" x14ac:dyDescent="0.25">
      <c r="A47" s="46" t="s">
        <v>80</v>
      </c>
      <c r="B47" s="29">
        <v>-0.67669999999999997</v>
      </c>
      <c r="C47" s="29">
        <v>-0.40058899999999997</v>
      </c>
      <c r="D47" s="29">
        <v>-0.193074</v>
      </c>
      <c r="E47" s="29">
        <v>3.7567999999999997E-2</v>
      </c>
      <c r="F47" s="29">
        <v>8.4080000000000002E-2</v>
      </c>
      <c r="G47" s="30">
        <v>0.21578</v>
      </c>
      <c r="H47" s="12">
        <v>-0.72</v>
      </c>
      <c r="I47" s="36">
        <v>-0.42</v>
      </c>
      <c r="J47" s="36">
        <v>-0.27</v>
      </c>
      <c r="K47" s="36">
        <v>-0.24</v>
      </c>
      <c r="L47" s="36">
        <v>-0.17</v>
      </c>
      <c r="M47" s="32">
        <v>0.03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47"/>
  <sheetViews>
    <sheetView workbookViewId="0">
      <selection activeCell="O30" sqref="O30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-0.55325500000000005</v>
      </c>
      <c r="C4" s="29">
        <v>-0.79687799999999998</v>
      </c>
      <c r="D4" s="29">
        <v>-0.89838300000000004</v>
      </c>
      <c r="E4" s="29">
        <v>-0.96207900000000002</v>
      </c>
      <c r="F4" s="29">
        <v>-0.88975700000000002</v>
      </c>
      <c r="G4" s="30">
        <v>-0.480464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-1.046924</v>
      </c>
      <c r="C5" s="29">
        <v>-1.4720679999999999</v>
      </c>
      <c r="D5" s="29">
        <v>-1.6255360000000001</v>
      </c>
      <c r="E5" s="29">
        <v>-1.70353</v>
      </c>
      <c r="F5" s="29">
        <v>-1.559542</v>
      </c>
      <c r="G5" s="30">
        <v>-0.82005399999999995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-0.50233399999999995</v>
      </c>
      <c r="C6" s="29">
        <v>-0.87495100000000003</v>
      </c>
      <c r="D6" s="29">
        <v>-1.0776209999999999</v>
      </c>
      <c r="E6" s="29">
        <v>-1.185222</v>
      </c>
      <c r="F6" s="29">
        <v>-1.04494</v>
      </c>
      <c r="G6" s="30">
        <v>-0.191464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-3.4935000000000001E-2</v>
      </c>
      <c r="C7" s="29">
        <v>-6.6124000000000002E-2</v>
      </c>
      <c r="D7" s="29">
        <v>-8.7526999999999994E-2</v>
      </c>
      <c r="E7" s="29">
        <v>-0.110272</v>
      </c>
      <c r="F7" s="29">
        <v>-0.11596099999999999</v>
      </c>
      <c r="G7" s="30">
        <v>-0.37778099999999998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-0.62926499999999996</v>
      </c>
      <c r="C8" s="29">
        <v>-0.95145599999999997</v>
      </c>
      <c r="D8" s="29">
        <v>-1.0750219999999999</v>
      </c>
      <c r="E8" s="29">
        <v>-1.1054919999999999</v>
      </c>
      <c r="F8" s="29">
        <v>-0.96165</v>
      </c>
      <c r="G8" s="30">
        <v>-0.48110799999999998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-1.5359670000000001</v>
      </c>
      <c r="C9" s="29">
        <v>-1.5425709999999999</v>
      </c>
      <c r="D9" s="29">
        <v>-1.5500259999999999</v>
      </c>
      <c r="E9" s="29">
        <v>-1.61283</v>
      </c>
      <c r="F9" s="29">
        <v>-1.5209680000000001</v>
      </c>
      <c r="G9" s="30">
        <v>-0.82107200000000002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-0.445129</v>
      </c>
      <c r="C10" s="29">
        <v>-6.4176999999999998E-2</v>
      </c>
      <c r="D10" s="29">
        <v>6.8738999999999995E-2</v>
      </c>
      <c r="E10" s="29">
        <v>8.2621E-2</v>
      </c>
      <c r="F10" s="29">
        <v>3.5104999999999997E-2</v>
      </c>
      <c r="G10" s="30">
        <v>-9.2000000000000003E-4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1.8208800000000001</v>
      </c>
      <c r="C11" s="29">
        <v>1.8265450000000001</v>
      </c>
      <c r="D11" s="29">
        <v>1.817984</v>
      </c>
      <c r="E11" s="29">
        <v>1.7985009999999999</v>
      </c>
      <c r="F11" s="29">
        <v>1.6420269999999999</v>
      </c>
      <c r="G11" s="30">
        <v>1.5443450000000001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0.17437800000000001</v>
      </c>
      <c r="C12" s="29">
        <v>0.20863899999999999</v>
      </c>
      <c r="D12" s="29">
        <v>0.21888099999999999</v>
      </c>
      <c r="E12" s="29">
        <v>0.23960600000000001</v>
      </c>
      <c r="F12" s="29">
        <v>0.219999</v>
      </c>
      <c r="G12" s="30">
        <v>0.70905600000000002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0.181171</v>
      </c>
      <c r="C13" s="29">
        <v>0.21182000000000001</v>
      </c>
      <c r="D13" s="29">
        <v>0.217056</v>
      </c>
      <c r="E13" s="29">
        <v>0.23089100000000001</v>
      </c>
      <c r="F13" s="29">
        <v>0.20982300000000001</v>
      </c>
      <c r="G13" s="30">
        <v>0.70174599999999998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0.154949</v>
      </c>
      <c r="C14" s="29">
        <v>0.1903</v>
      </c>
      <c r="D14" s="29">
        <v>0.205651</v>
      </c>
      <c r="E14" s="29">
        <v>0.23391000000000001</v>
      </c>
      <c r="F14" s="29">
        <v>0.21790799999999999</v>
      </c>
      <c r="G14" s="30">
        <v>0.67310700000000001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0.14570900000000001</v>
      </c>
      <c r="C15" s="29">
        <v>0.17385700000000001</v>
      </c>
      <c r="D15" s="29">
        <v>0.17207500000000001</v>
      </c>
      <c r="E15" s="29">
        <v>0.164076</v>
      </c>
      <c r="F15" s="29">
        <v>0.13953099999999999</v>
      </c>
      <c r="G15" s="30">
        <v>0.49778600000000001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0.148534</v>
      </c>
      <c r="C16" s="29">
        <v>0.17601</v>
      </c>
      <c r="D16" s="29">
        <v>0.16972999999999999</v>
      </c>
      <c r="E16" s="29">
        <v>0.152228</v>
      </c>
      <c r="F16" s="29">
        <v>0.12379900000000001</v>
      </c>
      <c r="G16" s="30">
        <v>0.48056599999999999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-0.14030699999999999</v>
      </c>
      <c r="C17" s="29">
        <v>0.124209</v>
      </c>
      <c r="D17" s="29">
        <v>0.34986800000000001</v>
      </c>
      <c r="E17" s="29">
        <v>0.52631399999999995</v>
      </c>
      <c r="F17" s="29">
        <v>0.47685899999999998</v>
      </c>
      <c r="G17" s="30">
        <v>0.86390599999999995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-0.32089699999999999</v>
      </c>
      <c r="C18" s="29">
        <v>-8.7426000000000004E-2</v>
      </c>
      <c r="D18" s="29">
        <v>0.132524</v>
      </c>
      <c r="E18" s="29">
        <v>0.294742</v>
      </c>
      <c r="F18" s="29">
        <v>0.26647599999999999</v>
      </c>
      <c r="G18" s="30">
        <v>0.16103000000000001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-58.462429999999998</v>
      </c>
      <c r="C19" s="29">
        <v>-125.5273</v>
      </c>
      <c r="D19" s="29">
        <v>-179.66210000000001</v>
      </c>
      <c r="E19" s="29">
        <v>-242.17789999999999</v>
      </c>
      <c r="F19" s="29">
        <v>-256.62979999999999</v>
      </c>
      <c r="G19" s="30">
        <v>-149.8322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0.17266999999999999</v>
      </c>
      <c r="C20" s="29">
        <v>0.35588599999999998</v>
      </c>
      <c r="D20" s="29">
        <v>0.49229099999999998</v>
      </c>
      <c r="E20" s="29">
        <v>0.632328</v>
      </c>
      <c r="F20" s="29">
        <v>0.63423099999999999</v>
      </c>
      <c r="G20" s="30">
        <v>0.34331600000000001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0.165439</v>
      </c>
      <c r="C21" s="29">
        <v>0.23603399999999999</v>
      </c>
      <c r="D21" s="29">
        <v>0.261739</v>
      </c>
      <c r="E21" s="29">
        <v>0.26494600000000001</v>
      </c>
      <c r="F21" s="29">
        <v>0.22692599999999999</v>
      </c>
      <c r="G21" s="30">
        <v>4.5884000000000001E-2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0.43759100000000001</v>
      </c>
      <c r="C22" s="29">
        <v>0.28826600000000002</v>
      </c>
      <c r="D22" s="29">
        <v>0.17097000000000001</v>
      </c>
      <c r="E22" s="29">
        <v>8.8380000000000004E-3</v>
      </c>
      <c r="F22" s="29">
        <v>-2.2637999999999998E-2</v>
      </c>
      <c r="G22" s="30">
        <v>8.7612999999999996E-2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x14ac:dyDescent="0.25">
      <c r="A26" s="34" t="s">
        <v>84</v>
      </c>
    </row>
    <row r="27" spans="1:13" x14ac:dyDescent="0.25">
      <c r="A27" s="3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39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9">
        <f t="array" ref="B29:G47">TRANSPOSE('VAT1'!$B$3:$T$8)</f>
        <v>-0.55325500000000005</v>
      </c>
      <c r="C29" s="29">
        <v>-0.79687799999999998</v>
      </c>
      <c r="D29" s="29">
        <v>-0.89838300000000004</v>
      </c>
      <c r="E29" s="29">
        <v>-0.96207900000000002</v>
      </c>
      <c r="F29" s="29">
        <v>-0.88975700000000002</v>
      </c>
      <c r="G29" s="30">
        <v>-0.480464</v>
      </c>
      <c r="H29" s="13">
        <v>-0.32</v>
      </c>
      <c r="I29" s="13">
        <v>-0.66</v>
      </c>
      <c r="J29" s="13">
        <v>-0.72</v>
      </c>
      <c r="K29" s="13">
        <v>-0.81</v>
      </c>
      <c r="L29" s="13">
        <v>-0.78</v>
      </c>
      <c r="M29" s="13">
        <v>-0.7</v>
      </c>
    </row>
    <row r="30" spans="1:13" x14ac:dyDescent="0.25">
      <c r="A30" s="31" t="s">
        <v>58</v>
      </c>
      <c r="B30" s="29">
        <v>-1.046924</v>
      </c>
      <c r="C30" s="29">
        <v>-1.4720679999999999</v>
      </c>
      <c r="D30" s="29">
        <v>-1.6255360000000001</v>
      </c>
      <c r="E30" s="29">
        <v>-1.70353</v>
      </c>
      <c r="F30" s="29">
        <v>-1.559542</v>
      </c>
      <c r="G30" s="30">
        <v>-0.82005399999999995</v>
      </c>
      <c r="H30" s="13">
        <v>-0.57999999999999996</v>
      </c>
      <c r="I30" s="13">
        <v>-1.04</v>
      </c>
      <c r="J30" s="13">
        <v>-1.1399999999999999</v>
      </c>
      <c r="K30" s="13">
        <v>-1.53</v>
      </c>
      <c r="L30" s="13">
        <v>-1.87</v>
      </c>
      <c r="M30" s="13">
        <v>-1.76</v>
      </c>
    </row>
    <row r="31" spans="1:13" x14ac:dyDescent="0.25">
      <c r="A31" s="31" t="s">
        <v>55</v>
      </c>
      <c r="B31" s="29">
        <v>-0.50233399999999995</v>
      </c>
      <c r="C31" s="29">
        <v>-0.87495100000000003</v>
      </c>
      <c r="D31" s="29">
        <v>-1.0776209999999999</v>
      </c>
      <c r="E31" s="29">
        <v>-1.185222</v>
      </c>
      <c r="F31" s="29">
        <v>-1.04494</v>
      </c>
      <c r="G31" s="30">
        <v>-0.191464</v>
      </c>
      <c r="H31" s="13">
        <v>-0.45</v>
      </c>
      <c r="I31" s="13">
        <v>-1.36</v>
      </c>
      <c r="J31" s="13">
        <v>-1.44</v>
      </c>
      <c r="K31" s="13">
        <v>-1.34</v>
      </c>
      <c r="L31" s="13">
        <v>-1.1399999999999999</v>
      </c>
      <c r="M31" s="13">
        <v>-1.04</v>
      </c>
    </row>
    <row r="32" spans="1:13" x14ac:dyDescent="0.25">
      <c r="A32" s="31" t="s">
        <v>56</v>
      </c>
      <c r="B32" s="29">
        <v>-3.4935000000000001E-2</v>
      </c>
      <c r="C32" s="29">
        <v>-6.6124000000000002E-2</v>
      </c>
      <c r="D32" s="29">
        <v>-8.7526999999999994E-2</v>
      </c>
      <c r="E32" s="29">
        <v>-0.110272</v>
      </c>
      <c r="F32" s="29">
        <v>-0.11596099999999999</v>
      </c>
      <c r="G32" s="30">
        <v>-0.37778099999999998</v>
      </c>
      <c r="H32" s="13">
        <v>-0.17</v>
      </c>
      <c r="I32" s="13">
        <v>-0.33</v>
      </c>
      <c r="J32" s="13">
        <v>-0.37</v>
      </c>
      <c r="K32" s="13">
        <v>-0.32</v>
      </c>
      <c r="L32" s="13">
        <v>0.02</v>
      </c>
      <c r="M32" s="13">
        <v>0.08</v>
      </c>
    </row>
    <row r="33" spans="1:13" x14ac:dyDescent="0.25">
      <c r="A33" s="31" t="s">
        <v>57</v>
      </c>
      <c r="B33" s="29">
        <v>-0.62926499999999996</v>
      </c>
      <c r="C33" s="29">
        <v>-0.95145599999999997</v>
      </c>
      <c r="D33" s="29">
        <v>-1.0750219999999999</v>
      </c>
      <c r="E33" s="29">
        <v>-1.1054919999999999</v>
      </c>
      <c r="F33" s="29">
        <v>-0.96165</v>
      </c>
      <c r="G33" s="30">
        <v>-0.48110799999999998</v>
      </c>
      <c r="H33" s="13">
        <v>-0.65</v>
      </c>
      <c r="I33" s="13">
        <v>-1.08</v>
      </c>
      <c r="J33" s="13">
        <v>-1.02</v>
      </c>
      <c r="K33" s="13">
        <v>-1.1299999999999999</v>
      </c>
      <c r="L33" s="13">
        <v>-1.18</v>
      </c>
      <c r="M33" s="13">
        <v>-1.1599999999999999</v>
      </c>
    </row>
    <row r="34" spans="1:13" x14ac:dyDescent="0.25">
      <c r="A34" s="31" t="s">
        <v>59</v>
      </c>
      <c r="B34" s="29">
        <v>-1.5359670000000001</v>
      </c>
      <c r="C34" s="29">
        <v>-1.5425709999999999</v>
      </c>
      <c r="D34" s="29">
        <v>-1.5500259999999999</v>
      </c>
      <c r="E34" s="29">
        <v>-1.61283</v>
      </c>
      <c r="F34" s="29">
        <v>-1.5209680000000001</v>
      </c>
      <c r="G34" s="30">
        <v>-0.82107200000000002</v>
      </c>
      <c r="H34" s="13">
        <v>-1.1000000000000001</v>
      </c>
      <c r="I34" s="13">
        <v>-1.01</v>
      </c>
      <c r="J34" s="13">
        <v>-1.22</v>
      </c>
      <c r="K34" s="13">
        <v>-1.73</v>
      </c>
      <c r="L34" s="13">
        <v>-1.88</v>
      </c>
      <c r="M34" s="13">
        <v>-1.76</v>
      </c>
    </row>
    <row r="35" spans="1:13" x14ac:dyDescent="0.25">
      <c r="A35" s="31" t="s">
        <v>60</v>
      </c>
      <c r="B35" s="29">
        <v>-0.445129</v>
      </c>
      <c r="C35" s="29">
        <v>-6.4176999999999998E-2</v>
      </c>
      <c r="D35" s="29">
        <v>6.8738999999999995E-2</v>
      </c>
      <c r="E35" s="29">
        <v>8.2621E-2</v>
      </c>
      <c r="F35" s="29">
        <v>3.5104999999999997E-2</v>
      </c>
      <c r="G35" s="30">
        <v>-9.2000000000000003E-4</v>
      </c>
      <c r="H35" s="13">
        <v>-0.45</v>
      </c>
      <c r="I35" s="13">
        <v>0.03</v>
      </c>
      <c r="J35" s="13">
        <v>-7.0000000000000007E-2</v>
      </c>
      <c r="K35" s="13">
        <v>-0.18</v>
      </c>
      <c r="L35" s="13">
        <v>-0.01</v>
      </c>
      <c r="M35" s="13">
        <v>0</v>
      </c>
    </row>
    <row r="36" spans="1:13" x14ac:dyDescent="0.25">
      <c r="A36" s="31" t="s">
        <v>71</v>
      </c>
      <c r="B36" s="29">
        <v>1.8208800000000001</v>
      </c>
      <c r="C36" s="29">
        <v>1.8265450000000001</v>
      </c>
      <c r="D36" s="29">
        <v>1.817984</v>
      </c>
      <c r="E36" s="29">
        <v>1.7985009999999999</v>
      </c>
      <c r="F36" s="29">
        <v>1.6420269999999999</v>
      </c>
      <c r="G36" s="30">
        <v>1.5443450000000001</v>
      </c>
      <c r="H36" s="13">
        <v>1.48</v>
      </c>
      <c r="I36" s="13">
        <v>1.58</v>
      </c>
      <c r="J36" s="13">
        <v>1.52</v>
      </c>
      <c r="K36" s="13">
        <v>1.3</v>
      </c>
      <c r="L36" s="13">
        <v>0.89</v>
      </c>
      <c r="M36" s="13">
        <v>0.76</v>
      </c>
    </row>
    <row r="37" spans="1:13" x14ac:dyDescent="0.25">
      <c r="A37" s="31" t="s">
        <v>72</v>
      </c>
      <c r="B37" s="29">
        <v>0.17437800000000001</v>
      </c>
      <c r="C37" s="29">
        <v>0.20863899999999999</v>
      </c>
      <c r="D37" s="29">
        <v>0.21888099999999999</v>
      </c>
      <c r="E37" s="29">
        <v>0.23960600000000001</v>
      </c>
      <c r="F37" s="29">
        <v>0.219999</v>
      </c>
      <c r="G37" s="30">
        <v>0.70905600000000002</v>
      </c>
      <c r="H37" s="13">
        <v>0.43</v>
      </c>
      <c r="I37" s="13">
        <v>0.54</v>
      </c>
      <c r="J37" s="13">
        <v>0.41</v>
      </c>
      <c r="K37" s="13">
        <v>0.05</v>
      </c>
      <c r="L37" s="13">
        <v>-0.41</v>
      </c>
      <c r="M37" s="13">
        <v>-0.51</v>
      </c>
    </row>
    <row r="38" spans="1:13" x14ac:dyDescent="0.25">
      <c r="A38" s="31" t="s">
        <v>73</v>
      </c>
      <c r="B38" s="29">
        <v>0.181171</v>
      </c>
      <c r="C38" s="29">
        <v>0.21182000000000001</v>
      </c>
      <c r="D38" s="29">
        <v>0.217056</v>
      </c>
      <c r="E38" s="29">
        <v>0.23089100000000001</v>
      </c>
      <c r="F38" s="29">
        <v>0.20982300000000001</v>
      </c>
      <c r="G38" s="30">
        <v>0.70174599999999998</v>
      </c>
      <c r="H38" s="13">
        <v>0.02</v>
      </c>
      <c r="I38" s="13">
        <v>0.12</v>
      </c>
      <c r="J38" s="13">
        <v>0.06</v>
      </c>
      <c r="K38" s="13">
        <v>-0.17</v>
      </c>
      <c r="L38" s="13">
        <v>-0.6</v>
      </c>
      <c r="M38" s="13">
        <v>-0.76</v>
      </c>
    </row>
    <row r="39" spans="1:13" x14ac:dyDescent="0.25">
      <c r="A39" s="31" t="s">
        <v>77</v>
      </c>
      <c r="B39" s="29">
        <v>0.154949</v>
      </c>
      <c r="C39" s="29">
        <v>0.1903</v>
      </c>
      <c r="D39" s="29">
        <v>0.205651</v>
      </c>
      <c r="E39" s="29">
        <v>0.23391000000000001</v>
      </c>
      <c r="F39" s="29">
        <v>0.21790799999999999</v>
      </c>
      <c r="G39" s="30">
        <v>0.67310700000000001</v>
      </c>
      <c r="H39" s="13">
        <v>0.72</v>
      </c>
      <c r="I39" s="13">
        <v>0.84</v>
      </c>
      <c r="J39" s="13">
        <v>0.76</v>
      </c>
      <c r="K39" s="13">
        <v>0.48</v>
      </c>
      <c r="L39" s="13">
        <v>0.06</v>
      </c>
      <c r="M39" s="13">
        <v>-0.02</v>
      </c>
    </row>
    <row r="40" spans="1:13" x14ac:dyDescent="0.25">
      <c r="A40" s="31" t="s">
        <v>69</v>
      </c>
      <c r="B40" s="29">
        <v>0.14570900000000001</v>
      </c>
      <c r="C40" s="29">
        <v>0.17385700000000001</v>
      </c>
      <c r="D40" s="29">
        <v>0.17207500000000001</v>
      </c>
      <c r="E40" s="29">
        <v>0.164076</v>
      </c>
      <c r="F40" s="29">
        <v>0.13953099999999999</v>
      </c>
      <c r="G40" s="30">
        <v>0.49778600000000001</v>
      </c>
      <c r="H40" s="13">
        <v>0.31</v>
      </c>
      <c r="I40" s="13">
        <v>0.47</v>
      </c>
      <c r="J40" s="13">
        <v>0.45</v>
      </c>
      <c r="K40" s="13">
        <v>0.27</v>
      </c>
      <c r="L40" s="13">
        <v>-0.09</v>
      </c>
      <c r="M40" s="13">
        <v>-0.14000000000000001</v>
      </c>
    </row>
    <row r="41" spans="1:13" x14ac:dyDescent="0.25">
      <c r="A41" s="31" t="s">
        <v>70</v>
      </c>
      <c r="B41" s="29">
        <v>0.148534</v>
      </c>
      <c r="C41" s="29">
        <v>0.17601</v>
      </c>
      <c r="D41" s="29">
        <v>0.16972999999999999</v>
      </c>
      <c r="E41" s="29">
        <v>0.152228</v>
      </c>
      <c r="F41" s="29">
        <v>0.12379900000000001</v>
      </c>
      <c r="G41" s="30">
        <v>0.48056599999999999</v>
      </c>
      <c r="H41" s="13">
        <v>0.3</v>
      </c>
      <c r="I41" s="13">
        <v>0.4</v>
      </c>
      <c r="J41" s="13">
        <v>0.4</v>
      </c>
      <c r="K41" s="13">
        <v>0.23</v>
      </c>
      <c r="L41" s="13">
        <v>-0.14000000000000001</v>
      </c>
      <c r="M41" s="13">
        <v>-0.16</v>
      </c>
    </row>
    <row r="42" spans="1:13" x14ac:dyDescent="0.25">
      <c r="A42" s="31" t="s">
        <v>74</v>
      </c>
      <c r="B42" s="29">
        <v>-0.14030699999999999</v>
      </c>
      <c r="C42" s="29">
        <v>0.124209</v>
      </c>
      <c r="D42" s="29">
        <v>0.34986800000000001</v>
      </c>
      <c r="E42" s="29">
        <v>0.52631399999999995</v>
      </c>
      <c r="F42" s="29">
        <v>0.47685899999999998</v>
      </c>
      <c r="G42" s="30">
        <v>0.86390599999999995</v>
      </c>
      <c r="H42" s="13">
        <v>0.61</v>
      </c>
      <c r="I42" s="13">
        <v>0.65</v>
      </c>
      <c r="J42" s="13">
        <v>0.15</v>
      </c>
      <c r="K42" s="13">
        <v>-0.93</v>
      </c>
      <c r="L42" s="13">
        <v>-1.67</v>
      </c>
      <c r="M42" s="13">
        <v>-1.64</v>
      </c>
    </row>
    <row r="43" spans="1:13" x14ac:dyDescent="0.25">
      <c r="A43" s="31" t="s">
        <v>75</v>
      </c>
      <c r="B43" s="29">
        <v>-0.32089699999999999</v>
      </c>
      <c r="C43" s="29">
        <v>-8.7426000000000004E-2</v>
      </c>
      <c r="D43" s="29">
        <v>0.132524</v>
      </c>
      <c r="E43" s="29">
        <v>0.294742</v>
      </c>
      <c r="F43" s="29">
        <v>0.26647599999999999</v>
      </c>
      <c r="G43" s="30">
        <v>0.16103000000000001</v>
      </c>
      <c r="H43" s="13">
        <v>0.59</v>
      </c>
      <c r="I43" s="13">
        <v>0.53</v>
      </c>
      <c r="J43" s="13">
        <v>0.1</v>
      </c>
      <c r="K43" s="13">
        <v>-0.77</v>
      </c>
      <c r="L43" s="13">
        <v>-1.08</v>
      </c>
      <c r="M43" s="13">
        <v>-0.89</v>
      </c>
    </row>
    <row r="44" spans="1:13" x14ac:dyDescent="0.25">
      <c r="A44" s="31" t="s">
        <v>78</v>
      </c>
      <c r="B44" s="29">
        <v>-58.462429999999998</v>
      </c>
      <c r="C44" s="29">
        <v>-125.5273</v>
      </c>
      <c r="D44" s="29">
        <v>-179.66210000000001</v>
      </c>
      <c r="E44" s="29">
        <v>-242.17789999999999</v>
      </c>
      <c r="F44" s="29">
        <v>-256.62979999999999</v>
      </c>
      <c r="G44" s="30">
        <v>-149.8322</v>
      </c>
      <c r="H44" s="13">
        <v>-32</v>
      </c>
      <c r="I44" s="13">
        <v>-118</v>
      </c>
      <c r="J44" s="13">
        <v>-153</v>
      </c>
      <c r="K44" s="13">
        <v>-113</v>
      </c>
      <c r="L44" s="13">
        <v>-69</v>
      </c>
      <c r="M44" s="13">
        <v>-64</v>
      </c>
    </row>
    <row r="45" spans="1:13" x14ac:dyDescent="0.25">
      <c r="A45" s="31" t="s">
        <v>76</v>
      </c>
      <c r="B45" s="29">
        <v>0.17266999999999999</v>
      </c>
      <c r="C45" s="29">
        <v>0.35588599999999998</v>
      </c>
      <c r="D45" s="29">
        <v>0.49229099999999998</v>
      </c>
      <c r="E45" s="29">
        <v>0.632328</v>
      </c>
      <c r="F45" s="29">
        <v>0.63423099999999999</v>
      </c>
      <c r="G45" s="30">
        <v>0.34331600000000001</v>
      </c>
      <c r="H45" s="13">
        <v>0.13</v>
      </c>
      <c r="I45" s="13">
        <v>0.49</v>
      </c>
      <c r="J45" s="13">
        <v>0.64</v>
      </c>
      <c r="K45" s="13">
        <v>0.47</v>
      </c>
      <c r="L45" s="13">
        <v>0.28999999999999998</v>
      </c>
      <c r="M45" s="13">
        <v>0.27</v>
      </c>
    </row>
    <row r="46" spans="1:13" x14ac:dyDescent="0.25">
      <c r="A46" s="31" t="s">
        <v>79</v>
      </c>
      <c r="B46" s="29">
        <v>0.165439</v>
      </c>
      <c r="C46" s="29">
        <v>0.23603399999999999</v>
      </c>
      <c r="D46" s="29">
        <v>0.261739</v>
      </c>
      <c r="E46" s="29">
        <v>0.26494600000000001</v>
      </c>
      <c r="F46" s="29">
        <v>0.22692599999999999</v>
      </c>
      <c r="G46" s="30">
        <v>4.5884000000000001E-2</v>
      </c>
      <c r="H46" s="13">
        <v>0.17</v>
      </c>
      <c r="I46" s="13">
        <v>0.27</v>
      </c>
      <c r="J46" s="13">
        <v>0.24</v>
      </c>
      <c r="K46" s="13">
        <v>0.28000000000000003</v>
      </c>
      <c r="L46" s="13">
        <v>0.4</v>
      </c>
      <c r="M46" s="13">
        <v>0.41</v>
      </c>
    </row>
    <row r="47" spans="1:13" x14ac:dyDescent="0.25">
      <c r="A47" s="46" t="s">
        <v>80</v>
      </c>
      <c r="B47" s="29">
        <v>0.43759100000000001</v>
      </c>
      <c r="C47" s="29">
        <v>0.28826600000000002</v>
      </c>
      <c r="D47" s="29">
        <v>0.17097000000000001</v>
      </c>
      <c r="E47" s="29">
        <v>8.8380000000000004E-3</v>
      </c>
      <c r="F47" s="29">
        <v>-2.2637999999999998E-2</v>
      </c>
      <c r="G47" s="30">
        <v>8.7612999999999996E-2</v>
      </c>
      <c r="H47" s="13">
        <v>0.8</v>
      </c>
      <c r="I47" s="13">
        <v>0.36</v>
      </c>
      <c r="J47" s="13">
        <v>0.28000000000000003</v>
      </c>
      <c r="K47" s="13">
        <v>0.37</v>
      </c>
      <c r="L47" s="13">
        <v>0.44</v>
      </c>
      <c r="M47" s="13">
        <v>0.47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47"/>
  <sheetViews>
    <sheetView workbookViewId="0">
      <selection activeCell="B27" sqref="B27:M28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TRANSPOSE(INCT1!$B$3:$T$8)</f>
        <v>0.64016300000000004</v>
      </c>
      <c r="C4" s="29">
        <v>0.99574700000000005</v>
      </c>
      <c r="D4" s="29">
        <v>1.169788</v>
      </c>
      <c r="E4" s="29">
        <v>1.1801520000000001</v>
      </c>
      <c r="F4" s="29">
        <v>0.56870799999999999</v>
      </c>
      <c r="G4" s="30">
        <v>8.3374000000000004E-2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1.3096669999999999</v>
      </c>
      <c r="C5" s="29">
        <v>2.059904</v>
      </c>
      <c r="D5" s="29">
        <v>2.479425</v>
      </c>
      <c r="E5" s="29">
        <v>2.7586339999999998</v>
      </c>
      <c r="F5" s="29">
        <v>2.3836949999999999</v>
      </c>
      <c r="G5" s="30">
        <v>1.661662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0.34030300000000002</v>
      </c>
      <c r="C6" s="29">
        <v>0.69018999999999997</v>
      </c>
      <c r="D6" s="29">
        <v>0.93706699999999998</v>
      </c>
      <c r="E6" s="29">
        <v>1.1126229999999999</v>
      </c>
      <c r="F6" s="29">
        <v>0.89645200000000003</v>
      </c>
      <c r="G6" s="30">
        <v>0.92757199999999995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-4.8353E-2</v>
      </c>
      <c r="C7" s="29">
        <v>-0.17369100000000001</v>
      </c>
      <c r="D7" s="29">
        <v>-0.38402199999999997</v>
      </c>
      <c r="E7" s="29">
        <v>-1.0195179999999999</v>
      </c>
      <c r="F7" s="29">
        <v>-2.9386559999999999</v>
      </c>
      <c r="G7" s="30">
        <v>-3.7771560000000002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0.69127899999999998</v>
      </c>
      <c r="C8" s="29">
        <v>1.1554439999999999</v>
      </c>
      <c r="D8" s="29">
        <v>1.4207510000000001</v>
      </c>
      <c r="E8" s="29">
        <v>1.561383</v>
      </c>
      <c r="F8" s="29">
        <v>1.1679539999999999</v>
      </c>
      <c r="G8" s="30">
        <v>0.67193599999999998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1.931899</v>
      </c>
      <c r="C9" s="29">
        <v>2.248999</v>
      </c>
      <c r="D9" s="29">
        <v>2.4609079999999999</v>
      </c>
      <c r="E9" s="29">
        <v>2.6099459999999999</v>
      </c>
      <c r="F9" s="29">
        <v>2.3250649999999999</v>
      </c>
      <c r="G9" s="30">
        <v>1.6648620000000001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0.54708999999999997</v>
      </c>
      <c r="C10" s="29">
        <v>0.165744</v>
      </c>
      <c r="D10" s="29">
        <v>-1.6197E-2</v>
      </c>
      <c r="E10" s="29">
        <v>-0.12986800000000001</v>
      </c>
      <c r="F10" s="29">
        <v>-5.1351000000000001E-2</v>
      </c>
      <c r="G10" s="30">
        <v>2.82E-3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0.29074299999999997</v>
      </c>
      <c r="C11" s="29">
        <v>0.81991599999999998</v>
      </c>
      <c r="D11" s="29">
        <v>1.515431</v>
      </c>
      <c r="E11" s="29">
        <v>3.1365470000000002</v>
      </c>
      <c r="F11" s="29">
        <v>6.5195619999999996</v>
      </c>
      <c r="G11" s="30">
        <v>6.4065770000000004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0.30934400000000001</v>
      </c>
      <c r="C12" s="29">
        <v>0.87181500000000001</v>
      </c>
      <c r="D12" s="29">
        <v>1.6082510000000001</v>
      </c>
      <c r="E12" s="29">
        <v>3.310082</v>
      </c>
      <c r="F12" s="29">
        <v>6.7994950000000003</v>
      </c>
      <c r="G12" s="30">
        <v>6.6665549999999998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0.31471300000000002</v>
      </c>
      <c r="C13" s="29">
        <v>0.88266500000000003</v>
      </c>
      <c r="D13" s="29">
        <v>1.6210249999999999</v>
      </c>
      <c r="E13" s="29">
        <v>3.3111250000000001</v>
      </c>
      <c r="F13" s="29">
        <v>6.7319810000000002</v>
      </c>
      <c r="G13" s="30">
        <v>6.5950670000000002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0.28660799999999997</v>
      </c>
      <c r="C14" s="29">
        <v>0.81080700000000006</v>
      </c>
      <c r="D14" s="29">
        <v>1.5012749999999999</v>
      </c>
      <c r="E14" s="29">
        <v>3.1108129999999998</v>
      </c>
      <c r="F14" s="29">
        <v>6.455311</v>
      </c>
      <c r="G14" s="30">
        <v>6.3342479999999997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0.20172399999999999</v>
      </c>
      <c r="C15" s="29">
        <v>0.58499299999999999</v>
      </c>
      <c r="D15" s="29">
        <v>1.1021860000000001</v>
      </c>
      <c r="E15" s="29">
        <v>2.3308200000000001</v>
      </c>
      <c r="F15" s="29">
        <v>4.8929689999999999</v>
      </c>
      <c r="G15" s="30">
        <v>4.8155060000000001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0.18639600000000001</v>
      </c>
      <c r="C16" s="29">
        <v>0.54866099999999995</v>
      </c>
      <c r="D16" s="29">
        <v>1.044888</v>
      </c>
      <c r="E16" s="29">
        <v>2.2402989999999998</v>
      </c>
      <c r="F16" s="29">
        <v>4.7620459999999998</v>
      </c>
      <c r="G16" s="30">
        <v>4.6828390000000004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0.61172400000000005</v>
      </c>
      <c r="C17" s="29">
        <v>1.319823</v>
      </c>
      <c r="D17" s="29">
        <v>2.120101</v>
      </c>
      <c r="E17" s="29">
        <v>3.8421759999999998</v>
      </c>
      <c r="F17" s="29">
        <v>7.3183619999999996</v>
      </c>
      <c r="G17" s="30">
        <v>7.3054629999999996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0.29607899999999998</v>
      </c>
      <c r="C18" s="29">
        <v>0.43333300000000002</v>
      </c>
      <c r="D18" s="29">
        <v>0.49111500000000002</v>
      </c>
      <c r="E18" s="29">
        <v>0.51403100000000002</v>
      </c>
      <c r="F18" s="29">
        <v>0.549396</v>
      </c>
      <c r="G18" s="30">
        <v>0.66644400000000004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83.049909999999997</v>
      </c>
      <c r="C19" s="29">
        <v>178.8494</v>
      </c>
      <c r="D19" s="29">
        <v>253.29910000000001</v>
      </c>
      <c r="E19" s="29">
        <v>304.8075</v>
      </c>
      <c r="F19" s="29">
        <v>102.2337</v>
      </c>
      <c r="G19" s="30">
        <v>-64.604309999999998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-0.24510599999999999</v>
      </c>
      <c r="C20" s="29">
        <v>-0.50616000000000005</v>
      </c>
      <c r="D20" s="29">
        <v>-0.69150100000000003</v>
      </c>
      <c r="E20" s="29">
        <v>-0.78383400000000003</v>
      </c>
      <c r="F20" s="29">
        <v>-0.218973</v>
      </c>
      <c r="G20" s="30">
        <v>0.14759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-0.16786400000000001</v>
      </c>
      <c r="C21" s="29">
        <v>-0.29711300000000002</v>
      </c>
      <c r="D21" s="29">
        <v>-0.39793000000000001</v>
      </c>
      <c r="E21" s="29">
        <v>-0.55954000000000004</v>
      </c>
      <c r="F21" s="29">
        <v>-0.88730900000000001</v>
      </c>
      <c r="G21" s="30">
        <v>-0.97261500000000001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-0.67519700000000005</v>
      </c>
      <c r="C22" s="29">
        <v>-0.43690800000000002</v>
      </c>
      <c r="D22" s="29">
        <v>-0.29128599999999999</v>
      </c>
      <c r="E22" s="29">
        <v>-0.21726999999999999</v>
      </c>
      <c r="F22" s="29">
        <v>-0.49980999999999998</v>
      </c>
      <c r="G22" s="30">
        <v>-1.0738430000000001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ht="30" x14ac:dyDescent="0.25">
      <c r="A26" s="34" t="s">
        <v>85</v>
      </c>
    </row>
    <row r="27" spans="1:13" x14ac:dyDescent="0.25">
      <c r="A27" s="3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39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9">
        <f t="array" ref="B29:G47">TRANSPOSE(INCT1!$B$3:$T$8)</f>
        <v>0.64016300000000004</v>
      </c>
      <c r="C29" s="29">
        <v>0.99574700000000005</v>
      </c>
      <c r="D29" s="29">
        <v>1.169788</v>
      </c>
      <c r="E29" s="29">
        <v>1.1801520000000001</v>
      </c>
      <c r="F29" s="29">
        <v>0.56870799999999999</v>
      </c>
      <c r="G29" s="30">
        <v>8.3374000000000004E-2</v>
      </c>
      <c r="H29" s="12">
        <v>0.41</v>
      </c>
      <c r="I29" s="36">
        <v>0.83</v>
      </c>
      <c r="J29" s="36">
        <v>0.88</v>
      </c>
      <c r="K29" s="36">
        <v>0.81</v>
      </c>
      <c r="L29" s="36">
        <v>0.87</v>
      </c>
      <c r="M29" s="32">
        <v>1.05</v>
      </c>
    </row>
    <row r="30" spans="1:13" x14ac:dyDescent="0.25">
      <c r="A30" s="31" t="s">
        <v>58</v>
      </c>
      <c r="B30" s="29">
        <v>1.3096669999999999</v>
      </c>
      <c r="C30" s="29">
        <v>2.059904</v>
      </c>
      <c r="D30" s="29">
        <v>2.479425</v>
      </c>
      <c r="E30" s="29">
        <v>2.7586339999999998</v>
      </c>
      <c r="F30" s="29">
        <v>2.3836949999999999</v>
      </c>
      <c r="G30" s="30">
        <v>1.661662</v>
      </c>
      <c r="H30" s="12">
        <v>0.81</v>
      </c>
      <c r="I30" s="36">
        <v>1.66</v>
      </c>
      <c r="J30" s="36">
        <v>1.9</v>
      </c>
      <c r="K30" s="36">
        <v>2.0099999999999998</v>
      </c>
      <c r="L30" s="36">
        <v>2.06</v>
      </c>
      <c r="M30" s="32">
        <v>2.27</v>
      </c>
    </row>
    <row r="31" spans="1:13" x14ac:dyDescent="0.25">
      <c r="A31" s="31" t="s">
        <v>55</v>
      </c>
      <c r="B31" s="29">
        <v>0.34030300000000002</v>
      </c>
      <c r="C31" s="29">
        <v>0.69018999999999997</v>
      </c>
      <c r="D31" s="29">
        <v>0.93706699999999998</v>
      </c>
      <c r="E31" s="29">
        <v>1.1126229999999999</v>
      </c>
      <c r="F31" s="29">
        <v>0.89645200000000003</v>
      </c>
      <c r="G31" s="30">
        <v>0.92757199999999995</v>
      </c>
      <c r="H31" s="12">
        <v>0.61</v>
      </c>
      <c r="I31" s="36">
        <v>1.6</v>
      </c>
      <c r="J31" s="36">
        <v>1.65</v>
      </c>
      <c r="K31" s="36">
        <v>1.23</v>
      </c>
      <c r="L31" s="36">
        <v>1.1499999999999999</v>
      </c>
      <c r="M31" s="32">
        <v>1.27</v>
      </c>
    </row>
    <row r="32" spans="1:13" x14ac:dyDescent="0.25">
      <c r="A32" s="31" t="s">
        <v>56</v>
      </c>
      <c r="B32" s="29">
        <v>-4.8353E-2</v>
      </c>
      <c r="C32" s="29">
        <v>-0.17369100000000001</v>
      </c>
      <c r="D32" s="29">
        <v>-0.38402199999999997</v>
      </c>
      <c r="E32" s="29">
        <v>-1.0195179999999999</v>
      </c>
      <c r="F32" s="29">
        <v>-2.9386559999999999</v>
      </c>
      <c r="G32" s="30">
        <v>-3.7771560000000002</v>
      </c>
      <c r="H32" s="12">
        <v>0.04</v>
      </c>
      <c r="I32" s="36">
        <v>0.01</v>
      </c>
      <c r="J32" s="36">
        <v>-7.0000000000000007E-2</v>
      </c>
      <c r="K32" s="36">
        <v>-0.13</v>
      </c>
      <c r="L32" s="36">
        <v>0.01</v>
      </c>
      <c r="M32" s="32">
        <v>0.28000000000000003</v>
      </c>
    </row>
    <row r="33" spans="1:13" x14ac:dyDescent="0.25">
      <c r="A33" s="31" t="s">
        <v>57</v>
      </c>
      <c r="B33" s="29">
        <v>0.69127899999999998</v>
      </c>
      <c r="C33" s="29">
        <v>1.1554439999999999</v>
      </c>
      <c r="D33" s="29">
        <v>1.4207510000000001</v>
      </c>
      <c r="E33" s="29">
        <v>1.561383</v>
      </c>
      <c r="F33" s="29">
        <v>1.1679539999999999</v>
      </c>
      <c r="G33" s="30">
        <v>0.67193599999999998</v>
      </c>
      <c r="H33" s="12">
        <v>0.7</v>
      </c>
      <c r="I33" s="36">
        <v>1.42</v>
      </c>
      <c r="J33" s="36">
        <v>1.43</v>
      </c>
      <c r="K33" s="36">
        <v>1.27</v>
      </c>
      <c r="L33" s="36">
        <v>1.24</v>
      </c>
      <c r="M33" s="32">
        <v>1.31</v>
      </c>
    </row>
    <row r="34" spans="1:13" x14ac:dyDescent="0.25">
      <c r="A34" s="31" t="s">
        <v>59</v>
      </c>
      <c r="B34" s="29">
        <v>1.931899</v>
      </c>
      <c r="C34" s="29">
        <v>2.248999</v>
      </c>
      <c r="D34" s="29">
        <v>2.4609079999999999</v>
      </c>
      <c r="E34" s="29">
        <v>2.6099459999999999</v>
      </c>
      <c r="F34" s="29">
        <v>2.3250649999999999</v>
      </c>
      <c r="G34" s="30">
        <v>1.6648620000000001</v>
      </c>
      <c r="H34" s="12">
        <v>1.7</v>
      </c>
      <c r="I34" s="36">
        <v>1.82</v>
      </c>
      <c r="J34" s="36">
        <v>1.92</v>
      </c>
      <c r="K34" s="36">
        <v>2.04</v>
      </c>
      <c r="L34" s="36">
        <v>2.06</v>
      </c>
      <c r="M34" s="32">
        <v>2.27</v>
      </c>
    </row>
    <row r="35" spans="1:13" x14ac:dyDescent="0.25">
      <c r="A35" s="31" t="s">
        <v>60</v>
      </c>
      <c r="B35" s="29">
        <v>0.54708999999999997</v>
      </c>
      <c r="C35" s="29">
        <v>0.165744</v>
      </c>
      <c r="D35" s="29">
        <v>-1.6197E-2</v>
      </c>
      <c r="E35" s="29">
        <v>-0.12986800000000001</v>
      </c>
      <c r="F35" s="29">
        <v>-5.1351000000000001E-2</v>
      </c>
      <c r="G35" s="30">
        <v>2.82E-3</v>
      </c>
      <c r="H35" s="12">
        <v>0.75</v>
      </c>
      <c r="I35" s="36">
        <v>0.14000000000000001</v>
      </c>
      <c r="J35" s="36">
        <v>0.02</v>
      </c>
      <c r="K35" s="36">
        <v>0.03</v>
      </c>
      <c r="L35" s="36">
        <v>0</v>
      </c>
      <c r="M35" s="32">
        <v>0</v>
      </c>
    </row>
    <row r="36" spans="1:13" x14ac:dyDescent="0.25">
      <c r="A36" s="31" t="s">
        <v>71</v>
      </c>
      <c r="B36" s="29">
        <v>0.29074299999999997</v>
      </c>
      <c r="C36" s="29">
        <v>0.81991599999999998</v>
      </c>
      <c r="D36" s="29">
        <v>1.515431</v>
      </c>
      <c r="E36" s="29">
        <v>3.1365470000000002</v>
      </c>
      <c r="F36" s="29">
        <v>6.5195619999999996</v>
      </c>
      <c r="G36" s="30">
        <v>6.4065770000000004</v>
      </c>
      <c r="H36" s="12">
        <v>0.04</v>
      </c>
      <c r="I36" s="36">
        <v>0.21</v>
      </c>
      <c r="J36" s="36">
        <v>0.34</v>
      </c>
      <c r="K36" s="36">
        <v>0.35</v>
      </c>
      <c r="L36" s="36">
        <v>0.14000000000000001</v>
      </c>
      <c r="M36" s="32">
        <v>-0.18</v>
      </c>
    </row>
    <row r="37" spans="1:13" x14ac:dyDescent="0.25">
      <c r="A37" s="31" t="s">
        <v>72</v>
      </c>
      <c r="B37" s="29">
        <v>0.30934400000000001</v>
      </c>
      <c r="C37" s="29">
        <v>0.87181500000000001</v>
      </c>
      <c r="D37" s="29">
        <v>1.6082510000000001</v>
      </c>
      <c r="E37" s="29">
        <v>3.310082</v>
      </c>
      <c r="F37" s="29">
        <v>6.7994950000000003</v>
      </c>
      <c r="G37" s="30">
        <v>6.6665549999999998</v>
      </c>
      <c r="H37" s="12">
        <v>0.04</v>
      </c>
      <c r="I37" s="36">
        <v>0.2</v>
      </c>
      <c r="J37" s="36">
        <v>0.33</v>
      </c>
      <c r="K37" s="36">
        <v>0.34</v>
      </c>
      <c r="L37" s="36">
        <v>0.12</v>
      </c>
      <c r="M37" s="32">
        <v>-0.19</v>
      </c>
    </row>
    <row r="38" spans="1:13" x14ac:dyDescent="0.25">
      <c r="A38" s="31" t="s">
        <v>73</v>
      </c>
      <c r="B38" s="29">
        <v>0.31471300000000002</v>
      </c>
      <c r="C38" s="29">
        <v>0.88266500000000003</v>
      </c>
      <c r="D38" s="29">
        <v>1.6210249999999999</v>
      </c>
      <c r="E38" s="29">
        <v>3.3111250000000001</v>
      </c>
      <c r="F38" s="29">
        <v>6.7319810000000002</v>
      </c>
      <c r="G38" s="30">
        <v>6.5950670000000002</v>
      </c>
      <c r="H38" s="12">
        <v>0.04</v>
      </c>
      <c r="I38" s="36">
        <v>0.26</v>
      </c>
      <c r="J38" s="36">
        <v>0.41</v>
      </c>
      <c r="K38" s="36">
        <v>0.41</v>
      </c>
      <c r="L38" s="36">
        <v>0.17</v>
      </c>
      <c r="M38" s="32">
        <v>-0.22</v>
      </c>
    </row>
    <row r="39" spans="1:13" x14ac:dyDescent="0.25">
      <c r="A39" s="31" t="s">
        <v>77</v>
      </c>
      <c r="B39" s="29">
        <v>0.28660799999999997</v>
      </c>
      <c r="C39" s="29">
        <v>0.81080700000000006</v>
      </c>
      <c r="D39" s="29">
        <v>1.5012749999999999</v>
      </c>
      <c r="E39" s="29">
        <v>3.1108129999999998</v>
      </c>
      <c r="F39" s="29">
        <v>6.455311</v>
      </c>
      <c r="G39" s="30">
        <v>6.3342479999999997</v>
      </c>
      <c r="H39" s="12">
        <v>0.03</v>
      </c>
      <c r="I39" s="36">
        <v>0.18</v>
      </c>
      <c r="J39" s="36">
        <v>0.32</v>
      </c>
      <c r="K39" s="36">
        <v>0.35</v>
      </c>
      <c r="L39" s="36">
        <v>0.13</v>
      </c>
      <c r="M39" s="32">
        <v>-0.17</v>
      </c>
    </row>
    <row r="40" spans="1:13" x14ac:dyDescent="0.25">
      <c r="A40" s="31" t="s">
        <v>69</v>
      </c>
      <c r="B40" s="29">
        <v>0.20172399999999999</v>
      </c>
      <c r="C40" s="29">
        <v>0.58499299999999999</v>
      </c>
      <c r="D40" s="29">
        <v>1.1021860000000001</v>
      </c>
      <c r="E40" s="29">
        <v>2.3308200000000001</v>
      </c>
      <c r="F40" s="29">
        <v>4.8929689999999999</v>
      </c>
      <c r="G40" s="30">
        <v>4.8155060000000001</v>
      </c>
      <c r="H40" s="12">
        <v>0.02</v>
      </c>
      <c r="I40" s="36">
        <v>0.14000000000000001</v>
      </c>
      <c r="J40" s="36">
        <v>0.26</v>
      </c>
      <c r="K40" s="36">
        <v>0.31</v>
      </c>
      <c r="L40" s="36">
        <v>0.12</v>
      </c>
      <c r="M40" s="32">
        <v>-0.15</v>
      </c>
    </row>
    <row r="41" spans="1:13" x14ac:dyDescent="0.25">
      <c r="A41" s="31" t="s">
        <v>70</v>
      </c>
      <c r="B41" s="29">
        <v>0.18639600000000001</v>
      </c>
      <c r="C41" s="29">
        <v>0.54866099999999995</v>
      </c>
      <c r="D41" s="29">
        <v>1.044888</v>
      </c>
      <c r="E41" s="29">
        <v>2.2402989999999998</v>
      </c>
      <c r="F41" s="29">
        <v>4.7620459999999998</v>
      </c>
      <c r="G41" s="30">
        <v>4.6828390000000004</v>
      </c>
      <c r="H41" s="12">
        <v>0.05</v>
      </c>
      <c r="I41" s="36">
        <v>0.17</v>
      </c>
      <c r="J41" s="36">
        <v>0.27</v>
      </c>
      <c r="K41" s="36">
        <v>0.3</v>
      </c>
      <c r="L41" s="36">
        <v>0.11</v>
      </c>
      <c r="M41" s="32">
        <v>-0.13</v>
      </c>
    </row>
    <row r="42" spans="1:13" x14ac:dyDescent="0.25">
      <c r="A42" s="31" t="s">
        <v>74</v>
      </c>
      <c r="B42" s="29">
        <v>0.61172400000000005</v>
      </c>
      <c r="C42" s="29">
        <v>1.319823</v>
      </c>
      <c r="D42" s="29">
        <v>2.120101</v>
      </c>
      <c r="E42" s="29">
        <v>3.8421759999999998</v>
      </c>
      <c r="F42" s="29">
        <v>7.3183619999999996</v>
      </c>
      <c r="G42" s="30">
        <v>7.3054629999999996</v>
      </c>
      <c r="H42" s="12">
        <v>0.05</v>
      </c>
      <c r="I42" s="36">
        <v>0.09</v>
      </c>
      <c r="J42" s="36">
        <v>0.09</v>
      </c>
      <c r="K42" s="36">
        <v>0.05</v>
      </c>
      <c r="L42" s="36">
        <v>-0.16</v>
      </c>
      <c r="M42" s="32">
        <v>-0.25</v>
      </c>
    </row>
    <row r="43" spans="1:13" x14ac:dyDescent="0.25">
      <c r="A43" s="31" t="s">
        <v>75</v>
      </c>
      <c r="B43" s="29">
        <v>0.29607899999999998</v>
      </c>
      <c r="C43" s="29">
        <v>0.43333300000000002</v>
      </c>
      <c r="D43" s="29">
        <v>0.49111500000000002</v>
      </c>
      <c r="E43" s="29">
        <v>0.51403100000000002</v>
      </c>
      <c r="F43" s="29">
        <v>0.549396</v>
      </c>
      <c r="G43" s="30">
        <v>0.66644400000000004</v>
      </c>
      <c r="H43" s="12">
        <v>0.01</v>
      </c>
      <c r="I43" s="36">
        <v>-0.16</v>
      </c>
      <c r="J43" s="36">
        <v>-0.32</v>
      </c>
      <c r="K43" s="36">
        <v>-0.35</v>
      </c>
      <c r="L43" s="36">
        <v>-0.33</v>
      </c>
      <c r="M43" s="32">
        <v>-0.03</v>
      </c>
    </row>
    <row r="44" spans="1:13" x14ac:dyDescent="0.25">
      <c r="A44" s="31" t="s">
        <v>78</v>
      </c>
      <c r="B44" s="29">
        <v>83.049909999999997</v>
      </c>
      <c r="C44" s="29">
        <v>178.8494</v>
      </c>
      <c r="D44" s="29">
        <v>253.29910000000001</v>
      </c>
      <c r="E44" s="29">
        <v>304.8075</v>
      </c>
      <c r="F44" s="29">
        <v>102.2337</v>
      </c>
      <c r="G44" s="30">
        <v>-64.604309999999998</v>
      </c>
      <c r="H44" s="12">
        <v>24</v>
      </c>
      <c r="I44" s="36">
        <v>109</v>
      </c>
      <c r="J44" s="36">
        <v>174</v>
      </c>
      <c r="K44" s="36">
        <v>184</v>
      </c>
      <c r="L44" s="36">
        <v>181</v>
      </c>
      <c r="M44" s="32">
        <v>200</v>
      </c>
    </row>
    <row r="45" spans="1:13" x14ac:dyDescent="0.25">
      <c r="A45" s="31" t="s">
        <v>76</v>
      </c>
      <c r="B45" s="29">
        <v>-0.24510599999999999</v>
      </c>
      <c r="C45" s="29">
        <v>-0.50616000000000005</v>
      </c>
      <c r="D45" s="29">
        <v>-0.69150100000000003</v>
      </c>
      <c r="E45" s="29">
        <v>-0.78383400000000003</v>
      </c>
      <c r="F45" s="29">
        <v>-0.218973</v>
      </c>
      <c r="G45" s="30">
        <v>0.14759</v>
      </c>
      <c r="H45" s="12">
        <v>-0.1</v>
      </c>
      <c r="I45" s="36">
        <v>-0.45</v>
      </c>
      <c r="J45" s="36">
        <v>-0.72</v>
      </c>
      <c r="K45" s="36">
        <v>-0.77</v>
      </c>
      <c r="L45" s="36">
        <v>-0.75</v>
      </c>
      <c r="M45" s="32">
        <v>-0.83</v>
      </c>
    </row>
    <row r="46" spans="1:13" x14ac:dyDescent="0.25">
      <c r="A46" s="31" t="s">
        <v>79</v>
      </c>
      <c r="B46" s="29">
        <v>-0.16786400000000001</v>
      </c>
      <c r="C46" s="29">
        <v>-0.29711300000000002</v>
      </c>
      <c r="D46" s="29">
        <v>-0.39793000000000001</v>
      </c>
      <c r="E46" s="29">
        <v>-0.55954000000000004</v>
      </c>
      <c r="F46" s="29">
        <v>-0.88730900000000001</v>
      </c>
      <c r="G46" s="30">
        <v>-0.97261500000000001</v>
      </c>
      <c r="H46" s="12">
        <v>-0.21</v>
      </c>
      <c r="I46" s="36">
        <v>-0.44</v>
      </c>
      <c r="J46" s="36">
        <v>-0.47</v>
      </c>
      <c r="K46" s="36">
        <v>-0.44</v>
      </c>
      <c r="L46" s="36">
        <v>-0.38</v>
      </c>
      <c r="M46" s="32">
        <v>-0.33</v>
      </c>
    </row>
    <row r="47" spans="1:13" x14ac:dyDescent="0.25">
      <c r="A47" s="46" t="s">
        <v>80</v>
      </c>
      <c r="B47" s="29">
        <v>-0.67519700000000005</v>
      </c>
      <c r="C47" s="29">
        <v>-0.43690800000000002</v>
      </c>
      <c r="D47" s="29">
        <v>-0.29128599999999999</v>
      </c>
      <c r="E47" s="29">
        <v>-0.21726999999999999</v>
      </c>
      <c r="F47" s="29">
        <v>-0.49980999999999998</v>
      </c>
      <c r="G47" s="30">
        <v>-1.0738430000000001</v>
      </c>
      <c r="H47" s="12">
        <v>-0.81</v>
      </c>
      <c r="I47" s="36">
        <v>-0.5</v>
      </c>
      <c r="J47" s="36">
        <v>-0.42</v>
      </c>
      <c r="K47" s="36">
        <v>-0.51</v>
      </c>
      <c r="L47" s="36">
        <v>-0.5</v>
      </c>
      <c r="M47" s="32">
        <v>-0.43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47"/>
  <sheetViews>
    <sheetView workbookViewId="0">
      <selection activeCell="B27" sqref="B27:M28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51</v>
      </c>
      <c r="B1" s="41"/>
      <c r="C1" s="41"/>
      <c r="D1" s="41"/>
      <c r="E1" s="41"/>
      <c r="F1" s="41"/>
      <c r="G1" s="41"/>
    </row>
    <row r="2" spans="1:13" x14ac:dyDescent="0.25">
      <c r="A2" s="42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0.24245700000000001</v>
      </c>
      <c r="C4" s="29">
        <v>0.281553</v>
      </c>
      <c r="D4" s="29">
        <v>0.30956899999999998</v>
      </c>
      <c r="E4" s="29">
        <v>0.31495200000000001</v>
      </c>
      <c r="F4" s="29">
        <v>0.19752700000000001</v>
      </c>
      <c r="G4" s="30">
        <v>0.104868</v>
      </c>
      <c r="H4" s="43">
        <v>0.27</v>
      </c>
      <c r="I4" s="44">
        <v>0.32</v>
      </c>
      <c r="J4" s="44">
        <v>0.31</v>
      </c>
      <c r="K4" s="44">
        <v>0.26</v>
      </c>
      <c r="L4" s="44">
        <v>0.17</v>
      </c>
      <c r="M4" s="45">
        <v>0.05</v>
      </c>
    </row>
    <row r="5" spans="1:13" x14ac:dyDescent="0.25">
      <c r="A5" s="31" t="s">
        <v>8</v>
      </c>
      <c r="B5" s="29">
        <v>7.5573000000000001E-2</v>
      </c>
      <c r="C5" s="29">
        <v>0.16161800000000001</v>
      </c>
      <c r="D5" s="29">
        <v>0.22984399999999999</v>
      </c>
      <c r="E5" s="29">
        <v>0.29170600000000002</v>
      </c>
      <c r="F5" s="29">
        <v>0.22684099999999999</v>
      </c>
      <c r="G5" s="30">
        <v>7.9372999999999999E-2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0.18098500000000001</v>
      </c>
      <c r="C6" s="29">
        <v>0.28684300000000001</v>
      </c>
      <c r="D6" s="29">
        <v>0.34509499999999999</v>
      </c>
      <c r="E6" s="29">
        <v>0.38580100000000001</v>
      </c>
      <c r="F6" s="29">
        <v>0.355018</v>
      </c>
      <c r="G6" s="30">
        <v>0.33249699999999999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0.98682400000000003</v>
      </c>
      <c r="C7" s="29">
        <v>0.95716299999999999</v>
      </c>
      <c r="D7" s="29">
        <v>0.91108100000000003</v>
      </c>
      <c r="E7" s="29">
        <v>0.778972</v>
      </c>
      <c r="F7" s="29">
        <v>0.389955</v>
      </c>
      <c r="G7" s="30">
        <v>0.275723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0.266457</v>
      </c>
      <c r="C8" s="29">
        <v>0.36063800000000001</v>
      </c>
      <c r="D8" s="29">
        <v>0.40744000000000002</v>
      </c>
      <c r="E8" s="29">
        <v>0.43595699999999998</v>
      </c>
      <c r="F8" s="29">
        <v>0.36579800000000001</v>
      </c>
      <c r="G8" s="30">
        <v>0.27010899999999999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0.11115700000000001</v>
      </c>
      <c r="C9" s="29">
        <v>0.19270599999999999</v>
      </c>
      <c r="D9" s="29">
        <v>0.24429600000000001</v>
      </c>
      <c r="E9" s="29">
        <v>0.27958</v>
      </c>
      <c r="F9" s="29">
        <v>0.217395</v>
      </c>
      <c r="G9" s="30">
        <v>8.0006999999999995E-2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3.1855000000000001E-2</v>
      </c>
      <c r="C10" s="29">
        <v>2.7807999999999999E-2</v>
      </c>
      <c r="D10" s="29">
        <v>1.2921E-2</v>
      </c>
      <c r="E10" s="29">
        <v>-1.0836999999999999E-2</v>
      </c>
      <c r="F10" s="29">
        <v>-8.4469999999999996E-3</v>
      </c>
      <c r="G10" s="30">
        <v>5.6800000000000004E-4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6.4560999999999993E-2</v>
      </c>
      <c r="C11" s="29">
        <v>0.17285900000000001</v>
      </c>
      <c r="D11" s="29">
        <v>0.31076900000000002</v>
      </c>
      <c r="E11" s="29">
        <v>0.62708900000000001</v>
      </c>
      <c r="F11" s="29">
        <v>1.272751</v>
      </c>
      <c r="G11" s="30">
        <v>1.1671530000000001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6.7648E-2</v>
      </c>
      <c r="C12" s="29">
        <v>0.18260899999999999</v>
      </c>
      <c r="D12" s="29">
        <v>0.32894699999999999</v>
      </c>
      <c r="E12" s="29">
        <v>0.66164000000000001</v>
      </c>
      <c r="F12" s="29">
        <v>1.3273740000000001</v>
      </c>
      <c r="G12" s="30">
        <v>1.2155629999999999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6.6724000000000006E-2</v>
      </c>
      <c r="C13" s="29">
        <v>0.18177099999999999</v>
      </c>
      <c r="D13" s="29">
        <v>0.328239</v>
      </c>
      <c r="E13" s="29">
        <v>0.65869699999999998</v>
      </c>
      <c r="F13" s="29">
        <v>1.309958</v>
      </c>
      <c r="G13" s="30">
        <v>1.1998489999999999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6.3815999999999998E-2</v>
      </c>
      <c r="C14" s="29">
        <v>0.17133399999999999</v>
      </c>
      <c r="D14" s="29">
        <v>0.30842199999999997</v>
      </c>
      <c r="E14" s="29">
        <v>0.62257899999999999</v>
      </c>
      <c r="F14" s="29">
        <v>1.2606790000000001</v>
      </c>
      <c r="G14" s="30">
        <v>1.154787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5.4377000000000002E-2</v>
      </c>
      <c r="C15" s="29">
        <v>0.13880200000000001</v>
      </c>
      <c r="D15" s="29">
        <v>0.24355599999999999</v>
      </c>
      <c r="E15" s="29">
        <v>0.48220200000000002</v>
      </c>
      <c r="F15" s="29">
        <v>0.96670199999999995</v>
      </c>
      <c r="G15" s="30">
        <v>0.87930799999999998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5.2616000000000003E-2</v>
      </c>
      <c r="C16" s="29">
        <v>0.133654</v>
      </c>
      <c r="D16" s="29">
        <v>0.23452100000000001</v>
      </c>
      <c r="E16" s="29">
        <v>0.46643099999999998</v>
      </c>
      <c r="F16" s="29">
        <v>0.94275100000000001</v>
      </c>
      <c r="G16" s="30">
        <v>0.855846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8.6088999999999999E-2</v>
      </c>
      <c r="C17" s="29">
        <v>0.221441</v>
      </c>
      <c r="D17" s="29">
        <v>0.38251200000000002</v>
      </c>
      <c r="E17" s="29">
        <v>0.72580900000000004</v>
      </c>
      <c r="F17" s="29">
        <v>1.3913500000000001</v>
      </c>
      <c r="G17" s="30">
        <v>1.3066310000000001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1.9352999999999999E-2</v>
      </c>
      <c r="C18" s="29">
        <v>3.9598000000000001E-2</v>
      </c>
      <c r="D18" s="29">
        <v>5.4094999999999997E-2</v>
      </c>
      <c r="E18" s="29">
        <v>6.6672999999999996E-2</v>
      </c>
      <c r="F18" s="29">
        <v>8.0339999999999995E-2</v>
      </c>
      <c r="G18" s="30">
        <v>0.105515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36.277979999999999</v>
      </c>
      <c r="C19" s="29">
        <v>64.540629999999993</v>
      </c>
      <c r="D19" s="29">
        <v>83.053060000000002</v>
      </c>
      <c r="E19" s="29">
        <v>95.366900000000001</v>
      </c>
      <c r="F19" s="29">
        <v>55.016739999999999</v>
      </c>
      <c r="G19" s="30">
        <v>25.419080000000001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-0.10709399999999999</v>
      </c>
      <c r="C20" s="29">
        <v>-0.181279</v>
      </c>
      <c r="D20" s="29">
        <v>-0.224686</v>
      </c>
      <c r="E20" s="29">
        <v>-0.24459800000000001</v>
      </c>
      <c r="F20" s="29">
        <v>-0.129243</v>
      </c>
      <c r="G20" s="30">
        <v>-5.8791999999999997E-2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0.169825</v>
      </c>
      <c r="C21" s="29">
        <v>0.14085</v>
      </c>
      <c r="D21" s="29">
        <v>0.120481</v>
      </c>
      <c r="E21" s="29">
        <v>8.6046999999999998E-2</v>
      </c>
      <c r="F21" s="29">
        <v>1.61E-2</v>
      </c>
      <c r="G21" s="30">
        <v>1.1131E-2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9.6750000000000003E-2</v>
      </c>
      <c r="C22" s="29">
        <v>0.156137</v>
      </c>
      <c r="D22" s="29">
        <v>0.18978800000000001</v>
      </c>
      <c r="E22" s="29">
        <v>0.20539399999999999</v>
      </c>
      <c r="F22" s="29">
        <v>0.140906</v>
      </c>
      <c r="G22" s="30">
        <v>1.6618999999999998E-2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  <row r="26" spans="1:13" ht="30" x14ac:dyDescent="0.25">
      <c r="A26" s="34" t="s">
        <v>86</v>
      </c>
      <c r="B26" s="41"/>
      <c r="C26" s="41"/>
      <c r="D26" s="41"/>
      <c r="E26" s="41"/>
      <c r="F26" s="41"/>
      <c r="G26" s="41"/>
    </row>
    <row r="27" spans="1:13" x14ac:dyDescent="0.25">
      <c r="A27" s="42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9">
        <f t="array" ref="B29:G47">TRANSPOSE('WD1'!$B$3:$T$8)</f>
        <v>0.24245700000000001</v>
      </c>
      <c r="C29" s="29">
        <v>0.281553</v>
      </c>
      <c r="D29" s="29">
        <v>0.30956899999999998</v>
      </c>
      <c r="E29" s="29">
        <v>0.31495200000000001</v>
      </c>
      <c r="F29" s="29">
        <v>0.19752700000000001</v>
      </c>
      <c r="G29" s="30">
        <v>0.104868</v>
      </c>
      <c r="H29" s="43">
        <v>0.27</v>
      </c>
      <c r="I29" s="44">
        <v>0.32</v>
      </c>
      <c r="J29" s="44">
        <v>0.31</v>
      </c>
      <c r="K29" s="44">
        <v>0.26</v>
      </c>
      <c r="L29" s="44">
        <v>0.17</v>
      </c>
      <c r="M29" s="45">
        <v>0.05</v>
      </c>
    </row>
    <row r="30" spans="1:13" x14ac:dyDescent="0.25">
      <c r="A30" s="31" t="s">
        <v>58</v>
      </c>
      <c r="B30" s="29">
        <v>7.5573000000000001E-2</v>
      </c>
      <c r="C30" s="29">
        <v>0.16161800000000001</v>
      </c>
      <c r="D30" s="29">
        <v>0.22984399999999999</v>
      </c>
      <c r="E30" s="29">
        <v>0.29170600000000002</v>
      </c>
      <c r="F30" s="29">
        <v>0.22684099999999999</v>
      </c>
      <c r="G30" s="30">
        <v>7.9372999999999999E-2</v>
      </c>
      <c r="H30" s="12">
        <v>0.09</v>
      </c>
      <c r="I30" s="36">
        <v>0.21</v>
      </c>
      <c r="J30" s="36">
        <v>0.28000000000000003</v>
      </c>
      <c r="K30" s="36">
        <v>0.33</v>
      </c>
      <c r="L30" s="36">
        <v>0.27</v>
      </c>
      <c r="M30" s="32">
        <v>0.12</v>
      </c>
    </row>
    <row r="31" spans="1:13" x14ac:dyDescent="0.25">
      <c r="A31" s="31" t="s">
        <v>55</v>
      </c>
      <c r="B31" s="29">
        <v>0.18098500000000001</v>
      </c>
      <c r="C31" s="29">
        <v>0.28684300000000001</v>
      </c>
      <c r="D31" s="29">
        <v>0.34509499999999999</v>
      </c>
      <c r="E31" s="29">
        <v>0.38580100000000001</v>
      </c>
      <c r="F31" s="29">
        <v>0.355018</v>
      </c>
      <c r="G31" s="30">
        <v>0.33249699999999999</v>
      </c>
      <c r="H31" s="12">
        <v>0.39</v>
      </c>
      <c r="I31" s="36">
        <v>0.55000000000000004</v>
      </c>
      <c r="J31" s="36">
        <v>0.49</v>
      </c>
      <c r="K31" s="36">
        <v>0.32</v>
      </c>
      <c r="L31" s="36">
        <v>0.16</v>
      </c>
      <c r="M31" s="32">
        <v>0.05</v>
      </c>
    </row>
    <row r="32" spans="1:13" x14ac:dyDescent="0.25">
      <c r="A32" s="31" t="s">
        <v>56</v>
      </c>
      <c r="B32" s="29">
        <v>0.98682400000000003</v>
      </c>
      <c r="C32" s="29">
        <v>0.95716299999999999</v>
      </c>
      <c r="D32" s="29">
        <v>0.91108100000000003</v>
      </c>
      <c r="E32" s="29">
        <v>0.778972</v>
      </c>
      <c r="F32" s="29">
        <v>0.389955</v>
      </c>
      <c r="G32" s="30">
        <v>0.275723</v>
      </c>
      <c r="H32" s="12">
        <v>0.72</v>
      </c>
      <c r="I32" s="36">
        <v>0.73</v>
      </c>
      <c r="J32" s="36">
        <v>0.69</v>
      </c>
      <c r="K32" s="36">
        <v>0.61</v>
      </c>
      <c r="L32" s="36">
        <v>0.49</v>
      </c>
      <c r="M32" s="32">
        <v>0.33</v>
      </c>
    </row>
    <row r="33" spans="1:13" x14ac:dyDescent="0.25">
      <c r="A33" s="31" t="s">
        <v>57</v>
      </c>
      <c r="B33" s="29">
        <v>0.266457</v>
      </c>
      <c r="C33" s="29">
        <v>0.36063800000000001</v>
      </c>
      <c r="D33" s="29">
        <v>0.40744000000000002</v>
      </c>
      <c r="E33" s="29">
        <v>0.43595699999999998</v>
      </c>
      <c r="F33" s="29">
        <v>0.36579800000000001</v>
      </c>
      <c r="G33" s="30">
        <v>0.27010899999999999</v>
      </c>
      <c r="H33" s="12">
        <v>0.42</v>
      </c>
      <c r="I33" s="36">
        <v>0.52</v>
      </c>
      <c r="J33" s="36">
        <v>0.51</v>
      </c>
      <c r="K33" s="36">
        <v>0.47</v>
      </c>
      <c r="L33" s="36">
        <v>0.42</v>
      </c>
      <c r="M33" s="32">
        <v>0.38</v>
      </c>
    </row>
    <row r="34" spans="1:13" x14ac:dyDescent="0.25">
      <c r="A34" s="31" t="s">
        <v>59</v>
      </c>
      <c r="B34" s="29">
        <v>0.11115700000000001</v>
      </c>
      <c r="C34" s="29">
        <v>0.19270599999999999</v>
      </c>
      <c r="D34" s="29">
        <v>0.24429600000000001</v>
      </c>
      <c r="E34" s="29">
        <v>0.27958</v>
      </c>
      <c r="F34" s="29">
        <v>0.217395</v>
      </c>
      <c r="G34" s="30">
        <v>8.0006999999999995E-2</v>
      </c>
      <c r="H34" s="12">
        <v>0.13</v>
      </c>
      <c r="I34" s="36">
        <v>0.24</v>
      </c>
      <c r="J34" s="36">
        <v>0.31</v>
      </c>
      <c r="K34" s="36">
        <v>0.37</v>
      </c>
      <c r="L34" s="36">
        <v>0.26</v>
      </c>
      <c r="M34" s="32">
        <v>0.12</v>
      </c>
    </row>
    <row r="35" spans="1:13" x14ac:dyDescent="0.25">
      <c r="A35" s="31" t="s">
        <v>60</v>
      </c>
      <c r="B35" s="29">
        <v>3.1855000000000001E-2</v>
      </c>
      <c r="C35" s="29">
        <v>2.7807999999999999E-2</v>
      </c>
      <c r="D35" s="29">
        <v>1.2921E-2</v>
      </c>
      <c r="E35" s="29">
        <v>-1.0836999999999999E-2</v>
      </c>
      <c r="F35" s="29">
        <v>-8.4469999999999996E-3</v>
      </c>
      <c r="G35" s="30">
        <v>5.6800000000000004E-4</v>
      </c>
      <c r="H35" s="12">
        <v>0.04</v>
      </c>
      <c r="I35" s="36">
        <v>0.02</v>
      </c>
      <c r="J35" s="36">
        <v>0.03</v>
      </c>
      <c r="K35" s="36">
        <v>0.03</v>
      </c>
      <c r="L35" s="36">
        <v>-0.01</v>
      </c>
      <c r="M35" s="32">
        <v>0</v>
      </c>
    </row>
    <row r="36" spans="1:13" x14ac:dyDescent="0.25">
      <c r="A36" s="31" t="s">
        <v>71</v>
      </c>
      <c r="B36" s="29">
        <v>6.4560999999999993E-2</v>
      </c>
      <c r="C36" s="29">
        <v>0.17285900000000001</v>
      </c>
      <c r="D36" s="29">
        <v>0.31076900000000002</v>
      </c>
      <c r="E36" s="29">
        <v>0.62708900000000001</v>
      </c>
      <c r="F36" s="29">
        <v>1.272751</v>
      </c>
      <c r="G36" s="30">
        <v>1.1671530000000001</v>
      </c>
      <c r="H36" s="12">
        <v>0.06</v>
      </c>
      <c r="I36" s="36">
        <v>0.18</v>
      </c>
      <c r="J36" s="36">
        <v>0.28000000000000003</v>
      </c>
      <c r="K36" s="36">
        <v>0.43</v>
      </c>
      <c r="L36" s="36">
        <v>0.57999999999999996</v>
      </c>
      <c r="M36" s="32">
        <v>0.87</v>
      </c>
    </row>
    <row r="37" spans="1:13" x14ac:dyDescent="0.25">
      <c r="A37" s="31" t="s">
        <v>72</v>
      </c>
      <c r="B37" s="29">
        <v>6.7648E-2</v>
      </c>
      <c r="C37" s="29">
        <v>0.18260899999999999</v>
      </c>
      <c r="D37" s="29">
        <v>0.32894699999999999</v>
      </c>
      <c r="E37" s="29">
        <v>0.66164000000000001</v>
      </c>
      <c r="F37" s="29">
        <v>1.3273740000000001</v>
      </c>
      <c r="G37" s="30">
        <v>1.2155629999999999</v>
      </c>
      <c r="H37" s="12">
        <v>0.08</v>
      </c>
      <c r="I37" s="36">
        <v>0.22</v>
      </c>
      <c r="J37" s="36">
        <v>0.35</v>
      </c>
      <c r="K37" s="36">
        <v>0.52</v>
      </c>
      <c r="L37" s="36">
        <v>0.66</v>
      </c>
      <c r="M37" s="32">
        <v>0.94</v>
      </c>
    </row>
    <row r="38" spans="1:13" x14ac:dyDescent="0.25">
      <c r="A38" s="31" t="s">
        <v>73</v>
      </c>
      <c r="B38" s="29">
        <v>6.6724000000000006E-2</v>
      </c>
      <c r="C38" s="29">
        <v>0.18177099999999999</v>
      </c>
      <c r="D38" s="29">
        <v>0.328239</v>
      </c>
      <c r="E38" s="29">
        <v>0.65869699999999998</v>
      </c>
      <c r="F38" s="29">
        <v>1.309958</v>
      </c>
      <c r="G38" s="30">
        <v>1.1998489999999999</v>
      </c>
      <c r="H38" s="12">
        <v>7.0000000000000007E-2</v>
      </c>
      <c r="I38" s="36">
        <v>0.2</v>
      </c>
      <c r="J38" s="36">
        <v>0.32</v>
      </c>
      <c r="K38" s="36">
        <v>0.47</v>
      </c>
      <c r="L38" s="36">
        <v>0.65</v>
      </c>
      <c r="M38" s="32">
        <v>1.01</v>
      </c>
    </row>
    <row r="39" spans="1:13" x14ac:dyDescent="0.25">
      <c r="A39" s="31" t="s">
        <v>77</v>
      </c>
      <c r="B39" s="29">
        <v>6.3815999999999998E-2</v>
      </c>
      <c r="C39" s="29">
        <v>0.17133399999999999</v>
      </c>
      <c r="D39" s="29">
        <v>0.30842199999999997</v>
      </c>
      <c r="E39" s="29">
        <v>0.62257899999999999</v>
      </c>
      <c r="F39" s="29">
        <v>1.2606790000000001</v>
      </c>
      <c r="G39" s="30">
        <v>1.154787</v>
      </c>
      <c r="H39" s="12">
        <v>0.06</v>
      </c>
      <c r="I39" s="36">
        <v>0.19</v>
      </c>
      <c r="J39" s="36">
        <v>0.31</v>
      </c>
      <c r="K39" s="36">
        <v>0.47</v>
      </c>
      <c r="L39" s="36">
        <v>0.6</v>
      </c>
      <c r="M39" s="32">
        <v>0.85</v>
      </c>
    </row>
    <row r="40" spans="1:13" x14ac:dyDescent="0.25">
      <c r="A40" s="31" t="s">
        <v>69</v>
      </c>
      <c r="B40" s="29">
        <v>5.4377000000000002E-2</v>
      </c>
      <c r="C40" s="29">
        <v>0.13880200000000001</v>
      </c>
      <c r="D40" s="29">
        <v>0.24355599999999999</v>
      </c>
      <c r="E40" s="29">
        <v>0.48220200000000002</v>
      </c>
      <c r="F40" s="29">
        <v>0.96670199999999995</v>
      </c>
      <c r="G40" s="30">
        <v>0.87930799999999998</v>
      </c>
      <c r="H40" s="12">
        <v>0.04</v>
      </c>
      <c r="I40" s="36">
        <v>0.14000000000000001</v>
      </c>
      <c r="J40" s="36">
        <v>0.24</v>
      </c>
      <c r="K40" s="36">
        <v>0.38</v>
      </c>
      <c r="L40" s="36">
        <v>0.51</v>
      </c>
      <c r="M40" s="32">
        <v>0.69</v>
      </c>
    </row>
    <row r="41" spans="1:13" x14ac:dyDescent="0.25">
      <c r="A41" s="31" t="s">
        <v>70</v>
      </c>
      <c r="B41" s="29">
        <v>5.2616000000000003E-2</v>
      </c>
      <c r="C41" s="29">
        <v>0.133654</v>
      </c>
      <c r="D41" s="29">
        <v>0.23452100000000001</v>
      </c>
      <c r="E41" s="29">
        <v>0.46643099999999998</v>
      </c>
      <c r="F41" s="29">
        <v>0.94275100000000001</v>
      </c>
      <c r="G41" s="30">
        <v>0.855846</v>
      </c>
      <c r="H41" s="12">
        <v>0.06</v>
      </c>
      <c r="I41" s="36">
        <v>0.15</v>
      </c>
      <c r="J41" s="36">
        <v>0.25</v>
      </c>
      <c r="K41" s="36">
        <v>0.37</v>
      </c>
      <c r="L41" s="36">
        <v>0.49</v>
      </c>
      <c r="M41" s="32">
        <v>0.65</v>
      </c>
    </row>
    <row r="42" spans="1:13" x14ac:dyDescent="0.25">
      <c r="A42" s="31" t="s">
        <v>74</v>
      </c>
      <c r="B42" s="29">
        <v>8.6088999999999999E-2</v>
      </c>
      <c r="C42" s="29">
        <v>0.221441</v>
      </c>
      <c r="D42" s="29">
        <v>0.38251200000000002</v>
      </c>
      <c r="E42" s="29">
        <v>0.72580900000000004</v>
      </c>
      <c r="F42" s="29">
        <v>1.3913500000000001</v>
      </c>
      <c r="G42" s="30">
        <v>1.3066310000000001</v>
      </c>
      <c r="H42" s="12">
        <v>0.18</v>
      </c>
      <c r="I42" s="36">
        <v>0.42</v>
      </c>
      <c r="J42" s="36">
        <v>0.62</v>
      </c>
      <c r="K42" s="36">
        <v>0.88</v>
      </c>
      <c r="L42" s="36">
        <v>0.93</v>
      </c>
      <c r="M42" s="32">
        <v>1.07</v>
      </c>
    </row>
    <row r="43" spans="1:13" x14ac:dyDescent="0.25">
      <c r="A43" s="31" t="s">
        <v>75</v>
      </c>
      <c r="B43" s="29">
        <v>1.9352999999999999E-2</v>
      </c>
      <c r="C43" s="29">
        <v>3.9598000000000001E-2</v>
      </c>
      <c r="D43" s="29">
        <v>5.4094999999999997E-2</v>
      </c>
      <c r="E43" s="29">
        <v>6.6672999999999996E-2</v>
      </c>
      <c r="F43" s="29">
        <v>8.0339999999999995E-2</v>
      </c>
      <c r="G43" s="30">
        <v>0.105515</v>
      </c>
      <c r="H43" s="12">
        <v>0.11</v>
      </c>
      <c r="I43" s="36">
        <v>0.22</v>
      </c>
      <c r="J43" s="36">
        <v>0.3</v>
      </c>
      <c r="K43" s="36">
        <v>0.41</v>
      </c>
      <c r="L43" s="36">
        <v>0.28000000000000003</v>
      </c>
      <c r="M43" s="32">
        <v>0.06</v>
      </c>
    </row>
    <row r="44" spans="1:13" x14ac:dyDescent="0.25">
      <c r="A44" s="31" t="s">
        <v>78</v>
      </c>
      <c r="B44" s="29">
        <v>36.277979999999999</v>
      </c>
      <c r="C44" s="29">
        <v>64.540629999999993</v>
      </c>
      <c r="D44" s="29">
        <v>83.053060000000002</v>
      </c>
      <c r="E44" s="29">
        <v>95.366900000000001</v>
      </c>
      <c r="F44" s="29">
        <v>55.016739999999999</v>
      </c>
      <c r="G44" s="30">
        <v>25.419080000000001</v>
      </c>
      <c r="H44" s="12">
        <v>19</v>
      </c>
      <c r="I44" s="36">
        <v>45</v>
      </c>
      <c r="J44" s="36">
        <v>50</v>
      </c>
      <c r="K44" s="36">
        <v>31</v>
      </c>
      <c r="L44" s="36">
        <v>16</v>
      </c>
      <c r="M44" s="32">
        <v>4</v>
      </c>
    </row>
    <row r="45" spans="1:13" x14ac:dyDescent="0.25">
      <c r="A45" s="31" t="s">
        <v>76</v>
      </c>
      <c r="B45" s="29">
        <v>-0.10709399999999999</v>
      </c>
      <c r="C45" s="29">
        <v>-0.181279</v>
      </c>
      <c r="D45" s="29">
        <v>-0.224686</v>
      </c>
      <c r="E45" s="29">
        <v>-0.24459800000000001</v>
      </c>
      <c r="F45" s="29">
        <v>-0.129243</v>
      </c>
      <c r="G45" s="30">
        <v>-5.8791999999999997E-2</v>
      </c>
      <c r="H45" s="12">
        <v>-0.08</v>
      </c>
      <c r="I45" s="36">
        <v>-0.19</v>
      </c>
      <c r="J45" s="36">
        <v>-0.21</v>
      </c>
      <c r="K45" s="36">
        <v>-0.13</v>
      </c>
      <c r="L45" s="36">
        <v>-7.0000000000000007E-2</v>
      </c>
      <c r="M45" s="32">
        <v>-0.02</v>
      </c>
    </row>
    <row r="46" spans="1:13" x14ac:dyDescent="0.25">
      <c r="A46" s="31" t="s">
        <v>79</v>
      </c>
      <c r="B46" s="29">
        <v>0.169825</v>
      </c>
      <c r="C46" s="29">
        <v>0.14085</v>
      </c>
      <c r="D46" s="29">
        <v>0.120481</v>
      </c>
      <c r="E46" s="29">
        <v>8.6046999999999998E-2</v>
      </c>
      <c r="F46" s="29">
        <v>1.61E-2</v>
      </c>
      <c r="G46" s="30">
        <v>1.1131E-2</v>
      </c>
      <c r="H46" s="12">
        <v>0.08</v>
      </c>
      <c r="I46" s="36">
        <v>0.05</v>
      </c>
      <c r="J46" s="36">
        <v>0.05</v>
      </c>
      <c r="K46" s="36">
        <v>0.04</v>
      </c>
      <c r="L46" s="36">
        <v>0.02</v>
      </c>
      <c r="M46" s="32">
        <v>0</v>
      </c>
    </row>
    <row r="47" spans="1:13" x14ac:dyDescent="0.25">
      <c r="A47" s="46" t="s">
        <v>80</v>
      </c>
      <c r="B47" s="29">
        <v>9.6750000000000003E-2</v>
      </c>
      <c r="C47" s="29">
        <v>0.156137</v>
      </c>
      <c r="D47" s="29">
        <v>0.18978800000000001</v>
      </c>
      <c r="E47" s="29">
        <v>0.20539399999999999</v>
      </c>
      <c r="F47" s="29">
        <v>0.140906</v>
      </c>
      <c r="G47" s="30">
        <v>1.6618999999999998E-2</v>
      </c>
      <c r="H47" s="12">
        <v>0.09</v>
      </c>
      <c r="I47" s="36">
        <v>0.16</v>
      </c>
      <c r="J47" s="36">
        <v>0.15</v>
      </c>
      <c r="K47" s="36">
        <v>0.09</v>
      </c>
      <c r="L47" s="36">
        <v>0.05</v>
      </c>
      <c r="M47" s="32">
        <v>-0.01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M47"/>
  <sheetViews>
    <sheetView workbookViewId="0">
      <selection activeCell="B27" sqref="B27:M28"/>
    </sheetView>
  </sheetViews>
  <sheetFormatPr baseColWidth="10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52</v>
      </c>
    </row>
    <row r="2" spans="1:13" x14ac:dyDescent="0.25">
      <c r="A2" s="42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-1.3030999999999999E-2</v>
      </c>
      <c r="C4" s="29">
        <v>-3.4382999999999997E-2</v>
      </c>
      <c r="D4" s="29">
        <v>-5.6238000000000003E-2</v>
      </c>
      <c r="E4" s="29">
        <v>-9.2300999999999994E-2</v>
      </c>
      <c r="F4" s="29">
        <v>-0.135158</v>
      </c>
      <c r="G4" s="30">
        <v>-0.143651</v>
      </c>
      <c r="H4" s="44">
        <v>-0.1</v>
      </c>
      <c r="I4" s="44">
        <v>-0.24</v>
      </c>
      <c r="J4" s="44">
        <v>-0.18</v>
      </c>
      <c r="K4" s="44">
        <v>-0.21</v>
      </c>
      <c r="L4" s="44">
        <v>-0.22</v>
      </c>
      <c r="M4" s="45">
        <v>-0.17</v>
      </c>
    </row>
    <row r="5" spans="1:13" x14ac:dyDescent="0.25">
      <c r="A5" s="31" t="s">
        <v>8</v>
      </c>
      <c r="B5" s="29">
        <v>-4.9104000000000002E-2</v>
      </c>
      <c r="C5" s="29">
        <v>-9.8415000000000002E-2</v>
      </c>
      <c r="D5" s="29">
        <v>-0.13752700000000001</v>
      </c>
      <c r="E5" s="29">
        <v>-0.18305199999999999</v>
      </c>
      <c r="F5" s="29">
        <v>-0.200575</v>
      </c>
      <c r="G5" s="30">
        <v>-0.188692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-3.0086000000000002E-2</v>
      </c>
      <c r="C6" s="29">
        <v>-7.5951000000000005E-2</v>
      </c>
      <c r="D6" s="29">
        <v>-0.127107</v>
      </c>
      <c r="E6" s="29">
        <v>-0.218774</v>
      </c>
      <c r="F6" s="29">
        <v>-0.32964700000000002</v>
      </c>
      <c r="G6" s="30">
        <v>-0.39461299999999999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4.4357000000000001E-2</v>
      </c>
      <c r="C7" s="29">
        <v>6.2258000000000001E-2</v>
      </c>
      <c r="D7" s="29">
        <v>6.2330999999999998E-2</v>
      </c>
      <c r="E7" s="29">
        <v>3.4351E-2</v>
      </c>
      <c r="F7" s="29">
        <v>-5.2373000000000003E-2</v>
      </c>
      <c r="G7" s="30">
        <v>-6.8142999999999995E-2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-4.2212E-2</v>
      </c>
      <c r="C8" s="29">
        <v>-8.8527999999999996E-2</v>
      </c>
      <c r="D8" s="29">
        <v>-0.130049</v>
      </c>
      <c r="E8" s="29">
        <v>-0.18665599999999999</v>
      </c>
      <c r="F8" s="29">
        <v>-0.22164400000000001</v>
      </c>
      <c r="G8" s="30">
        <v>-0.22441800000000001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-7.2288000000000005E-2</v>
      </c>
      <c r="C9" s="29">
        <v>-0.11563</v>
      </c>
      <c r="D9" s="29">
        <v>-0.145395</v>
      </c>
      <c r="E9" s="29">
        <v>-0.178702</v>
      </c>
      <c r="F9" s="29">
        <v>-0.19541</v>
      </c>
      <c r="G9" s="30">
        <v>-0.18857599999999999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-2.0794E-2</v>
      </c>
      <c r="C10" s="29">
        <v>-1.5446E-2</v>
      </c>
      <c r="D10" s="29">
        <v>-7.0619999999999997E-3</v>
      </c>
      <c r="E10" s="29">
        <v>3.9060000000000002E-3</v>
      </c>
      <c r="F10" s="29">
        <v>4.6379999999999998E-3</v>
      </c>
      <c r="G10" s="30">
        <v>1.05E-4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8.8201000000000002E-2</v>
      </c>
      <c r="C11" s="29">
        <v>0.15914600000000001</v>
      </c>
      <c r="D11" s="29">
        <v>0.224582</v>
      </c>
      <c r="E11" s="29">
        <v>0.332791</v>
      </c>
      <c r="F11" s="29">
        <v>0.46755200000000002</v>
      </c>
      <c r="G11" s="30">
        <v>0.44407000000000002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6.1225000000000002E-2</v>
      </c>
      <c r="C12" s="29">
        <v>0.12425600000000001</v>
      </c>
      <c r="D12" s="29">
        <v>0.184554</v>
      </c>
      <c r="E12" s="29">
        <v>0.28812500000000002</v>
      </c>
      <c r="F12" s="29">
        <v>0.42481400000000002</v>
      </c>
      <c r="G12" s="30">
        <v>0.40759000000000001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-2.3096999999999999E-2</v>
      </c>
      <c r="C13" s="29">
        <v>1.4504E-2</v>
      </c>
      <c r="D13" s="29">
        <v>5.7193000000000001E-2</v>
      </c>
      <c r="E13" s="29">
        <v>0.14307600000000001</v>
      </c>
      <c r="F13" s="29">
        <v>0.27922999999999998</v>
      </c>
      <c r="G13" s="30">
        <v>0.27029500000000001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0.16232199999999999</v>
      </c>
      <c r="C14" s="29">
        <v>0.24582000000000001</v>
      </c>
      <c r="D14" s="29">
        <v>0.31911400000000001</v>
      </c>
      <c r="E14" s="29">
        <v>0.43293700000000002</v>
      </c>
      <c r="F14" s="29">
        <v>0.56172900000000003</v>
      </c>
      <c r="G14" s="30">
        <v>0.53764900000000004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0.142401</v>
      </c>
      <c r="C15" s="29">
        <v>0.20075799999999999</v>
      </c>
      <c r="D15" s="29">
        <v>0.25463400000000003</v>
      </c>
      <c r="E15" s="29">
        <v>0.34126600000000001</v>
      </c>
      <c r="F15" s="29">
        <v>0.44029800000000002</v>
      </c>
      <c r="G15" s="30">
        <v>0.42521900000000001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0.36663299999999999</v>
      </c>
      <c r="C16" s="29">
        <v>0.45827499999999999</v>
      </c>
      <c r="D16" s="29">
        <v>0.53317499999999995</v>
      </c>
      <c r="E16" s="29">
        <v>0.636911</v>
      </c>
      <c r="F16" s="29">
        <v>0.72668900000000003</v>
      </c>
      <c r="G16" s="30">
        <v>0.70439200000000002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4.1300000000000001E-4</v>
      </c>
      <c r="C17" s="29">
        <v>2.3179999999999999E-2</v>
      </c>
      <c r="D17" s="29">
        <v>6.1088999999999997E-2</v>
      </c>
      <c r="E17" s="29">
        <v>0.15335399999999999</v>
      </c>
      <c r="F17" s="29">
        <v>0.31527500000000003</v>
      </c>
      <c r="G17" s="30">
        <v>0.28592400000000001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2.3515999999999999E-2</v>
      </c>
      <c r="C18" s="29">
        <v>8.6750000000000004E-3</v>
      </c>
      <c r="D18" s="29">
        <v>3.8930000000000002E-3</v>
      </c>
      <c r="E18" s="29">
        <v>1.0263E-2</v>
      </c>
      <c r="F18" s="29">
        <v>3.5944999999999998E-2</v>
      </c>
      <c r="G18" s="30">
        <v>1.5587E-2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-2.7959999999999999E-2</v>
      </c>
      <c r="C19" s="29">
        <v>-1.1163400000000001</v>
      </c>
      <c r="D19" s="29">
        <v>-3.34938</v>
      </c>
      <c r="E19" s="29">
        <v>-10.10379</v>
      </c>
      <c r="F19" s="29">
        <v>-27.576930000000001</v>
      </c>
      <c r="G19" s="30">
        <v>-33.699629999999999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8.2600000000000002E-5</v>
      </c>
      <c r="C20" s="29">
        <v>3.2799999999999999E-3</v>
      </c>
      <c r="D20" s="29">
        <v>9.5639999999999996E-3</v>
      </c>
      <c r="E20" s="29">
        <v>2.7583E-2</v>
      </c>
      <c r="F20" s="29">
        <v>7.0390999999999995E-2</v>
      </c>
      <c r="G20" s="30">
        <v>7.7553999999999998E-2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-4.0629999999999999E-2</v>
      </c>
      <c r="C21" s="29">
        <v>-3.3678E-2</v>
      </c>
      <c r="D21" s="29">
        <v>-2.8861999999999999E-2</v>
      </c>
      <c r="E21" s="29">
        <v>-2.5791000000000001E-2</v>
      </c>
      <c r="F21" s="29">
        <v>-3.4863999999999999E-2</v>
      </c>
      <c r="G21" s="30">
        <v>-3.6123000000000002E-2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-6.9379999999999997E-3</v>
      </c>
      <c r="C22" s="29">
        <v>-1.7926000000000001E-2</v>
      </c>
      <c r="D22" s="29">
        <v>-2.9003000000000001E-2</v>
      </c>
      <c r="E22" s="29">
        <v>-4.9352E-2</v>
      </c>
      <c r="F22" s="29">
        <v>-7.5537999999999994E-2</v>
      </c>
      <c r="G22" s="30">
        <v>-6.5375000000000003E-2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  <row r="26" spans="1:13" x14ac:dyDescent="0.25">
      <c r="A26" s="34" t="s">
        <v>87</v>
      </c>
    </row>
    <row r="27" spans="1:13" x14ac:dyDescent="0.25">
      <c r="A27" s="42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9">
        <f t="array" ref="B29:G47">TRANSPOSE('FF10'!$B$3:$T$8)</f>
        <v>-1.3030999999999999E-2</v>
      </c>
      <c r="C29" s="29">
        <v>-3.4382999999999997E-2</v>
      </c>
      <c r="D29" s="29">
        <v>-5.6238000000000003E-2</v>
      </c>
      <c r="E29" s="29">
        <v>-9.2300999999999994E-2</v>
      </c>
      <c r="F29" s="29">
        <v>-0.135158</v>
      </c>
      <c r="G29" s="30">
        <v>-0.143651</v>
      </c>
      <c r="H29" s="44">
        <v>-0.1</v>
      </c>
      <c r="I29" s="44">
        <v>-0.24</v>
      </c>
      <c r="J29" s="44">
        <v>-0.18</v>
      </c>
      <c r="K29" s="44">
        <v>-0.21</v>
      </c>
      <c r="L29" s="44">
        <v>-0.22</v>
      </c>
      <c r="M29" s="45">
        <v>-0.17</v>
      </c>
    </row>
    <row r="30" spans="1:13" x14ac:dyDescent="0.25">
      <c r="A30" s="31" t="s">
        <v>58</v>
      </c>
      <c r="B30" s="29">
        <v>-4.9104000000000002E-2</v>
      </c>
      <c r="C30" s="29">
        <v>-9.8415000000000002E-2</v>
      </c>
      <c r="D30" s="29">
        <v>-0.13752700000000001</v>
      </c>
      <c r="E30" s="29">
        <v>-0.18305199999999999</v>
      </c>
      <c r="F30" s="29">
        <v>-0.200575</v>
      </c>
      <c r="G30" s="30">
        <v>-0.188692</v>
      </c>
      <c r="H30" s="13">
        <v>-0.14000000000000001</v>
      </c>
      <c r="I30" s="13">
        <v>-0.33</v>
      </c>
      <c r="J30" s="13">
        <v>-0.35</v>
      </c>
      <c r="K30" s="13">
        <v>-0.42</v>
      </c>
      <c r="L30" s="13">
        <v>-0.53</v>
      </c>
      <c r="M30" s="32">
        <v>-0.48</v>
      </c>
    </row>
    <row r="31" spans="1:13" x14ac:dyDescent="0.25">
      <c r="A31" s="31" t="s">
        <v>55</v>
      </c>
      <c r="B31" s="29">
        <v>-3.0086000000000002E-2</v>
      </c>
      <c r="C31" s="29">
        <v>-7.5951000000000005E-2</v>
      </c>
      <c r="D31" s="29">
        <v>-0.127107</v>
      </c>
      <c r="E31" s="29">
        <v>-0.218774</v>
      </c>
      <c r="F31" s="29">
        <v>-0.32964700000000002</v>
      </c>
      <c r="G31" s="30">
        <v>-0.39461299999999999</v>
      </c>
      <c r="H31" s="13">
        <v>-0.12</v>
      </c>
      <c r="I31" s="13">
        <v>-0.39</v>
      </c>
      <c r="J31" s="13">
        <v>-0.27</v>
      </c>
      <c r="K31" s="13">
        <v>-0.25</v>
      </c>
      <c r="L31" s="13">
        <v>-0.23</v>
      </c>
      <c r="M31" s="32">
        <v>-0.17</v>
      </c>
    </row>
    <row r="32" spans="1:13" x14ac:dyDescent="0.25">
      <c r="A32" s="31" t="s">
        <v>56</v>
      </c>
      <c r="B32" s="29">
        <v>4.4357000000000001E-2</v>
      </c>
      <c r="C32" s="29">
        <v>6.2258000000000001E-2</v>
      </c>
      <c r="D32" s="29">
        <v>6.2330999999999998E-2</v>
      </c>
      <c r="E32" s="29">
        <v>3.4351E-2</v>
      </c>
      <c r="F32" s="29">
        <v>-5.2373000000000003E-2</v>
      </c>
      <c r="G32" s="30">
        <v>-6.8142999999999995E-2</v>
      </c>
      <c r="H32" s="13">
        <v>-0.06</v>
      </c>
      <c r="I32" s="13">
        <v>-0.12</v>
      </c>
      <c r="J32" s="13">
        <v>-0.14000000000000001</v>
      </c>
      <c r="K32" s="13">
        <v>-0.16</v>
      </c>
      <c r="L32" s="13">
        <v>-0.08</v>
      </c>
      <c r="M32" s="32">
        <v>-0.02</v>
      </c>
    </row>
    <row r="33" spans="1:13" x14ac:dyDescent="0.25">
      <c r="A33" s="31" t="s">
        <v>57</v>
      </c>
      <c r="B33" s="29">
        <v>-4.2212E-2</v>
      </c>
      <c r="C33" s="29">
        <v>-8.8527999999999996E-2</v>
      </c>
      <c r="D33" s="29">
        <v>-0.130049</v>
      </c>
      <c r="E33" s="29">
        <v>-0.18665599999999999</v>
      </c>
      <c r="F33" s="29">
        <v>-0.22164400000000001</v>
      </c>
      <c r="G33" s="30">
        <v>-0.22441800000000001</v>
      </c>
      <c r="H33" s="13">
        <v>-0.17</v>
      </c>
      <c r="I33" s="13">
        <v>-0.44</v>
      </c>
      <c r="J33" s="13">
        <v>-0.31</v>
      </c>
      <c r="K33" s="13">
        <v>-0.37</v>
      </c>
      <c r="L33" s="13">
        <v>-0.43</v>
      </c>
      <c r="M33" s="32">
        <v>-0.41</v>
      </c>
    </row>
    <row r="34" spans="1:13" x14ac:dyDescent="0.25">
      <c r="A34" s="31" t="s">
        <v>59</v>
      </c>
      <c r="B34" s="29">
        <v>-7.2288000000000005E-2</v>
      </c>
      <c r="C34" s="29">
        <v>-0.11563</v>
      </c>
      <c r="D34" s="29">
        <v>-0.145395</v>
      </c>
      <c r="E34" s="29">
        <v>-0.178702</v>
      </c>
      <c r="F34" s="29">
        <v>-0.19541</v>
      </c>
      <c r="G34" s="30">
        <v>-0.18857599999999999</v>
      </c>
      <c r="H34" s="13">
        <v>-0.28000000000000003</v>
      </c>
      <c r="I34" s="13">
        <v>-0.34</v>
      </c>
      <c r="J34" s="13">
        <v>-0.36</v>
      </c>
      <c r="K34" s="13">
        <v>-0.48</v>
      </c>
      <c r="L34" s="13">
        <v>-0.54</v>
      </c>
      <c r="M34" s="32">
        <v>-0.48</v>
      </c>
    </row>
    <row r="35" spans="1:13" x14ac:dyDescent="0.25">
      <c r="A35" s="31" t="s">
        <v>60</v>
      </c>
      <c r="B35" s="29">
        <v>-2.0794E-2</v>
      </c>
      <c r="C35" s="29">
        <v>-1.5446E-2</v>
      </c>
      <c r="D35" s="29">
        <v>-7.0619999999999997E-3</v>
      </c>
      <c r="E35" s="29">
        <v>3.9060000000000002E-3</v>
      </c>
      <c r="F35" s="29">
        <v>4.6379999999999998E-3</v>
      </c>
      <c r="G35" s="30">
        <v>1.05E-4</v>
      </c>
      <c r="H35" s="13">
        <v>-0.12</v>
      </c>
      <c r="I35" s="13">
        <v>-0.01</v>
      </c>
      <c r="J35" s="13">
        <v>-0.01</v>
      </c>
      <c r="K35" s="13">
        <v>-0.05</v>
      </c>
      <c r="L35" s="13">
        <v>0</v>
      </c>
      <c r="M35" s="32">
        <v>0</v>
      </c>
    </row>
    <row r="36" spans="1:13" x14ac:dyDescent="0.25">
      <c r="A36" s="31" t="s">
        <v>71</v>
      </c>
      <c r="B36" s="29">
        <v>8.8201000000000002E-2</v>
      </c>
      <c r="C36" s="29">
        <v>0.15914600000000001</v>
      </c>
      <c r="D36" s="29">
        <v>0.224582</v>
      </c>
      <c r="E36" s="29">
        <v>0.332791</v>
      </c>
      <c r="F36" s="29">
        <v>0.46755200000000002</v>
      </c>
      <c r="G36" s="30">
        <v>0.44407000000000002</v>
      </c>
      <c r="H36" s="13">
        <v>0.33</v>
      </c>
      <c r="I36" s="13">
        <v>0.4</v>
      </c>
      <c r="J36" s="13">
        <v>0.4</v>
      </c>
      <c r="K36" s="13">
        <v>0.37</v>
      </c>
      <c r="L36" s="13">
        <v>0.24</v>
      </c>
      <c r="M36" s="32">
        <v>0.13</v>
      </c>
    </row>
    <row r="37" spans="1:13" x14ac:dyDescent="0.25">
      <c r="A37" s="31" t="s">
        <v>72</v>
      </c>
      <c r="B37" s="29">
        <v>6.1225000000000002E-2</v>
      </c>
      <c r="C37" s="29">
        <v>0.12425600000000001</v>
      </c>
      <c r="D37" s="29">
        <v>0.184554</v>
      </c>
      <c r="E37" s="29">
        <v>0.28812500000000002</v>
      </c>
      <c r="F37" s="29">
        <v>0.42481400000000002</v>
      </c>
      <c r="G37" s="30">
        <v>0.40759000000000001</v>
      </c>
      <c r="H37" s="13">
        <v>0.21</v>
      </c>
      <c r="I37" s="13">
        <v>0.26</v>
      </c>
      <c r="J37" s="13">
        <v>0.23</v>
      </c>
      <c r="K37" s="13">
        <v>0.17</v>
      </c>
      <c r="L37" s="13">
        <v>0.02</v>
      </c>
      <c r="M37" s="32">
        <v>-0.08</v>
      </c>
    </row>
    <row r="38" spans="1:13" x14ac:dyDescent="0.25">
      <c r="A38" s="31" t="s">
        <v>73</v>
      </c>
      <c r="B38" s="29">
        <v>-2.3096999999999999E-2</v>
      </c>
      <c r="C38" s="29">
        <v>1.4504E-2</v>
      </c>
      <c r="D38" s="29">
        <v>5.7193000000000001E-2</v>
      </c>
      <c r="E38" s="29">
        <v>0.14307600000000001</v>
      </c>
      <c r="F38" s="29">
        <v>0.27922999999999998</v>
      </c>
      <c r="G38" s="30">
        <v>0.27029500000000001</v>
      </c>
      <c r="H38" s="13">
        <v>-0.03</v>
      </c>
      <c r="I38" s="13">
        <v>-0.03</v>
      </c>
      <c r="J38" s="13">
        <v>-0.05</v>
      </c>
      <c r="K38" s="13">
        <v>-7.0000000000000007E-2</v>
      </c>
      <c r="L38" s="13">
        <v>-0.22</v>
      </c>
      <c r="M38" s="32">
        <v>-0.35</v>
      </c>
    </row>
    <row r="39" spans="1:13" x14ac:dyDescent="0.25">
      <c r="A39" s="31" t="s">
        <v>77</v>
      </c>
      <c r="B39" s="29">
        <v>0.16232199999999999</v>
      </c>
      <c r="C39" s="29">
        <v>0.24582000000000001</v>
      </c>
      <c r="D39" s="29">
        <v>0.31911400000000001</v>
      </c>
      <c r="E39" s="29">
        <v>0.43293700000000002</v>
      </c>
      <c r="F39" s="29">
        <v>0.56172900000000003</v>
      </c>
      <c r="G39" s="30">
        <v>0.53764900000000004</v>
      </c>
      <c r="H39" s="13">
        <v>0.43</v>
      </c>
      <c r="I39" s="13">
        <v>0.52</v>
      </c>
      <c r="J39" s="13">
        <v>0.51</v>
      </c>
      <c r="K39" s="13">
        <v>0.47</v>
      </c>
      <c r="L39" s="13">
        <v>0.34</v>
      </c>
      <c r="M39" s="32">
        <v>0.25</v>
      </c>
    </row>
    <row r="40" spans="1:13" x14ac:dyDescent="0.25">
      <c r="A40" s="31" t="s">
        <v>69</v>
      </c>
      <c r="B40" s="29">
        <v>0.142401</v>
      </c>
      <c r="C40" s="29">
        <v>0.20075799999999999</v>
      </c>
      <c r="D40" s="29">
        <v>0.25463400000000003</v>
      </c>
      <c r="E40" s="29">
        <v>0.34126600000000001</v>
      </c>
      <c r="F40" s="29">
        <v>0.44029800000000002</v>
      </c>
      <c r="G40" s="30">
        <v>0.42521900000000001</v>
      </c>
      <c r="H40" s="13">
        <v>0.19</v>
      </c>
      <c r="I40" s="13">
        <v>0.25</v>
      </c>
      <c r="J40" s="13">
        <v>0.24</v>
      </c>
      <c r="K40" s="13">
        <v>0.22</v>
      </c>
      <c r="L40" s="13">
        <v>0.12</v>
      </c>
      <c r="M40" s="32">
        <v>0.06</v>
      </c>
    </row>
    <row r="41" spans="1:13" x14ac:dyDescent="0.25">
      <c r="A41" s="31" t="s">
        <v>70</v>
      </c>
      <c r="B41" s="29">
        <v>0.36663299999999999</v>
      </c>
      <c r="C41" s="29">
        <v>0.45827499999999999</v>
      </c>
      <c r="D41" s="29">
        <v>0.53317499999999995</v>
      </c>
      <c r="E41" s="29">
        <v>0.636911</v>
      </c>
      <c r="F41" s="29">
        <v>0.72668900000000003</v>
      </c>
      <c r="G41" s="30">
        <v>0.70439200000000002</v>
      </c>
      <c r="H41" s="13">
        <v>0.93</v>
      </c>
      <c r="I41" s="13">
        <v>1.1299999999999999</v>
      </c>
      <c r="J41" s="13">
        <v>1.1399999999999999</v>
      </c>
      <c r="K41" s="13">
        <v>1.1299999999999999</v>
      </c>
      <c r="L41" s="13">
        <v>1.03</v>
      </c>
      <c r="M41" s="32">
        <v>0.98</v>
      </c>
    </row>
    <row r="42" spans="1:13" x14ac:dyDescent="0.25">
      <c r="A42" s="31" t="s">
        <v>74</v>
      </c>
      <c r="B42" s="29">
        <v>4.1300000000000001E-4</v>
      </c>
      <c r="C42" s="29">
        <v>2.3179999999999999E-2</v>
      </c>
      <c r="D42" s="29">
        <v>6.1088999999999997E-2</v>
      </c>
      <c r="E42" s="29">
        <v>0.15335399999999999</v>
      </c>
      <c r="F42" s="29">
        <v>0.31527500000000003</v>
      </c>
      <c r="G42" s="30">
        <v>0.28592400000000001</v>
      </c>
      <c r="H42" s="13">
        <v>0.11</v>
      </c>
      <c r="I42" s="13">
        <v>0.11</v>
      </c>
      <c r="J42" s="13">
        <v>0.01</v>
      </c>
      <c r="K42" s="13">
        <v>-0.25</v>
      </c>
      <c r="L42" s="13">
        <v>-0.49</v>
      </c>
      <c r="M42" s="32">
        <v>-0.53</v>
      </c>
    </row>
    <row r="43" spans="1:13" x14ac:dyDescent="0.25">
      <c r="A43" s="31" t="s">
        <v>75</v>
      </c>
      <c r="B43" s="29">
        <v>2.3515999999999999E-2</v>
      </c>
      <c r="C43" s="29">
        <v>8.6750000000000004E-3</v>
      </c>
      <c r="D43" s="29">
        <v>3.8930000000000002E-3</v>
      </c>
      <c r="E43" s="29">
        <v>1.0263E-2</v>
      </c>
      <c r="F43" s="29">
        <v>3.5944999999999998E-2</v>
      </c>
      <c r="G43" s="30">
        <v>1.5587E-2</v>
      </c>
      <c r="H43" s="13">
        <v>0.14000000000000001</v>
      </c>
      <c r="I43" s="13">
        <v>0.14000000000000001</v>
      </c>
      <c r="J43" s="13">
        <v>0.05</v>
      </c>
      <c r="K43" s="13">
        <v>-0.18</v>
      </c>
      <c r="L43" s="13">
        <v>-0.27</v>
      </c>
      <c r="M43" s="32">
        <v>-0.19</v>
      </c>
    </row>
    <row r="44" spans="1:13" x14ac:dyDescent="0.25">
      <c r="A44" s="31" t="s">
        <v>78</v>
      </c>
      <c r="B44" s="29">
        <v>-2.7959999999999999E-2</v>
      </c>
      <c r="C44" s="29">
        <v>-1.1163400000000001</v>
      </c>
      <c r="D44" s="29">
        <v>-3.34938</v>
      </c>
      <c r="E44" s="29">
        <v>-10.10379</v>
      </c>
      <c r="F44" s="29">
        <v>-27.576930000000001</v>
      </c>
      <c r="G44" s="30">
        <v>-33.699629999999999</v>
      </c>
      <c r="H44" s="13">
        <v>-9</v>
      </c>
      <c r="I44" s="13">
        <v>-38</v>
      </c>
      <c r="J44" s="13">
        <v>-45</v>
      </c>
      <c r="K44" s="13">
        <v>-25</v>
      </c>
      <c r="L44" s="13">
        <v>-19</v>
      </c>
      <c r="M44" s="32">
        <v>-13</v>
      </c>
    </row>
    <row r="45" spans="1:13" x14ac:dyDescent="0.25">
      <c r="A45" s="31" t="s">
        <v>76</v>
      </c>
      <c r="B45" s="29">
        <v>8.2600000000000002E-5</v>
      </c>
      <c r="C45" s="29">
        <v>3.2799999999999999E-3</v>
      </c>
      <c r="D45" s="29">
        <v>9.5639999999999996E-3</v>
      </c>
      <c r="E45" s="29">
        <v>2.7583E-2</v>
      </c>
      <c r="F45" s="29">
        <v>7.0390999999999995E-2</v>
      </c>
      <c r="G45" s="30">
        <v>7.7553999999999998E-2</v>
      </c>
      <c r="H45" s="13">
        <v>0.04</v>
      </c>
      <c r="I45" s="13">
        <v>0.16</v>
      </c>
      <c r="J45" s="13">
        <v>0.19</v>
      </c>
      <c r="K45" s="13">
        <v>0.11</v>
      </c>
      <c r="L45" s="13">
        <v>0.08</v>
      </c>
      <c r="M45" s="32">
        <v>0.06</v>
      </c>
    </row>
    <row r="46" spans="1:13" x14ac:dyDescent="0.25">
      <c r="A46" s="31" t="s">
        <v>79</v>
      </c>
      <c r="B46" s="29">
        <v>-4.0629999999999999E-2</v>
      </c>
      <c r="C46" s="29">
        <v>-3.3678E-2</v>
      </c>
      <c r="D46" s="29">
        <v>-2.8861999999999999E-2</v>
      </c>
      <c r="E46" s="29">
        <v>-2.5791000000000001E-2</v>
      </c>
      <c r="F46" s="29">
        <v>-3.4863999999999999E-2</v>
      </c>
      <c r="G46" s="30">
        <v>-3.6123000000000002E-2</v>
      </c>
      <c r="H46" s="13">
        <v>-0.2</v>
      </c>
      <c r="I46" s="13">
        <v>-0.18</v>
      </c>
      <c r="J46" s="13">
        <v>-0.24</v>
      </c>
      <c r="K46" s="13">
        <v>-0.24</v>
      </c>
      <c r="L46" s="13">
        <v>-0.2</v>
      </c>
      <c r="M46" s="32">
        <v>-0.19</v>
      </c>
    </row>
    <row r="47" spans="1:13" ht="30" x14ac:dyDescent="0.25">
      <c r="A47" s="46" t="s">
        <v>80</v>
      </c>
      <c r="B47" s="29">
        <v>-6.9379999999999997E-3</v>
      </c>
      <c r="C47" s="29">
        <v>-1.7926000000000001E-2</v>
      </c>
      <c r="D47" s="29">
        <v>-2.9003000000000001E-2</v>
      </c>
      <c r="E47" s="29">
        <v>-4.9352E-2</v>
      </c>
      <c r="F47" s="29">
        <v>-7.5537999999999994E-2</v>
      </c>
      <c r="G47" s="30">
        <v>-6.5375000000000003E-2</v>
      </c>
      <c r="H47" s="13">
        <v>-0.05</v>
      </c>
      <c r="I47" s="13">
        <v>-0.2</v>
      </c>
      <c r="J47" s="13">
        <v>-0.21</v>
      </c>
      <c r="K47" s="13">
        <v>-0.18</v>
      </c>
      <c r="L47" s="13">
        <v>-0.17</v>
      </c>
      <c r="M47" s="32">
        <v>-0.15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7"/>
  <sheetViews>
    <sheetView tabSelected="1" workbookViewId="0">
      <selection activeCell="B27" sqref="B27:M28"/>
    </sheetView>
  </sheetViews>
  <sheetFormatPr baseColWidth="10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53</v>
      </c>
    </row>
    <row r="2" spans="1:13" x14ac:dyDescent="0.25">
      <c r="A2" s="42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-0.29188500000000001</v>
      </c>
      <c r="C4" s="29">
        <v>-0.538663</v>
      </c>
      <c r="D4" s="29">
        <v>-0.72608600000000001</v>
      </c>
      <c r="E4" s="29">
        <v>-0.94772500000000004</v>
      </c>
      <c r="F4" s="29">
        <v>-0.976545</v>
      </c>
      <c r="G4" s="30">
        <v>-0.343061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-0.53470399999999996</v>
      </c>
      <c r="C5" s="29">
        <v>-0.93061199999999999</v>
      </c>
      <c r="D5" s="29">
        <v>-1.1877439999999999</v>
      </c>
      <c r="E5" s="29">
        <v>-1.42262</v>
      </c>
      <c r="F5" s="29">
        <v>-1.3022400000000001</v>
      </c>
      <c r="G5" s="30">
        <v>-0.37167899999999998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-0.38450400000000001</v>
      </c>
      <c r="C6" s="29">
        <v>-0.80150100000000002</v>
      </c>
      <c r="D6" s="29">
        <v>-1.169049</v>
      </c>
      <c r="E6" s="29">
        <v>-1.6723539999999999</v>
      </c>
      <c r="F6" s="29">
        <v>-1.9846109999999999</v>
      </c>
      <c r="G6" s="30">
        <v>-0.99719100000000005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-9.9791000000000005E-2</v>
      </c>
      <c r="C7" s="29">
        <v>-0.24110200000000001</v>
      </c>
      <c r="D7" s="29">
        <v>-0.38764999999999999</v>
      </c>
      <c r="E7" s="29">
        <v>-0.62256100000000003</v>
      </c>
      <c r="F7" s="29">
        <v>-0.72792999999999997</v>
      </c>
      <c r="G7" s="30">
        <v>-0.248445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-0.45394499999999999</v>
      </c>
      <c r="C8" s="29">
        <v>-0.83076399999999995</v>
      </c>
      <c r="D8" s="29">
        <v>-1.09206</v>
      </c>
      <c r="E8" s="29">
        <v>-1.3519460000000001</v>
      </c>
      <c r="F8" s="29">
        <v>-1.296046</v>
      </c>
      <c r="G8" s="30">
        <v>-0.47658099999999998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-0.79070399999999996</v>
      </c>
      <c r="C9" s="29">
        <v>-1.052673</v>
      </c>
      <c r="D9" s="29">
        <v>-1.2108049999999999</v>
      </c>
      <c r="E9" s="29">
        <v>-1.363966</v>
      </c>
      <c r="F9" s="29">
        <v>-1.2581</v>
      </c>
      <c r="G9" s="30">
        <v>-0.37337399999999998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-0.231262</v>
      </c>
      <c r="C10" s="29">
        <v>-0.110558</v>
      </c>
      <c r="D10" s="29">
        <v>-2.0920999999999999E-2</v>
      </c>
      <c r="E10" s="29">
        <v>5.3293E-2</v>
      </c>
      <c r="F10" s="29">
        <v>4.0063000000000001E-2</v>
      </c>
      <c r="G10" s="30">
        <v>-1.5250000000000001E-3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0.84144399999999997</v>
      </c>
      <c r="C11" s="29">
        <v>1.155222</v>
      </c>
      <c r="D11" s="29">
        <v>1.371448</v>
      </c>
      <c r="E11" s="29">
        <v>1.568271</v>
      </c>
      <c r="F11" s="29">
        <v>1.265528</v>
      </c>
      <c r="G11" s="30">
        <v>0.49072199999999999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0.46151199999999998</v>
      </c>
      <c r="C12" s="29">
        <v>0.78847400000000001</v>
      </c>
      <c r="D12" s="29">
        <v>1.0101629999999999</v>
      </c>
      <c r="E12" s="29">
        <v>1.212534</v>
      </c>
      <c r="F12" s="29">
        <v>0.94574400000000003</v>
      </c>
      <c r="G12" s="30">
        <v>0.38856299999999999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-0.35942400000000002</v>
      </c>
      <c r="C13" s="29">
        <v>-4.3680999999999998E-2</v>
      </c>
      <c r="D13" s="29">
        <v>0.17700299999999999</v>
      </c>
      <c r="E13" s="29">
        <v>0.404059</v>
      </c>
      <c r="F13" s="29">
        <v>0.27501199999999998</v>
      </c>
      <c r="G13" s="30">
        <v>0.143237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1.240445</v>
      </c>
      <c r="C14" s="29">
        <v>1.553156</v>
      </c>
      <c r="D14" s="29">
        <v>1.7588619999999999</v>
      </c>
      <c r="E14" s="29">
        <v>1.922069</v>
      </c>
      <c r="F14" s="29">
        <v>1.5392589999999999</v>
      </c>
      <c r="G14" s="30">
        <v>0.60250300000000001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0.417043</v>
      </c>
      <c r="C15" s="29">
        <v>0.71756799999999998</v>
      </c>
      <c r="D15" s="29">
        <v>0.91899399999999998</v>
      </c>
      <c r="E15" s="29">
        <v>1.0926309999999999</v>
      </c>
      <c r="F15" s="29">
        <v>0.84827699999999995</v>
      </c>
      <c r="G15" s="30">
        <v>0.34298099999999998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0.455044</v>
      </c>
      <c r="C16" s="29">
        <v>0.78643200000000002</v>
      </c>
      <c r="D16" s="29">
        <v>1.0095700000000001</v>
      </c>
      <c r="E16" s="29">
        <v>1.2014819999999999</v>
      </c>
      <c r="F16" s="29">
        <v>0.93484599999999995</v>
      </c>
      <c r="G16" s="30">
        <v>0.38142199999999998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-3.0765000000000001E-2</v>
      </c>
      <c r="C17" s="29">
        <v>0.11740299999999999</v>
      </c>
      <c r="D17" s="29">
        <v>0.296097</v>
      </c>
      <c r="E17" s="29">
        <v>0.55093800000000004</v>
      </c>
      <c r="F17" s="29">
        <v>0.49987199999999998</v>
      </c>
      <c r="G17" s="30">
        <v>0.10473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0.32984400000000003</v>
      </c>
      <c r="C18" s="29">
        <v>0.16115399999999999</v>
      </c>
      <c r="D18" s="29">
        <v>0.118884</v>
      </c>
      <c r="E18" s="29">
        <v>0.146287</v>
      </c>
      <c r="F18" s="29">
        <v>0.224243</v>
      </c>
      <c r="G18" s="30">
        <v>-3.8452E-2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-13.152139999999999</v>
      </c>
      <c r="C19" s="29">
        <v>-42.693980000000003</v>
      </c>
      <c r="D19" s="29">
        <v>-80.033789999999996</v>
      </c>
      <c r="E19" s="29">
        <v>-150.4042</v>
      </c>
      <c r="F19" s="29">
        <v>-211.5291</v>
      </c>
      <c r="G19" s="30">
        <v>-72.609790000000004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3.8836000000000002E-2</v>
      </c>
      <c r="C20" s="29">
        <v>0.122586</v>
      </c>
      <c r="D20" s="29">
        <v>0.223583</v>
      </c>
      <c r="E20" s="29">
        <v>0.40162300000000001</v>
      </c>
      <c r="F20" s="29">
        <v>0.52707000000000004</v>
      </c>
      <c r="G20" s="30">
        <v>0.165326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8.3165000000000003E-2</v>
      </c>
      <c r="C21" s="29">
        <v>0.13394900000000001</v>
      </c>
      <c r="D21" s="29">
        <v>0.157414</v>
      </c>
      <c r="E21" s="29">
        <v>0.15978500000000001</v>
      </c>
      <c r="F21" s="29">
        <v>0.124139</v>
      </c>
      <c r="G21" s="30">
        <v>4.9069000000000002E-2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0.56154700000000002</v>
      </c>
      <c r="C22" s="29">
        <v>0.31246099999999999</v>
      </c>
      <c r="D22" s="29">
        <v>0.129775</v>
      </c>
      <c r="E22" s="29">
        <v>-0.104269</v>
      </c>
      <c r="F22" s="29">
        <v>-0.22289999999999999</v>
      </c>
      <c r="G22" s="30">
        <v>5.4081999999999998E-2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  <row r="26" spans="1:13" ht="30" x14ac:dyDescent="0.25">
      <c r="A26" s="34" t="s">
        <v>68</v>
      </c>
    </row>
    <row r="27" spans="1:13" x14ac:dyDescent="0.25">
      <c r="A27" s="42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61</v>
      </c>
      <c r="C28" s="9" t="s">
        <v>62</v>
      </c>
      <c r="D28" s="9" t="s">
        <v>63</v>
      </c>
      <c r="E28" s="9" t="s">
        <v>64</v>
      </c>
      <c r="F28" s="9" t="s">
        <v>65</v>
      </c>
      <c r="G28" s="11" t="s">
        <v>66</v>
      </c>
      <c r="H28" s="24" t="s">
        <v>61</v>
      </c>
      <c r="I28" s="10" t="s">
        <v>62</v>
      </c>
      <c r="J28" s="10" t="s">
        <v>67</v>
      </c>
      <c r="K28" s="10" t="s">
        <v>64</v>
      </c>
      <c r="L28" s="10" t="s">
        <v>65</v>
      </c>
      <c r="M28" s="25" t="s">
        <v>66</v>
      </c>
    </row>
    <row r="29" spans="1:13" x14ac:dyDescent="0.25">
      <c r="A29" s="31" t="s">
        <v>54</v>
      </c>
      <c r="B29" s="29">
        <f t="array" ref="B29:G47">TRANSPOSE('CT1'!$B$3:$T$8)</f>
        <v>-0.29188500000000001</v>
      </c>
      <c r="C29" s="29">
        <v>-0.538663</v>
      </c>
      <c r="D29" s="29">
        <v>-0.72608600000000001</v>
      </c>
      <c r="E29" s="29">
        <v>-0.94772500000000004</v>
      </c>
      <c r="F29" s="29">
        <v>-0.976545</v>
      </c>
      <c r="G29" s="30">
        <v>-0.343061</v>
      </c>
      <c r="H29" s="12">
        <v>-0.51</v>
      </c>
      <c r="I29" s="36">
        <v>-0.8</v>
      </c>
      <c r="J29" s="36">
        <v>-0.75</v>
      </c>
      <c r="K29" s="36">
        <v>-0.87</v>
      </c>
      <c r="L29" s="36">
        <v>-0.86</v>
      </c>
      <c r="M29" s="32">
        <v>-0.68</v>
      </c>
    </row>
    <row r="30" spans="1:13" x14ac:dyDescent="0.25">
      <c r="A30" s="31" t="s">
        <v>58</v>
      </c>
      <c r="B30" s="29">
        <v>-0.53470399999999996</v>
      </c>
      <c r="C30" s="29">
        <v>-0.93061199999999999</v>
      </c>
      <c r="D30" s="29">
        <v>-1.1877439999999999</v>
      </c>
      <c r="E30" s="29">
        <v>-1.42262</v>
      </c>
      <c r="F30" s="29">
        <v>-1.3022400000000001</v>
      </c>
      <c r="G30" s="30">
        <v>-0.37167899999999998</v>
      </c>
      <c r="H30" s="12">
        <v>-0.75</v>
      </c>
      <c r="I30" s="36">
        <v>-1.3</v>
      </c>
      <c r="J30" s="36">
        <v>-1.34</v>
      </c>
      <c r="K30" s="36">
        <v>-1.71</v>
      </c>
      <c r="L30" s="36">
        <v>-2.09</v>
      </c>
      <c r="M30" s="32">
        <v>-1.9</v>
      </c>
    </row>
    <row r="31" spans="1:13" x14ac:dyDescent="0.25">
      <c r="A31" s="31" t="s">
        <v>55</v>
      </c>
      <c r="B31" s="29">
        <v>-0.38450400000000001</v>
      </c>
      <c r="C31" s="29">
        <v>-0.80150100000000002</v>
      </c>
      <c r="D31" s="29">
        <v>-1.169049</v>
      </c>
      <c r="E31" s="29">
        <v>-1.6723539999999999</v>
      </c>
      <c r="F31" s="29">
        <v>-1.9846109999999999</v>
      </c>
      <c r="G31" s="30">
        <v>-0.99719100000000005</v>
      </c>
      <c r="H31" s="12">
        <v>-0.7</v>
      </c>
      <c r="I31" s="36">
        <v>-1.32</v>
      </c>
      <c r="J31" s="36">
        <v>-1.06</v>
      </c>
      <c r="K31" s="36">
        <v>-1.03</v>
      </c>
      <c r="L31" s="36">
        <v>-0.86</v>
      </c>
      <c r="M31" s="32">
        <v>-0.66</v>
      </c>
    </row>
    <row r="32" spans="1:13" x14ac:dyDescent="0.25">
      <c r="A32" s="31" t="s">
        <v>56</v>
      </c>
      <c r="B32" s="29">
        <v>-9.9791000000000005E-2</v>
      </c>
      <c r="C32" s="29">
        <v>-0.24110200000000001</v>
      </c>
      <c r="D32" s="29">
        <v>-0.38764999999999999</v>
      </c>
      <c r="E32" s="29">
        <v>-0.62256100000000003</v>
      </c>
      <c r="F32" s="29">
        <v>-0.72792999999999997</v>
      </c>
      <c r="G32" s="30">
        <v>-0.248445</v>
      </c>
      <c r="H32" s="12">
        <v>-0.3</v>
      </c>
      <c r="I32" s="36">
        <v>-0.53</v>
      </c>
      <c r="J32" s="36">
        <v>-0.6</v>
      </c>
      <c r="K32" s="36">
        <v>-0.62</v>
      </c>
      <c r="L32" s="36">
        <v>-0.3</v>
      </c>
      <c r="M32" s="32">
        <v>-7.0000000000000007E-2</v>
      </c>
    </row>
    <row r="33" spans="1:13" x14ac:dyDescent="0.25">
      <c r="A33" s="31" t="s">
        <v>57</v>
      </c>
      <c r="B33" s="29">
        <v>-0.45394499999999999</v>
      </c>
      <c r="C33" s="29">
        <v>-0.83076399999999995</v>
      </c>
      <c r="D33" s="29">
        <v>-1.09206</v>
      </c>
      <c r="E33" s="29">
        <v>-1.3519460000000001</v>
      </c>
      <c r="F33" s="29">
        <v>-1.296046</v>
      </c>
      <c r="G33" s="30">
        <v>-0.47658099999999998</v>
      </c>
      <c r="H33" s="12">
        <v>-0.85</v>
      </c>
      <c r="I33" s="36">
        <v>-1.4</v>
      </c>
      <c r="J33" s="36">
        <v>-1.18</v>
      </c>
      <c r="K33" s="36">
        <v>-1.35</v>
      </c>
      <c r="L33" s="36">
        <v>-1.43</v>
      </c>
      <c r="M33" s="32">
        <v>-1.36</v>
      </c>
    </row>
    <row r="34" spans="1:13" x14ac:dyDescent="0.25">
      <c r="A34" s="31" t="s">
        <v>59</v>
      </c>
      <c r="B34" s="29">
        <v>-0.79070399999999996</v>
      </c>
      <c r="C34" s="29">
        <v>-1.052673</v>
      </c>
      <c r="D34" s="29">
        <v>-1.2108049999999999</v>
      </c>
      <c r="E34" s="29">
        <v>-1.363966</v>
      </c>
      <c r="F34" s="29">
        <v>-1.2581</v>
      </c>
      <c r="G34" s="30">
        <v>-0.37337399999999998</v>
      </c>
      <c r="H34" s="12">
        <v>-1.33</v>
      </c>
      <c r="I34" s="36">
        <v>-1.25</v>
      </c>
      <c r="J34" s="36">
        <v>-1.44</v>
      </c>
      <c r="K34" s="36">
        <v>-1.94</v>
      </c>
      <c r="L34" s="36">
        <v>-2.1</v>
      </c>
      <c r="M34" s="32">
        <v>-1.9</v>
      </c>
    </row>
    <row r="35" spans="1:13" x14ac:dyDescent="0.25">
      <c r="A35" s="31" t="s">
        <v>60</v>
      </c>
      <c r="B35" s="29">
        <v>-0.231262</v>
      </c>
      <c r="C35" s="29">
        <v>-0.110558</v>
      </c>
      <c r="D35" s="29">
        <v>-2.0920999999999999E-2</v>
      </c>
      <c r="E35" s="29">
        <v>5.3293E-2</v>
      </c>
      <c r="F35" s="29">
        <v>4.0063000000000001E-2</v>
      </c>
      <c r="G35" s="30">
        <v>-1.5250000000000001E-3</v>
      </c>
      <c r="H35" s="12">
        <v>-0.51</v>
      </c>
      <c r="I35" s="36">
        <v>0.04</v>
      </c>
      <c r="J35" s="36">
        <v>-0.09</v>
      </c>
      <c r="K35" s="36">
        <v>-0.2</v>
      </c>
      <c r="L35" s="36">
        <v>-0.01</v>
      </c>
      <c r="M35" s="32">
        <v>0</v>
      </c>
    </row>
    <row r="36" spans="1:13" x14ac:dyDescent="0.25">
      <c r="A36" s="31" t="s">
        <v>71</v>
      </c>
      <c r="B36" s="29">
        <v>0.84144399999999997</v>
      </c>
      <c r="C36" s="29">
        <v>1.155222</v>
      </c>
      <c r="D36" s="29">
        <v>1.371448</v>
      </c>
      <c r="E36" s="29">
        <v>1.568271</v>
      </c>
      <c r="F36" s="29">
        <v>1.265528</v>
      </c>
      <c r="G36" s="30">
        <v>0.49072199999999999</v>
      </c>
      <c r="H36" s="12">
        <v>1.64</v>
      </c>
      <c r="I36" s="36">
        <v>1.72</v>
      </c>
      <c r="J36" s="36">
        <v>1.68</v>
      </c>
      <c r="K36" s="36">
        <v>1.49</v>
      </c>
      <c r="L36" s="36">
        <v>1.01</v>
      </c>
      <c r="M36" s="32">
        <v>0.61</v>
      </c>
    </row>
    <row r="37" spans="1:13" x14ac:dyDescent="0.25">
      <c r="A37" s="31" t="s">
        <v>72</v>
      </c>
      <c r="B37" s="29">
        <v>0.46151199999999998</v>
      </c>
      <c r="C37" s="29">
        <v>0.78847400000000001</v>
      </c>
      <c r="D37" s="29">
        <v>1.0101629999999999</v>
      </c>
      <c r="E37" s="29">
        <v>1.212534</v>
      </c>
      <c r="F37" s="29">
        <v>0.94574400000000003</v>
      </c>
      <c r="G37" s="30">
        <v>0.38856299999999999</v>
      </c>
      <c r="H37" s="12">
        <v>1</v>
      </c>
      <c r="I37" s="36">
        <v>1.06</v>
      </c>
      <c r="J37" s="36">
        <v>0.94</v>
      </c>
      <c r="K37" s="36">
        <v>0.62</v>
      </c>
      <c r="L37" s="36">
        <v>0.08</v>
      </c>
      <c r="M37" s="32">
        <v>-0.28999999999999998</v>
      </c>
    </row>
    <row r="38" spans="1:13" x14ac:dyDescent="0.25">
      <c r="A38" s="31" t="s">
        <v>73</v>
      </c>
      <c r="B38" s="29">
        <v>-0.35942400000000002</v>
      </c>
      <c r="C38" s="29">
        <v>-4.3680999999999998E-2</v>
      </c>
      <c r="D38" s="29">
        <v>0.17700299999999999</v>
      </c>
      <c r="E38" s="29">
        <v>0.404059</v>
      </c>
      <c r="F38" s="29">
        <v>0.27501199999999998</v>
      </c>
      <c r="G38" s="30">
        <v>0.143237</v>
      </c>
      <c r="H38" s="12">
        <v>-0.13</v>
      </c>
      <c r="I38" s="36">
        <v>-0.08</v>
      </c>
      <c r="J38" s="36">
        <v>-0.12</v>
      </c>
      <c r="K38" s="36">
        <v>-0.3</v>
      </c>
      <c r="L38" s="36">
        <v>-0.84</v>
      </c>
      <c r="M38" s="32">
        <v>-1.33</v>
      </c>
    </row>
    <row r="39" spans="1:13" x14ac:dyDescent="0.25">
      <c r="A39" s="31" t="s">
        <v>77</v>
      </c>
      <c r="B39" s="29">
        <v>1.240445</v>
      </c>
      <c r="C39" s="29">
        <v>1.553156</v>
      </c>
      <c r="D39" s="29">
        <v>1.7588619999999999</v>
      </c>
      <c r="E39" s="29">
        <v>1.922069</v>
      </c>
      <c r="F39" s="29">
        <v>1.5392589999999999</v>
      </c>
      <c r="G39" s="30">
        <v>0.60250300000000001</v>
      </c>
      <c r="H39" s="12">
        <v>2.0099999999999998</v>
      </c>
      <c r="I39" s="36">
        <v>2.09</v>
      </c>
      <c r="J39" s="36">
        <v>2</v>
      </c>
      <c r="K39" s="36">
        <v>1.77</v>
      </c>
      <c r="L39" s="36">
        <v>1.3</v>
      </c>
      <c r="M39" s="32">
        <v>0.97</v>
      </c>
    </row>
    <row r="40" spans="1:13" x14ac:dyDescent="0.25">
      <c r="A40" s="31" t="s">
        <v>69</v>
      </c>
      <c r="B40" s="29">
        <v>0.417043</v>
      </c>
      <c r="C40" s="29">
        <v>0.71756799999999998</v>
      </c>
      <c r="D40" s="29">
        <v>0.91899399999999998</v>
      </c>
      <c r="E40" s="29">
        <v>1.0926309999999999</v>
      </c>
      <c r="F40" s="29">
        <v>0.84827699999999995</v>
      </c>
      <c r="G40" s="30">
        <v>0.34298099999999998</v>
      </c>
      <c r="H40" s="12">
        <v>0.9</v>
      </c>
      <c r="I40" s="36">
        <v>1.01</v>
      </c>
      <c r="J40" s="36">
        <v>0.97</v>
      </c>
      <c r="K40" s="36">
        <v>0.83</v>
      </c>
      <c r="L40" s="36">
        <v>0.45</v>
      </c>
      <c r="M40" s="32">
        <v>0.22</v>
      </c>
    </row>
    <row r="41" spans="1:13" x14ac:dyDescent="0.25">
      <c r="A41" s="31" t="s">
        <v>70</v>
      </c>
      <c r="B41" s="29">
        <v>0.455044</v>
      </c>
      <c r="C41" s="29">
        <v>0.78643200000000002</v>
      </c>
      <c r="D41" s="29">
        <v>1.0095700000000001</v>
      </c>
      <c r="E41" s="29">
        <v>1.2014819999999999</v>
      </c>
      <c r="F41" s="29">
        <v>0.93484599999999995</v>
      </c>
      <c r="G41" s="30">
        <v>0.38142199999999998</v>
      </c>
      <c r="H41" s="12">
        <v>0.53</v>
      </c>
      <c r="I41" s="36">
        <v>0.66</v>
      </c>
      <c r="J41" s="36">
        <v>0.68</v>
      </c>
      <c r="K41" s="36">
        <v>0.56999999999999995</v>
      </c>
      <c r="L41" s="36">
        <v>0.17</v>
      </c>
      <c r="M41" s="32">
        <v>-0.02</v>
      </c>
    </row>
    <row r="42" spans="1:13" x14ac:dyDescent="0.25">
      <c r="A42" s="31" t="s">
        <v>74</v>
      </c>
      <c r="B42" s="29">
        <v>-3.0765000000000001E-2</v>
      </c>
      <c r="C42" s="29">
        <v>0.11740299999999999</v>
      </c>
      <c r="D42" s="29">
        <v>0.296097</v>
      </c>
      <c r="E42" s="29">
        <v>0.55093800000000004</v>
      </c>
      <c r="F42" s="29">
        <v>0.49987199999999998</v>
      </c>
      <c r="G42" s="30">
        <v>0.10473</v>
      </c>
      <c r="H42" s="12">
        <v>0.6</v>
      </c>
      <c r="I42" s="36">
        <v>0.56000000000000005</v>
      </c>
      <c r="J42" s="36">
        <v>0.06</v>
      </c>
      <c r="K42" s="36">
        <v>-1.06</v>
      </c>
      <c r="L42" s="36">
        <v>-1.87</v>
      </c>
      <c r="M42" s="32">
        <v>-2.0299999999999998</v>
      </c>
    </row>
    <row r="43" spans="1:13" x14ac:dyDescent="0.25">
      <c r="A43" s="31" t="s">
        <v>75</v>
      </c>
      <c r="B43" s="29">
        <v>0.32984400000000003</v>
      </c>
      <c r="C43" s="29">
        <v>0.16115399999999999</v>
      </c>
      <c r="D43" s="29">
        <v>0.118884</v>
      </c>
      <c r="E43" s="29">
        <v>0.146287</v>
      </c>
      <c r="F43" s="29">
        <v>0.224243</v>
      </c>
      <c r="G43" s="30">
        <v>-3.8452E-2</v>
      </c>
      <c r="H43" s="12">
        <v>0.73</v>
      </c>
      <c r="I43" s="36">
        <v>0.64</v>
      </c>
      <c r="J43" s="36">
        <v>0.18</v>
      </c>
      <c r="K43" s="36">
        <v>-0.76</v>
      </c>
      <c r="L43" s="36">
        <v>-1.05</v>
      </c>
      <c r="M43" s="32">
        <v>-0.71</v>
      </c>
    </row>
    <row r="44" spans="1:13" x14ac:dyDescent="0.25">
      <c r="A44" s="31" t="s">
        <v>78</v>
      </c>
      <c r="B44" s="29">
        <v>-13.152139999999999</v>
      </c>
      <c r="C44" s="29">
        <v>-42.693980000000003</v>
      </c>
      <c r="D44" s="29">
        <v>-80.033789999999996</v>
      </c>
      <c r="E44" s="29">
        <v>-150.4042</v>
      </c>
      <c r="F44" s="29">
        <v>-211.5291</v>
      </c>
      <c r="G44" s="30">
        <v>-72.609790000000004</v>
      </c>
      <c r="H44" s="12">
        <v>-53</v>
      </c>
      <c r="I44" s="36">
        <v>-157</v>
      </c>
      <c r="J44" s="36">
        <v>-173</v>
      </c>
      <c r="K44" s="36">
        <v>-105</v>
      </c>
      <c r="L44" s="36">
        <v>-69</v>
      </c>
      <c r="M44" s="32">
        <v>-51</v>
      </c>
    </row>
    <row r="45" spans="1:13" x14ac:dyDescent="0.25">
      <c r="A45" s="31" t="s">
        <v>76</v>
      </c>
      <c r="B45" s="29">
        <v>3.8836000000000002E-2</v>
      </c>
      <c r="C45" s="29">
        <v>0.122586</v>
      </c>
      <c r="D45" s="29">
        <v>0.223583</v>
      </c>
      <c r="E45" s="29">
        <v>0.40162300000000001</v>
      </c>
      <c r="F45" s="29">
        <v>0.52707000000000004</v>
      </c>
      <c r="G45" s="30">
        <v>0.165326</v>
      </c>
      <c r="H45" s="12">
        <v>0.22</v>
      </c>
      <c r="I45" s="36">
        <v>0.66</v>
      </c>
      <c r="J45" s="36">
        <v>0.72</v>
      </c>
      <c r="K45" s="36">
        <v>0.44</v>
      </c>
      <c r="L45" s="36">
        <v>0.28999999999999998</v>
      </c>
      <c r="M45" s="32">
        <v>0.21</v>
      </c>
    </row>
    <row r="46" spans="1:13" x14ac:dyDescent="0.25">
      <c r="A46" s="31" t="s">
        <v>79</v>
      </c>
      <c r="B46" s="29">
        <v>8.3165000000000003E-2</v>
      </c>
      <c r="C46" s="29">
        <v>0.13394900000000001</v>
      </c>
      <c r="D46" s="29">
        <v>0.157414</v>
      </c>
      <c r="E46" s="29">
        <v>0.15978500000000001</v>
      </c>
      <c r="F46" s="29">
        <v>0.124139</v>
      </c>
      <c r="G46" s="30">
        <v>4.9069000000000002E-2</v>
      </c>
      <c r="H46" s="12">
        <v>0.28999999999999998</v>
      </c>
      <c r="I46" s="36">
        <v>0.39</v>
      </c>
      <c r="J46" s="36">
        <v>0.28000000000000003</v>
      </c>
      <c r="K46" s="36">
        <v>0.32</v>
      </c>
      <c r="L46" s="36">
        <v>0.45</v>
      </c>
      <c r="M46" s="32">
        <v>0.49</v>
      </c>
    </row>
    <row r="47" spans="1:13" ht="30" x14ac:dyDescent="0.25">
      <c r="A47" s="46" t="s">
        <v>80</v>
      </c>
      <c r="B47" s="29">
        <v>0.56154700000000002</v>
      </c>
      <c r="C47" s="29">
        <v>0.31246099999999999</v>
      </c>
      <c r="D47" s="29">
        <v>0.129775</v>
      </c>
      <c r="E47" s="29">
        <v>-0.104269</v>
      </c>
      <c r="F47" s="29">
        <v>-0.22289999999999999</v>
      </c>
      <c r="G47" s="30">
        <v>5.4081999999999998E-2</v>
      </c>
      <c r="H47" s="12">
        <v>0.68</v>
      </c>
      <c r="I47" s="36">
        <v>0.15</v>
      </c>
      <c r="J47" s="36">
        <v>0.14000000000000001</v>
      </c>
      <c r="K47" s="36">
        <v>0.24</v>
      </c>
      <c r="L47" s="36">
        <v>0.28000000000000003</v>
      </c>
      <c r="M47" s="32">
        <v>0.37</v>
      </c>
    </row>
  </sheetData>
  <mergeCells count="4">
    <mergeCell ref="B2:G2"/>
    <mergeCell ref="H2:M2"/>
    <mergeCell ref="B27:G27"/>
    <mergeCell ref="H27:M2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88</v>
      </c>
      <c r="C1" t="s">
        <v>89</v>
      </c>
      <c r="D1" t="s">
        <v>90</v>
      </c>
      <c r="E1" t="s">
        <v>91</v>
      </c>
      <c r="F1" t="s">
        <v>92</v>
      </c>
      <c r="G1" t="s">
        <v>93</v>
      </c>
      <c r="H1" t="s">
        <v>94</v>
      </c>
      <c r="I1" t="s">
        <v>95</v>
      </c>
      <c r="J1" t="s">
        <v>96</v>
      </c>
      <c r="K1" t="s">
        <v>97</v>
      </c>
      <c r="L1" t="s">
        <v>98</v>
      </c>
      <c r="M1" t="s">
        <v>99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</row>
    <row r="3" spans="1:20" x14ac:dyDescent="0.25">
      <c r="A3">
        <v>2001</v>
      </c>
      <c r="B3">
        <v>-0.29188500000000001</v>
      </c>
      <c r="C3">
        <v>-0.53470399999999996</v>
      </c>
      <c r="D3">
        <v>-0.38450400000000001</v>
      </c>
      <c r="E3">
        <v>-9.9791000000000005E-2</v>
      </c>
      <c r="F3">
        <v>-0.45394499999999999</v>
      </c>
      <c r="G3">
        <v>-0.79070399999999996</v>
      </c>
      <c r="H3">
        <v>-0.231262</v>
      </c>
      <c r="I3">
        <v>0.84144399999999997</v>
      </c>
      <c r="J3">
        <v>0.46151199999999998</v>
      </c>
      <c r="K3">
        <v>-0.35942400000000002</v>
      </c>
      <c r="L3">
        <v>1.240445</v>
      </c>
      <c r="M3">
        <v>0.417043</v>
      </c>
      <c r="N3">
        <v>0.455044</v>
      </c>
      <c r="O3">
        <v>-3.0765000000000001E-2</v>
      </c>
      <c r="P3">
        <v>0.32984400000000003</v>
      </c>
      <c r="Q3">
        <v>-13.152139999999999</v>
      </c>
      <c r="R3">
        <v>3.8836000000000002E-2</v>
      </c>
      <c r="S3">
        <v>8.3165000000000003E-2</v>
      </c>
      <c r="T3">
        <v>0.56154700000000002</v>
      </c>
    </row>
    <row r="4" spans="1:20" x14ac:dyDescent="0.25">
      <c r="A4">
        <v>2002</v>
      </c>
      <c r="B4">
        <v>-0.538663</v>
      </c>
      <c r="C4">
        <v>-0.93061199999999999</v>
      </c>
      <c r="D4">
        <v>-0.80150100000000002</v>
      </c>
      <c r="E4">
        <v>-0.24110200000000001</v>
      </c>
      <c r="F4">
        <v>-0.83076399999999995</v>
      </c>
      <c r="G4">
        <v>-1.052673</v>
      </c>
      <c r="H4">
        <v>-0.110558</v>
      </c>
      <c r="I4">
        <v>1.155222</v>
      </c>
      <c r="J4">
        <v>0.78847400000000001</v>
      </c>
      <c r="K4">
        <v>-4.3680999999999998E-2</v>
      </c>
      <c r="L4">
        <v>1.553156</v>
      </c>
      <c r="M4">
        <v>0.71756799999999998</v>
      </c>
      <c r="N4">
        <v>0.78643200000000002</v>
      </c>
      <c r="O4">
        <v>0.11740299999999999</v>
      </c>
      <c r="P4">
        <v>0.16115399999999999</v>
      </c>
      <c r="Q4">
        <v>-42.693980000000003</v>
      </c>
      <c r="R4">
        <v>0.122586</v>
      </c>
      <c r="S4">
        <v>0.13394900000000001</v>
      </c>
      <c r="T4">
        <v>0.31246099999999999</v>
      </c>
    </row>
    <row r="5" spans="1:20" x14ac:dyDescent="0.25">
      <c r="A5">
        <v>2003</v>
      </c>
      <c r="B5">
        <v>-0.72608600000000001</v>
      </c>
      <c r="C5">
        <v>-1.1877439999999999</v>
      </c>
      <c r="D5">
        <v>-1.169049</v>
      </c>
      <c r="E5">
        <v>-0.38764999999999999</v>
      </c>
      <c r="F5">
        <v>-1.09206</v>
      </c>
      <c r="G5">
        <v>-1.2108049999999999</v>
      </c>
      <c r="H5">
        <v>-2.0920999999999999E-2</v>
      </c>
      <c r="I5">
        <v>1.371448</v>
      </c>
      <c r="J5">
        <v>1.0101629999999999</v>
      </c>
      <c r="K5">
        <v>0.17700299999999999</v>
      </c>
      <c r="L5">
        <v>1.7588619999999999</v>
      </c>
      <c r="M5">
        <v>0.91899399999999998</v>
      </c>
      <c r="N5">
        <v>1.0095700000000001</v>
      </c>
      <c r="O5">
        <v>0.296097</v>
      </c>
      <c r="P5">
        <v>0.118884</v>
      </c>
      <c r="Q5">
        <v>-80.033789999999996</v>
      </c>
      <c r="R5">
        <v>0.223583</v>
      </c>
      <c r="S5">
        <v>0.157414</v>
      </c>
      <c r="T5">
        <v>0.129775</v>
      </c>
    </row>
    <row r="6" spans="1:20" x14ac:dyDescent="0.25">
      <c r="A6">
        <v>2005</v>
      </c>
      <c r="B6">
        <v>-0.94772500000000004</v>
      </c>
      <c r="C6">
        <v>-1.42262</v>
      </c>
      <c r="D6">
        <v>-1.6723539999999999</v>
      </c>
      <c r="E6">
        <v>-0.62256100000000003</v>
      </c>
      <c r="F6">
        <v>-1.3519460000000001</v>
      </c>
      <c r="G6">
        <v>-1.363966</v>
      </c>
      <c r="H6">
        <v>5.3293E-2</v>
      </c>
      <c r="I6">
        <v>1.568271</v>
      </c>
      <c r="J6">
        <v>1.212534</v>
      </c>
      <c r="K6">
        <v>0.404059</v>
      </c>
      <c r="L6">
        <v>1.922069</v>
      </c>
      <c r="M6">
        <v>1.0926309999999999</v>
      </c>
      <c r="N6">
        <v>1.2014819999999999</v>
      </c>
      <c r="O6">
        <v>0.55093800000000004</v>
      </c>
      <c r="P6">
        <v>0.146287</v>
      </c>
      <c r="Q6">
        <v>-150.4042</v>
      </c>
      <c r="R6">
        <v>0.40162300000000001</v>
      </c>
      <c r="S6">
        <v>0.15978500000000001</v>
      </c>
      <c r="T6">
        <v>-0.104269</v>
      </c>
    </row>
    <row r="7" spans="1:20" x14ac:dyDescent="0.25">
      <c r="A7">
        <v>2010</v>
      </c>
      <c r="B7">
        <v>-0.976545</v>
      </c>
      <c r="C7">
        <v>-1.3022400000000001</v>
      </c>
      <c r="D7">
        <v>-1.9846109999999999</v>
      </c>
      <c r="E7">
        <v>-0.72792999999999997</v>
      </c>
      <c r="F7">
        <v>-1.296046</v>
      </c>
      <c r="G7">
        <v>-1.2581</v>
      </c>
      <c r="H7">
        <v>4.0063000000000001E-2</v>
      </c>
      <c r="I7">
        <v>1.265528</v>
      </c>
      <c r="J7">
        <v>0.94574400000000003</v>
      </c>
      <c r="K7">
        <v>0.27501199999999998</v>
      </c>
      <c r="L7">
        <v>1.5392589999999999</v>
      </c>
      <c r="M7">
        <v>0.84827699999999995</v>
      </c>
      <c r="N7">
        <v>0.93484599999999995</v>
      </c>
      <c r="O7">
        <v>0.49987199999999998</v>
      </c>
      <c r="P7">
        <v>0.224243</v>
      </c>
      <c r="Q7">
        <v>-211.5291</v>
      </c>
      <c r="R7">
        <v>0.52707000000000004</v>
      </c>
      <c r="S7">
        <v>0.124139</v>
      </c>
      <c r="T7">
        <v>-0.22289999999999999</v>
      </c>
    </row>
    <row r="8" spans="1:20" x14ac:dyDescent="0.25">
      <c r="A8">
        <v>2035</v>
      </c>
      <c r="B8">
        <v>-0.343061</v>
      </c>
      <c r="C8">
        <v>-0.37167899999999998</v>
      </c>
      <c r="D8">
        <v>-0.99719100000000005</v>
      </c>
      <c r="E8">
        <v>-0.248445</v>
      </c>
      <c r="F8">
        <v>-0.47658099999999998</v>
      </c>
      <c r="G8">
        <v>-0.37337399999999998</v>
      </c>
      <c r="H8">
        <v>-1.5250000000000001E-3</v>
      </c>
      <c r="I8">
        <v>0.49072199999999999</v>
      </c>
      <c r="J8">
        <v>0.38856299999999999</v>
      </c>
      <c r="K8">
        <v>0.143237</v>
      </c>
      <c r="L8">
        <v>0.60250300000000001</v>
      </c>
      <c r="M8">
        <v>0.34298099999999998</v>
      </c>
      <c r="N8">
        <v>0.38142199999999998</v>
      </c>
      <c r="O8">
        <v>0.10473</v>
      </c>
      <c r="P8">
        <v>-3.8452E-2</v>
      </c>
      <c r="Q8">
        <v>-72.609790000000004</v>
      </c>
      <c r="R8">
        <v>0.165326</v>
      </c>
      <c r="S8">
        <v>4.9069000000000002E-2</v>
      </c>
      <c r="T8">
        <v>5.4081999999999998E-2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221</v>
      </c>
      <c r="C1" t="s">
        <v>222</v>
      </c>
      <c r="D1" t="s">
        <v>223</v>
      </c>
      <c r="E1" t="s">
        <v>224</v>
      </c>
      <c r="F1" t="s">
        <v>225</v>
      </c>
      <c r="G1" t="s">
        <v>226</v>
      </c>
      <c r="H1" t="s">
        <v>227</v>
      </c>
      <c r="I1" t="s">
        <v>228</v>
      </c>
      <c r="J1" t="s">
        <v>229</v>
      </c>
      <c r="K1" t="s">
        <v>230</v>
      </c>
      <c r="L1" t="s">
        <v>231</v>
      </c>
      <c r="M1" t="s">
        <v>232</v>
      </c>
      <c r="N1" t="s">
        <v>233</v>
      </c>
      <c r="O1" t="s">
        <v>234</v>
      </c>
      <c r="P1" t="s">
        <v>235</v>
      </c>
      <c r="Q1" t="s">
        <v>236</v>
      </c>
      <c r="R1" t="s">
        <v>237</v>
      </c>
      <c r="S1" t="s">
        <v>238</v>
      </c>
      <c r="T1" t="s">
        <v>239</v>
      </c>
    </row>
    <row r="3" spans="1:20" x14ac:dyDescent="0.25">
      <c r="A3">
        <v>2001</v>
      </c>
      <c r="B3">
        <v>0.24245700000000001</v>
      </c>
      <c r="C3">
        <v>7.5573000000000001E-2</v>
      </c>
      <c r="D3">
        <v>0.18098500000000001</v>
      </c>
      <c r="E3">
        <v>0.98682400000000003</v>
      </c>
      <c r="F3">
        <v>0.266457</v>
      </c>
      <c r="G3">
        <v>0.11115700000000001</v>
      </c>
      <c r="H3">
        <v>3.1855000000000001E-2</v>
      </c>
      <c r="I3">
        <v>6.4560999999999993E-2</v>
      </c>
      <c r="J3">
        <v>6.7648E-2</v>
      </c>
      <c r="K3">
        <v>6.6724000000000006E-2</v>
      </c>
      <c r="L3">
        <v>6.3815999999999998E-2</v>
      </c>
      <c r="M3">
        <v>5.4377000000000002E-2</v>
      </c>
      <c r="N3">
        <v>5.2616000000000003E-2</v>
      </c>
      <c r="O3">
        <v>8.6088999999999999E-2</v>
      </c>
      <c r="P3">
        <v>1.9352999999999999E-2</v>
      </c>
      <c r="Q3">
        <v>36.277979999999999</v>
      </c>
      <c r="R3">
        <v>-0.10709399999999999</v>
      </c>
      <c r="S3">
        <v>0.169825</v>
      </c>
      <c r="T3">
        <v>9.6750000000000003E-2</v>
      </c>
    </row>
    <row r="4" spans="1:20" x14ac:dyDescent="0.25">
      <c r="A4">
        <v>2002</v>
      </c>
      <c r="B4">
        <v>0.281553</v>
      </c>
      <c r="C4">
        <v>0.16161800000000001</v>
      </c>
      <c r="D4">
        <v>0.28684300000000001</v>
      </c>
      <c r="E4">
        <v>0.95716299999999999</v>
      </c>
      <c r="F4">
        <v>0.36063800000000001</v>
      </c>
      <c r="G4">
        <v>0.19270599999999999</v>
      </c>
      <c r="H4">
        <v>2.7807999999999999E-2</v>
      </c>
      <c r="I4">
        <v>0.17285900000000001</v>
      </c>
      <c r="J4">
        <v>0.18260899999999999</v>
      </c>
      <c r="K4">
        <v>0.18177099999999999</v>
      </c>
      <c r="L4">
        <v>0.17133399999999999</v>
      </c>
      <c r="M4">
        <v>0.13880200000000001</v>
      </c>
      <c r="N4">
        <v>0.133654</v>
      </c>
      <c r="O4">
        <v>0.221441</v>
      </c>
      <c r="P4">
        <v>3.9598000000000001E-2</v>
      </c>
      <c r="Q4">
        <v>64.540629999999993</v>
      </c>
      <c r="R4">
        <v>-0.181279</v>
      </c>
      <c r="S4">
        <v>0.14085</v>
      </c>
      <c r="T4">
        <v>0.156137</v>
      </c>
    </row>
    <row r="5" spans="1:20" x14ac:dyDescent="0.25">
      <c r="A5">
        <v>2003</v>
      </c>
      <c r="B5">
        <v>0.30956899999999998</v>
      </c>
      <c r="C5">
        <v>0.22984399999999999</v>
      </c>
      <c r="D5">
        <v>0.34509499999999999</v>
      </c>
      <c r="E5">
        <v>0.91108100000000003</v>
      </c>
      <c r="F5">
        <v>0.40744000000000002</v>
      </c>
      <c r="G5">
        <v>0.24429600000000001</v>
      </c>
      <c r="H5">
        <v>1.2921E-2</v>
      </c>
      <c r="I5">
        <v>0.31076900000000002</v>
      </c>
      <c r="J5">
        <v>0.32894699999999999</v>
      </c>
      <c r="K5">
        <v>0.328239</v>
      </c>
      <c r="L5">
        <v>0.30842199999999997</v>
      </c>
      <c r="M5">
        <v>0.24355599999999999</v>
      </c>
      <c r="N5">
        <v>0.23452100000000001</v>
      </c>
      <c r="O5">
        <v>0.38251200000000002</v>
      </c>
      <c r="P5">
        <v>5.4094999999999997E-2</v>
      </c>
      <c r="Q5">
        <v>83.053060000000002</v>
      </c>
      <c r="R5">
        <v>-0.224686</v>
      </c>
      <c r="S5">
        <v>0.120481</v>
      </c>
      <c r="T5">
        <v>0.18978800000000001</v>
      </c>
    </row>
    <row r="6" spans="1:20" x14ac:dyDescent="0.25">
      <c r="A6">
        <v>2005</v>
      </c>
      <c r="B6">
        <v>0.31495200000000001</v>
      </c>
      <c r="C6">
        <v>0.29170600000000002</v>
      </c>
      <c r="D6">
        <v>0.38580100000000001</v>
      </c>
      <c r="E6">
        <v>0.778972</v>
      </c>
      <c r="F6">
        <v>0.43595699999999998</v>
      </c>
      <c r="G6">
        <v>0.27958</v>
      </c>
      <c r="H6">
        <v>-1.0836999999999999E-2</v>
      </c>
      <c r="I6">
        <v>0.62708900000000001</v>
      </c>
      <c r="J6">
        <v>0.66164000000000001</v>
      </c>
      <c r="K6">
        <v>0.65869699999999998</v>
      </c>
      <c r="L6">
        <v>0.62257899999999999</v>
      </c>
      <c r="M6">
        <v>0.48220200000000002</v>
      </c>
      <c r="N6">
        <v>0.46643099999999998</v>
      </c>
      <c r="O6">
        <v>0.72580900000000004</v>
      </c>
      <c r="P6">
        <v>6.6672999999999996E-2</v>
      </c>
      <c r="Q6">
        <v>95.366900000000001</v>
      </c>
      <c r="R6">
        <v>-0.24459800000000001</v>
      </c>
      <c r="S6">
        <v>8.6046999999999998E-2</v>
      </c>
      <c r="T6">
        <v>0.20539399999999999</v>
      </c>
    </row>
    <row r="7" spans="1:20" x14ac:dyDescent="0.25">
      <c r="A7">
        <v>2010</v>
      </c>
      <c r="B7">
        <v>0.19752700000000001</v>
      </c>
      <c r="C7">
        <v>0.22684099999999999</v>
      </c>
      <c r="D7">
        <v>0.355018</v>
      </c>
      <c r="E7">
        <v>0.389955</v>
      </c>
      <c r="F7">
        <v>0.36579800000000001</v>
      </c>
      <c r="G7">
        <v>0.217395</v>
      </c>
      <c r="H7">
        <v>-8.4469999999999996E-3</v>
      </c>
      <c r="I7">
        <v>1.272751</v>
      </c>
      <c r="J7">
        <v>1.3273740000000001</v>
      </c>
      <c r="K7">
        <v>1.309958</v>
      </c>
      <c r="L7">
        <v>1.2606790000000001</v>
      </c>
      <c r="M7">
        <v>0.96670199999999995</v>
      </c>
      <c r="N7">
        <v>0.94275100000000001</v>
      </c>
      <c r="O7">
        <v>1.3913500000000001</v>
      </c>
      <c r="P7">
        <v>8.0339999999999995E-2</v>
      </c>
      <c r="Q7">
        <v>55.016739999999999</v>
      </c>
      <c r="R7">
        <v>-0.129243</v>
      </c>
      <c r="S7">
        <v>1.61E-2</v>
      </c>
      <c r="T7">
        <v>0.140906</v>
      </c>
    </row>
    <row r="8" spans="1:20" x14ac:dyDescent="0.25">
      <c r="A8">
        <v>2035</v>
      </c>
      <c r="B8">
        <v>0.104868</v>
      </c>
      <c r="C8">
        <v>7.9372999999999999E-2</v>
      </c>
      <c r="D8">
        <v>0.33249699999999999</v>
      </c>
      <c r="E8">
        <v>0.275723</v>
      </c>
      <c r="F8">
        <v>0.27010899999999999</v>
      </c>
      <c r="G8">
        <v>8.0006999999999995E-2</v>
      </c>
      <c r="H8">
        <v>5.6800000000000004E-4</v>
      </c>
      <c r="I8">
        <v>1.1671530000000001</v>
      </c>
      <c r="J8">
        <v>1.2155629999999999</v>
      </c>
      <c r="K8">
        <v>1.1998489999999999</v>
      </c>
      <c r="L8">
        <v>1.154787</v>
      </c>
      <c r="M8">
        <v>0.87930799999999998</v>
      </c>
      <c r="N8">
        <v>0.855846</v>
      </c>
      <c r="O8">
        <v>1.3066310000000001</v>
      </c>
      <c r="P8">
        <v>0.105515</v>
      </c>
      <c r="Q8">
        <v>25.419080000000001</v>
      </c>
      <c r="R8">
        <v>-5.8791999999999997E-2</v>
      </c>
      <c r="S8">
        <v>1.1131E-2</v>
      </c>
      <c r="T8">
        <v>1.6618999999999998E-2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</row>
    <row r="3" spans="1:20" x14ac:dyDescent="0.25">
      <c r="A3">
        <v>2001</v>
      </c>
      <c r="B3">
        <v>-1.3030999999999999E-2</v>
      </c>
      <c r="C3">
        <v>-4.9104000000000002E-2</v>
      </c>
      <c r="D3">
        <v>-3.0086000000000002E-2</v>
      </c>
      <c r="E3">
        <v>4.4357000000000001E-2</v>
      </c>
      <c r="F3">
        <v>-4.2212E-2</v>
      </c>
      <c r="G3">
        <v>-7.2288000000000005E-2</v>
      </c>
      <c r="H3">
        <v>-2.0794E-2</v>
      </c>
      <c r="I3">
        <v>8.8201000000000002E-2</v>
      </c>
      <c r="J3">
        <v>6.1225000000000002E-2</v>
      </c>
      <c r="K3">
        <v>-2.3096999999999999E-2</v>
      </c>
      <c r="L3">
        <v>0.16232199999999999</v>
      </c>
      <c r="M3">
        <v>0.142401</v>
      </c>
      <c r="N3">
        <v>0.36663299999999999</v>
      </c>
      <c r="O3">
        <v>4.1300000000000001E-4</v>
      </c>
      <c r="P3">
        <v>2.3515999999999999E-2</v>
      </c>
      <c r="Q3">
        <v>-2.7959999999999999E-2</v>
      </c>
      <c r="R3" s="63">
        <v>8.2600000000000002E-5</v>
      </c>
      <c r="S3">
        <v>-4.0629999999999999E-2</v>
      </c>
      <c r="T3">
        <v>-6.9379999999999997E-3</v>
      </c>
    </row>
    <row r="4" spans="1:20" x14ac:dyDescent="0.25">
      <c r="A4">
        <v>2002</v>
      </c>
      <c r="B4">
        <v>-3.4382999999999997E-2</v>
      </c>
      <c r="C4">
        <v>-9.8415000000000002E-2</v>
      </c>
      <c r="D4">
        <v>-7.5951000000000005E-2</v>
      </c>
      <c r="E4">
        <v>6.2258000000000001E-2</v>
      </c>
      <c r="F4">
        <v>-8.8527999999999996E-2</v>
      </c>
      <c r="G4">
        <v>-0.11563</v>
      </c>
      <c r="H4">
        <v>-1.5446E-2</v>
      </c>
      <c r="I4">
        <v>0.15914600000000001</v>
      </c>
      <c r="J4">
        <v>0.12425600000000001</v>
      </c>
      <c r="K4">
        <v>1.4504E-2</v>
      </c>
      <c r="L4">
        <v>0.24582000000000001</v>
      </c>
      <c r="M4">
        <v>0.20075799999999999</v>
      </c>
      <c r="N4">
        <v>0.45827499999999999</v>
      </c>
      <c r="O4">
        <v>2.3179999999999999E-2</v>
      </c>
      <c r="P4">
        <v>8.6750000000000004E-3</v>
      </c>
      <c r="Q4">
        <v>-1.1163400000000001</v>
      </c>
      <c r="R4">
        <v>3.2799999999999999E-3</v>
      </c>
      <c r="S4">
        <v>-3.3678E-2</v>
      </c>
      <c r="T4">
        <v>-1.7926000000000001E-2</v>
      </c>
    </row>
    <row r="5" spans="1:20" x14ac:dyDescent="0.25">
      <c r="A5">
        <v>2003</v>
      </c>
      <c r="B5">
        <v>-5.6238000000000003E-2</v>
      </c>
      <c r="C5">
        <v>-0.13752700000000001</v>
      </c>
      <c r="D5">
        <v>-0.127107</v>
      </c>
      <c r="E5">
        <v>6.2330999999999998E-2</v>
      </c>
      <c r="F5">
        <v>-0.130049</v>
      </c>
      <c r="G5">
        <v>-0.145395</v>
      </c>
      <c r="H5">
        <v>-7.0619999999999997E-3</v>
      </c>
      <c r="I5">
        <v>0.224582</v>
      </c>
      <c r="J5">
        <v>0.184554</v>
      </c>
      <c r="K5">
        <v>5.7193000000000001E-2</v>
      </c>
      <c r="L5">
        <v>0.31911400000000001</v>
      </c>
      <c r="M5">
        <v>0.25463400000000003</v>
      </c>
      <c r="N5">
        <v>0.53317499999999995</v>
      </c>
      <c r="O5">
        <v>6.1088999999999997E-2</v>
      </c>
      <c r="P5">
        <v>3.8930000000000002E-3</v>
      </c>
      <c r="Q5">
        <v>-3.34938</v>
      </c>
      <c r="R5">
        <v>9.5639999999999996E-3</v>
      </c>
      <c r="S5">
        <v>-2.8861999999999999E-2</v>
      </c>
      <c r="T5">
        <v>-2.9003000000000001E-2</v>
      </c>
    </row>
    <row r="6" spans="1:20" x14ac:dyDescent="0.25">
      <c r="A6">
        <v>2005</v>
      </c>
      <c r="B6">
        <v>-9.2300999999999994E-2</v>
      </c>
      <c r="C6">
        <v>-0.18305199999999999</v>
      </c>
      <c r="D6">
        <v>-0.218774</v>
      </c>
      <c r="E6">
        <v>3.4351E-2</v>
      </c>
      <c r="F6">
        <v>-0.18665599999999999</v>
      </c>
      <c r="G6">
        <v>-0.178702</v>
      </c>
      <c r="H6">
        <v>3.9060000000000002E-3</v>
      </c>
      <c r="I6">
        <v>0.332791</v>
      </c>
      <c r="J6">
        <v>0.28812500000000002</v>
      </c>
      <c r="K6">
        <v>0.14307600000000001</v>
      </c>
      <c r="L6">
        <v>0.43293700000000002</v>
      </c>
      <c r="M6">
        <v>0.34126600000000001</v>
      </c>
      <c r="N6">
        <v>0.636911</v>
      </c>
      <c r="O6">
        <v>0.15335399999999999</v>
      </c>
      <c r="P6">
        <v>1.0263E-2</v>
      </c>
      <c r="Q6">
        <v>-10.10379</v>
      </c>
      <c r="R6">
        <v>2.7583E-2</v>
      </c>
      <c r="S6">
        <v>-2.5791000000000001E-2</v>
      </c>
      <c r="T6">
        <v>-4.9352E-2</v>
      </c>
    </row>
    <row r="7" spans="1:20" x14ac:dyDescent="0.25">
      <c r="A7">
        <v>2010</v>
      </c>
      <c r="B7">
        <v>-0.135158</v>
      </c>
      <c r="C7">
        <v>-0.200575</v>
      </c>
      <c r="D7">
        <v>-0.32964700000000002</v>
      </c>
      <c r="E7">
        <v>-5.2373000000000003E-2</v>
      </c>
      <c r="F7">
        <v>-0.22164400000000001</v>
      </c>
      <c r="G7">
        <v>-0.19541</v>
      </c>
      <c r="H7">
        <v>4.6379999999999998E-3</v>
      </c>
      <c r="I7">
        <v>0.46755200000000002</v>
      </c>
      <c r="J7">
        <v>0.42481400000000002</v>
      </c>
      <c r="K7">
        <v>0.27922999999999998</v>
      </c>
      <c r="L7">
        <v>0.56172900000000003</v>
      </c>
      <c r="M7">
        <v>0.44029800000000002</v>
      </c>
      <c r="N7">
        <v>0.72668900000000003</v>
      </c>
      <c r="O7">
        <v>0.31527500000000003</v>
      </c>
      <c r="P7">
        <v>3.5944999999999998E-2</v>
      </c>
      <c r="Q7">
        <v>-27.576930000000001</v>
      </c>
      <c r="R7">
        <v>7.0390999999999995E-2</v>
      </c>
      <c r="S7">
        <v>-3.4863999999999999E-2</v>
      </c>
      <c r="T7">
        <v>-7.5537999999999994E-2</v>
      </c>
    </row>
    <row r="8" spans="1:20" x14ac:dyDescent="0.25">
      <c r="A8">
        <v>2035</v>
      </c>
      <c r="B8">
        <v>-0.143651</v>
      </c>
      <c r="C8">
        <v>-0.188692</v>
      </c>
      <c r="D8">
        <v>-0.39461299999999999</v>
      </c>
      <c r="E8">
        <v>-6.8142999999999995E-2</v>
      </c>
      <c r="F8">
        <v>-0.22441800000000001</v>
      </c>
      <c r="G8">
        <v>-0.18857599999999999</v>
      </c>
      <c r="H8">
        <v>1.05E-4</v>
      </c>
      <c r="I8">
        <v>0.44407000000000002</v>
      </c>
      <c r="J8">
        <v>0.40759000000000001</v>
      </c>
      <c r="K8">
        <v>0.27029500000000001</v>
      </c>
      <c r="L8">
        <v>0.53764900000000004</v>
      </c>
      <c r="M8">
        <v>0.42521900000000001</v>
      </c>
      <c r="N8">
        <v>0.70439200000000002</v>
      </c>
      <c r="O8">
        <v>0.28592400000000001</v>
      </c>
      <c r="P8">
        <v>1.5587E-2</v>
      </c>
      <c r="Q8">
        <v>-33.699629999999999</v>
      </c>
      <c r="R8">
        <v>7.7553999999999998E-2</v>
      </c>
      <c r="S8">
        <v>-3.6123000000000002E-2</v>
      </c>
      <c r="T8">
        <v>-6.5375000000000003E-2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</row>
    <row r="3" spans="1:20" x14ac:dyDescent="0.25">
      <c r="A3">
        <v>2001</v>
      </c>
      <c r="B3">
        <v>-0.55325500000000005</v>
      </c>
      <c r="C3">
        <v>-1.046924</v>
      </c>
      <c r="D3">
        <v>-0.50233399999999995</v>
      </c>
      <c r="E3">
        <v>-3.4935000000000001E-2</v>
      </c>
      <c r="F3">
        <v>-0.62926499999999996</v>
      </c>
      <c r="G3">
        <v>-1.5359670000000001</v>
      </c>
      <c r="H3">
        <v>-0.445129</v>
      </c>
      <c r="I3">
        <v>1.8208800000000001</v>
      </c>
      <c r="J3">
        <v>0.17437800000000001</v>
      </c>
      <c r="K3">
        <v>0.181171</v>
      </c>
      <c r="L3">
        <v>0.154949</v>
      </c>
      <c r="M3">
        <v>0.14570900000000001</v>
      </c>
      <c r="N3">
        <v>0.148534</v>
      </c>
      <c r="O3">
        <v>-0.14030699999999999</v>
      </c>
      <c r="P3">
        <v>-0.32089699999999999</v>
      </c>
      <c r="Q3">
        <v>-58.462429999999998</v>
      </c>
      <c r="R3">
        <v>0.17266999999999999</v>
      </c>
      <c r="S3">
        <v>0.165439</v>
      </c>
      <c r="T3">
        <v>0.43759100000000001</v>
      </c>
    </row>
    <row r="4" spans="1:20" x14ac:dyDescent="0.25">
      <c r="A4">
        <v>2002</v>
      </c>
      <c r="B4">
        <v>-0.79687799999999998</v>
      </c>
      <c r="C4">
        <v>-1.4720679999999999</v>
      </c>
      <c r="D4">
        <v>-0.87495100000000003</v>
      </c>
      <c r="E4">
        <v>-6.6124000000000002E-2</v>
      </c>
      <c r="F4">
        <v>-0.95145599999999997</v>
      </c>
      <c r="G4">
        <v>-1.5425709999999999</v>
      </c>
      <c r="H4">
        <v>-6.4176999999999998E-2</v>
      </c>
      <c r="I4">
        <v>1.8265450000000001</v>
      </c>
      <c r="J4">
        <v>0.20863899999999999</v>
      </c>
      <c r="K4">
        <v>0.21182000000000001</v>
      </c>
      <c r="L4">
        <v>0.1903</v>
      </c>
      <c r="M4">
        <v>0.17385700000000001</v>
      </c>
      <c r="N4">
        <v>0.17601</v>
      </c>
      <c r="O4">
        <v>0.124209</v>
      </c>
      <c r="P4">
        <v>-8.7426000000000004E-2</v>
      </c>
      <c r="Q4">
        <v>-125.5273</v>
      </c>
      <c r="R4">
        <v>0.35588599999999998</v>
      </c>
      <c r="S4">
        <v>0.23603399999999999</v>
      </c>
      <c r="T4">
        <v>0.28826600000000002</v>
      </c>
    </row>
    <row r="5" spans="1:20" x14ac:dyDescent="0.25">
      <c r="A5">
        <v>2003</v>
      </c>
      <c r="B5">
        <v>-0.89838300000000004</v>
      </c>
      <c r="C5">
        <v>-1.6255360000000001</v>
      </c>
      <c r="D5">
        <v>-1.0776209999999999</v>
      </c>
      <c r="E5">
        <v>-8.7526999999999994E-2</v>
      </c>
      <c r="F5">
        <v>-1.0750219999999999</v>
      </c>
      <c r="G5">
        <v>-1.5500259999999999</v>
      </c>
      <c r="H5">
        <v>6.8738999999999995E-2</v>
      </c>
      <c r="I5">
        <v>1.817984</v>
      </c>
      <c r="J5">
        <v>0.21888099999999999</v>
      </c>
      <c r="K5">
        <v>0.217056</v>
      </c>
      <c r="L5">
        <v>0.205651</v>
      </c>
      <c r="M5">
        <v>0.17207500000000001</v>
      </c>
      <c r="N5">
        <v>0.16972999999999999</v>
      </c>
      <c r="O5">
        <v>0.34986800000000001</v>
      </c>
      <c r="P5">
        <v>0.132524</v>
      </c>
      <c r="Q5">
        <v>-179.66210000000001</v>
      </c>
      <c r="R5">
        <v>0.49229099999999998</v>
      </c>
      <c r="S5">
        <v>0.261739</v>
      </c>
      <c r="T5">
        <v>0.17097000000000001</v>
      </c>
    </row>
    <row r="6" spans="1:20" x14ac:dyDescent="0.25">
      <c r="A6">
        <v>2005</v>
      </c>
      <c r="B6">
        <v>-0.96207900000000002</v>
      </c>
      <c r="C6">
        <v>-1.70353</v>
      </c>
      <c r="D6">
        <v>-1.185222</v>
      </c>
      <c r="E6">
        <v>-0.110272</v>
      </c>
      <c r="F6">
        <v>-1.1054919999999999</v>
      </c>
      <c r="G6">
        <v>-1.61283</v>
      </c>
      <c r="H6">
        <v>8.2621E-2</v>
      </c>
      <c r="I6">
        <v>1.7985009999999999</v>
      </c>
      <c r="J6">
        <v>0.23960600000000001</v>
      </c>
      <c r="K6">
        <v>0.23089100000000001</v>
      </c>
      <c r="L6">
        <v>0.23391000000000001</v>
      </c>
      <c r="M6">
        <v>0.164076</v>
      </c>
      <c r="N6">
        <v>0.152228</v>
      </c>
      <c r="O6">
        <v>0.52631399999999995</v>
      </c>
      <c r="P6">
        <v>0.294742</v>
      </c>
      <c r="Q6">
        <v>-242.17789999999999</v>
      </c>
      <c r="R6">
        <v>0.632328</v>
      </c>
      <c r="S6">
        <v>0.26494600000000001</v>
      </c>
      <c r="T6">
        <v>8.8380000000000004E-3</v>
      </c>
    </row>
    <row r="7" spans="1:20" x14ac:dyDescent="0.25">
      <c r="A7">
        <v>2010</v>
      </c>
      <c r="B7">
        <v>-0.88975700000000002</v>
      </c>
      <c r="C7">
        <v>-1.559542</v>
      </c>
      <c r="D7">
        <v>-1.04494</v>
      </c>
      <c r="E7">
        <v>-0.11596099999999999</v>
      </c>
      <c r="F7">
        <v>-0.96165</v>
      </c>
      <c r="G7">
        <v>-1.5209680000000001</v>
      </c>
      <c r="H7">
        <v>3.5104999999999997E-2</v>
      </c>
      <c r="I7">
        <v>1.6420269999999999</v>
      </c>
      <c r="J7">
        <v>0.219999</v>
      </c>
      <c r="K7">
        <v>0.20982300000000001</v>
      </c>
      <c r="L7">
        <v>0.21790799999999999</v>
      </c>
      <c r="M7">
        <v>0.13953099999999999</v>
      </c>
      <c r="N7">
        <v>0.12379900000000001</v>
      </c>
      <c r="O7">
        <v>0.47685899999999998</v>
      </c>
      <c r="P7">
        <v>0.26647599999999999</v>
      </c>
      <c r="Q7">
        <v>-256.62979999999999</v>
      </c>
      <c r="R7">
        <v>0.63423099999999999</v>
      </c>
      <c r="S7">
        <v>0.22692599999999999</v>
      </c>
      <c r="T7">
        <v>-2.2637999999999998E-2</v>
      </c>
    </row>
    <row r="8" spans="1:20" x14ac:dyDescent="0.25">
      <c r="A8">
        <v>2035</v>
      </c>
      <c r="B8">
        <v>-0.480464</v>
      </c>
      <c r="C8">
        <v>-0.82005399999999995</v>
      </c>
      <c r="D8">
        <v>-0.191464</v>
      </c>
      <c r="E8">
        <v>-0.37778099999999998</v>
      </c>
      <c r="F8">
        <v>-0.48110799999999998</v>
      </c>
      <c r="G8">
        <v>-0.82107200000000002</v>
      </c>
      <c r="H8">
        <v>-9.2000000000000003E-4</v>
      </c>
      <c r="I8">
        <v>1.5443450000000001</v>
      </c>
      <c r="J8">
        <v>0.70905600000000002</v>
      </c>
      <c r="K8">
        <v>0.70174599999999998</v>
      </c>
      <c r="L8">
        <v>0.67310700000000001</v>
      </c>
      <c r="M8">
        <v>0.49778600000000001</v>
      </c>
      <c r="N8">
        <v>0.48056599999999999</v>
      </c>
      <c r="O8">
        <v>0.86390599999999995</v>
      </c>
      <c r="P8">
        <v>0.16103000000000001</v>
      </c>
      <c r="Q8">
        <v>-149.8322</v>
      </c>
      <c r="R8">
        <v>0.34331600000000001</v>
      </c>
      <c r="S8">
        <v>4.5884000000000001E-2</v>
      </c>
      <c r="T8">
        <v>8.7612999999999996E-2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170</v>
      </c>
      <c r="I1" t="s">
        <v>171</v>
      </c>
      <c r="J1" t="s">
        <v>172</v>
      </c>
      <c r="K1" t="s">
        <v>173</v>
      </c>
      <c r="L1" t="s">
        <v>174</v>
      </c>
      <c r="M1" t="s">
        <v>175</v>
      </c>
      <c r="N1" t="s">
        <v>176</v>
      </c>
      <c r="O1" t="s">
        <v>177</v>
      </c>
      <c r="P1" t="s">
        <v>178</v>
      </c>
      <c r="Q1" t="s">
        <v>179</v>
      </c>
      <c r="R1" t="s">
        <v>180</v>
      </c>
      <c r="S1" t="s">
        <v>181</v>
      </c>
      <c r="T1" t="s">
        <v>182</v>
      </c>
    </row>
    <row r="3" spans="1:20" x14ac:dyDescent="0.25">
      <c r="A3">
        <v>2001</v>
      </c>
      <c r="B3">
        <v>0.64016300000000004</v>
      </c>
      <c r="C3">
        <v>1.3096669999999999</v>
      </c>
      <c r="D3">
        <v>0.34030300000000002</v>
      </c>
      <c r="E3">
        <v>-4.8353E-2</v>
      </c>
      <c r="F3">
        <v>0.69127899999999998</v>
      </c>
      <c r="G3">
        <v>1.931899</v>
      </c>
      <c r="H3">
        <v>0.54708999999999997</v>
      </c>
      <c r="I3">
        <v>0.29074299999999997</v>
      </c>
      <c r="J3">
        <v>0.30934400000000001</v>
      </c>
      <c r="K3">
        <v>0.31471300000000002</v>
      </c>
      <c r="L3">
        <v>0.28660799999999997</v>
      </c>
      <c r="M3">
        <v>0.20172399999999999</v>
      </c>
      <c r="N3">
        <v>0.18639600000000001</v>
      </c>
      <c r="O3">
        <v>0.61172400000000005</v>
      </c>
      <c r="P3">
        <v>0.29607899999999998</v>
      </c>
      <c r="Q3">
        <v>83.049909999999997</v>
      </c>
      <c r="R3">
        <v>-0.24510599999999999</v>
      </c>
      <c r="S3">
        <v>-0.16786400000000001</v>
      </c>
      <c r="T3">
        <v>-0.67519700000000005</v>
      </c>
    </row>
    <row r="4" spans="1:20" x14ac:dyDescent="0.25">
      <c r="A4">
        <v>2002</v>
      </c>
      <c r="B4">
        <v>0.99574700000000005</v>
      </c>
      <c r="C4">
        <v>2.059904</v>
      </c>
      <c r="D4">
        <v>0.69018999999999997</v>
      </c>
      <c r="E4">
        <v>-0.17369100000000001</v>
      </c>
      <c r="F4">
        <v>1.1554439999999999</v>
      </c>
      <c r="G4">
        <v>2.248999</v>
      </c>
      <c r="H4">
        <v>0.165744</v>
      </c>
      <c r="I4">
        <v>0.81991599999999998</v>
      </c>
      <c r="J4">
        <v>0.87181500000000001</v>
      </c>
      <c r="K4">
        <v>0.88266500000000003</v>
      </c>
      <c r="L4">
        <v>0.81080700000000006</v>
      </c>
      <c r="M4">
        <v>0.58499299999999999</v>
      </c>
      <c r="N4">
        <v>0.54866099999999995</v>
      </c>
      <c r="O4">
        <v>1.319823</v>
      </c>
      <c r="P4">
        <v>0.43333300000000002</v>
      </c>
      <c r="Q4">
        <v>178.8494</v>
      </c>
      <c r="R4">
        <v>-0.50616000000000005</v>
      </c>
      <c r="S4">
        <v>-0.29711300000000002</v>
      </c>
      <c r="T4">
        <v>-0.43690800000000002</v>
      </c>
    </row>
    <row r="5" spans="1:20" x14ac:dyDescent="0.25">
      <c r="A5">
        <v>2003</v>
      </c>
      <c r="B5">
        <v>1.169788</v>
      </c>
      <c r="C5">
        <v>2.479425</v>
      </c>
      <c r="D5">
        <v>0.93706699999999998</v>
      </c>
      <c r="E5">
        <v>-0.38402199999999997</v>
      </c>
      <c r="F5">
        <v>1.4207510000000001</v>
      </c>
      <c r="G5">
        <v>2.4609079999999999</v>
      </c>
      <c r="H5">
        <v>-1.6197E-2</v>
      </c>
      <c r="I5">
        <v>1.515431</v>
      </c>
      <c r="J5">
        <v>1.6082510000000001</v>
      </c>
      <c r="K5">
        <v>1.6210249999999999</v>
      </c>
      <c r="L5">
        <v>1.5012749999999999</v>
      </c>
      <c r="M5">
        <v>1.1021860000000001</v>
      </c>
      <c r="N5">
        <v>1.044888</v>
      </c>
      <c r="O5">
        <v>2.120101</v>
      </c>
      <c r="P5">
        <v>0.49111500000000002</v>
      </c>
      <c r="Q5">
        <v>253.29910000000001</v>
      </c>
      <c r="R5">
        <v>-0.69150100000000003</v>
      </c>
      <c r="S5">
        <v>-0.39793000000000001</v>
      </c>
      <c r="T5">
        <v>-0.29128599999999999</v>
      </c>
    </row>
    <row r="6" spans="1:20" x14ac:dyDescent="0.25">
      <c r="A6">
        <v>2005</v>
      </c>
      <c r="B6">
        <v>1.1801520000000001</v>
      </c>
      <c r="C6">
        <v>2.7586339999999998</v>
      </c>
      <c r="D6">
        <v>1.1126229999999999</v>
      </c>
      <c r="E6">
        <v>-1.0195179999999999</v>
      </c>
      <c r="F6">
        <v>1.561383</v>
      </c>
      <c r="G6">
        <v>2.6099459999999999</v>
      </c>
      <c r="H6">
        <v>-0.12986800000000001</v>
      </c>
      <c r="I6">
        <v>3.1365470000000002</v>
      </c>
      <c r="J6">
        <v>3.310082</v>
      </c>
      <c r="K6">
        <v>3.3111250000000001</v>
      </c>
      <c r="L6">
        <v>3.1108129999999998</v>
      </c>
      <c r="M6">
        <v>2.3308200000000001</v>
      </c>
      <c r="N6">
        <v>2.2402989999999998</v>
      </c>
      <c r="O6">
        <v>3.8421759999999998</v>
      </c>
      <c r="P6">
        <v>0.51403100000000002</v>
      </c>
      <c r="Q6">
        <v>304.8075</v>
      </c>
      <c r="R6">
        <v>-0.78383400000000003</v>
      </c>
      <c r="S6">
        <v>-0.55954000000000004</v>
      </c>
      <c r="T6">
        <v>-0.21726999999999999</v>
      </c>
    </row>
    <row r="7" spans="1:20" x14ac:dyDescent="0.25">
      <c r="A7">
        <v>2010</v>
      </c>
      <c r="B7">
        <v>0.56870799999999999</v>
      </c>
      <c r="C7">
        <v>2.3836949999999999</v>
      </c>
      <c r="D7">
        <v>0.89645200000000003</v>
      </c>
      <c r="E7">
        <v>-2.9386559999999999</v>
      </c>
      <c r="F7">
        <v>1.1679539999999999</v>
      </c>
      <c r="G7">
        <v>2.3250649999999999</v>
      </c>
      <c r="H7">
        <v>-5.1351000000000001E-2</v>
      </c>
      <c r="I7">
        <v>6.5195619999999996</v>
      </c>
      <c r="J7">
        <v>6.7994950000000003</v>
      </c>
      <c r="K7">
        <v>6.7319810000000002</v>
      </c>
      <c r="L7">
        <v>6.455311</v>
      </c>
      <c r="M7">
        <v>4.8929689999999999</v>
      </c>
      <c r="N7">
        <v>4.7620459999999998</v>
      </c>
      <c r="O7">
        <v>7.3183619999999996</v>
      </c>
      <c r="P7">
        <v>0.549396</v>
      </c>
      <c r="Q7">
        <v>102.2337</v>
      </c>
      <c r="R7">
        <v>-0.218973</v>
      </c>
      <c r="S7">
        <v>-0.88730900000000001</v>
      </c>
      <c r="T7">
        <v>-0.49980999999999998</v>
      </c>
    </row>
    <row r="8" spans="1:20" x14ac:dyDescent="0.25">
      <c r="A8">
        <v>2035</v>
      </c>
      <c r="B8">
        <v>8.3374000000000004E-2</v>
      </c>
      <c r="C8">
        <v>1.661662</v>
      </c>
      <c r="D8">
        <v>0.92757199999999995</v>
      </c>
      <c r="E8">
        <v>-3.7771560000000002</v>
      </c>
      <c r="F8">
        <v>0.67193599999999998</v>
      </c>
      <c r="G8">
        <v>1.6648620000000001</v>
      </c>
      <c r="H8">
        <v>2.82E-3</v>
      </c>
      <c r="I8">
        <v>6.4065770000000004</v>
      </c>
      <c r="J8">
        <v>6.6665549999999998</v>
      </c>
      <c r="K8">
        <v>6.5950670000000002</v>
      </c>
      <c r="L8">
        <v>6.3342479999999997</v>
      </c>
      <c r="M8">
        <v>4.8155060000000001</v>
      </c>
      <c r="N8">
        <v>4.6828390000000004</v>
      </c>
      <c r="O8">
        <v>7.3054629999999996</v>
      </c>
      <c r="P8">
        <v>0.66644400000000004</v>
      </c>
      <c r="Q8">
        <v>-64.604309999999998</v>
      </c>
      <c r="R8">
        <v>0.14759</v>
      </c>
      <c r="S8">
        <v>-0.97261500000000001</v>
      </c>
      <c r="T8">
        <v>-1.0738430000000001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</row>
    <row r="3" spans="1:20" x14ac:dyDescent="0.25">
      <c r="A3">
        <v>2001</v>
      </c>
      <c r="B3">
        <v>0.61197699999999999</v>
      </c>
      <c r="C3">
        <v>0.201542</v>
      </c>
      <c r="D3">
        <v>0.28879899999999997</v>
      </c>
      <c r="E3">
        <v>-2.3993E-2</v>
      </c>
      <c r="F3">
        <v>0.32650200000000001</v>
      </c>
      <c r="G3">
        <v>0.29652400000000001</v>
      </c>
      <c r="H3">
        <v>8.4874000000000005E-2</v>
      </c>
      <c r="I3">
        <v>0.15060599999999999</v>
      </c>
      <c r="J3">
        <v>0.16192400000000001</v>
      </c>
      <c r="K3">
        <v>0.16648499999999999</v>
      </c>
      <c r="L3">
        <v>0.14874799999999999</v>
      </c>
      <c r="M3">
        <v>0.100032</v>
      </c>
      <c r="N3">
        <v>9.1424000000000005E-2</v>
      </c>
      <c r="O3">
        <v>0.22400800000000001</v>
      </c>
      <c r="P3">
        <v>5.7426999999999999E-2</v>
      </c>
      <c r="Q3">
        <v>94.108599999999996</v>
      </c>
      <c r="R3">
        <v>-0.27772799999999997</v>
      </c>
      <c r="S3">
        <v>-7.1409E-2</v>
      </c>
      <c r="T3">
        <v>-0.287414</v>
      </c>
    </row>
    <row r="4" spans="1:20" x14ac:dyDescent="0.25">
      <c r="A4">
        <v>2002</v>
      </c>
      <c r="B4">
        <v>0.71119299999999996</v>
      </c>
      <c r="C4">
        <v>0.42311199999999999</v>
      </c>
      <c r="D4">
        <v>0.47637600000000002</v>
      </c>
      <c r="E4">
        <v>-8.5314000000000001E-2</v>
      </c>
      <c r="F4">
        <v>0.48602800000000002</v>
      </c>
      <c r="G4">
        <v>0.50233700000000003</v>
      </c>
      <c r="H4">
        <v>7.0648000000000002E-2</v>
      </c>
      <c r="I4">
        <v>0.40790300000000002</v>
      </c>
      <c r="J4">
        <v>0.43738300000000002</v>
      </c>
      <c r="K4">
        <v>0.44564100000000001</v>
      </c>
      <c r="L4">
        <v>0.40452300000000002</v>
      </c>
      <c r="M4">
        <v>0.286049</v>
      </c>
      <c r="N4">
        <v>0.267515</v>
      </c>
      <c r="O4">
        <v>0.55766899999999997</v>
      </c>
      <c r="P4">
        <v>0.11153100000000001</v>
      </c>
      <c r="Q4">
        <v>161.61600000000001</v>
      </c>
      <c r="R4">
        <v>-0.45287699999999997</v>
      </c>
      <c r="S4">
        <v>-0.119603</v>
      </c>
      <c r="T4">
        <v>-0.13458300000000001</v>
      </c>
    </row>
    <row r="5" spans="1:20" x14ac:dyDescent="0.25">
      <c r="A5">
        <v>2003</v>
      </c>
      <c r="B5">
        <v>0.77088100000000004</v>
      </c>
      <c r="C5">
        <v>0.59202399999999999</v>
      </c>
      <c r="D5">
        <v>0.58540800000000004</v>
      </c>
      <c r="E5">
        <v>-0.187143</v>
      </c>
      <c r="F5">
        <v>0.58529299999999995</v>
      </c>
      <c r="G5">
        <v>0.62534999999999996</v>
      </c>
      <c r="H5">
        <v>2.9682E-2</v>
      </c>
      <c r="I5">
        <v>0.73625700000000005</v>
      </c>
      <c r="J5">
        <v>0.78635600000000005</v>
      </c>
      <c r="K5">
        <v>0.795431</v>
      </c>
      <c r="L5">
        <v>0.73147499999999999</v>
      </c>
      <c r="M5">
        <v>0.53297499999999998</v>
      </c>
      <c r="N5">
        <v>0.505525</v>
      </c>
      <c r="O5">
        <v>0.94415000000000004</v>
      </c>
      <c r="P5">
        <v>0.14754500000000001</v>
      </c>
      <c r="Q5">
        <v>203.86369999999999</v>
      </c>
      <c r="R5">
        <v>-0.54978400000000005</v>
      </c>
      <c r="S5">
        <v>-0.16256999999999999</v>
      </c>
      <c r="T5">
        <v>-4.5527999999999999E-2</v>
      </c>
    </row>
    <row r="6" spans="1:20" x14ac:dyDescent="0.25">
      <c r="A6">
        <v>2005</v>
      </c>
      <c r="B6">
        <v>0.75822599999999996</v>
      </c>
      <c r="C6">
        <v>0.728684</v>
      </c>
      <c r="D6">
        <v>0.64564500000000002</v>
      </c>
      <c r="E6">
        <v>-0.49040800000000001</v>
      </c>
      <c r="F6">
        <v>0.63466599999999995</v>
      </c>
      <c r="G6">
        <v>0.69329300000000005</v>
      </c>
      <c r="H6">
        <v>-3.1498999999999999E-2</v>
      </c>
      <c r="I6">
        <v>1.4815100000000001</v>
      </c>
      <c r="J6">
        <v>1.569042</v>
      </c>
      <c r="K6">
        <v>1.5707059999999999</v>
      </c>
      <c r="L6">
        <v>1.472588</v>
      </c>
      <c r="M6">
        <v>1.1045769999999999</v>
      </c>
      <c r="N6">
        <v>1.0640480000000001</v>
      </c>
      <c r="O6">
        <v>1.7475480000000001</v>
      </c>
      <c r="P6">
        <v>0.17410700000000001</v>
      </c>
      <c r="Q6">
        <v>226.83179999999999</v>
      </c>
      <c r="R6">
        <v>-0.57925599999999999</v>
      </c>
      <c r="S6">
        <v>-0.23778199999999999</v>
      </c>
      <c r="T6">
        <v>2.679E-3</v>
      </c>
    </row>
    <row r="7" spans="1:20" x14ac:dyDescent="0.25">
      <c r="A7">
        <v>2010</v>
      </c>
      <c r="B7">
        <v>0.40844000000000003</v>
      </c>
      <c r="C7">
        <v>0.50880000000000003</v>
      </c>
      <c r="D7">
        <v>0.48213</v>
      </c>
      <c r="E7">
        <v>-1.3611880000000001</v>
      </c>
      <c r="F7">
        <v>0.39738499999999999</v>
      </c>
      <c r="G7">
        <v>0.48468299999999997</v>
      </c>
      <c r="H7">
        <v>-2.1510000000000001E-2</v>
      </c>
      <c r="I7">
        <v>2.8988670000000001</v>
      </c>
      <c r="J7">
        <v>3.0257420000000002</v>
      </c>
      <c r="K7">
        <v>2.991892</v>
      </c>
      <c r="L7">
        <v>2.8729689999999999</v>
      </c>
      <c r="M7">
        <v>2.1822859999999999</v>
      </c>
      <c r="N7">
        <v>2.1277249999999999</v>
      </c>
      <c r="O7">
        <v>3.1811759999999998</v>
      </c>
      <c r="P7">
        <v>0.183786</v>
      </c>
      <c r="Q7">
        <v>110.4285</v>
      </c>
      <c r="R7">
        <v>-0.254106</v>
      </c>
      <c r="S7">
        <v>-0.37681599999999998</v>
      </c>
      <c r="T7">
        <v>-0.141703</v>
      </c>
    </row>
    <row r="8" spans="1:20" x14ac:dyDescent="0.25">
      <c r="A8">
        <v>2035</v>
      </c>
      <c r="B8">
        <v>7.7134999999999995E-2</v>
      </c>
      <c r="C8">
        <v>2.8111000000000001E-2</v>
      </c>
      <c r="D8">
        <v>0.172787</v>
      </c>
      <c r="E8">
        <v>-0.98333800000000005</v>
      </c>
      <c r="F8">
        <v>4.1223000000000003E-2</v>
      </c>
      <c r="G8">
        <v>3.0117000000000001E-2</v>
      </c>
      <c r="H8">
        <v>1.797E-3</v>
      </c>
      <c r="I8">
        <v>1.4771259999999999</v>
      </c>
      <c r="J8">
        <v>1.5357860000000001</v>
      </c>
      <c r="K8">
        <v>1.5137769999999999</v>
      </c>
      <c r="L8">
        <v>1.461036</v>
      </c>
      <c r="M8">
        <v>1.1240859999999999</v>
      </c>
      <c r="N8">
        <v>1.095982</v>
      </c>
      <c r="O8">
        <v>1.645896</v>
      </c>
      <c r="P8">
        <v>0.13014899999999999</v>
      </c>
      <c r="Q8">
        <v>18.230090000000001</v>
      </c>
      <c r="R8">
        <v>-4.2377999999999999E-2</v>
      </c>
      <c r="S8">
        <v>-0.22323499999999999</v>
      </c>
      <c r="T8">
        <v>-0.31148900000000002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8"/>
  <sheetViews>
    <sheetView workbookViewId="0">
      <selection activeCell="I22" sqref="I22"/>
    </sheetView>
  </sheetViews>
  <sheetFormatPr baseColWidth="10" defaultColWidth="11" defaultRowHeight="15.75" x14ac:dyDescent="0.25"/>
  <sheetData>
    <row r="1" spans="1:20" x14ac:dyDescent="0.25"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</row>
    <row r="3" spans="1:20" x14ac:dyDescent="0.25">
      <c r="A3">
        <v>2001</v>
      </c>
      <c r="B3">
        <v>0.16722999999999999</v>
      </c>
      <c r="C3">
        <v>-7.8133999999999995E-2</v>
      </c>
      <c r="D3">
        <v>9.6310999999999994E-2</v>
      </c>
      <c r="E3">
        <v>0.82613000000000003</v>
      </c>
      <c r="F3">
        <v>2.085E-3</v>
      </c>
      <c r="G3">
        <v>-0.11496099999999999</v>
      </c>
      <c r="H3">
        <v>-3.3043999999999997E-2</v>
      </c>
      <c r="I3">
        <v>0.39581300000000003</v>
      </c>
      <c r="J3">
        <v>0.207922</v>
      </c>
      <c r="K3">
        <v>0.29219200000000001</v>
      </c>
      <c r="L3">
        <v>0.43303900000000001</v>
      </c>
      <c r="M3">
        <v>1.4615419999999999</v>
      </c>
      <c r="N3">
        <v>1.489115</v>
      </c>
      <c r="O3">
        <v>7.1327000000000002E-2</v>
      </c>
      <c r="P3">
        <v>-0.220221</v>
      </c>
      <c r="Q3">
        <v>30.122209999999999</v>
      </c>
      <c r="R3">
        <v>-8.8925000000000004E-2</v>
      </c>
      <c r="S3">
        <v>0.165437</v>
      </c>
      <c r="T3">
        <v>6.5904000000000004E-2</v>
      </c>
    </row>
    <row r="4" spans="1:20" x14ac:dyDescent="0.25">
      <c r="A4">
        <v>2002</v>
      </c>
      <c r="B4">
        <v>0.32831100000000002</v>
      </c>
      <c r="C4">
        <v>-1.8304000000000001E-2</v>
      </c>
      <c r="D4">
        <v>0.241226</v>
      </c>
      <c r="E4">
        <v>1.350344</v>
      </c>
      <c r="F4">
        <v>9.9819000000000005E-2</v>
      </c>
      <c r="G4">
        <v>1.9550999999999999E-2</v>
      </c>
      <c r="H4">
        <v>3.3919999999999999E-2</v>
      </c>
      <c r="I4">
        <v>0.66905400000000004</v>
      </c>
      <c r="J4">
        <v>0.48577300000000001</v>
      </c>
      <c r="K4">
        <v>0.54980600000000002</v>
      </c>
      <c r="L4">
        <v>0.71066399999999996</v>
      </c>
      <c r="M4">
        <v>1.704283</v>
      </c>
      <c r="N4">
        <v>1.7492509999999999</v>
      </c>
      <c r="O4">
        <v>0.33197599999999999</v>
      </c>
      <c r="P4">
        <v>-0.216639</v>
      </c>
      <c r="Q4">
        <v>75.753339999999994</v>
      </c>
      <c r="R4">
        <v>-0.21573400000000001</v>
      </c>
      <c r="S4">
        <v>0.26425599999999999</v>
      </c>
      <c r="T4">
        <v>0.19437299999999999</v>
      </c>
    </row>
    <row r="5" spans="1:20" x14ac:dyDescent="0.25">
      <c r="A5">
        <v>2003</v>
      </c>
      <c r="B5">
        <v>0.473055</v>
      </c>
      <c r="C5">
        <v>0.115416</v>
      </c>
      <c r="D5">
        <v>0.389598</v>
      </c>
      <c r="E5">
        <v>1.6497109999999999</v>
      </c>
      <c r="F5">
        <v>0.225025</v>
      </c>
      <c r="G5">
        <v>0.17809700000000001</v>
      </c>
      <c r="H5">
        <v>5.6076000000000001E-2</v>
      </c>
      <c r="I5">
        <v>1.0221720000000001</v>
      </c>
      <c r="J5">
        <v>0.850047</v>
      </c>
      <c r="K5">
        <v>0.89929400000000004</v>
      </c>
      <c r="L5">
        <v>1.064638</v>
      </c>
      <c r="M5">
        <v>1.9931140000000001</v>
      </c>
      <c r="N5">
        <v>2.0444789999999999</v>
      </c>
      <c r="O5">
        <v>0.72058999999999995</v>
      </c>
      <c r="P5">
        <v>-0.17710999999999999</v>
      </c>
      <c r="Q5">
        <v>124.41500000000001</v>
      </c>
      <c r="R5">
        <v>-0.34390100000000001</v>
      </c>
      <c r="S5">
        <v>0.305533</v>
      </c>
      <c r="T5">
        <v>0.321519</v>
      </c>
    </row>
    <row r="6" spans="1:20" x14ac:dyDescent="0.25">
      <c r="A6">
        <v>2005</v>
      </c>
      <c r="B6">
        <v>0.65873400000000004</v>
      </c>
      <c r="C6">
        <v>0.39959099999999997</v>
      </c>
      <c r="D6">
        <v>0.617367</v>
      </c>
      <c r="E6">
        <v>1.782222</v>
      </c>
      <c r="F6">
        <v>0.43826300000000001</v>
      </c>
      <c r="G6">
        <v>0.430952</v>
      </c>
      <c r="H6">
        <v>2.7986E-2</v>
      </c>
      <c r="I6">
        <v>1.9347920000000001</v>
      </c>
      <c r="J6">
        <v>1.7996380000000001</v>
      </c>
      <c r="K6">
        <v>1.829083</v>
      </c>
      <c r="L6">
        <v>1.9718340000000001</v>
      </c>
      <c r="M6">
        <v>2.6995779999999998</v>
      </c>
      <c r="N6">
        <v>2.7426919999999999</v>
      </c>
      <c r="O6">
        <v>1.736089</v>
      </c>
      <c r="P6">
        <v>-9.1324000000000002E-2</v>
      </c>
      <c r="Q6">
        <v>198.7133</v>
      </c>
      <c r="R6">
        <v>-0.52356899999999995</v>
      </c>
      <c r="S6">
        <v>0.29229300000000003</v>
      </c>
      <c r="T6">
        <v>0.49774000000000002</v>
      </c>
    </row>
    <row r="7" spans="1:20" x14ac:dyDescent="0.25">
      <c r="A7">
        <v>2010</v>
      </c>
      <c r="B7">
        <v>0.53301699999999996</v>
      </c>
      <c r="C7">
        <v>0.54630800000000002</v>
      </c>
      <c r="D7">
        <v>0.72202299999999997</v>
      </c>
      <c r="E7">
        <v>0.85886399999999996</v>
      </c>
      <c r="F7">
        <v>0.49058400000000002</v>
      </c>
      <c r="G7">
        <v>0.51253700000000002</v>
      </c>
      <c r="H7">
        <v>-3.0112E-2</v>
      </c>
      <c r="I7">
        <v>4.4619479999999996</v>
      </c>
      <c r="J7">
        <v>4.4210690000000001</v>
      </c>
      <c r="K7">
        <v>4.4073419999999999</v>
      </c>
      <c r="L7">
        <v>4.4692179999999997</v>
      </c>
      <c r="M7">
        <v>4.6026749999999996</v>
      </c>
      <c r="N7">
        <v>4.598738</v>
      </c>
      <c r="O7">
        <v>4.4350290000000001</v>
      </c>
      <c r="P7">
        <v>2.6518E-2</v>
      </c>
      <c r="Q7">
        <v>170.0547</v>
      </c>
      <c r="R7">
        <v>-0.40745599999999998</v>
      </c>
      <c r="S7">
        <v>8.5140999999999994E-2</v>
      </c>
      <c r="T7">
        <v>0.487176</v>
      </c>
    </row>
    <row r="8" spans="1:20" x14ac:dyDescent="0.25">
      <c r="A8">
        <v>2035</v>
      </c>
      <c r="B8">
        <v>2.9491E-2</v>
      </c>
      <c r="C8">
        <v>-5.2482000000000001E-2</v>
      </c>
      <c r="D8">
        <v>0.60619400000000001</v>
      </c>
      <c r="E8">
        <v>-0.180725</v>
      </c>
      <c r="F8">
        <v>5.0932999999999999E-2</v>
      </c>
      <c r="G8">
        <v>-5.0077000000000003E-2</v>
      </c>
      <c r="H8">
        <v>2.1559999999999999E-3</v>
      </c>
      <c r="I8">
        <v>5.2049430000000001</v>
      </c>
      <c r="J8">
        <v>5.185073</v>
      </c>
      <c r="K8">
        <v>5.1595050000000002</v>
      </c>
      <c r="L8">
        <v>5.1977880000000001</v>
      </c>
      <c r="M8">
        <v>5.1461870000000003</v>
      </c>
      <c r="N8">
        <v>5.12235</v>
      </c>
      <c r="O8">
        <v>5.29183</v>
      </c>
      <c r="P8">
        <v>0.125833</v>
      </c>
      <c r="Q8">
        <v>-4.6716899999999999</v>
      </c>
      <c r="R8">
        <v>9.4059999999999994E-3</v>
      </c>
      <c r="S8">
        <v>-4.7923E-2</v>
      </c>
      <c r="T8">
        <v>-2.9274000000000001E-2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20" x14ac:dyDescent="0.25">
      <c r="B1" t="s">
        <v>183</v>
      </c>
      <c r="C1" t="s">
        <v>184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190</v>
      </c>
      <c r="J1" t="s">
        <v>191</v>
      </c>
      <c r="K1" t="s">
        <v>192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  <c r="Q1" t="s">
        <v>198</v>
      </c>
      <c r="R1" t="s">
        <v>199</v>
      </c>
      <c r="S1" t="s">
        <v>200</v>
      </c>
      <c r="T1" t="s">
        <v>201</v>
      </c>
    </row>
    <row r="3" spans="1:20" x14ac:dyDescent="0.25">
      <c r="A3">
        <v>2001</v>
      </c>
      <c r="B3">
        <v>0.167077</v>
      </c>
      <c r="C3">
        <v>0.27658899999999997</v>
      </c>
      <c r="D3">
        <v>4.7262999999999999E-2</v>
      </c>
      <c r="E3">
        <v>0.11831800000000001</v>
      </c>
      <c r="F3">
        <v>0.122014</v>
      </c>
      <c r="G3">
        <v>0.40698000000000001</v>
      </c>
      <c r="H3">
        <v>0.116386</v>
      </c>
      <c r="I3">
        <v>-0.733151</v>
      </c>
      <c r="J3">
        <v>-0.77634400000000003</v>
      </c>
      <c r="K3">
        <v>-0.79258799999999996</v>
      </c>
      <c r="L3">
        <v>-0.71760000000000002</v>
      </c>
      <c r="M3">
        <v>-0.49146899999999999</v>
      </c>
      <c r="N3">
        <v>-0.44538899999999998</v>
      </c>
      <c r="O3">
        <v>-0.54069500000000004</v>
      </c>
      <c r="P3">
        <v>-1.250945</v>
      </c>
      <c r="Q3">
        <v>26.385259999999999</v>
      </c>
      <c r="R3">
        <v>-7.7895000000000006E-2</v>
      </c>
      <c r="S3">
        <v>-1.9137000000000001E-2</v>
      </c>
      <c r="T3">
        <v>-0.67669999999999997</v>
      </c>
    </row>
    <row r="4" spans="1:20" x14ac:dyDescent="0.25">
      <c r="A4">
        <v>2002</v>
      </c>
      <c r="B4">
        <v>0.41193099999999999</v>
      </c>
      <c r="C4">
        <v>0.65243799999999996</v>
      </c>
      <c r="D4">
        <v>0.20732200000000001</v>
      </c>
      <c r="E4">
        <v>0.324961</v>
      </c>
      <c r="F4">
        <v>0.33145000000000002</v>
      </c>
      <c r="G4">
        <v>0.79505800000000004</v>
      </c>
      <c r="H4">
        <v>0.12681100000000001</v>
      </c>
      <c r="I4">
        <v>-1.4309350000000001</v>
      </c>
      <c r="J4">
        <v>-1.5079020000000001</v>
      </c>
      <c r="K4">
        <v>-1.5234540000000001</v>
      </c>
      <c r="L4">
        <v>-1.405599</v>
      </c>
      <c r="M4">
        <v>-1.0018199999999999</v>
      </c>
      <c r="N4">
        <v>-0.93167800000000001</v>
      </c>
      <c r="O4">
        <v>-0.99534400000000001</v>
      </c>
      <c r="P4">
        <v>-0.97280800000000001</v>
      </c>
      <c r="Q4">
        <v>76.825909999999993</v>
      </c>
      <c r="R4">
        <v>-0.21978200000000001</v>
      </c>
      <c r="S4">
        <v>-3.0877000000000002E-2</v>
      </c>
      <c r="T4">
        <v>-0.40058899999999997</v>
      </c>
    </row>
    <row r="5" spans="1:20" x14ac:dyDescent="0.25">
      <c r="A5">
        <v>2003</v>
      </c>
      <c r="B5">
        <v>0.65978700000000001</v>
      </c>
      <c r="C5">
        <v>1.0035620000000001</v>
      </c>
      <c r="D5">
        <v>0.41661799999999999</v>
      </c>
      <c r="E5">
        <v>0.58249099999999998</v>
      </c>
      <c r="F5">
        <v>0.556145</v>
      </c>
      <c r="G5">
        <v>1.096471</v>
      </c>
      <c r="H5">
        <v>8.2363000000000006E-2</v>
      </c>
      <c r="I5">
        <v>-2.0358390000000002</v>
      </c>
      <c r="J5">
        <v>-2.1340499999999998</v>
      </c>
      <c r="K5">
        <v>-2.1381420000000002</v>
      </c>
      <c r="L5">
        <v>-2.0031430000000001</v>
      </c>
      <c r="M5">
        <v>-1.4628749999999999</v>
      </c>
      <c r="N5">
        <v>-1.382673</v>
      </c>
      <c r="O5">
        <v>-1.414876</v>
      </c>
      <c r="P5">
        <v>-0.77306299999999994</v>
      </c>
      <c r="Q5">
        <v>141.2705</v>
      </c>
      <c r="R5">
        <v>-0.39342300000000002</v>
      </c>
      <c r="S5">
        <v>-2.9295000000000002E-2</v>
      </c>
      <c r="T5">
        <v>-0.193074</v>
      </c>
    </row>
    <row r="6" spans="1:20" x14ac:dyDescent="0.25">
      <c r="A6">
        <v>2005</v>
      </c>
      <c r="B6">
        <v>1.0364279999999999</v>
      </c>
      <c r="C6">
        <v>1.4576579999999999</v>
      </c>
      <c r="D6">
        <v>0.78204499999999999</v>
      </c>
      <c r="E6">
        <v>1.12652</v>
      </c>
      <c r="F6">
        <v>0.89226799999999995</v>
      </c>
      <c r="G6">
        <v>1.4376629999999999</v>
      </c>
      <c r="H6">
        <v>-1.7666000000000001E-2</v>
      </c>
      <c r="I6">
        <v>-2.9269720000000001</v>
      </c>
      <c r="J6">
        <v>-3.0396510000000001</v>
      </c>
      <c r="K6">
        <v>-3.0105819999999999</v>
      </c>
      <c r="L6">
        <v>-2.8816090000000001</v>
      </c>
      <c r="M6">
        <v>-2.1526890000000001</v>
      </c>
      <c r="N6">
        <v>-2.0698729999999999</v>
      </c>
      <c r="O6">
        <v>-2.1352730000000002</v>
      </c>
      <c r="P6">
        <v>-0.61210600000000004</v>
      </c>
      <c r="Q6">
        <v>271.19920000000002</v>
      </c>
      <c r="R6">
        <v>-0.72299400000000003</v>
      </c>
      <c r="S6">
        <v>1.4952E-2</v>
      </c>
      <c r="T6">
        <v>3.7567999999999997E-2</v>
      </c>
    </row>
    <row r="7" spans="1:20" x14ac:dyDescent="0.25">
      <c r="A7">
        <v>2010</v>
      </c>
      <c r="B7">
        <v>1.3001609999999999</v>
      </c>
      <c r="C7">
        <v>1.5451280000000001</v>
      </c>
      <c r="D7">
        <v>0.91714099999999998</v>
      </c>
      <c r="E7">
        <v>2.0558689999999999</v>
      </c>
      <c r="F7">
        <v>1.018003</v>
      </c>
      <c r="G7">
        <v>1.4942820000000001</v>
      </c>
      <c r="H7">
        <v>-4.4899000000000001E-2</v>
      </c>
      <c r="I7">
        <v>-3.8889960000000001</v>
      </c>
      <c r="J7">
        <v>-4.0035119999999997</v>
      </c>
      <c r="K7">
        <v>-3.933227</v>
      </c>
      <c r="L7">
        <v>-3.823026</v>
      </c>
      <c r="M7">
        <v>-2.8649770000000001</v>
      </c>
      <c r="N7">
        <v>-2.7759070000000001</v>
      </c>
      <c r="O7">
        <v>-3.2048800000000002</v>
      </c>
      <c r="P7">
        <v>-0.754251</v>
      </c>
      <c r="Q7">
        <v>428.07960000000003</v>
      </c>
      <c r="R7">
        <v>-1.068972</v>
      </c>
      <c r="S7">
        <v>0.20019300000000001</v>
      </c>
      <c r="T7">
        <v>8.4080000000000002E-2</v>
      </c>
    </row>
    <row r="8" spans="1:20" x14ac:dyDescent="0.25">
      <c r="A8">
        <v>2035</v>
      </c>
      <c r="B8">
        <v>1.377521</v>
      </c>
      <c r="C8">
        <v>1.626539</v>
      </c>
      <c r="D8">
        <v>0.426506</v>
      </c>
      <c r="E8">
        <v>2.6290580000000001</v>
      </c>
      <c r="F8">
        <v>1.0625519999999999</v>
      </c>
      <c r="G8">
        <v>1.6258330000000001</v>
      </c>
      <c r="H8">
        <v>-6.2299999999999996E-4</v>
      </c>
      <c r="I8">
        <v>-4.3142699999999996</v>
      </c>
      <c r="J8">
        <v>-4.4666639999999997</v>
      </c>
      <c r="K8">
        <v>-4.399934</v>
      </c>
      <c r="L8">
        <v>-4.2516629999999997</v>
      </c>
      <c r="M8">
        <v>-3.2056659999999999</v>
      </c>
      <c r="N8">
        <v>-3.1066120000000002</v>
      </c>
      <c r="O8">
        <v>-3.7219570000000002</v>
      </c>
      <c r="P8">
        <v>-0.80250299999999997</v>
      </c>
      <c r="Q8">
        <v>462.02929999999998</v>
      </c>
      <c r="R8">
        <v>-1.0603149999999999</v>
      </c>
      <c r="S8">
        <v>0.31957099999999999</v>
      </c>
      <c r="T8">
        <v>0.21578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24</vt:i4>
      </vt:variant>
    </vt:vector>
  </HeadingPairs>
  <TitlesOfParts>
    <vt:vector size="24" baseType="lpstr">
      <vt:lpstr>ResultsEXR10</vt:lpstr>
      <vt:lpstr>ResultsEXPG1</vt:lpstr>
      <vt:lpstr>ResultsRSSC1</vt:lpstr>
      <vt:lpstr>ResultsVAT1</vt:lpstr>
      <vt:lpstr>ResultsINCT1</vt:lpstr>
      <vt:lpstr>ResultsWD1</vt:lpstr>
      <vt:lpstr>ResultsFF10</vt:lpstr>
      <vt:lpstr>ResultsCT1</vt:lpstr>
      <vt:lpstr>CT1</vt:lpstr>
      <vt:lpstr>WD1</vt:lpstr>
      <vt:lpstr>FF10</vt:lpstr>
      <vt:lpstr>VAT1</vt:lpstr>
      <vt:lpstr>INCT1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2019-03-07T11:04:43Z</dcterms:modified>
</cp:coreProperties>
</file>