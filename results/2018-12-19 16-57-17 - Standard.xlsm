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deline.gueret\Documents\GITHUB\THREEME_V3\results\"/>
    </mc:Choice>
  </mc:AlternateContent>
  <bookViews>
    <workbookView xWindow="480" yWindow="480" windowWidth="19410" windowHeight="11010" tabRatio="500" firstSheet="2" activeTab="2"/>
  </bookViews>
  <sheets>
    <sheet name="ResultsEXR10" sheetId="7" r:id="rId1"/>
    <sheet name="ResultsEXPG1" sheetId="13" r:id="rId2"/>
    <sheet name="ResultsRSSC1" sheetId="18" r:id="rId3"/>
    <sheet name="EXPG1" sheetId="25" state="hidden" r:id="rId4"/>
    <sheet name="CSE" sheetId="19" state="hidden" r:id="rId5"/>
    <sheet name="ELEC" sheetId="20" state="hidden" r:id="rId6"/>
    <sheet name="EXR10" sheetId="12" state="hidden" r:id="rId7"/>
    <sheet name="RSSC1" sheetId="15" state="hidden" r:id="rId8"/>
    <sheet name="ResultsCSE" sheetId="16" state="hidden" r:id="rId9"/>
    <sheet name="ResultsELEC" sheetId="17" state="hidden" r:id="rId10"/>
    <sheet name="VAT" sheetId="22" state="hidden" r:id="rId11"/>
    <sheet name="IAPU" sheetId="23" state="hidden" r:id="rId12"/>
    <sheet name="ResultsVAT" sheetId="21" state="hidden" r:id="rId13"/>
    <sheet name="ResultsIAPU" sheetId="24" state="hidden" r:id="rId14"/>
  </sheets>
  <calcPr calcId="162913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3" l="1" a="1"/>
  <c r="C2" i="13" s="1"/>
  <c r="E20" i="13" l="1"/>
  <c r="C19" i="13"/>
  <c r="G17" i="13"/>
  <c r="E16" i="13"/>
  <c r="C15" i="13"/>
  <c r="G13" i="13"/>
  <c r="E12" i="13"/>
  <c r="C11" i="13"/>
  <c r="G9" i="13"/>
  <c r="E8" i="13"/>
  <c r="C7" i="13"/>
  <c r="G5" i="13"/>
  <c r="E4" i="13"/>
  <c r="C3" i="13"/>
  <c r="B20" i="13"/>
  <c r="F18" i="13"/>
  <c r="D17" i="13"/>
  <c r="B16" i="13"/>
  <c r="F14" i="13"/>
  <c r="D13" i="13"/>
  <c r="B12" i="13"/>
  <c r="F10" i="13"/>
  <c r="D9" i="13"/>
  <c r="B8" i="13"/>
  <c r="F6" i="13"/>
  <c r="D5" i="13"/>
  <c r="B4" i="13"/>
  <c r="F2" i="13"/>
  <c r="G19" i="13"/>
  <c r="E18" i="13"/>
  <c r="C17" i="13"/>
  <c r="G15" i="13"/>
  <c r="E14" i="13"/>
  <c r="C13" i="13"/>
  <c r="G11" i="13"/>
  <c r="E10" i="13"/>
  <c r="C9" i="13"/>
  <c r="G7" i="13"/>
  <c r="E6" i="13"/>
  <c r="C5" i="13"/>
  <c r="G3" i="13"/>
  <c r="E2" i="13"/>
  <c r="F20" i="13"/>
  <c r="D19" i="13"/>
  <c r="B18" i="13"/>
  <c r="F16" i="13"/>
  <c r="D15" i="13"/>
  <c r="B14" i="13"/>
  <c r="F12" i="13"/>
  <c r="D11" i="13"/>
  <c r="B10" i="13"/>
  <c r="F8" i="13"/>
  <c r="D7" i="13"/>
  <c r="B6" i="13"/>
  <c r="F4" i="13"/>
  <c r="D3" i="13"/>
  <c r="B2" i="13"/>
  <c r="D20" i="13"/>
  <c r="F19" i="13"/>
  <c r="B19" i="13"/>
  <c r="D18" i="13"/>
  <c r="F17" i="13"/>
  <c r="B17" i="13"/>
  <c r="D16" i="13"/>
  <c r="F15" i="13"/>
  <c r="B15" i="13"/>
  <c r="D14" i="13"/>
  <c r="F13" i="13"/>
  <c r="B13" i="13"/>
  <c r="D12" i="13"/>
  <c r="F11" i="13"/>
  <c r="B11" i="13"/>
  <c r="D10" i="13"/>
  <c r="F9" i="13"/>
  <c r="B9" i="13"/>
  <c r="D8" i="13"/>
  <c r="F7" i="13"/>
  <c r="B7" i="13"/>
  <c r="D6" i="13"/>
  <c r="F5" i="13"/>
  <c r="B5" i="13"/>
  <c r="D4" i="13"/>
  <c r="F3" i="13"/>
  <c r="B3" i="13"/>
  <c r="D2" i="13"/>
  <c r="G20" i="13"/>
  <c r="C20" i="13"/>
  <c r="E19" i="13"/>
  <c r="G18" i="13"/>
  <c r="C18" i="13"/>
  <c r="E17" i="13"/>
  <c r="G16" i="13"/>
  <c r="C16" i="13"/>
  <c r="E15" i="13"/>
  <c r="G14" i="13"/>
  <c r="C14" i="13"/>
  <c r="E13" i="13"/>
  <c r="G12" i="13"/>
  <c r="C12" i="13"/>
  <c r="E11" i="13"/>
  <c r="G10" i="13"/>
  <c r="C10" i="13"/>
  <c r="E9" i="13"/>
  <c r="G8" i="13"/>
  <c r="C8" i="13"/>
  <c r="E7" i="13"/>
  <c r="G6" i="13"/>
  <c r="C6" i="13"/>
  <c r="E5" i="13"/>
  <c r="G4" i="13"/>
  <c r="C4" i="13"/>
  <c r="E3" i="13"/>
  <c r="G2" i="13"/>
  <c r="B2" i="23" a="1"/>
  <c r="B3" i="23" s="1"/>
  <c r="B2" i="22" a="1"/>
  <c r="B3" i="22" s="1"/>
  <c r="F20" i="23" l="1"/>
  <c r="D19" i="23"/>
  <c r="B18" i="23"/>
  <c r="F16" i="23"/>
  <c r="D15" i="23"/>
  <c r="B14" i="23"/>
  <c r="F12" i="23"/>
  <c r="D11" i="23"/>
  <c r="B10" i="23"/>
  <c r="F8" i="23"/>
  <c r="D7" i="23"/>
  <c r="B6" i="23"/>
  <c r="F4" i="23"/>
  <c r="D3" i="23"/>
  <c r="B2" i="23"/>
  <c r="C19" i="23"/>
  <c r="E16" i="23"/>
  <c r="G13" i="23"/>
  <c r="C11" i="23"/>
  <c r="E8" i="23"/>
  <c r="G5" i="23"/>
  <c r="C3" i="23"/>
  <c r="C18" i="23"/>
  <c r="E15" i="23"/>
  <c r="G12" i="23"/>
  <c r="C10" i="23"/>
  <c r="C6" i="23"/>
  <c r="E3" i="23"/>
  <c r="D18" i="23"/>
  <c r="D14" i="23"/>
  <c r="F11" i="23"/>
  <c r="B9" i="23"/>
  <c r="B5" i="23"/>
  <c r="D2" i="23"/>
  <c r="E18" i="23"/>
  <c r="G15" i="23"/>
  <c r="C13" i="23"/>
  <c r="E10" i="23"/>
  <c r="G7" i="23"/>
  <c r="C5" i="23"/>
  <c r="G3" i="23"/>
  <c r="B20" i="23"/>
  <c r="D17" i="23"/>
  <c r="D13" i="23"/>
  <c r="F10" i="23"/>
  <c r="B8" i="23"/>
  <c r="B4" i="23"/>
  <c r="C20" i="23"/>
  <c r="G18" i="23"/>
  <c r="E17" i="23"/>
  <c r="C16" i="23"/>
  <c r="G14" i="23"/>
  <c r="E13" i="23"/>
  <c r="C12" i="23"/>
  <c r="G10" i="23"/>
  <c r="E9" i="23"/>
  <c r="C8" i="23"/>
  <c r="G6" i="23"/>
  <c r="E5" i="23"/>
  <c r="C4" i="23"/>
  <c r="G2" i="23"/>
  <c r="E20" i="23"/>
  <c r="G17" i="23"/>
  <c r="C15" i="23"/>
  <c r="E12" i="23"/>
  <c r="G9" i="23"/>
  <c r="C7" i="23"/>
  <c r="E4" i="23"/>
  <c r="G20" i="23"/>
  <c r="E19" i="23"/>
  <c r="G16" i="23"/>
  <c r="C14" i="23"/>
  <c r="E11" i="23"/>
  <c r="G8" i="23"/>
  <c r="E7" i="23"/>
  <c r="G4" i="23"/>
  <c r="C2" i="23"/>
  <c r="F19" i="23"/>
  <c r="B17" i="23"/>
  <c r="F15" i="23"/>
  <c r="B13" i="23"/>
  <c r="D10" i="23"/>
  <c r="F7" i="23"/>
  <c r="D6" i="23"/>
  <c r="F3" i="23"/>
  <c r="G19" i="23"/>
  <c r="C17" i="23"/>
  <c r="E14" i="23"/>
  <c r="G11" i="23"/>
  <c r="C9" i="23"/>
  <c r="E6" i="23"/>
  <c r="E2" i="23"/>
  <c r="F18" i="23"/>
  <c r="B16" i="23"/>
  <c r="F14" i="23"/>
  <c r="B12" i="23"/>
  <c r="D9" i="23"/>
  <c r="F6" i="23"/>
  <c r="D5" i="23"/>
  <c r="F2" i="23"/>
  <c r="D20" i="23"/>
  <c r="B19" i="23"/>
  <c r="F17" i="23"/>
  <c r="D16" i="23"/>
  <c r="B15" i="23"/>
  <c r="F13" i="23"/>
  <c r="D12" i="23"/>
  <c r="B11" i="23"/>
  <c r="F9" i="23"/>
  <c r="D8" i="23"/>
  <c r="B7" i="23"/>
  <c r="F5" i="23"/>
  <c r="D4" i="23"/>
  <c r="E20" i="22"/>
  <c r="E16" i="22"/>
  <c r="E12" i="22"/>
  <c r="E8" i="22"/>
  <c r="E4" i="22"/>
  <c r="D19" i="22"/>
  <c r="C18" i="22"/>
  <c r="C2" i="22"/>
  <c r="C19" i="22"/>
  <c r="G13" i="22"/>
  <c r="G9" i="22"/>
  <c r="G5" i="22"/>
  <c r="F20" i="22"/>
  <c r="D15" i="22"/>
  <c r="D11" i="22"/>
  <c r="D7" i="22"/>
  <c r="D3" i="22"/>
  <c r="E19" i="22"/>
  <c r="C14" i="22"/>
  <c r="C10" i="22"/>
  <c r="G4" i="22"/>
  <c r="D18" i="22"/>
  <c r="B13" i="22"/>
  <c r="B9" i="22"/>
  <c r="B5" i="22"/>
  <c r="G19" i="22"/>
  <c r="E14" i="22"/>
  <c r="E10" i="22"/>
  <c r="C5" i="22"/>
  <c r="B20" i="22"/>
  <c r="D17" i="22"/>
  <c r="B16" i="22"/>
  <c r="F14" i="22"/>
  <c r="D13" i="22"/>
  <c r="B12" i="22"/>
  <c r="F10" i="22"/>
  <c r="D9" i="22"/>
  <c r="B8" i="22"/>
  <c r="F6" i="22"/>
  <c r="D5" i="22"/>
  <c r="B4" i="22"/>
  <c r="F2" i="22"/>
  <c r="G17" i="22"/>
  <c r="C15" i="22"/>
  <c r="C11" i="22"/>
  <c r="C7" i="22"/>
  <c r="C3" i="22"/>
  <c r="B18" i="22"/>
  <c r="B14" i="22"/>
  <c r="B10" i="22"/>
  <c r="B6" i="22"/>
  <c r="B2" i="22"/>
  <c r="G16" i="22"/>
  <c r="G12" i="22"/>
  <c r="G8" i="22"/>
  <c r="C6" i="22"/>
  <c r="F19" i="22"/>
  <c r="F15" i="22"/>
  <c r="F11" i="22"/>
  <c r="F7" i="22"/>
  <c r="D2" i="22"/>
  <c r="C17" i="22"/>
  <c r="C13" i="22"/>
  <c r="C9" i="22"/>
  <c r="E6" i="22"/>
  <c r="E2" i="22"/>
  <c r="C20" i="22"/>
  <c r="G18" i="22"/>
  <c r="E17" i="22"/>
  <c r="C16" i="22"/>
  <c r="G14" i="22"/>
  <c r="E13" i="22"/>
  <c r="C12" i="22"/>
  <c r="G10" i="22"/>
  <c r="E9" i="22"/>
  <c r="C8" i="22"/>
  <c r="G6" i="22"/>
  <c r="E5" i="22"/>
  <c r="C4" i="22"/>
  <c r="G2" i="22"/>
  <c r="F16" i="22"/>
  <c r="F12" i="22"/>
  <c r="F8" i="22"/>
  <c r="F4" i="22"/>
  <c r="G20" i="22"/>
  <c r="E15" i="22"/>
  <c r="E11" i="22"/>
  <c r="E7" i="22"/>
  <c r="E3" i="22"/>
  <c r="B17" i="22"/>
  <c r="D14" i="22"/>
  <c r="D10" i="22"/>
  <c r="D6" i="22"/>
  <c r="F3" i="22"/>
  <c r="E18" i="22"/>
  <c r="G15" i="22"/>
  <c r="G11" i="22"/>
  <c r="G7" i="22"/>
  <c r="G3" i="22"/>
  <c r="F18" i="22"/>
  <c r="D20" i="22"/>
  <c r="B19" i="22"/>
  <c r="F17" i="22"/>
  <c r="D16" i="22"/>
  <c r="B15" i="22"/>
  <c r="F13" i="22"/>
  <c r="D12" i="22"/>
  <c r="B11" i="22"/>
  <c r="F9" i="22"/>
  <c r="D8" i="22"/>
  <c r="B7" i="22"/>
  <c r="F5" i="22"/>
  <c r="D4" i="22"/>
  <c r="B2" i="20" a="1"/>
  <c r="B2" i="20" s="1"/>
  <c r="B2" i="19" a="1"/>
  <c r="D2" i="19" s="1"/>
  <c r="B2" i="18" a="1"/>
  <c r="D2" i="18" s="1"/>
  <c r="B2" i="7" a="1"/>
  <c r="B2" i="7" s="1"/>
  <c r="E20" i="20" l="1"/>
  <c r="C2" i="19"/>
  <c r="E20" i="18"/>
  <c r="F18" i="18"/>
  <c r="G16" i="18"/>
  <c r="C15" i="18"/>
  <c r="D13" i="18"/>
  <c r="E11" i="18"/>
  <c r="G9" i="18"/>
  <c r="B8" i="18"/>
  <c r="C6" i="18"/>
  <c r="E4" i="18"/>
  <c r="F2" i="18"/>
  <c r="C18" i="19"/>
  <c r="C10" i="19"/>
  <c r="G4" i="19"/>
  <c r="G19" i="18"/>
  <c r="B18" i="18"/>
  <c r="C16" i="18"/>
  <c r="E14" i="18"/>
  <c r="F12" i="18"/>
  <c r="G10" i="18"/>
  <c r="C9" i="18"/>
  <c r="D7" i="18"/>
  <c r="E5" i="18"/>
  <c r="G3" i="18"/>
  <c r="B2" i="18"/>
  <c r="E15" i="19"/>
  <c r="E9" i="19"/>
  <c r="C4" i="19"/>
  <c r="G12" i="19"/>
  <c r="E7" i="19"/>
  <c r="E19" i="18"/>
  <c r="G17" i="18"/>
  <c r="B16" i="18"/>
  <c r="C14" i="18"/>
  <c r="E12" i="18"/>
  <c r="F10" i="18"/>
  <c r="G8" i="18"/>
  <c r="C7" i="18"/>
  <c r="D5" i="18"/>
  <c r="E3" i="18"/>
  <c r="F20" i="18"/>
  <c r="G18" i="18"/>
  <c r="C17" i="18"/>
  <c r="D15" i="18"/>
  <c r="E13" i="18"/>
  <c r="G11" i="18"/>
  <c r="B10" i="18"/>
  <c r="C8" i="18"/>
  <c r="E6" i="18"/>
  <c r="F4" i="18"/>
  <c r="G2" i="18"/>
  <c r="G20" i="19"/>
  <c r="C12" i="19"/>
  <c r="G6" i="19"/>
  <c r="D20" i="20"/>
  <c r="F19" i="20"/>
  <c r="B19" i="20"/>
  <c r="D18" i="20"/>
  <c r="F17" i="20"/>
  <c r="B17" i="20"/>
  <c r="D16" i="20"/>
  <c r="F15" i="20"/>
  <c r="B15" i="20"/>
  <c r="D14" i="20"/>
  <c r="F13" i="20"/>
  <c r="B13" i="20"/>
  <c r="D12" i="20"/>
  <c r="F11" i="20"/>
  <c r="B11" i="20"/>
  <c r="D10" i="20"/>
  <c r="F9" i="20"/>
  <c r="B9" i="20"/>
  <c r="D8" i="20"/>
  <c r="F7" i="20"/>
  <c r="B7" i="20"/>
  <c r="D6" i="20"/>
  <c r="F5" i="20"/>
  <c r="B5" i="20"/>
  <c r="D4" i="20"/>
  <c r="F3" i="20"/>
  <c r="B3" i="20"/>
  <c r="D2" i="20"/>
  <c r="G19" i="20"/>
  <c r="C19" i="20"/>
  <c r="E18" i="20"/>
  <c r="G17" i="20"/>
  <c r="C17" i="20"/>
  <c r="E16" i="20"/>
  <c r="G15" i="20"/>
  <c r="C15" i="20"/>
  <c r="E14" i="20"/>
  <c r="G13" i="20"/>
  <c r="C13" i="20"/>
  <c r="E12" i="20"/>
  <c r="G11" i="20"/>
  <c r="C11" i="20"/>
  <c r="E10" i="20"/>
  <c r="G9" i="20"/>
  <c r="C9" i="20"/>
  <c r="E8" i="20"/>
  <c r="G7" i="20"/>
  <c r="C7" i="20"/>
  <c r="E6" i="20"/>
  <c r="G5" i="20"/>
  <c r="C5" i="20"/>
  <c r="E4" i="20"/>
  <c r="G3" i="20"/>
  <c r="C3" i="20"/>
  <c r="E2" i="20"/>
  <c r="G20" i="20"/>
  <c r="C20" i="20"/>
  <c r="E19" i="20"/>
  <c r="G18" i="20"/>
  <c r="C18" i="20"/>
  <c r="E17" i="20"/>
  <c r="G16" i="20"/>
  <c r="C16" i="20"/>
  <c r="E15" i="20"/>
  <c r="G14" i="20"/>
  <c r="C14" i="20"/>
  <c r="E13" i="20"/>
  <c r="G12" i="20"/>
  <c r="C12" i="20"/>
  <c r="E11" i="20"/>
  <c r="G10" i="20"/>
  <c r="C10" i="20"/>
  <c r="E9" i="20"/>
  <c r="G8" i="20"/>
  <c r="C8" i="20"/>
  <c r="E7" i="20"/>
  <c r="G6" i="20"/>
  <c r="C6" i="20"/>
  <c r="E5" i="20"/>
  <c r="G4" i="20"/>
  <c r="C4" i="20"/>
  <c r="E3" i="20"/>
  <c r="G2" i="20"/>
  <c r="C2" i="20"/>
  <c r="F20" i="20"/>
  <c r="B20" i="20"/>
  <c r="D19" i="20"/>
  <c r="F18" i="20"/>
  <c r="B18" i="20"/>
  <c r="D17" i="20"/>
  <c r="F16" i="20"/>
  <c r="B16" i="20"/>
  <c r="D15" i="20"/>
  <c r="F14" i="20"/>
  <c r="B14" i="20"/>
  <c r="D13" i="20"/>
  <c r="F12" i="20"/>
  <c r="B12" i="20"/>
  <c r="D11" i="20"/>
  <c r="F10" i="20"/>
  <c r="B10" i="20"/>
  <c r="D9" i="20"/>
  <c r="F8" i="20"/>
  <c r="B8" i="20"/>
  <c r="D7" i="20"/>
  <c r="F6" i="20"/>
  <c r="B6" i="20"/>
  <c r="D5" i="20"/>
  <c r="F4" i="20"/>
  <c r="B4" i="20"/>
  <c r="D3" i="20"/>
  <c r="F2" i="20"/>
  <c r="E19" i="19"/>
  <c r="G16" i="19"/>
  <c r="C14" i="19"/>
  <c r="E11" i="19"/>
  <c r="G8" i="19"/>
  <c r="C6" i="19"/>
  <c r="E3" i="19"/>
  <c r="G18" i="19"/>
  <c r="C16" i="19"/>
  <c r="E13" i="19"/>
  <c r="G10" i="19"/>
  <c r="C8" i="19"/>
  <c r="E5" i="19"/>
  <c r="G2" i="19"/>
  <c r="C20" i="19"/>
  <c r="E17" i="19"/>
  <c r="G14" i="19"/>
  <c r="F20" i="19"/>
  <c r="B20" i="19"/>
  <c r="D19" i="19"/>
  <c r="F18" i="19"/>
  <c r="B18" i="19"/>
  <c r="D17" i="19"/>
  <c r="F16" i="19"/>
  <c r="B16" i="19"/>
  <c r="D15" i="19"/>
  <c r="F14" i="19"/>
  <c r="B14" i="19"/>
  <c r="D13" i="19"/>
  <c r="F12" i="19"/>
  <c r="B12" i="19"/>
  <c r="D11" i="19"/>
  <c r="F10" i="19"/>
  <c r="B10" i="19"/>
  <c r="D9" i="19"/>
  <c r="F8" i="19"/>
  <c r="B8" i="19"/>
  <c r="D7" i="19"/>
  <c r="F6" i="19"/>
  <c r="B6" i="19"/>
  <c r="D5" i="19"/>
  <c r="F4" i="19"/>
  <c r="B4" i="19"/>
  <c r="D3" i="19"/>
  <c r="F2" i="19"/>
  <c r="B2" i="19"/>
  <c r="E20" i="19"/>
  <c r="G19" i="19"/>
  <c r="C19" i="19"/>
  <c r="E18" i="19"/>
  <c r="G17" i="19"/>
  <c r="C17" i="19"/>
  <c r="E16" i="19"/>
  <c r="G15" i="19"/>
  <c r="C15" i="19"/>
  <c r="E14" i="19"/>
  <c r="G13" i="19"/>
  <c r="C13" i="19"/>
  <c r="E12" i="19"/>
  <c r="G11" i="19"/>
  <c r="C11" i="19"/>
  <c r="E10" i="19"/>
  <c r="G9" i="19"/>
  <c r="C9" i="19"/>
  <c r="E8" i="19"/>
  <c r="G7" i="19"/>
  <c r="C7" i="19"/>
  <c r="E6" i="19"/>
  <c r="G5" i="19"/>
  <c r="C5" i="19"/>
  <c r="E4" i="19"/>
  <c r="G3" i="19"/>
  <c r="C3" i="19"/>
  <c r="E2" i="19"/>
  <c r="D20" i="19"/>
  <c r="F19" i="19"/>
  <c r="B19" i="19"/>
  <c r="D18" i="19"/>
  <c r="F17" i="19"/>
  <c r="B17" i="19"/>
  <c r="D16" i="19"/>
  <c r="F15" i="19"/>
  <c r="B15" i="19"/>
  <c r="D14" i="19"/>
  <c r="F13" i="19"/>
  <c r="B13" i="19"/>
  <c r="D12" i="19"/>
  <c r="F11" i="19"/>
  <c r="B11" i="19"/>
  <c r="D10" i="19"/>
  <c r="F9" i="19"/>
  <c r="B9" i="19"/>
  <c r="D8" i="19"/>
  <c r="F7" i="19"/>
  <c r="B7" i="19"/>
  <c r="D6" i="19"/>
  <c r="F5" i="19"/>
  <c r="B5" i="19"/>
  <c r="D4" i="19"/>
  <c r="F3" i="19"/>
  <c r="B3" i="19"/>
  <c r="C20" i="18"/>
  <c r="D19" i="18"/>
  <c r="E18" i="18"/>
  <c r="E17" i="18"/>
  <c r="F16" i="18"/>
  <c r="G15" i="18"/>
  <c r="G14" i="18"/>
  <c r="B14" i="18"/>
  <c r="C13" i="18"/>
  <c r="C12" i="18"/>
  <c r="D11" i="18"/>
  <c r="E10" i="18"/>
  <c r="E9" i="18"/>
  <c r="F8" i="18"/>
  <c r="G7" i="18"/>
  <c r="G6" i="18"/>
  <c r="B6" i="18"/>
  <c r="C5" i="18"/>
  <c r="C4" i="18"/>
  <c r="D3" i="18"/>
  <c r="E2" i="18"/>
  <c r="G20" i="18"/>
  <c r="B20" i="18"/>
  <c r="C19" i="18"/>
  <c r="C18" i="18"/>
  <c r="D17" i="18"/>
  <c r="E16" i="18"/>
  <c r="E15" i="18"/>
  <c r="F14" i="18"/>
  <c r="G13" i="18"/>
  <c r="G12" i="18"/>
  <c r="B12" i="18"/>
  <c r="C11" i="18"/>
  <c r="C10" i="18"/>
  <c r="D9" i="18"/>
  <c r="E8" i="18"/>
  <c r="E7" i="18"/>
  <c r="F6" i="18"/>
  <c r="G5" i="18"/>
  <c r="G4" i="18"/>
  <c r="B4" i="18"/>
  <c r="C3" i="18"/>
  <c r="C2" i="18"/>
  <c r="D20" i="18"/>
  <c r="F19" i="18"/>
  <c r="B19" i="18"/>
  <c r="D18" i="18"/>
  <c r="F17" i="18"/>
  <c r="B17" i="18"/>
  <c r="D16" i="18"/>
  <c r="F15" i="18"/>
  <c r="B15" i="18"/>
  <c r="D14" i="18"/>
  <c r="F13" i="18"/>
  <c r="B13" i="18"/>
  <c r="D12" i="18"/>
  <c r="F11" i="18"/>
  <c r="B11" i="18"/>
  <c r="D10" i="18"/>
  <c r="F9" i="18"/>
  <c r="B9" i="18"/>
  <c r="D8" i="18"/>
  <c r="F7" i="18"/>
  <c r="B7" i="18"/>
  <c r="D6" i="18"/>
  <c r="F5" i="18"/>
  <c r="B5" i="18"/>
  <c r="D4" i="18"/>
  <c r="F3" i="18"/>
  <c r="B3" i="18"/>
  <c r="E20" i="7"/>
  <c r="D20" i="7"/>
  <c r="F19" i="7"/>
  <c r="B19" i="7"/>
  <c r="D18" i="7"/>
  <c r="F17" i="7"/>
  <c r="B17" i="7"/>
  <c r="D16" i="7"/>
  <c r="F15" i="7"/>
  <c r="B15" i="7"/>
  <c r="D14" i="7"/>
  <c r="F13" i="7"/>
  <c r="B13" i="7"/>
  <c r="D12" i="7"/>
  <c r="F11" i="7"/>
  <c r="B11" i="7"/>
  <c r="D10" i="7"/>
  <c r="F9" i="7"/>
  <c r="B9" i="7"/>
  <c r="D8" i="7"/>
  <c r="F7" i="7"/>
  <c r="B7" i="7"/>
  <c r="D6" i="7"/>
  <c r="F5" i="7"/>
  <c r="B5" i="7"/>
  <c r="D4" i="7"/>
  <c r="F3" i="7"/>
  <c r="B3" i="7"/>
  <c r="D2" i="7"/>
  <c r="G19" i="7"/>
  <c r="C19" i="7"/>
  <c r="E18" i="7"/>
  <c r="G17" i="7"/>
  <c r="C17" i="7"/>
  <c r="E16" i="7"/>
  <c r="G15" i="7"/>
  <c r="C15" i="7"/>
  <c r="E14" i="7"/>
  <c r="G13" i="7"/>
  <c r="C13" i="7"/>
  <c r="E12" i="7"/>
  <c r="G11" i="7"/>
  <c r="C11" i="7"/>
  <c r="E10" i="7"/>
  <c r="G9" i="7"/>
  <c r="C9" i="7"/>
  <c r="E8" i="7"/>
  <c r="G7" i="7"/>
  <c r="C7" i="7"/>
  <c r="E6" i="7"/>
  <c r="G5" i="7"/>
  <c r="C5" i="7"/>
  <c r="E4" i="7"/>
  <c r="G3" i="7"/>
  <c r="C3" i="7"/>
  <c r="E2" i="7"/>
  <c r="G20" i="7"/>
  <c r="C20" i="7"/>
  <c r="E19" i="7"/>
  <c r="G18" i="7"/>
  <c r="C18" i="7"/>
  <c r="E17" i="7"/>
  <c r="G16" i="7"/>
  <c r="C16" i="7"/>
  <c r="E15" i="7"/>
  <c r="G14" i="7"/>
  <c r="C14" i="7"/>
  <c r="E13" i="7"/>
  <c r="G12" i="7"/>
  <c r="C12" i="7"/>
  <c r="E11" i="7"/>
  <c r="G10" i="7"/>
  <c r="C10" i="7"/>
  <c r="E9" i="7"/>
  <c r="G8" i="7"/>
  <c r="C8" i="7"/>
  <c r="E7" i="7"/>
  <c r="G6" i="7"/>
  <c r="C6" i="7"/>
  <c r="E5" i="7"/>
  <c r="G4" i="7"/>
  <c r="C4" i="7"/>
  <c r="E3" i="7"/>
  <c r="G2" i="7"/>
  <c r="C2" i="7"/>
  <c r="F20" i="7"/>
  <c r="B20" i="7"/>
  <c r="D19" i="7"/>
  <c r="F18" i="7"/>
  <c r="B18" i="7"/>
  <c r="D17" i="7"/>
  <c r="F16" i="7"/>
  <c r="B16" i="7"/>
  <c r="D15" i="7"/>
  <c r="F14" i="7"/>
  <c r="B14" i="7"/>
  <c r="D13" i="7"/>
  <c r="F12" i="7"/>
  <c r="B12" i="7"/>
  <c r="D11" i="7"/>
  <c r="F10" i="7"/>
  <c r="B10" i="7"/>
  <c r="D9" i="7"/>
  <c r="F8" i="7"/>
  <c r="B8" i="7"/>
  <c r="D7" i="7"/>
  <c r="F6" i="7"/>
  <c r="B6" i="7"/>
  <c r="D5" i="7"/>
  <c r="F4" i="7"/>
  <c r="B4" i="7"/>
  <c r="D3" i="7"/>
  <c r="F2" i="7"/>
</calcChain>
</file>

<file path=xl/sharedStrings.xml><?xml version="1.0" encoding="utf-8"?>
<sst xmlns="http://schemas.openxmlformats.org/spreadsheetml/2006/main" count="227" uniqueCount="77">
  <si>
    <t>1 an</t>
  </si>
  <si>
    <t>2 ans</t>
  </si>
  <si>
    <t>3 ans</t>
  </si>
  <si>
    <t>5 ans</t>
  </si>
  <si>
    <t>10 ans</t>
  </si>
  <si>
    <t>35 ans</t>
  </si>
  <si>
    <t>PIB en volume</t>
  </si>
  <si>
    <t>VA du secteur marchand</t>
  </si>
  <si>
    <t>Consommation des ménages</t>
  </si>
  <si>
    <t>Investissement</t>
  </si>
  <si>
    <t>Investissement des SNF et SI</t>
  </si>
  <si>
    <t>Exportations</t>
  </si>
  <si>
    <t>Importations</t>
  </si>
  <si>
    <t>Prix à la consommation des ménages</t>
  </si>
  <si>
    <t>Prix de production marchande</t>
  </si>
  <si>
    <t>Salaire réel net</t>
  </si>
  <si>
    <t>Coût réel du travail</t>
  </si>
  <si>
    <t>Emploi salarié en milliers</t>
  </si>
  <si>
    <t>Taux de chômage (en points)</t>
  </si>
  <si>
    <t>Balance commerciale (en points de PIB)</t>
  </si>
  <si>
    <t>Emissions de CO2</t>
  </si>
  <si>
    <t>Energie finale</t>
  </si>
  <si>
    <t>Electricité finale</t>
  </si>
  <si>
    <t>Produits pétroliers (en Mtep ep)</t>
  </si>
  <si>
    <t>Gaz naturel (en Mtep ep)</t>
  </si>
  <si>
    <t>Hausse permanente de 1% de PIB en valeur de la taxe sur l'électricité</t>
  </si>
  <si>
    <t>Hausse permanente de 1% de PIB en valeur du montant de la taxe carbone</t>
  </si>
  <si>
    <t>Hausse permanente de 1% de PIB en valeur de la TVA</t>
  </si>
  <si>
    <t>Baisse permanente de 1% de PIB en valeur des cotisations employeurs</t>
  </si>
  <si>
    <t>Hausse permanente de 100% des prix du pétrole, du gaz et du charbon</t>
  </si>
  <si>
    <t>Hausse permanente de 10% des prix du pétrole, du gaz et du charbon</t>
  </si>
  <si>
    <t>Hausse permanente de 1% de PIB en volume des IAPU</t>
  </si>
  <si>
    <t>100*(GDP_2/GDP_0-1)</t>
  </si>
  <si>
    <t>100*(CH_2/CH_0-1)</t>
  </si>
  <si>
    <t>100*(I_2/I_0-1)</t>
  </si>
  <si>
    <t>100*(X_2/X_0-1)</t>
  </si>
  <si>
    <t>100*(M_2/M_0-1)</t>
  </si>
  <si>
    <t>100*(DISPINC_AT_VAL_2/DISPINC_AT_VAL_0-1)</t>
  </si>
  <si>
    <t>100*(RSAV_H_VAL_2-RSAV_H_VAL_0)</t>
  </si>
  <si>
    <t>100*(PCH_2/PCH_0-1)</t>
  </si>
  <si>
    <t>100*(PY_2/PY_0-1)</t>
  </si>
  <si>
    <t>100*(PVA_2/PVA_0-1)</t>
  </si>
  <si>
    <t>100*(PCI_2/PCI_0-1)</t>
  </si>
  <si>
    <t>100*(PX_2/PCI_0-1)</t>
  </si>
  <si>
    <t>100*(PM_2/PCI_0-1)</t>
  </si>
  <si>
    <t>100*(W_2/W_0-1)</t>
  </si>
  <si>
    <t>100*((C_L_2/PVA_2)/(C_L_0/PVA_0)-1)</t>
  </si>
  <si>
    <t>100*(GDP_1/GDP_0-1)</t>
  </si>
  <si>
    <t>100*(CH_1/CH_0-1)</t>
  </si>
  <si>
    <t>100*(I_1/I_0-1)</t>
  </si>
  <si>
    <t>100*(X_1/X_0-1)</t>
  </si>
  <si>
    <t>100*(M_1/M_0-1)</t>
  </si>
  <si>
    <t>100*(DISPINC_AT_VAL_1/DISPINC_AT_VAL_0-1)</t>
  </si>
  <si>
    <t>100*(RSAV_H_VAL_1-RSAV_H_VAL_0)</t>
  </si>
  <si>
    <t>100*(PCH_1/PCH_0-1)</t>
  </si>
  <si>
    <t>100*(PY_1/PY_0-1)</t>
  </si>
  <si>
    <t>100*(PVA_1/PVA_0-1)</t>
  </si>
  <si>
    <t>100*(PCI_1/PCI_0-1)</t>
  </si>
  <si>
    <t>100*(PX_1/PCI_0-1)</t>
  </si>
  <si>
    <t>100*(PM_1/PCI_0-1)</t>
  </si>
  <si>
    <t>100*(W_1/W_0-1)</t>
  </si>
  <si>
    <t>100*((C_L_1/PVA_1)/(C_L_0/PVA_0)-1)</t>
  </si>
  <si>
    <t>100*(GDP_3/GDP_0-1)</t>
  </si>
  <si>
    <t>100*(CH_3/CH_0-1)</t>
  </si>
  <si>
    <t>100*(I_3/I_0-1)</t>
  </si>
  <si>
    <t>100*(X_3/X_0-1)</t>
  </si>
  <si>
    <t>100*(M_3/M_0-1)</t>
  </si>
  <si>
    <t>100*(DISPINC_AT_VAL_3/DISPINC_AT_VAL_0-1)</t>
  </si>
  <si>
    <t>100*(RSAV_H_VAL_3-RSAV_H_VAL_0)</t>
  </si>
  <si>
    <t>100*(PCH_3/PCH_0-1)</t>
  </si>
  <si>
    <t>100*(PY_3/PY_0-1)</t>
  </si>
  <si>
    <t>100*(PVA_3/PVA_0-1)</t>
  </si>
  <si>
    <t>100*(PCI_3/PCI_0-1)</t>
  </si>
  <si>
    <t>100*(PX_3/PCI_0-1)</t>
  </si>
  <si>
    <t>100*(PM_3/PCI_0-1)</t>
  </si>
  <si>
    <t>100*(W_3/W_0-1)</t>
  </si>
  <si>
    <t>100*((C_L_3/PVA_3)/(C_L_0/PVA_0)-1)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</si>
</sst>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* #,##0.00_);_(* \(#,##0.00\);_(* &quot;-&quot;??_);_(@_)"/>
  </numFmts>
  <fonts count="3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8">
    <xf numFmtId="0" fontId="0" fillId="0" borderId="0" xfId="0"/>
    <xf numFmtId="2" fontId="0" fillId="0" borderId="2" xfId="0" applyNumberFormat="1" applyBorder="1"/>
    <xf numFmtId="2" fontId="0" fillId="0" borderId="3" xfId="0" applyNumberFormat="1" applyBorder="1"/>
    <xf numFmtId="2" fontId="0" fillId="0" borderId="4" xfId="0" applyNumberFormat="1" applyBorder="1"/>
    <xf numFmtId="0" fontId="2" fillId="2" borderId="1" xfId="0" applyFont="1" applyFill="1" applyBorder="1" applyAlignment="1">
      <alignment wrapText="1"/>
    </xf>
    <xf numFmtId="0" fontId="2" fillId="2" borderId="1" xfId="0" applyFont="1" applyFill="1" applyBorder="1" applyAlignment="1">
      <alignment horizontal="center"/>
    </xf>
    <xf numFmtId="164" fontId="0" fillId="0" borderId="3" xfId="0" applyNumberFormat="1" applyBorder="1"/>
    <xf numFmtId="164" fontId="0" fillId="0" borderId="4" xfId="0" applyNumberFormat="1" applyBorder="1"/>
  </cellXfs>
  <cellStyles count="2">
    <cellStyle name="Normal" xfId="0" builtinId="0"/>
    <cellStyle name="Normal 2" xfId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G20"/>
  <sheetViews>
    <sheetView showGridLines="0" workbookViewId="0">
      <selection activeCell="C8" sqref="C8"/>
    </sheetView>
  </sheetViews>
  <sheetFormatPr baseColWidth="10" defaultColWidth="11" defaultRowHeight="15.75" x14ac:dyDescent="0.25"/>
  <cols>
    <col min="1" max="1" width="33.625" customWidth="1"/>
  </cols>
  <sheetData>
    <row r="1" spans="1:7" ht="31.5" x14ac:dyDescent="0.25">
      <c r="A1" s="4" t="s">
        <v>30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TRANSPOSE('EXR10'!$B$3:$T$8)</f>
        <v>0.91586299999999998</v>
      </c>
      <c r="C2" s="1">
        <v>0.90026300000000004</v>
      </c>
      <c r="D2" s="1">
        <v>0.85491200000000001</v>
      </c>
      <c r="E2" s="1">
        <v>0.72389099999999995</v>
      </c>
      <c r="F2" s="1">
        <v>0.46710800000000002</v>
      </c>
      <c r="G2" s="1">
        <v>0.124888</v>
      </c>
    </row>
    <row r="3" spans="1:7" x14ac:dyDescent="0.25">
      <c r="A3" s="2" t="s">
        <v>7</v>
      </c>
      <c r="B3" s="2">
        <v>0.14106199999999999</v>
      </c>
      <c r="C3" s="2">
        <v>0.402225</v>
      </c>
      <c r="D3" s="2">
        <v>0.59968900000000003</v>
      </c>
      <c r="E3" s="2">
        <v>0.83250800000000003</v>
      </c>
      <c r="F3" s="2">
        <v>0.85528099999999996</v>
      </c>
      <c r="G3" s="2">
        <v>3.826E-3</v>
      </c>
    </row>
    <row r="4" spans="1:7" x14ac:dyDescent="0.25">
      <c r="A4" s="2" t="s">
        <v>8</v>
      </c>
      <c r="B4" s="2">
        <v>0.98345400000000005</v>
      </c>
      <c r="C4" s="2">
        <v>1.1265620000000001</v>
      </c>
      <c r="D4" s="2">
        <v>1.255773</v>
      </c>
      <c r="E4" s="2">
        <v>1.5023930000000001</v>
      </c>
      <c r="F4" s="2">
        <v>2.1372149999999999</v>
      </c>
      <c r="G4" s="2">
        <v>1.115103</v>
      </c>
    </row>
    <row r="5" spans="1:7" x14ac:dyDescent="0.25">
      <c r="A5" s="2" t="s">
        <v>9</v>
      </c>
      <c r="B5" s="2">
        <v>2.3668279999999999</v>
      </c>
      <c r="C5" s="2">
        <v>1.8442769999999999</v>
      </c>
      <c r="D5" s="2">
        <v>1.319493</v>
      </c>
      <c r="E5" s="2">
        <v>0.37155899999999997</v>
      </c>
      <c r="F5" s="2">
        <v>-0.93736399999999998</v>
      </c>
      <c r="G5" s="2">
        <v>-0.184199</v>
      </c>
    </row>
    <row r="6" spans="1:7" x14ac:dyDescent="0.25">
      <c r="A6" s="2" t="s">
        <v>10</v>
      </c>
      <c r="B6" s="2">
        <v>-0.33018999999999998</v>
      </c>
      <c r="C6" s="2">
        <v>-5.1997000000000002E-2</v>
      </c>
      <c r="D6" s="2">
        <v>0.185054</v>
      </c>
      <c r="E6" s="2">
        <v>0.53320400000000001</v>
      </c>
      <c r="F6" s="2">
        <v>0.85056299999999996</v>
      </c>
      <c r="G6" s="2">
        <v>0.18234800000000001</v>
      </c>
    </row>
    <row r="7" spans="1:7" x14ac:dyDescent="0.25">
      <c r="A7" s="2" t="s">
        <v>11</v>
      </c>
      <c r="B7" s="2">
        <v>8.4547939999999997</v>
      </c>
      <c r="C7" s="2">
        <v>9.5191029999999994</v>
      </c>
      <c r="D7" s="2">
        <v>10.423780000000001</v>
      </c>
      <c r="E7" s="2">
        <v>11.73662</v>
      </c>
      <c r="F7" s="2">
        <v>12.658289999999999</v>
      </c>
      <c r="G7" s="2">
        <v>10.18384</v>
      </c>
    </row>
    <row r="8" spans="1:7" x14ac:dyDescent="0.25">
      <c r="A8" s="2" t="s">
        <v>12</v>
      </c>
      <c r="B8" s="2">
        <v>7.4754000000000001E-2</v>
      </c>
      <c r="C8" s="2">
        <v>2.7397999999999999E-2</v>
      </c>
      <c r="D8" s="2">
        <v>-6.96E-3</v>
      </c>
      <c r="E8" s="2">
        <v>-4.1716999999999997E-2</v>
      </c>
      <c r="F8" s="2">
        <v>-3.5284000000000003E-2</v>
      </c>
      <c r="G8" s="2">
        <v>1.057E-3</v>
      </c>
    </row>
    <row r="9" spans="1:7" x14ac:dyDescent="0.25">
      <c r="A9" s="2" t="s">
        <v>13</v>
      </c>
      <c r="B9" s="2">
        <v>8.211684</v>
      </c>
      <c r="C9" s="2">
        <v>9.0470070000000007</v>
      </c>
      <c r="D9" s="2">
        <v>9.7740550000000006</v>
      </c>
      <c r="E9" s="2">
        <v>10.86567</v>
      </c>
      <c r="F9" s="2">
        <v>11.74689</v>
      </c>
      <c r="G9" s="2">
        <v>10.178319999999999</v>
      </c>
    </row>
    <row r="10" spans="1:7" x14ac:dyDescent="0.25">
      <c r="A10" s="2" t="s">
        <v>14</v>
      </c>
      <c r="B10" s="2">
        <v>7.8565060000000004</v>
      </c>
      <c r="C10" s="2">
        <v>8.8252740000000003</v>
      </c>
      <c r="D10" s="2">
        <v>9.6690620000000003</v>
      </c>
      <c r="E10" s="2">
        <v>10.93651</v>
      </c>
      <c r="F10" s="2">
        <v>11.962619999999999</v>
      </c>
      <c r="G10" s="2">
        <v>10.13608</v>
      </c>
    </row>
    <row r="11" spans="1:7" x14ac:dyDescent="0.25">
      <c r="A11" s="2" t="s">
        <v>15</v>
      </c>
      <c r="B11" s="2">
        <v>7.4421090000000003</v>
      </c>
      <c r="C11" s="2">
        <v>8.5757349999999999</v>
      </c>
      <c r="D11" s="2">
        <v>9.5631590000000006</v>
      </c>
      <c r="E11" s="2">
        <v>11.04609</v>
      </c>
      <c r="F11" s="2">
        <v>12.246740000000001</v>
      </c>
      <c r="G11" s="2">
        <v>10.111840000000001</v>
      </c>
    </row>
    <row r="12" spans="1:7" x14ac:dyDescent="0.25">
      <c r="A12" s="2" t="s">
        <v>16</v>
      </c>
      <c r="B12" s="2">
        <v>8.2674350000000008</v>
      </c>
      <c r="C12" s="2">
        <v>9.0728539999999995</v>
      </c>
      <c r="D12" s="2">
        <v>9.7741910000000001</v>
      </c>
      <c r="E12" s="2">
        <v>10.8276</v>
      </c>
      <c r="F12" s="2">
        <v>11.67977</v>
      </c>
      <c r="G12" s="2">
        <v>10.16014</v>
      </c>
    </row>
    <row r="13" spans="1:7" x14ac:dyDescent="0.25">
      <c r="A13" s="2" t="s">
        <v>17</v>
      </c>
      <c r="B13" s="2">
        <v>8.2965730000000004</v>
      </c>
      <c r="C13" s="2">
        <v>9.1319970000000001</v>
      </c>
      <c r="D13" s="2">
        <v>9.8545909999999992</v>
      </c>
      <c r="E13" s="2">
        <v>10.930120000000001</v>
      </c>
      <c r="F13" s="2">
        <v>11.755240000000001</v>
      </c>
      <c r="G13" s="2">
        <v>10.182029999999999</v>
      </c>
    </row>
    <row r="14" spans="1:7" x14ac:dyDescent="0.25">
      <c r="A14" s="2" t="s">
        <v>18</v>
      </c>
      <c r="B14" s="2">
        <v>9.9999990000000007</v>
      </c>
      <c r="C14" s="2">
        <v>9.9999990000000007</v>
      </c>
      <c r="D14" s="2">
        <v>9.9999990000000007</v>
      </c>
      <c r="E14" s="2">
        <v>9.9999990000000007</v>
      </c>
      <c r="F14" s="2">
        <v>9.9999990000000007</v>
      </c>
      <c r="G14" s="2">
        <v>9.9999990000000007</v>
      </c>
    </row>
    <row r="15" spans="1:7" x14ac:dyDescent="0.25">
      <c r="A15" s="2" t="s">
        <v>19</v>
      </c>
      <c r="B15" s="2">
        <v>7.5313299999999996</v>
      </c>
      <c r="C15" s="2">
        <v>8.6464060000000007</v>
      </c>
      <c r="D15" s="2">
        <v>9.6176030000000008</v>
      </c>
      <c r="E15" s="2">
        <v>11.09009</v>
      </c>
      <c r="F15" s="2">
        <v>12.391450000000001</v>
      </c>
      <c r="G15" s="2">
        <v>10.35036</v>
      </c>
    </row>
    <row r="16" spans="1:7" x14ac:dyDescent="0.25">
      <c r="A16" s="2" t="s">
        <v>20</v>
      </c>
      <c r="B16" s="2">
        <v>8.3041000000000004E-2</v>
      </c>
      <c r="C16" s="2">
        <v>6.5087999999999993E-2</v>
      </c>
      <c r="D16" s="2">
        <v>4.9692E-2</v>
      </c>
      <c r="E16" s="2">
        <v>3.9623999999999999E-2</v>
      </c>
      <c r="F16" s="2">
        <v>0.12892600000000001</v>
      </c>
      <c r="G16" s="2">
        <v>0.21661900000000001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G20"/>
  <sheetViews>
    <sheetView showGridLines="0" workbookViewId="0">
      <selection activeCell="B2" sqref="B2"/>
    </sheetView>
  </sheetViews>
  <sheetFormatPr baseColWidth="10" defaultColWidth="11" defaultRowHeight="15.75" x14ac:dyDescent="0.25"/>
  <cols>
    <col min="1" max="1" width="33.625" customWidth="1"/>
  </cols>
  <sheetData>
    <row r="1" spans="1:7" ht="31.5" x14ac:dyDescent="0.25">
      <c r="A1" s="4" t="s">
        <v>29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TRANSPOSE(EXPG1!$B$3:$T$8)</f>
        <v>2.0988319999999998</v>
      </c>
      <c r="C2" s="1">
        <v>1.9955499999999999</v>
      </c>
      <c r="D2" s="1">
        <v>1.8639380000000001</v>
      </c>
      <c r="E2" s="1">
        <v>1.58684</v>
      </c>
      <c r="F2" s="1">
        <v>1.150272</v>
      </c>
      <c r="G2" s="1">
        <v>0.41089599999999998</v>
      </c>
    </row>
    <row r="3" spans="1:7" x14ac:dyDescent="0.25">
      <c r="A3" s="2" t="s">
        <v>7</v>
      </c>
      <c r="B3" s="2">
        <v>1.6580280000000001</v>
      </c>
      <c r="C3" s="2">
        <v>1.914666</v>
      </c>
      <c r="D3" s="2">
        <v>2.0819070000000002</v>
      </c>
      <c r="E3" s="2">
        <v>2.2167020000000002</v>
      </c>
      <c r="F3" s="2">
        <v>1.9725550000000001</v>
      </c>
      <c r="G3" s="2">
        <v>0.38218000000000002</v>
      </c>
    </row>
    <row r="4" spans="1:7" x14ac:dyDescent="0.25">
      <c r="A4" s="2" t="s">
        <v>8</v>
      </c>
      <c r="B4" s="2">
        <v>1.920175</v>
      </c>
      <c r="C4" s="2">
        <v>2.0307360000000001</v>
      </c>
      <c r="D4" s="2">
        <v>2.1343079999999999</v>
      </c>
      <c r="E4" s="2">
        <v>2.3619409999999998</v>
      </c>
      <c r="F4" s="2">
        <v>3.0569060000000001</v>
      </c>
      <c r="G4" s="2">
        <v>0.87502999999999997</v>
      </c>
    </row>
    <row r="5" spans="1:7" x14ac:dyDescent="0.25">
      <c r="A5" s="2" t="s">
        <v>9</v>
      </c>
      <c r="B5" s="2">
        <v>1.0250809999999999</v>
      </c>
      <c r="C5" s="2">
        <v>0.27983000000000002</v>
      </c>
      <c r="D5" s="2">
        <v>-0.43193999999999999</v>
      </c>
      <c r="E5" s="2">
        <v>-1.6331420000000001</v>
      </c>
      <c r="F5" s="2">
        <v>-2.9837410000000002</v>
      </c>
      <c r="G5" s="2">
        <v>-0.97283399999999998</v>
      </c>
    </row>
    <row r="6" spans="1:7" x14ac:dyDescent="0.25">
      <c r="A6" s="2" t="s">
        <v>10</v>
      </c>
      <c r="B6" s="2">
        <v>1.352169</v>
      </c>
      <c r="C6" s="2">
        <v>1.6655979999999999</v>
      </c>
      <c r="D6" s="2">
        <v>1.9134409999999999</v>
      </c>
      <c r="E6" s="2">
        <v>2.234124</v>
      </c>
      <c r="F6" s="2">
        <v>2.3579680000000001</v>
      </c>
      <c r="G6" s="2">
        <v>0.75083100000000003</v>
      </c>
    </row>
    <row r="7" spans="1:7" x14ac:dyDescent="0.25">
      <c r="A7" s="2" t="s">
        <v>11</v>
      </c>
      <c r="B7" s="2">
        <v>12.608309999999999</v>
      </c>
      <c r="C7" s="2">
        <v>13.94645</v>
      </c>
      <c r="D7" s="2">
        <v>15.027520000000001</v>
      </c>
      <c r="E7" s="2">
        <v>16.440529999999999</v>
      </c>
      <c r="F7" s="2">
        <v>16.733129999999999</v>
      </c>
      <c r="G7" s="2">
        <v>11.56827</v>
      </c>
    </row>
    <row r="8" spans="1:7" x14ac:dyDescent="0.25">
      <c r="A8" s="2" t="s">
        <v>12</v>
      </c>
      <c r="B8" s="2">
        <v>1.6930000000000001E-2</v>
      </c>
      <c r="C8" s="2">
        <v>-3.1060000000000001E-2</v>
      </c>
      <c r="D8" s="2">
        <v>-6.0134E-2</v>
      </c>
      <c r="E8" s="2">
        <v>-7.7362E-2</v>
      </c>
      <c r="F8" s="2">
        <v>-4.1230000000000003E-2</v>
      </c>
      <c r="G8" s="2">
        <v>2.2899999999999999E-3</v>
      </c>
    </row>
    <row r="9" spans="1:7" x14ac:dyDescent="0.25">
      <c r="A9" s="2" t="s">
        <v>13</v>
      </c>
      <c r="B9" s="2">
        <v>10.75076</v>
      </c>
      <c r="C9" s="2">
        <v>11.84449</v>
      </c>
      <c r="D9" s="2">
        <v>12.757199999999999</v>
      </c>
      <c r="E9" s="2">
        <v>14.0137</v>
      </c>
      <c r="F9" s="2">
        <v>14.527710000000001</v>
      </c>
      <c r="G9" s="2">
        <v>11.14066</v>
      </c>
    </row>
    <row r="10" spans="1:7" x14ac:dyDescent="0.25">
      <c r="A10" s="2" t="s">
        <v>14</v>
      </c>
      <c r="B10" s="2">
        <v>10.855259999999999</v>
      </c>
      <c r="C10" s="2">
        <v>12.1286</v>
      </c>
      <c r="D10" s="2">
        <v>13.19101</v>
      </c>
      <c r="E10" s="2">
        <v>14.6523</v>
      </c>
      <c r="F10" s="2">
        <v>15.24667</v>
      </c>
      <c r="G10" s="2">
        <v>11.26085</v>
      </c>
    </row>
    <row r="11" spans="1:7" x14ac:dyDescent="0.25">
      <c r="A11" s="2" t="s">
        <v>15</v>
      </c>
      <c r="B11" s="2">
        <v>10.97283</v>
      </c>
      <c r="C11" s="2">
        <v>12.464510000000001</v>
      </c>
      <c r="D11" s="2">
        <v>13.70886</v>
      </c>
      <c r="E11" s="2">
        <v>15.419169999999999</v>
      </c>
      <c r="F11" s="2">
        <v>16.111170000000001</v>
      </c>
      <c r="G11" s="2">
        <v>11.43103</v>
      </c>
    </row>
    <row r="12" spans="1:7" x14ac:dyDescent="0.25">
      <c r="A12" s="2" t="s">
        <v>16</v>
      </c>
      <c r="B12" s="2">
        <v>10.738429999999999</v>
      </c>
      <c r="C12" s="2">
        <v>11.79458</v>
      </c>
      <c r="D12" s="2">
        <v>12.67568</v>
      </c>
      <c r="E12" s="2">
        <v>13.88799</v>
      </c>
      <c r="F12" s="2">
        <v>14.3832</v>
      </c>
      <c r="G12" s="2">
        <v>11.09179</v>
      </c>
    </row>
    <row r="13" spans="1:7" x14ac:dyDescent="0.25">
      <c r="A13" s="2" t="s">
        <v>17</v>
      </c>
      <c r="B13" s="2">
        <v>10.90898</v>
      </c>
      <c r="C13" s="2">
        <v>12.0092</v>
      </c>
      <c r="D13" s="2">
        <v>12.918850000000001</v>
      </c>
      <c r="E13" s="2">
        <v>14.152150000000001</v>
      </c>
      <c r="F13" s="2">
        <v>14.580399999999999</v>
      </c>
      <c r="G13" s="2">
        <v>11.18609</v>
      </c>
    </row>
    <row r="14" spans="1:7" x14ac:dyDescent="0.25">
      <c r="A14" s="2" t="s">
        <v>18</v>
      </c>
      <c r="B14" s="2">
        <v>9.9999990000000007</v>
      </c>
      <c r="C14" s="2">
        <v>9.9999990000000007</v>
      </c>
      <c r="D14" s="2">
        <v>9.9999990000000007</v>
      </c>
      <c r="E14" s="2">
        <v>9.9999990000000007</v>
      </c>
      <c r="F14" s="2">
        <v>9.9999990000000007</v>
      </c>
      <c r="G14" s="2">
        <v>9.9999990000000007</v>
      </c>
    </row>
    <row r="15" spans="1:7" x14ac:dyDescent="0.25">
      <c r="A15" s="2" t="s">
        <v>19</v>
      </c>
      <c r="B15" s="2">
        <v>11.15391</v>
      </c>
      <c r="C15" s="2">
        <v>12.604990000000001</v>
      </c>
      <c r="D15" s="2">
        <v>13.81601</v>
      </c>
      <c r="E15" s="2">
        <v>15.5032</v>
      </c>
      <c r="F15" s="2">
        <v>16.352060000000002</v>
      </c>
      <c r="G15" s="2">
        <v>11.73293</v>
      </c>
    </row>
    <row r="16" spans="1:7" x14ac:dyDescent="0.25">
      <c r="A16" s="2" t="s">
        <v>20</v>
      </c>
      <c r="B16" s="2">
        <v>0.16317200000000001</v>
      </c>
      <c r="C16" s="2">
        <v>0.12490900000000001</v>
      </c>
      <c r="D16" s="2">
        <v>9.4233999999999998E-2</v>
      </c>
      <c r="E16" s="2">
        <v>7.2805999999999996E-2</v>
      </c>
      <c r="F16" s="2">
        <v>0.20747199999999999</v>
      </c>
      <c r="G16" s="2">
        <v>0.27093099999999998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G20"/>
  <sheetViews>
    <sheetView showGridLines="0" tabSelected="1" workbookViewId="0">
      <selection activeCell="C8" sqref="C8"/>
    </sheetView>
  </sheetViews>
  <sheetFormatPr baseColWidth="10" defaultColWidth="11" defaultRowHeight="15.75" x14ac:dyDescent="0.25"/>
  <cols>
    <col min="1" max="1" width="33.625" customWidth="1"/>
  </cols>
  <sheetData>
    <row r="1" spans="1:7" ht="31.5" customHeight="1" x14ac:dyDescent="0.25">
      <c r="A1" s="4" t="s">
        <v>26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TRANSPOSE(RSSC1!$B$3:$T$8)</f>
        <v>1.840509</v>
      </c>
      <c r="C2" s="1">
        <v>1.816451</v>
      </c>
      <c r="D2" s="1">
        <v>1.750807</v>
      </c>
      <c r="E2" s="1">
        <v>1.567469</v>
      </c>
      <c r="F2" s="1">
        <v>1.2300770000000001</v>
      </c>
      <c r="G2" s="1">
        <v>0.86966699999999997</v>
      </c>
    </row>
    <row r="3" spans="1:7" x14ac:dyDescent="0.25">
      <c r="A3" s="2" t="s">
        <v>7</v>
      </c>
      <c r="B3" s="2">
        <v>1.501871</v>
      </c>
      <c r="C3" s="2">
        <v>1.7664899999999999</v>
      </c>
      <c r="D3" s="2">
        <v>1.9524170000000001</v>
      </c>
      <c r="E3" s="2">
        <v>2.141556</v>
      </c>
      <c r="F3" s="2">
        <v>2.0661399999999999</v>
      </c>
      <c r="G3" s="2">
        <v>1.126228</v>
      </c>
    </row>
    <row r="4" spans="1:7" x14ac:dyDescent="0.25">
      <c r="A4" s="2" t="s">
        <v>8</v>
      </c>
      <c r="B4" s="2">
        <v>1.6305350000000001</v>
      </c>
      <c r="C4" s="2">
        <v>1.7372289999999999</v>
      </c>
      <c r="D4" s="2">
        <v>1.81837</v>
      </c>
      <c r="E4" s="2">
        <v>1.9644269999999999</v>
      </c>
      <c r="F4" s="2">
        <v>2.4430900000000002</v>
      </c>
      <c r="G4" s="2">
        <v>1.0331379999999999</v>
      </c>
    </row>
    <row r="5" spans="1:7" x14ac:dyDescent="0.25">
      <c r="A5" s="2" t="s">
        <v>9</v>
      </c>
      <c r="B5" s="2">
        <v>3.0967730000000002</v>
      </c>
      <c r="C5" s="2">
        <v>2.5716739999999998</v>
      </c>
      <c r="D5" s="2">
        <v>2.0289320000000002</v>
      </c>
      <c r="E5" s="2">
        <v>1.0287189999999999</v>
      </c>
      <c r="F5" s="2">
        <v>-0.33438099999999998</v>
      </c>
      <c r="G5" s="2">
        <v>0.67770200000000003</v>
      </c>
    </row>
    <row r="6" spans="1:7" x14ac:dyDescent="0.25">
      <c r="A6" s="2" t="s">
        <v>10</v>
      </c>
      <c r="B6" s="2">
        <v>0.31499899999999997</v>
      </c>
      <c r="C6" s="2">
        <v>0.60432399999999997</v>
      </c>
      <c r="D6" s="2">
        <v>0.84172199999999997</v>
      </c>
      <c r="E6" s="2">
        <v>1.171219</v>
      </c>
      <c r="F6" s="2">
        <v>1.413481</v>
      </c>
      <c r="G6" s="2">
        <v>0.56582600000000005</v>
      </c>
    </row>
    <row r="7" spans="1:7" x14ac:dyDescent="0.25">
      <c r="A7" s="2" t="s">
        <v>11</v>
      </c>
      <c r="B7" s="2">
        <v>8.8016330000000007</v>
      </c>
      <c r="C7" s="2">
        <v>9.9404090000000007</v>
      </c>
      <c r="D7" s="2">
        <v>10.90433</v>
      </c>
      <c r="E7" s="2">
        <v>12.280799999999999</v>
      </c>
      <c r="F7" s="2">
        <v>13.111179999999999</v>
      </c>
      <c r="G7" s="2">
        <v>10.208209999999999</v>
      </c>
    </row>
    <row r="8" spans="1:7" x14ac:dyDescent="0.25">
      <c r="A8" s="2" t="s">
        <v>12</v>
      </c>
      <c r="B8" s="2">
        <v>2.5655000000000001E-2</v>
      </c>
      <c r="C8" s="2">
        <v>-1.8419000000000001E-2</v>
      </c>
      <c r="D8" s="2">
        <v>-4.6545999999999997E-2</v>
      </c>
      <c r="E8" s="2">
        <v>-6.6774E-2</v>
      </c>
      <c r="F8" s="2">
        <v>-3.7476000000000002E-2</v>
      </c>
      <c r="G8" s="2">
        <v>1.2979999999999999E-3</v>
      </c>
    </row>
    <row r="9" spans="1:7" x14ac:dyDescent="0.25">
      <c r="A9" s="2" t="s">
        <v>13</v>
      </c>
      <c r="B9" s="2">
        <v>7.1610649999999998</v>
      </c>
      <c r="C9" s="2">
        <v>8.0542370000000005</v>
      </c>
      <c r="D9" s="2">
        <v>8.8369780000000002</v>
      </c>
      <c r="E9" s="2">
        <v>10.008570000000001</v>
      </c>
      <c r="F9" s="2">
        <v>10.867789999999999</v>
      </c>
      <c r="G9" s="2">
        <v>8.9792570000000005</v>
      </c>
    </row>
    <row r="10" spans="1:7" x14ac:dyDescent="0.25">
      <c r="A10" s="2" t="s">
        <v>14</v>
      </c>
      <c r="B10" s="2">
        <v>6.6665570000000001</v>
      </c>
      <c r="C10" s="2">
        <v>7.7035090000000004</v>
      </c>
      <c r="D10" s="2">
        <v>8.6113330000000001</v>
      </c>
      <c r="E10" s="2">
        <v>9.9671109999999992</v>
      </c>
      <c r="F10" s="2">
        <v>10.954029999999999</v>
      </c>
      <c r="G10" s="2">
        <v>8.7519960000000001</v>
      </c>
    </row>
    <row r="11" spans="1:7" x14ac:dyDescent="0.25">
      <c r="A11" s="2" t="s">
        <v>15</v>
      </c>
      <c r="B11" s="2">
        <v>6.0619319999999997</v>
      </c>
      <c r="C11" s="2">
        <v>7.275836</v>
      </c>
      <c r="D11" s="2">
        <v>8.3380349999999996</v>
      </c>
      <c r="E11" s="2">
        <v>9.9226510000000001</v>
      </c>
      <c r="F11" s="2">
        <v>11.071669999999999</v>
      </c>
      <c r="G11" s="2">
        <v>8.4945350000000008</v>
      </c>
    </row>
    <row r="12" spans="1:7" x14ac:dyDescent="0.25">
      <c r="A12" s="2" t="s">
        <v>16</v>
      </c>
      <c r="B12" s="2">
        <v>7.2657379999999998</v>
      </c>
      <c r="C12" s="2">
        <v>8.1274730000000002</v>
      </c>
      <c r="D12" s="2">
        <v>8.8823779999999992</v>
      </c>
      <c r="E12" s="2">
        <v>10.01125</v>
      </c>
      <c r="F12" s="2">
        <v>10.837</v>
      </c>
      <c r="G12" s="2">
        <v>9.0072989999999997</v>
      </c>
    </row>
    <row r="13" spans="1:7" x14ac:dyDescent="0.25">
      <c r="A13" s="2" t="s">
        <v>17</v>
      </c>
      <c r="B13" s="2">
        <v>7.2626860000000004</v>
      </c>
      <c r="C13" s="2">
        <v>8.1617460000000008</v>
      </c>
      <c r="D13" s="2">
        <v>8.9445829999999997</v>
      </c>
      <c r="E13" s="2">
        <v>10.10394</v>
      </c>
      <c r="F13" s="2">
        <v>10.89875</v>
      </c>
      <c r="G13" s="2">
        <v>8.9966600000000003</v>
      </c>
    </row>
    <row r="14" spans="1:7" x14ac:dyDescent="0.25">
      <c r="A14" s="2" t="s">
        <v>18</v>
      </c>
      <c r="B14" s="2">
        <v>9.9999990000000007</v>
      </c>
      <c r="C14" s="2">
        <v>9.9999990000000007</v>
      </c>
      <c r="D14" s="2">
        <v>9.9999990000000007</v>
      </c>
      <c r="E14" s="2">
        <v>9.9999990000000007</v>
      </c>
      <c r="F14" s="2">
        <v>9.9999990000000007</v>
      </c>
      <c r="G14" s="2">
        <v>9.9999990000000007</v>
      </c>
    </row>
    <row r="15" spans="1:7" x14ac:dyDescent="0.25">
      <c r="A15" s="2" t="s">
        <v>19</v>
      </c>
      <c r="B15" s="2">
        <v>7.7953159999999997</v>
      </c>
      <c r="C15" s="2">
        <v>8.9846350000000008</v>
      </c>
      <c r="D15" s="2">
        <v>10.02294</v>
      </c>
      <c r="E15" s="2">
        <v>11.584429999999999</v>
      </c>
      <c r="F15" s="2">
        <v>12.82943</v>
      </c>
      <c r="G15" s="2">
        <v>10.31179</v>
      </c>
    </row>
    <row r="16" spans="1:7" x14ac:dyDescent="0.25">
      <c r="A16" s="2" t="s">
        <v>20</v>
      </c>
      <c r="B16" s="2">
        <v>-0.15720700000000001</v>
      </c>
      <c r="C16" s="2">
        <v>-0.19788700000000001</v>
      </c>
      <c r="D16" s="2">
        <v>-0.23489499999999999</v>
      </c>
      <c r="E16" s="2">
        <v>-0.27759</v>
      </c>
      <c r="F16" s="2">
        <v>-0.208062</v>
      </c>
      <c r="G16" s="2">
        <v>-0.11726499999999999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8"/>
  <sheetViews>
    <sheetView workbookViewId="0"/>
  </sheetViews>
  <sheetFormatPr baseColWidth="10" defaultRowHeight="15.75" x14ac:dyDescent="0.25"/>
  <sheetData>
    <row r="1" spans="1:16" x14ac:dyDescent="0.25">
      <c r="B1" t="s">
        <v>32</v>
      </c>
      <c r="C1" t="s">
        <v>33</v>
      </c>
      <c r="D1" t="s">
        <v>34</v>
      </c>
      <c r="E1" t="s">
        <v>35</v>
      </c>
      <c r="F1" t="s">
        <v>36</v>
      </c>
      <c r="G1" t="s">
        <v>37</v>
      </c>
      <c r="H1" t="s">
        <v>38</v>
      </c>
      <c r="I1" t="s">
        <v>39</v>
      </c>
      <c r="J1" t="s">
        <v>40</v>
      </c>
      <c r="K1" t="s">
        <v>41</v>
      </c>
      <c r="L1" t="s">
        <v>42</v>
      </c>
      <c r="M1" t="s">
        <v>43</v>
      </c>
      <c r="N1" t="s">
        <v>44</v>
      </c>
      <c r="O1" t="s">
        <v>45</v>
      </c>
      <c r="P1" t="s">
        <v>46</v>
      </c>
    </row>
    <row r="3" spans="1:16" x14ac:dyDescent="0.25">
      <c r="A3">
        <v>2007</v>
      </c>
      <c r="B3">
        <v>2.0988319999999998</v>
      </c>
      <c r="C3">
        <v>1.6580280000000001</v>
      </c>
      <c r="D3">
        <v>1.920175</v>
      </c>
      <c r="E3">
        <v>1.0250809999999999</v>
      </c>
      <c r="F3">
        <v>1.352169</v>
      </c>
      <c r="G3">
        <v>12.608309999999999</v>
      </c>
      <c r="H3">
        <v>1.6930000000000001E-2</v>
      </c>
      <c r="I3">
        <v>10.75076</v>
      </c>
      <c r="J3">
        <v>10.855259999999999</v>
      </c>
      <c r="K3">
        <v>10.97283</v>
      </c>
      <c r="L3">
        <v>10.738429999999999</v>
      </c>
      <c r="M3">
        <v>10.90898</v>
      </c>
      <c r="N3">
        <v>9.9999990000000007</v>
      </c>
      <c r="O3">
        <v>11.15391</v>
      </c>
      <c r="P3">
        <v>0.16317200000000001</v>
      </c>
    </row>
    <row r="4" spans="1:16" x14ac:dyDescent="0.25">
      <c r="A4">
        <v>2008</v>
      </c>
      <c r="B4">
        <v>1.9955499999999999</v>
      </c>
      <c r="C4">
        <v>1.914666</v>
      </c>
      <c r="D4">
        <v>2.0307360000000001</v>
      </c>
      <c r="E4">
        <v>0.27983000000000002</v>
      </c>
      <c r="F4">
        <v>1.6655979999999999</v>
      </c>
      <c r="G4">
        <v>13.94645</v>
      </c>
      <c r="H4">
        <v>-3.1060000000000001E-2</v>
      </c>
      <c r="I4">
        <v>11.84449</v>
      </c>
      <c r="J4">
        <v>12.1286</v>
      </c>
      <c r="K4">
        <v>12.464510000000001</v>
      </c>
      <c r="L4">
        <v>11.79458</v>
      </c>
      <c r="M4">
        <v>12.0092</v>
      </c>
      <c r="N4">
        <v>9.9999990000000007</v>
      </c>
      <c r="O4">
        <v>12.604990000000001</v>
      </c>
      <c r="P4">
        <v>0.12490900000000001</v>
      </c>
    </row>
    <row r="5" spans="1:16" x14ac:dyDescent="0.25">
      <c r="A5">
        <v>2009</v>
      </c>
      <c r="B5">
        <v>1.8639380000000001</v>
      </c>
      <c r="C5">
        <v>2.0819070000000002</v>
      </c>
      <c r="D5">
        <v>2.1343079999999999</v>
      </c>
      <c r="E5">
        <v>-0.43193999999999999</v>
      </c>
      <c r="F5">
        <v>1.9134409999999999</v>
      </c>
      <c r="G5">
        <v>15.027520000000001</v>
      </c>
      <c r="H5">
        <v>-6.0134E-2</v>
      </c>
      <c r="I5">
        <v>12.757199999999999</v>
      </c>
      <c r="J5">
        <v>13.19101</v>
      </c>
      <c r="K5">
        <v>13.70886</v>
      </c>
      <c r="L5">
        <v>12.67568</v>
      </c>
      <c r="M5">
        <v>12.918850000000001</v>
      </c>
      <c r="N5">
        <v>9.9999990000000007</v>
      </c>
      <c r="O5">
        <v>13.81601</v>
      </c>
      <c r="P5">
        <v>9.4233999999999998E-2</v>
      </c>
    </row>
    <row r="6" spans="1:16" x14ac:dyDescent="0.25">
      <c r="A6">
        <v>2011</v>
      </c>
      <c r="B6">
        <v>1.58684</v>
      </c>
      <c r="C6">
        <v>2.2167020000000002</v>
      </c>
      <c r="D6">
        <v>2.3619409999999998</v>
      </c>
      <c r="E6">
        <v>-1.6331420000000001</v>
      </c>
      <c r="F6">
        <v>2.234124</v>
      </c>
      <c r="G6">
        <v>16.440529999999999</v>
      </c>
      <c r="H6">
        <v>-7.7362E-2</v>
      </c>
      <c r="I6">
        <v>14.0137</v>
      </c>
      <c r="J6">
        <v>14.6523</v>
      </c>
      <c r="K6">
        <v>15.419169999999999</v>
      </c>
      <c r="L6">
        <v>13.88799</v>
      </c>
      <c r="M6">
        <v>14.152150000000001</v>
      </c>
      <c r="N6">
        <v>9.9999990000000007</v>
      </c>
      <c r="O6">
        <v>15.5032</v>
      </c>
      <c r="P6">
        <v>7.2805999999999996E-2</v>
      </c>
    </row>
    <row r="7" spans="1:16" x14ac:dyDescent="0.25">
      <c r="A7">
        <v>2016</v>
      </c>
      <c r="B7">
        <v>1.150272</v>
      </c>
      <c r="C7">
        <v>1.9725550000000001</v>
      </c>
      <c r="D7">
        <v>3.0569060000000001</v>
      </c>
      <c r="E7">
        <v>-2.9837410000000002</v>
      </c>
      <c r="F7">
        <v>2.3579680000000001</v>
      </c>
      <c r="G7">
        <v>16.733129999999999</v>
      </c>
      <c r="H7">
        <v>-4.1230000000000003E-2</v>
      </c>
      <c r="I7">
        <v>14.527710000000001</v>
      </c>
      <c r="J7">
        <v>15.24667</v>
      </c>
      <c r="K7">
        <v>16.111170000000001</v>
      </c>
      <c r="L7">
        <v>14.3832</v>
      </c>
      <c r="M7">
        <v>14.580399999999999</v>
      </c>
      <c r="N7">
        <v>9.9999990000000007</v>
      </c>
      <c r="O7">
        <v>16.352060000000002</v>
      </c>
      <c r="P7">
        <v>0.20747199999999999</v>
      </c>
    </row>
    <row r="8" spans="1:16" x14ac:dyDescent="0.25">
      <c r="A8">
        <v>2041</v>
      </c>
      <c r="B8">
        <v>0.41089599999999998</v>
      </c>
      <c r="C8">
        <v>0.38218000000000002</v>
      </c>
      <c r="D8">
        <v>0.87502999999999997</v>
      </c>
      <c r="E8">
        <v>-0.97283399999999998</v>
      </c>
      <c r="F8">
        <v>0.75083100000000003</v>
      </c>
      <c r="G8">
        <v>11.56827</v>
      </c>
      <c r="H8">
        <v>2.2899999999999999E-3</v>
      </c>
      <c r="I8">
        <v>11.14066</v>
      </c>
      <c r="J8">
        <v>11.26085</v>
      </c>
      <c r="K8">
        <v>11.43103</v>
      </c>
      <c r="L8">
        <v>11.09179</v>
      </c>
      <c r="M8">
        <v>11.18609</v>
      </c>
      <c r="N8">
        <v>9.9999990000000007</v>
      </c>
      <c r="O8">
        <v>11.73293</v>
      </c>
      <c r="P8">
        <v>0.27093099999999998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G20"/>
  <sheetViews>
    <sheetView showGridLines="0" workbookViewId="0">
      <selection activeCell="C5" sqref="C5"/>
    </sheetView>
  </sheetViews>
  <sheetFormatPr baseColWidth="10" defaultColWidth="11" defaultRowHeight="15.75" x14ac:dyDescent="0.25"/>
  <cols>
    <col min="1" max="1" width="33.625" customWidth="1"/>
  </cols>
  <sheetData>
    <row r="1" spans="1:7" ht="31.5" x14ac:dyDescent="0.25">
      <c r="A1" s="4" t="s">
        <v>28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TRANSPOSE(ResultsCSE!$B$3:$T$8)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G20"/>
  <sheetViews>
    <sheetView showGridLines="0" workbookViewId="0">
      <selection activeCell="B2" sqref="B2"/>
    </sheetView>
  </sheetViews>
  <sheetFormatPr baseColWidth="10" defaultColWidth="11" defaultRowHeight="15.75" x14ac:dyDescent="0.25"/>
  <cols>
    <col min="1" max="1" width="33.625" customWidth="1"/>
  </cols>
  <sheetData>
    <row r="1" spans="1:7" ht="31.5" x14ac:dyDescent="0.25">
      <c r="A1" s="4" t="s">
        <v>25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TRANSPOSE(ResultsELEC!$B$3:$T$8)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P8"/>
  <sheetViews>
    <sheetView workbookViewId="0">
      <selection activeCell="E31" sqref="E31"/>
    </sheetView>
  </sheetViews>
  <sheetFormatPr baseColWidth="10" defaultColWidth="11" defaultRowHeight="15.75" x14ac:dyDescent="0.25"/>
  <sheetData>
    <row r="1" spans="1:16" x14ac:dyDescent="0.25">
      <c r="B1" t="s">
        <v>47</v>
      </c>
      <c r="C1" t="s">
        <v>48</v>
      </c>
      <c r="D1" t="s">
        <v>49</v>
      </c>
      <c r="E1" t="s">
        <v>50</v>
      </c>
      <c r="F1" t="s">
        <v>51</v>
      </c>
      <c r="G1" t="s">
        <v>52</v>
      </c>
      <c r="H1" t="s">
        <v>53</v>
      </c>
      <c r="I1" t="s">
        <v>54</v>
      </c>
      <c r="J1" t="s">
        <v>55</v>
      </c>
      <c r="K1" t="s">
        <v>56</v>
      </c>
      <c r="L1" t="s">
        <v>57</v>
      </c>
      <c r="M1" t="s">
        <v>58</v>
      </c>
      <c r="N1" t="s">
        <v>59</v>
      </c>
      <c r="O1" t="s">
        <v>60</v>
      </c>
      <c r="P1" t="s">
        <v>61</v>
      </c>
    </row>
    <row r="3" spans="1:16" x14ac:dyDescent="0.25">
      <c r="A3">
        <v>2007</v>
      </c>
      <c r="B3">
        <v>0.91586299999999998</v>
      </c>
      <c r="C3">
        <v>0.14106199999999999</v>
      </c>
      <c r="D3">
        <v>0.98345400000000005</v>
      </c>
      <c r="E3">
        <v>2.3668279999999999</v>
      </c>
      <c r="F3">
        <v>-0.33018999999999998</v>
      </c>
      <c r="G3">
        <v>8.4547939999999997</v>
      </c>
      <c r="H3">
        <v>7.4754000000000001E-2</v>
      </c>
      <c r="I3">
        <v>8.211684</v>
      </c>
      <c r="J3">
        <v>7.8565060000000004</v>
      </c>
      <c r="K3">
        <v>7.4421090000000003</v>
      </c>
      <c r="L3">
        <v>8.2674350000000008</v>
      </c>
      <c r="M3">
        <v>8.2965730000000004</v>
      </c>
      <c r="N3">
        <v>9.9999990000000007</v>
      </c>
      <c r="O3">
        <v>7.5313299999999996</v>
      </c>
      <c r="P3">
        <v>8.3041000000000004E-2</v>
      </c>
    </row>
    <row r="4" spans="1:16" x14ac:dyDescent="0.25">
      <c r="A4">
        <v>2008</v>
      </c>
      <c r="B4">
        <v>0.90026300000000004</v>
      </c>
      <c r="C4">
        <v>0.402225</v>
      </c>
      <c r="D4">
        <v>1.1265620000000001</v>
      </c>
      <c r="E4">
        <v>1.8442769999999999</v>
      </c>
      <c r="F4">
        <v>-5.1997000000000002E-2</v>
      </c>
      <c r="G4">
        <v>9.5191029999999994</v>
      </c>
      <c r="H4">
        <v>2.7397999999999999E-2</v>
      </c>
      <c r="I4">
        <v>9.0470070000000007</v>
      </c>
      <c r="J4">
        <v>8.8252740000000003</v>
      </c>
      <c r="K4">
        <v>8.5757349999999999</v>
      </c>
      <c r="L4">
        <v>9.0728539999999995</v>
      </c>
      <c r="M4">
        <v>9.1319970000000001</v>
      </c>
      <c r="N4">
        <v>9.9999990000000007</v>
      </c>
      <c r="O4">
        <v>8.6464060000000007</v>
      </c>
      <c r="P4">
        <v>6.5087999999999993E-2</v>
      </c>
    </row>
    <row r="5" spans="1:16" x14ac:dyDescent="0.25">
      <c r="A5">
        <v>2009</v>
      </c>
      <c r="B5">
        <v>0.85491200000000001</v>
      </c>
      <c r="C5">
        <v>0.59968900000000003</v>
      </c>
      <c r="D5">
        <v>1.255773</v>
      </c>
      <c r="E5">
        <v>1.319493</v>
      </c>
      <c r="F5">
        <v>0.185054</v>
      </c>
      <c r="G5">
        <v>10.423780000000001</v>
      </c>
      <c r="H5">
        <v>-6.96E-3</v>
      </c>
      <c r="I5">
        <v>9.7740550000000006</v>
      </c>
      <c r="J5">
        <v>9.6690620000000003</v>
      </c>
      <c r="K5">
        <v>9.5631590000000006</v>
      </c>
      <c r="L5">
        <v>9.7741910000000001</v>
      </c>
      <c r="M5">
        <v>9.8545909999999992</v>
      </c>
      <c r="N5">
        <v>9.9999990000000007</v>
      </c>
      <c r="O5">
        <v>9.6176030000000008</v>
      </c>
      <c r="P5">
        <v>4.9692E-2</v>
      </c>
    </row>
    <row r="6" spans="1:16" x14ac:dyDescent="0.25">
      <c r="A6">
        <v>2011</v>
      </c>
      <c r="B6">
        <v>0.72389099999999995</v>
      </c>
      <c r="C6">
        <v>0.83250800000000003</v>
      </c>
      <c r="D6">
        <v>1.5023930000000001</v>
      </c>
      <c r="E6">
        <v>0.37155899999999997</v>
      </c>
      <c r="F6">
        <v>0.53320400000000001</v>
      </c>
      <c r="G6">
        <v>11.73662</v>
      </c>
      <c r="H6">
        <v>-4.1716999999999997E-2</v>
      </c>
      <c r="I6">
        <v>10.86567</v>
      </c>
      <c r="J6">
        <v>10.93651</v>
      </c>
      <c r="K6">
        <v>11.04609</v>
      </c>
      <c r="L6">
        <v>10.8276</v>
      </c>
      <c r="M6">
        <v>10.930120000000001</v>
      </c>
      <c r="N6">
        <v>9.9999990000000007</v>
      </c>
      <c r="O6">
        <v>11.09009</v>
      </c>
      <c r="P6">
        <v>3.9623999999999999E-2</v>
      </c>
    </row>
    <row r="7" spans="1:16" x14ac:dyDescent="0.25">
      <c r="A7">
        <v>2016</v>
      </c>
      <c r="B7">
        <v>0.46710800000000002</v>
      </c>
      <c r="C7">
        <v>0.85528099999999996</v>
      </c>
      <c r="D7">
        <v>2.1372149999999999</v>
      </c>
      <c r="E7">
        <v>-0.93736399999999998</v>
      </c>
      <c r="F7">
        <v>0.85056299999999996</v>
      </c>
      <c r="G7">
        <v>12.658289999999999</v>
      </c>
      <c r="H7">
        <v>-3.5284000000000003E-2</v>
      </c>
      <c r="I7">
        <v>11.74689</v>
      </c>
      <c r="J7">
        <v>11.962619999999999</v>
      </c>
      <c r="K7">
        <v>12.246740000000001</v>
      </c>
      <c r="L7">
        <v>11.67977</v>
      </c>
      <c r="M7">
        <v>11.755240000000001</v>
      </c>
      <c r="N7">
        <v>9.9999990000000007</v>
      </c>
      <c r="O7">
        <v>12.391450000000001</v>
      </c>
      <c r="P7">
        <v>0.12892600000000001</v>
      </c>
    </row>
    <row r="8" spans="1:16" x14ac:dyDescent="0.25">
      <c r="A8">
        <v>2041</v>
      </c>
      <c r="B8">
        <v>0.124888</v>
      </c>
      <c r="C8">
        <v>3.826E-3</v>
      </c>
      <c r="D8">
        <v>1.115103</v>
      </c>
      <c r="E8">
        <v>-0.184199</v>
      </c>
      <c r="F8">
        <v>0.18234800000000001</v>
      </c>
      <c r="G8">
        <v>10.18384</v>
      </c>
      <c r="H8">
        <v>1.057E-3</v>
      </c>
      <c r="I8">
        <v>10.178319999999999</v>
      </c>
      <c r="J8">
        <v>10.13608</v>
      </c>
      <c r="K8">
        <v>10.111840000000001</v>
      </c>
      <c r="L8">
        <v>10.16014</v>
      </c>
      <c r="M8">
        <v>10.182029999999999</v>
      </c>
      <c r="N8">
        <v>9.9999990000000007</v>
      </c>
      <c r="O8">
        <v>10.35036</v>
      </c>
      <c r="P8">
        <v>0.21661900000000001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:P8"/>
  <sheetViews>
    <sheetView workbookViewId="0">
      <selection activeCell="R17" sqref="A1:R17"/>
    </sheetView>
  </sheetViews>
  <sheetFormatPr baseColWidth="10" defaultColWidth="11" defaultRowHeight="15.75" x14ac:dyDescent="0.25"/>
  <sheetData>
    <row r="1" spans="1:16" x14ac:dyDescent="0.25">
      <c r="B1" t="s">
        <v>62</v>
      </c>
      <c r="C1" t="s">
        <v>63</v>
      </c>
      <c r="D1" t="s">
        <v>64</v>
      </c>
      <c r="E1" t="s">
        <v>65</v>
      </c>
      <c r="F1" t="s">
        <v>66</v>
      </c>
      <c r="G1" t="s">
        <v>67</v>
      </c>
      <c r="H1" t="s">
        <v>68</v>
      </c>
      <c r="I1" t="s">
        <v>69</v>
      </c>
      <c r="J1" t="s">
        <v>70</v>
      </c>
      <c r="K1" t="s">
        <v>71</v>
      </c>
      <c r="L1" t="s">
        <v>72</v>
      </c>
      <c r="M1" t="s">
        <v>73</v>
      </c>
      <c r="N1" t="s">
        <v>74</v>
      </c>
      <c r="O1" t="s">
        <v>75</v>
      </c>
      <c r="P1" t="s">
        <v>76</v>
      </c>
    </row>
    <row r="3" spans="1:16" x14ac:dyDescent="0.25">
      <c r="A3">
        <v>2007</v>
      </c>
      <c r="B3">
        <v>1.840509</v>
      </c>
      <c r="C3">
        <v>1.501871</v>
      </c>
      <c r="D3">
        <v>1.6305350000000001</v>
      </c>
      <c r="E3">
        <v>3.0967730000000002</v>
      </c>
      <c r="F3">
        <v>0.31499899999999997</v>
      </c>
      <c r="G3">
        <v>8.8016330000000007</v>
      </c>
      <c r="H3">
        <v>2.5655000000000001E-2</v>
      </c>
      <c r="I3">
        <v>7.1610649999999998</v>
      </c>
      <c r="J3">
        <v>6.6665570000000001</v>
      </c>
      <c r="K3">
        <v>6.0619319999999997</v>
      </c>
      <c r="L3">
        <v>7.2657379999999998</v>
      </c>
      <c r="M3">
        <v>7.2626860000000004</v>
      </c>
      <c r="N3">
        <v>9.9999990000000007</v>
      </c>
      <c r="O3">
        <v>7.7953159999999997</v>
      </c>
      <c r="P3">
        <v>-0.15720700000000001</v>
      </c>
    </row>
    <row r="4" spans="1:16" x14ac:dyDescent="0.25">
      <c r="A4">
        <v>2008</v>
      </c>
      <c r="B4">
        <v>1.816451</v>
      </c>
      <c r="C4">
        <v>1.7664899999999999</v>
      </c>
      <c r="D4">
        <v>1.7372289999999999</v>
      </c>
      <c r="E4">
        <v>2.5716739999999998</v>
      </c>
      <c r="F4">
        <v>0.60432399999999997</v>
      </c>
      <c r="G4">
        <v>9.9404090000000007</v>
      </c>
      <c r="H4">
        <v>-1.8419000000000001E-2</v>
      </c>
      <c r="I4">
        <v>8.0542370000000005</v>
      </c>
      <c r="J4">
        <v>7.7035090000000004</v>
      </c>
      <c r="K4">
        <v>7.275836</v>
      </c>
      <c r="L4">
        <v>8.1274730000000002</v>
      </c>
      <c r="M4">
        <v>8.1617460000000008</v>
      </c>
      <c r="N4">
        <v>9.9999990000000007</v>
      </c>
      <c r="O4">
        <v>8.9846350000000008</v>
      </c>
      <c r="P4">
        <v>-0.19788700000000001</v>
      </c>
    </row>
    <row r="5" spans="1:16" x14ac:dyDescent="0.25">
      <c r="A5">
        <v>2009</v>
      </c>
      <c r="B5">
        <v>1.750807</v>
      </c>
      <c r="C5">
        <v>1.9524170000000001</v>
      </c>
      <c r="D5">
        <v>1.81837</v>
      </c>
      <c r="E5">
        <v>2.0289320000000002</v>
      </c>
      <c r="F5">
        <v>0.84172199999999997</v>
      </c>
      <c r="G5">
        <v>10.90433</v>
      </c>
      <c r="H5">
        <v>-4.6545999999999997E-2</v>
      </c>
      <c r="I5">
        <v>8.8369780000000002</v>
      </c>
      <c r="J5">
        <v>8.6113330000000001</v>
      </c>
      <c r="K5">
        <v>8.3380349999999996</v>
      </c>
      <c r="L5">
        <v>8.8823779999999992</v>
      </c>
      <c r="M5">
        <v>8.9445829999999997</v>
      </c>
      <c r="N5">
        <v>9.9999990000000007</v>
      </c>
      <c r="O5">
        <v>10.02294</v>
      </c>
      <c r="P5">
        <v>-0.23489499999999999</v>
      </c>
    </row>
    <row r="6" spans="1:16" x14ac:dyDescent="0.25">
      <c r="A6">
        <v>2011</v>
      </c>
      <c r="B6">
        <v>1.567469</v>
      </c>
      <c r="C6">
        <v>2.141556</v>
      </c>
      <c r="D6">
        <v>1.9644269999999999</v>
      </c>
      <c r="E6">
        <v>1.0287189999999999</v>
      </c>
      <c r="F6">
        <v>1.171219</v>
      </c>
      <c r="G6">
        <v>12.280799999999999</v>
      </c>
      <c r="H6">
        <v>-6.6774E-2</v>
      </c>
      <c r="I6">
        <v>10.008570000000001</v>
      </c>
      <c r="J6">
        <v>9.9671109999999992</v>
      </c>
      <c r="K6">
        <v>9.9226510000000001</v>
      </c>
      <c r="L6">
        <v>10.01125</v>
      </c>
      <c r="M6">
        <v>10.10394</v>
      </c>
      <c r="N6">
        <v>9.9999990000000007</v>
      </c>
      <c r="O6">
        <v>11.584429999999999</v>
      </c>
      <c r="P6">
        <v>-0.27759</v>
      </c>
    </row>
    <row r="7" spans="1:16" x14ac:dyDescent="0.25">
      <c r="A7">
        <v>2016</v>
      </c>
      <c r="B7">
        <v>1.2300770000000001</v>
      </c>
      <c r="C7">
        <v>2.0661399999999999</v>
      </c>
      <c r="D7">
        <v>2.4430900000000002</v>
      </c>
      <c r="E7">
        <v>-0.33438099999999998</v>
      </c>
      <c r="F7">
        <v>1.413481</v>
      </c>
      <c r="G7">
        <v>13.111179999999999</v>
      </c>
      <c r="H7">
        <v>-3.7476000000000002E-2</v>
      </c>
      <c r="I7">
        <v>10.867789999999999</v>
      </c>
      <c r="J7">
        <v>10.954029999999999</v>
      </c>
      <c r="K7">
        <v>11.071669999999999</v>
      </c>
      <c r="L7">
        <v>10.837</v>
      </c>
      <c r="M7">
        <v>10.89875</v>
      </c>
      <c r="N7">
        <v>9.9999990000000007</v>
      </c>
      <c r="O7">
        <v>12.82943</v>
      </c>
      <c r="P7">
        <v>-0.208062</v>
      </c>
    </row>
    <row r="8" spans="1:16" x14ac:dyDescent="0.25">
      <c r="A8">
        <v>2041</v>
      </c>
      <c r="B8">
        <v>0.86966699999999997</v>
      </c>
      <c r="C8">
        <v>1.126228</v>
      </c>
      <c r="D8">
        <v>1.0331379999999999</v>
      </c>
      <c r="E8">
        <v>0.67770200000000003</v>
      </c>
      <c r="F8">
        <v>0.56582600000000005</v>
      </c>
      <c r="G8">
        <v>10.208209999999999</v>
      </c>
      <c r="H8">
        <v>1.2979999999999999E-3</v>
      </c>
      <c r="I8">
        <v>8.9792570000000005</v>
      </c>
      <c r="J8">
        <v>8.7519960000000001</v>
      </c>
      <c r="K8">
        <v>8.4945350000000008</v>
      </c>
      <c r="L8">
        <v>9.0072989999999997</v>
      </c>
      <c r="M8">
        <v>8.9966600000000003</v>
      </c>
      <c r="N8">
        <v>9.9999990000000007</v>
      </c>
      <c r="O8">
        <v>10.31179</v>
      </c>
      <c r="P8">
        <v>-0.11726499999999999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"/>
  <sheetViews>
    <sheetView workbookViewId="0">
      <selection activeCell="R17" sqref="A1:R17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/>
  <dimension ref="A1"/>
  <sheetViews>
    <sheetView workbookViewId="0">
      <selection activeCell="R17" sqref="A1:R17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/>
  <dimension ref="A1:G20"/>
  <sheetViews>
    <sheetView showGridLines="0" workbookViewId="0">
      <selection activeCell="B4" sqref="B4"/>
    </sheetView>
  </sheetViews>
  <sheetFormatPr baseColWidth="10" defaultColWidth="11" defaultRowHeight="15.75" x14ac:dyDescent="0.25"/>
  <cols>
    <col min="1" max="1" width="33.625" customWidth="1"/>
    <col min="2" max="7" width="16" bestFit="1" customWidth="1"/>
  </cols>
  <sheetData>
    <row r="1" spans="1:7" ht="31.5" x14ac:dyDescent="0.25">
      <c r="A1" s="4" t="s">
        <v>27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TRANSPOSE(ResultsVAT!$B$3:$T$8)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/>
  <dimension ref="A1:G20"/>
  <sheetViews>
    <sheetView showGridLines="0" workbookViewId="0">
      <selection activeCell="G12" sqref="G12"/>
    </sheetView>
  </sheetViews>
  <sheetFormatPr baseColWidth="10" defaultColWidth="11" defaultRowHeight="15.75" x14ac:dyDescent="0.25"/>
  <cols>
    <col min="1" max="1" width="33.625" customWidth="1"/>
    <col min="2" max="7" width="16" bestFit="1" customWidth="1"/>
  </cols>
  <sheetData>
    <row r="1" spans="1:7" ht="31.5" x14ac:dyDescent="0.25">
      <c r="A1" s="4" t="s">
        <v>31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TRANSPOSE(ResultsIAPU!$B$3:$T$8)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/>
  <dimension ref="A1"/>
  <sheetViews>
    <sheetView workbookViewId="0">
      <selection activeCell="D39" sqref="D39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/>
  <dimension ref="A1"/>
  <sheetViews>
    <sheetView workbookViewId="0">
      <selection activeCell="F39" sqref="F39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14</vt:i4>
      </vt:variant>
    </vt:vector>
  </HeadingPairs>
  <TitlesOfParts>
    <vt:vector size="14" baseType="lpstr">
      <vt:lpstr>ResultsEXR10</vt:lpstr>
      <vt:lpstr>ResultsEXPG1</vt:lpstr>
      <vt:lpstr>ResultsRSSC1</vt:lpstr>
      <vt:lpstr>EXPG1</vt:lpstr>
      <vt:lpstr>CSE</vt:lpstr>
      <vt:lpstr>ELEC</vt:lpstr>
      <vt:lpstr>EXR10</vt:lpstr>
      <vt:lpstr>RSSC1</vt:lpstr>
      <vt:lpstr>ResultsCSE</vt:lpstr>
      <vt:lpstr>ResultsELEC</vt:lpstr>
      <vt:lpstr>VAT</vt:lpstr>
      <vt:lpstr>IAPU</vt:lpstr>
      <vt:lpstr>ResultsVAT</vt:lpstr>
      <vt:lpstr>ResultsIAPU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Aurélien Saussay</dc:creator>
  <cp:lastModifiedBy>Adeline</cp:lastModifiedBy>
  <dcterms:created xsi:type="dcterms:W3CDTF">2014-09-05T13:26:46Z</dcterms:created>
  <dcterms:modified xsi:type="dcterms:W3CDTF">2018-12-19T15:57:18Z</dcterms:modified>
</cp:coreProperties>
</file>